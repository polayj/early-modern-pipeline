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41" documentId="8_{EC788872-2E9E-4D64-AF4F-902DBAC57ABB}" xr6:coauthVersionLast="47" xr6:coauthVersionMax="47" xr10:uidLastSave="{D227C424-F63E-45B4-9676-787485BC674E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Barbados!$A$1:$N$56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8" l="1"/>
  <c r="H83" i="7"/>
  <c r="H84" i="6"/>
  <c r="H88" i="5"/>
  <c r="H96" i="5"/>
  <c r="H24" i="5"/>
  <c r="H18" i="3"/>
  <c r="H85" i="2"/>
  <c r="H23" i="2"/>
  <c r="H68" i="3"/>
  <c r="H93" i="2"/>
  <c r="H23" i="11"/>
  <c r="H23" i="8"/>
  <c r="L7" i="8"/>
  <c r="J7" i="8"/>
  <c r="H22" i="7"/>
  <c r="H22" i="6"/>
  <c r="L53" i="6"/>
  <c r="J53" i="6"/>
  <c r="L56" i="5"/>
  <c r="J56" i="5"/>
  <c r="H32" i="5"/>
  <c r="J8" i="5"/>
  <c r="L8" i="5" s="1"/>
  <c r="L15" i="4"/>
  <c r="J15" i="4"/>
  <c r="J7" i="4"/>
  <c r="L7" i="4" s="1"/>
  <c r="J5" i="4"/>
  <c r="L5" i="4" s="1"/>
  <c r="L45" i="3"/>
  <c r="J45" i="3"/>
  <c r="J23" i="3"/>
  <c r="L23" i="3" s="1"/>
  <c r="J19" i="3"/>
  <c r="L19" i="3" s="1"/>
  <c r="J120" i="5"/>
  <c r="L120" i="5" s="1"/>
  <c r="J74" i="5"/>
  <c r="L74" i="5" s="1"/>
  <c r="J85" i="3"/>
  <c r="L85" i="3" s="1"/>
  <c r="J117" i="2"/>
  <c r="L117" i="2" s="1"/>
  <c r="L54" i="11"/>
  <c r="J54" i="11"/>
  <c r="J10" i="11"/>
  <c r="L10" i="11" s="1"/>
  <c r="J55" i="5"/>
  <c r="L55" i="5" s="1"/>
  <c r="J9" i="5"/>
  <c r="L9" i="5" s="1"/>
  <c r="J17" i="4"/>
  <c r="L17" i="4" s="1"/>
  <c r="J19" i="4"/>
  <c r="L19" i="4" s="1"/>
  <c r="J14" i="4"/>
  <c r="L14" i="4" s="1"/>
  <c r="J11" i="4"/>
  <c r="L11" i="4" s="1"/>
  <c r="J8" i="4"/>
  <c r="L8" i="4" s="1"/>
  <c r="J24" i="3"/>
  <c r="L24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20" i="3"/>
  <c r="L20" i="3" s="1"/>
  <c r="J21" i="3"/>
  <c r="L21" i="3" s="1"/>
  <c r="J22" i="3"/>
  <c r="L22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3" i="4"/>
  <c r="L3" i="4" s="1"/>
  <c r="J4" i="4"/>
  <c r="L4" i="4" s="1"/>
  <c r="J6" i="4"/>
  <c r="L6" i="4" s="1"/>
  <c r="J9" i="4"/>
  <c r="L9" i="4" s="1"/>
  <c r="J10" i="4"/>
  <c r="L10" i="4" s="1"/>
  <c r="J12" i="4"/>
  <c r="L12" i="4" s="1"/>
  <c r="J13" i="4"/>
  <c r="L13" i="4" s="1"/>
  <c r="J16" i="4"/>
  <c r="L16" i="4" s="1"/>
  <c r="J18" i="4"/>
  <c r="L18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<sst xmlns="http://schemas.openxmlformats.org/spreadsheetml/2006/main" count="3506" uniqueCount="167">
  <si>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</si>
  <si>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</si>
  <si>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</si>
  <si>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</si>
  <si>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</si>
  <si>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</si>
  <si>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</si>
  <si>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</si>
  <si>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</si>
  <si>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</si>
  <si>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</si>
  <si>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</si>
  <si>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</si>
  <si>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</si>
  <si>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</si>
  <si>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</si>
  <si>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</si>
  <si>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</si>
  <si>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</si>
  <si>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</si>
  <si>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</si>
  <si>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</si>
  <si>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</si>
  <si>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</si>
  <si>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</si>
  <si>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</si>
  <si>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</si>
  <si>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</si>
  <si>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</si>
  <si>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</si>
  <si>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</si>
  <si>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</si>
  <si>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</si>
  <si>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</si>
  <si>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</si>
  <si>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</si>
  <si>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</si>
  <si>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</si>
  <si>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</si>
  <si>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</si>
  <si>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</si>
  <si>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</si>
  <si>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</si>
  <si>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</si>
  <si>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</si>
  <si>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</si>
  <si>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</si>
  <si>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</si>
  <si>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</si>
  <si>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</si>
  <si>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</si>
  <si>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</si>
  <si>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</si>
  <si>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</si>
  <si>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</si>
  <si>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</si>
  <si>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</si>
  <si>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</si>
  <si>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</si>
  <si>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</si>
  <si>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</si>
  <si>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</si>
  <si>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</si>
  <si>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</si>
  <si>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</si>
  <si>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</si>
  <si>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</si>
  <si>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</si>
  <si>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</si>
  <si>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</si>
  <si>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</si>
  <si>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</si>
  <si>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</si>
  <si>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</si>
  <si>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</si>
  <si>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</si>
  <si>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</si>
  <si>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</si>
  <si>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</si>
  <si>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</si>
  <si>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</si>
  <si>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</si>
  <si>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</si>
  <si>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</si>
  <si>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</si>
  <si>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</si>
  <si>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</si>
  <si>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</si>
  <si>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</si>
  <si>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</si>
  <si>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</si>
  <si>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</si>
  <si>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</si>
  <si>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</si>
  <si>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</si>
  <si>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</si>
  <si>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</si>
  <si>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</si>
  <si>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</si>
  <si>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</si>
  <si>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</si>
  <si>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</si>
  <si>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</si>
  <si>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</si>
  <si>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</si>
  <si>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</si>
  <si>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</si>
  <si>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18g</t>
  </si>
  <si>
    <t>25716g</t>
  </si>
  <si>
    <t>23t 3h 7g</t>
  </si>
  <si>
    <t>177bags +57lb</t>
  </si>
  <si>
    <t>2348g</t>
  </si>
  <si>
    <t>147.75g</t>
  </si>
  <si>
    <t>16811g</t>
  </si>
  <si>
    <t>99t 3h 59g</t>
  </si>
  <si>
    <t>339bags + 160lb</t>
  </si>
  <si>
    <t>Cortex Elatheria</t>
  </si>
  <si>
    <t>273g</t>
  </si>
  <si>
    <t>1t 2h 3g</t>
  </si>
  <si>
    <t>Balsam Artificial</t>
  </si>
  <si>
    <t>Jollop</t>
  </si>
  <si>
    <t>8433g</t>
  </si>
  <si>
    <t>109.5g</t>
  </si>
  <si>
    <t>249644g</t>
  </si>
  <si>
    <t>39t 1h 23g</t>
  </si>
  <si>
    <t>Wood, Crocus</t>
  </si>
  <si>
    <t>463bags +64lb</t>
  </si>
  <si>
    <t>200g</t>
  </si>
  <si>
    <t>12g</t>
  </si>
  <si>
    <t>5049g</t>
  </si>
  <si>
    <t>6t 1h 32g</t>
  </si>
  <si>
    <t>125bags + 172lb</t>
  </si>
  <si>
    <t>3.5g</t>
  </si>
  <si>
    <t>421.5g</t>
  </si>
  <si>
    <t>6t 2h 40g</t>
  </si>
  <si>
    <t>11bags</t>
  </si>
  <si>
    <t>Archelia</t>
  </si>
  <si>
    <t>6g</t>
  </si>
  <si>
    <t>10712.5g</t>
  </si>
  <si>
    <t>73t 1h</t>
  </si>
  <si>
    <t>295bags + 79lb</t>
  </si>
  <si>
    <t>1009g</t>
  </si>
  <si>
    <t>1t 1h 48g</t>
  </si>
  <si>
    <t>159.5bags</t>
  </si>
  <si>
    <t>5809g</t>
  </si>
  <si>
    <t>71g</t>
  </si>
  <si>
    <t>Wood, Camwood</t>
  </si>
  <si>
    <t>1555bags + 172lb</t>
  </si>
  <si>
    <t>23g</t>
  </si>
  <si>
    <t>6891g</t>
  </si>
  <si>
    <t>11t 3h 16g</t>
  </si>
  <si>
    <t>407bags +35 lb</t>
  </si>
  <si>
    <t>423g</t>
  </si>
  <si>
    <t>16.75g</t>
  </si>
  <si>
    <t>35813g</t>
  </si>
  <si>
    <t>5t 2h 17g</t>
  </si>
  <si>
    <t>606bags + 144lb</t>
  </si>
  <si>
    <t>2385g</t>
  </si>
  <si>
    <t>1t 1h 5g</t>
  </si>
  <si>
    <t>368bags + 150lb</t>
  </si>
  <si>
    <t>336g</t>
  </si>
  <si>
    <t>7t 2h 8g</t>
  </si>
  <si>
    <t>211.75bags</t>
  </si>
  <si>
    <t>4761.5g</t>
  </si>
  <si>
    <t>5t 1h 8g</t>
  </si>
  <si>
    <t>629bags+165lb</t>
  </si>
  <si>
    <t>332g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</si>
</sst>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4.8214285714285716E-2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2.232142857142857E-3</v>
      </c>
      <c r="D2">
        <f>B2+C2</f>
        <v>5.0446428571428573E-2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0.25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31771.193749999999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12468.488839285714</v>
      </c>
      <c r="D4">
        <f t="shared" si="0"/>
        <v>44239.682589285716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1.3950892857142858</v>
      </c>
      <c r="D6">
        <f t="shared" si="0"/>
        <v>1.3950892857142858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132.46294642857143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349.61205357142859</v>
      </c>
      <c r="D7">
        <f t="shared" si="0"/>
        <v>482.07500000000005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965.59642857142865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670.109375</v>
      </c>
      <c r="D8">
        <f t="shared" si="0"/>
        <v>1635.7058035714285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21.020089285714285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39.756696428571423</v>
      </c>
      <c r="D9">
        <f t="shared" si="0"/>
        <v>60.776785714285708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19.111607142857142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3.9669642857142855</v>
      </c>
      <c r="D10">
        <f t="shared" si="0"/>
        <v>23.078571428571429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99.75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139.91249999999999</v>
      </c>
      <c r="D11">
        <f t="shared" si="0"/>
        <v>239.66249999999999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49.034821428571426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1.9915178571428571</v>
      </c>
      <c r="D12">
        <f t="shared" si="0"/>
        <v>51.026339285714286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0.88437499999999991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0.88437499999999991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218.23348214285713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214.14598214285715</v>
      </c>
      <c r="D14">
        <f t="shared" si="0"/>
        <v>432.37946428571428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0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1307.5901785714286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254.54955357142856</v>
      </c>
      <c r="D16">
        <f t="shared" si="0"/>
        <v>1562.1397321428572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2.0723214285714282</v>
      </c>
      <c r="D17">
        <f t="shared" si="0"/>
        <v>2.0723214285714282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3.4200892857142859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0.23660714285714285</v>
      </c>
      <c r="D18">
        <f t="shared" si="0"/>
        <v>3.6566964285714287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1.7857142857142858</v>
      </c>
      <c r="D19">
        <f t="shared" si="0"/>
        <v>1.7857142857142858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2.6964285714285712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0.19196428571428573</v>
      </c>
      <c r="D20">
        <f t="shared" si="0"/>
        <v>2.8883928571428568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21.586607142857144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0.6294642857142857</v>
      </c>
      <c r="D25">
        <f t="shared" si="0"/>
        <v>22.216071428571428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283.95691964285714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37.027455357142856</v>
      </c>
      <c r="D26">
        <f t="shared" si="0"/>
        <v>320.984375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85.30223214285715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85.30223214285715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192.59241071428573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235.28214285714284</v>
      </c>
      <c r="D28">
        <f t="shared" si="0"/>
        <v>427.87455357142858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569.97142857142853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390.56071428571431</v>
      </c>
      <c r="D29">
        <f t="shared" si="0"/>
        <v>960.53214285714284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8.85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33.496428571428574</v>
      </c>
      <c r="D30">
        <f t="shared" si="0"/>
        <v>42.346428571428575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103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1736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1736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1736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1736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1736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1736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1736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1736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1736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1736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1736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1736</v>
      </c>
      <c r="B13" t="s">
        <v>6</v>
      </c>
      <c r="C13" t="s">
        <v>53</v>
      </c>
      <c r="D13" t="s">
        <v>33</v>
      </c>
      <c r="F13">
        <v>103226</v>
      </c>
      <c r="G13">
        <v>1</v>
      </c>
      <c r="H13">
        <v>5</v>
      </c>
      <c r="J13">
        <f t="shared" si="0"/>
        <v>11561345</v>
      </c>
      <c r="L13">
        <f t="shared" si="1"/>
        <v>5161.3147321428569</v>
      </c>
    </row>
    <row r="14" spans="1:15" x14ac:dyDescent="0.25">
      <c r="A14">
        <v>1736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1736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1736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1736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1736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1736</v>
      </c>
      <c r="B23" t="s">
        <v>9</v>
      </c>
      <c r="C23" t="s">
        <v>53</v>
      </c>
      <c r="D23" t="s">
        <v>33</v>
      </c>
      <c r="H23">
        <f>177*200+57</f>
        <v>35457</v>
      </c>
      <c r="I23" t="s">
        <v>110</v>
      </c>
      <c r="J23">
        <f t="shared" si="0"/>
        <v>35457</v>
      </c>
      <c r="L23">
        <f t="shared" si="1"/>
        <v>15.829017857142857</v>
      </c>
    </row>
    <row r="24" spans="1:12" x14ac:dyDescent="0.25">
      <c r="A24">
        <v>1736</v>
      </c>
      <c r="B24" t="s">
        <v>10</v>
      </c>
      <c r="C24" t="s">
        <v>53</v>
      </c>
      <c r="D24" t="s">
        <v>33</v>
      </c>
      <c r="F24">
        <v>1826</v>
      </c>
      <c r="G24">
        <v>1</v>
      </c>
      <c r="H24">
        <v>24</v>
      </c>
      <c r="J24">
        <f t="shared" si="0"/>
        <v>204564</v>
      </c>
      <c r="L24">
        <f t="shared" si="1"/>
        <v>91.323214285714286</v>
      </c>
    </row>
    <row r="25" spans="1:12" x14ac:dyDescent="0.25">
      <c r="A25">
        <v>1736</v>
      </c>
      <c r="B25" t="s">
        <v>11</v>
      </c>
      <c r="C25" t="s">
        <v>53</v>
      </c>
      <c r="D25" t="s">
        <v>33</v>
      </c>
      <c r="F25">
        <v>43</v>
      </c>
      <c r="H25">
        <v>11</v>
      </c>
      <c r="J25">
        <f t="shared" si="0"/>
        <v>4827</v>
      </c>
      <c r="L25">
        <f t="shared" si="1"/>
        <v>2.1549107142857142</v>
      </c>
    </row>
    <row r="26" spans="1:12" x14ac:dyDescent="0.25">
      <c r="A26">
        <v>1736</v>
      </c>
      <c r="B26" t="s">
        <v>39</v>
      </c>
      <c r="C26" t="s">
        <v>53</v>
      </c>
      <c r="D26" t="s">
        <v>33</v>
      </c>
      <c r="H26">
        <v>195</v>
      </c>
      <c r="J26">
        <f t="shared" si="0"/>
        <v>195</v>
      </c>
      <c r="L26">
        <f t="shared" si="1"/>
        <v>8.7053571428571425E-2</v>
      </c>
    </row>
    <row r="27" spans="1:12" x14ac:dyDescent="0.25">
      <c r="A27">
        <v>1736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1736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12</v>
      </c>
      <c r="C32" t="s">
        <v>53</v>
      </c>
      <c r="D32" t="s">
        <v>33</v>
      </c>
      <c r="H32">
        <v>30</v>
      </c>
      <c r="J32">
        <f t="shared" si="0"/>
        <v>30</v>
      </c>
      <c r="L32">
        <f t="shared" si="1"/>
        <v>1.3392857142857142E-2</v>
      </c>
    </row>
    <row r="33" spans="1:12" x14ac:dyDescent="0.25">
      <c r="A33">
        <v>1736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1736</v>
      </c>
      <c r="B35" t="s">
        <v>13</v>
      </c>
      <c r="C35" t="s">
        <v>53</v>
      </c>
      <c r="D35" t="s">
        <v>33</v>
      </c>
      <c r="E35">
        <v>21</v>
      </c>
      <c r="J35">
        <f t="shared" si="0"/>
        <v>47040</v>
      </c>
      <c r="L35">
        <f t="shared" si="1"/>
        <v>21</v>
      </c>
    </row>
    <row r="36" spans="1:12" x14ac:dyDescent="0.25">
      <c r="A36">
        <v>1736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1736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1736</v>
      </c>
      <c r="B38" t="s">
        <v>27</v>
      </c>
      <c r="C38" t="s">
        <v>53</v>
      </c>
      <c r="D38" t="s">
        <v>33</v>
      </c>
      <c r="H38">
        <v>59935.5</v>
      </c>
      <c r="I38" t="s">
        <v>109</v>
      </c>
      <c r="J38">
        <f t="shared" si="0"/>
        <v>59935.5</v>
      </c>
      <c r="L38">
        <f t="shared" si="1"/>
        <v>26.756919642857142</v>
      </c>
    </row>
    <row r="39" spans="1:12" x14ac:dyDescent="0.25">
      <c r="A39">
        <v>1736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1736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1736</v>
      </c>
      <c r="B42" t="s">
        <v>47</v>
      </c>
      <c r="C42" t="s">
        <v>53</v>
      </c>
      <c r="D42" t="s">
        <v>33</v>
      </c>
      <c r="H42">
        <v>180</v>
      </c>
      <c r="I42" t="s">
        <v>107</v>
      </c>
      <c r="J42">
        <f t="shared" si="0"/>
        <v>180</v>
      </c>
      <c r="L42">
        <f t="shared" si="1"/>
        <v>8.0357142857142863E-2</v>
      </c>
    </row>
    <row r="43" spans="1:12" x14ac:dyDescent="0.25">
      <c r="A43">
        <v>1736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1736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1736</v>
      </c>
      <c r="B45" t="s">
        <v>18</v>
      </c>
      <c r="C45" t="s">
        <v>53</v>
      </c>
      <c r="D45" t="s">
        <v>33</v>
      </c>
      <c r="H45">
        <v>257226</v>
      </c>
      <c r="I45" t="s">
        <v>108</v>
      </c>
      <c r="J45">
        <f t="shared" si="0"/>
        <v>257226</v>
      </c>
      <c r="L45">
        <f t="shared" si="1"/>
        <v>114.83303571428571</v>
      </c>
    </row>
    <row r="46" spans="1:12" x14ac:dyDescent="0.25">
      <c r="A46">
        <v>1736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1736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1736</v>
      </c>
      <c r="B51" t="s">
        <v>54</v>
      </c>
      <c r="C51" t="s">
        <v>53</v>
      </c>
      <c r="D51" t="s">
        <v>33</v>
      </c>
      <c r="H51">
        <v>1141</v>
      </c>
      <c r="J51">
        <f t="shared" si="0"/>
        <v>1141</v>
      </c>
      <c r="L51">
        <f t="shared" si="1"/>
        <v>0.50937500000000002</v>
      </c>
    </row>
    <row r="52" spans="1:12" x14ac:dyDescent="0.25">
      <c r="A52">
        <v>1736</v>
      </c>
      <c r="B52" t="s">
        <v>95</v>
      </c>
      <c r="C52" t="s">
        <v>53</v>
      </c>
      <c r="D52" t="s">
        <v>33</v>
      </c>
      <c r="H52">
        <v>281</v>
      </c>
      <c r="J52">
        <f t="shared" si="0"/>
        <v>281</v>
      </c>
      <c r="L52">
        <f t="shared" si="1"/>
        <v>0.12544642857142857</v>
      </c>
    </row>
    <row r="53" spans="1:12" x14ac:dyDescent="0.25">
      <c r="A53">
        <v>1736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1736</v>
      </c>
      <c r="B54" t="s">
        <v>21</v>
      </c>
      <c r="C54" t="s">
        <v>53</v>
      </c>
      <c r="D54" t="s">
        <v>33</v>
      </c>
      <c r="H54">
        <v>15</v>
      </c>
      <c r="J54">
        <f t="shared" si="0"/>
        <v>15</v>
      </c>
      <c r="L54">
        <f t="shared" si="1"/>
        <v>6.6964285714285711E-3</v>
      </c>
    </row>
    <row r="55" spans="1:12" x14ac:dyDescent="0.25">
      <c r="A55">
        <v>1736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61</v>
      </c>
      <c r="C56" t="s">
        <v>53</v>
      </c>
      <c r="D56" t="s">
        <v>33</v>
      </c>
      <c r="E56">
        <v>57</v>
      </c>
      <c r="F56">
        <v>6</v>
      </c>
      <c r="H56">
        <v>5</v>
      </c>
      <c r="J56">
        <f t="shared" si="0"/>
        <v>128357</v>
      </c>
      <c r="L56">
        <f t="shared" si="1"/>
        <v>57.302232142857143</v>
      </c>
    </row>
    <row r="57" spans="1:12" x14ac:dyDescent="0.25">
      <c r="A57">
        <v>1736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1736</v>
      </c>
      <c r="B59" t="s">
        <v>62</v>
      </c>
      <c r="C59" t="s">
        <v>53</v>
      </c>
      <c r="D59" t="s">
        <v>33</v>
      </c>
      <c r="E59">
        <v>58</v>
      </c>
      <c r="F59">
        <v>19</v>
      </c>
      <c r="G59">
        <v>1</v>
      </c>
      <c r="J59">
        <f t="shared" si="0"/>
        <v>132076</v>
      </c>
      <c r="L59">
        <f t="shared" si="1"/>
        <v>58.962499999999999</v>
      </c>
    </row>
    <row r="60" spans="1:12" x14ac:dyDescent="0.25">
      <c r="A60">
        <v>1736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1736</v>
      </c>
      <c r="B62" t="s">
        <v>89</v>
      </c>
      <c r="C62" t="s">
        <v>53</v>
      </c>
      <c r="D62" t="s">
        <v>33</v>
      </c>
      <c r="E62">
        <v>3</v>
      </c>
      <c r="J62">
        <f t="shared" si="0"/>
        <v>6720</v>
      </c>
      <c r="L62">
        <f t="shared" si="1"/>
        <v>3</v>
      </c>
    </row>
    <row r="63" spans="1:12" x14ac:dyDescent="0.25">
      <c r="A63">
        <v>1736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64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1736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1736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1736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1736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1736</v>
      </c>
      <c r="B76" t="s">
        <v>6</v>
      </c>
      <c r="C76" t="s">
        <v>53</v>
      </c>
      <c r="D76" t="s">
        <v>35</v>
      </c>
      <c r="F76">
        <v>45880</v>
      </c>
      <c r="G76">
        <v>1</v>
      </c>
      <c r="H76">
        <v>9</v>
      </c>
      <c r="J76">
        <f t="shared" si="2"/>
        <v>5138597</v>
      </c>
      <c r="L76">
        <f t="shared" si="3"/>
        <v>2294.0165178571428</v>
      </c>
    </row>
    <row r="77" spans="1:12" x14ac:dyDescent="0.25">
      <c r="A77">
        <v>1736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1736</v>
      </c>
      <c r="B80" t="s">
        <v>8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1736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1736</v>
      </c>
      <c r="B85" t="s">
        <v>9</v>
      </c>
      <c r="C85" t="s">
        <v>53</v>
      </c>
      <c r="D85" t="s">
        <v>35</v>
      </c>
      <c r="H85">
        <f>1555*200+172</f>
        <v>311172</v>
      </c>
      <c r="I85" t="s">
        <v>147</v>
      </c>
      <c r="J85">
        <f t="shared" si="2"/>
        <v>311172</v>
      </c>
      <c r="L85">
        <f t="shared" si="3"/>
        <v>138.91607142857143</v>
      </c>
    </row>
    <row r="86" spans="1:12" x14ac:dyDescent="0.25">
      <c r="A86">
        <v>1736</v>
      </c>
      <c r="B86" t="s">
        <v>10</v>
      </c>
      <c r="C86" t="s">
        <v>53</v>
      </c>
      <c r="D86" t="s">
        <v>35</v>
      </c>
      <c r="F86">
        <v>2343</v>
      </c>
      <c r="G86">
        <v>3</v>
      </c>
      <c r="H86">
        <v>13</v>
      </c>
      <c r="J86">
        <f t="shared" si="2"/>
        <v>262513</v>
      </c>
      <c r="L86">
        <f t="shared" si="3"/>
        <v>117.19330357142857</v>
      </c>
    </row>
    <row r="87" spans="1:12" x14ac:dyDescent="0.25">
      <c r="A87">
        <v>1736</v>
      </c>
      <c r="B87" t="s">
        <v>11</v>
      </c>
      <c r="C87" t="s">
        <v>53</v>
      </c>
      <c r="D87" t="s">
        <v>35</v>
      </c>
      <c r="F87">
        <v>134</v>
      </c>
      <c r="H87">
        <v>18</v>
      </c>
      <c r="J87">
        <f t="shared" si="2"/>
        <v>15026</v>
      </c>
      <c r="L87">
        <f t="shared" si="3"/>
        <v>6.7080357142857139</v>
      </c>
    </row>
    <row r="88" spans="1:12" x14ac:dyDescent="0.25">
      <c r="A88">
        <v>1736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1736</v>
      </c>
      <c r="B89" t="s">
        <v>79</v>
      </c>
      <c r="C89" t="s">
        <v>53</v>
      </c>
      <c r="D89" t="s">
        <v>35</v>
      </c>
      <c r="H89">
        <v>448</v>
      </c>
      <c r="J89">
        <f t="shared" si="2"/>
        <v>448</v>
      </c>
      <c r="L89">
        <f t="shared" si="3"/>
        <v>0.2</v>
      </c>
    </row>
    <row r="90" spans="1:12" x14ac:dyDescent="0.25">
      <c r="A90">
        <v>1736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1736</v>
      </c>
      <c r="B93" t="s">
        <v>12</v>
      </c>
      <c r="C93" t="s">
        <v>53</v>
      </c>
      <c r="D93" t="s">
        <v>35</v>
      </c>
      <c r="H93">
        <f>490+1008</f>
        <v>1498</v>
      </c>
      <c r="J93">
        <f t="shared" si="2"/>
        <v>1498</v>
      </c>
      <c r="L93">
        <f t="shared" si="3"/>
        <v>0.66874999999999996</v>
      </c>
    </row>
    <row r="94" spans="1:12" x14ac:dyDescent="0.25">
      <c r="A94">
        <v>1736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1736</v>
      </c>
      <c r="B96" t="s">
        <v>13</v>
      </c>
      <c r="C96" t="s">
        <v>53</v>
      </c>
      <c r="D96" t="s">
        <v>35</v>
      </c>
      <c r="E96">
        <v>63</v>
      </c>
      <c r="F96">
        <v>8</v>
      </c>
      <c r="G96">
        <v>2</v>
      </c>
      <c r="H96">
        <v>25</v>
      </c>
      <c r="J96">
        <f t="shared" si="2"/>
        <v>142097</v>
      </c>
      <c r="L96">
        <f t="shared" si="3"/>
        <v>63.436160714285712</v>
      </c>
    </row>
    <row r="97" spans="1:12" x14ac:dyDescent="0.25">
      <c r="A97">
        <v>1736</v>
      </c>
      <c r="B97" t="s">
        <v>14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1736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1736</v>
      </c>
      <c r="B99" t="s">
        <v>27</v>
      </c>
      <c r="C99" t="s">
        <v>53</v>
      </c>
      <c r="D99" t="s">
        <v>35</v>
      </c>
      <c r="I99" t="s">
        <v>145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15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1736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1736</v>
      </c>
      <c r="B105" t="s">
        <v>16</v>
      </c>
      <c r="C105" t="s">
        <v>53</v>
      </c>
      <c r="D105" t="s">
        <v>35</v>
      </c>
      <c r="H105">
        <v>300</v>
      </c>
      <c r="J105">
        <f t="shared" si="2"/>
        <v>300</v>
      </c>
      <c r="L105">
        <f t="shared" si="3"/>
        <v>0.13392857142857142</v>
      </c>
    </row>
    <row r="106" spans="1:12" x14ac:dyDescent="0.25">
      <c r="A106">
        <v>1736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1736</v>
      </c>
      <c r="B107" t="s">
        <v>18</v>
      </c>
      <c r="C107" t="s">
        <v>53</v>
      </c>
      <c r="D107" t="s">
        <v>35</v>
      </c>
      <c r="H107">
        <v>58105</v>
      </c>
      <c r="I107" t="s">
        <v>144</v>
      </c>
      <c r="J107">
        <f t="shared" si="2"/>
        <v>58105</v>
      </c>
      <c r="L107">
        <f t="shared" si="3"/>
        <v>25.939732142857142</v>
      </c>
    </row>
    <row r="108" spans="1:12" x14ac:dyDescent="0.25">
      <c r="A108">
        <v>1736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1736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1736</v>
      </c>
      <c r="B110" t="s">
        <v>19</v>
      </c>
      <c r="C110" t="s">
        <v>53</v>
      </c>
      <c r="D110" t="s">
        <v>35</v>
      </c>
      <c r="F110">
        <v>4</v>
      </c>
      <c r="G110">
        <v>1</v>
      </c>
      <c r="J110">
        <f t="shared" si="2"/>
        <v>476</v>
      </c>
      <c r="L110">
        <f t="shared" si="3"/>
        <v>0.21249999999999999</v>
      </c>
    </row>
    <row r="111" spans="1:12" x14ac:dyDescent="0.25">
      <c r="A111">
        <v>1736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1736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1736</v>
      </c>
      <c r="B113" t="s">
        <v>54</v>
      </c>
      <c r="C113" t="s">
        <v>53</v>
      </c>
      <c r="D113" t="s">
        <v>35</v>
      </c>
      <c r="H113">
        <v>35</v>
      </c>
      <c r="J113">
        <f t="shared" si="2"/>
        <v>35</v>
      </c>
      <c r="L113">
        <f t="shared" si="3"/>
        <v>1.5625E-2</v>
      </c>
    </row>
    <row r="114" spans="1:12" x14ac:dyDescent="0.25">
      <c r="A114">
        <v>1736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1736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1736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1736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1736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1736</v>
      </c>
      <c r="B120" t="s">
        <v>146</v>
      </c>
      <c r="C120" t="s">
        <v>53</v>
      </c>
      <c r="D120" t="s">
        <v>35</v>
      </c>
      <c r="E120">
        <v>10</v>
      </c>
      <c r="J120">
        <f t="shared" si="2"/>
        <v>22400</v>
      </c>
      <c r="L120">
        <f t="shared" si="3"/>
        <v>10</v>
      </c>
    </row>
    <row r="121" spans="1:12" x14ac:dyDescent="0.25">
      <c r="A121">
        <v>1736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1736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1736</v>
      </c>
      <c r="B123" t="s">
        <v>62</v>
      </c>
      <c r="C123" t="s">
        <v>53</v>
      </c>
      <c r="D123" t="s">
        <v>35</v>
      </c>
      <c r="E123">
        <v>46</v>
      </c>
      <c r="F123">
        <v>5</v>
      </c>
      <c r="G123">
        <v>3</v>
      </c>
      <c r="H123">
        <v>25</v>
      </c>
      <c r="J123">
        <f t="shared" si="2"/>
        <v>103709</v>
      </c>
      <c r="L123">
        <f t="shared" si="3"/>
        <v>46.298660714285717</v>
      </c>
    </row>
    <row r="124" spans="1:12" x14ac:dyDescent="0.25">
      <c r="A124">
        <v>1736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1736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1736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1736</v>
      </c>
      <c r="B128" t="s">
        <v>64</v>
      </c>
      <c r="C128" t="s">
        <v>53</v>
      </c>
      <c r="D128" t="s">
        <v>35</v>
      </c>
      <c r="E128">
        <v>11</v>
      </c>
      <c r="F128">
        <v>2</v>
      </c>
      <c r="J128">
        <f t="shared" si="2"/>
        <v>24864</v>
      </c>
      <c r="L128">
        <f t="shared" si="3"/>
        <v>11.1</v>
      </c>
    </row>
    <row r="129" spans="1:12" x14ac:dyDescent="0.25">
      <c r="A129">
        <v>1736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2"/>
  <sheetViews>
    <sheetView topLeftCell="A85" workbookViewId="0">
      <selection activeCell="H88" sqref="H8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1736</v>
      </c>
      <c r="B2" t="s">
        <v>55</v>
      </c>
      <c r="C2" t="s">
        <v>56</v>
      </c>
      <c r="D2" t="s">
        <v>33</v>
      </c>
      <c r="J2">
        <f t="shared" ref="J2:J69" si="0">(E2*2240)+(F2*112)+(G2*28)+H2</f>
        <v>0</v>
      </c>
      <c r="L2">
        <f t="shared" ref="L2:L69" si="1">J2/2240</f>
        <v>0</v>
      </c>
    </row>
    <row r="3" spans="1:12" x14ac:dyDescent="0.25">
      <c r="A3">
        <v>1736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1736</v>
      </c>
      <c r="B4" t="s">
        <v>36</v>
      </c>
      <c r="C4" t="s">
        <v>56</v>
      </c>
      <c r="D4" t="s">
        <v>33</v>
      </c>
      <c r="H4">
        <v>25165</v>
      </c>
      <c r="J4">
        <f t="shared" si="0"/>
        <v>25165</v>
      </c>
      <c r="L4">
        <f t="shared" si="1"/>
        <v>11.234375</v>
      </c>
    </row>
    <row r="5" spans="1:12" x14ac:dyDescent="0.25">
      <c r="A5">
        <v>1736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1736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1736</v>
      </c>
      <c r="B7" t="s">
        <v>92</v>
      </c>
      <c r="C7" t="s">
        <v>56</v>
      </c>
      <c r="D7" t="s">
        <v>33</v>
      </c>
      <c r="H7">
        <v>613</v>
      </c>
      <c r="J7">
        <f t="shared" si="0"/>
        <v>613</v>
      </c>
      <c r="L7">
        <f t="shared" si="1"/>
        <v>0.27366071428571431</v>
      </c>
    </row>
    <row r="8" spans="1:12" x14ac:dyDescent="0.25">
      <c r="A8">
        <v>1736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1736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1736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1736</v>
      </c>
      <c r="B11" t="s">
        <v>6</v>
      </c>
      <c r="C11" t="s">
        <v>56</v>
      </c>
      <c r="D11" t="s">
        <v>33</v>
      </c>
      <c r="F11">
        <v>118766</v>
      </c>
      <c r="G11">
        <v>3</v>
      </c>
      <c r="H11">
        <v>10</v>
      </c>
      <c r="J11">
        <f t="shared" si="0"/>
        <v>13301886</v>
      </c>
      <c r="L11">
        <f t="shared" si="1"/>
        <v>5938.3419642857143</v>
      </c>
    </row>
    <row r="12" spans="1:12" x14ac:dyDescent="0.25">
      <c r="A12">
        <v>1736</v>
      </c>
      <c r="B12" t="s">
        <v>60</v>
      </c>
      <c r="C12" t="s">
        <v>56</v>
      </c>
      <c r="D12" t="s">
        <v>33</v>
      </c>
      <c r="H12">
        <v>1037</v>
      </c>
      <c r="J12">
        <f t="shared" si="0"/>
        <v>1037</v>
      </c>
      <c r="L12">
        <f t="shared" si="1"/>
        <v>0.46294642857142859</v>
      </c>
    </row>
    <row r="13" spans="1:12" x14ac:dyDescent="0.25">
      <c r="A13">
        <v>1736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1736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1736</v>
      </c>
      <c r="B15" t="s">
        <v>8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1736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9</v>
      </c>
      <c r="C18" t="s">
        <v>56</v>
      </c>
      <c r="D18" t="s">
        <v>33</v>
      </c>
      <c r="H18">
        <f>339*200+160</f>
        <v>67960</v>
      </c>
      <c r="I18" t="s">
        <v>115</v>
      </c>
      <c r="J18">
        <f t="shared" si="0"/>
        <v>67960</v>
      </c>
      <c r="L18">
        <f t="shared" si="1"/>
        <v>30.339285714285715</v>
      </c>
    </row>
    <row r="19" spans="1:12" x14ac:dyDescent="0.25">
      <c r="A19">
        <v>1736</v>
      </c>
      <c r="B19" t="s">
        <v>77</v>
      </c>
      <c r="C19" t="s">
        <v>56</v>
      </c>
      <c r="D19" t="s">
        <v>33</v>
      </c>
      <c r="F19">
        <v>4</v>
      </c>
      <c r="J19">
        <f t="shared" si="0"/>
        <v>448</v>
      </c>
      <c r="L19">
        <f t="shared" si="1"/>
        <v>0.2</v>
      </c>
    </row>
    <row r="20" spans="1:12" x14ac:dyDescent="0.25">
      <c r="A20">
        <v>1736</v>
      </c>
      <c r="B20" t="s">
        <v>10</v>
      </c>
      <c r="C20" t="s">
        <v>56</v>
      </c>
      <c r="D20" t="s">
        <v>33</v>
      </c>
      <c r="F20">
        <v>2556</v>
      </c>
      <c r="G20">
        <v>1</v>
      </c>
      <c r="H20">
        <v>11</v>
      </c>
      <c r="J20">
        <f t="shared" si="0"/>
        <v>286311</v>
      </c>
      <c r="L20">
        <f t="shared" si="1"/>
        <v>127.81741071428571</v>
      </c>
    </row>
    <row r="21" spans="1:12" x14ac:dyDescent="0.25">
      <c r="A21">
        <v>1736</v>
      </c>
      <c r="B21" t="s">
        <v>11</v>
      </c>
      <c r="C21" t="s">
        <v>56</v>
      </c>
      <c r="D21" t="s">
        <v>33</v>
      </c>
      <c r="F21">
        <v>302</v>
      </c>
      <c r="G21">
        <v>1</v>
      </c>
      <c r="H21">
        <v>24</v>
      </c>
      <c r="J21">
        <f t="shared" si="0"/>
        <v>33876</v>
      </c>
      <c r="L21">
        <f t="shared" si="1"/>
        <v>15.123214285714285</v>
      </c>
    </row>
    <row r="22" spans="1:12" x14ac:dyDescent="0.25">
      <c r="A22">
        <v>1736</v>
      </c>
      <c r="B22" t="s">
        <v>39</v>
      </c>
      <c r="C22" t="s">
        <v>56</v>
      </c>
      <c r="D22" t="s">
        <v>33</v>
      </c>
      <c r="H22">
        <v>1737</v>
      </c>
      <c r="J22">
        <f t="shared" si="0"/>
        <v>1737</v>
      </c>
      <c r="L22">
        <f t="shared" si="1"/>
        <v>0.77544642857142854</v>
      </c>
    </row>
    <row r="23" spans="1:12" x14ac:dyDescent="0.25">
      <c r="A23">
        <v>1736</v>
      </c>
      <c r="B23" t="s">
        <v>79</v>
      </c>
      <c r="C23" t="s">
        <v>56</v>
      </c>
      <c r="D23" t="s">
        <v>33</v>
      </c>
      <c r="H23">
        <v>4180</v>
      </c>
      <c r="J23">
        <f t="shared" si="0"/>
        <v>4180</v>
      </c>
      <c r="L23">
        <f t="shared" si="1"/>
        <v>1.8660714285714286</v>
      </c>
    </row>
    <row r="24" spans="1:12" x14ac:dyDescent="0.25">
      <c r="A24">
        <v>1736</v>
      </c>
      <c r="B24" t="s">
        <v>102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1736</v>
      </c>
      <c r="B25" t="s">
        <v>44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1736</v>
      </c>
      <c r="B26" t="s">
        <v>12</v>
      </c>
      <c r="C26" t="s">
        <v>56</v>
      </c>
      <c r="D26" t="s">
        <v>33</v>
      </c>
      <c r="H26">
        <v>795</v>
      </c>
      <c r="J26">
        <f t="shared" si="0"/>
        <v>795</v>
      </c>
      <c r="L26">
        <f t="shared" si="1"/>
        <v>0.3549107142857143</v>
      </c>
    </row>
    <row r="27" spans="1:12" x14ac:dyDescent="0.25">
      <c r="A27">
        <v>1736</v>
      </c>
      <c r="B27" t="s">
        <v>34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13</v>
      </c>
      <c r="C28" t="s">
        <v>56</v>
      </c>
      <c r="D28" t="s">
        <v>33</v>
      </c>
      <c r="F28">
        <v>15</v>
      </c>
      <c r="J28">
        <f t="shared" si="0"/>
        <v>1680</v>
      </c>
      <c r="L28">
        <f t="shared" si="1"/>
        <v>0.75</v>
      </c>
    </row>
    <row r="29" spans="1:12" x14ac:dyDescent="0.25">
      <c r="A29">
        <v>1736</v>
      </c>
      <c r="B29" t="s">
        <v>14</v>
      </c>
      <c r="C29" t="s">
        <v>56</v>
      </c>
      <c r="D29" t="s">
        <v>33</v>
      </c>
      <c r="H29">
        <v>23486</v>
      </c>
      <c r="I29" t="s">
        <v>111</v>
      </c>
      <c r="J29">
        <f t="shared" si="0"/>
        <v>23486</v>
      </c>
      <c r="L29">
        <f t="shared" si="1"/>
        <v>10.484821428571429</v>
      </c>
    </row>
    <row r="30" spans="1:12" x14ac:dyDescent="0.25">
      <c r="A30">
        <v>1736</v>
      </c>
      <c r="B30" t="s">
        <v>23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27</v>
      </c>
      <c r="C31" t="s">
        <v>56</v>
      </c>
      <c r="D31" t="s">
        <v>33</v>
      </c>
      <c r="H31">
        <v>252024.5</v>
      </c>
      <c r="I31" t="s">
        <v>114</v>
      </c>
      <c r="J31">
        <f t="shared" si="0"/>
        <v>252024.5</v>
      </c>
      <c r="L31">
        <f t="shared" si="1"/>
        <v>112.5109375</v>
      </c>
    </row>
    <row r="32" spans="1:12" x14ac:dyDescent="0.25">
      <c r="A32">
        <v>1736</v>
      </c>
      <c r="B32" t="s">
        <v>15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1736</v>
      </c>
      <c r="B33" t="s">
        <v>42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47</v>
      </c>
      <c r="C34" t="s">
        <v>56</v>
      </c>
      <c r="D34" t="s">
        <v>33</v>
      </c>
      <c r="H34">
        <v>1478</v>
      </c>
      <c r="I34" t="s">
        <v>112</v>
      </c>
      <c r="J34">
        <f t="shared" si="0"/>
        <v>1478</v>
      </c>
      <c r="L34">
        <f t="shared" si="1"/>
        <v>0.65982142857142856</v>
      </c>
    </row>
    <row r="35" spans="1:12" x14ac:dyDescent="0.25">
      <c r="A35">
        <v>1736</v>
      </c>
      <c r="B35" t="s">
        <v>16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1736</v>
      </c>
      <c r="B36" t="s">
        <v>17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1736</v>
      </c>
      <c r="B37" t="s">
        <v>18</v>
      </c>
      <c r="C37" t="s">
        <v>56</v>
      </c>
      <c r="D37" t="s">
        <v>33</v>
      </c>
      <c r="I37" t="s">
        <v>113</v>
      </c>
      <c r="J37">
        <f t="shared" si="0"/>
        <v>0</v>
      </c>
      <c r="L37">
        <f t="shared" si="1"/>
        <v>0</v>
      </c>
    </row>
    <row r="38" spans="1:12" x14ac:dyDescent="0.25">
      <c r="A38">
        <v>1736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1736</v>
      </c>
      <c r="B39" t="s">
        <v>19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45</v>
      </c>
      <c r="C40" t="s">
        <v>56</v>
      </c>
      <c r="D40" t="s">
        <v>33</v>
      </c>
      <c r="H40">
        <v>108</v>
      </c>
      <c r="J40">
        <f t="shared" si="0"/>
        <v>108</v>
      </c>
      <c r="L40">
        <f t="shared" si="1"/>
        <v>4.8214285714285716E-2</v>
      </c>
    </row>
    <row r="41" spans="1:12" x14ac:dyDescent="0.25">
      <c r="A41">
        <v>1736</v>
      </c>
      <c r="B41" t="s">
        <v>54</v>
      </c>
      <c r="C41" t="s">
        <v>56</v>
      </c>
      <c r="D41" t="s">
        <v>33</v>
      </c>
      <c r="H41">
        <v>1516</v>
      </c>
      <c r="J41">
        <f t="shared" si="0"/>
        <v>1516</v>
      </c>
      <c r="L41">
        <f t="shared" si="1"/>
        <v>0.67678571428571432</v>
      </c>
    </row>
    <row r="42" spans="1:12" x14ac:dyDescent="0.25">
      <c r="A42">
        <v>1736</v>
      </c>
      <c r="B42" t="s">
        <v>95</v>
      </c>
      <c r="C42" t="s">
        <v>56</v>
      </c>
      <c r="D42" t="s">
        <v>33</v>
      </c>
      <c r="H42">
        <v>775</v>
      </c>
      <c r="J42">
        <f t="shared" si="0"/>
        <v>775</v>
      </c>
      <c r="L42">
        <f t="shared" si="1"/>
        <v>0.34598214285714285</v>
      </c>
    </row>
    <row r="43" spans="1:12" x14ac:dyDescent="0.25">
      <c r="A43">
        <v>1736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1736</v>
      </c>
      <c r="B44" t="s">
        <v>21</v>
      </c>
      <c r="C44" t="s">
        <v>56</v>
      </c>
      <c r="D44" t="s">
        <v>33</v>
      </c>
      <c r="H44">
        <v>35</v>
      </c>
      <c r="J44">
        <f t="shared" si="0"/>
        <v>35</v>
      </c>
      <c r="L44">
        <f t="shared" si="1"/>
        <v>1.5625E-2</v>
      </c>
    </row>
    <row r="45" spans="1:12" x14ac:dyDescent="0.25">
      <c r="A45">
        <v>1736</v>
      </c>
      <c r="B45" t="s">
        <v>90</v>
      </c>
      <c r="C45" t="s">
        <v>56</v>
      </c>
      <c r="D45" t="s">
        <v>33</v>
      </c>
      <c r="F45">
        <v>50</v>
      </c>
      <c r="J45">
        <f t="shared" si="0"/>
        <v>5600</v>
      </c>
      <c r="L45">
        <f t="shared" si="1"/>
        <v>2.5</v>
      </c>
    </row>
    <row r="46" spans="1:12" x14ac:dyDescent="0.25">
      <c r="A46">
        <v>1736</v>
      </c>
      <c r="B46" t="s">
        <v>22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61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62</v>
      </c>
      <c r="C48" t="s">
        <v>56</v>
      </c>
      <c r="D48" t="s">
        <v>33</v>
      </c>
      <c r="E48">
        <v>20</v>
      </c>
      <c r="J48">
        <f t="shared" si="0"/>
        <v>44800</v>
      </c>
      <c r="L48">
        <f t="shared" si="1"/>
        <v>20</v>
      </c>
    </row>
    <row r="49" spans="1:12" x14ac:dyDescent="0.25">
      <c r="A49">
        <v>1736</v>
      </c>
      <c r="B49" t="s">
        <v>63</v>
      </c>
      <c r="C49" t="s">
        <v>56</v>
      </c>
      <c r="D49" t="s">
        <v>33</v>
      </c>
      <c r="E49">
        <v>19</v>
      </c>
      <c r="J49">
        <f t="shared" si="0"/>
        <v>42560</v>
      </c>
      <c r="L49">
        <f t="shared" si="1"/>
        <v>19</v>
      </c>
    </row>
    <row r="50" spans="1:12" x14ac:dyDescent="0.25">
      <c r="A50">
        <v>1736</v>
      </c>
      <c r="B50" t="s">
        <v>70</v>
      </c>
      <c r="C50" t="s">
        <v>56</v>
      </c>
      <c r="D50" t="s">
        <v>33</v>
      </c>
      <c r="E50">
        <v>24</v>
      </c>
      <c r="F50">
        <v>2</v>
      </c>
      <c r="G50">
        <v>2</v>
      </c>
      <c r="H50">
        <v>7</v>
      </c>
      <c r="J50">
        <f t="shared" si="0"/>
        <v>54047</v>
      </c>
      <c r="L50">
        <f t="shared" si="1"/>
        <v>24.128125000000001</v>
      </c>
    </row>
    <row r="51" spans="1:12" x14ac:dyDescent="0.25">
      <c r="A51">
        <v>1736</v>
      </c>
      <c r="B51" t="s">
        <v>64</v>
      </c>
      <c r="C51" t="s">
        <v>56</v>
      </c>
      <c r="D51" t="s">
        <v>33</v>
      </c>
      <c r="E51">
        <v>7</v>
      </c>
      <c r="F51">
        <v>17</v>
      </c>
      <c r="J51">
        <f t="shared" si="0"/>
        <v>17584</v>
      </c>
      <c r="L51">
        <f t="shared" si="1"/>
        <v>7.85</v>
      </c>
    </row>
    <row r="52" spans="1:12" x14ac:dyDescent="0.25">
      <c r="A52">
        <v>1736</v>
      </c>
      <c r="B52" t="s">
        <v>65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1736</v>
      </c>
      <c r="B53" t="s">
        <v>55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1736</v>
      </c>
      <c r="B54" t="s">
        <v>57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1736</v>
      </c>
      <c r="B55" t="s">
        <v>36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4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1736</v>
      </c>
      <c r="B57" t="s">
        <v>58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92</v>
      </c>
      <c r="C58" t="s">
        <v>56</v>
      </c>
      <c r="D58" t="s">
        <v>35</v>
      </c>
      <c r="H58">
        <v>181</v>
      </c>
      <c r="J58">
        <f t="shared" si="0"/>
        <v>181</v>
      </c>
      <c r="L58">
        <f t="shared" si="1"/>
        <v>8.0803571428571433E-2</v>
      </c>
    </row>
    <row r="59" spans="1:12" x14ac:dyDescent="0.25">
      <c r="A59">
        <v>1736</v>
      </c>
      <c r="B59" t="s">
        <v>43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1736</v>
      </c>
      <c r="B60" t="s">
        <v>5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59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1736</v>
      </c>
      <c r="B62" t="s">
        <v>6</v>
      </c>
      <c r="C62" t="s">
        <v>56</v>
      </c>
      <c r="D62" t="s">
        <v>35</v>
      </c>
      <c r="F62">
        <v>27625</v>
      </c>
      <c r="G62">
        <v>1</v>
      </c>
      <c r="H62">
        <v>26</v>
      </c>
      <c r="J62">
        <f t="shared" si="0"/>
        <v>3094054</v>
      </c>
      <c r="L62">
        <f t="shared" si="1"/>
        <v>1381.2741071428572</v>
      </c>
    </row>
    <row r="63" spans="1:12" x14ac:dyDescent="0.25">
      <c r="A63">
        <v>1736</v>
      </c>
      <c r="B63" t="s">
        <v>60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38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37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40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9</v>
      </c>
      <c r="C68" t="s">
        <v>56</v>
      </c>
      <c r="D68" t="s">
        <v>35</v>
      </c>
      <c r="H68">
        <f>407*200+35</f>
        <v>81435</v>
      </c>
      <c r="I68" t="s">
        <v>151</v>
      </c>
      <c r="J68">
        <f t="shared" si="0"/>
        <v>81435</v>
      </c>
      <c r="L68">
        <f t="shared" si="1"/>
        <v>36.354910714285715</v>
      </c>
    </row>
    <row r="69" spans="1:12" x14ac:dyDescent="0.25">
      <c r="A69">
        <v>1736</v>
      </c>
      <c r="B69" t="s">
        <v>10</v>
      </c>
      <c r="C69" t="s">
        <v>56</v>
      </c>
      <c r="D69" t="s">
        <v>35</v>
      </c>
      <c r="F69">
        <v>109</v>
      </c>
      <c r="G69">
        <v>2</v>
      </c>
      <c r="H69">
        <v>4</v>
      </c>
      <c r="J69">
        <f t="shared" si="0"/>
        <v>12268</v>
      </c>
      <c r="L69">
        <f t="shared" si="1"/>
        <v>5.4767857142857146</v>
      </c>
    </row>
    <row r="70" spans="1:12" x14ac:dyDescent="0.25">
      <c r="A70">
        <v>1736</v>
      </c>
      <c r="B70" t="s">
        <v>11</v>
      </c>
      <c r="C70" t="s">
        <v>56</v>
      </c>
      <c r="D70" t="s">
        <v>35</v>
      </c>
      <c r="F70">
        <v>207</v>
      </c>
      <c r="G70">
        <v>3</v>
      </c>
      <c r="H70">
        <v>4</v>
      </c>
      <c r="J70">
        <f t="shared" ref="J70:J102" si="2">(E70*2240)+(F70*112)+(G70*28)+H70</f>
        <v>23272</v>
      </c>
      <c r="L70">
        <f t="shared" ref="L70:L102" si="3">J70/2240</f>
        <v>10.389285714285714</v>
      </c>
    </row>
    <row r="71" spans="1:12" x14ac:dyDescent="0.25">
      <c r="A71">
        <v>1736</v>
      </c>
      <c r="B71" t="s">
        <v>39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79</v>
      </c>
      <c r="C72" t="s">
        <v>56</v>
      </c>
      <c r="D72" t="s">
        <v>35</v>
      </c>
      <c r="H72">
        <v>7247</v>
      </c>
      <c r="J72">
        <f t="shared" si="2"/>
        <v>7247</v>
      </c>
      <c r="L72">
        <f t="shared" si="3"/>
        <v>3.235267857142857</v>
      </c>
    </row>
    <row r="73" spans="1:12" x14ac:dyDescent="0.25">
      <c r="A73">
        <v>1736</v>
      </c>
      <c r="B73" t="s">
        <v>44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12</v>
      </c>
      <c r="C74" t="s">
        <v>56</v>
      </c>
      <c r="D74" t="s">
        <v>35</v>
      </c>
      <c r="H74">
        <v>200</v>
      </c>
      <c r="J74">
        <f t="shared" si="2"/>
        <v>200</v>
      </c>
      <c r="L74">
        <f t="shared" si="3"/>
        <v>8.9285714285714288E-2</v>
      </c>
    </row>
    <row r="75" spans="1:12" x14ac:dyDescent="0.25">
      <c r="A75">
        <v>1736</v>
      </c>
      <c r="B75" t="s">
        <v>34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1736</v>
      </c>
      <c r="B76" t="s">
        <v>13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1736</v>
      </c>
      <c r="B77" t="s">
        <v>14</v>
      </c>
      <c r="C77" t="s">
        <v>56</v>
      </c>
      <c r="D77" t="s">
        <v>35</v>
      </c>
      <c r="H77">
        <v>230</v>
      </c>
      <c r="I77" t="s">
        <v>148</v>
      </c>
      <c r="J77">
        <f t="shared" si="2"/>
        <v>230</v>
      </c>
      <c r="L77">
        <f t="shared" si="3"/>
        <v>0.10267857142857142</v>
      </c>
    </row>
    <row r="78" spans="1:12" x14ac:dyDescent="0.25">
      <c r="A78">
        <v>1736</v>
      </c>
      <c r="B78" t="s">
        <v>23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27</v>
      </c>
      <c r="C79" t="s">
        <v>56</v>
      </c>
      <c r="D79" t="s">
        <v>35</v>
      </c>
      <c r="H79">
        <v>29777.5</v>
      </c>
      <c r="I79" t="s">
        <v>150</v>
      </c>
      <c r="J79">
        <f t="shared" si="2"/>
        <v>29777.5</v>
      </c>
      <c r="L79">
        <f t="shared" si="3"/>
        <v>13.293526785714286</v>
      </c>
    </row>
    <row r="80" spans="1:12" x14ac:dyDescent="0.25">
      <c r="A80">
        <v>1736</v>
      </c>
      <c r="B80" t="s">
        <v>15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93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42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47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1736</v>
      </c>
      <c r="B84" t="s">
        <v>16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1736</v>
      </c>
      <c r="B85" t="s">
        <v>106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1736</v>
      </c>
      <c r="B86" t="s">
        <v>17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1736</v>
      </c>
      <c r="B87" t="s">
        <v>18</v>
      </c>
      <c r="C87" t="s">
        <v>56</v>
      </c>
      <c r="D87" t="s">
        <v>35</v>
      </c>
      <c r="H87">
        <v>68927.5</v>
      </c>
      <c r="I87" t="s">
        <v>149</v>
      </c>
      <c r="J87">
        <f t="shared" si="2"/>
        <v>68927.5</v>
      </c>
      <c r="L87">
        <f t="shared" si="3"/>
        <v>30.771205357142858</v>
      </c>
    </row>
    <row r="88" spans="1:12" x14ac:dyDescent="0.25">
      <c r="A88">
        <v>1736</v>
      </c>
      <c r="B88" t="s">
        <v>26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1736</v>
      </c>
      <c r="B89" t="s">
        <v>19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1736</v>
      </c>
      <c r="B90" t="s">
        <v>45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54</v>
      </c>
      <c r="C91" t="s">
        <v>56</v>
      </c>
      <c r="D91" t="s">
        <v>35</v>
      </c>
      <c r="H91">
        <v>238</v>
      </c>
      <c r="J91">
        <f t="shared" si="2"/>
        <v>238</v>
      </c>
      <c r="L91">
        <f t="shared" si="3"/>
        <v>0.10625</v>
      </c>
    </row>
    <row r="92" spans="1:12" x14ac:dyDescent="0.25">
      <c r="A92">
        <v>1736</v>
      </c>
      <c r="B92" t="s">
        <v>95</v>
      </c>
      <c r="C92" t="s">
        <v>56</v>
      </c>
      <c r="D92" t="s">
        <v>35</v>
      </c>
      <c r="H92">
        <v>12</v>
      </c>
      <c r="J92">
        <f t="shared" si="2"/>
        <v>12</v>
      </c>
      <c r="L92">
        <f t="shared" si="3"/>
        <v>5.3571428571428572E-3</v>
      </c>
    </row>
    <row r="93" spans="1:12" x14ac:dyDescent="0.25">
      <c r="A93">
        <v>1736</v>
      </c>
      <c r="B93" t="s">
        <v>20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1736</v>
      </c>
      <c r="B94" t="s">
        <v>21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22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1736</v>
      </c>
      <c r="B96" t="s">
        <v>61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1736</v>
      </c>
      <c r="B97" t="s">
        <v>62</v>
      </c>
      <c r="C97" t="s">
        <v>56</v>
      </c>
      <c r="D97" t="s">
        <v>35</v>
      </c>
      <c r="E97">
        <v>6</v>
      </c>
      <c r="J97">
        <f t="shared" si="2"/>
        <v>13440</v>
      </c>
      <c r="L97">
        <f t="shared" si="3"/>
        <v>6</v>
      </c>
    </row>
    <row r="98" spans="1:12" x14ac:dyDescent="0.25">
      <c r="A98">
        <v>1736</v>
      </c>
      <c r="B98" t="s">
        <v>63</v>
      </c>
      <c r="C98" t="s">
        <v>56</v>
      </c>
      <c r="D98" t="s">
        <v>35</v>
      </c>
      <c r="E98">
        <v>32</v>
      </c>
      <c r="J98">
        <f t="shared" si="2"/>
        <v>71680</v>
      </c>
      <c r="L98">
        <f t="shared" si="3"/>
        <v>32</v>
      </c>
    </row>
    <row r="99" spans="1:12" x14ac:dyDescent="0.25">
      <c r="A99">
        <v>1736</v>
      </c>
      <c r="B99" t="s">
        <v>89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70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64</v>
      </c>
      <c r="C101" t="s">
        <v>56</v>
      </c>
      <c r="D101" t="s">
        <v>35</v>
      </c>
      <c r="E101">
        <v>22</v>
      </c>
      <c r="F101">
        <v>7</v>
      </c>
      <c r="G101">
        <v>3</v>
      </c>
      <c r="H101">
        <v>20</v>
      </c>
      <c r="J101">
        <f t="shared" si="2"/>
        <v>50168</v>
      </c>
      <c r="L101">
        <f t="shared" si="3"/>
        <v>22.396428571428572</v>
      </c>
    </row>
    <row r="102" spans="1:12" x14ac:dyDescent="0.25">
      <c r="A102">
        <v>1736</v>
      </c>
      <c r="B102" t="s">
        <v>65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1"/>
  <sheetViews>
    <sheetView workbookViewId="0">
      <selection activeCell="H14" sqref="H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1736</v>
      </c>
      <c r="B2" t="s">
        <v>66</v>
      </c>
      <c r="C2" t="s">
        <v>67</v>
      </c>
      <c r="D2" t="s">
        <v>33</v>
      </c>
      <c r="J2">
        <f t="shared" ref="J2:J31" si="0">(E2*2240)+(F2*112)+(G2*28)+H2</f>
        <v>0</v>
      </c>
      <c r="L2">
        <f t="shared" ref="L2:L31" si="1">J2/2240</f>
        <v>0</v>
      </c>
    </row>
    <row r="3" spans="1:12" x14ac:dyDescent="0.25">
      <c r="A3">
        <v>1736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1736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1736</v>
      </c>
      <c r="B5" t="s">
        <v>116</v>
      </c>
      <c r="C5" t="s">
        <v>67</v>
      </c>
      <c r="D5" t="s">
        <v>33</v>
      </c>
      <c r="E5" s="1"/>
      <c r="F5" s="1"/>
      <c r="G5" s="1"/>
      <c r="H5">
        <v>3836</v>
      </c>
      <c r="I5" s="1"/>
      <c r="J5">
        <f t="shared" si="0"/>
        <v>3836</v>
      </c>
      <c r="K5" s="1"/>
      <c r="L5">
        <f t="shared" si="1"/>
        <v>1.7124999999999999</v>
      </c>
    </row>
    <row r="6" spans="1:12" x14ac:dyDescent="0.25">
      <c r="A6">
        <v>1736</v>
      </c>
      <c r="B6" t="s">
        <v>9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1736</v>
      </c>
      <c r="B7" t="s">
        <v>10</v>
      </c>
      <c r="C7" t="s">
        <v>67</v>
      </c>
      <c r="D7" t="s">
        <v>33</v>
      </c>
      <c r="F7">
        <v>9</v>
      </c>
      <c r="G7">
        <v>1</v>
      </c>
      <c r="H7">
        <v>7</v>
      </c>
      <c r="J7">
        <f t="shared" si="0"/>
        <v>1043</v>
      </c>
      <c r="L7">
        <f t="shared" si="1"/>
        <v>0.46562500000000001</v>
      </c>
    </row>
    <row r="8" spans="1:12" x14ac:dyDescent="0.25">
      <c r="A8">
        <v>1736</v>
      </c>
      <c r="B8" t="s">
        <v>11</v>
      </c>
      <c r="C8" t="s">
        <v>67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1736</v>
      </c>
      <c r="B9" t="s">
        <v>12</v>
      </c>
      <c r="C9" t="s">
        <v>67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1736</v>
      </c>
      <c r="B10" t="s">
        <v>27</v>
      </c>
      <c r="C10" t="s">
        <v>67</v>
      </c>
      <c r="D10" t="s">
        <v>33</v>
      </c>
      <c r="H10">
        <v>3811</v>
      </c>
      <c r="I10" t="s">
        <v>118</v>
      </c>
      <c r="J10">
        <f t="shared" si="0"/>
        <v>3811</v>
      </c>
      <c r="K10" s="1"/>
      <c r="L10">
        <f t="shared" si="1"/>
        <v>1.7013392857142857</v>
      </c>
    </row>
    <row r="11" spans="1:12" x14ac:dyDescent="0.25">
      <c r="A11">
        <v>1736</v>
      </c>
      <c r="B11" t="s">
        <v>15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1736</v>
      </c>
      <c r="B12" t="s">
        <v>17</v>
      </c>
      <c r="C12" t="s">
        <v>67</v>
      </c>
      <c r="D12" t="s">
        <v>33</v>
      </c>
      <c r="J12">
        <f t="shared" si="0"/>
        <v>0</v>
      </c>
      <c r="K12" s="1"/>
      <c r="L12">
        <f t="shared" si="1"/>
        <v>0</v>
      </c>
    </row>
    <row r="13" spans="1:12" x14ac:dyDescent="0.25">
      <c r="A13">
        <v>1736</v>
      </c>
      <c r="B13" t="s">
        <v>18</v>
      </c>
      <c r="C13" t="s">
        <v>67</v>
      </c>
      <c r="D13" t="s">
        <v>33</v>
      </c>
      <c r="H13">
        <v>2730.5</v>
      </c>
      <c r="I13" t="s">
        <v>117</v>
      </c>
      <c r="J13">
        <f t="shared" si="0"/>
        <v>2730.5</v>
      </c>
      <c r="L13">
        <f t="shared" si="1"/>
        <v>1.2189732142857144</v>
      </c>
    </row>
    <row r="14" spans="1:12" x14ac:dyDescent="0.25">
      <c r="A14">
        <v>1736</v>
      </c>
      <c r="B14" t="s">
        <v>19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1736</v>
      </c>
      <c r="B15" t="s">
        <v>54</v>
      </c>
      <c r="C15" t="s">
        <v>67</v>
      </c>
      <c r="D15" t="s">
        <v>33</v>
      </c>
      <c r="H15">
        <v>4</v>
      </c>
      <c r="J15">
        <f t="shared" si="0"/>
        <v>4</v>
      </c>
      <c r="L15">
        <f t="shared" si="1"/>
        <v>1.7857142857142857E-3</v>
      </c>
    </row>
    <row r="16" spans="1:12" x14ac:dyDescent="0.25">
      <c r="A16">
        <v>1736</v>
      </c>
      <c r="B16" t="s">
        <v>21</v>
      </c>
      <c r="C16" t="s">
        <v>67</v>
      </c>
      <c r="D16" t="s">
        <v>33</v>
      </c>
      <c r="H16">
        <v>393</v>
      </c>
      <c r="J16">
        <f t="shared" si="0"/>
        <v>393</v>
      </c>
      <c r="L16">
        <f t="shared" si="1"/>
        <v>0.17544642857142856</v>
      </c>
    </row>
    <row r="17" spans="1:12" x14ac:dyDescent="0.25">
      <c r="A17">
        <v>1736</v>
      </c>
      <c r="B17" t="s">
        <v>90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61</v>
      </c>
      <c r="C18" t="s">
        <v>67</v>
      </c>
      <c r="D18" t="s">
        <v>33</v>
      </c>
      <c r="E18">
        <v>23</v>
      </c>
      <c r="J18">
        <f t="shared" si="0"/>
        <v>51520</v>
      </c>
      <c r="L18">
        <f t="shared" si="1"/>
        <v>23</v>
      </c>
    </row>
    <row r="19" spans="1:12" x14ac:dyDescent="0.25">
      <c r="A19">
        <v>1736</v>
      </c>
      <c r="B19" t="s">
        <v>62</v>
      </c>
      <c r="C19" t="s">
        <v>67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1736</v>
      </c>
      <c r="B20" t="s">
        <v>63</v>
      </c>
      <c r="C20" t="s">
        <v>67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1736</v>
      </c>
      <c r="B21" t="s">
        <v>6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12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1736</v>
      </c>
      <c r="B23" t="s">
        <v>41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1736</v>
      </c>
      <c r="B24" t="s">
        <v>27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1736</v>
      </c>
      <c r="B25" t="s">
        <v>17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1736</v>
      </c>
      <c r="B26" t="s">
        <v>19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1736</v>
      </c>
      <c r="B27" t="s">
        <v>54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9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1736</v>
      </c>
      <c r="B29" t="s">
        <v>8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61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63</v>
      </c>
      <c r="C31" t="s">
        <v>67</v>
      </c>
      <c r="D31" t="s">
        <v>35</v>
      </c>
      <c r="J31">
        <f t="shared" si="0"/>
        <v>0</v>
      </c>
      <c r="L3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126" zoomScaleNormal="100" workbookViewId="0">
      <selection activeCell="H113" sqref="H11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1736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1736</v>
      </c>
      <c r="B3" t="s">
        <v>57</v>
      </c>
      <c r="C3" t="s">
        <v>68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1736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1736</v>
      </c>
      <c r="B5" t="s">
        <v>4</v>
      </c>
      <c r="C5" t="s">
        <v>68</v>
      </c>
      <c r="D5" t="s">
        <v>33</v>
      </c>
      <c r="G5">
        <v>3</v>
      </c>
      <c r="H5">
        <v>24</v>
      </c>
      <c r="J5">
        <f t="shared" si="0"/>
        <v>108</v>
      </c>
      <c r="L5">
        <f t="shared" si="1"/>
        <v>4.8214285714285716E-2</v>
      </c>
    </row>
    <row r="6" spans="1:12" x14ac:dyDescent="0.25">
      <c r="A6">
        <v>1736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1736</v>
      </c>
      <c r="B7" t="s">
        <v>69</v>
      </c>
      <c r="C7" t="s">
        <v>68</v>
      </c>
      <c r="D7" t="s">
        <v>33</v>
      </c>
      <c r="G7">
        <v>1</v>
      </c>
      <c r="H7">
        <v>22</v>
      </c>
      <c r="J7">
        <f t="shared" si="0"/>
        <v>50</v>
      </c>
      <c r="L7">
        <f t="shared" si="1"/>
        <v>2.2321428571428572E-2</v>
      </c>
    </row>
    <row r="8" spans="1:12" x14ac:dyDescent="0.25">
      <c r="A8">
        <v>1736</v>
      </c>
      <c r="B8" t="s">
        <v>119</v>
      </c>
      <c r="C8" t="s">
        <v>68</v>
      </c>
      <c r="D8" t="s">
        <v>33</v>
      </c>
      <c r="H8">
        <v>250</v>
      </c>
      <c r="J8">
        <f t="shared" si="0"/>
        <v>250</v>
      </c>
      <c r="L8">
        <f t="shared" si="1"/>
        <v>0.11160714285714286</v>
      </c>
    </row>
    <row r="9" spans="1:12" x14ac:dyDescent="0.25">
      <c r="A9">
        <v>1736</v>
      </c>
      <c r="B9" t="s">
        <v>101</v>
      </c>
      <c r="C9" t="s">
        <v>68</v>
      </c>
      <c r="D9" t="s">
        <v>33</v>
      </c>
      <c r="H9">
        <v>15</v>
      </c>
      <c r="J9">
        <f t="shared" si="0"/>
        <v>15</v>
      </c>
      <c r="L9">
        <f t="shared" si="1"/>
        <v>6.6964285714285711E-3</v>
      </c>
    </row>
    <row r="10" spans="1:12" x14ac:dyDescent="0.25">
      <c r="A10">
        <v>1736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1736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1736</v>
      </c>
      <c r="B12" t="s">
        <v>5</v>
      </c>
      <c r="C12" t="s">
        <v>68</v>
      </c>
      <c r="D12" t="s">
        <v>33</v>
      </c>
      <c r="F12">
        <v>5</v>
      </c>
      <c r="J12">
        <f t="shared" si="0"/>
        <v>560</v>
      </c>
      <c r="L12">
        <f t="shared" si="1"/>
        <v>0.25</v>
      </c>
    </row>
    <row r="13" spans="1:12" x14ac:dyDescent="0.25">
      <c r="A13">
        <v>1736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1736</v>
      </c>
      <c r="B14" t="s">
        <v>6</v>
      </c>
      <c r="C14" t="s">
        <v>68</v>
      </c>
      <c r="D14" t="s">
        <v>33</v>
      </c>
      <c r="F14">
        <v>184468</v>
      </c>
      <c r="G14">
        <v>2</v>
      </c>
      <c r="H14">
        <v>3</v>
      </c>
      <c r="J14">
        <f t="shared" si="0"/>
        <v>20660475</v>
      </c>
      <c r="L14">
        <f t="shared" si="1"/>
        <v>9223.4263392857138</v>
      </c>
    </row>
    <row r="15" spans="1:12" x14ac:dyDescent="0.25">
      <c r="A15">
        <v>1736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1736</v>
      </c>
      <c r="B16" t="s">
        <v>60</v>
      </c>
      <c r="C16" t="s">
        <v>68</v>
      </c>
      <c r="D16" t="s">
        <v>33</v>
      </c>
      <c r="H16">
        <v>248</v>
      </c>
      <c r="J16">
        <f t="shared" si="0"/>
        <v>248</v>
      </c>
      <c r="L16">
        <f t="shared" si="1"/>
        <v>0.11071428571428571</v>
      </c>
    </row>
    <row r="17" spans="1:12" x14ac:dyDescent="0.25">
      <c r="A17">
        <v>1736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1736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1736</v>
      </c>
      <c r="B21" t="s">
        <v>77</v>
      </c>
      <c r="C21" t="s">
        <v>68</v>
      </c>
      <c r="D21" t="s">
        <v>33</v>
      </c>
      <c r="F21">
        <v>858</v>
      </c>
      <c r="G21">
        <v>1</v>
      </c>
      <c r="H21">
        <v>2</v>
      </c>
      <c r="J21">
        <f t="shared" si="0"/>
        <v>96126</v>
      </c>
      <c r="L21">
        <f t="shared" si="1"/>
        <v>42.91339285714286</v>
      </c>
    </row>
    <row r="22" spans="1:12" x14ac:dyDescent="0.25">
      <c r="A22">
        <v>1736</v>
      </c>
      <c r="B22" t="s">
        <v>78</v>
      </c>
      <c r="C22" t="s">
        <v>68</v>
      </c>
      <c r="D22" t="s">
        <v>33</v>
      </c>
      <c r="H22">
        <v>57485</v>
      </c>
      <c r="J22">
        <f t="shared" si="0"/>
        <v>57485</v>
      </c>
      <c r="L22">
        <f t="shared" si="1"/>
        <v>25.662946428571427</v>
      </c>
    </row>
    <row r="23" spans="1:12" x14ac:dyDescent="0.25">
      <c r="A23">
        <v>1736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1736</v>
      </c>
      <c r="B24" t="s">
        <v>9</v>
      </c>
      <c r="C24" t="s">
        <v>68</v>
      </c>
      <c r="D24" t="s">
        <v>33</v>
      </c>
      <c r="H24">
        <f>463*200+64</f>
        <v>92664</v>
      </c>
      <c r="I24" t="s">
        <v>126</v>
      </c>
      <c r="J24">
        <f t="shared" si="0"/>
        <v>92664</v>
      </c>
      <c r="L24">
        <f t="shared" si="1"/>
        <v>41.36785714285714</v>
      </c>
    </row>
    <row r="25" spans="1:12" x14ac:dyDescent="0.25">
      <c r="A25">
        <v>1736</v>
      </c>
      <c r="B25" t="s">
        <v>10</v>
      </c>
      <c r="C25" t="s">
        <v>68</v>
      </c>
      <c r="D25" t="s">
        <v>33</v>
      </c>
      <c r="F25">
        <v>14847</v>
      </c>
      <c r="H25">
        <v>20</v>
      </c>
      <c r="J25">
        <f t="shared" si="0"/>
        <v>1662884</v>
      </c>
      <c r="L25">
        <f t="shared" si="1"/>
        <v>742.35892857142858</v>
      </c>
    </row>
    <row r="26" spans="1:12" x14ac:dyDescent="0.25">
      <c r="A26">
        <v>1736</v>
      </c>
      <c r="B26" t="s">
        <v>11</v>
      </c>
      <c r="C26" t="s">
        <v>68</v>
      </c>
      <c r="D26" t="s">
        <v>33</v>
      </c>
      <c r="F26">
        <v>55</v>
      </c>
      <c r="G26">
        <v>2</v>
      </c>
      <c r="H26">
        <v>14</v>
      </c>
      <c r="J26">
        <f t="shared" si="0"/>
        <v>6230</v>
      </c>
      <c r="L26">
        <f t="shared" si="1"/>
        <v>2.78125</v>
      </c>
    </row>
    <row r="27" spans="1:12" x14ac:dyDescent="0.25">
      <c r="A27">
        <v>1736</v>
      </c>
      <c r="B27" t="s">
        <v>39</v>
      </c>
      <c r="C27" t="s">
        <v>68</v>
      </c>
      <c r="D27" t="s">
        <v>33</v>
      </c>
      <c r="H27">
        <v>260</v>
      </c>
      <c r="J27">
        <f t="shared" si="0"/>
        <v>260</v>
      </c>
      <c r="L27">
        <f t="shared" si="1"/>
        <v>0.11607142857142858</v>
      </c>
    </row>
    <row r="28" spans="1:12" x14ac:dyDescent="0.25">
      <c r="A28">
        <v>1736</v>
      </c>
      <c r="B28" t="s">
        <v>79</v>
      </c>
      <c r="C28" t="s">
        <v>68</v>
      </c>
      <c r="D28" t="s">
        <v>33</v>
      </c>
      <c r="H28">
        <v>518</v>
      </c>
      <c r="J28">
        <f t="shared" si="0"/>
        <v>518</v>
      </c>
      <c r="L28">
        <f t="shared" si="1"/>
        <v>0.23125000000000001</v>
      </c>
    </row>
    <row r="29" spans="1:12" x14ac:dyDescent="0.25">
      <c r="A29">
        <v>1736</v>
      </c>
      <c r="B29" t="s">
        <v>103</v>
      </c>
      <c r="C29" t="s">
        <v>68</v>
      </c>
      <c r="D29" t="s">
        <v>33</v>
      </c>
      <c r="H29">
        <v>5436.5</v>
      </c>
      <c r="J29">
        <f t="shared" si="0"/>
        <v>5436.5</v>
      </c>
      <c r="L29">
        <f t="shared" si="1"/>
        <v>2.4270089285714285</v>
      </c>
    </row>
    <row r="30" spans="1:12" x14ac:dyDescent="0.25">
      <c r="A30">
        <v>1736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12</v>
      </c>
      <c r="C32" t="s">
        <v>68</v>
      </c>
      <c r="D32" t="s">
        <v>33</v>
      </c>
      <c r="H32">
        <f>13632+27993</f>
        <v>41625</v>
      </c>
      <c r="J32">
        <f t="shared" si="0"/>
        <v>41625</v>
      </c>
      <c r="L32">
        <f t="shared" si="1"/>
        <v>18.582589285714285</v>
      </c>
    </row>
    <row r="33" spans="1:12" x14ac:dyDescent="0.25">
      <c r="A33">
        <v>1736</v>
      </c>
      <c r="B33" t="s">
        <v>120</v>
      </c>
      <c r="C33" t="s">
        <v>68</v>
      </c>
      <c r="D33" t="s">
        <v>33</v>
      </c>
      <c r="H33">
        <v>2214</v>
      </c>
      <c r="J33">
        <f t="shared" si="0"/>
        <v>2214</v>
      </c>
      <c r="L33">
        <f t="shared" si="1"/>
        <v>0.98839285714285718</v>
      </c>
    </row>
    <row r="34" spans="1:12" x14ac:dyDescent="0.25">
      <c r="A34">
        <v>1736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1736</v>
      </c>
      <c r="B35" t="s">
        <v>13</v>
      </c>
      <c r="C35" t="s">
        <v>68</v>
      </c>
      <c r="D35" t="s">
        <v>33</v>
      </c>
      <c r="E35">
        <v>14</v>
      </c>
      <c r="J35">
        <f t="shared" si="0"/>
        <v>31360</v>
      </c>
      <c r="L35">
        <f t="shared" si="1"/>
        <v>14</v>
      </c>
    </row>
    <row r="36" spans="1:12" x14ac:dyDescent="0.25">
      <c r="A36">
        <v>1736</v>
      </c>
      <c r="B36" t="s">
        <v>14</v>
      </c>
      <c r="C36" t="s">
        <v>68</v>
      </c>
      <c r="D36" t="s">
        <v>33</v>
      </c>
      <c r="H36">
        <v>84351.5</v>
      </c>
      <c r="I36" t="s">
        <v>121</v>
      </c>
      <c r="J36">
        <f t="shared" si="0"/>
        <v>84351.5</v>
      </c>
      <c r="L36">
        <f t="shared" si="1"/>
        <v>37.65691964285714</v>
      </c>
    </row>
    <row r="37" spans="1:12" x14ac:dyDescent="0.25">
      <c r="A37">
        <v>1736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1736</v>
      </c>
      <c r="B38" t="s">
        <v>27</v>
      </c>
      <c r="C38" t="s">
        <v>68</v>
      </c>
      <c r="D38" t="s">
        <v>33</v>
      </c>
      <c r="H38">
        <v>99165.5</v>
      </c>
      <c r="I38" t="s">
        <v>124</v>
      </c>
      <c r="J38">
        <f t="shared" si="0"/>
        <v>99165.5</v>
      </c>
      <c r="L38">
        <f t="shared" si="1"/>
        <v>44.270312500000003</v>
      </c>
    </row>
    <row r="39" spans="1:12" x14ac:dyDescent="0.25">
      <c r="A39">
        <v>1736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1736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1736</v>
      </c>
      <c r="B42" t="s">
        <v>47</v>
      </c>
      <c r="C42" t="s">
        <v>68</v>
      </c>
      <c r="D42" t="s">
        <v>33</v>
      </c>
      <c r="H42">
        <v>1095.5</v>
      </c>
      <c r="I42" t="s">
        <v>122</v>
      </c>
      <c r="J42">
        <f t="shared" si="0"/>
        <v>1095.5</v>
      </c>
      <c r="L42">
        <f t="shared" si="1"/>
        <v>0.48906250000000001</v>
      </c>
    </row>
    <row r="43" spans="1:12" x14ac:dyDescent="0.25">
      <c r="A43">
        <v>1736</v>
      </c>
      <c r="B43" t="s">
        <v>16</v>
      </c>
      <c r="C43" t="s">
        <v>68</v>
      </c>
      <c r="D43" t="s">
        <v>33</v>
      </c>
      <c r="H43">
        <v>477581</v>
      </c>
      <c r="J43">
        <f t="shared" si="0"/>
        <v>477581</v>
      </c>
      <c r="L43">
        <f t="shared" si="1"/>
        <v>213.20580357142856</v>
      </c>
    </row>
    <row r="44" spans="1:12" x14ac:dyDescent="0.25">
      <c r="A44">
        <v>1736</v>
      </c>
      <c r="B44" t="s">
        <v>17</v>
      </c>
      <c r="C44" t="s">
        <v>68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1736</v>
      </c>
      <c r="B45" t="s">
        <v>18</v>
      </c>
      <c r="C45" t="s">
        <v>68</v>
      </c>
      <c r="D45" t="s">
        <v>33</v>
      </c>
      <c r="H45">
        <v>2497081.5</v>
      </c>
      <c r="I45" t="s">
        <v>123</v>
      </c>
      <c r="J45">
        <f t="shared" si="0"/>
        <v>2497081.5</v>
      </c>
      <c r="L45">
        <f t="shared" si="1"/>
        <v>1114.7685267857144</v>
      </c>
    </row>
    <row r="46" spans="1:12" x14ac:dyDescent="0.25">
      <c r="A46">
        <v>1736</v>
      </c>
      <c r="B46" t="s">
        <v>26</v>
      </c>
      <c r="C46" t="s">
        <v>68</v>
      </c>
      <c r="D46" t="s">
        <v>33</v>
      </c>
      <c r="H46">
        <v>48090</v>
      </c>
      <c r="J46">
        <f t="shared" si="0"/>
        <v>48090</v>
      </c>
      <c r="L46">
        <f t="shared" si="1"/>
        <v>21.46875</v>
      </c>
    </row>
    <row r="47" spans="1:12" x14ac:dyDescent="0.25">
      <c r="A47">
        <v>1736</v>
      </c>
      <c r="B47" t="s">
        <v>84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19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45</v>
      </c>
      <c r="C49" t="s">
        <v>68</v>
      </c>
      <c r="D49" t="s">
        <v>33</v>
      </c>
      <c r="H49">
        <v>4403</v>
      </c>
      <c r="J49">
        <f t="shared" si="0"/>
        <v>4403</v>
      </c>
      <c r="L49">
        <f t="shared" si="1"/>
        <v>1.965625</v>
      </c>
    </row>
    <row r="50" spans="1:12" x14ac:dyDescent="0.25">
      <c r="A50">
        <v>1736</v>
      </c>
      <c r="B50" t="s">
        <v>85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1736</v>
      </c>
      <c r="B51" t="s">
        <v>54</v>
      </c>
      <c r="C51" t="s">
        <v>68</v>
      </c>
      <c r="D51" t="s">
        <v>33</v>
      </c>
      <c r="H51">
        <v>1590</v>
      </c>
      <c r="J51">
        <f t="shared" si="0"/>
        <v>1590</v>
      </c>
      <c r="L51">
        <f t="shared" si="1"/>
        <v>0.7098214285714286</v>
      </c>
    </row>
    <row r="52" spans="1:12" x14ac:dyDescent="0.25">
      <c r="A52">
        <v>1736</v>
      </c>
      <c r="B52" t="s">
        <v>95</v>
      </c>
      <c r="C52" t="s">
        <v>68</v>
      </c>
      <c r="D52" t="s">
        <v>33</v>
      </c>
      <c r="H52">
        <v>1242</v>
      </c>
      <c r="J52">
        <f t="shared" si="0"/>
        <v>1242</v>
      </c>
      <c r="L52">
        <f t="shared" si="1"/>
        <v>0.55446428571428574</v>
      </c>
    </row>
    <row r="53" spans="1:12" x14ac:dyDescent="0.25">
      <c r="A53">
        <v>1736</v>
      </c>
      <c r="B53" t="s">
        <v>20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1736</v>
      </c>
      <c r="B54" t="s">
        <v>21</v>
      </c>
      <c r="C54" t="s">
        <v>68</v>
      </c>
      <c r="D54" t="s">
        <v>33</v>
      </c>
      <c r="H54">
        <v>5540</v>
      </c>
      <c r="J54">
        <f t="shared" si="0"/>
        <v>5540</v>
      </c>
      <c r="L54">
        <f t="shared" si="1"/>
        <v>2.4732142857142856</v>
      </c>
    </row>
    <row r="55" spans="1:12" x14ac:dyDescent="0.25">
      <c r="A55">
        <v>1736</v>
      </c>
      <c r="B55" t="s">
        <v>90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105</v>
      </c>
      <c r="C56" t="s">
        <v>68</v>
      </c>
      <c r="D56" t="s">
        <v>33</v>
      </c>
      <c r="G56">
        <v>3</v>
      </c>
      <c r="J56">
        <f t="shared" si="0"/>
        <v>84</v>
      </c>
      <c r="L56">
        <f t="shared" si="1"/>
        <v>3.7499999999999999E-2</v>
      </c>
    </row>
    <row r="57" spans="1:12" x14ac:dyDescent="0.25">
      <c r="A57">
        <v>1736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61</v>
      </c>
      <c r="C58" t="s">
        <v>68</v>
      </c>
      <c r="D58" t="s">
        <v>33</v>
      </c>
      <c r="E58">
        <v>5</v>
      </c>
      <c r="J58">
        <f t="shared" si="0"/>
        <v>11200</v>
      </c>
      <c r="L58">
        <f t="shared" si="1"/>
        <v>5</v>
      </c>
    </row>
    <row r="59" spans="1:12" x14ac:dyDescent="0.25">
      <c r="A59">
        <v>1736</v>
      </c>
      <c r="B59" t="s">
        <v>125</v>
      </c>
      <c r="C59" t="s">
        <v>68</v>
      </c>
      <c r="D59" t="s">
        <v>33</v>
      </c>
      <c r="E59">
        <v>49</v>
      </c>
      <c r="F59">
        <v>1</v>
      </c>
      <c r="G59">
        <v>3</v>
      </c>
      <c r="H59">
        <v>7</v>
      </c>
      <c r="J59">
        <f t="shared" si="0"/>
        <v>109963</v>
      </c>
      <c r="L59">
        <f t="shared" si="1"/>
        <v>49.090625000000003</v>
      </c>
    </row>
    <row r="60" spans="1:12" x14ac:dyDescent="0.25">
      <c r="A60">
        <v>1736</v>
      </c>
      <c r="B60" t="s">
        <v>87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62</v>
      </c>
      <c r="C61" t="s">
        <v>68</v>
      </c>
      <c r="D61" t="s">
        <v>33</v>
      </c>
      <c r="E61">
        <v>20</v>
      </c>
      <c r="F61">
        <v>12</v>
      </c>
      <c r="G61">
        <v>2</v>
      </c>
      <c r="H61">
        <v>11</v>
      </c>
      <c r="J61">
        <f t="shared" si="0"/>
        <v>46211</v>
      </c>
      <c r="L61">
        <f t="shared" si="1"/>
        <v>20.629910714285714</v>
      </c>
    </row>
    <row r="62" spans="1:12" x14ac:dyDescent="0.25">
      <c r="A62">
        <v>1736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1736</v>
      </c>
      <c r="B63" t="s">
        <v>63</v>
      </c>
      <c r="C63" t="s">
        <v>68</v>
      </c>
      <c r="D63" t="s">
        <v>33</v>
      </c>
      <c r="E63">
        <v>550</v>
      </c>
      <c r="F63">
        <v>19</v>
      </c>
      <c r="G63">
        <v>1</v>
      </c>
      <c r="H63">
        <v>20</v>
      </c>
      <c r="J63">
        <f t="shared" si="0"/>
        <v>1234176</v>
      </c>
      <c r="L63">
        <f t="shared" si="1"/>
        <v>550.97142857142853</v>
      </c>
    </row>
    <row r="64" spans="1:12" x14ac:dyDescent="0.25">
      <c r="A64">
        <v>1736</v>
      </c>
      <c r="B64" t="s">
        <v>89</v>
      </c>
      <c r="C64" t="s">
        <v>68</v>
      </c>
      <c r="D64" t="s">
        <v>33</v>
      </c>
      <c r="E64">
        <v>662</v>
      </c>
      <c r="F64">
        <v>3</v>
      </c>
      <c r="H64">
        <v>10300</v>
      </c>
      <c r="J64">
        <f t="shared" si="0"/>
        <v>1493516</v>
      </c>
      <c r="L64">
        <f t="shared" si="1"/>
        <v>666.74821428571431</v>
      </c>
    </row>
    <row r="65" spans="1:12" x14ac:dyDescent="0.25">
      <c r="A65">
        <v>1736</v>
      </c>
      <c r="B65" t="s">
        <v>70</v>
      </c>
      <c r="C65" t="s">
        <v>68</v>
      </c>
      <c r="D65" t="s">
        <v>33</v>
      </c>
      <c r="E65">
        <v>72</v>
      </c>
      <c r="F65">
        <v>5</v>
      </c>
      <c r="J65">
        <f t="shared" si="0"/>
        <v>161840</v>
      </c>
      <c r="L65">
        <f t="shared" si="1"/>
        <v>72.25</v>
      </c>
    </row>
    <row r="66" spans="1:12" x14ac:dyDescent="0.25">
      <c r="A66">
        <v>1736</v>
      </c>
      <c r="B66" t="s">
        <v>64</v>
      </c>
      <c r="C66" t="s">
        <v>68</v>
      </c>
      <c r="D66" t="s">
        <v>33</v>
      </c>
      <c r="E66">
        <v>1</v>
      </c>
      <c r="J66">
        <f t="shared" si="0"/>
        <v>2240</v>
      </c>
      <c r="L66">
        <f t="shared" si="1"/>
        <v>1</v>
      </c>
    </row>
    <row r="67" spans="1:12" x14ac:dyDescent="0.25">
      <c r="A67">
        <v>1736</v>
      </c>
      <c r="B67" t="s">
        <v>65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55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1736</v>
      </c>
      <c r="B69" t="s">
        <v>57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1736</v>
      </c>
      <c r="B70" t="s">
        <v>36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1736</v>
      </c>
      <c r="B71" t="s">
        <v>4</v>
      </c>
      <c r="C71" t="s">
        <v>68</v>
      </c>
      <c r="D71" t="s">
        <v>35</v>
      </c>
      <c r="H71">
        <v>5</v>
      </c>
      <c r="J71">
        <f t="shared" ref="J71:J132" si="2">(E71*2240)+(F71*112)+(G71*28)+H71</f>
        <v>5</v>
      </c>
      <c r="L71">
        <f t="shared" ref="L71:L132" si="3">J71/2240</f>
        <v>2.232142857142857E-3</v>
      </c>
    </row>
    <row r="72" spans="1:12" x14ac:dyDescent="0.25">
      <c r="A72">
        <v>1736</v>
      </c>
      <c r="B72" t="s">
        <v>58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69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101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1736</v>
      </c>
      <c r="B75" t="s">
        <v>43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1736</v>
      </c>
      <c r="B76" t="s">
        <v>76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1736</v>
      </c>
      <c r="B77" t="s">
        <v>5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59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6</v>
      </c>
      <c r="C79" t="s">
        <v>68</v>
      </c>
      <c r="D79" t="s">
        <v>35</v>
      </c>
      <c r="F79">
        <v>124919</v>
      </c>
      <c r="G79">
        <v>2</v>
      </c>
      <c r="H79">
        <v>11</v>
      </c>
      <c r="J79">
        <f t="shared" si="2"/>
        <v>13990995</v>
      </c>
      <c r="L79">
        <f t="shared" si="3"/>
        <v>6245.9799107142853</v>
      </c>
    </row>
    <row r="80" spans="1:12" x14ac:dyDescent="0.25">
      <c r="A80">
        <v>1736</v>
      </c>
      <c r="B80" t="s">
        <v>60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38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37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8</v>
      </c>
      <c r="C83" t="s">
        <v>68</v>
      </c>
      <c r="D83" t="s">
        <v>35</v>
      </c>
      <c r="F83">
        <v>27</v>
      </c>
      <c r="G83">
        <v>3</v>
      </c>
      <c r="H83">
        <v>17</v>
      </c>
      <c r="J83">
        <f t="shared" si="2"/>
        <v>3125</v>
      </c>
      <c r="L83">
        <f t="shared" si="3"/>
        <v>1.3950892857142858</v>
      </c>
    </row>
    <row r="84" spans="1:12" x14ac:dyDescent="0.25">
      <c r="A84">
        <v>1736</v>
      </c>
      <c r="B84" t="s">
        <v>40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1736</v>
      </c>
      <c r="B85" t="s">
        <v>77</v>
      </c>
      <c r="C85" t="s">
        <v>68</v>
      </c>
      <c r="D85" t="s">
        <v>35</v>
      </c>
      <c r="F85">
        <v>75</v>
      </c>
      <c r="G85">
        <v>1</v>
      </c>
      <c r="H85">
        <v>11</v>
      </c>
      <c r="J85">
        <f t="shared" si="2"/>
        <v>8439</v>
      </c>
      <c r="L85">
        <f t="shared" si="3"/>
        <v>3.7674107142857145</v>
      </c>
    </row>
    <row r="86" spans="1:12" x14ac:dyDescent="0.25">
      <c r="A86">
        <v>1736</v>
      </c>
      <c r="B86" t="s">
        <v>78</v>
      </c>
      <c r="C86" t="s">
        <v>68</v>
      </c>
      <c r="D86" t="s">
        <v>35</v>
      </c>
      <c r="H86">
        <v>117</v>
      </c>
      <c r="J86">
        <f t="shared" si="2"/>
        <v>117</v>
      </c>
      <c r="L86">
        <f t="shared" si="3"/>
        <v>5.2232142857142859E-2</v>
      </c>
    </row>
    <row r="87" spans="1:12" x14ac:dyDescent="0.25">
      <c r="A87">
        <v>1736</v>
      </c>
      <c r="B87" t="s">
        <v>46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1736</v>
      </c>
      <c r="B88" t="s">
        <v>9</v>
      </c>
      <c r="C88" t="s">
        <v>68</v>
      </c>
      <c r="D88" t="s">
        <v>35</v>
      </c>
      <c r="H88">
        <f>606*200+144</f>
        <v>121344</v>
      </c>
      <c r="I88" t="s">
        <v>156</v>
      </c>
      <c r="J88">
        <f t="shared" si="2"/>
        <v>121344</v>
      </c>
      <c r="L88">
        <f t="shared" si="3"/>
        <v>54.171428571428571</v>
      </c>
    </row>
    <row r="89" spans="1:12" x14ac:dyDescent="0.25">
      <c r="A89">
        <v>1736</v>
      </c>
      <c r="B89" t="s">
        <v>10</v>
      </c>
      <c r="C89" t="s">
        <v>68</v>
      </c>
      <c r="D89" t="s">
        <v>35</v>
      </c>
      <c r="F89">
        <v>10934</v>
      </c>
      <c r="G89">
        <v>2</v>
      </c>
      <c r="H89">
        <v>4</v>
      </c>
      <c r="J89">
        <f t="shared" si="2"/>
        <v>1224668</v>
      </c>
      <c r="L89">
        <f t="shared" si="3"/>
        <v>546.72678571428571</v>
      </c>
    </row>
    <row r="90" spans="1:12" x14ac:dyDescent="0.25">
      <c r="A90">
        <v>1736</v>
      </c>
      <c r="B90" t="s">
        <v>11</v>
      </c>
      <c r="C90" t="s">
        <v>68</v>
      </c>
      <c r="D90" t="s">
        <v>35</v>
      </c>
      <c r="F90">
        <v>129</v>
      </c>
      <c r="G90">
        <v>3</v>
      </c>
      <c r="H90">
        <v>2</v>
      </c>
      <c r="J90">
        <f t="shared" si="2"/>
        <v>14534</v>
      </c>
      <c r="L90">
        <f t="shared" si="3"/>
        <v>6.4883928571428573</v>
      </c>
    </row>
    <row r="91" spans="1:12" x14ac:dyDescent="0.25">
      <c r="A91">
        <v>1736</v>
      </c>
      <c r="B91" t="s">
        <v>39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79</v>
      </c>
      <c r="C92" t="s">
        <v>68</v>
      </c>
      <c r="D92" t="s">
        <v>35</v>
      </c>
      <c r="H92">
        <v>11924</v>
      </c>
      <c r="J92">
        <f t="shared" si="2"/>
        <v>11924</v>
      </c>
      <c r="L92">
        <f t="shared" si="3"/>
        <v>5.3232142857142861</v>
      </c>
    </row>
    <row r="93" spans="1:12" x14ac:dyDescent="0.25">
      <c r="A93">
        <v>1736</v>
      </c>
      <c r="B93" t="s">
        <v>103</v>
      </c>
      <c r="C93" t="s">
        <v>68</v>
      </c>
      <c r="D93" t="s">
        <v>35</v>
      </c>
      <c r="H93">
        <v>225</v>
      </c>
      <c r="J93">
        <f t="shared" si="2"/>
        <v>225</v>
      </c>
      <c r="L93">
        <f t="shared" si="3"/>
        <v>0.10044642857142858</v>
      </c>
    </row>
    <row r="94" spans="1:12" x14ac:dyDescent="0.25">
      <c r="A94">
        <v>1736</v>
      </c>
      <c r="B94" t="s">
        <v>44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97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1736</v>
      </c>
      <c r="B96" t="s">
        <v>12</v>
      </c>
      <c r="C96" t="s">
        <v>68</v>
      </c>
      <c r="D96" t="s">
        <v>35</v>
      </c>
      <c r="H96">
        <f>150+6259</f>
        <v>6409</v>
      </c>
      <c r="J96">
        <f t="shared" si="2"/>
        <v>6409</v>
      </c>
      <c r="L96">
        <f t="shared" si="3"/>
        <v>2.8611607142857145</v>
      </c>
    </row>
    <row r="97" spans="1:12" x14ac:dyDescent="0.25">
      <c r="A97">
        <v>1736</v>
      </c>
      <c r="B97" t="s">
        <v>82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1736</v>
      </c>
      <c r="B98" t="s">
        <v>34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1736</v>
      </c>
      <c r="B99" t="s">
        <v>13</v>
      </c>
      <c r="C99" t="s">
        <v>68</v>
      </c>
      <c r="D99" t="s">
        <v>35</v>
      </c>
      <c r="E99">
        <v>47</v>
      </c>
      <c r="F99">
        <v>7</v>
      </c>
      <c r="G99">
        <v>1</v>
      </c>
      <c r="H99">
        <v>26</v>
      </c>
      <c r="J99">
        <f t="shared" si="2"/>
        <v>106118</v>
      </c>
      <c r="L99">
        <f t="shared" si="3"/>
        <v>47.374107142857142</v>
      </c>
    </row>
    <row r="100" spans="1:12" x14ac:dyDescent="0.25">
      <c r="A100">
        <v>1736</v>
      </c>
      <c r="B100" t="s">
        <v>14</v>
      </c>
      <c r="C100" t="s">
        <v>68</v>
      </c>
      <c r="D100" t="s">
        <v>35</v>
      </c>
      <c r="H100">
        <v>4231</v>
      </c>
      <c r="I100" t="s">
        <v>152</v>
      </c>
      <c r="J100">
        <f t="shared" si="2"/>
        <v>4231</v>
      </c>
      <c r="L100">
        <f t="shared" si="3"/>
        <v>1.8888392857142857</v>
      </c>
    </row>
    <row r="101" spans="1:12" x14ac:dyDescent="0.25">
      <c r="A101">
        <v>1736</v>
      </c>
      <c r="B101" t="s">
        <v>23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27</v>
      </c>
      <c r="C102" t="s">
        <v>68</v>
      </c>
      <c r="D102" t="s">
        <v>35</v>
      </c>
      <c r="H102">
        <v>14033.5</v>
      </c>
      <c r="I102" t="s">
        <v>155</v>
      </c>
      <c r="J102">
        <f t="shared" si="2"/>
        <v>14033.5</v>
      </c>
      <c r="L102">
        <f t="shared" si="3"/>
        <v>6.2649553571428571</v>
      </c>
    </row>
    <row r="103" spans="1:12" x14ac:dyDescent="0.25">
      <c r="A103">
        <v>1736</v>
      </c>
      <c r="B103" t="s">
        <v>15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93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1736</v>
      </c>
      <c r="B105" t="s">
        <v>42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1736</v>
      </c>
      <c r="B106" t="s">
        <v>83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1736</v>
      </c>
      <c r="B107" t="s">
        <v>47</v>
      </c>
      <c r="C107" t="s">
        <v>68</v>
      </c>
      <c r="D107" t="s">
        <v>35</v>
      </c>
      <c r="H107">
        <v>167.5</v>
      </c>
      <c r="I107" t="s">
        <v>153</v>
      </c>
      <c r="J107">
        <f t="shared" si="2"/>
        <v>167.5</v>
      </c>
      <c r="L107">
        <f t="shared" si="3"/>
        <v>7.4776785714285712E-2</v>
      </c>
    </row>
    <row r="108" spans="1:12" x14ac:dyDescent="0.25">
      <c r="A108">
        <v>1736</v>
      </c>
      <c r="B108" t="s">
        <v>16</v>
      </c>
      <c r="C108" t="s">
        <v>68</v>
      </c>
      <c r="D108" t="s">
        <v>35</v>
      </c>
      <c r="H108">
        <v>469744</v>
      </c>
      <c r="J108">
        <f t="shared" si="2"/>
        <v>469744</v>
      </c>
      <c r="L108">
        <f t="shared" si="3"/>
        <v>209.70714285714286</v>
      </c>
    </row>
    <row r="109" spans="1:12" x14ac:dyDescent="0.25">
      <c r="A109">
        <v>1736</v>
      </c>
      <c r="B109" t="s">
        <v>17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1736</v>
      </c>
      <c r="B110" t="s">
        <v>18</v>
      </c>
      <c r="C110" t="s">
        <v>68</v>
      </c>
      <c r="D110" t="s">
        <v>35</v>
      </c>
      <c r="H110">
        <v>358222</v>
      </c>
      <c r="I110" t="s">
        <v>154</v>
      </c>
      <c r="J110">
        <f t="shared" si="2"/>
        <v>358222</v>
      </c>
      <c r="L110">
        <f t="shared" si="3"/>
        <v>159.92053571428571</v>
      </c>
    </row>
    <row r="111" spans="1:12" x14ac:dyDescent="0.25">
      <c r="A111">
        <v>1736</v>
      </c>
      <c r="B111" t="s">
        <v>26</v>
      </c>
      <c r="C111" t="s">
        <v>68</v>
      </c>
      <c r="D111" t="s">
        <v>35</v>
      </c>
      <c r="H111">
        <v>1146</v>
      </c>
      <c r="J111">
        <f t="shared" si="2"/>
        <v>1146</v>
      </c>
      <c r="L111">
        <f t="shared" si="3"/>
        <v>0.51160714285714282</v>
      </c>
    </row>
    <row r="112" spans="1:12" x14ac:dyDescent="0.25">
      <c r="A112">
        <v>1736</v>
      </c>
      <c r="B112" t="s">
        <v>84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1736</v>
      </c>
      <c r="B113" t="s">
        <v>19</v>
      </c>
      <c r="C113" t="s">
        <v>68</v>
      </c>
      <c r="D113" t="s">
        <v>35</v>
      </c>
      <c r="F113">
        <v>32</v>
      </c>
      <c r="G113">
        <v>1</v>
      </c>
      <c r="H113">
        <v>27</v>
      </c>
      <c r="J113">
        <f t="shared" si="2"/>
        <v>3639</v>
      </c>
      <c r="L113">
        <f t="shared" si="3"/>
        <v>1.6245535714285715</v>
      </c>
    </row>
    <row r="114" spans="1:12" x14ac:dyDescent="0.25">
      <c r="A114">
        <v>1736</v>
      </c>
      <c r="B114" t="s">
        <v>45</v>
      </c>
      <c r="C114" t="s">
        <v>68</v>
      </c>
      <c r="D114" t="s">
        <v>35</v>
      </c>
      <c r="H114">
        <v>23</v>
      </c>
      <c r="J114">
        <f t="shared" si="2"/>
        <v>23</v>
      </c>
      <c r="L114">
        <f t="shared" si="3"/>
        <v>1.0267857142857143E-2</v>
      </c>
    </row>
    <row r="115" spans="1:12" x14ac:dyDescent="0.25">
      <c r="A115">
        <v>1736</v>
      </c>
      <c r="B115" t="s">
        <v>85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54</v>
      </c>
      <c r="C116" t="s">
        <v>68</v>
      </c>
      <c r="D116" t="s">
        <v>35</v>
      </c>
      <c r="H116">
        <v>148</v>
      </c>
      <c r="J116">
        <f t="shared" si="2"/>
        <v>148</v>
      </c>
      <c r="L116">
        <f t="shared" si="3"/>
        <v>6.6071428571428573E-2</v>
      </c>
    </row>
    <row r="117" spans="1:12" x14ac:dyDescent="0.25">
      <c r="A117">
        <v>1736</v>
      </c>
      <c r="B117" t="s">
        <v>95</v>
      </c>
      <c r="C117" t="s">
        <v>68</v>
      </c>
      <c r="D117" t="s">
        <v>35</v>
      </c>
      <c r="H117">
        <v>188</v>
      </c>
      <c r="J117">
        <f t="shared" si="2"/>
        <v>188</v>
      </c>
      <c r="L117">
        <f t="shared" si="3"/>
        <v>8.3928571428571422E-2</v>
      </c>
    </row>
    <row r="118" spans="1:12" x14ac:dyDescent="0.25">
      <c r="A118">
        <v>1736</v>
      </c>
      <c r="B118" t="s">
        <v>20</v>
      </c>
      <c r="C118" t="s">
        <v>68</v>
      </c>
      <c r="D118" t="s">
        <v>35</v>
      </c>
      <c r="H118">
        <v>4000</v>
      </c>
      <c r="J118">
        <f t="shared" si="2"/>
        <v>4000</v>
      </c>
      <c r="L118">
        <f t="shared" si="3"/>
        <v>1.7857142857142858</v>
      </c>
    </row>
    <row r="119" spans="1:12" x14ac:dyDescent="0.25">
      <c r="A119">
        <v>1736</v>
      </c>
      <c r="B119" t="s">
        <v>21</v>
      </c>
      <c r="C119" t="s">
        <v>68</v>
      </c>
      <c r="D119" t="s">
        <v>35</v>
      </c>
      <c r="H119">
        <v>416</v>
      </c>
      <c r="J119">
        <f t="shared" si="2"/>
        <v>416</v>
      </c>
      <c r="L119">
        <f t="shared" si="3"/>
        <v>0.18571428571428572</v>
      </c>
    </row>
    <row r="120" spans="1:12" x14ac:dyDescent="0.25">
      <c r="A120">
        <v>1736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1736</v>
      </c>
      <c r="B121" t="s">
        <v>22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1736</v>
      </c>
      <c r="B122" t="s">
        <v>61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1736</v>
      </c>
      <c r="B123" t="s">
        <v>91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1736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87</v>
      </c>
      <c r="C125" t="s">
        <v>68</v>
      </c>
      <c r="D125" t="s">
        <v>35</v>
      </c>
      <c r="E125">
        <v>43</v>
      </c>
      <c r="F125">
        <v>1</v>
      </c>
      <c r="G125">
        <v>2</v>
      </c>
      <c r="H125">
        <v>1</v>
      </c>
      <c r="J125">
        <f t="shared" si="2"/>
        <v>96489</v>
      </c>
      <c r="L125">
        <f t="shared" si="3"/>
        <v>43.075446428571432</v>
      </c>
    </row>
    <row r="126" spans="1:12" x14ac:dyDescent="0.25">
      <c r="A126">
        <v>1736</v>
      </c>
      <c r="B126" t="s">
        <v>62</v>
      </c>
      <c r="C126" t="s">
        <v>68</v>
      </c>
      <c r="D126" t="s">
        <v>35</v>
      </c>
      <c r="E126">
        <v>49</v>
      </c>
      <c r="F126">
        <v>1</v>
      </c>
      <c r="G126">
        <v>3</v>
      </c>
      <c r="H126">
        <v>23</v>
      </c>
      <c r="J126">
        <f t="shared" si="2"/>
        <v>109979</v>
      </c>
      <c r="L126">
        <f t="shared" si="3"/>
        <v>49.097767857142856</v>
      </c>
    </row>
    <row r="127" spans="1:12" x14ac:dyDescent="0.25">
      <c r="A127">
        <v>1736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1736</v>
      </c>
      <c r="B128" t="s">
        <v>63</v>
      </c>
      <c r="C128" t="s">
        <v>68</v>
      </c>
      <c r="D128" t="s">
        <v>35</v>
      </c>
      <c r="E128">
        <v>358</v>
      </c>
      <c r="F128">
        <v>11</v>
      </c>
      <c r="H128">
        <v>24</v>
      </c>
      <c r="J128">
        <f t="shared" si="2"/>
        <v>803176</v>
      </c>
      <c r="L128">
        <f t="shared" si="3"/>
        <v>358.56071428571431</v>
      </c>
    </row>
    <row r="129" spans="1:12" x14ac:dyDescent="0.25">
      <c r="A129">
        <v>1736</v>
      </c>
      <c r="B129" t="s">
        <v>89</v>
      </c>
      <c r="C129" t="s">
        <v>68</v>
      </c>
      <c r="D129" t="s">
        <v>35</v>
      </c>
      <c r="E129">
        <v>155</v>
      </c>
      <c r="F129">
        <v>2</v>
      </c>
      <c r="H129">
        <v>18</v>
      </c>
      <c r="J129">
        <f t="shared" si="2"/>
        <v>347442</v>
      </c>
      <c r="L129">
        <f t="shared" si="3"/>
        <v>155.10803571428571</v>
      </c>
    </row>
    <row r="130" spans="1:12" x14ac:dyDescent="0.25">
      <c r="A130">
        <v>1736</v>
      </c>
      <c r="B130" t="s">
        <v>70</v>
      </c>
      <c r="C130" t="s">
        <v>68</v>
      </c>
      <c r="D130" t="s">
        <v>35</v>
      </c>
      <c r="E130">
        <v>3</v>
      </c>
      <c r="J130">
        <f t="shared" si="2"/>
        <v>6720</v>
      </c>
      <c r="L130">
        <f t="shared" si="3"/>
        <v>3</v>
      </c>
    </row>
    <row r="131" spans="1:12" x14ac:dyDescent="0.25">
      <c r="A131">
        <v>1736</v>
      </c>
      <c r="B131" t="s">
        <v>64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1736</v>
      </c>
      <c r="B132" t="s">
        <v>65</v>
      </c>
      <c r="C132" t="s">
        <v>68</v>
      </c>
      <c r="D132" t="s">
        <v>35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7"/>
  <sheetViews>
    <sheetView topLeftCell="A115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1736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1736</v>
      </c>
      <c r="B3" t="s">
        <v>57</v>
      </c>
      <c r="C3" t="s">
        <v>72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1736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1736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1736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1736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1736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1736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1736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1736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1736</v>
      </c>
      <c r="B12" t="s">
        <v>6</v>
      </c>
      <c r="C12" t="s">
        <v>72</v>
      </c>
      <c r="D12" t="s">
        <v>33</v>
      </c>
      <c r="F12">
        <v>40267</v>
      </c>
      <c r="H12">
        <v>26</v>
      </c>
      <c r="J12">
        <f t="shared" si="0"/>
        <v>4509930</v>
      </c>
      <c r="L12">
        <f t="shared" si="1"/>
        <v>2013.3616071428571</v>
      </c>
    </row>
    <row r="13" spans="1:15" x14ac:dyDescent="0.25">
      <c r="A13">
        <v>1736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1736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1736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1736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77</v>
      </c>
      <c r="C19" t="s">
        <v>72</v>
      </c>
      <c r="D19" t="s">
        <v>33</v>
      </c>
      <c r="F19">
        <v>2</v>
      </c>
      <c r="G19">
        <v>1</v>
      </c>
      <c r="H19">
        <v>1</v>
      </c>
      <c r="J19">
        <f t="shared" si="0"/>
        <v>253</v>
      </c>
      <c r="L19">
        <f t="shared" si="1"/>
        <v>0.11294642857142857</v>
      </c>
    </row>
    <row r="20" spans="1:12" x14ac:dyDescent="0.25">
      <c r="A20">
        <v>1736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1736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9</v>
      </c>
      <c r="C22" t="s">
        <v>72</v>
      </c>
      <c r="D22" t="s">
        <v>33</v>
      </c>
      <c r="H22">
        <f>125*170+172</f>
        <v>21422</v>
      </c>
      <c r="I22" t="s">
        <v>131</v>
      </c>
      <c r="J22">
        <f t="shared" si="0"/>
        <v>21422</v>
      </c>
      <c r="L22">
        <f t="shared" si="1"/>
        <v>9.5633928571428566</v>
      </c>
    </row>
    <row r="23" spans="1:12" x14ac:dyDescent="0.25">
      <c r="A23">
        <v>1736</v>
      </c>
      <c r="B23" t="s">
        <v>10</v>
      </c>
      <c r="C23" t="s">
        <v>72</v>
      </c>
      <c r="D23" t="s">
        <v>33</v>
      </c>
      <c r="H23">
        <v>21</v>
      </c>
      <c r="J23">
        <f t="shared" si="0"/>
        <v>21</v>
      </c>
      <c r="L23">
        <f t="shared" si="1"/>
        <v>9.3749999999999997E-3</v>
      </c>
    </row>
    <row r="24" spans="1:12" x14ac:dyDescent="0.25">
      <c r="A24">
        <v>1736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1736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1736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1736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1736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12</v>
      </c>
      <c r="C30" t="s">
        <v>72</v>
      </c>
      <c r="D30" t="s">
        <v>33</v>
      </c>
      <c r="H30">
        <v>360</v>
      </c>
      <c r="J30">
        <f t="shared" si="0"/>
        <v>360</v>
      </c>
      <c r="L30">
        <f t="shared" si="1"/>
        <v>0.16071428571428573</v>
      </c>
    </row>
    <row r="31" spans="1:12" x14ac:dyDescent="0.25">
      <c r="A31">
        <v>1736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1736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14</v>
      </c>
      <c r="C34" t="s">
        <v>72</v>
      </c>
      <c r="D34" t="s">
        <v>33</v>
      </c>
      <c r="H34">
        <v>2000.5</v>
      </c>
      <c r="I34" t="s">
        <v>127</v>
      </c>
      <c r="J34">
        <f t="shared" si="0"/>
        <v>2000.5</v>
      </c>
      <c r="L34">
        <f t="shared" si="1"/>
        <v>0.89308035714285716</v>
      </c>
    </row>
    <row r="35" spans="1:12" x14ac:dyDescent="0.25">
      <c r="A35">
        <v>1736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1736</v>
      </c>
      <c r="B36" t="s">
        <v>27</v>
      </c>
      <c r="C36" t="s">
        <v>72</v>
      </c>
      <c r="D36" t="s">
        <v>33</v>
      </c>
      <c r="H36">
        <v>16074</v>
      </c>
      <c r="I36" t="s">
        <v>130</v>
      </c>
      <c r="J36">
        <f t="shared" si="0"/>
        <v>16074</v>
      </c>
      <c r="L36">
        <f t="shared" si="1"/>
        <v>7.1758928571428573</v>
      </c>
    </row>
    <row r="37" spans="1:12" x14ac:dyDescent="0.25">
      <c r="A37">
        <v>1736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1736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1736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47</v>
      </c>
      <c r="C40" t="s">
        <v>72</v>
      </c>
      <c r="D40" t="s">
        <v>33</v>
      </c>
      <c r="H40">
        <v>120</v>
      </c>
      <c r="I40" t="s">
        <v>128</v>
      </c>
      <c r="J40">
        <f t="shared" si="0"/>
        <v>120</v>
      </c>
      <c r="L40">
        <f t="shared" si="1"/>
        <v>5.3571428571428568E-2</v>
      </c>
    </row>
    <row r="41" spans="1:12" x14ac:dyDescent="0.25">
      <c r="A41">
        <v>1736</v>
      </c>
      <c r="B41" t="s">
        <v>16</v>
      </c>
      <c r="C41" t="s">
        <v>72</v>
      </c>
      <c r="D41" t="s">
        <v>33</v>
      </c>
      <c r="H41">
        <v>731</v>
      </c>
      <c r="J41">
        <f t="shared" si="0"/>
        <v>731</v>
      </c>
      <c r="L41">
        <f t="shared" si="1"/>
        <v>0.32633928571428572</v>
      </c>
    </row>
    <row r="42" spans="1:12" x14ac:dyDescent="0.25">
      <c r="A42">
        <v>1736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1736</v>
      </c>
      <c r="B43" t="s">
        <v>18</v>
      </c>
      <c r="C43" t="s">
        <v>72</v>
      </c>
      <c r="D43" t="s">
        <v>33</v>
      </c>
      <c r="H43">
        <v>50503</v>
      </c>
      <c r="I43" t="s">
        <v>129</v>
      </c>
      <c r="J43">
        <f t="shared" si="0"/>
        <v>50503</v>
      </c>
      <c r="L43">
        <f t="shared" si="1"/>
        <v>22.545982142857142</v>
      </c>
    </row>
    <row r="44" spans="1:12" x14ac:dyDescent="0.25">
      <c r="A44">
        <v>1736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1736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1736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54</v>
      </c>
      <c r="C49" t="s">
        <v>72</v>
      </c>
      <c r="D49" t="s">
        <v>33</v>
      </c>
      <c r="H49">
        <v>78</v>
      </c>
      <c r="J49">
        <f t="shared" si="0"/>
        <v>78</v>
      </c>
      <c r="L49">
        <f t="shared" si="1"/>
        <v>3.4821428571428573E-2</v>
      </c>
    </row>
    <row r="50" spans="1:12" x14ac:dyDescent="0.25">
      <c r="A50">
        <v>1736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1736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1736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1736</v>
      </c>
      <c r="B53" t="s">
        <v>105</v>
      </c>
      <c r="C53" t="s">
        <v>72</v>
      </c>
      <c r="D53" t="s">
        <v>33</v>
      </c>
      <c r="F53">
        <v>1</v>
      </c>
      <c r="G53">
        <v>1</v>
      </c>
      <c r="H53">
        <v>7</v>
      </c>
      <c r="J53">
        <f t="shared" si="0"/>
        <v>147</v>
      </c>
      <c r="L53">
        <f t="shared" si="1"/>
        <v>6.5625000000000003E-2</v>
      </c>
    </row>
    <row r="54" spans="1:12" x14ac:dyDescent="0.25">
      <c r="A54">
        <v>1736</v>
      </c>
      <c r="B54" t="s">
        <v>22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1736</v>
      </c>
      <c r="B55" t="s">
        <v>61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99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1736</v>
      </c>
      <c r="B57" t="s">
        <v>87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62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1736</v>
      </c>
      <c r="B59" t="s">
        <v>88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1736</v>
      </c>
      <c r="B60" t="s">
        <v>63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89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1736</v>
      </c>
      <c r="B62" t="s">
        <v>70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1736</v>
      </c>
      <c r="B63" t="s">
        <v>64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65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55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57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36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4</v>
      </c>
      <c r="C68" t="s">
        <v>72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1736</v>
      </c>
      <c r="B69" t="s">
        <v>58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1736</v>
      </c>
      <c r="B70" t="s">
        <v>69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1736</v>
      </c>
      <c r="B71" t="s">
        <v>43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76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5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59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1736</v>
      </c>
      <c r="B75" t="s">
        <v>6</v>
      </c>
      <c r="C75" t="s">
        <v>72</v>
      </c>
      <c r="D75" t="s">
        <v>35</v>
      </c>
      <c r="F75">
        <v>7919</v>
      </c>
      <c r="H75">
        <v>16</v>
      </c>
      <c r="J75">
        <f t="shared" si="2"/>
        <v>886944</v>
      </c>
      <c r="L75">
        <f t="shared" si="3"/>
        <v>395.95714285714286</v>
      </c>
    </row>
    <row r="76" spans="1:12" x14ac:dyDescent="0.25">
      <c r="A76">
        <v>1736</v>
      </c>
      <c r="B76" t="s">
        <v>60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1736</v>
      </c>
      <c r="B77" t="s">
        <v>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37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8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1736</v>
      </c>
      <c r="B80" t="s">
        <v>40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77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78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46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1736</v>
      </c>
      <c r="B84" t="s">
        <v>9</v>
      </c>
      <c r="C84" t="s">
        <v>72</v>
      </c>
      <c r="D84" t="s">
        <v>35</v>
      </c>
      <c r="H84">
        <f>368*200+150</f>
        <v>73750</v>
      </c>
      <c r="I84" t="s">
        <v>159</v>
      </c>
      <c r="J84">
        <f t="shared" si="2"/>
        <v>73750</v>
      </c>
      <c r="L84">
        <f t="shared" si="3"/>
        <v>32.924107142857146</v>
      </c>
    </row>
    <row r="85" spans="1:12" x14ac:dyDescent="0.25">
      <c r="A85">
        <v>1736</v>
      </c>
      <c r="B85" t="s">
        <v>10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1736</v>
      </c>
      <c r="B86" t="s">
        <v>11</v>
      </c>
      <c r="C86" t="s">
        <v>72</v>
      </c>
      <c r="D86" t="s">
        <v>35</v>
      </c>
      <c r="F86">
        <v>36</v>
      </c>
      <c r="H86">
        <v>18</v>
      </c>
      <c r="J86">
        <f t="shared" si="2"/>
        <v>4050</v>
      </c>
      <c r="L86">
        <f t="shared" si="3"/>
        <v>1.8080357142857142</v>
      </c>
    </row>
    <row r="87" spans="1:12" x14ac:dyDescent="0.25">
      <c r="A87">
        <v>1736</v>
      </c>
      <c r="B87" t="s">
        <v>39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1736</v>
      </c>
      <c r="B88" t="s">
        <v>79</v>
      </c>
      <c r="C88" t="s">
        <v>72</v>
      </c>
      <c r="D88" t="s">
        <v>35</v>
      </c>
      <c r="H88">
        <v>5374</v>
      </c>
      <c r="J88">
        <f t="shared" si="2"/>
        <v>5374</v>
      </c>
      <c r="L88">
        <f t="shared" si="3"/>
        <v>2.3991071428571429</v>
      </c>
    </row>
    <row r="89" spans="1:12" x14ac:dyDescent="0.25">
      <c r="A89">
        <v>1736</v>
      </c>
      <c r="B89" t="s">
        <v>103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1736</v>
      </c>
      <c r="B90" t="s">
        <v>44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97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12</v>
      </c>
      <c r="C92" t="s">
        <v>72</v>
      </c>
      <c r="D92" t="s">
        <v>35</v>
      </c>
      <c r="H92">
        <v>279</v>
      </c>
      <c r="J92">
        <f t="shared" si="2"/>
        <v>279</v>
      </c>
      <c r="L92">
        <f t="shared" si="3"/>
        <v>0.12455357142857143</v>
      </c>
    </row>
    <row r="93" spans="1:12" x14ac:dyDescent="0.25">
      <c r="A93">
        <v>1736</v>
      </c>
      <c r="B93" t="s">
        <v>82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1736</v>
      </c>
      <c r="B94" t="s">
        <v>34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13</v>
      </c>
      <c r="C95" t="s">
        <v>72</v>
      </c>
      <c r="D95" t="s">
        <v>35</v>
      </c>
      <c r="E95">
        <v>6</v>
      </c>
      <c r="F95">
        <v>18</v>
      </c>
      <c r="G95">
        <v>2</v>
      </c>
      <c r="H95">
        <v>17</v>
      </c>
      <c r="J95">
        <f t="shared" si="2"/>
        <v>15529</v>
      </c>
      <c r="L95">
        <f t="shared" si="3"/>
        <v>6.9325892857142861</v>
      </c>
    </row>
    <row r="96" spans="1:12" x14ac:dyDescent="0.25">
      <c r="A96">
        <v>1736</v>
      </c>
      <c r="B96" t="s">
        <v>14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1736</v>
      </c>
      <c r="B97" t="s">
        <v>23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1736</v>
      </c>
      <c r="B98" t="s">
        <v>27</v>
      </c>
      <c r="C98" t="s">
        <v>72</v>
      </c>
      <c r="D98" t="s">
        <v>35</v>
      </c>
      <c r="H98">
        <v>3201</v>
      </c>
      <c r="I98" t="s">
        <v>158</v>
      </c>
      <c r="J98">
        <f t="shared" si="2"/>
        <v>3201</v>
      </c>
      <c r="L98">
        <f t="shared" si="3"/>
        <v>1.4290178571428571</v>
      </c>
    </row>
    <row r="99" spans="1:12" x14ac:dyDescent="0.25">
      <c r="A99">
        <v>1736</v>
      </c>
      <c r="B99" t="s">
        <v>15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93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42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83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1736</v>
      </c>
      <c r="B103" t="s">
        <v>47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16</v>
      </c>
      <c r="C104" t="s">
        <v>72</v>
      </c>
      <c r="D104" t="s">
        <v>35</v>
      </c>
      <c r="H104">
        <v>540</v>
      </c>
      <c r="J104">
        <f t="shared" si="2"/>
        <v>540</v>
      </c>
      <c r="L104">
        <f t="shared" si="3"/>
        <v>0.24107142857142858</v>
      </c>
    </row>
    <row r="105" spans="1:12" x14ac:dyDescent="0.25">
      <c r="A105">
        <v>1736</v>
      </c>
      <c r="B105" t="s">
        <v>17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1736</v>
      </c>
      <c r="B106" t="s">
        <v>18</v>
      </c>
      <c r="C106" t="s">
        <v>72</v>
      </c>
      <c r="D106" t="s">
        <v>35</v>
      </c>
      <c r="H106">
        <v>23856</v>
      </c>
      <c r="I106" t="s">
        <v>157</v>
      </c>
      <c r="J106">
        <f t="shared" si="2"/>
        <v>23856</v>
      </c>
      <c r="L106">
        <f t="shared" si="3"/>
        <v>10.65</v>
      </c>
    </row>
    <row r="107" spans="1:12" x14ac:dyDescent="0.25">
      <c r="A107">
        <v>1736</v>
      </c>
      <c r="B107" t="s">
        <v>26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1736</v>
      </c>
      <c r="B108" t="s">
        <v>84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1736</v>
      </c>
      <c r="B109" t="s">
        <v>19</v>
      </c>
      <c r="C109" t="s">
        <v>72</v>
      </c>
      <c r="D109" t="s">
        <v>35</v>
      </c>
      <c r="F109">
        <v>3</v>
      </c>
      <c r="J109">
        <f t="shared" si="2"/>
        <v>336</v>
      </c>
      <c r="L109">
        <f t="shared" si="3"/>
        <v>0.15</v>
      </c>
    </row>
    <row r="110" spans="1:12" x14ac:dyDescent="0.25">
      <c r="A110">
        <v>1736</v>
      </c>
      <c r="B110" t="s">
        <v>45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1736</v>
      </c>
      <c r="B111" t="s">
        <v>85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1736</v>
      </c>
      <c r="B112" t="s">
        <v>54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1736</v>
      </c>
      <c r="B113" t="s">
        <v>95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1736</v>
      </c>
      <c r="B114" t="s">
        <v>20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1736</v>
      </c>
      <c r="B115" t="s">
        <v>21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22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1736</v>
      </c>
      <c r="B117" t="s">
        <v>61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1736</v>
      </c>
      <c r="B118" t="s">
        <v>91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1736</v>
      </c>
      <c r="B119" t="s">
        <v>98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1736</v>
      </c>
      <c r="B120" t="s">
        <v>87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1736</v>
      </c>
      <c r="B121" t="s">
        <v>62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1736</v>
      </c>
      <c r="B122" t="s">
        <v>88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1736</v>
      </c>
      <c r="B123" t="s">
        <v>63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1736</v>
      </c>
      <c r="B124" t="s">
        <v>89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70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1736</v>
      </c>
      <c r="B126" t="s">
        <v>64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1736</v>
      </c>
      <c r="B127" t="s">
        <v>65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09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1736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1736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1736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1736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1736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1736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1736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1736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1736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1736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1736</v>
      </c>
      <c r="B12" t="s">
        <v>6</v>
      </c>
      <c r="C12" t="s">
        <v>73</v>
      </c>
      <c r="D12" t="s">
        <v>33</v>
      </c>
      <c r="F12">
        <v>25675</v>
      </c>
      <c r="G12">
        <v>3</v>
      </c>
      <c r="H12">
        <v>12</v>
      </c>
      <c r="J12">
        <f t="shared" si="0"/>
        <v>2875696</v>
      </c>
      <c r="L12">
        <f t="shared" si="1"/>
        <v>1283.7928571428572</v>
      </c>
    </row>
    <row r="13" spans="1:15" x14ac:dyDescent="0.25">
      <c r="A13">
        <v>1736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1736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1736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1736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77</v>
      </c>
      <c r="C19" t="s">
        <v>73</v>
      </c>
      <c r="D19" t="s">
        <v>33</v>
      </c>
      <c r="F19">
        <v>1</v>
      </c>
      <c r="G19">
        <v>2</v>
      </c>
      <c r="H19">
        <v>16</v>
      </c>
      <c r="J19">
        <f t="shared" si="0"/>
        <v>184</v>
      </c>
      <c r="L19">
        <f t="shared" si="1"/>
        <v>8.2142857142857142E-2</v>
      </c>
    </row>
    <row r="20" spans="1:12" x14ac:dyDescent="0.25">
      <c r="A20">
        <v>1736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1736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9</v>
      </c>
      <c r="C22" t="s">
        <v>73</v>
      </c>
      <c r="D22" t="s">
        <v>33</v>
      </c>
      <c r="H22">
        <f>11*170</f>
        <v>1870</v>
      </c>
      <c r="I22" t="s">
        <v>135</v>
      </c>
      <c r="J22">
        <f t="shared" si="0"/>
        <v>1870</v>
      </c>
      <c r="L22">
        <f t="shared" si="1"/>
        <v>0.8348214285714286</v>
      </c>
    </row>
    <row r="23" spans="1:12" x14ac:dyDescent="0.25">
      <c r="A23">
        <v>1736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1736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1736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1736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1736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1736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1736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1736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1736</v>
      </c>
      <c r="B36" t="s">
        <v>27</v>
      </c>
      <c r="C36" t="s">
        <v>73</v>
      </c>
      <c r="D36" t="s">
        <v>33</v>
      </c>
      <c r="H36">
        <v>16784.5</v>
      </c>
      <c r="I36" t="s">
        <v>134</v>
      </c>
      <c r="J36">
        <f t="shared" si="0"/>
        <v>16784.5</v>
      </c>
      <c r="L36">
        <f t="shared" si="1"/>
        <v>7.4930803571428575</v>
      </c>
    </row>
    <row r="37" spans="1:12" x14ac:dyDescent="0.25">
      <c r="A37">
        <v>1736</v>
      </c>
      <c r="B37" t="s">
        <v>15</v>
      </c>
      <c r="C37" t="s">
        <v>73</v>
      </c>
      <c r="D37" t="s">
        <v>33</v>
      </c>
      <c r="F37">
        <v>14</v>
      </c>
      <c r="G37">
        <v>3</v>
      </c>
      <c r="H37">
        <v>21</v>
      </c>
      <c r="J37">
        <f t="shared" si="0"/>
        <v>1673</v>
      </c>
      <c r="L37">
        <f t="shared" si="1"/>
        <v>0.74687499999999996</v>
      </c>
    </row>
    <row r="38" spans="1:12" x14ac:dyDescent="0.25">
      <c r="A38">
        <v>1736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1736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47</v>
      </c>
      <c r="C40" t="s">
        <v>73</v>
      </c>
      <c r="D40" t="s">
        <v>33</v>
      </c>
      <c r="H40">
        <v>35</v>
      </c>
      <c r="I40" t="s">
        <v>132</v>
      </c>
      <c r="J40">
        <f t="shared" si="0"/>
        <v>35</v>
      </c>
      <c r="L40">
        <f t="shared" si="1"/>
        <v>1.5625E-2</v>
      </c>
    </row>
    <row r="41" spans="1:12" x14ac:dyDescent="0.25">
      <c r="A41">
        <v>1736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1736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1736</v>
      </c>
      <c r="B43" t="s">
        <v>18</v>
      </c>
      <c r="C43" t="s">
        <v>73</v>
      </c>
      <c r="D43" t="s">
        <v>33</v>
      </c>
      <c r="H43">
        <v>4216</v>
      </c>
      <c r="I43" t="s">
        <v>133</v>
      </c>
      <c r="J43">
        <f t="shared" si="0"/>
        <v>4216</v>
      </c>
      <c r="L43">
        <f t="shared" si="1"/>
        <v>1.8821428571428571</v>
      </c>
    </row>
    <row r="44" spans="1:12" x14ac:dyDescent="0.25">
      <c r="A44">
        <v>1736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1736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1736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54</v>
      </c>
      <c r="C49" t="s">
        <v>73</v>
      </c>
      <c r="D49" t="s">
        <v>33</v>
      </c>
      <c r="H49">
        <v>134</v>
      </c>
      <c r="J49">
        <f t="shared" si="0"/>
        <v>134</v>
      </c>
      <c r="L49">
        <f t="shared" si="1"/>
        <v>5.9821428571428574E-2</v>
      </c>
    </row>
    <row r="50" spans="1:12" x14ac:dyDescent="0.25">
      <c r="A50">
        <v>1736</v>
      </c>
      <c r="B50" t="s">
        <v>95</v>
      </c>
      <c r="C50" t="s">
        <v>73</v>
      </c>
      <c r="D50" t="s">
        <v>33</v>
      </c>
      <c r="H50">
        <v>63</v>
      </c>
      <c r="J50">
        <f t="shared" si="0"/>
        <v>63</v>
      </c>
      <c r="L50">
        <f t="shared" si="1"/>
        <v>2.8125000000000001E-2</v>
      </c>
    </row>
    <row r="51" spans="1:12" x14ac:dyDescent="0.25">
      <c r="A51">
        <v>1736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1736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1736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1736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1736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1736</v>
      </c>
      <c r="B57" t="s">
        <v>62</v>
      </c>
      <c r="C57" t="s">
        <v>73</v>
      </c>
      <c r="D57" t="s">
        <v>33</v>
      </c>
      <c r="E57">
        <v>12</v>
      </c>
      <c r="J57">
        <f t="shared" si="0"/>
        <v>26880</v>
      </c>
      <c r="L57">
        <f t="shared" si="1"/>
        <v>12</v>
      </c>
    </row>
    <row r="58" spans="1:12" x14ac:dyDescent="0.25">
      <c r="A58">
        <v>1736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1736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1736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1736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1736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1736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1736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1736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1736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6</v>
      </c>
      <c r="C74" t="s">
        <v>73</v>
      </c>
      <c r="D74" t="s">
        <v>35</v>
      </c>
      <c r="F74">
        <v>13047</v>
      </c>
      <c r="G74">
        <v>3</v>
      </c>
      <c r="H74">
        <v>25</v>
      </c>
      <c r="J74">
        <f t="shared" si="2"/>
        <v>1461373</v>
      </c>
      <c r="L74">
        <f t="shared" si="3"/>
        <v>652.39866071428571</v>
      </c>
    </row>
    <row r="75" spans="1:12" x14ac:dyDescent="0.25">
      <c r="A75">
        <v>1736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1736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1736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1736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9</v>
      </c>
      <c r="C83" t="s">
        <v>73</v>
      </c>
      <c r="D83" t="s">
        <v>35</v>
      </c>
      <c r="H83">
        <f>211.75*200</f>
        <v>42350</v>
      </c>
      <c r="I83" t="s">
        <v>162</v>
      </c>
      <c r="J83">
        <f t="shared" si="2"/>
        <v>42350</v>
      </c>
      <c r="L83">
        <f t="shared" si="3"/>
        <v>18.90625</v>
      </c>
    </row>
    <row r="84" spans="1:12" x14ac:dyDescent="0.25">
      <c r="A84">
        <v>1736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1736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1736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1736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1736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1736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1736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1736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1736</v>
      </c>
      <c r="B94" t="s">
        <v>13</v>
      </c>
      <c r="C94" t="s">
        <v>73</v>
      </c>
      <c r="D94" t="s">
        <v>35</v>
      </c>
      <c r="E94">
        <v>1</v>
      </c>
      <c r="F94">
        <v>6</v>
      </c>
      <c r="J94">
        <f t="shared" si="2"/>
        <v>2912</v>
      </c>
      <c r="L94">
        <f t="shared" si="3"/>
        <v>1.3</v>
      </c>
    </row>
    <row r="95" spans="1:12" x14ac:dyDescent="0.25">
      <c r="A95">
        <v>1736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1736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1736</v>
      </c>
      <c r="B97" t="s">
        <v>27</v>
      </c>
      <c r="C97" t="s">
        <v>73</v>
      </c>
      <c r="D97" t="s">
        <v>35</v>
      </c>
      <c r="H97">
        <v>18985</v>
      </c>
      <c r="I97" t="s">
        <v>161</v>
      </c>
      <c r="J97">
        <f t="shared" si="2"/>
        <v>18985</v>
      </c>
      <c r="L97">
        <f t="shared" si="3"/>
        <v>8.4754464285714288</v>
      </c>
    </row>
    <row r="98" spans="1:12" x14ac:dyDescent="0.25">
      <c r="A98">
        <v>1736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1736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1736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1736</v>
      </c>
      <c r="B105" t="s">
        <v>18</v>
      </c>
      <c r="C105" t="s">
        <v>73</v>
      </c>
      <c r="D105" t="s">
        <v>35</v>
      </c>
      <c r="H105">
        <v>3361</v>
      </c>
      <c r="I105" t="s">
        <v>160</v>
      </c>
      <c r="J105">
        <f t="shared" si="2"/>
        <v>3361</v>
      </c>
      <c r="L105">
        <f t="shared" si="3"/>
        <v>1.5004464285714285</v>
      </c>
    </row>
    <row r="106" spans="1:12" x14ac:dyDescent="0.25">
      <c r="A106">
        <v>1736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1736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1736</v>
      </c>
      <c r="B108" t="s">
        <v>19</v>
      </c>
      <c r="C108" t="s">
        <v>73</v>
      </c>
      <c r="D108" t="s">
        <v>35</v>
      </c>
      <c r="F108">
        <v>1</v>
      </c>
      <c r="G108">
        <v>1</v>
      </c>
      <c r="H108">
        <v>1</v>
      </c>
      <c r="J108">
        <f t="shared" si="2"/>
        <v>141</v>
      </c>
      <c r="L108">
        <f t="shared" si="3"/>
        <v>6.294642857142857E-2</v>
      </c>
    </row>
    <row r="109" spans="1:12" x14ac:dyDescent="0.25">
      <c r="A109">
        <v>1736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1736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1736</v>
      </c>
      <c r="B111" t="s">
        <v>54</v>
      </c>
      <c r="C111" t="s">
        <v>73</v>
      </c>
      <c r="D111" t="s">
        <v>35</v>
      </c>
      <c r="H111">
        <v>24</v>
      </c>
      <c r="J111">
        <f t="shared" si="2"/>
        <v>24</v>
      </c>
      <c r="L111">
        <f t="shared" si="3"/>
        <v>1.0714285714285714E-2</v>
      </c>
    </row>
    <row r="112" spans="1:12" x14ac:dyDescent="0.25">
      <c r="A112">
        <v>1736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1736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1736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1736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1736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1736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1736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1736</v>
      </c>
      <c r="B120" t="s">
        <v>62</v>
      </c>
      <c r="C120" t="s">
        <v>73</v>
      </c>
      <c r="D120" t="s">
        <v>35</v>
      </c>
      <c r="E120">
        <v>54</v>
      </c>
      <c r="F120">
        <v>16</v>
      </c>
      <c r="G120">
        <v>3</v>
      </c>
      <c r="H120">
        <v>19</v>
      </c>
      <c r="J120">
        <f t="shared" si="2"/>
        <v>122855</v>
      </c>
      <c r="L120">
        <f t="shared" si="3"/>
        <v>54.845982142857146</v>
      </c>
    </row>
    <row r="121" spans="1:12" x14ac:dyDescent="0.25">
      <c r="A121">
        <v>1736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1736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1736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1736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1736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106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1736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1736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1736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1736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1736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1736</v>
      </c>
      <c r="B7" t="s">
        <v>136</v>
      </c>
      <c r="C7" t="s">
        <v>74</v>
      </c>
      <c r="D7" t="s">
        <v>33</v>
      </c>
      <c r="G7">
        <v>3</v>
      </c>
      <c r="J7">
        <f t="shared" si="0"/>
        <v>84</v>
      </c>
      <c r="L7">
        <f t="shared" si="1"/>
        <v>3.7499999999999999E-2</v>
      </c>
    </row>
    <row r="8" spans="1:15" x14ac:dyDescent="0.25">
      <c r="A8">
        <v>1736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1736</v>
      </c>
      <c r="B9" t="s">
        <v>43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1736</v>
      </c>
      <c r="B10" t="s">
        <v>76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1736</v>
      </c>
      <c r="B11" t="s">
        <v>5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1736</v>
      </c>
      <c r="B12" t="s">
        <v>59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1736</v>
      </c>
      <c r="B13" t="s">
        <v>6</v>
      </c>
      <c r="C13" t="s">
        <v>74</v>
      </c>
      <c r="D13" t="s">
        <v>33</v>
      </c>
      <c r="F13">
        <v>155195</v>
      </c>
      <c r="J13">
        <f t="shared" si="0"/>
        <v>17381840</v>
      </c>
      <c r="L13">
        <f t="shared" si="1"/>
        <v>7759.75</v>
      </c>
    </row>
    <row r="14" spans="1:15" x14ac:dyDescent="0.25">
      <c r="A14">
        <v>1736</v>
      </c>
      <c r="B14" t="s">
        <v>96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1736</v>
      </c>
      <c r="B15" t="s">
        <v>60</v>
      </c>
      <c r="C15" t="s">
        <v>74</v>
      </c>
      <c r="D15" t="s">
        <v>33</v>
      </c>
      <c r="H15">
        <v>12</v>
      </c>
      <c r="J15">
        <f t="shared" si="0"/>
        <v>12</v>
      </c>
      <c r="L15">
        <f t="shared" si="1"/>
        <v>5.3571428571428572E-3</v>
      </c>
    </row>
    <row r="16" spans="1:15" x14ac:dyDescent="0.25">
      <c r="A16">
        <v>1736</v>
      </c>
      <c r="B16" t="s">
        <v>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37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8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40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1736</v>
      </c>
      <c r="B20" t="s">
        <v>77</v>
      </c>
      <c r="C20" t="s">
        <v>74</v>
      </c>
      <c r="D20" t="s">
        <v>33</v>
      </c>
      <c r="F20">
        <v>3</v>
      </c>
      <c r="G20">
        <v>2</v>
      </c>
      <c r="H20">
        <v>1</v>
      </c>
      <c r="J20">
        <f t="shared" si="0"/>
        <v>393</v>
      </c>
      <c r="L20">
        <f t="shared" si="1"/>
        <v>0.17544642857142856</v>
      </c>
    </row>
    <row r="21" spans="1:12" x14ac:dyDescent="0.25">
      <c r="A21">
        <v>1736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46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1736</v>
      </c>
      <c r="B23" t="s">
        <v>9</v>
      </c>
      <c r="C23" t="s">
        <v>74</v>
      </c>
      <c r="D23" t="s">
        <v>33</v>
      </c>
      <c r="H23">
        <f>295*170+79</f>
        <v>50229</v>
      </c>
      <c r="I23" t="s">
        <v>140</v>
      </c>
      <c r="J23">
        <f t="shared" si="0"/>
        <v>50229</v>
      </c>
      <c r="L23">
        <f t="shared" si="1"/>
        <v>22.423660714285713</v>
      </c>
    </row>
    <row r="24" spans="1:12" x14ac:dyDescent="0.25">
      <c r="A24">
        <v>1736</v>
      </c>
      <c r="B24" t="s">
        <v>10</v>
      </c>
      <c r="C24" t="s">
        <v>74</v>
      </c>
      <c r="D24" t="s">
        <v>33</v>
      </c>
      <c r="F24">
        <v>72</v>
      </c>
      <c r="G24">
        <v>1</v>
      </c>
      <c r="H24">
        <v>21</v>
      </c>
      <c r="J24">
        <f t="shared" si="0"/>
        <v>8113</v>
      </c>
      <c r="L24">
        <f t="shared" si="1"/>
        <v>3.6218750000000002</v>
      </c>
    </row>
    <row r="25" spans="1:12" x14ac:dyDescent="0.25">
      <c r="A25">
        <v>1736</v>
      </c>
      <c r="B25" t="s">
        <v>11</v>
      </c>
      <c r="C25" t="s">
        <v>74</v>
      </c>
      <c r="D25" t="s">
        <v>33</v>
      </c>
      <c r="F25">
        <v>17</v>
      </c>
      <c r="H25">
        <v>24</v>
      </c>
      <c r="J25">
        <f t="shared" si="0"/>
        <v>1928</v>
      </c>
      <c r="L25">
        <f t="shared" si="1"/>
        <v>0.86071428571428577</v>
      </c>
    </row>
    <row r="26" spans="1:12" x14ac:dyDescent="0.25">
      <c r="A26">
        <v>1736</v>
      </c>
      <c r="B26" t="s">
        <v>39</v>
      </c>
      <c r="C26" t="s">
        <v>74</v>
      </c>
      <c r="D26" t="s">
        <v>33</v>
      </c>
      <c r="H26">
        <v>3</v>
      </c>
      <c r="J26">
        <f t="shared" si="0"/>
        <v>3</v>
      </c>
      <c r="L26">
        <f t="shared" si="1"/>
        <v>1.3392857142857143E-3</v>
      </c>
    </row>
    <row r="27" spans="1:12" x14ac:dyDescent="0.25">
      <c r="A27">
        <v>1736</v>
      </c>
      <c r="B27" t="s">
        <v>79</v>
      </c>
      <c r="C27" t="s">
        <v>74</v>
      </c>
      <c r="D27" t="s">
        <v>33</v>
      </c>
      <c r="H27">
        <v>536</v>
      </c>
      <c r="J27">
        <f t="shared" si="0"/>
        <v>536</v>
      </c>
      <c r="L27">
        <f t="shared" si="1"/>
        <v>0.2392857142857143</v>
      </c>
    </row>
    <row r="28" spans="1:12" x14ac:dyDescent="0.25">
      <c r="A28">
        <v>1736</v>
      </c>
      <c r="B28" t="s">
        <v>103</v>
      </c>
      <c r="C28" t="s">
        <v>74</v>
      </c>
      <c r="D28" t="s">
        <v>33</v>
      </c>
      <c r="H28">
        <v>412</v>
      </c>
      <c r="J28">
        <f t="shared" si="0"/>
        <v>412</v>
      </c>
      <c r="L28">
        <f t="shared" si="1"/>
        <v>0.18392857142857144</v>
      </c>
    </row>
    <row r="29" spans="1:12" x14ac:dyDescent="0.25">
      <c r="A29">
        <v>1736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12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1736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13</v>
      </c>
      <c r="C34" t="s">
        <v>74</v>
      </c>
      <c r="D34" t="s">
        <v>33</v>
      </c>
      <c r="E34">
        <v>58</v>
      </c>
      <c r="J34">
        <f t="shared" si="0"/>
        <v>129920</v>
      </c>
      <c r="L34">
        <f t="shared" si="1"/>
        <v>58</v>
      </c>
    </row>
    <row r="35" spans="1:12" x14ac:dyDescent="0.25">
      <c r="A35">
        <v>1736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1736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1736</v>
      </c>
      <c r="B37" t="s">
        <v>27</v>
      </c>
      <c r="C37" t="s">
        <v>74</v>
      </c>
      <c r="D37" t="s">
        <v>33</v>
      </c>
      <c r="H37">
        <v>184637.5</v>
      </c>
      <c r="I37" t="s">
        <v>139</v>
      </c>
      <c r="J37">
        <f t="shared" si="0"/>
        <v>184637.5</v>
      </c>
      <c r="L37">
        <f t="shared" si="1"/>
        <v>82.427455357142861</v>
      </c>
    </row>
    <row r="38" spans="1:12" x14ac:dyDescent="0.25">
      <c r="A38">
        <v>1736</v>
      </c>
      <c r="B38" t="s">
        <v>15</v>
      </c>
      <c r="C38" t="s">
        <v>74</v>
      </c>
      <c r="D38" t="s">
        <v>33</v>
      </c>
      <c r="F38">
        <v>2</v>
      </c>
      <c r="G38">
        <v>3</v>
      </c>
      <c r="J38">
        <f t="shared" si="0"/>
        <v>308</v>
      </c>
      <c r="L38">
        <f t="shared" si="1"/>
        <v>0.13750000000000001</v>
      </c>
    </row>
    <row r="39" spans="1:12" x14ac:dyDescent="0.25">
      <c r="A39">
        <v>1736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1736</v>
      </c>
      <c r="B41" t="s">
        <v>47</v>
      </c>
      <c r="C41" t="s">
        <v>74</v>
      </c>
      <c r="D41" t="s">
        <v>33</v>
      </c>
      <c r="H41">
        <v>60</v>
      </c>
      <c r="I41" t="s">
        <v>137</v>
      </c>
      <c r="J41">
        <f t="shared" si="0"/>
        <v>60</v>
      </c>
      <c r="L41">
        <f t="shared" si="1"/>
        <v>2.6785714285714284E-2</v>
      </c>
    </row>
    <row r="42" spans="1:12" x14ac:dyDescent="0.25">
      <c r="A42">
        <v>1736</v>
      </c>
      <c r="B42" t="s">
        <v>16</v>
      </c>
      <c r="C42" t="s">
        <v>74</v>
      </c>
      <c r="D42" t="s">
        <v>33</v>
      </c>
      <c r="H42">
        <v>1428</v>
      </c>
      <c r="J42">
        <f t="shared" si="0"/>
        <v>1428</v>
      </c>
      <c r="L42">
        <f t="shared" si="1"/>
        <v>0.63749999999999996</v>
      </c>
    </row>
    <row r="43" spans="1:12" x14ac:dyDescent="0.25">
      <c r="A43">
        <v>1736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1736</v>
      </c>
      <c r="B44" t="s">
        <v>18</v>
      </c>
      <c r="C44" t="s">
        <v>74</v>
      </c>
      <c r="D44" t="s">
        <v>33</v>
      </c>
      <c r="H44">
        <v>107152.5</v>
      </c>
      <c r="I44" t="s">
        <v>138</v>
      </c>
      <c r="J44">
        <f t="shared" si="0"/>
        <v>107152.5</v>
      </c>
      <c r="L44">
        <f t="shared" si="1"/>
        <v>47.8359375</v>
      </c>
    </row>
    <row r="45" spans="1:12" x14ac:dyDescent="0.25">
      <c r="A45">
        <v>1736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1736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1736</v>
      </c>
      <c r="B50" t="s">
        <v>54</v>
      </c>
      <c r="C50" t="s">
        <v>74</v>
      </c>
      <c r="D50" t="s">
        <v>33</v>
      </c>
      <c r="H50">
        <v>3186</v>
      </c>
      <c r="J50">
        <f t="shared" si="0"/>
        <v>3186</v>
      </c>
      <c r="L50">
        <f t="shared" si="1"/>
        <v>1.4223214285714285</v>
      </c>
    </row>
    <row r="51" spans="1:12" x14ac:dyDescent="0.25">
      <c r="A51">
        <v>1736</v>
      </c>
      <c r="B51" t="s">
        <v>95</v>
      </c>
      <c r="C51" t="s">
        <v>74</v>
      </c>
      <c r="D51" t="s">
        <v>33</v>
      </c>
      <c r="H51">
        <v>194</v>
      </c>
      <c r="J51">
        <f t="shared" si="0"/>
        <v>194</v>
      </c>
      <c r="L51">
        <f t="shared" si="1"/>
        <v>8.6607142857142855E-2</v>
      </c>
    </row>
    <row r="52" spans="1:12" x14ac:dyDescent="0.25">
      <c r="A52">
        <v>1736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1736</v>
      </c>
      <c r="B53" t="s">
        <v>21</v>
      </c>
      <c r="C53" t="s">
        <v>74</v>
      </c>
      <c r="D53" t="s">
        <v>33</v>
      </c>
      <c r="H53">
        <v>43</v>
      </c>
      <c r="J53">
        <f t="shared" si="0"/>
        <v>43</v>
      </c>
      <c r="L53">
        <f t="shared" si="1"/>
        <v>1.9196428571428573E-2</v>
      </c>
    </row>
    <row r="54" spans="1:12" x14ac:dyDescent="0.25">
      <c r="A54">
        <v>1736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1736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1736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62</v>
      </c>
      <c r="C58" t="s">
        <v>74</v>
      </c>
      <c r="D58" t="s">
        <v>33</v>
      </c>
      <c r="E58">
        <v>81</v>
      </c>
      <c r="J58">
        <f t="shared" si="0"/>
        <v>181440</v>
      </c>
      <c r="L58">
        <f t="shared" si="1"/>
        <v>81</v>
      </c>
    </row>
    <row r="59" spans="1:12" x14ac:dyDescent="0.25">
      <c r="A59">
        <v>1736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1736</v>
      </c>
      <c r="B60" t="s">
        <v>63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89</v>
      </c>
      <c r="C61" t="s">
        <v>74</v>
      </c>
      <c r="D61" t="s">
        <v>33</v>
      </c>
      <c r="E61">
        <v>6</v>
      </c>
      <c r="J61">
        <f t="shared" si="0"/>
        <v>13440</v>
      </c>
      <c r="L61">
        <f t="shared" si="1"/>
        <v>6</v>
      </c>
    </row>
    <row r="62" spans="1:12" x14ac:dyDescent="0.25">
      <c r="A62">
        <v>1736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1736</v>
      </c>
      <c r="B63" t="s">
        <v>64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1736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1736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1736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1736</v>
      </c>
      <c r="B75" t="s">
        <v>6</v>
      </c>
      <c r="C75" t="s">
        <v>74</v>
      </c>
      <c r="D75" t="s">
        <v>35</v>
      </c>
      <c r="F75">
        <v>22153</v>
      </c>
      <c r="H75">
        <v>14</v>
      </c>
      <c r="J75">
        <f t="shared" si="2"/>
        <v>2481150</v>
      </c>
      <c r="L75">
        <f t="shared" si="3"/>
        <v>1107.65625</v>
      </c>
    </row>
    <row r="76" spans="1:12" x14ac:dyDescent="0.25">
      <c r="A76">
        <v>1736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1736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8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1736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77</v>
      </c>
      <c r="C81" t="s">
        <v>74</v>
      </c>
      <c r="D81" t="s">
        <v>35</v>
      </c>
      <c r="F81">
        <v>20</v>
      </c>
      <c r="H81">
        <v>14</v>
      </c>
      <c r="J81">
        <f t="shared" si="2"/>
        <v>2254</v>
      </c>
      <c r="L81">
        <f t="shared" si="3"/>
        <v>1.0062500000000001</v>
      </c>
    </row>
    <row r="82" spans="1:12" x14ac:dyDescent="0.25">
      <c r="A82">
        <v>1736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1736</v>
      </c>
      <c r="B84" t="s">
        <v>9</v>
      </c>
      <c r="C84" t="s">
        <v>74</v>
      </c>
      <c r="D84" t="s">
        <v>35</v>
      </c>
      <c r="H84">
        <f>629*200+165</f>
        <v>125965</v>
      </c>
      <c r="I84" t="s">
        <v>165</v>
      </c>
      <c r="J84">
        <f t="shared" si="2"/>
        <v>125965</v>
      </c>
      <c r="L84">
        <f t="shared" si="3"/>
        <v>56.234375</v>
      </c>
    </row>
    <row r="85" spans="1:12" x14ac:dyDescent="0.25">
      <c r="A85">
        <v>1736</v>
      </c>
      <c r="B85" t="s">
        <v>10</v>
      </c>
      <c r="C85" t="s">
        <v>74</v>
      </c>
      <c r="D85" t="s">
        <v>35</v>
      </c>
      <c r="F85">
        <v>14</v>
      </c>
      <c r="G85">
        <v>1</v>
      </c>
      <c r="J85">
        <f t="shared" si="2"/>
        <v>1596</v>
      </c>
      <c r="L85">
        <f t="shared" si="3"/>
        <v>0.71250000000000002</v>
      </c>
    </row>
    <row r="86" spans="1:12" x14ac:dyDescent="0.25">
      <c r="A86">
        <v>1736</v>
      </c>
      <c r="B86" t="s">
        <v>11</v>
      </c>
      <c r="C86" t="s">
        <v>74</v>
      </c>
      <c r="D86" t="s">
        <v>35</v>
      </c>
      <c r="F86">
        <v>285</v>
      </c>
      <c r="G86">
        <v>1</v>
      </c>
      <c r="H86">
        <v>1</v>
      </c>
      <c r="J86">
        <f t="shared" si="2"/>
        <v>31949</v>
      </c>
      <c r="L86">
        <f t="shared" si="3"/>
        <v>14.262946428571428</v>
      </c>
    </row>
    <row r="87" spans="1:12" x14ac:dyDescent="0.25">
      <c r="A87">
        <v>1736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1736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1736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1736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12</v>
      </c>
      <c r="C92" t="s">
        <v>74</v>
      </c>
      <c r="D92" t="s">
        <v>35</v>
      </c>
      <c r="H92">
        <v>500</v>
      </c>
      <c r="J92">
        <f t="shared" si="2"/>
        <v>500</v>
      </c>
      <c r="L92">
        <f t="shared" si="3"/>
        <v>0.22321428571428573</v>
      </c>
    </row>
    <row r="93" spans="1:12" x14ac:dyDescent="0.25">
      <c r="A93">
        <v>1736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1736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13</v>
      </c>
      <c r="C95" t="s">
        <v>74</v>
      </c>
      <c r="D95" t="s">
        <v>35</v>
      </c>
      <c r="E95">
        <v>14</v>
      </c>
      <c r="F95">
        <v>17</v>
      </c>
      <c r="G95">
        <v>1</v>
      </c>
      <c r="H95">
        <v>16</v>
      </c>
      <c r="J95">
        <f t="shared" si="2"/>
        <v>33308</v>
      </c>
      <c r="L95">
        <f t="shared" si="3"/>
        <v>14.869642857142857</v>
      </c>
    </row>
    <row r="96" spans="1:12" x14ac:dyDescent="0.25">
      <c r="A96">
        <v>1736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1736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1736</v>
      </c>
      <c r="B98" t="s">
        <v>27</v>
      </c>
      <c r="C98" t="s">
        <v>74</v>
      </c>
      <c r="D98" t="s">
        <v>35</v>
      </c>
      <c r="H98">
        <v>13313.5</v>
      </c>
      <c r="I98" t="s">
        <v>164</v>
      </c>
      <c r="J98">
        <f t="shared" si="2"/>
        <v>13313.5</v>
      </c>
      <c r="L98">
        <f t="shared" si="3"/>
        <v>5.9435267857142859</v>
      </c>
    </row>
    <row r="99" spans="1:12" x14ac:dyDescent="0.25">
      <c r="A99">
        <v>1736</v>
      </c>
      <c r="B99" t="s">
        <v>15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1736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1736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1736</v>
      </c>
      <c r="B106" t="s">
        <v>18</v>
      </c>
      <c r="C106" t="s">
        <v>74</v>
      </c>
      <c r="D106" t="s">
        <v>35</v>
      </c>
      <c r="H106">
        <v>47627</v>
      </c>
      <c r="I106" t="s">
        <v>163</v>
      </c>
      <c r="J106">
        <f t="shared" si="2"/>
        <v>47627</v>
      </c>
      <c r="L106">
        <f t="shared" si="3"/>
        <v>21.26205357142857</v>
      </c>
    </row>
    <row r="107" spans="1:12" x14ac:dyDescent="0.25">
      <c r="A107">
        <v>1736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1736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1736</v>
      </c>
      <c r="B109" t="s">
        <v>19</v>
      </c>
      <c r="C109" t="s">
        <v>74</v>
      </c>
      <c r="D109" t="s">
        <v>35</v>
      </c>
      <c r="G109">
        <v>1</v>
      </c>
      <c r="H109">
        <v>22</v>
      </c>
      <c r="J109">
        <f t="shared" si="2"/>
        <v>50</v>
      </c>
      <c r="L109">
        <f t="shared" si="3"/>
        <v>2.2321428571428572E-2</v>
      </c>
    </row>
    <row r="110" spans="1:12" x14ac:dyDescent="0.25">
      <c r="A110">
        <v>1736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1736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1736</v>
      </c>
      <c r="B112" t="s">
        <v>54</v>
      </c>
      <c r="C112" t="s">
        <v>74</v>
      </c>
      <c r="D112" t="s">
        <v>35</v>
      </c>
      <c r="H112">
        <v>73</v>
      </c>
      <c r="J112">
        <f t="shared" si="2"/>
        <v>73</v>
      </c>
      <c r="L112">
        <f t="shared" si="3"/>
        <v>3.2589285714285716E-2</v>
      </c>
    </row>
    <row r="113" spans="1:12" x14ac:dyDescent="0.25">
      <c r="A113">
        <v>1736</v>
      </c>
      <c r="B113" t="s">
        <v>95</v>
      </c>
      <c r="C113" t="s">
        <v>74</v>
      </c>
      <c r="D113" t="s">
        <v>35</v>
      </c>
      <c r="H113">
        <v>24</v>
      </c>
      <c r="J113">
        <f t="shared" si="2"/>
        <v>24</v>
      </c>
      <c r="L113">
        <f t="shared" si="3"/>
        <v>1.0714285714285714E-2</v>
      </c>
    </row>
    <row r="114" spans="1:12" x14ac:dyDescent="0.25">
      <c r="A114">
        <v>1736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1736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1736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1736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1736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1736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1736</v>
      </c>
      <c r="B121" t="s">
        <v>62</v>
      </c>
      <c r="C121" t="s">
        <v>74</v>
      </c>
      <c r="D121" t="s">
        <v>35</v>
      </c>
      <c r="E121">
        <v>79</v>
      </c>
      <c r="G121">
        <v>3</v>
      </c>
      <c r="H121">
        <v>5</v>
      </c>
      <c r="J121">
        <f t="shared" si="2"/>
        <v>177049</v>
      </c>
      <c r="L121">
        <f t="shared" si="3"/>
        <v>79.039732142857147</v>
      </c>
    </row>
    <row r="122" spans="1:12" x14ac:dyDescent="0.25">
      <c r="A122">
        <v>1736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1736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1736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1736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1736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91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1736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1736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1736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1736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1736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1736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1736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1736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1736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1736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1736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1736</v>
      </c>
      <c r="B13" t="s">
        <v>6</v>
      </c>
      <c r="C13" t="s">
        <v>100</v>
      </c>
      <c r="D13" t="s">
        <v>33</v>
      </c>
      <c r="F13">
        <v>7824</v>
      </c>
      <c r="H13">
        <v>14</v>
      </c>
      <c r="J13">
        <f t="shared" si="0"/>
        <v>876302</v>
      </c>
      <c r="L13">
        <f t="shared" si="1"/>
        <v>391.20625000000001</v>
      </c>
    </row>
    <row r="14" spans="1:15" x14ac:dyDescent="0.25">
      <c r="A14">
        <v>1736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1736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1736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1736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1736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1736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1736</v>
      </c>
      <c r="B20" t="s">
        <v>77</v>
      </c>
      <c r="C20" t="s">
        <v>100</v>
      </c>
      <c r="D20" t="s">
        <v>33</v>
      </c>
      <c r="G20">
        <v>1</v>
      </c>
      <c r="H20">
        <v>6</v>
      </c>
      <c r="J20">
        <f t="shared" si="0"/>
        <v>34</v>
      </c>
      <c r="L20">
        <f t="shared" si="1"/>
        <v>1.5178571428571428E-2</v>
      </c>
    </row>
    <row r="21" spans="1:12" x14ac:dyDescent="0.25">
      <c r="A21">
        <v>1736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1736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1736</v>
      </c>
      <c r="B23" t="s">
        <v>9</v>
      </c>
      <c r="C23" t="s">
        <v>100</v>
      </c>
      <c r="D23" t="s">
        <v>33</v>
      </c>
      <c r="H23">
        <f>159.5*170</f>
        <v>27115</v>
      </c>
      <c r="I23" t="s">
        <v>143</v>
      </c>
      <c r="J23">
        <f t="shared" si="0"/>
        <v>27115</v>
      </c>
      <c r="L23">
        <f t="shared" si="1"/>
        <v>12.104910714285714</v>
      </c>
    </row>
    <row r="24" spans="1:12" x14ac:dyDescent="0.25">
      <c r="A24">
        <v>1736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1736</v>
      </c>
      <c r="B25" t="s">
        <v>11</v>
      </c>
      <c r="C25" t="s">
        <v>100</v>
      </c>
      <c r="D25" t="s">
        <v>33</v>
      </c>
      <c r="F25">
        <v>2</v>
      </c>
      <c r="J25">
        <f t="shared" si="0"/>
        <v>224</v>
      </c>
      <c r="L25">
        <f t="shared" si="1"/>
        <v>0.1</v>
      </c>
    </row>
    <row r="26" spans="1:12" x14ac:dyDescent="0.25">
      <c r="A26">
        <v>1736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1736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1736</v>
      </c>
      <c r="B28" t="s">
        <v>103</v>
      </c>
      <c r="C28" t="s">
        <v>100</v>
      </c>
      <c r="D28" t="s">
        <v>33</v>
      </c>
      <c r="H28">
        <v>315</v>
      </c>
      <c r="J28">
        <f t="shared" si="0"/>
        <v>315</v>
      </c>
      <c r="L28">
        <f t="shared" si="1"/>
        <v>0.140625</v>
      </c>
    </row>
    <row r="29" spans="1:12" x14ac:dyDescent="0.25">
      <c r="A29">
        <v>1736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1736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1736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1736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1736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1736</v>
      </c>
      <c r="B34" t="s">
        <v>13</v>
      </c>
      <c r="C34" t="s">
        <v>100</v>
      </c>
      <c r="D34" t="s">
        <v>33</v>
      </c>
      <c r="E34">
        <v>6</v>
      </c>
      <c r="J34">
        <f t="shared" si="0"/>
        <v>13440</v>
      </c>
      <c r="L34">
        <f t="shared" si="1"/>
        <v>6</v>
      </c>
    </row>
    <row r="35" spans="1:12" x14ac:dyDescent="0.25">
      <c r="A35">
        <v>1736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1736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1736</v>
      </c>
      <c r="B37" t="s">
        <v>27</v>
      </c>
      <c r="C37" t="s">
        <v>100</v>
      </c>
      <c r="D37" t="s">
        <v>33</v>
      </c>
      <c r="H37">
        <v>3631</v>
      </c>
      <c r="I37" t="s">
        <v>142</v>
      </c>
      <c r="J37">
        <f t="shared" si="0"/>
        <v>3631</v>
      </c>
      <c r="L37">
        <f t="shared" si="1"/>
        <v>1.6209821428571429</v>
      </c>
    </row>
    <row r="38" spans="1:12" x14ac:dyDescent="0.25">
      <c r="A38">
        <v>1736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1736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1736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1736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1736</v>
      </c>
      <c r="B42" t="s">
        <v>16</v>
      </c>
      <c r="C42" t="s">
        <v>100</v>
      </c>
      <c r="D42" t="s">
        <v>33</v>
      </c>
      <c r="H42">
        <v>9103</v>
      </c>
      <c r="J42">
        <f t="shared" si="0"/>
        <v>9103</v>
      </c>
      <c r="L42">
        <f t="shared" si="1"/>
        <v>4.0638392857142858</v>
      </c>
    </row>
    <row r="43" spans="1:12" x14ac:dyDescent="0.25">
      <c r="A43">
        <v>1736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1736</v>
      </c>
      <c r="B44" t="s">
        <v>18</v>
      </c>
      <c r="C44" t="s">
        <v>100</v>
      </c>
      <c r="D44" t="s">
        <v>33</v>
      </c>
      <c r="H44">
        <v>10092.5</v>
      </c>
      <c r="I44" t="s">
        <v>141</v>
      </c>
      <c r="J44">
        <f t="shared" si="0"/>
        <v>10092.5</v>
      </c>
      <c r="L44">
        <f t="shared" si="1"/>
        <v>4.5055803571428568</v>
      </c>
    </row>
    <row r="45" spans="1:12" x14ac:dyDescent="0.25">
      <c r="A45">
        <v>1736</v>
      </c>
      <c r="B45" t="s">
        <v>26</v>
      </c>
      <c r="C45" t="s">
        <v>100</v>
      </c>
      <c r="D45" t="s">
        <v>33</v>
      </c>
      <c r="H45">
        <v>264</v>
      </c>
      <c r="J45">
        <f t="shared" si="0"/>
        <v>264</v>
      </c>
      <c r="L45">
        <f t="shared" si="1"/>
        <v>0.11785714285714285</v>
      </c>
    </row>
    <row r="46" spans="1:12" x14ac:dyDescent="0.25">
      <c r="A46">
        <v>1736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1736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1736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1736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1736</v>
      </c>
      <c r="B50" t="s">
        <v>54</v>
      </c>
      <c r="C50" t="s">
        <v>100</v>
      </c>
      <c r="D50" t="s">
        <v>33</v>
      </c>
      <c r="H50">
        <v>12</v>
      </c>
      <c r="J50">
        <f t="shared" si="0"/>
        <v>12</v>
      </c>
      <c r="L50">
        <f t="shared" si="1"/>
        <v>5.3571428571428572E-3</v>
      </c>
    </row>
    <row r="51" spans="1:12" x14ac:dyDescent="0.25">
      <c r="A51">
        <v>1736</v>
      </c>
      <c r="B51" t="s">
        <v>95</v>
      </c>
      <c r="C51" t="s">
        <v>100</v>
      </c>
      <c r="D51" t="s">
        <v>33</v>
      </c>
      <c r="H51">
        <v>30</v>
      </c>
      <c r="J51">
        <f t="shared" si="0"/>
        <v>30</v>
      </c>
      <c r="L51">
        <f t="shared" si="1"/>
        <v>1.3392857142857142E-2</v>
      </c>
    </row>
    <row r="52" spans="1:12" x14ac:dyDescent="0.25">
      <c r="A52">
        <v>1736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1736</v>
      </c>
      <c r="B53" t="s">
        <v>21</v>
      </c>
      <c r="C53" t="s">
        <v>100</v>
      </c>
      <c r="D53" t="s">
        <v>33</v>
      </c>
      <c r="H53">
        <v>14</v>
      </c>
      <c r="J53">
        <f t="shared" si="0"/>
        <v>14</v>
      </c>
      <c r="L53">
        <f t="shared" si="1"/>
        <v>6.2500000000000003E-3</v>
      </c>
    </row>
    <row r="54" spans="1:12" x14ac:dyDescent="0.25">
      <c r="A54">
        <v>1736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1736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1736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1736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1736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1736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1736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1736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1736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1736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1736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1736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1736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1736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1736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1736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1736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1736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1736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1736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1736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1736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1736</v>
      </c>
      <c r="B76" t="s">
        <v>6</v>
      </c>
      <c r="C76" t="s">
        <v>100</v>
      </c>
      <c r="D76" t="s">
        <v>35</v>
      </c>
      <c r="F76">
        <v>303</v>
      </c>
      <c r="G76">
        <v>3</v>
      </c>
      <c r="H76">
        <v>8</v>
      </c>
      <c r="J76">
        <f t="shared" si="2"/>
        <v>34028</v>
      </c>
      <c r="L76">
        <f t="shared" si="3"/>
        <v>15.191071428571428</v>
      </c>
    </row>
    <row r="77" spans="1:12" x14ac:dyDescent="0.25">
      <c r="A77">
        <v>1736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1736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1736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1736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1736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1736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1736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1736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1736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1736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1736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1736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1736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1736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1736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1736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1736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1736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1736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1736</v>
      </c>
      <c r="B96" t="s">
        <v>13</v>
      </c>
      <c r="C96" t="s">
        <v>100</v>
      </c>
      <c r="D96" t="s">
        <v>35</v>
      </c>
      <c r="E96">
        <v>8</v>
      </c>
      <c r="F96">
        <v>14</v>
      </c>
      <c r="G96">
        <v>3</v>
      </c>
      <c r="H96">
        <v>1</v>
      </c>
      <c r="J96">
        <f t="shared" si="2"/>
        <v>19573</v>
      </c>
      <c r="L96">
        <f t="shared" si="3"/>
        <v>8.7379464285714281</v>
      </c>
    </row>
    <row r="97" spans="1:12" x14ac:dyDescent="0.25">
      <c r="A97">
        <v>1736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1736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1736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1736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1736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1736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1736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1736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1736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1736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1736</v>
      </c>
      <c r="B107" t="s">
        <v>18</v>
      </c>
      <c r="C107" t="s">
        <v>100</v>
      </c>
      <c r="D107" t="s">
        <v>35</v>
      </c>
      <c r="H107">
        <v>3321</v>
      </c>
      <c r="I107" t="s">
        <v>166</v>
      </c>
      <c r="J107">
        <f t="shared" si="2"/>
        <v>3321</v>
      </c>
      <c r="L107">
        <f t="shared" si="3"/>
        <v>1.4825892857142857</v>
      </c>
    </row>
    <row r="108" spans="1:12" x14ac:dyDescent="0.25">
      <c r="A108">
        <v>1736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1736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1736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1736</v>
      </c>
      <c r="B111" t="s">
        <v>45</v>
      </c>
      <c r="C111" t="s">
        <v>100</v>
      </c>
      <c r="D111" t="s">
        <v>35</v>
      </c>
      <c r="H111">
        <v>15</v>
      </c>
      <c r="J111">
        <f t="shared" si="2"/>
        <v>15</v>
      </c>
      <c r="L111">
        <f t="shared" si="3"/>
        <v>6.6964285714285711E-3</v>
      </c>
    </row>
    <row r="112" spans="1:12" x14ac:dyDescent="0.25">
      <c r="A112">
        <v>1736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1736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1736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1736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1736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1736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1736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1736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1736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1736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1736</v>
      </c>
      <c r="B122" t="s">
        <v>62</v>
      </c>
      <c r="C122" t="s">
        <v>100</v>
      </c>
      <c r="D122" t="s">
        <v>35</v>
      </c>
      <c r="E122">
        <v>4</v>
      </c>
      <c r="F122">
        <v>14</v>
      </c>
      <c r="G122">
        <v>2</v>
      </c>
      <c r="H122">
        <v>23</v>
      </c>
      <c r="J122">
        <f t="shared" si="2"/>
        <v>10607</v>
      </c>
      <c r="L122">
        <f t="shared" si="3"/>
        <v>4.7352678571428575</v>
      </c>
    </row>
    <row r="123" spans="1:12" x14ac:dyDescent="0.25">
      <c r="A123">
        <v>1736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1736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1736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1736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1736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1736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E0955C6A-3AF7-4E12-943C-40C9BEAA2D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1A819-CB79-4ED0-9DFB-5FE200DA50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DD94E-C574-4965-92ED-204EAEB799CF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cefc4363-6422-4cdd-96f6-49f865293ffe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2025-04-29T01:02:14Z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