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789" documentId="8_{8E578014-1D6C-4B3D-9DDE-0751CCEC0BC7}" xr6:coauthVersionLast="47" xr6:coauthVersionMax="47" xr10:uidLastSave="{717C8B4F-0708-4EC5-9939-22FF43F21C04}"/>
  <bookViews>
    <workbookView xWindow="-120" yWindow="-120" windowWidth="29040" windowHeight="15840" activeTab="9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Antigua!$A$1:$L$32</definedName>
    <definedName name="_xlnm._FilterDatabase" localSheetId="2" hidden="1">Barbados!$A$1:$L$34</definedName>
    <definedName name="_xlnm._FilterDatabase" localSheetId="4" hidden="1">Carolina!$A$1:$P$13</definedName>
    <definedName name="_xlnm._FilterDatabase" localSheetId="5" hidden="1">Jamaica!$A$1:$L$36</definedName>
    <definedName name="_xlnm._FilterDatabase" localSheetId="6" hidden="1">Mountserat!$A$1:$L$17</definedName>
    <definedName name="_xlnm._FilterDatabase" localSheetId="7" hidden="1">Nevis!$A$1:$P$23</definedName>
    <definedName name="_xlnm._FilterDatabase" localSheetId="9" hidden="1">NewEngland!$A$1:$L$19</definedName>
    <definedName name="_xlnm._FilterDatabase" localSheetId="8" hidden="1">'St Kitts'!$A$1:$L$7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" l="1"/>
  <c r="H4" i="10"/>
  <c r="H5" i="9"/>
  <c r="H4" i="8"/>
  <c r="H6" i="7"/>
  <c r="H7" i="4"/>
  <c r="H5" i="3"/>
  <c r="J6" i="11"/>
  <c r="J5" i="9"/>
  <c r="J4" i="8"/>
  <c r="J6" i="7"/>
  <c r="J7" i="4"/>
  <c r="J2" i="11"/>
  <c r="J3" i="11"/>
  <c r="J14" i="11"/>
  <c r="J5" i="11"/>
  <c r="J9" i="11"/>
  <c r="J17" i="11"/>
  <c r="J15" i="11"/>
  <c r="J18" i="11"/>
  <c r="J19" i="11"/>
  <c r="J16" i="11"/>
  <c r="J4" i="10"/>
  <c r="J4" i="9"/>
  <c r="J3" i="9"/>
  <c r="J10" i="9"/>
  <c r="J15" i="9"/>
  <c r="J9" i="9"/>
  <c r="J20" i="9"/>
  <c r="J17" i="9"/>
  <c r="J21" i="9"/>
  <c r="J19" i="9"/>
  <c r="J18" i="9"/>
  <c r="J22" i="9"/>
  <c r="J23" i="9"/>
  <c r="J3" i="8"/>
  <c r="J11" i="7"/>
  <c r="J10" i="7"/>
  <c r="J13" i="7"/>
  <c r="J28" i="7"/>
  <c r="J31" i="7"/>
  <c r="J3" i="7"/>
  <c r="J20" i="7"/>
  <c r="J10" i="4"/>
  <c r="J13" i="4"/>
  <c r="J11" i="4"/>
  <c r="J15" i="4"/>
  <c r="J28" i="4"/>
  <c r="J31" i="4"/>
  <c r="J3" i="4"/>
  <c r="J21" i="4"/>
  <c r="J9" i="3"/>
  <c r="J10" i="3"/>
  <c r="J15" i="3"/>
  <c r="J16" i="3"/>
  <c r="J17" i="3"/>
  <c r="J12" i="3"/>
  <c r="J5" i="3"/>
  <c r="J3" i="3"/>
  <c r="J11" i="3"/>
  <c r="J4" i="3"/>
  <c r="J14" i="3"/>
  <c r="J23" i="3"/>
  <c r="J21" i="3"/>
  <c r="J27" i="3"/>
  <c r="J26" i="3"/>
  <c r="J19" i="3"/>
  <c r="J32" i="3"/>
  <c r="J28" i="3"/>
  <c r="J29" i="3"/>
  <c r="J30" i="3"/>
  <c r="J25" i="3"/>
  <c r="J22" i="3"/>
  <c r="J20" i="3"/>
  <c r="J24" i="3"/>
  <c r="J31" i="3"/>
  <c r="C3" i="12"/>
  <c r="C4" i="12"/>
  <c r="C6" i="12"/>
  <c r="C8" i="12"/>
  <c r="C25" i="12"/>
  <c r="C26" i="12"/>
  <c r="C27" i="12"/>
  <c r="C29" i="12"/>
  <c r="B4" i="12"/>
  <c r="B6" i="12"/>
  <c r="B8" i="12"/>
  <c r="B27" i="12"/>
  <c r="B28" i="12"/>
  <c r="B29" i="12"/>
  <c r="C2" i="12"/>
  <c r="D6" i="12" l="1"/>
  <c r="D4" i="12"/>
  <c r="D8" i="12"/>
  <c r="D29" i="12"/>
  <c r="D27" i="12"/>
  <c r="L18" i="11"/>
  <c r="L19" i="11"/>
  <c r="L16" i="11"/>
  <c r="L15" i="11"/>
  <c r="J34" i="7"/>
  <c r="L34" i="7" s="1"/>
  <c r="C28" i="12" s="1"/>
  <c r="D28" i="12" s="1"/>
  <c r="J30" i="7"/>
  <c r="L30" i="7" s="1"/>
  <c r="L12" i="6"/>
  <c r="J5" i="6"/>
  <c r="L5" i="6" s="1"/>
  <c r="J6" i="6"/>
  <c r="L6" i="6" s="1"/>
  <c r="J2" i="6"/>
  <c r="L2" i="6" s="1"/>
  <c r="J3" i="6"/>
  <c r="L3" i="6" s="1"/>
  <c r="J7" i="6"/>
  <c r="L7" i="6" s="1"/>
  <c r="J11" i="6"/>
  <c r="L11" i="6" s="1"/>
  <c r="J12" i="6"/>
  <c r="J13" i="6"/>
  <c r="L13" i="6" s="1"/>
  <c r="J8" i="6"/>
  <c r="L8" i="6" s="1"/>
  <c r="J10" i="6"/>
  <c r="L10" i="6" s="1"/>
  <c r="J9" i="6"/>
  <c r="L9" i="6" s="1"/>
  <c r="L10" i="4"/>
  <c r="J16" i="4"/>
  <c r="L16" i="4" s="1"/>
  <c r="J17" i="4"/>
  <c r="L17" i="4" s="1"/>
  <c r="J18" i="4"/>
  <c r="L18" i="4" s="1"/>
  <c r="L13" i="4"/>
  <c r="L7" i="4"/>
  <c r="J5" i="4"/>
  <c r="L5" i="4" s="1"/>
  <c r="J6" i="4"/>
  <c r="L6" i="4" s="1"/>
  <c r="J4" i="4"/>
  <c r="L4" i="4" s="1"/>
  <c r="L11" i="4"/>
  <c r="L15" i="4"/>
  <c r="J19" i="4"/>
  <c r="L19" i="4" s="1"/>
  <c r="J27" i="4"/>
  <c r="L27" i="4" s="1"/>
  <c r="J25" i="4"/>
  <c r="L25" i="4" s="1"/>
  <c r="L21" i="4"/>
  <c r="J34" i="4"/>
  <c r="L34" i="4" s="1"/>
  <c r="J29" i="4"/>
  <c r="L29" i="4" s="1"/>
  <c r="J26" i="4"/>
  <c r="L26" i="4" s="1"/>
  <c r="J30" i="4"/>
  <c r="L30" i="4" s="1"/>
  <c r="J32" i="4"/>
  <c r="L32" i="4" s="1"/>
  <c r="J22" i="4"/>
  <c r="L22" i="4" s="1"/>
  <c r="J23" i="4"/>
  <c r="L23" i="4" s="1"/>
  <c r="J24" i="4"/>
  <c r="L24" i="4" s="1"/>
  <c r="L28" i="4"/>
  <c r="L31" i="4"/>
  <c r="J33" i="4"/>
  <c r="L33" i="4" s="1"/>
  <c r="L27" i="3"/>
  <c r="L26" i="3"/>
  <c r="L19" i="3"/>
  <c r="L32" i="3"/>
  <c r="L28" i="3"/>
  <c r="L29" i="3"/>
  <c r="L30" i="3"/>
  <c r="C22" i="12" s="1"/>
  <c r="L25" i="3"/>
  <c r="C30" i="12" s="1"/>
  <c r="L22" i="3"/>
  <c r="L20" i="3"/>
  <c r="L24" i="3"/>
  <c r="L31" i="3"/>
  <c r="L21" i="3"/>
  <c r="L6" i="11"/>
  <c r="L2" i="11"/>
  <c r="H13" i="11"/>
  <c r="J13" i="11" s="1"/>
  <c r="L13" i="11" s="1"/>
  <c r="J11" i="11"/>
  <c r="L11" i="11" s="1"/>
  <c r="J12" i="11"/>
  <c r="L12" i="11" s="1"/>
  <c r="J7" i="11"/>
  <c r="L7" i="11" s="1"/>
  <c r="J8" i="11"/>
  <c r="L8" i="11" s="1"/>
  <c r="J10" i="11"/>
  <c r="L10" i="11" s="1"/>
  <c r="J8" i="9"/>
  <c r="L8" i="9" s="1"/>
  <c r="L3" i="8"/>
  <c r="J9" i="8"/>
  <c r="L9" i="8" s="1"/>
  <c r="J12" i="8"/>
  <c r="L12" i="8" s="1"/>
  <c r="J7" i="8"/>
  <c r="L7" i="8" s="1"/>
  <c r="L11" i="7"/>
  <c r="J8" i="3"/>
  <c r="L8" i="3" s="1"/>
  <c r="L9" i="3"/>
  <c r="L10" i="3"/>
  <c r="L17" i="11"/>
  <c r="L22" i="9"/>
  <c r="L23" i="9"/>
  <c r="L20" i="9"/>
  <c r="L18" i="9"/>
  <c r="J17" i="8"/>
  <c r="L17" i="8" s="1"/>
  <c r="J13" i="8"/>
  <c r="L13" i="8" s="1"/>
  <c r="J15" i="8"/>
  <c r="L15" i="8" s="1"/>
  <c r="J27" i="7"/>
  <c r="L27" i="7" s="1"/>
  <c r="J25" i="7"/>
  <c r="L25" i="7" s="1"/>
  <c r="L9" i="9"/>
  <c r="J14" i="9"/>
  <c r="L14" i="9" s="1"/>
  <c r="J5" i="7"/>
  <c r="L5" i="7" s="1"/>
  <c r="J32" i="7"/>
  <c r="L32" i="7" s="1"/>
  <c r="L9" i="11"/>
  <c r="L5" i="11"/>
  <c r="L14" i="11"/>
  <c r="L3" i="11"/>
  <c r="B3" i="12" s="1"/>
  <c r="D3" i="12" s="1"/>
  <c r="J4" i="11"/>
  <c r="L4" i="11" s="1"/>
  <c r="J7" i="10"/>
  <c r="L7" i="10" s="1"/>
  <c r="J2" i="10"/>
  <c r="L2" i="10" s="1"/>
  <c r="J6" i="10"/>
  <c r="L6" i="10" s="1"/>
  <c r="L4" i="10"/>
  <c r="J3" i="10"/>
  <c r="L3" i="10" s="1"/>
  <c r="J5" i="10"/>
  <c r="L5" i="10" s="1"/>
  <c r="L15" i="9"/>
  <c r="J16" i="9"/>
  <c r="L16" i="9" s="1"/>
  <c r="L19" i="9"/>
  <c r="L21" i="9"/>
  <c r="L17" i="9"/>
  <c r="L10" i="9"/>
  <c r="L4" i="9"/>
  <c r="L5" i="9"/>
  <c r="J12" i="9"/>
  <c r="L12" i="9" s="1"/>
  <c r="J11" i="9"/>
  <c r="L11" i="9" s="1"/>
  <c r="J7" i="9"/>
  <c r="L7" i="9" s="1"/>
  <c r="J2" i="9"/>
  <c r="L2" i="9" s="1"/>
  <c r="J13" i="9"/>
  <c r="L13" i="9" s="1"/>
  <c r="P6" i="9" s="1"/>
  <c r="J6" i="9"/>
  <c r="L6" i="9" s="1"/>
  <c r="J16" i="8"/>
  <c r="L16" i="8" s="1"/>
  <c r="J14" i="8"/>
  <c r="L14" i="8" s="1"/>
  <c r="J10" i="8"/>
  <c r="L10" i="8" s="1"/>
  <c r="J8" i="8"/>
  <c r="L8" i="8" s="1"/>
  <c r="L4" i="8"/>
  <c r="J11" i="8"/>
  <c r="L11" i="8" s="1"/>
  <c r="J6" i="8"/>
  <c r="L6" i="8" s="1"/>
  <c r="J2" i="8"/>
  <c r="L2" i="8" s="1"/>
  <c r="J5" i="8"/>
  <c r="L5" i="8" s="1"/>
  <c r="J35" i="7"/>
  <c r="L35" i="7" s="1"/>
  <c r="L31" i="7"/>
  <c r="J29" i="7"/>
  <c r="L29" i="7" s="1"/>
  <c r="L28" i="7"/>
  <c r="J22" i="7"/>
  <c r="L22" i="7" s="1"/>
  <c r="J21" i="7"/>
  <c r="L21" i="7" s="1"/>
  <c r="J23" i="7"/>
  <c r="L23" i="7" s="1"/>
  <c r="J33" i="7"/>
  <c r="L33" i="7" s="1"/>
  <c r="J26" i="7"/>
  <c r="L26" i="7" s="1"/>
  <c r="J36" i="7"/>
  <c r="L36" i="7" s="1"/>
  <c r="L20" i="7"/>
  <c r="J24" i="7"/>
  <c r="L24" i="7" s="1"/>
  <c r="J18" i="7"/>
  <c r="L18" i="7" s="1"/>
  <c r="L13" i="7"/>
  <c r="J12" i="7"/>
  <c r="L12" i="7" s="1"/>
  <c r="L10" i="7"/>
  <c r="J4" i="7"/>
  <c r="L4" i="7" s="1"/>
  <c r="L6" i="7"/>
  <c r="J17" i="7"/>
  <c r="L17" i="7" s="1"/>
  <c r="J15" i="7"/>
  <c r="L15" i="7" s="1"/>
  <c r="J14" i="7"/>
  <c r="L14" i="7" s="1"/>
  <c r="J9" i="7"/>
  <c r="L9" i="7" s="1"/>
  <c r="J19" i="7"/>
  <c r="L19" i="7" s="1"/>
  <c r="L3" i="7"/>
  <c r="J16" i="7"/>
  <c r="L16" i="7" s="1"/>
  <c r="J7" i="7"/>
  <c r="L7" i="7" s="1"/>
  <c r="J8" i="7"/>
  <c r="L8" i="7" s="1"/>
  <c r="J2" i="7"/>
  <c r="L2" i="7" s="1"/>
  <c r="J4" i="6"/>
  <c r="L4" i="6" s="1"/>
  <c r="J3" i="5"/>
  <c r="L3" i="5" s="1"/>
  <c r="J2" i="5"/>
  <c r="L2" i="5" s="1"/>
  <c r="J12" i="4"/>
  <c r="L12" i="4" s="1"/>
  <c r="B25" i="12" s="1"/>
  <c r="D25" i="12" s="1"/>
  <c r="J20" i="4"/>
  <c r="L20" i="4" s="1"/>
  <c r="L3" i="4"/>
  <c r="J14" i="4"/>
  <c r="L14" i="4" s="1"/>
  <c r="J8" i="4"/>
  <c r="L8" i="4" s="1"/>
  <c r="J9" i="4"/>
  <c r="L9" i="4" s="1"/>
  <c r="J2" i="4"/>
  <c r="L2" i="4" s="1"/>
  <c r="L23" i="3"/>
  <c r="L14" i="3"/>
  <c r="L4" i="3"/>
  <c r="L11" i="3"/>
  <c r="L3" i="3"/>
  <c r="L5" i="3"/>
  <c r="L12" i="3"/>
  <c r="L17" i="3"/>
  <c r="L16" i="3"/>
  <c r="L15" i="3"/>
  <c r="J18" i="3"/>
  <c r="L18" i="3" s="1"/>
  <c r="J2" i="3"/>
  <c r="L2" i="3" s="1"/>
  <c r="J13" i="3"/>
  <c r="L13" i="3" s="1"/>
  <c r="J6" i="3"/>
  <c r="L6" i="3" s="1"/>
  <c r="J7" i="3"/>
  <c r="L7" i="3" s="1"/>
  <c r="C20" i="12" l="1"/>
  <c r="P4" i="6"/>
  <c r="C14" i="12"/>
  <c r="B14" i="12"/>
  <c r="C7" i="12"/>
  <c r="N4" i="6"/>
  <c r="B18" i="12"/>
  <c r="C13" i="12"/>
  <c r="B12" i="12"/>
  <c r="B11" i="12"/>
  <c r="B21" i="12"/>
  <c r="B9" i="12"/>
  <c r="C9" i="12"/>
  <c r="B13" i="12"/>
  <c r="B26" i="12"/>
  <c r="D26" i="12" s="1"/>
  <c r="C12" i="12"/>
  <c r="C17" i="12"/>
  <c r="B17" i="12"/>
  <c r="C11" i="12"/>
  <c r="C24" i="12"/>
  <c r="B23" i="12"/>
  <c r="C19" i="12"/>
  <c r="C23" i="12"/>
  <c r="C10" i="12"/>
  <c r="B24" i="12"/>
  <c r="B15" i="12"/>
  <c r="C21" i="12"/>
  <c r="B5" i="12"/>
  <c r="B22" i="12"/>
  <c r="D22" i="12" s="1"/>
  <c r="B10" i="12"/>
  <c r="B19" i="12"/>
  <c r="C5" i="12"/>
  <c r="B16" i="12"/>
  <c r="B20" i="12"/>
  <c r="D20" i="12" s="1"/>
  <c r="B2" i="12"/>
  <c r="D2" i="12" s="1"/>
  <c r="C16" i="12"/>
  <c r="C15" i="12"/>
  <c r="B30" i="12"/>
  <c r="D30" i="12" s="1"/>
  <c r="B7" i="12"/>
  <c r="D7" i="12" s="1"/>
  <c r="C18" i="12"/>
  <c r="D18" i="12" s="1"/>
  <c r="N6" i="9"/>
  <c r="D14" i="12" l="1"/>
  <c r="D13" i="12"/>
  <c r="D21" i="12"/>
  <c r="D11" i="12"/>
  <c r="D12" i="12"/>
  <c r="D9" i="12"/>
  <c r="D17" i="12"/>
  <c r="D10" i="12"/>
  <c r="D23" i="12"/>
  <c r="D19" i="12"/>
  <c r="D16" i="12"/>
  <c r="D5" i="12"/>
  <c r="D15" i="12"/>
  <c r="D24" i="12"/>
</calcChain>
</file>

<file path=xl/sharedStrings.xml><?xml version="1.0" encoding="utf-8"?>
<sst xmlns="http://schemas.openxmlformats.org/spreadsheetml/2006/main" count="679" uniqueCount="94">
  <si>
    <t>Total Pounds</t>
  </si>
  <si>
    <t>London</t>
  </si>
  <si>
    <t>Indigo</t>
  </si>
  <si>
    <t>Cotton</t>
  </si>
  <si>
    <t>Elephants Teeth</t>
  </si>
  <si>
    <t>Out Ports</t>
  </si>
  <si>
    <t>Chocolate</t>
  </si>
  <si>
    <t>Dry Ginger</t>
  </si>
  <si>
    <t>Molasses</t>
  </si>
  <si>
    <t>Brown Sugar</t>
  </si>
  <si>
    <t>White Sugar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</si>
  <si>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</si>
  <si>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</si>
  <si>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</si>
  <si>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</si>
  <si>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</si>
  <si>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</si>
  <si>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</si>
  <si>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</si>
  <si>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</si>
  <si>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</si>
  <si>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</si>
  <si>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</si>
  <si>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Cocoa Past</t>
  </si>
  <si>
    <t>Pimento</t>
  </si>
  <si>
    <t>Total Not Sugar</t>
  </si>
  <si>
    <t>Total Sugar</t>
  </si>
  <si>
    <t>3 Bags</t>
  </si>
  <si>
    <t>Lignum Vitae</t>
  </si>
  <si>
    <t>Pickles</t>
  </si>
  <si>
    <t>1 Bag</t>
  </si>
  <si>
    <t>Snuff</t>
  </si>
  <si>
    <t>Lemon Water</t>
  </si>
  <si>
    <t>50 Gallons</t>
  </si>
  <si>
    <t>27 Gallons</t>
  </si>
  <si>
    <t>498 Bags</t>
  </si>
  <si>
    <t>110 Gallons</t>
  </si>
  <si>
    <t>81 Gallons</t>
  </si>
  <si>
    <t>60 Gallons</t>
  </si>
  <si>
    <t>935 Bags</t>
  </si>
  <si>
    <t>2331 Gallons</t>
  </si>
  <si>
    <t>1411 Gallons</t>
  </si>
  <si>
    <t>Cocoa Nuts</t>
  </si>
  <si>
    <t>5 Gal</t>
  </si>
  <si>
    <t>672 Bags</t>
  </si>
  <si>
    <t>1373 Gal</t>
  </si>
  <si>
    <t>195 Gal</t>
  </si>
  <si>
    <t>25 Bags</t>
  </si>
  <si>
    <t>221 Bag</t>
  </si>
  <si>
    <t>5 Cases</t>
  </si>
  <si>
    <t>11 Gall</t>
  </si>
  <si>
    <t>Bayberries</t>
  </si>
  <si>
    <t>200 Gall</t>
  </si>
  <si>
    <t>42 Gall</t>
  </si>
  <si>
    <t>18 Gall</t>
  </si>
  <si>
    <t>Not Sugar</t>
  </si>
  <si>
    <t>Sugar</t>
  </si>
  <si>
    <t>529 Gal</t>
  </si>
  <si>
    <t>94 Gal</t>
  </si>
  <si>
    <t>221 Gall</t>
  </si>
  <si>
    <t>190 Gal</t>
  </si>
  <si>
    <t>Tea</t>
  </si>
  <si>
    <t>Succand</t>
  </si>
  <si>
    <t>Item</t>
  </si>
  <si>
    <t>Total London</t>
  </si>
  <si>
    <t>Total Outports</t>
  </si>
  <si>
    <t>Total</t>
  </si>
  <si>
    <t>Bees Wax</t>
  </si>
  <si>
    <t>Cascarilla</t>
  </si>
  <si>
    <t>Cockeneal</t>
  </si>
  <si>
    <t>Muscavado Sugar</t>
  </si>
  <si>
    <t>Sasparilla</t>
  </si>
  <si>
    <t>11 pipes 23.5 Gallons</t>
  </si>
  <si>
    <t>YEAR</t>
  </si>
  <si>
    <t>COMMODITY_NAME</t>
  </si>
  <si>
    <t>FROM_LOCATION</t>
  </si>
  <si>
    <t>TO_LOCATION</t>
  </si>
  <si>
    <t>ton</t>
  </si>
  <si>
    <t>hh</t>
  </si>
  <si>
    <t>quarter</t>
  </si>
  <si>
    <t>lb</t>
  </si>
  <si>
    <t>WEIGHT</t>
  </si>
  <si>
    <t>Antigua</t>
  </si>
  <si>
    <t>Wood, Fustick</t>
  </si>
  <si>
    <t>Succads</t>
  </si>
  <si>
    <t>Barbados</t>
  </si>
  <si>
    <t>Bermuda</t>
  </si>
  <si>
    <t>Carolina</t>
  </si>
  <si>
    <t>Jamaica</t>
  </si>
  <si>
    <t>Mountserat</t>
  </si>
  <si>
    <t>Nevis</t>
  </si>
  <si>
    <t>StKitts</t>
  </si>
  <si>
    <t>Hopps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</si>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</sst>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dimension ref="A1:D30"/>
  <sheetViews>
    <sheetView workbookViewId="0">
      <selection activeCell="B38" sqref="B38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63</v>
      </c>
      <c r="B1" t="s">
        <v>64</v>
      </c>
      <c r="C1" t="s">
        <v>65</v>
      </c>
      <c r="D1" t="s">
        <v>66</v>
      </c>
    </row>
    <row r="2" spans="1:4" x14ac:dyDescent="0.25">
      <c r="A2" t="s">
        <v>17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3.905357142857143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</v>
      </c>
      <c r="D2">
        <f>ROUND((B2+C2),2)</f>
        <v>3.91</v>
      </c>
    </row>
    <row r="3" spans="1:4" x14ac:dyDescent="0.25">
      <c r="A3" t="s">
        <v>22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3.5714285714285712E-2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30" si="0">ROUND((B3+C3),2)</f>
        <v>0.04</v>
      </c>
    </row>
    <row r="4" spans="1:4" x14ac:dyDescent="0.25">
      <c r="A4" t="s">
        <v>67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0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0</v>
      </c>
    </row>
    <row r="5" spans="1:4" x14ac:dyDescent="0.25">
      <c r="A5" t="s">
        <v>9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15143.943498883929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3962.1042968749994</v>
      </c>
      <c r="D5">
        <f t="shared" si="0"/>
        <v>19106.05</v>
      </c>
    </row>
    <row r="6" spans="1:4" x14ac:dyDescent="0.25">
      <c r="A6" t="s">
        <v>68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0</v>
      </c>
      <c r="D6">
        <f t="shared" si="0"/>
        <v>0</v>
      </c>
    </row>
    <row r="7" spans="1:4" x14ac:dyDescent="0.25">
      <c r="A7" t="s">
        <v>6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0.25089285714285714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1.8303571428571429E-2</v>
      </c>
      <c r="D7">
        <f t="shared" si="0"/>
        <v>0.27</v>
      </c>
    </row>
    <row r="8" spans="1:4" x14ac:dyDescent="0.25">
      <c r="A8" t="s">
        <v>69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0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</v>
      </c>
      <c r="D8">
        <f t="shared" si="0"/>
        <v>0</v>
      </c>
    </row>
    <row r="9" spans="1:4" x14ac:dyDescent="0.25">
      <c r="A9" t="s">
        <v>42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53.618275669642848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2.5377511160714286</v>
      </c>
      <c r="D9">
        <f t="shared" si="0"/>
        <v>56.16</v>
      </c>
    </row>
    <row r="10" spans="1:4" x14ac:dyDescent="0.25">
      <c r="A10" t="s">
        <v>3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191.50111607142858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82.559933035714295</v>
      </c>
      <c r="D10">
        <f t="shared" si="0"/>
        <v>274.06</v>
      </c>
    </row>
    <row r="11" spans="1:4" x14ac:dyDescent="0.25">
      <c r="A11" t="s">
        <v>7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477.94285714285718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88.177678571428572</v>
      </c>
      <c r="D11">
        <f t="shared" si="0"/>
        <v>566.12</v>
      </c>
    </row>
    <row r="12" spans="1:4" x14ac:dyDescent="0.25">
      <c r="A12" t="s">
        <v>16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10.2015625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0.97857142857142865</v>
      </c>
      <c r="D12">
        <f t="shared" si="0"/>
        <v>11.18</v>
      </c>
    </row>
    <row r="13" spans="1:4" x14ac:dyDescent="0.25">
      <c r="A13" t="s">
        <v>2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68.217131696428567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12.83080357142857</v>
      </c>
      <c r="D13">
        <f t="shared" si="0"/>
        <v>81.05</v>
      </c>
    </row>
    <row r="14" spans="1:4" x14ac:dyDescent="0.25">
      <c r="A14" t="s">
        <v>28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46.28125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47.310714285714283</v>
      </c>
      <c r="D14">
        <f t="shared" si="0"/>
        <v>93.59</v>
      </c>
    </row>
    <row r="15" spans="1:4" x14ac:dyDescent="0.25">
      <c r="A15" t="s">
        <v>12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17.781026785714285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2.5412946428571428</v>
      </c>
      <c r="D15">
        <f t="shared" si="0"/>
        <v>20.32</v>
      </c>
    </row>
    <row r="16" spans="1:4" x14ac:dyDescent="0.25">
      <c r="A16" t="s">
        <v>8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372.80133928571428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133.90267857142857</v>
      </c>
      <c r="D16">
        <f t="shared" si="0"/>
        <v>506.7</v>
      </c>
    </row>
    <row r="17" spans="1:4" x14ac:dyDescent="0.25">
      <c r="A17" t="s">
        <v>24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55.053571428571423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5.3857142857142861</v>
      </c>
      <c r="D17">
        <f t="shared" si="0"/>
        <v>60.44</v>
      </c>
    </row>
    <row r="18" spans="1:4" x14ac:dyDescent="0.25">
      <c r="A18" t="s">
        <v>18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108.51249999999999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161.26249999999999</v>
      </c>
      <c r="D18">
        <f t="shared" si="0"/>
        <v>269.77999999999997</v>
      </c>
    </row>
    <row r="19" spans="1:4" x14ac:dyDescent="0.25">
      <c r="A19" t="s">
        <v>13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7.5361049107142861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1.2680803571428572</v>
      </c>
      <c r="D19">
        <f t="shared" si="0"/>
        <v>8.8000000000000007</v>
      </c>
    </row>
    <row r="20" spans="1:4" x14ac:dyDescent="0.25">
      <c r="A20" t="s">
        <v>15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6.8812779017857144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0.59182477678571432</v>
      </c>
      <c r="D20">
        <f t="shared" si="0"/>
        <v>7.47</v>
      </c>
    </row>
    <row r="21" spans="1:4" x14ac:dyDescent="0.25">
      <c r="A21" t="s">
        <v>84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0.47226562499999991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0.10758928571428572</v>
      </c>
      <c r="D21">
        <f t="shared" si="0"/>
        <v>0.57999999999999996</v>
      </c>
    </row>
    <row r="22" spans="1:4" x14ac:dyDescent="0.25">
      <c r="A22" t="s">
        <v>11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79.104910714285708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11.020089285714285</v>
      </c>
      <c r="D22">
        <f t="shared" si="0"/>
        <v>90.13</v>
      </c>
    </row>
    <row r="23" spans="1:4" x14ac:dyDescent="0.25">
      <c r="A23" t="s">
        <v>14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1.0852957589285714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6.6350446428571422E-2</v>
      </c>
      <c r="D23">
        <f t="shared" si="0"/>
        <v>1.1499999999999999</v>
      </c>
    </row>
    <row r="24" spans="1:4" x14ac:dyDescent="0.25">
      <c r="A24" t="s">
        <v>10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62.037499999999994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3.5486607142857145</v>
      </c>
      <c r="D24">
        <f t="shared" si="0"/>
        <v>65.59</v>
      </c>
    </row>
    <row r="25" spans="1:4" x14ac:dyDescent="0.25">
      <c r="A25" t="s">
        <v>21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5.3571428571428572E-3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0</v>
      </c>
      <c r="D25">
        <f t="shared" si="0"/>
        <v>0.01</v>
      </c>
    </row>
    <row r="26" spans="1:4" x14ac:dyDescent="0.25">
      <c r="A26" t="s">
        <v>19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8.9843749999999993E-3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0.01</v>
      </c>
    </row>
    <row r="27" spans="1:4" x14ac:dyDescent="0.25">
      <c r="A27" t="s">
        <v>70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0</v>
      </c>
      <c r="D27">
        <f t="shared" si="0"/>
        <v>0</v>
      </c>
    </row>
    <row r="28" spans="1:4" x14ac:dyDescent="0.25">
      <c r="A28" t="s">
        <v>61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0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8.1250000000000003E-2</v>
      </c>
      <c r="D28">
        <f t="shared" si="0"/>
        <v>0.08</v>
      </c>
    </row>
    <row r="29" spans="1:4" x14ac:dyDescent="0.25">
      <c r="A29" t="s">
        <v>71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</v>
      </c>
      <c r="D29">
        <f t="shared" si="0"/>
        <v>0</v>
      </c>
    </row>
    <row r="30" spans="1:4" x14ac:dyDescent="0.25">
      <c r="A30" t="s">
        <v>20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5.4308035714285721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0.1875</v>
      </c>
      <c r="D30">
        <f t="shared" si="0"/>
        <v>5.62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32"/>
  <sheetViews>
    <sheetView workbookViewId="0">
      <selection activeCell="H6" sqref="H6"/>
    </sheetView>
  </sheetViews>
  <sheetFormatPr defaultRowHeight="15" x14ac:dyDescent="0.25"/>
  <cols>
    <col min="2" max="3" width="17.5703125" customWidth="1"/>
    <col min="4" max="4" width="15.85546875" customWidth="1"/>
    <col min="7" max="7" width="11.140625" customWidth="1"/>
    <col min="8" max="9" width="18.4257812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9</v>
      </c>
      <c r="C2" t="s">
        <v>82</v>
      </c>
      <c r="D2" t="s">
        <v>1</v>
      </c>
      <c r="F2">
        <v>50762</v>
      </c>
      <c r="H2">
        <v>18</v>
      </c>
      <c r="J2">
        <f t="shared" ref="J2:J32" si="0">(E2*2240)+(F2*112)+(G2*28)+H2</f>
        <v>5685362</v>
      </c>
      <c r="L2">
        <f t="shared" ref="L2:L32" si="1">J2/2240</f>
        <v>2538.1080357142855</v>
      </c>
    </row>
    <row r="3" spans="1:12" x14ac:dyDescent="0.25">
      <c r="A3">
        <v>1703</v>
      </c>
      <c r="B3" t="s">
        <v>6</v>
      </c>
      <c r="C3" t="s">
        <v>82</v>
      </c>
      <c r="D3" t="s">
        <v>1</v>
      </c>
      <c r="H3">
        <v>16</v>
      </c>
      <c r="J3">
        <f t="shared" si="0"/>
        <v>16</v>
      </c>
      <c r="L3">
        <f t="shared" si="1"/>
        <v>7.1428571428571426E-3</v>
      </c>
    </row>
    <row r="4" spans="1:12" x14ac:dyDescent="0.25">
      <c r="A4">
        <v>1703</v>
      </c>
      <c r="B4" t="s">
        <v>42</v>
      </c>
      <c r="C4" t="s">
        <v>82</v>
      </c>
      <c r="D4" t="s">
        <v>1</v>
      </c>
      <c r="F4">
        <v>86</v>
      </c>
      <c r="G4">
        <v>3</v>
      </c>
      <c r="H4">
        <v>1</v>
      </c>
      <c r="J4">
        <f t="shared" si="0"/>
        <v>9717</v>
      </c>
      <c r="L4">
        <f t="shared" si="1"/>
        <v>4.3379464285714286</v>
      </c>
    </row>
    <row r="5" spans="1:12" x14ac:dyDescent="0.25">
      <c r="A5">
        <v>1703</v>
      </c>
      <c r="B5" t="s">
        <v>3</v>
      </c>
      <c r="C5" t="s">
        <v>82</v>
      </c>
      <c r="D5" t="s">
        <v>1</v>
      </c>
      <c r="H5">
        <f>498*200</f>
        <v>99600</v>
      </c>
      <c r="I5" t="s">
        <v>35</v>
      </c>
      <c r="J5">
        <f t="shared" si="0"/>
        <v>99600</v>
      </c>
      <c r="L5">
        <f t="shared" si="1"/>
        <v>44.464285714285715</v>
      </c>
    </row>
    <row r="6" spans="1:12" x14ac:dyDescent="0.25">
      <c r="A6">
        <v>1703</v>
      </c>
      <c r="B6" t="s">
        <v>7</v>
      </c>
      <c r="C6" t="s">
        <v>82</v>
      </c>
      <c r="D6" t="s">
        <v>1</v>
      </c>
      <c r="F6">
        <v>983</v>
      </c>
      <c r="G6">
        <v>2</v>
      </c>
      <c r="H6">
        <v>10</v>
      </c>
      <c r="J6">
        <f t="shared" si="0"/>
        <v>110162</v>
      </c>
      <c r="L6">
        <f t="shared" si="1"/>
        <v>49.179464285714289</v>
      </c>
    </row>
    <row r="7" spans="1:12" x14ac:dyDescent="0.25">
      <c r="A7">
        <v>1703</v>
      </c>
      <c r="B7" t="s">
        <v>16</v>
      </c>
      <c r="C7" t="s">
        <v>82</v>
      </c>
      <c r="D7" t="s">
        <v>1</v>
      </c>
      <c r="F7">
        <v>19</v>
      </c>
      <c r="G7">
        <v>1</v>
      </c>
      <c r="H7">
        <v>14</v>
      </c>
      <c r="J7">
        <f t="shared" si="0"/>
        <v>2170</v>
      </c>
      <c r="L7">
        <f t="shared" si="1"/>
        <v>0.96875</v>
      </c>
    </row>
    <row r="8" spans="1:12" x14ac:dyDescent="0.25">
      <c r="A8">
        <v>1703</v>
      </c>
      <c r="B8" t="s">
        <v>2</v>
      </c>
      <c r="C8" t="s">
        <v>82</v>
      </c>
      <c r="D8" t="s">
        <v>1</v>
      </c>
      <c r="H8">
        <v>50</v>
      </c>
      <c r="J8">
        <f t="shared" si="0"/>
        <v>50</v>
      </c>
      <c r="L8">
        <f t="shared" si="1"/>
        <v>2.2321428571428572E-2</v>
      </c>
    </row>
    <row r="9" spans="1:12" x14ac:dyDescent="0.25">
      <c r="A9">
        <v>1703</v>
      </c>
      <c r="B9" t="s">
        <v>32</v>
      </c>
      <c r="C9" t="s">
        <v>82</v>
      </c>
      <c r="D9" t="s">
        <v>1</v>
      </c>
      <c r="H9">
        <v>500</v>
      </c>
      <c r="I9" t="s">
        <v>33</v>
      </c>
      <c r="J9">
        <f t="shared" si="0"/>
        <v>500</v>
      </c>
      <c r="L9">
        <f t="shared" si="1"/>
        <v>0.22321428571428573</v>
      </c>
    </row>
    <row r="10" spans="1:12" x14ac:dyDescent="0.25">
      <c r="A10">
        <v>1703</v>
      </c>
      <c r="B10" t="s">
        <v>28</v>
      </c>
      <c r="C10" t="s">
        <v>82</v>
      </c>
      <c r="D10" t="s">
        <v>1</v>
      </c>
      <c r="F10">
        <v>873</v>
      </c>
      <c r="H10">
        <v>14</v>
      </c>
      <c r="J10">
        <f t="shared" si="0"/>
        <v>97790</v>
      </c>
      <c r="L10">
        <f t="shared" si="1"/>
        <v>43.65625</v>
      </c>
    </row>
    <row r="11" spans="1:12" x14ac:dyDescent="0.25">
      <c r="A11">
        <v>1703</v>
      </c>
      <c r="B11" t="s">
        <v>12</v>
      </c>
      <c r="C11" t="s">
        <v>82</v>
      </c>
      <c r="D11" t="s">
        <v>1</v>
      </c>
      <c r="H11">
        <v>1100</v>
      </c>
      <c r="I11" t="s">
        <v>36</v>
      </c>
      <c r="J11">
        <f t="shared" si="0"/>
        <v>1100</v>
      </c>
      <c r="L11">
        <f t="shared" si="1"/>
        <v>0.49107142857142855</v>
      </c>
    </row>
    <row r="12" spans="1:12" x14ac:dyDescent="0.25">
      <c r="A12">
        <v>1703</v>
      </c>
      <c r="B12" t="s">
        <v>20</v>
      </c>
      <c r="C12" t="s">
        <v>82</v>
      </c>
      <c r="D12" t="s">
        <v>1</v>
      </c>
      <c r="H12">
        <v>270</v>
      </c>
      <c r="I12" t="s">
        <v>34</v>
      </c>
      <c r="J12">
        <f t="shared" si="0"/>
        <v>270</v>
      </c>
      <c r="L12">
        <f t="shared" si="1"/>
        <v>0.12053571428571429</v>
      </c>
    </row>
    <row r="13" spans="1:12" x14ac:dyDescent="0.25">
      <c r="A13">
        <v>1703</v>
      </c>
      <c r="B13" t="s">
        <v>8</v>
      </c>
      <c r="C13" t="s">
        <v>82</v>
      </c>
      <c r="D13" t="s">
        <v>1</v>
      </c>
      <c r="F13">
        <v>1251</v>
      </c>
      <c r="G13">
        <v>1</v>
      </c>
      <c r="J13">
        <f t="shared" si="0"/>
        <v>140140</v>
      </c>
      <c r="L13">
        <f t="shared" si="1"/>
        <v>62.5625</v>
      </c>
    </row>
    <row r="14" spans="1:12" x14ac:dyDescent="0.25">
      <c r="A14">
        <v>1703</v>
      </c>
      <c r="B14" t="s">
        <v>13</v>
      </c>
      <c r="C14" t="s">
        <v>82</v>
      </c>
      <c r="D14" t="s">
        <v>1</v>
      </c>
      <c r="H14">
        <v>810</v>
      </c>
      <c r="I14" t="s">
        <v>37</v>
      </c>
      <c r="J14">
        <f t="shared" si="0"/>
        <v>810</v>
      </c>
      <c r="L14">
        <f t="shared" si="1"/>
        <v>0.36160714285714285</v>
      </c>
    </row>
    <row r="15" spans="1:12" x14ac:dyDescent="0.25">
      <c r="A15">
        <v>1703</v>
      </c>
      <c r="B15" t="s">
        <v>15</v>
      </c>
      <c r="C15" t="s">
        <v>82</v>
      </c>
      <c r="D15" t="s">
        <v>1</v>
      </c>
      <c r="F15">
        <v>20</v>
      </c>
      <c r="J15">
        <f t="shared" si="0"/>
        <v>2240</v>
      </c>
      <c r="L15">
        <f t="shared" si="1"/>
        <v>1</v>
      </c>
    </row>
    <row r="16" spans="1:12" x14ac:dyDescent="0.25">
      <c r="A16">
        <v>1703</v>
      </c>
      <c r="B16" t="s">
        <v>84</v>
      </c>
      <c r="C16" t="s">
        <v>82</v>
      </c>
      <c r="D16" t="s">
        <v>1</v>
      </c>
      <c r="H16">
        <v>15</v>
      </c>
      <c r="J16">
        <f t="shared" si="0"/>
        <v>15</v>
      </c>
      <c r="L16">
        <f t="shared" si="1"/>
        <v>6.6964285714285711E-3</v>
      </c>
    </row>
    <row r="17" spans="1:12" x14ac:dyDescent="0.25">
      <c r="A17">
        <v>1703</v>
      </c>
      <c r="B17" t="s">
        <v>11</v>
      </c>
      <c r="C17" t="s">
        <v>82</v>
      </c>
      <c r="D17" t="s">
        <v>1</v>
      </c>
      <c r="H17">
        <v>66254</v>
      </c>
      <c r="J17">
        <f t="shared" si="0"/>
        <v>66254</v>
      </c>
      <c r="L17">
        <f t="shared" si="1"/>
        <v>29.577678571428571</v>
      </c>
    </row>
    <row r="18" spans="1:12" x14ac:dyDescent="0.25">
      <c r="A18">
        <v>1703</v>
      </c>
      <c r="B18" t="s">
        <v>10</v>
      </c>
      <c r="C18" t="s">
        <v>82</v>
      </c>
      <c r="D18" t="s">
        <v>1</v>
      </c>
      <c r="F18">
        <v>21</v>
      </c>
      <c r="G18">
        <v>3</v>
      </c>
      <c r="H18">
        <v>14</v>
      </c>
      <c r="J18">
        <f t="shared" si="0"/>
        <v>2450</v>
      </c>
      <c r="L18">
        <f t="shared" si="1"/>
        <v>1.09375</v>
      </c>
    </row>
    <row r="19" spans="1:12" x14ac:dyDescent="0.25">
      <c r="A19">
        <v>1703</v>
      </c>
      <c r="B19" t="s">
        <v>9</v>
      </c>
      <c r="C19" t="s">
        <v>82</v>
      </c>
      <c r="D19" t="s">
        <v>5</v>
      </c>
      <c r="F19">
        <v>16983</v>
      </c>
      <c r="G19">
        <v>2</v>
      </c>
      <c r="H19">
        <v>17</v>
      </c>
      <c r="J19">
        <f t="shared" si="0"/>
        <v>1902169</v>
      </c>
      <c r="L19">
        <f t="shared" si="1"/>
        <v>849.18258928571424</v>
      </c>
    </row>
    <row r="20" spans="1:12" x14ac:dyDescent="0.25">
      <c r="A20">
        <v>1703</v>
      </c>
      <c r="B20" t="s">
        <v>3</v>
      </c>
      <c r="C20" t="s">
        <v>82</v>
      </c>
      <c r="D20" t="s">
        <v>5</v>
      </c>
      <c r="F20">
        <v>457</v>
      </c>
      <c r="H20">
        <v>21</v>
      </c>
      <c r="J20">
        <f t="shared" si="0"/>
        <v>51205</v>
      </c>
      <c r="L20">
        <f t="shared" si="1"/>
        <v>22.859375</v>
      </c>
    </row>
    <row r="21" spans="1:12" x14ac:dyDescent="0.25">
      <c r="A21">
        <v>1703</v>
      </c>
      <c r="B21" t="s">
        <v>7</v>
      </c>
      <c r="C21" t="s">
        <v>82</v>
      </c>
      <c r="D21" t="s">
        <v>5</v>
      </c>
      <c r="F21">
        <v>99</v>
      </c>
      <c r="G21">
        <v>2</v>
      </c>
      <c r="H21">
        <v>22</v>
      </c>
      <c r="J21">
        <f t="shared" si="0"/>
        <v>11166</v>
      </c>
      <c r="L21">
        <f t="shared" si="1"/>
        <v>4.9848214285714283</v>
      </c>
    </row>
    <row r="22" spans="1:12" x14ac:dyDescent="0.25">
      <c r="A22">
        <v>1703</v>
      </c>
      <c r="B22" t="s">
        <v>83</v>
      </c>
      <c r="C22" t="s">
        <v>82</v>
      </c>
      <c r="D22" t="s">
        <v>5</v>
      </c>
      <c r="F22">
        <v>142</v>
      </c>
      <c r="G22">
        <v>1</v>
      </c>
      <c r="J22">
        <f t="shared" si="0"/>
        <v>15932</v>
      </c>
      <c r="L22">
        <f t="shared" si="1"/>
        <v>7.1124999999999998</v>
      </c>
    </row>
    <row r="23" spans="1:12" x14ac:dyDescent="0.25">
      <c r="A23">
        <v>1703</v>
      </c>
      <c r="B23" t="s">
        <v>28</v>
      </c>
      <c r="C23" t="s">
        <v>82</v>
      </c>
      <c r="D23" t="s">
        <v>5</v>
      </c>
      <c r="F23">
        <v>921</v>
      </c>
      <c r="G23">
        <v>3</v>
      </c>
      <c r="H23">
        <v>10</v>
      </c>
      <c r="J23">
        <f t="shared" si="0"/>
        <v>103246</v>
      </c>
      <c r="L23">
        <f t="shared" si="1"/>
        <v>46.091964285714283</v>
      </c>
    </row>
    <row r="24" spans="1:12" x14ac:dyDescent="0.25">
      <c r="A24">
        <v>1703</v>
      </c>
      <c r="B24" t="s">
        <v>12</v>
      </c>
      <c r="C24" t="s">
        <v>82</v>
      </c>
      <c r="D24" t="s">
        <v>5</v>
      </c>
      <c r="H24">
        <v>180</v>
      </c>
      <c r="I24" t="s">
        <v>54</v>
      </c>
      <c r="J24">
        <f t="shared" si="0"/>
        <v>180</v>
      </c>
      <c r="L24">
        <f t="shared" si="1"/>
        <v>8.0357142857142863E-2</v>
      </c>
    </row>
    <row r="25" spans="1:12" x14ac:dyDescent="0.25">
      <c r="A25">
        <v>1703</v>
      </c>
      <c r="B25" t="s">
        <v>20</v>
      </c>
      <c r="C25" t="s">
        <v>82</v>
      </c>
      <c r="D25" t="s">
        <v>5</v>
      </c>
      <c r="H25">
        <v>420</v>
      </c>
      <c r="I25" t="s">
        <v>53</v>
      </c>
      <c r="J25">
        <f t="shared" si="0"/>
        <v>420</v>
      </c>
      <c r="L25">
        <f t="shared" si="1"/>
        <v>0.1875</v>
      </c>
    </row>
    <row r="26" spans="1:12" x14ac:dyDescent="0.25">
      <c r="A26">
        <v>1703</v>
      </c>
      <c r="B26" t="s">
        <v>8</v>
      </c>
      <c r="C26" t="s">
        <v>82</v>
      </c>
      <c r="D26" t="s">
        <v>5</v>
      </c>
      <c r="F26">
        <v>516</v>
      </c>
      <c r="G26">
        <v>3</v>
      </c>
      <c r="H26">
        <v>21</v>
      </c>
      <c r="J26">
        <f t="shared" si="0"/>
        <v>57897</v>
      </c>
      <c r="L26">
        <f t="shared" si="1"/>
        <v>25.846875000000001</v>
      </c>
    </row>
    <row r="27" spans="1:12" x14ac:dyDescent="0.25">
      <c r="A27">
        <v>1703</v>
      </c>
      <c r="B27" t="s">
        <v>18</v>
      </c>
      <c r="C27" t="s">
        <v>82</v>
      </c>
      <c r="D27" t="s">
        <v>5</v>
      </c>
      <c r="G27">
        <v>3</v>
      </c>
      <c r="J27">
        <f t="shared" si="0"/>
        <v>84</v>
      </c>
      <c r="L27">
        <f t="shared" si="1"/>
        <v>3.7499999999999999E-2</v>
      </c>
    </row>
    <row r="28" spans="1:12" x14ac:dyDescent="0.25">
      <c r="A28">
        <v>1703</v>
      </c>
      <c r="B28" t="s">
        <v>15</v>
      </c>
      <c r="C28" t="s">
        <v>82</v>
      </c>
      <c r="D28" t="s">
        <v>5</v>
      </c>
      <c r="F28">
        <v>5</v>
      </c>
      <c r="H28">
        <v>8</v>
      </c>
      <c r="J28">
        <f t="shared" si="0"/>
        <v>568</v>
      </c>
      <c r="L28">
        <f t="shared" si="1"/>
        <v>0.25357142857142856</v>
      </c>
    </row>
    <row r="29" spans="1:12" x14ac:dyDescent="0.25">
      <c r="A29">
        <v>1703</v>
      </c>
      <c r="B29" t="s">
        <v>84</v>
      </c>
      <c r="C29" t="s">
        <v>82</v>
      </c>
      <c r="D29" t="s">
        <v>5</v>
      </c>
      <c r="H29">
        <v>80</v>
      </c>
      <c r="J29">
        <f t="shared" si="0"/>
        <v>80</v>
      </c>
      <c r="L29">
        <f t="shared" si="1"/>
        <v>3.5714285714285712E-2</v>
      </c>
    </row>
    <row r="30" spans="1:12" x14ac:dyDescent="0.25">
      <c r="A30">
        <v>1703</v>
      </c>
      <c r="B30" t="s">
        <v>11</v>
      </c>
      <c r="C30" t="s">
        <v>82</v>
      </c>
      <c r="D30" t="s">
        <v>5</v>
      </c>
      <c r="H30">
        <v>521</v>
      </c>
      <c r="J30">
        <f t="shared" si="0"/>
        <v>521</v>
      </c>
      <c r="L30">
        <f t="shared" si="1"/>
        <v>0.23258928571428572</v>
      </c>
    </row>
    <row r="31" spans="1:12" x14ac:dyDescent="0.25">
      <c r="A31">
        <v>1703</v>
      </c>
      <c r="B31" t="s">
        <v>14</v>
      </c>
      <c r="C31" t="s">
        <v>82</v>
      </c>
      <c r="D31" t="s">
        <v>5</v>
      </c>
      <c r="H31">
        <v>44</v>
      </c>
      <c r="J31">
        <f t="shared" si="0"/>
        <v>44</v>
      </c>
      <c r="L31">
        <f t="shared" si="1"/>
        <v>1.9642857142857142E-2</v>
      </c>
    </row>
    <row r="32" spans="1:12" x14ac:dyDescent="0.25">
      <c r="A32">
        <v>1703</v>
      </c>
      <c r="B32" t="s">
        <v>10</v>
      </c>
      <c r="C32" t="s">
        <v>82</v>
      </c>
      <c r="D32" t="s">
        <v>5</v>
      </c>
      <c r="F32">
        <v>1</v>
      </c>
      <c r="G32">
        <v>1</v>
      </c>
      <c r="J32">
        <f t="shared" si="0"/>
        <v>140</v>
      </c>
      <c r="L32">
        <f t="shared" si="1"/>
        <v>6.25E-2</v>
      </c>
    </row>
  </sheetData>
  <autoFilter ref="A1:L32" xr:uid="{693D6FA2-B6A0-4711-A44A-6CA286BF1E63}">
    <sortState xmlns:xlrd2="http://schemas.microsoft.com/office/spreadsheetml/2017/richdata2" ref="A2:L32">
      <sortCondition ref="D1:D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34"/>
  <sheetViews>
    <sheetView topLeftCell="A4" workbookViewId="0">
      <selection activeCell="H8" sqref="H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17</v>
      </c>
      <c r="C2" t="s">
        <v>85</v>
      </c>
      <c r="D2" t="s">
        <v>1</v>
      </c>
      <c r="H2">
        <v>6764</v>
      </c>
      <c r="J2">
        <f t="shared" ref="J2:J34" si="0">(E2*2240)+(F2*112)+(G2*28)+H2</f>
        <v>6764</v>
      </c>
      <c r="L2">
        <f t="shared" ref="L2:L34" si="1">J2/2240</f>
        <v>3.0196428571428573</v>
      </c>
    </row>
    <row r="3" spans="1:12" x14ac:dyDescent="0.25">
      <c r="A3">
        <v>1703</v>
      </c>
      <c r="B3" t="s">
        <v>9</v>
      </c>
      <c r="C3" t="s">
        <v>85</v>
      </c>
      <c r="D3" t="s">
        <v>1</v>
      </c>
      <c r="F3">
        <v>126664</v>
      </c>
      <c r="H3">
        <v>16</v>
      </c>
      <c r="J3">
        <f t="shared" si="0"/>
        <v>14186384</v>
      </c>
      <c r="L3">
        <f t="shared" si="1"/>
        <v>6333.2071428571426</v>
      </c>
    </row>
    <row r="4" spans="1:12" x14ac:dyDescent="0.25">
      <c r="A4">
        <v>1703</v>
      </c>
      <c r="B4" t="s">
        <v>6</v>
      </c>
      <c r="C4" t="s">
        <v>85</v>
      </c>
      <c r="D4" t="s">
        <v>1</v>
      </c>
      <c r="H4">
        <v>212</v>
      </c>
      <c r="J4">
        <f t="shared" si="0"/>
        <v>212</v>
      </c>
      <c r="L4">
        <f t="shared" si="1"/>
        <v>9.464285714285714E-2</v>
      </c>
    </row>
    <row r="5" spans="1:12" x14ac:dyDescent="0.25">
      <c r="A5">
        <v>1703</v>
      </c>
      <c r="B5" t="s">
        <v>42</v>
      </c>
      <c r="C5" t="s">
        <v>85</v>
      </c>
      <c r="D5" t="s">
        <v>1</v>
      </c>
      <c r="F5">
        <v>386</v>
      </c>
      <c r="G5">
        <v>2</v>
      </c>
      <c r="H5">
        <v>20</v>
      </c>
      <c r="J5">
        <f t="shared" si="0"/>
        <v>43308</v>
      </c>
      <c r="L5">
        <f t="shared" si="1"/>
        <v>19.333928571428572</v>
      </c>
    </row>
    <row r="6" spans="1:12" x14ac:dyDescent="0.25">
      <c r="A6">
        <v>1703</v>
      </c>
      <c r="B6" t="s">
        <v>23</v>
      </c>
      <c r="C6" t="s">
        <v>85</v>
      </c>
      <c r="D6" t="s">
        <v>1</v>
      </c>
      <c r="H6">
        <v>40</v>
      </c>
      <c r="J6">
        <f t="shared" si="0"/>
        <v>40</v>
      </c>
      <c r="L6">
        <f t="shared" si="1"/>
        <v>1.7857142857142856E-2</v>
      </c>
    </row>
    <row r="7" spans="1:12" x14ac:dyDescent="0.25">
      <c r="A7">
        <v>1703</v>
      </c>
      <c r="B7" t="s">
        <v>3</v>
      </c>
      <c r="C7" t="s">
        <v>85</v>
      </c>
      <c r="D7" t="s">
        <v>1</v>
      </c>
      <c r="H7">
        <f>935*200</f>
        <v>187000</v>
      </c>
      <c r="I7" t="s">
        <v>39</v>
      </c>
      <c r="J7">
        <f t="shared" si="0"/>
        <v>187000</v>
      </c>
      <c r="L7">
        <f t="shared" si="1"/>
        <v>83.482142857142861</v>
      </c>
    </row>
    <row r="8" spans="1:12" x14ac:dyDescent="0.25">
      <c r="A8">
        <v>1703</v>
      </c>
      <c r="B8" t="s">
        <v>7</v>
      </c>
      <c r="C8" t="s">
        <v>85</v>
      </c>
      <c r="D8" t="s">
        <v>1</v>
      </c>
      <c r="F8">
        <v>4090</v>
      </c>
      <c r="H8">
        <v>20</v>
      </c>
      <c r="J8">
        <f t="shared" si="0"/>
        <v>458100</v>
      </c>
      <c r="L8">
        <f t="shared" si="1"/>
        <v>204.50892857142858</v>
      </c>
    </row>
    <row r="9" spans="1:12" x14ac:dyDescent="0.25">
      <c r="A9">
        <v>1703</v>
      </c>
      <c r="B9" t="s">
        <v>16</v>
      </c>
      <c r="C9" t="s">
        <v>85</v>
      </c>
      <c r="D9" t="s">
        <v>1</v>
      </c>
      <c r="F9">
        <v>86</v>
      </c>
      <c r="H9">
        <v>16</v>
      </c>
      <c r="J9">
        <f t="shared" si="0"/>
        <v>9648</v>
      </c>
      <c r="L9">
        <f t="shared" si="1"/>
        <v>4.3071428571428569</v>
      </c>
    </row>
    <row r="10" spans="1:12" x14ac:dyDescent="0.25">
      <c r="A10">
        <v>1703</v>
      </c>
      <c r="B10" t="s">
        <v>32</v>
      </c>
      <c r="C10" t="s">
        <v>85</v>
      </c>
      <c r="D10" t="s">
        <v>1</v>
      </c>
      <c r="H10">
        <v>600</v>
      </c>
      <c r="I10" t="s">
        <v>38</v>
      </c>
      <c r="J10">
        <f t="shared" si="0"/>
        <v>600</v>
      </c>
      <c r="L10">
        <f t="shared" si="1"/>
        <v>0.26785714285714285</v>
      </c>
    </row>
    <row r="11" spans="1:12" x14ac:dyDescent="0.25">
      <c r="A11">
        <v>1703</v>
      </c>
      <c r="B11" t="s">
        <v>12</v>
      </c>
      <c r="C11" t="s">
        <v>85</v>
      </c>
      <c r="D11" t="s">
        <v>1</v>
      </c>
      <c r="H11">
        <v>23316</v>
      </c>
      <c r="I11" t="s">
        <v>40</v>
      </c>
      <c r="J11">
        <f t="shared" si="0"/>
        <v>23316</v>
      </c>
      <c r="L11">
        <f t="shared" si="1"/>
        <v>10.408928571428572</v>
      </c>
    </row>
    <row r="12" spans="1:12" x14ac:dyDescent="0.25">
      <c r="A12">
        <v>1703</v>
      </c>
      <c r="B12" t="s">
        <v>21</v>
      </c>
      <c r="C12" t="s">
        <v>85</v>
      </c>
      <c r="D12" t="s">
        <v>1</v>
      </c>
      <c r="H12">
        <v>12</v>
      </c>
      <c r="J12">
        <f t="shared" si="0"/>
        <v>12</v>
      </c>
      <c r="L12">
        <f t="shared" si="1"/>
        <v>5.3571428571428572E-3</v>
      </c>
    </row>
    <row r="13" spans="1:12" x14ac:dyDescent="0.25">
      <c r="A13">
        <v>1703</v>
      </c>
      <c r="B13" t="s">
        <v>20</v>
      </c>
      <c r="C13" t="s">
        <v>85</v>
      </c>
      <c r="D13" t="s">
        <v>1</v>
      </c>
      <c r="H13">
        <v>11845</v>
      </c>
      <c r="I13" t="s">
        <v>72</v>
      </c>
      <c r="J13">
        <f t="shared" si="0"/>
        <v>11845</v>
      </c>
      <c r="L13">
        <f t="shared" si="1"/>
        <v>5.2879464285714288</v>
      </c>
    </row>
    <row r="14" spans="1:12" x14ac:dyDescent="0.25">
      <c r="A14">
        <v>1703</v>
      </c>
      <c r="B14" t="s">
        <v>8</v>
      </c>
      <c r="C14" t="s">
        <v>85</v>
      </c>
      <c r="D14" t="s">
        <v>1</v>
      </c>
      <c r="F14">
        <v>3157</v>
      </c>
      <c r="J14">
        <f t="shared" si="0"/>
        <v>353584</v>
      </c>
      <c r="L14">
        <f t="shared" si="1"/>
        <v>157.85</v>
      </c>
    </row>
    <row r="15" spans="1:12" x14ac:dyDescent="0.25">
      <c r="A15">
        <v>1703</v>
      </c>
      <c r="B15" t="s">
        <v>13</v>
      </c>
      <c r="C15" t="s">
        <v>85</v>
      </c>
      <c r="D15" t="s">
        <v>1</v>
      </c>
      <c r="H15">
        <v>14113.5</v>
      </c>
      <c r="I15" t="s">
        <v>41</v>
      </c>
      <c r="J15">
        <f t="shared" si="0"/>
        <v>14113.5</v>
      </c>
      <c r="L15">
        <f t="shared" si="1"/>
        <v>6.3006696428571427</v>
      </c>
    </row>
    <row r="16" spans="1:12" x14ac:dyDescent="0.25">
      <c r="A16">
        <v>1703</v>
      </c>
      <c r="B16" t="s">
        <v>15</v>
      </c>
      <c r="C16" t="s">
        <v>85</v>
      </c>
      <c r="D16" t="s">
        <v>1</v>
      </c>
      <c r="F16">
        <v>58</v>
      </c>
      <c r="G16">
        <v>3</v>
      </c>
      <c r="H16">
        <v>7</v>
      </c>
      <c r="J16">
        <f t="shared" si="0"/>
        <v>6587</v>
      </c>
      <c r="L16">
        <f t="shared" si="1"/>
        <v>2.9406249999999998</v>
      </c>
    </row>
    <row r="17" spans="1:12" x14ac:dyDescent="0.25">
      <c r="A17">
        <v>1703</v>
      </c>
      <c r="B17" t="s">
        <v>84</v>
      </c>
      <c r="C17" t="s">
        <v>85</v>
      </c>
      <c r="D17" t="s">
        <v>1</v>
      </c>
      <c r="H17">
        <v>704</v>
      </c>
      <c r="J17">
        <f t="shared" si="0"/>
        <v>704</v>
      </c>
      <c r="L17">
        <f t="shared" si="1"/>
        <v>0.31428571428571428</v>
      </c>
    </row>
    <row r="18" spans="1:12" x14ac:dyDescent="0.25">
      <c r="A18">
        <v>1703</v>
      </c>
      <c r="B18" t="s">
        <v>11</v>
      </c>
      <c r="C18" t="s">
        <v>85</v>
      </c>
      <c r="D18" t="s">
        <v>1</v>
      </c>
      <c r="H18">
        <v>8400</v>
      </c>
      <c r="J18">
        <f t="shared" si="0"/>
        <v>8400</v>
      </c>
      <c r="L18">
        <f t="shared" si="1"/>
        <v>3.75</v>
      </c>
    </row>
    <row r="19" spans="1:12" x14ac:dyDescent="0.25">
      <c r="A19">
        <v>1703</v>
      </c>
      <c r="B19" t="s">
        <v>14</v>
      </c>
      <c r="C19" t="s">
        <v>85</v>
      </c>
      <c r="D19" t="s">
        <v>1</v>
      </c>
      <c r="H19">
        <v>237</v>
      </c>
      <c r="J19">
        <f t="shared" si="0"/>
        <v>237</v>
      </c>
      <c r="L19">
        <f t="shared" si="1"/>
        <v>0.10580357142857143</v>
      </c>
    </row>
    <row r="20" spans="1:12" x14ac:dyDescent="0.25">
      <c r="A20">
        <v>1703</v>
      </c>
      <c r="B20" t="s">
        <v>10</v>
      </c>
      <c r="C20" t="s">
        <v>85</v>
      </c>
      <c r="D20" t="s">
        <v>1</v>
      </c>
      <c r="F20">
        <v>1202</v>
      </c>
      <c r="G20">
        <v>1</v>
      </c>
      <c r="J20">
        <f t="shared" si="0"/>
        <v>134652</v>
      </c>
      <c r="L20">
        <f t="shared" si="1"/>
        <v>60.112499999999997</v>
      </c>
    </row>
    <row r="21" spans="1:12" x14ac:dyDescent="0.25">
      <c r="A21">
        <v>1703</v>
      </c>
      <c r="B21" t="s">
        <v>9</v>
      </c>
      <c r="C21" t="s">
        <v>85</v>
      </c>
      <c r="D21" t="s">
        <v>5</v>
      </c>
      <c r="F21">
        <v>16965</v>
      </c>
      <c r="G21">
        <v>2</v>
      </c>
      <c r="H21">
        <v>4</v>
      </c>
      <c r="J21">
        <f t="shared" si="0"/>
        <v>1900140</v>
      </c>
      <c r="L21">
        <f t="shared" si="1"/>
        <v>848.27678571428567</v>
      </c>
    </row>
    <row r="22" spans="1:12" x14ac:dyDescent="0.25">
      <c r="A22">
        <v>1703</v>
      </c>
      <c r="B22" t="s">
        <v>6</v>
      </c>
      <c r="C22" t="s">
        <v>85</v>
      </c>
      <c r="D22" t="s">
        <v>5</v>
      </c>
      <c r="H22">
        <v>27</v>
      </c>
      <c r="J22">
        <f t="shared" si="0"/>
        <v>27</v>
      </c>
      <c r="L22">
        <f t="shared" si="1"/>
        <v>1.2053571428571429E-2</v>
      </c>
    </row>
    <row r="23" spans="1:12" x14ac:dyDescent="0.25">
      <c r="A23">
        <v>1703</v>
      </c>
      <c r="B23" t="s">
        <v>42</v>
      </c>
      <c r="C23" t="s">
        <v>85</v>
      </c>
      <c r="D23" t="s">
        <v>5</v>
      </c>
      <c r="F23">
        <v>5</v>
      </c>
      <c r="G23">
        <v>1</v>
      </c>
      <c r="H23">
        <v>25</v>
      </c>
      <c r="J23">
        <f t="shared" si="0"/>
        <v>613</v>
      </c>
      <c r="L23">
        <f t="shared" si="1"/>
        <v>0.27366071428571431</v>
      </c>
    </row>
    <row r="24" spans="1:12" x14ac:dyDescent="0.25">
      <c r="A24">
        <v>1703</v>
      </c>
      <c r="B24" t="s">
        <v>3</v>
      </c>
      <c r="C24" t="s">
        <v>85</v>
      </c>
      <c r="D24" t="s">
        <v>5</v>
      </c>
      <c r="F24">
        <v>396</v>
      </c>
      <c r="G24">
        <v>1</v>
      </c>
      <c r="H24">
        <v>26</v>
      </c>
      <c r="J24">
        <f t="shared" si="0"/>
        <v>44406</v>
      </c>
      <c r="L24">
        <f t="shared" si="1"/>
        <v>19.824107142857144</v>
      </c>
    </row>
    <row r="25" spans="1:12" x14ac:dyDescent="0.25">
      <c r="A25">
        <v>1703</v>
      </c>
      <c r="B25" t="s">
        <v>7</v>
      </c>
      <c r="C25" t="s">
        <v>85</v>
      </c>
      <c r="D25" t="s">
        <v>5</v>
      </c>
      <c r="F25">
        <v>596</v>
      </c>
      <c r="G25">
        <v>2</v>
      </c>
      <c r="H25">
        <v>11</v>
      </c>
      <c r="J25">
        <f t="shared" si="0"/>
        <v>66819</v>
      </c>
      <c r="L25">
        <f t="shared" si="1"/>
        <v>29.829910714285713</v>
      </c>
    </row>
    <row r="26" spans="1:12" x14ac:dyDescent="0.25">
      <c r="A26">
        <v>1703</v>
      </c>
      <c r="B26" t="s">
        <v>2</v>
      </c>
      <c r="C26" t="s">
        <v>85</v>
      </c>
      <c r="D26" t="s">
        <v>5</v>
      </c>
      <c r="H26">
        <v>173</v>
      </c>
      <c r="J26">
        <f t="shared" si="0"/>
        <v>173</v>
      </c>
      <c r="L26">
        <f t="shared" si="1"/>
        <v>7.723214285714286E-2</v>
      </c>
    </row>
    <row r="27" spans="1:12" x14ac:dyDescent="0.25">
      <c r="A27">
        <v>1703</v>
      </c>
      <c r="B27" t="s">
        <v>28</v>
      </c>
      <c r="C27" t="s">
        <v>85</v>
      </c>
      <c r="D27" t="s">
        <v>5</v>
      </c>
      <c r="F27">
        <v>1</v>
      </c>
      <c r="G27">
        <v>2</v>
      </c>
      <c r="J27">
        <f t="shared" si="0"/>
        <v>168</v>
      </c>
      <c r="L27">
        <f t="shared" si="1"/>
        <v>7.4999999999999997E-2</v>
      </c>
    </row>
    <row r="28" spans="1:12" x14ac:dyDescent="0.25">
      <c r="A28">
        <v>1703</v>
      </c>
      <c r="B28" t="s">
        <v>12</v>
      </c>
      <c r="C28" t="s">
        <v>85</v>
      </c>
      <c r="D28" t="s">
        <v>5</v>
      </c>
      <c r="H28">
        <v>5291</v>
      </c>
      <c r="I28" t="s">
        <v>57</v>
      </c>
      <c r="J28">
        <f t="shared" si="0"/>
        <v>5291</v>
      </c>
      <c r="L28">
        <f t="shared" si="1"/>
        <v>2.3620535714285715</v>
      </c>
    </row>
    <row r="29" spans="1:12" x14ac:dyDescent="0.25">
      <c r="A29">
        <v>1703</v>
      </c>
      <c r="B29" t="s">
        <v>8</v>
      </c>
      <c r="C29" t="s">
        <v>85</v>
      </c>
      <c r="D29" t="s">
        <v>5</v>
      </c>
      <c r="F29">
        <v>1603</v>
      </c>
      <c r="G29">
        <v>1</v>
      </c>
      <c r="H29">
        <v>20</v>
      </c>
      <c r="J29">
        <f t="shared" si="0"/>
        <v>179584</v>
      </c>
      <c r="L29">
        <f t="shared" si="1"/>
        <v>80.171428571428578</v>
      </c>
    </row>
    <row r="30" spans="1:12" x14ac:dyDescent="0.25">
      <c r="A30">
        <v>1703</v>
      </c>
      <c r="B30" t="s">
        <v>18</v>
      </c>
      <c r="C30" t="s">
        <v>85</v>
      </c>
      <c r="D30" t="s">
        <v>5</v>
      </c>
      <c r="F30">
        <v>3</v>
      </c>
      <c r="J30">
        <f t="shared" si="0"/>
        <v>336</v>
      </c>
      <c r="L30">
        <f t="shared" si="1"/>
        <v>0.15</v>
      </c>
    </row>
    <row r="31" spans="1:12" x14ac:dyDescent="0.25">
      <c r="A31">
        <v>1703</v>
      </c>
      <c r="B31" t="s">
        <v>13</v>
      </c>
      <c r="C31" t="s">
        <v>85</v>
      </c>
      <c r="D31" t="s">
        <v>5</v>
      </c>
      <c r="H31">
        <v>940</v>
      </c>
      <c r="I31" t="s">
        <v>58</v>
      </c>
      <c r="J31">
        <f t="shared" si="0"/>
        <v>940</v>
      </c>
      <c r="L31">
        <f t="shared" si="1"/>
        <v>0.41964285714285715</v>
      </c>
    </row>
    <row r="32" spans="1:12" x14ac:dyDescent="0.25">
      <c r="A32">
        <v>1703</v>
      </c>
      <c r="B32" t="s">
        <v>84</v>
      </c>
      <c r="C32" t="s">
        <v>85</v>
      </c>
      <c r="D32" t="s">
        <v>5</v>
      </c>
      <c r="H32">
        <v>125</v>
      </c>
      <c r="J32">
        <f t="shared" si="0"/>
        <v>125</v>
      </c>
      <c r="L32">
        <f t="shared" si="1"/>
        <v>5.5803571428571432E-2</v>
      </c>
    </row>
    <row r="33" spans="1:12" x14ac:dyDescent="0.25">
      <c r="A33">
        <v>1703</v>
      </c>
      <c r="B33" t="s">
        <v>14</v>
      </c>
      <c r="C33" t="s">
        <v>85</v>
      </c>
      <c r="D33" t="s">
        <v>5</v>
      </c>
      <c r="H33">
        <v>28</v>
      </c>
      <c r="J33">
        <f t="shared" si="0"/>
        <v>28</v>
      </c>
      <c r="L33">
        <f t="shared" si="1"/>
        <v>1.2500000000000001E-2</v>
      </c>
    </row>
    <row r="34" spans="1:12" x14ac:dyDescent="0.25">
      <c r="A34">
        <v>1703</v>
      </c>
      <c r="B34" t="s">
        <v>10</v>
      </c>
      <c r="C34" t="s">
        <v>85</v>
      </c>
      <c r="D34" t="s">
        <v>5</v>
      </c>
      <c r="F34">
        <v>63</v>
      </c>
      <c r="H34">
        <v>23</v>
      </c>
      <c r="J34">
        <f t="shared" si="0"/>
        <v>7079</v>
      </c>
      <c r="L34">
        <f t="shared" si="1"/>
        <v>3.1602678571428573</v>
      </c>
    </row>
  </sheetData>
  <autoFilter ref="A1:L34" xr:uid="{AAD1F908-12B8-4B3A-A65D-184CD229ACD4}">
    <sortState xmlns:xlrd2="http://schemas.microsoft.com/office/spreadsheetml/2017/richdata2" ref="A2:L34">
      <sortCondition ref="D1:D3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3"/>
  <sheetViews>
    <sheetView workbookViewId="0">
      <selection activeCell="I16" sqref="I1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2</v>
      </c>
      <c r="C2" t="s">
        <v>86</v>
      </c>
      <c r="D2" t="s">
        <v>1</v>
      </c>
      <c r="H2">
        <v>1800</v>
      </c>
      <c r="J2">
        <f>(E2*2240)+(F2*112)+(G2*28)+H2</f>
        <v>1800</v>
      </c>
      <c r="L2">
        <f>J2/2240</f>
        <v>0.8035714285714286</v>
      </c>
    </row>
    <row r="3" spans="1:12" x14ac:dyDescent="0.25">
      <c r="A3">
        <v>1703</v>
      </c>
      <c r="B3" t="s">
        <v>11</v>
      </c>
      <c r="C3" t="s">
        <v>86</v>
      </c>
      <c r="D3" t="s">
        <v>1</v>
      </c>
      <c r="H3">
        <v>4421</v>
      </c>
      <c r="J3">
        <f t="shared" ref="J3" si="0">(E3*2240)+(F3*112)+(G3*28)+H3</f>
        <v>4421</v>
      </c>
      <c r="L3">
        <f t="shared" ref="L3" si="1">J3/2240</f>
        <v>1.9736607142857143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P13"/>
  <sheetViews>
    <sheetView workbookViewId="0">
      <selection activeCell="E4" sqref="E4"/>
    </sheetView>
  </sheetViews>
  <sheetFormatPr defaultRowHeight="15" x14ac:dyDescent="0.25"/>
  <cols>
    <col min="2" max="3" width="13.85546875" customWidth="1"/>
  </cols>
  <sheetData>
    <row r="1" spans="1:16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  <c r="N1" t="s">
        <v>55</v>
      </c>
      <c r="P1" t="s">
        <v>56</v>
      </c>
    </row>
    <row r="2" spans="1:16" x14ac:dyDescent="0.25">
      <c r="A2">
        <v>1703</v>
      </c>
      <c r="B2" t="s">
        <v>6</v>
      </c>
      <c r="C2" t="s">
        <v>87</v>
      </c>
      <c r="D2" t="s">
        <v>1</v>
      </c>
      <c r="H2">
        <v>63</v>
      </c>
      <c r="J2">
        <f t="shared" ref="J2:J13" si="0">(E2*2240)+(F2*112)+(G2*28)+H2</f>
        <v>63</v>
      </c>
      <c r="L2">
        <f t="shared" ref="L2:L13" si="1">J2/2240</f>
        <v>2.8125000000000001E-2</v>
      </c>
    </row>
    <row r="3" spans="1:16" x14ac:dyDescent="0.25">
      <c r="A3">
        <v>1703</v>
      </c>
      <c r="B3" t="s">
        <v>42</v>
      </c>
      <c r="C3" t="s">
        <v>87</v>
      </c>
      <c r="D3" t="s">
        <v>1</v>
      </c>
      <c r="F3">
        <v>104</v>
      </c>
      <c r="G3">
        <v>2</v>
      </c>
      <c r="H3">
        <v>26</v>
      </c>
      <c r="J3">
        <f t="shared" si="0"/>
        <v>11730</v>
      </c>
      <c r="L3">
        <f t="shared" si="1"/>
        <v>5.2366071428571432</v>
      </c>
    </row>
    <row r="4" spans="1:16" x14ac:dyDescent="0.25">
      <c r="A4">
        <v>1703</v>
      </c>
      <c r="B4" t="s">
        <v>16</v>
      </c>
      <c r="C4" t="s">
        <v>87</v>
      </c>
      <c r="D4" t="s">
        <v>1</v>
      </c>
      <c r="F4">
        <v>7</v>
      </c>
      <c r="J4">
        <f t="shared" si="0"/>
        <v>784</v>
      </c>
      <c r="L4">
        <f t="shared" si="1"/>
        <v>0.35</v>
      </c>
      <c r="N4">
        <f>L4+L5+L6+L7+L8+L9+L10+L11+L13+L14+L15</f>
        <v>269.63035714285712</v>
      </c>
      <c r="P4">
        <f>L12</f>
        <v>5.8035714285714288E-2</v>
      </c>
    </row>
    <row r="5" spans="1:16" x14ac:dyDescent="0.25">
      <c r="A5">
        <v>1703</v>
      </c>
      <c r="B5" t="s">
        <v>18</v>
      </c>
      <c r="C5" t="s">
        <v>87</v>
      </c>
      <c r="D5" t="s">
        <v>1</v>
      </c>
      <c r="F5">
        <v>2163</v>
      </c>
      <c r="G5">
        <v>1</v>
      </c>
      <c r="J5">
        <f t="shared" si="0"/>
        <v>242284</v>
      </c>
      <c r="L5">
        <f t="shared" si="1"/>
        <v>108.16249999999999</v>
      </c>
    </row>
    <row r="6" spans="1:16" x14ac:dyDescent="0.25">
      <c r="A6">
        <v>1703</v>
      </c>
      <c r="B6" t="s">
        <v>11</v>
      </c>
      <c r="C6" t="s">
        <v>87</v>
      </c>
      <c r="D6" t="s">
        <v>1</v>
      </c>
      <c r="H6">
        <v>2083</v>
      </c>
      <c r="J6">
        <f t="shared" si="0"/>
        <v>2083</v>
      </c>
      <c r="L6">
        <f t="shared" si="1"/>
        <v>0.92991071428571426</v>
      </c>
    </row>
    <row r="7" spans="1:16" x14ac:dyDescent="0.25">
      <c r="A7">
        <v>1703</v>
      </c>
      <c r="B7" t="s">
        <v>14</v>
      </c>
      <c r="C7" t="s">
        <v>87</v>
      </c>
      <c r="D7" t="s">
        <v>1</v>
      </c>
      <c r="H7">
        <v>106</v>
      </c>
      <c r="J7">
        <f t="shared" si="0"/>
        <v>106</v>
      </c>
      <c r="L7">
        <f t="shared" si="1"/>
        <v>4.732142857142857E-2</v>
      </c>
    </row>
    <row r="8" spans="1:16" x14ac:dyDescent="0.25">
      <c r="A8">
        <v>1703</v>
      </c>
      <c r="B8" t="s">
        <v>9</v>
      </c>
      <c r="C8" t="s">
        <v>87</v>
      </c>
      <c r="D8" t="s">
        <v>5</v>
      </c>
      <c r="F8">
        <v>26</v>
      </c>
      <c r="G8">
        <v>2</v>
      </c>
      <c r="H8">
        <v>9</v>
      </c>
      <c r="J8">
        <f t="shared" si="0"/>
        <v>2977</v>
      </c>
      <c r="L8">
        <f t="shared" si="1"/>
        <v>1.3290178571428573</v>
      </c>
    </row>
    <row r="9" spans="1:16" x14ac:dyDescent="0.25">
      <c r="A9">
        <v>1703</v>
      </c>
      <c r="B9" t="s">
        <v>42</v>
      </c>
      <c r="C9" t="s">
        <v>87</v>
      </c>
      <c r="D9" t="s">
        <v>5</v>
      </c>
      <c r="H9">
        <v>170</v>
      </c>
      <c r="J9">
        <f t="shared" si="0"/>
        <v>170</v>
      </c>
      <c r="L9">
        <f t="shared" si="1"/>
        <v>7.5892857142857137E-2</v>
      </c>
    </row>
    <row r="10" spans="1:16" x14ac:dyDescent="0.25">
      <c r="A10">
        <v>1703</v>
      </c>
      <c r="B10" t="s">
        <v>3</v>
      </c>
      <c r="C10" t="s">
        <v>87</v>
      </c>
      <c r="D10" t="s">
        <v>5</v>
      </c>
      <c r="F10">
        <v>10</v>
      </c>
      <c r="J10">
        <f t="shared" si="0"/>
        <v>1120</v>
      </c>
      <c r="L10">
        <f t="shared" si="1"/>
        <v>0.5</v>
      </c>
    </row>
    <row r="11" spans="1:16" x14ac:dyDescent="0.25">
      <c r="A11">
        <v>1703</v>
      </c>
      <c r="B11" t="s">
        <v>16</v>
      </c>
      <c r="C11" t="s">
        <v>87</v>
      </c>
      <c r="D11" t="s">
        <v>5</v>
      </c>
      <c r="F11">
        <v>8</v>
      </c>
      <c r="H11">
        <v>4</v>
      </c>
      <c r="J11">
        <f t="shared" si="0"/>
        <v>900</v>
      </c>
      <c r="L11">
        <f t="shared" si="1"/>
        <v>0.4017857142857143</v>
      </c>
    </row>
    <row r="12" spans="1:16" x14ac:dyDescent="0.25">
      <c r="A12">
        <v>1703</v>
      </c>
      <c r="B12" t="s">
        <v>2</v>
      </c>
      <c r="C12" t="s">
        <v>87</v>
      </c>
      <c r="D12" t="s">
        <v>5</v>
      </c>
      <c r="H12">
        <v>130</v>
      </c>
      <c r="J12">
        <f t="shared" si="0"/>
        <v>130</v>
      </c>
      <c r="L12">
        <f t="shared" si="1"/>
        <v>5.8035714285714288E-2</v>
      </c>
    </row>
    <row r="13" spans="1:16" x14ac:dyDescent="0.25">
      <c r="A13">
        <v>1703</v>
      </c>
      <c r="B13" t="s">
        <v>18</v>
      </c>
      <c r="C13" t="s">
        <v>87</v>
      </c>
      <c r="D13" t="s">
        <v>5</v>
      </c>
      <c r="F13">
        <v>3156</v>
      </c>
      <c r="G13">
        <v>2</v>
      </c>
      <c r="H13">
        <v>20</v>
      </c>
      <c r="J13">
        <f t="shared" si="0"/>
        <v>353548</v>
      </c>
      <c r="L13">
        <f t="shared" si="1"/>
        <v>157.83392857142857</v>
      </c>
    </row>
  </sheetData>
  <autoFilter ref="A1:P13" xr:uid="{E339DECF-9C4B-4D66-A34A-4FCAB8DD57FB}">
    <sortState xmlns:xlrd2="http://schemas.microsoft.com/office/spreadsheetml/2017/richdata2" ref="A2:P13">
      <sortCondition ref="D1:D1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L36"/>
  <sheetViews>
    <sheetView topLeftCell="A10" zoomScaleNormal="100" workbookViewId="0">
      <selection activeCell="H7" sqref="H7"/>
    </sheetView>
  </sheetViews>
  <sheetFormatPr defaultRowHeight="15" x14ac:dyDescent="0.25"/>
  <cols>
    <col min="2" max="3" width="14.14062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17</v>
      </c>
      <c r="C2" t="s">
        <v>88</v>
      </c>
      <c r="D2" t="s">
        <v>1</v>
      </c>
      <c r="H2">
        <v>1984</v>
      </c>
      <c r="J2">
        <f t="shared" ref="J2:J36" si="0">(E2*2240)+(F2*112)+(G2*28)+H2</f>
        <v>1984</v>
      </c>
      <c r="L2">
        <f t="shared" ref="L2:L36" si="1">J2/2240</f>
        <v>0.88571428571428568</v>
      </c>
    </row>
    <row r="3" spans="1:12" x14ac:dyDescent="0.25">
      <c r="A3">
        <v>1703</v>
      </c>
      <c r="B3" t="s">
        <v>9</v>
      </c>
      <c r="C3" t="s">
        <v>88</v>
      </c>
      <c r="D3" t="s">
        <v>1</v>
      </c>
      <c r="F3">
        <v>69296</v>
      </c>
      <c r="G3">
        <v>2</v>
      </c>
      <c r="H3">
        <v>18</v>
      </c>
      <c r="J3">
        <f t="shared" si="0"/>
        <v>7761226</v>
      </c>
      <c r="L3">
        <f t="shared" si="1"/>
        <v>3464.8330357142859</v>
      </c>
    </row>
    <row r="4" spans="1:12" x14ac:dyDescent="0.25">
      <c r="A4">
        <v>1703</v>
      </c>
      <c r="B4" t="s">
        <v>6</v>
      </c>
      <c r="C4" t="s">
        <v>88</v>
      </c>
      <c r="D4" t="s">
        <v>1</v>
      </c>
      <c r="H4">
        <v>266</v>
      </c>
      <c r="J4">
        <f t="shared" si="0"/>
        <v>266</v>
      </c>
      <c r="L4">
        <f t="shared" si="1"/>
        <v>0.11874999999999999</v>
      </c>
    </row>
    <row r="5" spans="1:12" x14ac:dyDescent="0.25">
      <c r="A5">
        <v>1703</v>
      </c>
      <c r="B5" t="s">
        <v>42</v>
      </c>
      <c r="C5" t="s">
        <v>88</v>
      </c>
      <c r="D5" t="s">
        <v>1</v>
      </c>
      <c r="F5">
        <v>405</v>
      </c>
      <c r="G5">
        <v>1</v>
      </c>
      <c r="H5">
        <v>20</v>
      </c>
      <c r="J5">
        <f t="shared" si="0"/>
        <v>45408</v>
      </c>
      <c r="L5">
        <f t="shared" si="1"/>
        <v>20.271428571428572</v>
      </c>
    </row>
    <row r="6" spans="1:12" x14ac:dyDescent="0.25">
      <c r="A6">
        <v>1703</v>
      </c>
      <c r="B6" t="s">
        <v>3</v>
      </c>
      <c r="C6" t="s">
        <v>88</v>
      </c>
      <c r="D6" t="s">
        <v>1</v>
      </c>
      <c r="H6">
        <f>672*200</f>
        <v>134400</v>
      </c>
      <c r="I6" t="s">
        <v>44</v>
      </c>
      <c r="J6">
        <f t="shared" si="0"/>
        <v>134400</v>
      </c>
      <c r="L6">
        <f t="shared" si="1"/>
        <v>60</v>
      </c>
    </row>
    <row r="7" spans="1:12" x14ac:dyDescent="0.25">
      <c r="A7">
        <v>1703</v>
      </c>
      <c r="B7" t="s">
        <v>7</v>
      </c>
      <c r="C7" t="s">
        <v>88</v>
      </c>
      <c r="D7" t="s">
        <v>1</v>
      </c>
      <c r="F7">
        <v>4485</v>
      </c>
      <c r="H7">
        <v>10</v>
      </c>
      <c r="J7">
        <f t="shared" si="0"/>
        <v>502330</v>
      </c>
      <c r="L7">
        <f t="shared" si="1"/>
        <v>224.25446428571428</v>
      </c>
    </row>
    <row r="8" spans="1:12" x14ac:dyDescent="0.25">
      <c r="A8">
        <v>1703</v>
      </c>
      <c r="B8" t="s">
        <v>16</v>
      </c>
      <c r="C8" t="s">
        <v>88</v>
      </c>
      <c r="D8" t="s">
        <v>1</v>
      </c>
      <c r="F8">
        <v>89</v>
      </c>
      <c r="G8">
        <v>1</v>
      </c>
      <c r="J8">
        <f t="shared" si="0"/>
        <v>9996</v>
      </c>
      <c r="L8">
        <f t="shared" si="1"/>
        <v>4.4625000000000004</v>
      </c>
    </row>
    <row r="9" spans="1:12" x14ac:dyDescent="0.25">
      <c r="A9">
        <v>1703</v>
      </c>
      <c r="B9" t="s">
        <v>2</v>
      </c>
      <c r="C9" t="s">
        <v>88</v>
      </c>
      <c r="D9" t="s">
        <v>1</v>
      </c>
      <c r="H9">
        <v>138807</v>
      </c>
      <c r="J9">
        <f t="shared" si="0"/>
        <v>138807</v>
      </c>
      <c r="L9">
        <f t="shared" si="1"/>
        <v>61.967410714285712</v>
      </c>
    </row>
    <row r="10" spans="1:12" x14ac:dyDescent="0.25">
      <c r="A10">
        <v>1703</v>
      </c>
      <c r="B10" t="s">
        <v>12</v>
      </c>
      <c r="C10" t="s">
        <v>88</v>
      </c>
      <c r="D10" t="s">
        <v>1</v>
      </c>
      <c r="H10">
        <v>13733.5</v>
      </c>
      <c r="I10" t="s">
        <v>45</v>
      </c>
      <c r="J10">
        <f t="shared" si="0"/>
        <v>13733.5</v>
      </c>
      <c r="L10">
        <f t="shared" si="1"/>
        <v>6.1310267857142859</v>
      </c>
    </row>
    <row r="11" spans="1:12" x14ac:dyDescent="0.25">
      <c r="A11">
        <v>1703</v>
      </c>
      <c r="B11" t="s">
        <v>20</v>
      </c>
      <c r="C11" t="s">
        <v>88</v>
      </c>
      <c r="D11" t="s">
        <v>1</v>
      </c>
      <c r="H11">
        <v>50</v>
      </c>
      <c r="I11" t="s">
        <v>43</v>
      </c>
      <c r="J11">
        <f t="shared" si="0"/>
        <v>50</v>
      </c>
      <c r="L11">
        <f t="shared" si="1"/>
        <v>2.2321428571428572E-2</v>
      </c>
    </row>
    <row r="12" spans="1:12" x14ac:dyDescent="0.25">
      <c r="A12">
        <v>1703</v>
      </c>
      <c r="B12" t="s">
        <v>24</v>
      </c>
      <c r="C12" t="s">
        <v>88</v>
      </c>
      <c r="D12" t="s">
        <v>1</v>
      </c>
      <c r="H12">
        <v>109720</v>
      </c>
      <c r="J12">
        <f t="shared" si="0"/>
        <v>109720</v>
      </c>
      <c r="L12">
        <f t="shared" si="1"/>
        <v>48.982142857142854</v>
      </c>
    </row>
    <row r="13" spans="1:12" x14ac:dyDescent="0.25">
      <c r="A13">
        <v>1703</v>
      </c>
      <c r="B13" t="s">
        <v>13</v>
      </c>
      <c r="C13" t="s">
        <v>88</v>
      </c>
      <c r="D13" t="s">
        <v>1</v>
      </c>
      <c r="H13">
        <v>1950.5</v>
      </c>
      <c r="I13" t="s">
        <v>46</v>
      </c>
      <c r="J13">
        <f t="shared" si="0"/>
        <v>1950.5</v>
      </c>
      <c r="L13">
        <f t="shared" si="1"/>
        <v>0.87075892857142856</v>
      </c>
    </row>
    <row r="14" spans="1:12" x14ac:dyDescent="0.25">
      <c r="A14">
        <v>1703</v>
      </c>
      <c r="B14" t="s">
        <v>15</v>
      </c>
      <c r="C14" t="s">
        <v>88</v>
      </c>
      <c r="D14" t="s">
        <v>1</v>
      </c>
      <c r="F14">
        <v>35</v>
      </c>
      <c r="G14">
        <v>2</v>
      </c>
      <c r="H14">
        <v>7</v>
      </c>
      <c r="J14">
        <f t="shared" si="0"/>
        <v>3983</v>
      </c>
      <c r="L14">
        <f t="shared" si="1"/>
        <v>1.778125</v>
      </c>
    </row>
    <row r="15" spans="1:12" x14ac:dyDescent="0.25">
      <c r="A15">
        <v>1703</v>
      </c>
      <c r="B15" t="s">
        <v>84</v>
      </c>
      <c r="C15" t="s">
        <v>88</v>
      </c>
      <c r="D15" t="s">
        <v>1</v>
      </c>
      <c r="H15">
        <v>266</v>
      </c>
      <c r="J15">
        <f t="shared" si="0"/>
        <v>266</v>
      </c>
      <c r="L15">
        <f t="shared" si="1"/>
        <v>0.11874999999999999</v>
      </c>
    </row>
    <row r="16" spans="1:12" x14ac:dyDescent="0.25">
      <c r="A16">
        <v>1703</v>
      </c>
      <c r="B16" t="s">
        <v>19</v>
      </c>
      <c r="C16" t="s">
        <v>88</v>
      </c>
      <c r="D16" t="s">
        <v>1</v>
      </c>
      <c r="H16">
        <v>14</v>
      </c>
      <c r="J16">
        <f t="shared" si="0"/>
        <v>14</v>
      </c>
      <c r="L16">
        <f t="shared" si="1"/>
        <v>6.2500000000000003E-3</v>
      </c>
    </row>
    <row r="17" spans="1:12" x14ac:dyDescent="0.25">
      <c r="A17">
        <v>1703</v>
      </c>
      <c r="B17" t="s">
        <v>11</v>
      </c>
      <c r="C17" t="s">
        <v>88</v>
      </c>
      <c r="D17" t="s">
        <v>1</v>
      </c>
      <c r="H17">
        <v>6344</v>
      </c>
      <c r="J17">
        <f t="shared" si="0"/>
        <v>6344</v>
      </c>
      <c r="L17">
        <f t="shared" si="1"/>
        <v>2.8321428571428573</v>
      </c>
    </row>
    <row r="18" spans="1:12" x14ac:dyDescent="0.25">
      <c r="A18">
        <v>1703</v>
      </c>
      <c r="B18" t="s">
        <v>14</v>
      </c>
      <c r="C18" t="s">
        <v>88</v>
      </c>
      <c r="D18" t="s">
        <v>1</v>
      </c>
      <c r="H18">
        <v>2027</v>
      </c>
      <c r="J18">
        <f t="shared" si="0"/>
        <v>2027</v>
      </c>
      <c r="L18">
        <f t="shared" si="1"/>
        <v>0.90491071428571423</v>
      </c>
    </row>
    <row r="19" spans="1:12" x14ac:dyDescent="0.25">
      <c r="A19">
        <v>1703</v>
      </c>
      <c r="B19" t="s">
        <v>10</v>
      </c>
      <c r="C19" t="s">
        <v>88</v>
      </c>
      <c r="D19" t="s">
        <v>1</v>
      </c>
      <c r="F19">
        <v>14</v>
      </c>
      <c r="G19">
        <v>1</v>
      </c>
      <c r="H19">
        <v>14</v>
      </c>
      <c r="J19">
        <f t="shared" si="0"/>
        <v>1610</v>
      </c>
      <c r="L19">
        <f t="shared" si="1"/>
        <v>0.71875</v>
      </c>
    </row>
    <row r="20" spans="1:12" x14ac:dyDescent="0.25">
      <c r="A20">
        <v>1703</v>
      </c>
      <c r="B20" t="s">
        <v>9</v>
      </c>
      <c r="C20" t="s">
        <v>88</v>
      </c>
      <c r="D20" t="s">
        <v>5</v>
      </c>
      <c r="F20">
        <v>25742</v>
      </c>
      <c r="G20">
        <v>1</v>
      </c>
      <c r="H20">
        <v>6</v>
      </c>
      <c r="J20">
        <f t="shared" si="0"/>
        <v>2883138</v>
      </c>
      <c r="L20">
        <f t="shared" si="1"/>
        <v>1287.1151785714285</v>
      </c>
    </row>
    <row r="21" spans="1:12" x14ac:dyDescent="0.25">
      <c r="A21">
        <v>1703</v>
      </c>
      <c r="B21" t="s">
        <v>6</v>
      </c>
      <c r="C21" t="s">
        <v>88</v>
      </c>
      <c r="D21" t="s">
        <v>5</v>
      </c>
      <c r="H21">
        <v>14</v>
      </c>
      <c r="J21">
        <f t="shared" si="0"/>
        <v>14</v>
      </c>
      <c r="L21">
        <f t="shared" si="1"/>
        <v>6.2500000000000003E-3</v>
      </c>
    </row>
    <row r="22" spans="1:12" x14ac:dyDescent="0.25">
      <c r="A22">
        <v>1703</v>
      </c>
      <c r="B22" t="s">
        <v>42</v>
      </c>
      <c r="C22" t="s">
        <v>88</v>
      </c>
      <c r="D22" t="s">
        <v>5</v>
      </c>
      <c r="F22">
        <v>34</v>
      </c>
      <c r="G22">
        <v>3</v>
      </c>
      <c r="H22">
        <v>1</v>
      </c>
      <c r="J22">
        <f t="shared" si="0"/>
        <v>3893</v>
      </c>
      <c r="L22">
        <f t="shared" si="1"/>
        <v>1.7379464285714286</v>
      </c>
    </row>
    <row r="23" spans="1:12" x14ac:dyDescent="0.25">
      <c r="A23">
        <v>1703</v>
      </c>
      <c r="B23" t="s">
        <v>3</v>
      </c>
      <c r="C23" t="s">
        <v>88</v>
      </c>
      <c r="D23" t="s">
        <v>5</v>
      </c>
      <c r="F23">
        <v>647</v>
      </c>
      <c r="G23">
        <v>2</v>
      </c>
      <c r="H23">
        <v>3</v>
      </c>
      <c r="J23">
        <f t="shared" si="0"/>
        <v>72523</v>
      </c>
      <c r="L23">
        <f t="shared" si="1"/>
        <v>32.376339285714288</v>
      </c>
    </row>
    <row r="24" spans="1:12" x14ac:dyDescent="0.25">
      <c r="A24">
        <v>1703</v>
      </c>
      <c r="B24" t="s">
        <v>7</v>
      </c>
      <c r="C24" t="s">
        <v>88</v>
      </c>
      <c r="D24" t="s">
        <v>5</v>
      </c>
      <c r="F24">
        <v>1067</v>
      </c>
      <c r="G24">
        <v>1</v>
      </c>
      <c r="H24">
        <v>1</v>
      </c>
      <c r="J24">
        <f t="shared" si="0"/>
        <v>119533</v>
      </c>
      <c r="L24">
        <f t="shared" si="1"/>
        <v>53.362946428571426</v>
      </c>
    </row>
    <row r="25" spans="1:12" x14ac:dyDescent="0.25">
      <c r="A25">
        <v>1703</v>
      </c>
      <c r="B25" t="s">
        <v>16</v>
      </c>
      <c r="C25" t="s">
        <v>88</v>
      </c>
      <c r="D25" t="s">
        <v>5</v>
      </c>
      <c r="F25">
        <v>11</v>
      </c>
      <c r="H25">
        <v>4</v>
      </c>
      <c r="J25">
        <f t="shared" si="0"/>
        <v>1236</v>
      </c>
      <c r="L25">
        <f t="shared" si="1"/>
        <v>0.55178571428571432</v>
      </c>
    </row>
    <row r="26" spans="1:12" x14ac:dyDescent="0.25">
      <c r="A26">
        <v>1703</v>
      </c>
      <c r="B26" t="s">
        <v>2</v>
      </c>
      <c r="C26" t="s">
        <v>88</v>
      </c>
      <c r="D26" t="s">
        <v>5</v>
      </c>
      <c r="H26">
        <v>27888</v>
      </c>
      <c r="J26">
        <f t="shared" si="0"/>
        <v>27888</v>
      </c>
      <c r="L26">
        <f t="shared" si="1"/>
        <v>12.45</v>
      </c>
    </row>
    <row r="27" spans="1:12" x14ac:dyDescent="0.25">
      <c r="A27">
        <v>1703</v>
      </c>
      <c r="B27" t="s">
        <v>28</v>
      </c>
      <c r="C27" t="s">
        <v>88</v>
      </c>
      <c r="D27" t="s">
        <v>5</v>
      </c>
      <c r="F27">
        <v>22</v>
      </c>
      <c r="G27">
        <v>3</v>
      </c>
      <c r="H27">
        <v>14</v>
      </c>
      <c r="J27">
        <f t="shared" si="0"/>
        <v>2562</v>
      </c>
      <c r="L27">
        <f t="shared" si="1"/>
        <v>1.14375</v>
      </c>
    </row>
    <row r="28" spans="1:12" x14ac:dyDescent="0.25">
      <c r="A28">
        <v>1703</v>
      </c>
      <c r="B28" t="s">
        <v>12</v>
      </c>
      <c r="C28" t="s">
        <v>88</v>
      </c>
      <c r="D28" t="s">
        <v>5</v>
      </c>
      <c r="H28">
        <v>221.5</v>
      </c>
      <c r="I28" t="s">
        <v>59</v>
      </c>
      <c r="J28">
        <f t="shared" si="0"/>
        <v>221.5</v>
      </c>
      <c r="L28">
        <f t="shared" si="1"/>
        <v>9.8883928571428567E-2</v>
      </c>
    </row>
    <row r="29" spans="1:12" x14ac:dyDescent="0.25">
      <c r="A29">
        <v>1703</v>
      </c>
      <c r="B29" t="s">
        <v>24</v>
      </c>
      <c r="C29" t="s">
        <v>88</v>
      </c>
      <c r="D29" t="s">
        <v>5</v>
      </c>
      <c r="H29">
        <v>11724</v>
      </c>
      <c r="J29">
        <f t="shared" si="0"/>
        <v>11724</v>
      </c>
      <c r="L29">
        <f t="shared" si="1"/>
        <v>5.2339285714285717</v>
      </c>
    </row>
    <row r="30" spans="1:12" x14ac:dyDescent="0.25">
      <c r="A30">
        <v>1703</v>
      </c>
      <c r="B30" t="s">
        <v>18</v>
      </c>
      <c r="C30" t="s">
        <v>88</v>
      </c>
      <c r="D30" t="s">
        <v>5</v>
      </c>
      <c r="F30">
        <v>55</v>
      </c>
      <c r="G30">
        <v>1</v>
      </c>
      <c r="H30">
        <v>8</v>
      </c>
      <c r="J30">
        <f t="shared" si="0"/>
        <v>6196</v>
      </c>
      <c r="L30">
        <f t="shared" si="1"/>
        <v>2.7660714285714287</v>
      </c>
    </row>
    <row r="31" spans="1:12" x14ac:dyDescent="0.25">
      <c r="A31">
        <v>1703</v>
      </c>
      <c r="B31" t="s">
        <v>13</v>
      </c>
      <c r="C31" t="s">
        <v>88</v>
      </c>
      <c r="D31" t="s">
        <v>5</v>
      </c>
      <c r="H31">
        <v>1900.5</v>
      </c>
      <c r="I31" t="s">
        <v>60</v>
      </c>
      <c r="J31">
        <f t="shared" si="0"/>
        <v>1900.5</v>
      </c>
      <c r="L31">
        <f t="shared" si="1"/>
        <v>0.84843749999999996</v>
      </c>
    </row>
    <row r="32" spans="1:12" x14ac:dyDescent="0.25">
      <c r="A32">
        <v>1703</v>
      </c>
      <c r="B32" t="s">
        <v>31</v>
      </c>
      <c r="C32" t="s">
        <v>88</v>
      </c>
      <c r="D32" t="s">
        <v>5</v>
      </c>
      <c r="F32">
        <v>17</v>
      </c>
      <c r="G32">
        <v>2</v>
      </c>
      <c r="J32">
        <f t="shared" si="0"/>
        <v>1960</v>
      </c>
      <c r="L32">
        <f t="shared" si="1"/>
        <v>0.875</v>
      </c>
    </row>
    <row r="33" spans="1:12" x14ac:dyDescent="0.25">
      <c r="A33">
        <v>1703</v>
      </c>
      <c r="B33" t="s">
        <v>84</v>
      </c>
      <c r="C33" t="s">
        <v>88</v>
      </c>
      <c r="D33" t="s">
        <v>5</v>
      </c>
      <c r="H33">
        <v>36</v>
      </c>
      <c r="J33">
        <f t="shared" si="0"/>
        <v>36</v>
      </c>
      <c r="L33">
        <f t="shared" si="1"/>
        <v>1.607142857142857E-2</v>
      </c>
    </row>
    <row r="34" spans="1:12" x14ac:dyDescent="0.25">
      <c r="A34">
        <v>1703</v>
      </c>
      <c r="B34" t="s">
        <v>61</v>
      </c>
      <c r="C34" t="s">
        <v>88</v>
      </c>
      <c r="D34" t="s">
        <v>5</v>
      </c>
      <c r="H34">
        <v>182</v>
      </c>
      <c r="J34">
        <f t="shared" si="0"/>
        <v>182</v>
      </c>
      <c r="L34">
        <f t="shared" si="1"/>
        <v>8.1250000000000003E-2</v>
      </c>
    </row>
    <row r="35" spans="1:12" x14ac:dyDescent="0.25">
      <c r="A35">
        <v>1703</v>
      </c>
      <c r="B35" t="s">
        <v>14</v>
      </c>
      <c r="C35" t="s">
        <v>88</v>
      </c>
      <c r="D35" t="s">
        <v>5</v>
      </c>
      <c r="H35">
        <v>76</v>
      </c>
      <c r="J35">
        <f t="shared" si="0"/>
        <v>76</v>
      </c>
      <c r="L35">
        <f t="shared" si="1"/>
        <v>3.3928571428571426E-2</v>
      </c>
    </row>
    <row r="36" spans="1:12" x14ac:dyDescent="0.25">
      <c r="A36">
        <v>1703</v>
      </c>
      <c r="B36" t="s">
        <v>10</v>
      </c>
      <c r="C36" t="s">
        <v>88</v>
      </c>
      <c r="D36" t="s">
        <v>5</v>
      </c>
      <c r="F36">
        <v>6</v>
      </c>
      <c r="G36">
        <v>2</v>
      </c>
      <c r="H36">
        <v>2</v>
      </c>
      <c r="J36">
        <f t="shared" si="0"/>
        <v>730</v>
      </c>
      <c r="L36">
        <f t="shared" si="1"/>
        <v>0.32589285714285715</v>
      </c>
    </row>
  </sheetData>
  <autoFilter ref="A1:L36" xr:uid="{8C2F7725-5A61-4A1B-A740-CC887BCB0E68}">
    <sortState xmlns:xlrd2="http://schemas.microsoft.com/office/spreadsheetml/2017/richdata2" ref="A2:L36">
      <sortCondition ref="D1:D3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17"/>
  <sheetViews>
    <sheetView workbookViewId="0">
      <selection activeCell="H5" sqref="H5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9</v>
      </c>
      <c r="C2" t="s">
        <v>89</v>
      </c>
      <c r="D2" t="s">
        <v>1</v>
      </c>
      <c r="F2">
        <v>13760</v>
      </c>
      <c r="H2">
        <v>14</v>
      </c>
      <c r="J2">
        <f t="shared" ref="J2:J17" si="0">(E2*2240)+(F2*112)+(G2*28)+H2</f>
        <v>1541134</v>
      </c>
      <c r="L2">
        <f t="shared" ref="L2:L17" si="1">J2/2240</f>
        <v>688.00625000000002</v>
      </c>
    </row>
    <row r="3" spans="1:12" x14ac:dyDescent="0.25">
      <c r="A3">
        <v>1703</v>
      </c>
      <c r="B3" t="s">
        <v>6</v>
      </c>
      <c r="C3" t="s">
        <v>89</v>
      </c>
      <c r="D3" t="s">
        <v>1</v>
      </c>
      <c r="H3">
        <v>5</v>
      </c>
      <c r="J3">
        <f t="shared" si="0"/>
        <v>5</v>
      </c>
      <c r="L3">
        <f t="shared" si="1"/>
        <v>2.232142857142857E-3</v>
      </c>
    </row>
    <row r="4" spans="1:12" x14ac:dyDescent="0.25">
      <c r="A4">
        <v>1703</v>
      </c>
      <c r="B4" t="s">
        <v>3</v>
      </c>
      <c r="C4" t="s">
        <v>89</v>
      </c>
      <c r="D4" t="s">
        <v>1</v>
      </c>
      <c r="H4">
        <f>25*200</f>
        <v>5000</v>
      </c>
      <c r="I4" t="s">
        <v>47</v>
      </c>
      <c r="J4">
        <f t="shared" si="0"/>
        <v>5000</v>
      </c>
      <c r="L4">
        <f t="shared" si="1"/>
        <v>2.2321428571428572</v>
      </c>
    </row>
    <row r="5" spans="1:12" x14ac:dyDescent="0.25">
      <c r="A5">
        <v>1703</v>
      </c>
      <c r="B5" t="s">
        <v>4</v>
      </c>
      <c r="C5" t="s">
        <v>89</v>
      </c>
      <c r="D5" t="s">
        <v>1</v>
      </c>
      <c r="F5">
        <v>6</v>
      </c>
      <c r="H5">
        <v>14</v>
      </c>
      <c r="J5">
        <f t="shared" si="0"/>
        <v>686</v>
      </c>
      <c r="L5">
        <f t="shared" si="1"/>
        <v>0.30625000000000002</v>
      </c>
    </row>
    <row r="6" spans="1:12" x14ac:dyDescent="0.25">
      <c r="A6">
        <v>1703</v>
      </c>
      <c r="B6" t="s">
        <v>2</v>
      </c>
      <c r="C6" t="s">
        <v>89</v>
      </c>
      <c r="D6" t="s">
        <v>1</v>
      </c>
      <c r="H6">
        <v>11124</v>
      </c>
      <c r="J6">
        <f t="shared" si="0"/>
        <v>11124</v>
      </c>
      <c r="L6">
        <f t="shared" si="1"/>
        <v>4.9660714285714285</v>
      </c>
    </row>
    <row r="7" spans="1:12" x14ac:dyDescent="0.25">
      <c r="A7">
        <v>1703</v>
      </c>
      <c r="B7" t="s">
        <v>28</v>
      </c>
      <c r="C7" t="s">
        <v>89</v>
      </c>
      <c r="D7" t="s">
        <v>1</v>
      </c>
      <c r="F7">
        <v>4</v>
      </c>
      <c r="J7">
        <f t="shared" si="0"/>
        <v>448</v>
      </c>
      <c r="L7">
        <f t="shared" si="1"/>
        <v>0.2</v>
      </c>
    </row>
    <row r="8" spans="1:12" x14ac:dyDescent="0.25">
      <c r="A8">
        <v>1703</v>
      </c>
      <c r="B8" t="s">
        <v>12</v>
      </c>
      <c r="C8" t="s">
        <v>89</v>
      </c>
      <c r="D8" t="s">
        <v>1</v>
      </c>
      <c r="J8">
        <f t="shared" si="0"/>
        <v>0</v>
      </c>
      <c r="L8">
        <f t="shared" si="1"/>
        <v>0</v>
      </c>
    </row>
    <row r="9" spans="1:12" x14ac:dyDescent="0.25">
      <c r="A9">
        <v>1703</v>
      </c>
      <c r="B9" t="s">
        <v>8</v>
      </c>
      <c r="C9" t="s">
        <v>89</v>
      </c>
      <c r="D9" t="s">
        <v>1</v>
      </c>
      <c r="F9">
        <v>54</v>
      </c>
      <c r="J9">
        <f t="shared" si="0"/>
        <v>6048</v>
      </c>
      <c r="L9">
        <f t="shared" si="1"/>
        <v>2.7</v>
      </c>
    </row>
    <row r="10" spans="1:12" x14ac:dyDescent="0.25">
      <c r="A10">
        <v>1703</v>
      </c>
      <c r="B10" t="s">
        <v>24</v>
      </c>
      <c r="C10" t="s">
        <v>89</v>
      </c>
      <c r="D10" t="s">
        <v>1</v>
      </c>
      <c r="H10">
        <v>13600</v>
      </c>
      <c r="J10">
        <f t="shared" si="0"/>
        <v>13600</v>
      </c>
      <c r="L10">
        <f t="shared" si="1"/>
        <v>6.0714285714285712</v>
      </c>
    </row>
    <row r="11" spans="1:12" x14ac:dyDescent="0.25">
      <c r="A11">
        <v>1703</v>
      </c>
      <c r="B11" t="s">
        <v>15</v>
      </c>
      <c r="C11" t="s">
        <v>89</v>
      </c>
      <c r="D11" t="s">
        <v>1</v>
      </c>
      <c r="H11">
        <v>84</v>
      </c>
      <c r="J11">
        <f t="shared" si="0"/>
        <v>84</v>
      </c>
      <c r="L11">
        <f t="shared" si="1"/>
        <v>3.7499999999999999E-2</v>
      </c>
    </row>
    <row r="12" spans="1:12" x14ac:dyDescent="0.25">
      <c r="A12">
        <v>1703</v>
      </c>
      <c r="B12" t="s">
        <v>84</v>
      </c>
      <c r="C12" t="s">
        <v>89</v>
      </c>
      <c r="D12" t="s">
        <v>1</v>
      </c>
      <c r="H12">
        <v>49</v>
      </c>
      <c r="J12">
        <f t="shared" si="0"/>
        <v>49</v>
      </c>
      <c r="L12">
        <f t="shared" si="1"/>
        <v>2.1874999999999999E-2</v>
      </c>
    </row>
    <row r="13" spans="1:12" x14ac:dyDescent="0.25">
      <c r="A13">
        <v>1703</v>
      </c>
      <c r="B13" t="s">
        <v>14</v>
      </c>
      <c r="C13" t="s">
        <v>89</v>
      </c>
      <c r="D13" t="s">
        <v>1</v>
      </c>
      <c r="H13">
        <v>6</v>
      </c>
      <c r="J13">
        <f t="shared" si="0"/>
        <v>6</v>
      </c>
      <c r="L13">
        <f t="shared" si="1"/>
        <v>2.6785714285714286E-3</v>
      </c>
    </row>
    <row r="14" spans="1:12" x14ac:dyDescent="0.25">
      <c r="A14">
        <v>1703</v>
      </c>
      <c r="B14" t="s">
        <v>9</v>
      </c>
      <c r="C14" t="s">
        <v>89</v>
      </c>
      <c r="D14" t="s">
        <v>5</v>
      </c>
      <c r="F14">
        <v>375</v>
      </c>
      <c r="G14">
        <v>3</v>
      </c>
      <c r="H14">
        <v>14</v>
      </c>
      <c r="J14">
        <f t="shared" si="0"/>
        <v>42098</v>
      </c>
      <c r="L14">
        <f t="shared" si="1"/>
        <v>18.793749999999999</v>
      </c>
    </row>
    <row r="15" spans="1:12" x14ac:dyDescent="0.25">
      <c r="A15">
        <v>1703</v>
      </c>
      <c r="B15" t="s">
        <v>4</v>
      </c>
      <c r="C15" t="s">
        <v>89</v>
      </c>
      <c r="D15" t="s">
        <v>5</v>
      </c>
      <c r="F15">
        <v>5</v>
      </c>
      <c r="G15">
        <v>2</v>
      </c>
      <c r="J15">
        <f t="shared" si="0"/>
        <v>616</v>
      </c>
      <c r="L15">
        <f t="shared" si="1"/>
        <v>0.27500000000000002</v>
      </c>
    </row>
    <row r="16" spans="1:12" x14ac:dyDescent="0.25">
      <c r="A16">
        <v>1703</v>
      </c>
      <c r="B16" t="s">
        <v>2</v>
      </c>
      <c r="C16" t="s">
        <v>89</v>
      </c>
      <c r="D16" t="s">
        <v>5</v>
      </c>
      <c r="H16">
        <v>550</v>
      </c>
      <c r="J16">
        <f t="shared" si="0"/>
        <v>550</v>
      </c>
      <c r="L16">
        <f t="shared" si="1"/>
        <v>0.24553571428571427</v>
      </c>
    </row>
    <row r="17" spans="1:12" x14ac:dyDescent="0.25">
      <c r="A17">
        <v>1703</v>
      </c>
      <c r="B17" t="s">
        <v>24</v>
      </c>
      <c r="C17" t="s">
        <v>89</v>
      </c>
      <c r="D17" t="s">
        <v>5</v>
      </c>
      <c r="H17">
        <v>340</v>
      </c>
      <c r="J17">
        <f t="shared" si="0"/>
        <v>340</v>
      </c>
      <c r="L17">
        <f t="shared" si="1"/>
        <v>0.15178571428571427</v>
      </c>
    </row>
  </sheetData>
  <autoFilter ref="A1:L17" xr:uid="{782A6339-1E58-4188-80A6-B4580F70757D}">
    <sortState xmlns:xlrd2="http://schemas.microsoft.com/office/spreadsheetml/2017/richdata2" ref="A2:L17">
      <sortCondition ref="D1:D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P23"/>
  <sheetViews>
    <sheetView workbookViewId="0">
      <selection activeCell="H6" sqref="H6"/>
    </sheetView>
  </sheetViews>
  <sheetFormatPr defaultRowHeight="15" x14ac:dyDescent="0.25"/>
  <cols>
    <col min="2" max="3" width="15.85546875" customWidth="1"/>
  </cols>
  <sheetData>
    <row r="1" spans="1:16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  <c r="N1" t="s">
        <v>25</v>
      </c>
      <c r="P1" t="s">
        <v>26</v>
      </c>
    </row>
    <row r="2" spans="1:16" x14ac:dyDescent="0.25">
      <c r="A2">
        <v>1703</v>
      </c>
      <c r="B2" t="s">
        <v>9</v>
      </c>
      <c r="C2" t="s">
        <v>90</v>
      </c>
      <c r="D2" t="s">
        <v>1</v>
      </c>
      <c r="F2">
        <v>38461</v>
      </c>
      <c r="G2">
        <v>3</v>
      </c>
      <c r="H2">
        <v>23</v>
      </c>
      <c r="J2">
        <f t="shared" ref="J2:J23" si="0">(E2*2240)+(F2*112)+(G2*28)+(H2/16)</f>
        <v>4307717.4375</v>
      </c>
      <c r="L2">
        <f>J2/2240</f>
        <v>1923.0881417410715</v>
      </c>
    </row>
    <row r="3" spans="1:16" x14ac:dyDescent="0.25">
      <c r="A3">
        <v>1703</v>
      </c>
      <c r="B3" t="s">
        <v>6</v>
      </c>
      <c r="C3" t="s">
        <v>90</v>
      </c>
      <c r="D3" t="s">
        <v>1</v>
      </c>
      <c r="H3">
        <v>103</v>
      </c>
      <c r="J3">
        <f t="shared" si="0"/>
        <v>6.4375</v>
      </c>
    </row>
    <row r="4" spans="1:16" x14ac:dyDescent="0.25">
      <c r="A4">
        <v>1703</v>
      </c>
      <c r="B4" t="s">
        <v>42</v>
      </c>
      <c r="C4" t="s">
        <v>90</v>
      </c>
      <c r="D4" t="s">
        <v>1</v>
      </c>
      <c r="F4">
        <v>47</v>
      </c>
      <c r="G4">
        <v>3</v>
      </c>
      <c r="H4">
        <v>15</v>
      </c>
      <c r="J4">
        <f t="shared" si="0"/>
        <v>5348.9375</v>
      </c>
      <c r="L4">
        <f t="shared" ref="L4:L23" si="1">J4/2240</f>
        <v>2.3879185267857141</v>
      </c>
    </row>
    <row r="5" spans="1:16" x14ac:dyDescent="0.25">
      <c r="A5">
        <v>1703</v>
      </c>
      <c r="B5" t="s">
        <v>3</v>
      </c>
      <c r="C5" t="s">
        <v>90</v>
      </c>
      <c r="D5" t="s">
        <v>1</v>
      </c>
      <c r="H5">
        <f>221*200</f>
        <v>44200</v>
      </c>
      <c r="I5" t="s">
        <v>48</v>
      </c>
      <c r="J5">
        <f t="shared" si="0"/>
        <v>2762.5</v>
      </c>
      <c r="L5">
        <f t="shared" si="1"/>
        <v>1.2332589285714286</v>
      </c>
    </row>
    <row r="6" spans="1:16" x14ac:dyDescent="0.25">
      <c r="A6">
        <v>1703</v>
      </c>
      <c r="B6" t="s">
        <v>16</v>
      </c>
      <c r="C6" t="s">
        <v>90</v>
      </c>
      <c r="D6" t="s">
        <v>1</v>
      </c>
      <c r="F6">
        <v>2</v>
      </c>
      <c r="G6">
        <v>1</v>
      </c>
      <c r="H6">
        <v>24</v>
      </c>
      <c r="J6">
        <f t="shared" si="0"/>
        <v>253.5</v>
      </c>
      <c r="L6">
        <f t="shared" si="1"/>
        <v>0.11316964285714286</v>
      </c>
      <c r="N6">
        <f>L6+L10+L12+L13+L16+L19+L20+L21+L23+L24+L25+L26+L27+L11</f>
        <v>8.1433035714285715</v>
      </c>
      <c r="P6">
        <f>L7+L8+L9+L22</f>
        <v>1.2928571428571427</v>
      </c>
    </row>
    <row r="7" spans="1:16" x14ac:dyDescent="0.25">
      <c r="A7">
        <v>1703</v>
      </c>
      <c r="B7" t="s">
        <v>2</v>
      </c>
      <c r="C7" t="s">
        <v>90</v>
      </c>
      <c r="D7" t="s">
        <v>1</v>
      </c>
      <c r="H7">
        <v>566</v>
      </c>
      <c r="J7">
        <f t="shared" si="0"/>
        <v>35.375</v>
      </c>
      <c r="L7">
        <f t="shared" si="1"/>
        <v>1.5792410714285714E-2</v>
      </c>
    </row>
    <row r="8" spans="1:16" x14ac:dyDescent="0.25">
      <c r="A8">
        <v>1703</v>
      </c>
      <c r="B8" t="s">
        <v>28</v>
      </c>
      <c r="C8" t="s">
        <v>90</v>
      </c>
      <c r="D8" t="s">
        <v>1</v>
      </c>
      <c r="F8">
        <v>25</v>
      </c>
      <c r="G8">
        <v>2</v>
      </c>
      <c r="J8">
        <f t="shared" si="0"/>
        <v>2856</v>
      </c>
      <c r="L8">
        <f t="shared" si="1"/>
        <v>1.2749999999999999</v>
      </c>
    </row>
    <row r="9" spans="1:16" x14ac:dyDescent="0.25">
      <c r="A9">
        <v>1703</v>
      </c>
      <c r="B9" t="s">
        <v>29</v>
      </c>
      <c r="C9" t="s">
        <v>90</v>
      </c>
      <c r="D9" t="s">
        <v>1</v>
      </c>
      <c r="I9" t="s">
        <v>49</v>
      </c>
      <c r="J9">
        <f t="shared" si="0"/>
        <v>0</v>
      </c>
      <c r="L9">
        <f t="shared" si="1"/>
        <v>0</v>
      </c>
    </row>
    <row r="10" spans="1:16" x14ac:dyDescent="0.25">
      <c r="A10">
        <v>1703</v>
      </c>
      <c r="B10" t="s">
        <v>13</v>
      </c>
      <c r="C10" t="s">
        <v>90</v>
      </c>
      <c r="D10" t="s">
        <v>1</v>
      </c>
      <c r="H10">
        <v>110</v>
      </c>
      <c r="I10" t="s">
        <v>50</v>
      </c>
      <c r="J10">
        <f t="shared" si="0"/>
        <v>6.875</v>
      </c>
      <c r="L10">
        <f t="shared" si="1"/>
        <v>3.0691964285714285E-3</v>
      </c>
    </row>
    <row r="11" spans="1:16" x14ac:dyDescent="0.25">
      <c r="A11">
        <v>1703</v>
      </c>
      <c r="B11" t="s">
        <v>15</v>
      </c>
      <c r="C11" t="s">
        <v>90</v>
      </c>
      <c r="D11" t="s">
        <v>1</v>
      </c>
      <c r="F11">
        <v>10</v>
      </c>
      <c r="G11">
        <v>3</v>
      </c>
      <c r="H11">
        <v>1</v>
      </c>
      <c r="J11">
        <f t="shared" si="0"/>
        <v>1204.0625</v>
      </c>
      <c r="L11">
        <f t="shared" si="1"/>
        <v>0.5375279017857143</v>
      </c>
    </row>
    <row r="12" spans="1:16" x14ac:dyDescent="0.25">
      <c r="A12">
        <v>1703</v>
      </c>
      <c r="B12" t="s">
        <v>84</v>
      </c>
      <c r="C12" t="s">
        <v>90</v>
      </c>
      <c r="D12" t="s">
        <v>1</v>
      </c>
      <c r="H12">
        <v>382</v>
      </c>
      <c r="J12">
        <f t="shared" si="0"/>
        <v>23.875</v>
      </c>
      <c r="L12">
        <f t="shared" si="1"/>
        <v>1.0658482142857143E-2</v>
      </c>
    </row>
    <row r="13" spans="1:16" x14ac:dyDescent="0.25">
      <c r="A13">
        <v>1703</v>
      </c>
      <c r="B13" t="s">
        <v>19</v>
      </c>
      <c r="C13" t="s">
        <v>90</v>
      </c>
      <c r="D13" t="s">
        <v>1</v>
      </c>
      <c r="H13">
        <v>98</v>
      </c>
      <c r="J13">
        <f t="shared" si="0"/>
        <v>6.125</v>
      </c>
      <c r="L13">
        <f t="shared" si="1"/>
        <v>2.7343749999999998E-3</v>
      </c>
    </row>
    <row r="14" spans="1:16" x14ac:dyDescent="0.25">
      <c r="A14">
        <v>1703</v>
      </c>
      <c r="B14" t="s">
        <v>11</v>
      </c>
      <c r="C14" t="s">
        <v>90</v>
      </c>
      <c r="D14" t="s">
        <v>1</v>
      </c>
      <c r="H14">
        <v>80</v>
      </c>
      <c r="J14">
        <f t="shared" si="0"/>
        <v>5</v>
      </c>
      <c r="L14">
        <f t="shared" si="1"/>
        <v>2.232142857142857E-3</v>
      </c>
    </row>
    <row r="15" spans="1:16" x14ac:dyDescent="0.25">
      <c r="A15">
        <v>1703</v>
      </c>
      <c r="B15" t="s">
        <v>14</v>
      </c>
      <c r="C15" t="s">
        <v>90</v>
      </c>
      <c r="D15" t="s">
        <v>1</v>
      </c>
      <c r="H15">
        <v>17</v>
      </c>
      <c r="J15">
        <f t="shared" si="0"/>
        <v>1.0625</v>
      </c>
      <c r="L15">
        <f t="shared" si="1"/>
        <v>4.7433035714285714E-4</v>
      </c>
    </row>
    <row r="16" spans="1:16" x14ac:dyDescent="0.25">
      <c r="A16">
        <v>1703</v>
      </c>
      <c r="B16" t="s">
        <v>10</v>
      </c>
      <c r="C16" t="s">
        <v>90</v>
      </c>
      <c r="D16" t="s">
        <v>1</v>
      </c>
      <c r="F16">
        <v>2</v>
      </c>
      <c r="G16">
        <v>1</v>
      </c>
      <c r="J16">
        <f t="shared" si="0"/>
        <v>252</v>
      </c>
      <c r="L16">
        <f t="shared" si="1"/>
        <v>0.1125</v>
      </c>
    </row>
    <row r="17" spans="1:12" x14ac:dyDescent="0.25">
      <c r="A17">
        <v>1703</v>
      </c>
      <c r="B17" t="s">
        <v>9</v>
      </c>
      <c r="C17" t="s">
        <v>90</v>
      </c>
      <c r="D17" t="s">
        <v>5</v>
      </c>
      <c r="F17">
        <v>18218</v>
      </c>
      <c r="G17">
        <v>3</v>
      </c>
      <c r="H17">
        <v>26</v>
      </c>
      <c r="J17">
        <f t="shared" si="0"/>
        <v>2040501.625</v>
      </c>
      <c r="L17">
        <f t="shared" si="1"/>
        <v>910.93822544642853</v>
      </c>
    </row>
    <row r="18" spans="1:12" x14ac:dyDescent="0.25">
      <c r="A18">
        <v>1703</v>
      </c>
      <c r="B18" t="s">
        <v>42</v>
      </c>
      <c r="C18" t="s">
        <v>90</v>
      </c>
      <c r="D18" t="s">
        <v>5</v>
      </c>
      <c r="F18">
        <v>9</v>
      </c>
      <c r="H18">
        <v>9</v>
      </c>
      <c r="J18">
        <f t="shared" si="0"/>
        <v>1008.5625</v>
      </c>
      <c r="L18">
        <f t="shared" si="1"/>
        <v>0.45025111607142859</v>
      </c>
    </row>
    <row r="19" spans="1:12" x14ac:dyDescent="0.25">
      <c r="A19">
        <v>1703</v>
      </c>
      <c r="B19" t="s">
        <v>3</v>
      </c>
      <c r="C19" t="s">
        <v>90</v>
      </c>
      <c r="D19" t="s">
        <v>5</v>
      </c>
      <c r="F19">
        <v>140</v>
      </c>
      <c r="H19">
        <v>4</v>
      </c>
      <c r="J19">
        <f t="shared" si="0"/>
        <v>15680.25</v>
      </c>
      <c r="L19">
        <f t="shared" si="1"/>
        <v>7.0001116071428573</v>
      </c>
    </row>
    <row r="20" spans="1:12" x14ac:dyDescent="0.25">
      <c r="A20">
        <v>1703</v>
      </c>
      <c r="B20" t="s">
        <v>16</v>
      </c>
      <c r="C20" t="s">
        <v>90</v>
      </c>
      <c r="D20" t="s">
        <v>5</v>
      </c>
      <c r="G20">
        <v>2</v>
      </c>
      <c r="J20">
        <f t="shared" si="0"/>
        <v>56</v>
      </c>
      <c r="L20">
        <f t="shared" si="1"/>
        <v>2.5000000000000001E-2</v>
      </c>
    </row>
    <row r="21" spans="1:12" x14ac:dyDescent="0.25">
      <c r="A21">
        <v>1703</v>
      </c>
      <c r="B21" t="s">
        <v>15</v>
      </c>
      <c r="C21" t="s">
        <v>90</v>
      </c>
      <c r="D21" t="s">
        <v>5</v>
      </c>
      <c r="F21">
        <v>6</v>
      </c>
      <c r="G21">
        <v>3</v>
      </c>
      <c r="H21">
        <v>27</v>
      </c>
      <c r="J21">
        <f t="shared" si="0"/>
        <v>757.6875</v>
      </c>
      <c r="L21">
        <f t="shared" si="1"/>
        <v>0.33825334821428571</v>
      </c>
    </row>
    <row r="22" spans="1:12" x14ac:dyDescent="0.25">
      <c r="A22">
        <v>1703</v>
      </c>
      <c r="B22" t="s">
        <v>62</v>
      </c>
      <c r="C22" t="s">
        <v>90</v>
      </c>
      <c r="D22" t="s">
        <v>5</v>
      </c>
      <c r="H22">
        <v>74</v>
      </c>
      <c r="J22">
        <f t="shared" si="0"/>
        <v>4.625</v>
      </c>
      <c r="L22">
        <f t="shared" si="1"/>
        <v>2.0647321428571429E-3</v>
      </c>
    </row>
    <row r="23" spans="1:12" x14ac:dyDescent="0.25">
      <c r="A23">
        <v>1703</v>
      </c>
      <c r="B23" t="s">
        <v>14</v>
      </c>
      <c r="C23" t="s">
        <v>90</v>
      </c>
      <c r="D23" t="s">
        <v>5</v>
      </c>
      <c r="H23">
        <v>10</v>
      </c>
      <c r="J23">
        <f t="shared" si="0"/>
        <v>0.625</v>
      </c>
      <c r="L23">
        <f t="shared" si="1"/>
        <v>2.7901785714285713E-4</v>
      </c>
    </row>
  </sheetData>
  <autoFilter ref="A1:P23" xr:uid="{DF3C4C2D-B143-49EB-AE6F-B3BFFAC00D68}">
    <sortState xmlns:xlrd2="http://schemas.microsoft.com/office/spreadsheetml/2017/richdata2" ref="A2:P23">
      <sortCondition ref="D1:D2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7"/>
  <sheetViews>
    <sheetView workbookViewId="0">
      <selection activeCell="H5" sqref="H5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9</v>
      </c>
      <c r="C2" t="s">
        <v>91</v>
      </c>
      <c r="D2" t="s">
        <v>1</v>
      </c>
      <c r="F2">
        <v>14190</v>
      </c>
      <c r="H2">
        <v>10</v>
      </c>
      <c r="J2">
        <f t="shared" ref="J2:J7" si="0">(E2*2240)+(F2*112)+(G2*28)+(H2/16)</f>
        <v>1589280.625</v>
      </c>
      <c r="L2">
        <f t="shared" ref="L2:L7" si="1">J2/2240</f>
        <v>709.50027901785711</v>
      </c>
    </row>
    <row r="3" spans="1:12" x14ac:dyDescent="0.25">
      <c r="A3">
        <v>1703</v>
      </c>
      <c r="B3" t="s">
        <v>42</v>
      </c>
      <c r="C3" t="s">
        <v>91</v>
      </c>
      <c r="D3" t="s">
        <v>1</v>
      </c>
      <c r="F3">
        <v>8</v>
      </c>
      <c r="G3">
        <v>2</v>
      </c>
      <c r="H3">
        <v>14</v>
      </c>
      <c r="J3">
        <f t="shared" si="0"/>
        <v>952.875</v>
      </c>
      <c r="L3">
        <f t="shared" si="1"/>
        <v>0.42539062500000002</v>
      </c>
    </row>
    <row r="4" spans="1:12" x14ac:dyDescent="0.25">
      <c r="A4">
        <v>1703</v>
      </c>
      <c r="B4" t="s">
        <v>3</v>
      </c>
      <c r="C4" t="s">
        <v>91</v>
      </c>
      <c r="D4" t="s">
        <v>1</v>
      </c>
      <c r="H4">
        <f>3*200</f>
        <v>600</v>
      </c>
      <c r="I4" t="s">
        <v>27</v>
      </c>
      <c r="J4">
        <f t="shared" si="0"/>
        <v>37.5</v>
      </c>
      <c r="L4">
        <f t="shared" si="1"/>
        <v>1.6741071428571428E-2</v>
      </c>
    </row>
    <row r="5" spans="1:12" x14ac:dyDescent="0.25">
      <c r="A5">
        <v>1703</v>
      </c>
      <c r="B5" t="s">
        <v>16</v>
      </c>
      <c r="C5" t="s">
        <v>91</v>
      </c>
      <c r="D5" t="s">
        <v>1</v>
      </c>
      <c r="F5">
        <v>9</v>
      </c>
      <c r="H5">
        <v>1</v>
      </c>
      <c r="J5">
        <f t="shared" si="0"/>
        <v>1008.0625</v>
      </c>
      <c r="L5">
        <f t="shared" si="1"/>
        <v>0.45002790178571428</v>
      </c>
    </row>
    <row r="6" spans="1:12" x14ac:dyDescent="0.25">
      <c r="A6">
        <v>1703</v>
      </c>
      <c r="B6" t="s">
        <v>2</v>
      </c>
      <c r="C6" t="s">
        <v>91</v>
      </c>
      <c r="D6" t="s">
        <v>1</v>
      </c>
      <c r="H6">
        <v>800</v>
      </c>
      <c r="J6">
        <f t="shared" si="0"/>
        <v>50</v>
      </c>
      <c r="L6">
        <f t="shared" si="1"/>
        <v>2.2321428571428572E-2</v>
      </c>
    </row>
    <row r="7" spans="1:12" x14ac:dyDescent="0.25">
      <c r="A7">
        <v>1703</v>
      </c>
      <c r="B7" t="s">
        <v>8</v>
      </c>
      <c r="C7" t="s">
        <v>91</v>
      </c>
      <c r="D7" t="s">
        <v>1</v>
      </c>
      <c r="F7">
        <v>154</v>
      </c>
      <c r="J7">
        <f t="shared" si="0"/>
        <v>17248</v>
      </c>
      <c r="L7">
        <f t="shared" si="1"/>
        <v>7.7</v>
      </c>
    </row>
  </sheetData>
  <autoFilter ref="A1:L7" xr:uid="{7ECBE782-642A-4A69-B3C3-AA33FAF53666}">
    <sortState xmlns:xlrd2="http://schemas.microsoft.com/office/spreadsheetml/2017/richdata2" ref="A2:L7">
      <sortCondition ref="B1:B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19"/>
  <sheetViews>
    <sheetView tabSelected="1" workbookViewId="0">
      <selection activeCell="H7" sqref="H7"/>
    </sheetView>
  </sheetViews>
  <sheetFormatPr defaultRowHeight="15" x14ac:dyDescent="0.25"/>
  <cols>
    <col min="2" max="3" width="15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/>
      <c r="J1" s="1" t="s">
        <v>0</v>
      </c>
      <c r="K1" s="1"/>
      <c r="L1" s="1" t="s">
        <v>81</v>
      </c>
    </row>
    <row r="2" spans="1:12" x14ac:dyDescent="0.25">
      <c r="A2">
        <v>1703</v>
      </c>
      <c r="B2" t="s">
        <v>51</v>
      </c>
      <c r="C2" t="s">
        <v>93</v>
      </c>
      <c r="D2" t="s">
        <v>1</v>
      </c>
      <c r="H2">
        <v>28</v>
      </c>
      <c r="J2">
        <f t="shared" ref="J2:J19" si="0">(E2*2240)+(F2*112)+(G2*28)+H2</f>
        <v>28</v>
      </c>
      <c r="L2">
        <f t="shared" ref="L2:L19" si="1">J2/2240</f>
        <v>1.2500000000000001E-2</v>
      </c>
    </row>
    <row r="3" spans="1:12" x14ac:dyDescent="0.25">
      <c r="A3">
        <v>1703</v>
      </c>
      <c r="B3" t="s">
        <v>22</v>
      </c>
      <c r="C3" t="s">
        <v>93</v>
      </c>
      <c r="D3" t="s">
        <v>1</v>
      </c>
      <c r="H3">
        <v>80</v>
      </c>
      <c r="J3">
        <f t="shared" si="0"/>
        <v>80</v>
      </c>
      <c r="L3">
        <f t="shared" si="1"/>
        <v>3.5714285714285712E-2</v>
      </c>
    </row>
    <row r="4" spans="1:12" x14ac:dyDescent="0.25">
      <c r="A4">
        <v>1703</v>
      </c>
      <c r="B4" t="s">
        <v>9</v>
      </c>
      <c r="C4" t="s">
        <v>93</v>
      </c>
      <c r="D4" t="s">
        <v>1</v>
      </c>
      <c r="F4">
        <v>3934</v>
      </c>
      <c r="H4">
        <v>2</v>
      </c>
      <c r="J4">
        <f t="shared" si="0"/>
        <v>440610</v>
      </c>
      <c r="L4">
        <f t="shared" si="1"/>
        <v>196.70089285714286</v>
      </c>
    </row>
    <row r="5" spans="1:12" x14ac:dyDescent="0.25">
      <c r="A5">
        <v>1703</v>
      </c>
      <c r="B5" t="s">
        <v>42</v>
      </c>
      <c r="C5" t="s">
        <v>93</v>
      </c>
      <c r="D5" t="s">
        <v>1</v>
      </c>
      <c r="F5">
        <v>41</v>
      </c>
      <c r="H5">
        <v>1</v>
      </c>
      <c r="J5">
        <f t="shared" si="0"/>
        <v>4593</v>
      </c>
      <c r="L5">
        <f t="shared" si="1"/>
        <v>2.0504464285714286</v>
      </c>
    </row>
    <row r="6" spans="1:12" x14ac:dyDescent="0.25">
      <c r="A6">
        <v>1703</v>
      </c>
      <c r="B6" t="s">
        <v>3</v>
      </c>
      <c r="C6" t="s">
        <v>93</v>
      </c>
      <c r="D6" t="s">
        <v>1</v>
      </c>
      <c r="H6">
        <f>200</f>
        <v>200</v>
      </c>
      <c r="I6" t="s">
        <v>30</v>
      </c>
      <c r="J6">
        <f t="shared" si="0"/>
        <v>200</v>
      </c>
      <c r="L6">
        <f t="shared" si="1"/>
        <v>8.9285714285714288E-2</v>
      </c>
    </row>
    <row r="7" spans="1:12" x14ac:dyDescent="0.25">
      <c r="A7">
        <v>1703</v>
      </c>
      <c r="B7" t="s">
        <v>2</v>
      </c>
      <c r="C7" t="s">
        <v>93</v>
      </c>
      <c r="D7" t="s">
        <v>1</v>
      </c>
      <c r="H7">
        <v>990</v>
      </c>
      <c r="J7">
        <f t="shared" si="0"/>
        <v>990</v>
      </c>
      <c r="L7">
        <f t="shared" si="1"/>
        <v>0.4419642857142857</v>
      </c>
    </row>
    <row r="8" spans="1:12" x14ac:dyDescent="0.25">
      <c r="A8">
        <v>1703</v>
      </c>
      <c r="B8" t="s">
        <v>28</v>
      </c>
      <c r="C8" t="s">
        <v>93</v>
      </c>
      <c r="D8" t="s">
        <v>1</v>
      </c>
      <c r="F8">
        <v>23</v>
      </c>
      <c r="J8">
        <f t="shared" si="0"/>
        <v>2576</v>
      </c>
      <c r="K8" s="1"/>
      <c r="L8">
        <f t="shared" si="1"/>
        <v>1.1499999999999999</v>
      </c>
    </row>
    <row r="9" spans="1:12" x14ac:dyDescent="0.25">
      <c r="A9">
        <v>1703</v>
      </c>
      <c r="B9" t="s">
        <v>12</v>
      </c>
      <c r="C9" t="s">
        <v>93</v>
      </c>
      <c r="D9" t="s">
        <v>1</v>
      </c>
      <c r="H9">
        <v>1680</v>
      </c>
      <c r="I9" t="s">
        <v>52</v>
      </c>
      <c r="J9">
        <f t="shared" si="0"/>
        <v>1680</v>
      </c>
      <c r="L9">
        <f t="shared" si="1"/>
        <v>0.75</v>
      </c>
    </row>
    <row r="10" spans="1:12" x14ac:dyDescent="0.25">
      <c r="A10">
        <v>1703</v>
      </c>
      <c r="B10" t="s">
        <v>8</v>
      </c>
      <c r="C10" t="s">
        <v>93</v>
      </c>
      <c r="D10" t="s">
        <v>1</v>
      </c>
      <c r="F10">
        <v>2993</v>
      </c>
      <c r="G10">
        <v>3</v>
      </c>
      <c r="H10">
        <v>3</v>
      </c>
      <c r="J10">
        <f t="shared" si="0"/>
        <v>335303</v>
      </c>
      <c r="L10">
        <f t="shared" si="1"/>
        <v>149.68883928571429</v>
      </c>
    </row>
    <row r="11" spans="1:12" x14ac:dyDescent="0.25">
      <c r="A11">
        <v>1703</v>
      </c>
      <c r="B11" t="s">
        <v>18</v>
      </c>
      <c r="C11" t="s">
        <v>93</v>
      </c>
      <c r="D11" t="s">
        <v>1</v>
      </c>
      <c r="F11">
        <v>7</v>
      </c>
      <c r="J11">
        <f t="shared" si="0"/>
        <v>784</v>
      </c>
      <c r="L11">
        <f t="shared" si="1"/>
        <v>0.35</v>
      </c>
    </row>
    <row r="12" spans="1:12" x14ac:dyDescent="0.25">
      <c r="A12">
        <v>1703</v>
      </c>
      <c r="B12" t="s">
        <v>15</v>
      </c>
      <c r="C12" t="s">
        <v>93</v>
      </c>
      <c r="D12" t="s">
        <v>1</v>
      </c>
      <c r="F12">
        <v>11</v>
      </c>
      <c r="G12">
        <v>3</v>
      </c>
      <c r="J12">
        <f t="shared" si="0"/>
        <v>1316</v>
      </c>
      <c r="L12">
        <f t="shared" si="1"/>
        <v>0.58750000000000002</v>
      </c>
    </row>
    <row r="13" spans="1:12" x14ac:dyDescent="0.25">
      <c r="A13">
        <v>1703</v>
      </c>
      <c r="B13" t="s">
        <v>11</v>
      </c>
      <c r="C13" t="s">
        <v>93</v>
      </c>
      <c r="D13" t="s">
        <v>1</v>
      </c>
      <c r="H13">
        <f>88597+1091</f>
        <v>89688</v>
      </c>
      <c r="J13">
        <f t="shared" si="0"/>
        <v>89688</v>
      </c>
      <c r="L13">
        <f t="shared" si="1"/>
        <v>40.039285714285711</v>
      </c>
    </row>
    <row r="14" spans="1:12" x14ac:dyDescent="0.25">
      <c r="A14">
        <v>1703</v>
      </c>
      <c r="B14" t="s">
        <v>14</v>
      </c>
      <c r="C14" t="s">
        <v>93</v>
      </c>
      <c r="D14" t="s">
        <v>1</v>
      </c>
      <c r="H14">
        <v>54</v>
      </c>
      <c r="J14">
        <f t="shared" si="0"/>
        <v>54</v>
      </c>
      <c r="L14">
        <f t="shared" si="1"/>
        <v>2.4107142857142858E-2</v>
      </c>
    </row>
    <row r="15" spans="1:12" x14ac:dyDescent="0.25">
      <c r="A15">
        <v>1703</v>
      </c>
      <c r="B15" t="s">
        <v>9</v>
      </c>
      <c r="C15" t="s">
        <v>93</v>
      </c>
      <c r="D15" t="s">
        <v>5</v>
      </c>
      <c r="F15">
        <v>929</v>
      </c>
      <c r="G15">
        <v>1</v>
      </c>
      <c r="H15">
        <v>14</v>
      </c>
      <c r="J15">
        <f t="shared" si="0"/>
        <v>104090</v>
      </c>
      <c r="L15">
        <f t="shared" si="1"/>
        <v>46.46875</v>
      </c>
    </row>
    <row r="16" spans="1:12" x14ac:dyDescent="0.25">
      <c r="A16">
        <v>1703</v>
      </c>
      <c r="B16" t="s">
        <v>92</v>
      </c>
      <c r="C16" t="s">
        <v>93</v>
      </c>
      <c r="D16" t="s">
        <v>5</v>
      </c>
      <c r="F16">
        <v>133</v>
      </c>
      <c r="G16">
        <v>1</v>
      </c>
      <c r="H16">
        <v>22</v>
      </c>
      <c r="J16">
        <f t="shared" si="0"/>
        <v>14946</v>
      </c>
      <c r="L16">
        <f t="shared" si="1"/>
        <v>6.6723214285714283</v>
      </c>
    </row>
    <row r="17" spans="1:12" x14ac:dyDescent="0.25">
      <c r="A17">
        <v>1703</v>
      </c>
      <c r="B17" t="s">
        <v>8</v>
      </c>
      <c r="C17" t="s">
        <v>93</v>
      </c>
      <c r="D17" t="s">
        <v>5</v>
      </c>
      <c r="F17">
        <v>557</v>
      </c>
      <c r="G17">
        <v>2</v>
      </c>
      <c r="H17">
        <v>21</v>
      </c>
      <c r="J17">
        <f t="shared" si="0"/>
        <v>62461</v>
      </c>
      <c r="L17">
        <f t="shared" si="1"/>
        <v>27.884374999999999</v>
      </c>
    </row>
    <row r="18" spans="1:12" x14ac:dyDescent="0.25">
      <c r="A18">
        <v>1703</v>
      </c>
      <c r="B18" t="s">
        <v>18</v>
      </c>
      <c r="C18" t="s">
        <v>93</v>
      </c>
      <c r="D18" t="s">
        <v>5</v>
      </c>
      <c r="F18">
        <v>9</v>
      </c>
      <c r="G18">
        <v>2</v>
      </c>
      <c r="J18">
        <f t="shared" si="0"/>
        <v>1064</v>
      </c>
      <c r="L18">
        <f t="shared" si="1"/>
        <v>0.47499999999999998</v>
      </c>
    </row>
    <row r="19" spans="1:12" x14ac:dyDescent="0.25">
      <c r="A19">
        <v>1703</v>
      </c>
      <c r="B19" t="s">
        <v>11</v>
      </c>
      <c r="C19" t="s">
        <v>93</v>
      </c>
      <c r="D19" t="s">
        <v>5</v>
      </c>
      <c r="H19">
        <v>24164</v>
      </c>
      <c r="J19">
        <f t="shared" si="0"/>
        <v>24164</v>
      </c>
      <c r="L19">
        <f t="shared" si="1"/>
        <v>10.7875</v>
      </c>
    </row>
  </sheetData>
  <autoFilter ref="A1:L19" xr:uid="{C20D6D79-299E-4BDC-A30E-5252DE375C36}">
    <sortState xmlns:xlrd2="http://schemas.microsoft.com/office/spreadsheetml/2017/richdata2" ref="A2:L19">
      <sortCondition ref="D1:D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2025-04-29T18:35:07Z</dcterms:modified>
</cp:coreProperties>
</file>