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730" documentId="8_{6ADF38F2-02D8-4AF3-8546-A2BBDC36D1D6}" xr6:coauthVersionLast="47" xr6:coauthVersionMax="47" xr10:uidLastSave="{686B32A6-A3BC-4EE4-88D3-F13EBE8E0356}"/>
  <bookViews>
    <workbookView xWindow="-120" yWindow="-120" windowWidth="29040" windowHeight="1584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  <sheet name="WestIndiesGeneral" sheetId="11" r:id="rId11"/>
  </sheets>
  <definedNames>
    <definedName name="_xlnm._FilterDatabase" localSheetId="3" hidden="1">Barbados!$A$1:$N$58</definedName>
    <definedName name="_xlnm._FilterDatabase" localSheetId="5" hidden="1">Jamaica!$A$1:$O$63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1" l="1"/>
  <c r="H22" i="8"/>
  <c r="H22" i="7"/>
  <c r="H83" i="6"/>
  <c r="H22" i="6"/>
  <c r="H24" i="5"/>
  <c r="H18" i="3"/>
  <c r="H23" i="2"/>
  <c r="L9" i="5"/>
  <c r="J9" i="5"/>
  <c r="L21" i="4"/>
  <c r="J21" i="4"/>
  <c r="L51" i="3"/>
  <c r="J51" i="3"/>
  <c r="J36" i="3"/>
  <c r="L36" i="3" s="1"/>
  <c r="J22" i="3"/>
  <c r="L22" i="3" s="1"/>
  <c r="L44" i="2"/>
  <c r="J44" i="2"/>
  <c r="J29" i="5"/>
  <c r="L29" i="5" s="1"/>
  <c r="J20" i="4"/>
  <c r="L20" i="4" s="1"/>
  <c r="J14" i="4"/>
  <c r="L14" i="4" s="1"/>
  <c r="J8" i="4"/>
  <c r="L8" i="4" s="1"/>
  <c r="J46" i="3"/>
  <c r="L46" i="3" s="1"/>
  <c r="J23" i="3"/>
  <c r="L23" i="3" s="1"/>
  <c r="J120" i="5"/>
  <c r="L120" i="5" s="1"/>
  <c r="J74" i="5"/>
  <c r="L74" i="5" s="1"/>
  <c r="J87" i="3"/>
  <c r="L87" i="3" s="1"/>
  <c r="J118" i="2"/>
  <c r="L118" i="2" s="1"/>
  <c r="L54" i="11"/>
  <c r="J54" i="11"/>
  <c r="J10" i="11"/>
  <c r="L10" i="11" s="1"/>
  <c r="J56" i="5"/>
  <c r="L56" i="5" s="1"/>
  <c r="J8" i="5"/>
  <c r="L8" i="5" s="1"/>
  <c r="J16" i="4"/>
  <c r="L16" i="4" s="1"/>
  <c r="J18" i="4"/>
  <c r="L18" i="4" s="1"/>
  <c r="J13" i="4"/>
  <c r="L13" i="4" s="1"/>
  <c r="J10" i="4"/>
  <c r="L10" i="4" s="1"/>
  <c r="J6" i="4"/>
  <c r="L6" i="4" s="1"/>
  <c r="J24" i="3"/>
  <c r="L24" i="3" s="1"/>
  <c r="J29" i="2"/>
  <c r="L29" i="2" s="1"/>
  <c r="J8" i="2"/>
  <c r="L8" i="2" s="1"/>
  <c r="C23" i="1"/>
  <c r="C24" i="1"/>
  <c r="B23" i="1"/>
  <c r="B24" i="1"/>
  <c r="J128" i="11"/>
  <c r="L128" i="11" s="1"/>
  <c r="J127" i="11"/>
  <c r="L127" i="11" s="1"/>
  <c r="J126" i="11"/>
  <c r="L126" i="11" s="1"/>
  <c r="J125" i="11"/>
  <c r="L125" i="11" s="1"/>
  <c r="J124" i="11"/>
  <c r="L124" i="11" s="1"/>
  <c r="J123" i="11"/>
  <c r="L123" i="11" s="1"/>
  <c r="J122" i="11"/>
  <c r="L122" i="11" s="1"/>
  <c r="J121" i="11"/>
  <c r="L121" i="11" s="1"/>
  <c r="J120" i="11"/>
  <c r="L120" i="11" s="1"/>
  <c r="J119" i="11"/>
  <c r="L119" i="11" s="1"/>
  <c r="J118" i="11"/>
  <c r="L118" i="11" s="1"/>
  <c r="J117" i="11"/>
  <c r="L117" i="11" s="1"/>
  <c r="J116" i="11"/>
  <c r="L116" i="11" s="1"/>
  <c r="J115" i="11"/>
  <c r="L115" i="11" s="1"/>
  <c r="J114" i="11"/>
  <c r="L114" i="11" s="1"/>
  <c r="J113" i="11"/>
  <c r="L113" i="11" s="1"/>
  <c r="J112" i="11"/>
  <c r="L112" i="11" s="1"/>
  <c r="J111" i="11"/>
  <c r="L111" i="11" s="1"/>
  <c r="J110" i="11"/>
  <c r="L110" i="11" s="1"/>
  <c r="J109" i="11"/>
  <c r="L109" i="11" s="1"/>
  <c r="J108" i="11"/>
  <c r="L108" i="11" s="1"/>
  <c r="J107" i="11"/>
  <c r="L107" i="11" s="1"/>
  <c r="J106" i="11"/>
  <c r="L106" i="11" s="1"/>
  <c r="J105" i="11"/>
  <c r="L105" i="11" s="1"/>
  <c r="J104" i="11"/>
  <c r="L104" i="11" s="1"/>
  <c r="J103" i="11"/>
  <c r="L103" i="11" s="1"/>
  <c r="J102" i="11"/>
  <c r="L102" i="11" s="1"/>
  <c r="J101" i="11"/>
  <c r="L101" i="11" s="1"/>
  <c r="J100" i="11"/>
  <c r="L100" i="11" s="1"/>
  <c r="J99" i="11"/>
  <c r="L99" i="11" s="1"/>
  <c r="J98" i="11"/>
  <c r="L98" i="11" s="1"/>
  <c r="J97" i="11"/>
  <c r="L97" i="11" s="1"/>
  <c r="J96" i="11"/>
  <c r="L96" i="11" s="1"/>
  <c r="J95" i="11"/>
  <c r="L95" i="11" s="1"/>
  <c r="J94" i="11"/>
  <c r="L94" i="11" s="1"/>
  <c r="J93" i="11"/>
  <c r="L93" i="11" s="1"/>
  <c r="J92" i="11"/>
  <c r="L92" i="11" s="1"/>
  <c r="J91" i="11"/>
  <c r="L91" i="11" s="1"/>
  <c r="J90" i="11"/>
  <c r="L90" i="11" s="1"/>
  <c r="J89" i="11"/>
  <c r="L89" i="11" s="1"/>
  <c r="J88" i="11"/>
  <c r="L88" i="11" s="1"/>
  <c r="J87" i="11"/>
  <c r="L87" i="11" s="1"/>
  <c r="J86" i="11"/>
  <c r="L86" i="11" s="1"/>
  <c r="J85" i="11"/>
  <c r="L85" i="11" s="1"/>
  <c r="J84" i="11"/>
  <c r="L84" i="11" s="1"/>
  <c r="J83" i="11"/>
  <c r="L83" i="11" s="1"/>
  <c r="J82" i="11"/>
  <c r="L82" i="11" s="1"/>
  <c r="J81" i="11"/>
  <c r="L81" i="11" s="1"/>
  <c r="J80" i="11"/>
  <c r="L80" i="11" s="1"/>
  <c r="J79" i="11"/>
  <c r="L79" i="11" s="1"/>
  <c r="J78" i="11"/>
  <c r="L78" i="11" s="1"/>
  <c r="J77" i="11"/>
  <c r="L77" i="11" s="1"/>
  <c r="J76" i="11"/>
  <c r="L76" i="11" s="1"/>
  <c r="J75" i="11"/>
  <c r="L75" i="11" s="1"/>
  <c r="J74" i="11"/>
  <c r="L74" i="11" s="1"/>
  <c r="J73" i="11"/>
  <c r="L73" i="11" s="1"/>
  <c r="J72" i="11"/>
  <c r="L72" i="11" s="1"/>
  <c r="J71" i="11"/>
  <c r="L71" i="11" s="1"/>
  <c r="J70" i="11"/>
  <c r="L70" i="11" s="1"/>
  <c r="J69" i="11"/>
  <c r="L69" i="11" s="1"/>
  <c r="J68" i="11"/>
  <c r="L68" i="11" s="1"/>
  <c r="J67" i="11"/>
  <c r="L67" i="11" s="1"/>
  <c r="J66" i="11"/>
  <c r="L66" i="11" s="1"/>
  <c r="J65" i="11"/>
  <c r="L65" i="11" s="1"/>
  <c r="J64" i="11"/>
  <c r="L64" i="11" s="1"/>
  <c r="J63" i="11"/>
  <c r="L63" i="11" s="1"/>
  <c r="J62" i="11"/>
  <c r="L62" i="11" s="1"/>
  <c r="J61" i="11"/>
  <c r="L61" i="11" s="1"/>
  <c r="J60" i="11"/>
  <c r="L60" i="11" s="1"/>
  <c r="J59" i="11"/>
  <c r="L59" i="11" s="1"/>
  <c r="J58" i="11"/>
  <c r="L58" i="11" s="1"/>
  <c r="J57" i="11"/>
  <c r="L57" i="11" s="1"/>
  <c r="J56" i="11"/>
  <c r="L56" i="11" s="1"/>
  <c r="J55" i="11"/>
  <c r="L55" i="11" s="1"/>
  <c r="J53" i="11"/>
  <c r="L53" i="11" s="1"/>
  <c r="J52" i="11"/>
  <c r="L52" i="11" s="1"/>
  <c r="J51" i="11"/>
  <c r="L51" i="11" s="1"/>
  <c r="J50" i="11"/>
  <c r="L50" i="11" s="1"/>
  <c r="J49" i="11"/>
  <c r="L49" i="11" s="1"/>
  <c r="J48" i="11"/>
  <c r="L48" i="11" s="1"/>
  <c r="J47" i="11"/>
  <c r="L47" i="11" s="1"/>
  <c r="J46" i="11"/>
  <c r="L46" i="11" s="1"/>
  <c r="J45" i="11"/>
  <c r="L45" i="11" s="1"/>
  <c r="J44" i="11"/>
  <c r="L44" i="11" s="1"/>
  <c r="J43" i="11"/>
  <c r="L43" i="11" s="1"/>
  <c r="J42" i="11"/>
  <c r="L42" i="11" s="1"/>
  <c r="J41" i="11"/>
  <c r="L41" i="11" s="1"/>
  <c r="J40" i="11"/>
  <c r="L40" i="11" s="1"/>
  <c r="J39" i="11"/>
  <c r="L39" i="11" s="1"/>
  <c r="J38" i="11"/>
  <c r="L38" i="11" s="1"/>
  <c r="J37" i="11"/>
  <c r="L37" i="11" s="1"/>
  <c r="J36" i="11"/>
  <c r="L36" i="11" s="1"/>
  <c r="J35" i="11"/>
  <c r="L35" i="11" s="1"/>
  <c r="J34" i="11"/>
  <c r="L34" i="11" s="1"/>
  <c r="J33" i="11"/>
  <c r="L33" i="11" s="1"/>
  <c r="J32" i="11"/>
  <c r="L32" i="11" s="1"/>
  <c r="J31" i="11"/>
  <c r="L31" i="11" s="1"/>
  <c r="J30" i="11"/>
  <c r="L30" i="11" s="1"/>
  <c r="J29" i="11"/>
  <c r="L29" i="11" s="1"/>
  <c r="J28" i="11"/>
  <c r="L28" i="11" s="1"/>
  <c r="J27" i="11"/>
  <c r="L27" i="11" s="1"/>
  <c r="J26" i="11"/>
  <c r="L26" i="11" s="1"/>
  <c r="J25" i="11"/>
  <c r="L25" i="11" s="1"/>
  <c r="J24" i="11"/>
  <c r="L24" i="11" s="1"/>
  <c r="J23" i="11"/>
  <c r="L23" i="11" s="1"/>
  <c r="J22" i="11"/>
  <c r="L22" i="11" s="1"/>
  <c r="J21" i="11"/>
  <c r="L21" i="11" s="1"/>
  <c r="J20" i="11"/>
  <c r="L20" i="11" s="1"/>
  <c r="J19" i="11"/>
  <c r="L19" i="11" s="1"/>
  <c r="J18" i="11"/>
  <c r="L18" i="11" s="1"/>
  <c r="J17" i="11"/>
  <c r="L17" i="11" s="1"/>
  <c r="J16" i="11"/>
  <c r="L16" i="11" s="1"/>
  <c r="J15" i="11"/>
  <c r="L15" i="11" s="1"/>
  <c r="J14" i="11"/>
  <c r="L14" i="11" s="1"/>
  <c r="J13" i="11"/>
  <c r="L13" i="11" s="1"/>
  <c r="J12" i="11"/>
  <c r="L12" i="11" s="1"/>
  <c r="J11" i="11"/>
  <c r="L11" i="11" s="1"/>
  <c r="J9" i="11"/>
  <c r="L9" i="11" s="1"/>
  <c r="J8" i="11"/>
  <c r="L8" i="11" s="1"/>
  <c r="J7" i="11"/>
  <c r="L7" i="11" s="1"/>
  <c r="J6" i="11"/>
  <c r="L6" i="11" s="1"/>
  <c r="J5" i="11"/>
  <c r="L5" i="11" s="1"/>
  <c r="J4" i="11"/>
  <c r="L4" i="11" s="1"/>
  <c r="J3" i="11"/>
  <c r="L3" i="11" s="1"/>
  <c r="J2" i="11"/>
  <c r="L2" i="11" s="1"/>
  <c r="J126" i="10"/>
  <c r="L126" i="10" s="1"/>
  <c r="J125" i="10"/>
  <c r="L125" i="10" s="1"/>
  <c r="L124" i="10"/>
  <c r="J124" i="10"/>
  <c r="J123" i="10"/>
  <c r="L123" i="10" s="1"/>
  <c r="J122" i="10"/>
  <c r="L122" i="10" s="1"/>
  <c r="J121" i="10"/>
  <c r="L121" i="10" s="1"/>
  <c r="L120" i="10"/>
  <c r="J120" i="10"/>
  <c r="J119" i="10"/>
  <c r="L119" i="10" s="1"/>
  <c r="J118" i="10"/>
  <c r="L118" i="10" s="1"/>
  <c r="J117" i="10"/>
  <c r="L117" i="10" s="1"/>
  <c r="L116" i="10"/>
  <c r="J116" i="10"/>
  <c r="J115" i="10"/>
  <c r="L115" i="10" s="1"/>
  <c r="J114" i="10"/>
  <c r="L114" i="10" s="1"/>
  <c r="J113" i="10"/>
  <c r="L113" i="10" s="1"/>
  <c r="L112" i="10"/>
  <c r="J112" i="10"/>
  <c r="J111" i="10"/>
  <c r="L111" i="10" s="1"/>
  <c r="J110" i="10"/>
  <c r="L110" i="10" s="1"/>
  <c r="J109" i="10"/>
  <c r="L109" i="10" s="1"/>
  <c r="L108" i="10"/>
  <c r="J108" i="10"/>
  <c r="J107" i="10"/>
  <c r="L107" i="10" s="1"/>
  <c r="J106" i="10"/>
  <c r="L106" i="10" s="1"/>
  <c r="J105" i="10"/>
  <c r="L105" i="10" s="1"/>
  <c r="L104" i="10"/>
  <c r="J104" i="10"/>
  <c r="J103" i="10"/>
  <c r="L103" i="10" s="1"/>
  <c r="J102" i="10"/>
  <c r="L102" i="10" s="1"/>
  <c r="J101" i="10"/>
  <c r="L101" i="10" s="1"/>
  <c r="L100" i="10"/>
  <c r="J100" i="10"/>
  <c r="J99" i="10"/>
  <c r="L99" i="10" s="1"/>
  <c r="J98" i="10"/>
  <c r="L98" i="10" s="1"/>
  <c r="J97" i="10"/>
  <c r="L97" i="10" s="1"/>
  <c r="L96" i="10"/>
  <c r="J96" i="10"/>
  <c r="J95" i="10"/>
  <c r="L95" i="10" s="1"/>
  <c r="J94" i="10"/>
  <c r="L94" i="10" s="1"/>
  <c r="J93" i="10"/>
  <c r="L93" i="10" s="1"/>
  <c r="L92" i="10"/>
  <c r="J92" i="10"/>
  <c r="J91" i="10"/>
  <c r="L91" i="10" s="1"/>
  <c r="J90" i="10"/>
  <c r="L90" i="10" s="1"/>
  <c r="J89" i="10"/>
  <c r="L89" i="10" s="1"/>
  <c r="L88" i="10"/>
  <c r="J88" i="10"/>
  <c r="J87" i="10"/>
  <c r="L87" i="10" s="1"/>
  <c r="J86" i="10"/>
  <c r="L86" i="10" s="1"/>
  <c r="J85" i="10"/>
  <c r="L85" i="10" s="1"/>
  <c r="L84" i="10"/>
  <c r="J84" i="10"/>
  <c r="J83" i="10"/>
  <c r="L83" i="10" s="1"/>
  <c r="J82" i="10"/>
  <c r="L82" i="10" s="1"/>
  <c r="J81" i="10"/>
  <c r="L81" i="10" s="1"/>
  <c r="L80" i="10"/>
  <c r="J80" i="10"/>
  <c r="J79" i="10"/>
  <c r="L79" i="10" s="1"/>
  <c r="J78" i="10"/>
  <c r="L78" i="10" s="1"/>
  <c r="J77" i="10"/>
  <c r="L77" i="10" s="1"/>
  <c r="L76" i="10"/>
  <c r="J76" i="10"/>
  <c r="J75" i="10"/>
  <c r="L75" i="10" s="1"/>
  <c r="J74" i="10"/>
  <c r="L74" i="10" s="1"/>
  <c r="J73" i="10"/>
  <c r="L73" i="10" s="1"/>
  <c r="L72" i="10"/>
  <c r="J72" i="10"/>
  <c r="J71" i="10"/>
  <c r="L71" i="10" s="1"/>
  <c r="J70" i="10"/>
  <c r="L70" i="10" s="1"/>
  <c r="J69" i="10"/>
  <c r="L69" i="10" s="1"/>
  <c r="L68" i="10"/>
  <c r="J68" i="10"/>
  <c r="J67" i="10"/>
  <c r="L67" i="10" s="1"/>
  <c r="J66" i="10"/>
  <c r="L66" i="10" s="1"/>
  <c r="J65" i="10"/>
  <c r="L65" i="10" s="1"/>
  <c r="L64" i="10"/>
  <c r="J64" i="10"/>
  <c r="J63" i="10"/>
  <c r="L63" i="10" s="1"/>
  <c r="J62" i="10"/>
  <c r="L62" i="10" s="1"/>
  <c r="J61" i="10"/>
  <c r="L61" i="10" s="1"/>
  <c r="L60" i="10"/>
  <c r="J60" i="10"/>
  <c r="J59" i="10"/>
  <c r="L59" i="10" s="1"/>
  <c r="J58" i="10"/>
  <c r="L58" i="10" s="1"/>
  <c r="J57" i="10"/>
  <c r="L57" i="10" s="1"/>
  <c r="L56" i="10"/>
  <c r="J56" i="10"/>
  <c r="J55" i="10"/>
  <c r="L55" i="10" s="1"/>
  <c r="J54" i="10"/>
  <c r="L54" i="10" s="1"/>
  <c r="J53" i="10"/>
  <c r="L53" i="10" s="1"/>
  <c r="L52" i="10"/>
  <c r="J52" i="10"/>
  <c r="J51" i="10"/>
  <c r="L51" i="10" s="1"/>
  <c r="J50" i="10"/>
  <c r="L50" i="10" s="1"/>
  <c r="J49" i="10"/>
  <c r="L49" i="10" s="1"/>
  <c r="L48" i="10"/>
  <c r="J48" i="10"/>
  <c r="J47" i="10"/>
  <c r="L47" i="10" s="1"/>
  <c r="J46" i="10"/>
  <c r="L46" i="10" s="1"/>
  <c r="J45" i="10"/>
  <c r="L45" i="10" s="1"/>
  <c r="L44" i="10"/>
  <c r="J44" i="10"/>
  <c r="J43" i="10"/>
  <c r="L43" i="10" s="1"/>
  <c r="J42" i="10"/>
  <c r="L42" i="10" s="1"/>
  <c r="J41" i="10"/>
  <c r="L41" i="10" s="1"/>
  <c r="L40" i="10"/>
  <c r="J40" i="10"/>
  <c r="J39" i="10"/>
  <c r="L39" i="10" s="1"/>
  <c r="J38" i="10"/>
  <c r="L38" i="10" s="1"/>
  <c r="J37" i="10"/>
  <c r="L37" i="10" s="1"/>
  <c r="L36" i="10"/>
  <c r="J36" i="10"/>
  <c r="J35" i="10"/>
  <c r="L35" i="10" s="1"/>
  <c r="J34" i="10"/>
  <c r="L34" i="10" s="1"/>
  <c r="J33" i="10"/>
  <c r="L33" i="10" s="1"/>
  <c r="L32" i="10"/>
  <c r="J32" i="10"/>
  <c r="J31" i="10"/>
  <c r="L31" i="10" s="1"/>
  <c r="J30" i="10"/>
  <c r="L30" i="10" s="1"/>
  <c r="J29" i="10"/>
  <c r="L29" i="10" s="1"/>
  <c r="L28" i="10"/>
  <c r="J28" i="10"/>
  <c r="J27" i="10"/>
  <c r="L27" i="10" s="1"/>
  <c r="J26" i="10"/>
  <c r="L26" i="10" s="1"/>
  <c r="J25" i="10"/>
  <c r="L25" i="10" s="1"/>
  <c r="L24" i="10"/>
  <c r="J24" i="10"/>
  <c r="J23" i="10"/>
  <c r="L23" i="10" s="1"/>
  <c r="J22" i="10"/>
  <c r="L22" i="10" s="1"/>
  <c r="J21" i="10"/>
  <c r="L21" i="10" s="1"/>
  <c r="L20" i="10"/>
  <c r="J20" i="10"/>
  <c r="J19" i="10"/>
  <c r="L19" i="10" s="1"/>
  <c r="J18" i="10"/>
  <c r="L18" i="10" s="1"/>
  <c r="J17" i="10"/>
  <c r="L17" i="10" s="1"/>
  <c r="L16" i="10"/>
  <c r="J16" i="10"/>
  <c r="J15" i="10"/>
  <c r="L15" i="10" s="1"/>
  <c r="J14" i="10"/>
  <c r="L14" i="10" s="1"/>
  <c r="J13" i="10"/>
  <c r="L13" i="10" s="1"/>
  <c r="L12" i="10"/>
  <c r="J12" i="10"/>
  <c r="J11" i="10"/>
  <c r="L11" i="10" s="1"/>
  <c r="J10" i="10"/>
  <c r="L10" i="10" s="1"/>
  <c r="J9" i="10"/>
  <c r="L9" i="10" s="1"/>
  <c r="L8" i="10"/>
  <c r="J8" i="10"/>
  <c r="J7" i="10"/>
  <c r="L7" i="10" s="1"/>
  <c r="J6" i="10"/>
  <c r="L6" i="10" s="1"/>
  <c r="J5" i="10"/>
  <c r="L5" i="10" s="1"/>
  <c r="L4" i="10"/>
  <c r="J4" i="10"/>
  <c r="J3" i="10"/>
  <c r="L3" i="10" s="1"/>
  <c r="J2" i="10"/>
  <c r="L2" i="10" s="1"/>
  <c r="J126" i="8"/>
  <c r="L126" i="8" s="1"/>
  <c r="J125" i="8"/>
  <c r="L125" i="8" s="1"/>
  <c r="J124" i="8"/>
  <c r="L124" i="8" s="1"/>
  <c r="J123" i="8"/>
  <c r="L123" i="8" s="1"/>
  <c r="J122" i="8"/>
  <c r="L122" i="8" s="1"/>
  <c r="J121" i="8"/>
  <c r="L121" i="8" s="1"/>
  <c r="J120" i="8"/>
  <c r="L120" i="8" s="1"/>
  <c r="J119" i="8"/>
  <c r="L119" i="8" s="1"/>
  <c r="J118" i="8"/>
  <c r="L118" i="8" s="1"/>
  <c r="J117" i="8"/>
  <c r="L117" i="8" s="1"/>
  <c r="J116" i="8"/>
  <c r="L116" i="8" s="1"/>
  <c r="J115" i="8"/>
  <c r="L115" i="8" s="1"/>
  <c r="J114" i="8"/>
  <c r="L114" i="8" s="1"/>
  <c r="J113" i="8"/>
  <c r="L113" i="8" s="1"/>
  <c r="J112" i="8"/>
  <c r="L112" i="8" s="1"/>
  <c r="J111" i="8"/>
  <c r="L111" i="8" s="1"/>
  <c r="J110" i="8"/>
  <c r="L110" i="8" s="1"/>
  <c r="J109" i="8"/>
  <c r="L109" i="8" s="1"/>
  <c r="J108" i="8"/>
  <c r="L108" i="8" s="1"/>
  <c r="J107" i="8"/>
  <c r="L107" i="8" s="1"/>
  <c r="J106" i="8"/>
  <c r="L106" i="8" s="1"/>
  <c r="J105" i="8"/>
  <c r="L105" i="8" s="1"/>
  <c r="J104" i="8"/>
  <c r="L104" i="8" s="1"/>
  <c r="J103" i="8"/>
  <c r="L103" i="8" s="1"/>
  <c r="J102" i="8"/>
  <c r="L102" i="8" s="1"/>
  <c r="J101" i="8"/>
  <c r="L101" i="8" s="1"/>
  <c r="J100" i="8"/>
  <c r="L100" i="8" s="1"/>
  <c r="J99" i="8"/>
  <c r="L99" i="8" s="1"/>
  <c r="J98" i="8"/>
  <c r="L98" i="8" s="1"/>
  <c r="J97" i="8"/>
  <c r="L97" i="8" s="1"/>
  <c r="J96" i="8"/>
  <c r="L96" i="8" s="1"/>
  <c r="J95" i="8"/>
  <c r="L95" i="8" s="1"/>
  <c r="J94" i="8"/>
  <c r="L94" i="8" s="1"/>
  <c r="J93" i="8"/>
  <c r="L93" i="8" s="1"/>
  <c r="L92" i="8"/>
  <c r="J92" i="8"/>
  <c r="J91" i="8"/>
  <c r="L91" i="8" s="1"/>
  <c r="J90" i="8"/>
  <c r="L90" i="8" s="1"/>
  <c r="J89" i="8"/>
  <c r="L89" i="8" s="1"/>
  <c r="J88" i="8"/>
  <c r="L88" i="8" s="1"/>
  <c r="J87" i="8"/>
  <c r="L87" i="8" s="1"/>
  <c r="J86" i="8"/>
  <c r="L86" i="8" s="1"/>
  <c r="J85" i="8"/>
  <c r="L85" i="8" s="1"/>
  <c r="J84" i="8"/>
  <c r="L84" i="8" s="1"/>
  <c r="J83" i="8"/>
  <c r="L83" i="8" s="1"/>
  <c r="J82" i="8"/>
  <c r="L82" i="8" s="1"/>
  <c r="J81" i="8"/>
  <c r="L81" i="8" s="1"/>
  <c r="J80" i="8"/>
  <c r="L80" i="8" s="1"/>
  <c r="J79" i="8"/>
  <c r="L79" i="8" s="1"/>
  <c r="J78" i="8"/>
  <c r="L78" i="8" s="1"/>
  <c r="J77" i="8"/>
  <c r="L77" i="8" s="1"/>
  <c r="J76" i="8"/>
  <c r="L76" i="8" s="1"/>
  <c r="J75" i="8"/>
  <c r="L75" i="8" s="1"/>
  <c r="J74" i="8"/>
  <c r="L74" i="8" s="1"/>
  <c r="J73" i="8"/>
  <c r="L73" i="8" s="1"/>
  <c r="J72" i="8"/>
  <c r="L72" i="8" s="1"/>
  <c r="J71" i="8"/>
  <c r="L71" i="8" s="1"/>
  <c r="J70" i="8"/>
  <c r="L70" i="8" s="1"/>
  <c r="J69" i="8"/>
  <c r="L69" i="8" s="1"/>
  <c r="L68" i="8"/>
  <c r="J68" i="8"/>
  <c r="J67" i="8"/>
  <c r="L67" i="8" s="1"/>
  <c r="J66" i="8"/>
  <c r="L66" i="8" s="1"/>
  <c r="J65" i="8"/>
  <c r="L65" i="8" s="1"/>
  <c r="J64" i="8"/>
  <c r="L64" i="8" s="1"/>
  <c r="J63" i="8"/>
  <c r="L63" i="8" s="1"/>
  <c r="J62" i="8"/>
  <c r="L62" i="8" s="1"/>
  <c r="J61" i="8"/>
  <c r="L61" i="8" s="1"/>
  <c r="J60" i="8"/>
  <c r="L60" i="8" s="1"/>
  <c r="J59" i="8"/>
  <c r="L59" i="8" s="1"/>
  <c r="J58" i="8"/>
  <c r="L58" i="8" s="1"/>
  <c r="J57" i="8"/>
  <c r="L57" i="8" s="1"/>
  <c r="J56" i="8"/>
  <c r="L56" i="8" s="1"/>
  <c r="J55" i="8"/>
  <c r="L55" i="8" s="1"/>
  <c r="J54" i="8"/>
  <c r="L54" i="8" s="1"/>
  <c r="J53" i="8"/>
  <c r="L53" i="8" s="1"/>
  <c r="J52" i="8"/>
  <c r="L52" i="8" s="1"/>
  <c r="J51" i="8"/>
  <c r="L51" i="8" s="1"/>
  <c r="J50" i="8"/>
  <c r="L50" i="8" s="1"/>
  <c r="J49" i="8"/>
  <c r="L49" i="8" s="1"/>
  <c r="J48" i="8"/>
  <c r="L48" i="8" s="1"/>
  <c r="J47" i="8"/>
  <c r="L47" i="8" s="1"/>
  <c r="J46" i="8"/>
  <c r="L46" i="8" s="1"/>
  <c r="J45" i="8"/>
  <c r="L45" i="8" s="1"/>
  <c r="J44" i="8"/>
  <c r="L44" i="8" s="1"/>
  <c r="J43" i="8"/>
  <c r="L43" i="8" s="1"/>
  <c r="J42" i="8"/>
  <c r="L42" i="8" s="1"/>
  <c r="J41" i="8"/>
  <c r="L41" i="8" s="1"/>
  <c r="J40" i="8"/>
  <c r="L40" i="8" s="1"/>
  <c r="J39" i="8"/>
  <c r="L39" i="8" s="1"/>
  <c r="J38" i="8"/>
  <c r="L38" i="8" s="1"/>
  <c r="J37" i="8"/>
  <c r="L37" i="8" s="1"/>
  <c r="J36" i="8"/>
  <c r="L36" i="8" s="1"/>
  <c r="J35" i="8"/>
  <c r="L35" i="8" s="1"/>
  <c r="J34" i="8"/>
  <c r="L34" i="8" s="1"/>
  <c r="J33" i="8"/>
  <c r="L33" i="8" s="1"/>
  <c r="J32" i="8"/>
  <c r="L32" i="8" s="1"/>
  <c r="J31" i="8"/>
  <c r="L31" i="8" s="1"/>
  <c r="J30" i="8"/>
  <c r="L30" i="8" s="1"/>
  <c r="J29" i="8"/>
  <c r="L29" i="8" s="1"/>
  <c r="J28" i="8"/>
  <c r="L28" i="8" s="1"/>
  <c r="J27" i="8"/>
  <c r="L27" i="8" s="1"/>
  <c r="J26" i="8"/>
  <c r="L26" i="8" s="1"/>
  <c r="J25" i="8"/>
  <c r="L25" i="8" s="1"/>
  <c r="J24" i="8"/>
  <c r="L24" i="8" s="1"/>
  <c r="J23" i="8"/>
  <c r="L23" i="8" s="1"/>
  <c r="J22" i="8"/>
  <c r="L22" i="8" s="1"/>
  <c r="J21" i="8"/>
  <c r="L21" i="8" s="1"/>
  <c r="L20" i="8"/>
  <c r="J20" i="8"/>
  <c r="J19" i="8"/>
  <c r="L19" i="8" s="1"/>
  <c r="J18" i="8"/>
  <c r="L18" i="8" s="1"/>
  <c r="J17" i="8"/>
  <c r="L17" i="8" s="1"/>
  <c r="J16" i="8"/>
  <c r="L16" i="8" s="1"/>
  <c r="J15" i="8"/>
  <c r="L15" i="8" s="1"/>
  <c r="J14" i="8"/>
  <c r="L14" i="8" s="1"/>
  <c r="J13" i="8"/>
  <c r="L13" i="8" s="1"/>
  <c r="J12" i="8"/>
  <c r="L12" i="8" s="1"/>
  <c r="J11" i="8"/>
  <c r="L11" i="8" s="1"/>
  <c r="J10" i="8"/>
  <c r="L10" i="8" s="1"/>
  <c r="J9" i="8"/>
  <c r="L9" i="8" s="1"/>
  <c r="J8" i="8"/>
  <c r="L8" i="8" s="1"/>
  <c r="J7" i="8"/>
  <c r="L7" i="8" s="1"/>
  <c r="J6" i="8"/>
  <c r="L6" i="8" s="1"/>
  <c r="J5" i="8"/>
  <c r="L5" i="8" s="1"/>
  <c r="L4" i="8"/>
  <c r="J4" i="8"/>
  <c r="J3" i="8"/>
  <c r="L3" i="8" s="1"/>
  <c r="J2" i="8"/>
  <c r="L2" i="8" s="1"/>
  <c r="J126" i="7"/>
  <c r="L126" i="7" s="1"/>
  <c r="J125" i="7"/>
  <c r="L125" i="7" s="1"/>
  <c r="J124" i="7"/>
  <c r="L124" i="7" s="1"/>
  <c r="J123" i="7"/>
  <c r="L123" i="7" s="1"/>
  <c r="J122" i="7"/>
  <c r="L122" i="7" s="1"/>
  <c r="J121" i="7"/>
  <c r="L121" i="7" s="1"/>
  <c r="J120" i="7"/>
  <c r="L120" i="7" s="1"/>
  <c r="J119" i="7"/>
  <c r="L119" i="7" s="1"/>
  <c r="J118" i="7"/>
  <c r="L118" i="7" s="1"/>
  <c r="J117" i="7"/>
  <c r="L117" i="7" s="1"/>
  <c r="J116" i="7"/>
  <c r="L116" i="7" s="1"/>
  <c r="J115" i="7"/>
  <c r="L115" i="7" s="1"/>
  <c r="J114" i="7"/>
  <c r="L114" i="7" s="1"/>
  <c r="J113" i="7"/>
  <c r="L113" i="7" s="1"/>
  <c r="J112" i="7"/>
  <c r="L112" i="7" s="1"/>
  <c r="J111" i="7"/>
  <c r="L111" i="7" s="1"/>
  <c r="J110" i="7"/>
  <c r="L110" i="7" s="1"/>
  <c r="J109" i="7"/>
  <c r="L109" i="7" s="1"/>
  <c r="J108" i="7"/>
  <c r="L108" i="7" s="1"/>
  <c r="J107" i="7"/>
  <c r="L107" i="7" s="1"/>
  <c r="J106" i="7"/>
  <c r="L106" i="7" s="1"/>
  <c r="J105" i="7"/>
  <c r="L105" i="7" s="1"/>
  <c r="L104" i="7"/>
  <c r="J104" i="7"/>
  <c r="J103" i="7"/>
  <c r="L103" i="7" s="1"/>
  <c r="J102" i="7"/>
  <c r="L102" i="7" s="1"/>
  <c r="J101" i="7"/>
  <c r="L101" i="7" s="1"/>
  <c r="J100" i="7"/>
  <c r="L100" i="7" s="1"/>
  <c r="J99" i="7"/>
  <c r="L99" i="7" s="1"/>
  <c r="J98" i="7"/>
  <c r="L98" i="7" s="1"/>
  <c r="J97" i="7"/>
  <c r="L97" i="7" s="1"/>
  <c r="J96" i="7"/>
  <c r="L96" i="7" s="1"/>
  <c r="J95" i="7"/>
  <c r="L95" i="7" s="1"/>
  <c r="J94" i="7"/>
  <c r="L94" i="7" s="1"/>
  <c r="J93" i="7"/>
  <c r="L93" i="7" s="1"/>
  <c r="J92" i="7"/>
  <c r="L92" i="7" s="1"/>
  <c r="J91" i="7"/>
  <c r="L91" i="7" s="1"/>
  <c r="J90" i="7"/>
  <c r="L90" i="7" s="1"/>
  <c r="J89" i="7"/>
  <c r="L89" i="7" s="1"/>
  <c r="J88" i="7"/>
  <c r="L88" i="7" s="1"/>
  <c r="J87" i="7"/>
  <c r="L87" i="7" s="1"/>
  <c r="J86" i="7"/>
  <c r="L86" i="7" s="1"/>
  <c r="J85" i="7"/>
  <c r="L85" i="7" s="1"/>
  <c r="J84" i="7"/>
  <c r="L84" i="7" s="1"/>
  <c r="J83" i="7"/>
  <c r="L83" i="7" s="1"/>
  <c r="J82" i="7"/>
  <c r="L82" i="7" s="1"/>
  <c r="J81" i="7"/>
  <c r="L81" i="7" s="1"/>
  <c r="J80" i="7"/>
  <c r="L80" i="7" s="1"/>
  <c r="J79" i="7"/>
  <c r="L79" i="7" s="1"/>
  <c r="J78" i="7"/>
  <c r="L78" i="7" s="1"/>
  <c r="J77" i="7"/>
  <c r="L77" i="7" s="1"/>
  <c r="J76" i="7"/>
  <c r="L76" i="7" s="1"/>
  <c r="J75" i="7"/>
  <c r="L75" i="7" s="1"/>
  <c r="J74" i="7"/>
  <c r="L74" i="7" s="1"/>
  <c r="J73" i="7"/>
  <c r="L73" i="7" s="1"/>
  <c r="J72" i="7"/>
  <c r="L72" i="7" s="1"/>
  <c r="J71" i="7"/>
  <c r="L71" i="7" s="1"/>
  <c r="J70" i="7"/>
  <c r="L70" i="7" s="1"/>
  <c r="J69" i="7"/>
  <c r="L69" i="7" s="1"/>
  <c r="J68" i="7"/>
  <c r="L68" i="7" s="1"/>
  <c r="J67" i="7"/>
  <c r="L67" i="7" s="1"/>
  <c r="J66" i="7"/>
  <c r="L66" i="7" s="1"/>
  <c r="J65" i="7"/>
  <c r="L65" i="7" s="1"/>
  <c r="L64" i="7"/>
  <c r="J64" i="7"/>
  <c r="J63" i="7"/>
  <c r="L63" i="7" s="1"/>
  <c r="J62" i="7"/>
  <c r="L62" i="7" s="1"/>
  <c r="J61" i="7"/>
  <c r="L61" i="7" s="1"/>
  <c r="L60" i="7"/>
  <c r="J60" i="7"/>
  <c r="J59" i="7"/>
  <c r="L59" i="7" s="1"/>
  <c r="J58" i="7"/>
  <c r="L58" i="7" s="1"/>
  <c r="J57" i="7"/>
  <c r="L57" i="7" s="1"/>
  <c r="J56" i="7"/>
  <c r="L56" i="7" s="1"/>
  <c r="J55" i="7"/>
  <c r="L55" i="7" s="1"/>
  <c r="J54" i="7"/>
  <c r="L54" i="7" s="1"/>
  <c r="J53" i="7"/>
  <c r="L53" i="7" s="1"/>
  <c r="J52" i="7"/>
  <c r="L52" i="7" s="1"/>
  <c r="J51" i="7"/>
  <c r="L51" i="7" s="1"/>
  <c r="J50" i="7"/>
  <c r="L50" i="7" s="1"/>
  <c r="J49" i="7"/>
  <c r="L49" i="7" s="1"/>
  <c r="J48" i="7"/>
  <c r="L48" i="7" s="1"/>
  <c r="J47" i="7"/>
  <c r="L47" i="7" s="1"/>
  <c r="J46" i="7"/>
  <c r="L46" i="7" s="1"/>
  <c r="J45" i="7"/>
  <c r="L45" i="7" s="1"/>
  <c r="J44" i="7"/>
  <c r="L44" i="7" s="1"/>
  <c r="J43" i="7"/>
  <c r="L43" i="7" s="1"/>
  <c r="J42" i="7"/>
  <c r="L42" i="7" s="1"/>
  <c r="J41" i="7"/>
  <c r="L41" i="7" s="1"/>
  <c r="J40" i="7"/>
  <c r="L40" i="7" s="1"/>
  <c r="J39" i="7"/>
  <c r="L39" i="7" s="1"/>
  <c r="J38" i="7"/>
  <c r="L38" i="7" s="1"/>
  <c r="J37" i="7"/>
  <c r="L37" i="7" s="1"/>
  <c r="J36" i="7"/>
  <c r="L36" i="7" s="1"/>
  <c r="J35" i="7"/>
  <c r="L35" i="7" s="1"/>
  <c r="J34" i="7"/>
  <c r="L34" i="7" s="1"/>
  <c r="J33" i="7"/>
  <c r="L33" i="7" s="1"/>
  <c r="J32" i="7"/>
  <c r="L32" i="7" s="1"/>
  <c r="J31" i="7"/>
  <c r="L31" i="7" s="1"/>
  <c r="J30" i="7"/>
  <c r="L30" i="7" s="1"/>
  <c r="J29" i="7"/>
  <c r="L29" i="7" s="1"/>
  <c r="J28" i="7"/>
  <c r="L28" i="7" s="1"/>
  <c r="J27" i="7"/>
  <c r="L27" i="7" s="1"/>
  <c r="J26" i="7"/>
  <c r="L26" i="7" s="1"/>
  <c r="J25" i="7"/>
  <c r="L25" i="7" s="1"/>
  <c r="J24" i="7"/>
  <c r="L24" i="7" s="1"/>
  <c r="J23" i="7"/>
  <c r="L23" i="7" s="1"/>
  <c r="J22" i="7"/>
  <c r="L22" i="7" s="1"/>
  <c r="J21" i="7"/>
  <c r="L21" i="7" s="1"/>
  <c r="L20" i="7"/>
  <c r="J20" i="7"/>
  <c r="J19" i="7"/>
  <c r="L19" i="7" s="1"/>
  <c r="J18" i="7"/>
  <c r="L18" i="7" s="1"/>
  <c r="J17" i="7"/>
  <c r="L17" i="7" s="1"/>
  <c r="L16" i="7"/>
  <c r="J16" i="7"/>
  <c r="J15" i="7"/>
  <c r="L15" i="7" s="1"/>
  <c r="J14" i="7"/>
  <c r="L14" i="7" s="1"/>
  <c r="J13" i="7"/>
  <c r="L13" i="7" s="1"/>
  <c r="J12" i="7"/>
  <c r="L12" i="7" s="1"/>
  <c r="J11" i="7"/>
  <c r="L11" i="7" s="1"/>
  <c r="J10" i="7"/>
  <c r="L10" i="7" s="1"/>
  <c r="J9" i="7"/>
  <c r="L9" i="7" s="1"/>
  <c r="J8" i="7"/>
  <c r="L8" i="7" s="1"/>
  <c r="J7" i="7"/>
  <c r="L7" i="7" s="1"/>
  <c r="J6" i="7"/>
  <c r="L6" i="7" s="1"/>
  <c r="J5" i="7"/>
  <c r="L5" i="7" s="1"/>
  <c r="J4" i="7"/>
  <c r="L4" i="7" s="1"/>
  <c r="J3" i="7"/>
  <c r="L3" i="7" s="1"/>
  <c r="J2" i="7"/>
  <c r="L2" i="7" s="1"/>
  <c r="J126" i="6"/>
  <c r="L126" i="6" s="1"/>
  <c r="J125" i="6"/>
  <c r="L125" i="6" s="1"/>
  <c r="J124" i="6"/>
  <c r="L124" i="6" s="1"/>
  <c r="J123" i="6"/>
  <c r="L123" i="6" s="1"/>
  <c r="J122" i="6"/>
  <c r="L122" i="6" s="1"/>
  <c r="J121" i="6"/>
  <c r="L121" i="6" s="1"/>
  <c r="J120" i="6"/>
  <c r="L120" i="6" s="1"/>
  <c r="J119" i="6"/>
  <c r="L119" i="6" s="1"/>
  <c r="J118" i="6"/>
  <c r="L118" i="6" s="1"/>
  <c r="J117" i="6"/>
  <c r="L117" i="6" s="1"/>
  <c r="J116" i="6"/>
  <c r="L116" i="6" s="1"/>
  <c r="J115" i="6"/>
  <c r="L115" i="6" s="1"/>
  <c r="J114" i="6"/>
  <c r="L114" i="6" s="1"/>
  <c r="J113" i="6"/>
  <c r="L113" i="6" s="1"/>
  <c r="J112" i="6"/>
  <c r="L112" i="6" s="1"/>
  <c r="J111" i="6"/>
  <c r="L111" i="6" s="1"/>
  <c r="J110" i="6"/>
  <c r="L110" i="6" s="1"/>
  <c r="J109" i="6"/>
  <c r="L109" i="6" s="1"/>
  <c r="L108" i="6"/>
  <c r="J108" i="6"/>
  <c r="J107" i="6"/>
  <c r="L107" i="6" s="1"/>
  <c r="J106" i="6"/>
  <c r="L106" i="6" s="1"/>
  <c r="J105" i="6"/>
  <c r="L105" i="6" s="1"/>
  <c r="J104" i="6"/>
  <c r="L104" i="6" s="1"/>
  <c r="J103" i="6"/>
  <c r="L103" i="6" s="1"/>
  <c r="J102" i="6"/>
  <c r="L102" i="6" s="1"/>
  <c r="J101" i="6"/>
  <c r="L101" i="6" s="1"/>
  <c r="J100" i="6"/>
  <c r="L100" i="6" s="1"/>
  <c r="J99" i="6"/>
  <c r="L99" i="6" s="1"/>
  <c r="J98" i="6"/>
  <c r="L98" i="6" s="1"/>
  <c r="J97" i="6"/>
  <c r="L97" i="6" s="1"/>
  <c r="J96" i="6"/>
  <c r="L96" i="6" s="1"/>
  <c r="J95" i="6"/>
  <c r="L95" i="6" s="1"/>
  <c r="J94" i="6"/>
  <c r="L94" i="6" s="1"/>
  <c r="J93" i="6"/>
  <c r="L93" i="6" s="1"/>
  <c r="J92" i="6"/>
  <c r="L92" i="6" s="1"/>
  <c r="J91" i="6"/>
  <c r="L91" i="6" s="1"/>
  <c r="J90" i="6"/>
  <c r="L90" i="6" s="1"/>
  <c r="J89" i="6"/>
  <c r="L89" i="6" s="1"/>
  <c r="J88" i="6"/>
  <c r="L88" i="6" s="1"/>
  <c r="L87" i="6"/>
  <c r="J87" i="6"/>
  <c r="J86" i="6"/>
  <c r="L86" i="6" s="1"/>
  <c r="J85" i="6"/>
  <c r="L85" i="6" s="1"/>
  <c r="J84" i="6"/>
  <c r="L84" i="6" s="1"/>
  <c r="J83" i="6"/>
  <c r="L83" i="6" s="1"/>
  <c r="J82" i="6"/>
  <c r="L82" i="6" s="1"/>
  <c r="J81" i="6"/>
  <c r="L81" i="6" s="1"/>
  <c r="J80" i="6"/>
  <c r="L80" i="6" s="1"/>
  <c r="J79" i="6"/>
  <c r="L79" i="6" s="1"/>
  <c r="J78" i="6"/>
  <c r="L78" i="6" s="1"/>
  <c r="J77" i="6"/>
  <c r="L77" i="6" s="1"/>
  <c r="L76" i="6"/>
  <c r="J76" i="6"/>
  <c r="J75" i="6"/>
  <c r="L75" i="6" s="1"/>
  <c r="J74" i="6"/>
  <c r="L74" i="6" s="1"/>
  <c r="J73" i="6"/>
  <c r="L73" i="6" s="1"/>
  <c r="J72" i="6"/>
  <c r="L72" i="6" s="1"/>
  <c r="J71" i="6"/>
  <c r="L71" i="6" s="1"/>
  <c r="J70" i="6"/>
  <c r="L70" i="6" s="1"/>
  <c r="J69" i="6"/>
  <c r="L69" i="6" s="1"/>
  <c r="J68" i="6"/>
  <c r="L68" i="6" s="1"/>
  <c r="J67" i="6"/>
  <c r="L67" i="6" s="1"/>
  <c r="J66" i="6"/>
  <c r="L66" i="6" s="1"/>
  <c r="J65" i="6"/>
  <c r="L65" i="6" s="1"/>
  <c r="J64" i="6"/>
  <c r="L64" i="6" s="1"/>
  <c r="L63" i="6"/>
  <c r="J63" i="6"/>
  <c r="J62" i="6"/>
  <c r="L62" i="6" s="1"/>
  <c r="J61" i="6"/>
  <c r="L61" i="6" s="1"/>
  <c r="J60" i="6"/>
  <c r="L60" i="6" s="1"/>
  <c r="J59" i="6"/>
  <c r="L59" i="6" s="1"/>
  <c r="J58" i="6"/>
  <c r="L58" i="6" s="1"/>
  <c r="J57" i="6"/>
  <c r="L57" i="6" s="1"/>
  <c r="J56" i="6"/>
  <c r="L56" i="6" s="1"/>
  <c r="J55" i="6"/>
  <c r="L55" i="6" s="1"/>
  <c r="J54" i="6"/>
  <c r="L54" i="6" s="1"/>
  <c r="J53" i="6"/>
  <c r="L53" i="6" s="1"/>
  <c r="J52" i="6"/>
  <c r="L52" i="6" s="1"/>
  <c r="J51" i="6"/>
  <c r="L51" i="6" s="1"/>
  <c r="J50" i="6"/>
  <c r="L50" i="6" s="1"/>
  <c r="J49" i="6"/>
  <c r="L49" i="6" s="1"/>
  <c r="J48" i="6"/>
  <c r="L48" i="6" s="1"/>
  <c r="J47" i="6"/>
  <c r="L47" i="6" s="1"/>
  <c r="J46" i="6"/>
  <c r="L46" i="6" s="1"/>
  <c r="J45" i="6"/>
  <c r="L45" i="6" s="1"/>
  <c r="L44" i="6"/>
  <c r="J44" i="6"/>
  <c r="J43" i="6"/>
  <c r="L43" i="6" s="1"/>
  <c r="J42" i="6"/>
  <c r="L42" i="6" s="1"/>
  <c r="J41" i="6"/>
  <c r="L41" i="6" s="1"/>
  <c r="J40" i="6"/>
  <c r="L40" i="6" s="1"/>
  <c r="J39" i="6"/>
  <c r="L39" i="6" s="1"/>
  <c r="J38" i="6"/>
  <c r="L38" i="6" s="1"/>
  <c r="J37" i="6"/>
  <c r="L37" i="6" s="1"/>
  <c r="J36" i="6"/>
  <c r="L36" i="6" s="1"/>
  <c r="J35" i="6"/>
  <c r="L35" i="6" s="1"/>
  <c r="J34" i="6"/>
  <c r="L34" i="6" s="1"/>
  <c r="J33" i="6"/>
  <c r="L33" i="6" s="1"/>
  <c r="J32" i="6"/>
  <c r="L32" i="6" s="1"/>
  <c r="J31" i="6"/>
  <c r="L31" i="6" s="1"/>
  <c r="J30" i="6"/>
  <c r="L30" i="6" s="1"/>
  <c r="J29" i="6"/>
  <c r="L29" i="6" s="1"/>
  <c r="J28" i="6"/>
  <c r="L28" i="6" s="1"/>
  <c r="J27" i="6"/>
  <c r="L27" i="6" s="1"/>
  <c r="J26" i="6"/>
  <c r="L26" i="6" s="1"/>
  <c r="J25" i="6"/>
  <c r="L25" i="6" s="1"/>
  <c r="J24" i="6"/>
  <c r="L24" i="6" s="1"/>
  <c r="L23" i="6"/>
  <c r="J23" i="6"/>
  <c r="J22" i="6"/>
  <c r="L22" i="6" s="1"/>
  <c r="J21" i="6"/>
  <c r="L21" i="6" s="1"/>
  <c r="J20" i="6"/>
  <c r="L20" i="6" s="1"/>
  <c r="J19" i="6"/>
  <c r="L19" i="6" s="1"/>
  <c r="J18" i="6"/>
  <c r="L18" i="6" s="1"/>
  <c r="J17" i="6"/>
  <c r="L17" i="6" s="1"/>
  <c r="J16" i="6"/>
  <c r="L16" i="6" s="1"/>
  <c r="J15" i="6"/>
  <c r="L15" i="6" s="1"/>
  <c r="J14" i="6"/>
  <c r="L14" i="6" s="1"/>
  <c r="J13" i="6"/>
  <c r="L13" i="6" s="1"/>
  <c r="J12" i="6"/>
  <c r="L12" i="6" s="1"/>
  <c r="J11" i="6"/>
  <c r="L11" i="6" s="1"/>
  <c r="J10" i="6"/>
  <c r="L10" i="6" s="1"/>
  <c r="J9" i="6"/>
  <c r="L9" i="6" s="1"/>
  <c r="J8" i="6"/>
  <c r="L8" i="6" s="1"/>
  <c r="J7" i="6"/>
  <c r="L7" i="6" s="1"/>
  <c r="J6" i="6"/>
  <c r="L6" i="6" s="1"/>
  <c r="J5" i="6"/>
  <c r="L5" i="6" s="1"/>
  <c r="J4" i="6"/>
  <c r="L4" i="6" s="1"/>
  <c r="J3" i="6"/>
  <c r="L3" i="6" s="1"/>
  <c r="J2" i="6"/>
  <c r="L2" i="6" s="1"/>
  <c r="J130" i="2"/>
  <c r="L130" i="2" s="1"/>
  <c r="J129" i="2"/>
  <c r="L129" i="2" s="1"/>
  <c r="J128" i="2"/>
  <c r="L128" i="2" s="1"/>
  <c r="J127" i="2"/>
  <c r="L127" i="2" s="1"/>
  <c r="J126" i="2"/>
  <c r="L126" i="2" s="1"/>
  <c r="J125" i="2"/>
  <c r="L125" i="2" s="1"/>
  <c r="J124" i="2"/>
  <c r="L124" i="2" s="1"/>
  <c r="J123" i="2"/>
  <c r="L123" i="2" s="1"/>
  <c r="J122" i="2"/>
  <c r="L122" i="2" s="1"/>
  <c r="J121" i="2"/>
  <c r="L121" i="2" s="1"/>
  <c r="J120" i="2"/>
  <c r="L120" i="2" s="1"/>
  <c r="J119" i="2"/>
  <c r="L119" i="2" s="1"/>
  <c r="J117" i="2"/>
  <c r="L117" i="2" s="1"/>
  <c r="J116" i="2"/>
  <c r="L116" i="2" s="1"/>
  <c r="J115" i="2"/>
  <c r="L115" i="2" s="1"/>
  <c r="J114" i="2"/>
  <c r="L114" i="2" s="1"/>
  <c r="J113" i="2"/>
  <c r="L113" i="2" s="1"/>
  <c r="J112" i="2"/>
  <c r="L112" i="2" s="1"/>
  <c r="J111" i="2"/>
  <c r="L111" i="2" s="1"/>
  <c r="J110" i="2"/>
  <c r="L110" i="2" s="1"/>
  <c r="J109" i="2"/>
  <c r="L109" i="2" s="1"/>
  <c r="J108" i="2"/>
  <c r="L108" i="2" s="1"/>
  <c r="J107" i="2"/>
  <c r="L107" i="2" s="1"/>
  <c r="J106" i="2"/>
  <c r="L106" i="2" s="1"/>
  <c r="J105" i="2"/>
  <c r="L105" i="2" s="1"/>
  <c r="J104" i="2"/>
  <c r="L104" i="2" s="1"/>
  <c r="J103" i="2"/>
  <c r="L103" i="2" s="1"/>
  <c r="J102" i="2"/>
  <c r="L102" i="2" s="1"/>
  <c r="J101" i="2"/>
  <c r="L101" i="2" s="1"/>
  <c r="J100" i="2"/>
  <c r="L100" i="2" s="1"/>
  <c r="J99" i="2"/>
  <c r="L99" i="2" s="1"/>
  <c r="J98" i="2"/>
  <c r="L98" i="2" s="1"/>
  <c r="J97" i="2"/>
  <c r="L97" i="2" s="1"/>
  <c r="J96" i="2"/>
  <c r="L96" i="2" s="1"/>
  <c r="J95" i="2"/>
  <c r="L95" i="2" s="1"/>
  <c r="J94" i="2"/>
  <c r="L94" i="2" s="1"/>
  <c r="J93" i="2"/>
  <c r="L93" i="2" s="1"/>
  <c r="J92" i="2"/>
  <c r="L92" i="2" s="1"/>
  <c r="J91" i="2"/>
  <c r="L91" i="2" s="1"/>
  <c r="J90" i="2"/>
  <c r="L90" i="2" s="1"/>
  <c r="J89" i="2"/>
  <c r="L89" i="2" s="1"/>
  <c r="J88" i="2"/>
  <c r="L88" i="2" s="1"/>
  <c r="J87" i="2"/>
  <c r="L87" i="2" s="1"/>
  <c r="J86" i="2"/>
  <c r="L86" i="2" s="1"/>
  <c r="J85" i="2"/>
  <c r="L85" i="2" s="1"/>
  <c r="J84" i="2"/>
  <c r="L84" i="2" s="1"/>
  <c r="J83" i="2"/>
  <c r="L83" i="2" s="1"/>
  <c r="J82" i="2"/>
  <c r="L82" i="2" s="1"/>
  <c r="J81" i="2"/>
  <c r="L81" i="2" s="1"/>
  <c r="J80" i="2"/>
  <c r="L80" i="2" s="1"/>
  <c r="J79" i="2"/>
  <c r="L79" i="2" s="1"/>
  <c r="J78" i="2"/>
  <c r="L78" i="2" s="1"/>
  <c r="J77" i="2"/>
  <c r="L77" i="2" s="1"/>
  <c r="J76" i="2"/>
  <c r="L76" i="2" s="1"/>
  <c r="J75" i="2"/>
  <c r="L75" i="2" s="1"/>
  <c r="J74" i="2"/>
  <c r="L74" i="2" s="1"/>
  <c r="J73" i="2"/>
  <c r="L73" i="2" s="1"/>
  <c r="J72" i="2"/>
  <c r="L72" i="2" s="1"/>
  <c r="J71" i="2"/>
  <c r="L71" i="2" s="1"/>
  <c r="J70" i="2"/>
  <c r="L70" i="2" s="1"/>
  <c r="J69" i="2"/>
  <c r="L69" i="2" s="1"/>
  <c r="J68" i="2"/>
  <c r="L68" i="2" s="1"/>
  <c r="J67" i="2"/>
  <c r="L67" i="2" s="1"/>
  <c r="J66" i="2"/>
  <c r="L66" i="2" s="1"/>
  <c r="J65" i="2"/>
  <c r="L65" i="2" s="1"/>
  <c r="J64" i="2"/>
  <c r="L64" i="2" s="1"/>
  <c r="J63" i="2"/>
  <c r="L63" i="2" s="1"/>
  <c r="J62" i="2"/>
  <c r="L62" i="2" s="1"/>
  <c r="J61" i="2"/>
  <c r="L61" i="2" s="1"/>
  <c r="J60" i="2"/>
  <c r="L60" i="2" s="1"/>
  <c r="J59" i="2"/>
  <c r="L59" i="2" s="1"/>
  <c r="J58" i="2"/>
  <c r="L58" i="2" s="1"/>
  <c r="J57" i="2"/>
  <c r="L57" i="2" s="1"/>
  <c r="J56" i="2"/>
  <c r="L56" i="2" s="1"/>
  <c r="J55" i="2"/>
  <c r="L55" i="2" s="1"/>
  <c r="J54" i="2"/>
  <c r="L54" i="2" s="1"/>
  <c r="J53" i="2"/>
  <c r="L53" i="2" s="1"/>
  <c r="J52" i="2"/>
  <c r="L52" i="2" s="1"/>
  <c r="J51" i="2"/>
  <c r="L51" i="2" s="1"/>
  <c r="J50" i="2"/>
  <c r="L50" i="2" s="1"/>
  <c r="J49" i="2"/>
  <c r="L49" i="2" s="1"/>
  <c r="J48" i="2"/>
  <c r="L48" i="2" s="1"/>
  <c r="J47" i="2"/>
  <c r="L47" i="2" s="1"/>
  <c r="J46" i="2"/>
  <c r="L46" i="2" s="1"/>
  <c r="J45" i="2"/>
  <c r="L45" i="2" s="1"/>
  <c r="J43" i="2"/>
  <c r="L43" i="2" s="1"/>
  <c r="J42" i="2"/>
  <c r="L42" i="2" s="1"/>
  <c r="J41" i="2"/>
  <c r="L41" i="2" s="1"/>
  <c r="J40" i="2"/>
  <c r="L40" i="2" s="1"/>
  <c r="J39" i="2"/>
  <c r="L39" i="2" s="1"/>
  <c r="J38" i="2"/>
  <c r="L38" i="2" s="1"/>
  <c r="J37" i="2"/>
  <c r="L37" i="2" s="1"/>
  <c r="J36" i="2"/>
  <c r="L36" i="2" s="1"/>
  <c r="J35" i="2"/>
  <c r="L35" i="2" s="1"/>
  <c r="J34" i="2"/>
  <c r="L34" i="2" s="1"/>
  <c r="J33" i="2"/>
  <c r="L33" i="2" s="1"/>
  <c r="J32" i="2"/>
  <c r="L32" i="2" s="1"/>
  <c r="J31" i="2"/>
  <c r="L31" i="2" s="1"/>
  <c r="J30" i="2"/>
  <c r="L30" i="2" s="1"/>
  <c r="J28" i="2"/>
  <c r="L28" i="2" s="1"/>
  <c r="J27" i="2"/>
  <c r="L27" i="2" s="1"/>
  <c r="J26" i="2"/>
  <c r="L26" i="2" s="1"/>
  <c r="J25" i="2"/>
  <c r="L25" i="2" s="1"/>
  <c r="J24" i="2"/>
  <c r="L24" i="2" s="1"/>
  <c r="J23" i="2"/>
  <c r="L23" i="2" s="1"/>
  <c r="J22" i="2"/>
  <c r="L22" i="2" s="1"/>
  <c r="J21" i="2"/>
  <c r="L21" i="2" s="1"/>
  <c r="J20" i="2"/>
  <c r="L20" i="2" s="1"/>
  <c r="J19" i="2"/>
  <c r="L19" i="2" s="1"/>
  <c r="J18" i="2"/>
  <c r="L18" i="2" s="1"/>
  <c r="J17" i="2"/>
  <c r="L17" i="2" s="1"/>
  <c r="J16" i="2"/>
  <c r="L16" i="2" s="1"/>
  <c r="J15" i="2"/>
  <c r="L15" i="2" s="1"/>
  <c r="J14" i="2"/>
  <c r="L14" i="2" s="1"/>
  <c r="J13" i="2"/>
  <c r="L13" i="2" s="1"/>
  <c r="J12" i="2"/>
  <c r="L12" i="2" s="1"/>
  <c r="J11" i="2"/>
  <c r="L11" i="2" s="1"/>
  <c r="J10" i="2"/>
  <c r="L10" i="2" s="1"/>
  <c r="J9" i="2"/>
  <c r="L9" i="2" s="1"/>
  <c r="J7" i="2"/>
  <c r="L7" i="2" s="1"/>
  <c r="J6" i="2"/>
  <c r="L6" i="2" s="1"/>
  <c r="J5" i="2"/>
  <c r="L5" i="2" s="1"/>
  <c r="J4" i="2"/>
  <c r="L4" i="2" s="1"/>
  <c r="J3" i="2"/>
  <c r="L3" i="2" s="1"/>
  <c r="J2" i="2"/>
  <c r="L2" i="2" s="1"/>
  <c r="J3" i="3"/>
  <c r="L3" i="3" s="1"/>
  <c r="J4" i="3"/>
  <c r="L4" i="3" s="1"/>
  <c r="J5" i="3"/>
  <c r="L5" i="3" s="1"/>
  <c r="J6" i="3"/>
  <c r="L6" i="3" s="1"/>
  <c r="J7" i="3"/>
  <c r="L7" i="3" s="1"/>
  <c r="J8" i="3"/>
  <c r="L8" i="3" s="1"/>
  <c r="J9" i="3"/>
  <c r="L9" i="3" s="1"/>
  <c r="J10" i="3"/>
  <c r="L10" i="3" s="1"/>
  <c r="J11" i="3"/>
  <c r="L11" i="3" s="1"/>
  <c r="J12" i="3"/>
  <c r="L12" i="3" s="1"/>
  <c r="J13" i="3"/>
  <c r="L13" i="3" s="1"/>
  <c r="J14" i="3"/>
  <c r="L14" i="3" s="1"/>
  <c r="J15" i="3"/>
  <c r="L15" i="3" s="1"/>
  <c r="J16" i="3"/>
  <c r="L16" i="3" s="1"/>
  <c r="J17" i="3"/>
  <c r="L17" i="3" s="1"/>
  <c r="J18" i="3"/>
  <c r="L18" i="3" s="1"/>
  <c r="J19" i="3"/>
  <c r="L19" i="3" s="1"/>
  <c r="J20" i="3"/>
  <c r="L20" i="3" s="1"/>
  <c r="J21" i="3"/>
  <c r="L21" i="3" s="1"/>
  <c r="J25" i="3"/>
  <c r="L25" i="3" s="1"/>
  <c r="J26" i="3"/>
  <c r="L26" i="3" s="1"/>
  <c r="J27" i="3"/>
  <c r="L27" i="3" s="1"/>
  <c r="J28" i="3"/>
  <c r="L28" i="3" s="1"/>
  <c r="J29" i="3"/>
  <c r="L29" i="3" s="1"/>
  <c r="J30" i="3"/>
  <c r="L30" i="3" s="1"/>
  <c r="J31" i="3"/>
  <c r="L31" i="3" s="1"/>
  <c r="J32" i="3"/>
  <c r="L32" i="3" s="1"/>
  <c r="J33" i="3"/>
  <c r="L33" i="3" s="1"/>
  <c r="J34" i="3"/>
  <c r="L34" i="3" s="1"/>
  <c r="J35" i="3"/>
  <c r="L35" i="3" s="1"/>
  <c r="J37" i="3"/>
  <c r="L37" i="3" s="1"/>
  <c r="J38" i="3"/>
  <c r="L38" i="3" s="1"/>
  <c r="J39" i="3"/>
  <c r="L39" i="3" s="1"/>
  <c r="J40" i="3"/>
  <c r="L40" i="3" s="1"/>
  <c r="J41" i="3"/>
  <c r="L41" i="3" s="1"/>
  <c r="J42" i="3"/>
  <c r="L42" i="3" s="1"/>
  <c r="J43" i="3"/>
  <c r="L43" i="3" s="1"/>
  <c r="J44" i="3"/>
  <c r="L44" i="3" s="1"/>
  <c r="J45" i="3"/>
  <c r="L45" i="3" s="1"/>
  <c r="J47" i="3"/>
  <c r="L47" i="3" s="1"/>
  <c r="J48" i="3"/>
  <c r="L48" i="3" s="1"/>
  <c r="J49" i="3"/>
  <c r="L49" i="3" s="1"/>
  <c r="J50" i="3"/>
  <c r="L50" i="3" s="1"/>
  <c r="J52" i="3"/>
  <c r="L52" i="3" s="1"/>
  <c r="J53" i="3"/>
  <c r="L53" i="3" s="1"/>
  <c r="J54" i="3"/>
  <c r="L54" i="3" s="1"/>
  <c r="J55" i="3"/>
  <c r="L55" i="3" s="1"/>
  <c r="J56" i="3"/>
  <c r="L56" i="3" s="1"/>
  <c r="J57" i="3"/>
  <c r="L57" i="3" s="1"/>
  <c r="J58" i="3"/>
  <c r="L58" i="3" s="1"/>
  <c r="J59" i="3"/>
  <c r="L59" i="3" s="1"/>
  <c r="J60" i="3"/>
  <c r="L60" i="3" s="1"/>
  <c r="J61" i="3"/>
  <c r="L61" i="3" s="1"/>
  <c r="J62" i="3"/>
  <c r="L62" i="3" s="1"/>
  <c r="J63" i="3"/>
  <c r="L63" i="3" s="1"/>
  <c r="J64" i="3"/>
  <c r="L64" i="3" s="1"/>
  <c r="J65" i="3"/>
  <c r="L65" i="3" s="1"/>
  <c r="J66" i="3"/>
  <c r="L66" i="3" s="1"/>
  <c r="J67" i="3"/>
  <c r="L67" i="3" s="1"/>
  <c r="J68" i="3"/>
  <c r="L68" i="3" s="1"/>
  <c r="J69" i="3"/>
  <c r="L69" i="3" s="1"/>
  <c r="J70" i="3"/>
  <c r="L70" i="3" s="1"/>
  <c r="J71" i="3"/>
  <c r="L71" i="3" s="1"/>
  <c r="J72" i="3"/>
  <c r="L72" i="3" s="1"/>
  <c r="J73" i="3"/>
  <c r="L73" i="3" s="1"/>
  <c r="J74" i="3"/>
  <c r="L74" i="3" s="1"/>
  <c r="J75" i="3"/>
  <c r="L75" i="3" s="1"/>
  <c r="J76" i="3"/>
  <c r="L76" i="3" s="1"/>
  <c r="J77" i="3"/>
  <c r="L77" i="3" s="1"/>
  <c r="J78" i="3"/>
  <c r="L78" i="3" s="1"/>
  <c r="J79" i="3"/>
  <c r="L79" i="3" s="1"/>
  <c r="J80" i="3"/>
  <c r="L80" i="3" s="1"/>
  <c r="J81" i="3"/>
  <c r="L81" i="3" s="1"/>
  <c r="J82" i="3"/>
  <c r="L82" i="3" s="1"/>
  <c r="J83" i="3"/>
  <c r="L83" i="3" s="1"/>
  <c r="J84" i="3"/>
  <c r="L84" i="3" s="1"/>
  <c r="J85" i="3"/>
  <c r="L85" i="3" s="1"/>
  <c r="J86" i="3"/>
  <c r="L86" i="3" s="1"/>
  <c r="J88" i="3"/>
  <c r="L88" i="3" s="1"/>
  <c r="J89" i="3"/>
  <c r="L89" i="3" s="1"/>
  <c r="J90" i="3"/>
  <c r="L90" i="3" s="1"/>
  <c r="J91" i="3"/>
  <c r="L91" i="3" s="1"/>
  <c r="J92" i="3"/>
  <c r="L92" i="3" s="1"/>
  <c r="J93" i="3"/>
  <c r="L93" i="3" s="1"/>
  <c r="J94" i="3"/>
  <c r="L94" i="3" s="1"/>
  <c r="J95" i="3"/>
  <c r="L95" i="3" s="1"/>
  <c r="J96" i="3"/>
  <c r="L96" i="3" s="1"/>
  <c r="J97" i="3"/>
  <c r="L97" i="3" s="1"/>
  <c r="J98" i="3"/>
  <c r="L98" i="3" s="1"/>
  <c r="J99" i="3"/>
  <c r="L99" i="3" s="1"/>
  <c r="J100" i="3"/>
  <c r="L100" i="3" s="1"/>
  <c r="J101" i="3"/>
  <c r="L101" i="3" s="1"/>
  <c r="J102" i="3"/>
  <c r="L102" i="3" s="1"/>
  <c r="J103" i="3"/>
  <c r="L103" i="3" s="1"/>
  <c r="J104" i="3"/>
  <c r="L104" i="3" s="1"/>
  <c r="J3" i="4"/>
  <c r="L3" i="4" s="1"/>
  <c r="J4" i="4"/>
  <c r="L4" i="4" s="1"/>
  <c r="J5" i="4"/>
  <c r="L5" i="4" s="1"/>
  <c r="J7" i="4"/>
  <c r="L7" i="4" s="1"/>
  <c r="J9" i="4"/>
  <c r="L9" i="4" s="1"/>
  <c r="J11" i="4"/>
  <c r="L11" i="4" s="1"/>
  <c r="J12" i="4"/>
  <c r="L12" i="4" s="1"/>
  <c r="J15" i="4"/>
  <c r="L15" i="4" s="1"/>
  <c r="J17" i="4"/>
  <c r="L17" i="4" s="1"/>
  <c r="J19" i="4"/>
  <c r="L19" i="4" s="1"/>
  <c r="J22" i="4"/>
  <c r="L22" i="4" s="1"/>
  <c r="J23" i="4"/>
  <c r="L23" i="4" s="1"/>
  <c r="J24" i="4"/>
  <c r="L24" i="4" s="1"/>
  <c r="J25" i="4"/>
  <c r="L25" i="4" s="1"/>
  <c r="J26" i="4"/>
  <c r="L26" i="4" s="1"/>
  <c r="J27" i="4"/>
  <c r="L27" i="4" s="1"/>
  <c r="J28" i="4"/>
  <c r="L28" i="4" s="1"/>
  <c r="J29" i="4"/>
  <c r="L29" i="4" s="1"/>
  <c r="J30" i="4"/>
  <c r="L30" i="4" s="1"/>
  <c r="J31" i="4"/>
  <c r="L31" i="4" s="1"/>
  <c r="J32" i="4"/>
  <c r="L32" i="4" s="1"/>
  <c r="J3" i="5"/>
  <c r="L3" i="5" s="1"/>
  <c r="J4" i="5"/>
  <c r="L4" i="5" s="1"/>
  <c r="J5" i="5"/>
  <c r="L5" i="5" s="1"/>
  <c r="J6" i="5"/>
  <c r="L6" i="5" s="1"/>
  <c r="J7" i="5"/>
  <c r="L7" i="5" s="1"/>
  <c r="J10" i="5"/>
  <c r="L10" i="5" s="1"/>
  <c r="J11" i="5"/>
  <c r="L11" i="5" s="1"/>
  <c r="J12" i="5"/>
  <c r="L12" i="5" s="1"/>
  <c r="J13" i="5"/>
  <c r="L13" i="5" s="1"/>
  <c r="J14" i="5"/>
  <c r="L14" i="5" s="1"/>
  <c r="J15" i="5"/>
  <c r="L15" i="5" s="1"/>
  <c r="J16" i="5"/>
  <c r="L16" i="5" s="1"/>
  <c r="J17" i="5"/>
  <c r="L17" i="5" s="1"/>
  <c r="J18" i="5"/>
  <c r="L18" i="5" s="1"/>
  <c r="J19" i="5"/>
  <c r="L19" i="5" s="1"/>
  <c r="J20" i="5"/>
  <c r="L20" i="5" s="1"/>
  <c r="J21" i="5"/>
  <c r="L21" i="5" s="1"/>
  <c r="J22" i="5"/>
  <c r="L22" i="5" s="1"/>
  <c r="J23" i="5"/>
  <c r="L23" i="5" s="1"/>
  <c r="J24" i="5"/>
  <c r="L24" i="5" s="1"/>
  <c r="J25" i="5"/>
  <c r="L25" i="5" s="1"/>
  <c r="J26" i="5"/>
  <c r="L26" i="5" s="1"/>
  <c r="J27" i="5"/>
  <c r="L27" i="5" s="1"/>
  <c r="J28" i="5"/>
  <c r="L28" i="5" s="1"/>
  <c r="J30" i="5"/>
  <c r="L30" i="5" s="1"/>
  <c r="J31" i="5"/>
  <c r="L31" i="5" s="1"/>
  <c r="J32" i="5"/>
  <c r="L32" i="5" s="1"/>
  <c r="J33" i="5"/>
  <c r="L33" i="5" s="1"/>
  <c r="J34" i="5"/>
  <c r="L34" i="5" s="1"/>
  <c r="J35" i="5"/>
  <c r="L35" i="5" s="1"/>
  <c r="J36" i="5"/>
  <c r="L36" i="5" s="1"/>
  <c r="J37" i="5"/>
  <c r="L37" i="5" s="1"/>
  <c r="J38" i="5"/>
  <c r="L38" i="5" s="1"/>
  <c r="J39" i="5"/>
  <c r="L39" i="5" s="1"/>
  <c r="J40" i="5"/>
  <c r="L40" i="5" s="1"/>
  <c r="J41" i="5"/>
  <c r="L41" i="5" s="1"/>
  <c r="J42" i="5"/>
  <c r="L42" i="5" s="1"/>
  <c r="J43" i="5"/>
  <c r="L43" i="5" s="1"/>
  <c r="J44" i="5"/>
  <c r="L44" i="5" s="1"/>
  <c r="J45" i="5"/>
  <c r="L45" i="5" s="1"/>
  <c r="J46" i="5"/>
  <c r="L46" i="5" s="1"/>
  <c r="J47" i="5"/>
  <c r="L47" i="5" s="1"/>
  <c r="J48" i="5"/>
  <c r="L48" i="5" s="1"/>
  <c r="J49" i="5"/>
  <c r="L49" i="5" s="1"/>
  <c r="J50" i="5"/>
  <c r="L50" i="5" s="1"/>
  <c r="J51" i="5"/>
  <c r="L51" i="5" s="1"/>
  <c r="J52" i="5"/>
  <c r="L52" i="5" s="1"/>
  <c r="J53" i="5"/>
  <c r="L53" i="5" s="1"/>
  <c r="J54" i="5"/>
  <c r="L54" i="5" s="1"/>
  <c r="J55" i="5"/>
  <c r="L55" i="5" s="1"/>
  <c r="J57" i="5"/>
  <c r="L57" i="5" s="1"/>
  <c r="J58" i="5"/>
  <c r="L58" i="5" s="1"/>
  <c r="J59" i="5"/>
  <c r="L59" i="5" s="1"/>
  <c r="J60" i="5"/>
  <c r="L60" i="5" s="1"/>
  <c r="J61" i="5"/>
  <c r="L61" i="5" s="1"/>
  <c r="J62" i="5"/>
  <c r="L62" i="5" s="1"/>
  <c r="J63" i="5"/>
  <c r="L63" i="5" s="1"/>
  <c r="J64" i="5"/>
  <c r="L64" i="5" s="1"/>
  <c r="J65" i="5"/>
  <c r="L65" i="5" s="1"/>
  <c r="J66" i="5"/>
  <c r="L66" i="5" s="1"/>
  <c r="J67" i="5"/>
  <c r="L67" i="5" s="1"/>
  <c r="J68" i="5"/>
  <c r="L68" i="5" s="1"/>
  <c r="J69" i="5"/>
  <c r="L69" i="5" s="1"/>
  <c r="J70" i="5"/>
  <c r="L70" i="5" s="1"/>
  <c r="J71" i="5"/>
  <c r="L71" i="5" s="1"/>
  <c r="J72" i="5"/>
  <c r="L72" i="5" s="1"/>
  <c r="J73" i="5"/>
  <c r="L73" i="5" s="1"/>
  <c r="J75" i="5"/>
  <c r="L75" i="5" s="1"/>
  <c r="J76" i="5"/>
  <c r="L76" i="5" s="1"/>
  <c r="J77" i="5"/>
  <c r="L77" i="5" s="1"/>
  <c r="J78" i="5"/>
  <c r="L78" i="5" s="1"/>
  <c r="J79" i="5"/>
  <c r="L79" i="5" s="1"/>
  <c r="J80" i="5"/>
  <c r="L80" i="5" s="1"/>
  <c r="J81" i="5"/>
  <c r="L81" i="5" s="1"/>
  <c r="J82" i="5"/>
  <c r="L82" i="5" s="1"/>
  <c r="J83" i="5"/>
  <c r="L83" i="5" s="1"/>
  <c r="J84" i="5"/>
  <c r="L84" i="5" s="1"/>
  <c r="J85" i="5"/>
  <c r="L85" i="5" s="1"/>
  <c r="J86" i="5"/>
  <c r="L86" i="5" s="1"/>
  <c r="J87" i="5"/>
  <c r="L87" i="5" s="1"/>
  <c r="J88" i="5"/>
  <c r="L88" i="5" s="1"/>
  <c r="J89" i="5"/>
  <c r="L89" i="5" s="1"/>
  <c r="J90" i="5"/>
  <c r="L90" i="5" s="1"/>
  <c r="J91" i="5"/>
  <c r="L91" i="5" s="1"/>
  <c r="J92" i="5"/>
  <c r="L92" i="5" s="1"/>
  <c r="J93" i="5"/>
  <c r="L93" i="5" s="1"/>
  <c r="J94" i="5"/>
  <c r="L94" i="5" s="1"/>
  <c r="J95" i="5"/>
  <c r="L95" i="5" s="1"/>
  <c r="J96" i="5"/>
  <c r="L96" i="5" s="1"/>
  <c r="J97" i="5"/>
  <c r="L97" i="5" s="1"/>
  <c r="J98" i="5"/>
  <c r="L98" i="5" s="1"/>
  <c r="J99" i="5"/>
  <c r="L99" i="5" s="1"/>
  <c r="J100" i="5"/>
  <c r="L100" i="5" s="1"/>
  <c r="J101" i="5"/>
  <c r="L101" i="5" s="1"/>
  <c r="J102" i="5"/>
  <c r="L102" i="5" s="1"/>
  <c r="J103" i="5"/>
  <c r="L103" i="5" s="1"/>
  <c r="J104" i="5"/>
  <c r="L104" i="5" s="1"/>
  <c r="J105" i="5"/>
  <c r="L105" i="5" s="1"/>
  <c r="J106" i="5"/>
  <c r="L106" i="5" s="1"/>
  <c r="J107" i="5"/>
  <c r="L107" i="5" s="1"/>
  <c r="J108" i="5"/>
  <c r="L108" i="5" s="1"/>
  <c r="J109" i="5"/>
  <c r="L109" i="5" s="1"/>
  <c r="J110" i="5"/>
  <c r="L110" i="5" s="1"/>
  <c r="J111" i="5"/>
  <c r="L111" i="5" s="1"/>
  <c r="J112" i="5"/>
  <c r="L112" i="5" s="1"/>
  <c r="J113" i="5"/>
  <c r="L113" i="5" s="1"/>
  <c r="J114" i="5"/>
  <c r="L114" i="5" s="1"/>
  <c r="J115" i="5"/>
  <c r="L115" i="5" s="1"/>
  <c r="J116" i="5"/>
  <c r="L116" i="5" s="1"/>
  <c r="J117" i="5"/>
  <c r="L117" i="5" s="1"/>
  <c r="J118" i="5"/>
  <c r="L118" i="5" s="1"/>
  <c r="J119" i="5"/>
  <c r="L119" i="5" s="1"/>
  <c r="J121" i="5"/>
  <c r="L121" i="5" s="1"/>
  <c r="J122" i="5"/>
  <c r="L122" i="5" s="1"/>
  <c r="J123" i="5"/>
  <c r="L123" i="5" s="1"/>
  <c r="J124" i="5"/>
  <c r="L124" i="5" s="1"/>
  <c r="J125" i="5"/>
  <c r="L125" i="5" s="1"/>
  <c r="J126" i="5"/>
  <c r="L126" i="5" s="1"/>
  <c r="J127" i="5"/>
  <c r="L127" i="5" s="1"/>
  <c r="J128" i="5"/>
  <c r="L128" i="5" s="1"/>
  <c r="J129" i="5"/>
  <c r="L129" i="5" s="1"/>
  <c r="J130" i="5"/>
  <c r="L130" i="5" s="1"/>
  <c r="J131" i="5"/>
  <c r="L131" i="5" s="1"/>
  <c r="J132" i="5"/>
  <c r="L132" i="5" s="1"/>
  <c r="C5" i="1" l="1"/>
  <c r="C13" i="1"/>
  <c r="B14" i="1"/>
  <c r="C16" i="1"/>
  <c r="B25" i="1"/>
  <c r="B31" i="1"/>
  <c r="C25" i="1"/>
  <c r="B3" i="1"/>
  <c r="C15" i="1"/>
  <c r="B16" i="1"/>
  <c r="C4" i="1"/>
  <c r="C18" i="1"/>
  <c r="B27" i="1"/>
  <c r="B17" i="1"/>
  <c r="B10" i="1"/>
  <c r="B15" i="1"/>
  <c r="B9" i="1"/>
  <c r="C22" i="1"/>
  <c r="B11" i="1"/>
  <c r="B18" i="1"/>
  <c r="C26" i="1"/>
  <c r="C19" i="1"/>
  <c r="C20" i="1"/>
  <c r="B28" i="1"/>
  <c r="B4" i="1"/>
  <c r="B6" i="1"/>
  <c r="C2" i="1"/>
  <c r="C7" i="1"/>
  <c r="C21" i="1"/>
  <c r="B12" i="1"/>
  <c r="B20" i="1"/>
  <c r="C8" i="1"/>
  <c r="C27" i="1"/>
  <c r="C12" i="1"/>
  <c r="B19" i="1"/>
  <c r="B2" i="1"/>
  <c r="B21" i="1"/>
  <c r="C9" i="1"/>
  <c r="B5" i="1"/>
  <c r="B26" i="1"/>
  <c r="B13" i="1"/>
  <c r="D13" i="1" s="1"/>
  <c r="B7" i="1"/>
  <c r="B22" i="1"/>
  <c r="B8" i="1"/>
  <c r="C14" i="1"/>
  <c r="C3" i="1"/>
  <c r="C28" i="1"/>
  <c r="C29" i="1"/>
  <c r="B29" i="1"/>
  <c r="C10" i="1"/>
  <c r="C17" i="1"/>
  <c r="C30" i="1"/>
  <c r="B30" i="1"/>
  <c r="C6" i="1"/>
  <c r="C11" i="1"/>
  <c r="C31" i="1"/>
  <c r="D24" i="1"/>
  <c r="D23" i="1"/>
  <c r="J2" i="5"/>
  <c r="L2" i="5" s="1"/>
  <c r="J2" i="4"/>
  <c r="L2" i="4" s="1"/>
  <c r="J2" i="3"/>
  <c r="L2" i="3" s="1"/>
  <c r="D5" i="1" l="1"/>
  <c r="D14" i="1"/>
  <c r="D17" i="1"/>
  <c r="D10" i="1"/>
  <c r="D25" i="1"/>
  <c r="D31" i="1"/>
  <c r="D15" i="1"/>
  <c r="D16" i="1"/>
  <c r="D22" i="1"/>
  <c r="D27" i="1"/>
  <c r="D3" i="1"/>
  <c r="D4" i="1"/>
  <c r="D26" i="1"/>
  <c r="D18" i="1"/>
  <c r="D20" i="1"/>
  <c r="D6" i="1"/>
  <c r="D28" i="1"/>
  <c r="D9" i="1"/>
  <c r="D11" i="1"/>
  <c r="D2" i="1"/>
  <c r="D21" i="1"/>
  <c r="D7" i="1"/>
  <c r="D19" i="1"/>
  <c r="D8" i="1"/>
  <c r="D30" i="1"/>
  <c r="D12" i="1"/>
  <c r="D29" i="1"/>
</calcChain>
</file>

<file path=xl/sharedStrings.xml><?xml version="1.0" encoding="utf-8"?>
<sst xmlns="http://schemas.openxmlformats.org/spreadsheetml/2006/main" count="3513" uniqueCount="164">
  <si>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</si>
  <si>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</si>
  <si>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</si>
  <si>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</si>
  <si>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</si>
  <si>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</si>
  <si>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</si>
  <si>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</si>
  <si>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</si>
  <si>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</si>
  <si>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</si>
  <si>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</si>
  <si>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</si>
  <si>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</si>
  <si>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</si>
  <si>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</si>
  <si>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</si>
  <si>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</si>
  <si>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</si>
  <si>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</si>
  <si>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</si>
  <si>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</si>
  <si>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</si>
  <si>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</si>
  <si>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</si>
  <si>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</si>
  <si>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</si>
  <si>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</si>
  <si>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</si>
  <si>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</si>
  <si>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</si>
  <si>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</si>
  <si>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</si>
  <si>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</si>
  <si>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</si>
  <si>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</si>
  <si>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</si>
  <si>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</si>
  <si>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</si>
  <si>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</si>
  <si>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</si>
  <si>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</si>
  <si>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</si>
  <si>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</si>
  <si>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</si>
  <si>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</si>
  <si>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</si>
  <si>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</si>
  <si>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</si>
  <si>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</si>
  <si>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</si>
  <si>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</si>
  <si>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</si>
  <si>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</si>
  <si>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</si>
  <si>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</si>
  <si>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</si>
  <si>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</si>
  <si>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</si>
  <si>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</si>
  <si>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</si>
  <si>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</si>
  <si>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</si>
  <si>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</si>
  <si>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</si>
  <si>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</si>
  <si>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</si>
  <si>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</si>
  <si>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</si>
  <si>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</si>
  <si>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</si>
  <si>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</si>
  <si>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</si>
  <si>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</si>
  <si>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</si>
  <si>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</si>
  <si>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</si>
  <si>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</si>
  <si>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</si>
  <si>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</si>
  <si>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Indigo, Plantation</t>
  </si>
  <si>
    <t>Indigo, Spanish</t>
  </si>
  <si>
    <t>Jallop?</t>
  </si>
  <si>
    <t>Orchelia</t>
  </si>
  <si>
    <t>Saunders Yellow</t>
  </si>
  <si>
    <t>Smalts</t>
  </si>
  <si>
    <t>Tamerinds</t>
  </si>
  <si>
    <t>Wood, Ebony</t>
  </si>
  <si>
    <t>Wood, Iron</t>
  </si>
  <si>
    <t>Wood, Mahogany</t>
  </si>
  <si>
    <t>Turpentine</t>
  </si>
  <si>
    <t>Wood, Cam</t>
  </si>
  <si>
    <t>Barbados T…</t>
  </si>
  <si>
    <t>Old Pewter</t>
  </si>
  <si>
    <t>Tortola</t>
  </si>
  <si>
    <t>Tamarinds</t>
  </si>
  <si>
    <t>Cascarilla</t>
  </si>
  <si>
    <t>Hypococania</t>
  </si>
  <si>
    <t>Wood, Cocus</t>
  </si>
  <si>
    <t>Wood, Cocoa</t>
  </si>
  <si>
    <t>WestIndiesGeneral</t>
  </si>
  <si>
    <t>Balsam Natural</t>
  </si>
  <si>
    <t>Gum Seneca</t>
  </si>
  <si>
    <t>Gum Guiaci</t>
  </si>
  <si>
    <t>Beaver Skins</t>
  </si>
  <si>
    <t>Whalefins</t>
  </si>
  <si>
    <t>Potatoes</t>
  </si>
  <si>
    <t>Gum Arabick</t>
  </si>
  <si>
    <t>Gum Elemni</t>
  </si>
  <si>
    <t>Jollop</t>
  </si>
  <si>
    <t>751g</t>
  </si>
  <si>
    <t>39.4g</t>
  </si>
  <si>
    <t>54095g</t>
  </si>
  <si>
    <t>17t 3g</t>
  </si>
  <si>
    <t>508bags</t>
  </si>
  <si>
    <t>4944g</t>
  </si>
  <si>
    <t>115g</t>
  </si>
  <si>
    <t>48074.5g</t>
  </si>
  <si>
    <t>17t 3h 38g</t>
  </si>
  <si>
    <t>310.5bags</t>
  </si>
  <si>
    <t>109g</t>
  </si>
  <si>
    <t>10g</t>
  </si>
  <si>
    <t>Balsam Capavia</t>
  </si>
  <si>
    <t>4490g</t>
  </si>
  <si>
    <t>34g</t>
  </si>
  <si>
    <t>62622.5g</t>
  </si>
  <si>
    <t>23t 3h 14g</t>
  </si>
  <si>
    <t>959bags</t>
  </si>
  <si>
    <t>1212g</t>
  </si>
  <si>
    <t>9g</t>
  </si>
  <si>
    <t>5540g</t>
  </si>
  <si>
    <t>3h 34g</t>
  </si>
  <si>
    <t>50bags</t>
  </si>
  <si>
    <t>3g</t>
  </si>
  <si>
    <t>767.5g</t>
  </si>
  <si>
    <t>5t 50g</t>
  </si>
  <si>
    <t>30bags</t>
  </si>
  <si>
    <t>23.75g</t>
  </si>
  <si>
    <t>3239.5g</t>
  </si>
  <si>
    <t>4t 6g</t>
  </si>
  <si>
    <t>301bags</t>
  </si>
  <si>
    <t>350g</t>
  </si>
  <si>
    <t>2g</t>
  </si>
  <si>
    <t>465g</t>
  </si>
  <si>
    <t>1h 54g</t>
  </si>
  <si>
    <t>10bags</t>
  </si>
  <si>
    <t>40g</t>
  </si>
  <si>
    <t>1g</t>
  </si>
  <si>
    <t>6372.75g</t>
  </si>
  <si>
    <t>9t 2h 45g</t>
  </si>
  <si>
    <t>388g</t>
  </si>
  <si>
    <t>4t 1h 7g</t>
  </si>
  <si>
    <t>2480g</t>
  </si>
  <si>
    <t>21627g</t>
  </si>
  <si>
    <t>11t 3h 60g</t>
  </si>
  <si>
    <t>240g</t>
  </si>
  <si>
    <t>292.5g</t>
  </si>
  <si>
    <t>1h 47g</t>
  </si>
  <si>
    <t>46bags</t>
  </si>
  <si>
    <t>230g</t>
  </si>
  <si>
    <t>3020g</t>
  </si>
  <si>
    <t>36g</t>
  </si>
  <si>
    <t>2t 2h 44g</t>
  </si>
  <si>
    <t>14142.75g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</si>
</sst>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tabSelected="1" workbookViewId="0"/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 + SUMIFS(WestIndiesGeneral!$L:$L, WestIndiesGeneral!$B:$B, $A2, WestIndiesGeneral!$D:$D, "London")</f>
        <v>0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 + SUMIFS(WestIndiesGeneral!$L:$L, WestIndiesGeneral!$B:$B, $A2, WestIndiesGeneral!$D:$D, "London")</f>
        <v>0</v>
      </c>
      <c r="D2">
        <f>B2+C2</f>
        <v>0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 + SUMIFS(WestIndiesGeneral!$L:$L, WestIndiesGeneral!$B:$B, $A3, WestIndiesGeneral!$D:$D, "London")</f>
        <v>3.765625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 + SUMIFS(WestIndiesGeneral!$L:$L, WestIndiesGeneral!$B:$B, $A3, WestIndiesGeneral!$D:$D, "London")</f>
        <v>0</v>
      </c>
      <c r="D3">
        <f t="shared" ref="D3:D31" si="0">B3+C3</f>
        <v>3.765625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 + SUMIFS(WestIndiesGeneral!$L:$L, WestIndiesGeneral!$B:$B, $A4, WestIndiesGeneral!$D:$D, "London")</f>
        <v>37175.00892857142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 + SUMIFS(WestIndiesGeneral!$L:$L, WestIndiesGeneral!$B:$B, $A4, WestIndiesGeneral!$D:$D, "London")</f>
        <v>11488.784375000003</v>
      </c>
      <c r="D4">
        <f t="shared" si="0"/>
        <v>48663.793303571423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 + SUMIFS(WestIndiesGeneral!$L:$L, WestIndiesGeneral!$B:$B, $A5, WestIndiesGeneral!$D:$D, "London")</f>
        <v>0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 + SUMIFS(WestIndiesGeneral!$L:$L, WestIndiesGeneral!$B:$B, $A5, WestIndiesGeneral!$D:$D, "London")</f>
        <v>0</v>
      </c>
      <c r="D5">
        <f t="shared" si="0"/>
        <v>0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 + SUMIFS(WestIndiesGeneral!$L:$L, WestIndiesGeneral!$B:$B, $A6, WestIndiesGeneral!$D:$D, "London")</f>
        <v>16.817857142857143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 + SUMIFS(WestIndiesGeneral!$L:$L, WestIndiesGeneral!$B:$B, $A6, WestIndiesGeneral!$D:$D, "London")</f>
        <v>7</v>
      </c>
      <c r="D6">
        <f t="shared" si="0"/>
        <v>23.817857142857143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 + SUMIFS(WestIndiesGeneral!$L:$L, WestIndiesGeneral!$B:$B, $A7, WestIndiesGeneral!$D:$D, "London")</f>
        <v>193.61607142857142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 + SUMIFS(WestIndiesGeneral!$L:$L, WestIndiesGeneral!$B:$B, $A7, WestIndiesGeneral!$D:$D, "London")</f>
        <v>304.76607142857142</v>
      </c>
      <c r="D7">
        <f t="shared" si="0"/>
        <v>498.38214285714287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 + SUMIFS(WestIndiesGeneral!$L:$L, WestIndiesGeneral!$B:$B, $A8, WestIndiesGeneral!$D:$D, "London")</f>
        <v>292.15803571428569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 + SUMIFS(WestIndiesGeneral!$L:$L, WestIndiesGeneral!$B:$B, $A8, WestIndiesGeneral!$D:$D, "London")</f>
        <v>317.54821428571421</v>
      </c>
      <c r="D8">
        <f t="shared" si="0"/>
        <v>609.70624999999995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 + SUMIFS(WestIndiesGeneral!$L:$L, WestIndiesGeneral!$B:$B, $A9, WestIndiesGeneral!$D:$D, "London")</f>
        <v>36.114732142857143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 + SUMIFS(WestIndiesGeneral!$L:$L, WestIndiesGeneral!$B:$B, $A9, WestIndiesGeneral!$D:$D, "London")</f>
        <v>25.195535714285711</v>
      </c>
      <c r="D9">
        <f t="shared" si="0"/>
        <v>61.310267857142854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 + SUMIFS(WestIndiesGeneral!$L:$L, WestIndiesGeneral!$B:$B, $A10, WestIndiesGeneral!$D:$D, "London")</f>
        <v>58.989732142857143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 + SUMIFS(WestIndiesGeneral!$L:$L, WestIndiesGeneral!$B:$B, $A10, WestIndiesGeneral!$D:$D, "London")</f>
        <v>53.30401785714286</v>
      </c>
      <c r="D10">
        <f t="shared" si="0"/>
        <v>112.29375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 + SUMIFS(WestIndiesGeneral!$L:$L, WestIndiesGeneral!$B:$B, $A11, WestIndiesGeneral!$D:$D, "London")</f>
        <v>46.181249999999999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 + SUMIFS(WestIndiesGeneral!$L:$L, WestIndiesGeneral!$B:$B, $A11, WestIndiesGeneral!$D:$D, "London")</f>
        <v>32.03125</v>
      </c>
      <c r="D11">
        <f t="shared" si="0"/>
        <v>78.212500000000006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 + SUMIFS(WestIndiesGeneral!$L:$L, WestIndiesGeneral!$B:$B, $A12, WestIndiesGeneral!$D:$D, "London")</f>
        <v>52.455357142857146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 + SUMIFS(WestIndiesGeneral!$L:$L, WestIndiesGeneral!$B:$B, $A12, WestIndiesGeneral!$D:$D, "London")</f>
        <v>15.620089285714286</v>
      </c>
      <c r="D12">
        <f t="shared" si="0"/>
        <v>68.075446428571439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 + SUMIFS(WestIndiesGeneral!$L:$L, WestIndiesGeneral!$B:$B, $A13, WestIndiesGeneral!$D:$D, "London")</f>
        <v>1.7937500000000002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 + SUMIFS(WestIndiesGeneral!$L:$L, WestIndiesGeneral!$B:$B, $A13, WestIndiesGeneral!$D:$D, "London")</f>
        <v>29.380357142857143</v>
      </c>
      <c r="D13">
        <f t="shared" si="0"/>
        <v>31.174107142857142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 + SUMIFS(WestIndiesGeneral!$L:$L, WestIndiesGeneral!$B:$B, $A14, WestIndiesGeneral!$D:$D, "London")</f>
        <v>44.720535714285717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 + SUMIFS(WestIndiesGeneral!$L:$L, WestIndiesGeneral!$B:$B, $A14, WestIndiesGeneral!$D:$D, "London")</f>
        <v>85.019642857142856</v>
      </c>
      <c r="D14">
        <f t="shared" si="0"/>
        <v>129.74017857142857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 + SUMIFS(WestIndiesGeneral!$L:$L, WestIndiesGeneral!$B:$B, $A15, WestIndiesGeneral!$D:$D, "London")</f>
        <v>8.9625000000000004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 + SUMIFS(WestIndiesGeneral!$L:$L, WestIndiesGeneral!$B:$B, $A15, WestIndiesGeneral!$D:$D, "London")</f>
        <v>1.5084821428571429</v>
      </c>
      <c r="D15">
        <f t="shared" si="0"/>
        <v>10.470982142857142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 + SUMIFS(WestIndiesGeneral!$L:$L, WestIndiesGeneral!$B:$B, $A16, WestIndiesGeneral!$D:$D, "London")</f>
        <v>781.0622767857144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 + SUMIFS(WestIndiesGeneral!$L:$L, WestIndiesGeneral!$B:$B, $A16, WestIndiesGeneral!$D:$D, "London")</f>
        <v>206.07991071428575</v>
      </c>
      <c r="D16">
        <f t="shared" si="0"/>
        <v>987.14218750000009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 + SUMIFS(WestIndiesGeneral!$L:$L, WestIndiesGeneral!$B:$B, $A17, WestIndiesGeneral!$D:$D, "London")</f>
        <v>3.0366071428571431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 + SUMIFS(WestIndiesGeneral!$L:$L, WestIndiesGeneral!$B:$B, $A17, WestIndiesGeneral!$D:$D, "London")</f>
        <v>1.7098214285714286</v>
      </c>
      <c r="D17">
        <f t="shared" si="0"/>
        <v>4.7464285714285719</v>
      </c>
    </row>
    <row r="18" spans="1:4" x14ac:dyDescent="0.25">
      <c r="A18" t="s">
        <v>54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 + SUMIFS(WestIndiesGeneral!$L:$L, WestIndiesGeneral!$B:$B, $A18, WestIndiesGeneral!$D:$D, "London")</f>
        <v>3.4319196428571432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 + SUMIFS(WestIndiesGeneral!$L:$L, WestIndiesGeneral!$B:$B, $A18, WestIndiesGeneral!$D:$D, "London")</f>
        <v>0.39888392857142857</v>
      </c>
      <c r="D18">
        <f t="shared" si="0"/>
        <v>3.830803571428572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 + SUMIFS(WestIndiesGeneral!$L:$L, WestIndiesGeneral!$B:$B, $A19, WestIndiesGeneral!$D:$D, "London")</f>
        <v>42.292410714285715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 + SUMIFS(WestIndiesGeneral!$L:$L, WestIndiesGeneral!$B:$B, $A19, WestIndiesGeneral!$D:$D, "London")</f>
        <v>0.73258928571428572</v>
      </c>
      <c r="D19">
        <f t="shared" si="0"/>
        <v>43.024999999999999</v>
      </c>
    </row>
    <row r="20" spans="1:4" x14ac:dyDescent="0.2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 + SUMIFS(WestIndiesGeneral!$L:$L, WestIndiesGeneral!$B:$B, $A20, WestIndiesGeneral!$D:$D, "London")</f>
        <v>2.2363839285714282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 + SUMIFS(WestIndiesGeneral!$L:$L, WestIndiesGeneral!$B:$B, $A20, WestIndiesGeneral!$D:$D, "London")</f>
        <v>1.0223214285714286</v>
      </c>
      <c r="D20">
        <f t="shared" si="0"/>
        <v>3.2587053571428566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 + SUMIFS(WestIndiesGeneral!$L:$L, WestIndiesGeneral!$B:$B, $A21, WestIndiesGeneral!$D:$D, "London")</f>
        <v>0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 + SUMIFS(WestIndiesGeneral!$L:$L, WestIndiesGeneral!$B:$B, $A21, WestIndiesGeneral!$D:$D, "London")</f>
        <v>0</v>
      </c>
      <c r="D21">
        <f t="shared" si="0"/>
        <v>0</v>
      </c>
    </row>
    <row r="22" spans="1:4" x14ac:dyDescent="0.2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 + SUMIFS(WestIndiesGeneral!$L:$L, WestIndiesGeneral!$B:$B, $A22, WestIndiesGeneral!$D:$D,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 + SUMIFS(WestIndiesGeneral!$L:$L, WestIndiesGeneral!$B:$B, $A22, WestIndiesGeneral!$D:$D, "London")</f>
        <v>0</v>
      </c>
      <c r="D22">
        <f t="shared" si="0"/>
        <v>0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 + SUMIFS(WestIndiesGeneral!$L:$L, WestIndiesGeneral!$B:$B, $A23, WestIndiesGeneral!$D:$D,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 + SUMIFS(WestIndiesGeneral!$L:$L, WestIndiesGeneral!$B:$B, $A23, WestIndiesGeneral!$D:$D, "London")</f>
        <v>0</v>
      </c>
      <c r="D23">
        <f t="shared" si="0"/>
        <v>0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 + SUMIFS(WestIndiesGeneral!$L:$L, WestIndiesGeneral!$B:$B, $A24, WestIndiesGeneral!$D:$D,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 + SUMIFS(WestIndiesGeneral!$L:$L, WestIndiesGeneral!$B:$B, $A24, WestIndiesGeneral!$D:$D, "London")</f>
        <v>0</v>
      </c>
      <c r="D24">
        <f t="shared" si="0"/>
        <v>0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 + SUMIFS(WestIndiesGeneral!$L:$L, WestIndiesGeneral!$B:$B, $A25, WestIndiesGeneral!$D:$D, "London")</f>
        <v>0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 + SUMIFS(WestIndiesGeneral!$L:$L, WestIndiesGeneral!$B:$B, $A25, WestIndiesGeneral!$D:$D, "London")</f>
        <v>0</v>
      </c>
      <c r="D25">
        <f t="shared" si="0"/>
        <v>0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 + SUMIFS(WestIndiesGeneral!$L:$L, WestIndiesGeneral!$B:$B, $A26, WestIndiesGeneral!$D:$D, "London")</f>
        <v>74.65758928571428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 + SUMIFS(WestIndiesGeneral!$L:$L, WestIndiesGeneral!$B:$B, $A26, WestIndiesGeneral!$D:$D, "London")</f>
        <v>30.369866071428568</v>
      </c>
      <c r="D26">
        <f t="shared" si="0"/>
        <v>105.02745535714286</v>
      </c>
    </row>
    <row r="27" spans="1:4" x14ac:dyDescent="0.25">
      <c r="A27" t="s">
        <v>61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 + SUMIFS(WestIndiesGeneral!$L:$L, WestIndiesGeneral!$B:$B, $A27, WestIndiesGeneral!$D:$D, "London")</f>
        <v>0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 + SUMIFS(WestIndiesGeneral!$L:$L, WestIndiesGeneral!$B:$B, $A27, WestIndiesGeneral!$D:$D, "London")</f>
        <v>4.5</v>
      </c>
      <c r="D27">
        <f t="shared" si="0"/>
        <v>4.5</v>
      </c>
    </row>
    <row r="28" spans="1:4" x14ac:dyDescent="0.25">
      <c r="A28" t="s">
        <v>62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 + SUMIFS(WestIndiesGeneral!$L:$L, WestIndiesGeneral!$B:$B, $A28, WestIndiesGeneral!$D:$D, "London")</f>
        <v>650.05892857142862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 + SUMIFS(WestIndiesGeneral!$L:$L, WestIndiesGeneral!$B:$B, $A28, WestIndiesGeneral!$D:$D, "London")</f>
        <v>346.64598214285712</v>
      </c>
      <c r="D28">
        <f t="shared" si="0"/>
        <v>996.70491071428569</v>
      </c>
    </row>
    <row r="29" spans="1:4" x14ac:dyDescent="0.25">
      <c r="A29" t="s">
        <v>63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 + SUMIFS(WestIndiesGeneral!$L:$L, WestIndiesGeneral!$B:$B, $A29, WestIndiesGeneral!$D:$D, "London")</f>
        <v>1098.2504464285714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 + SUMIFS(WestIndiesGeneral!$L:$L, WestIndiesGeneral!$B:$B, $A29, WestIndiesGeneral!$D:$D, "London")</f>
        <v>659.078125</v>
      </c>
      <c r="D29">
        <f t="shared" si="0"/>
        <v>1757.3285714285714</v>
      </c>
    </row>
    <row r="30" spans="1:4" x14ac:dyDescent="0.25">
      <c r="A30" t="s">
        <v>64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 + SUMIFS(WestIndiesGeneral!$L:$L, WestIndiesGeneral!$B:$B, $A30, WestIndiesGeneral!$D:$D, "London")</f>
        <v>0.46071428571428569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 + SUMIFS(WestIndiesGeneral!$L:$L, WestIndiesGeneral!$B:$B, $A30, WestIndiesGeneral!$D:$D, "London")</f>
        <v>28.02767857142857</v>
      </c>
      <c r="D30">
        <f t="shared" si="0"/>
        <v>28.488392857142856</v>
      </c>
    </row>
    <row r="31" spans="1:4" x14ac:dyDescent="0.25">
      <c r="A31" t="s">
        <v>65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 + SUMIFS(WestIndiesGeneral!$L:$L, WestIndiesGeneral!$B:$B, $A31, WestIndiesGeneral!$D:$D, "London")</f>
        <v>0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 + SUMIFS(WestIndiesGeneral!$L:$L, WestIndiesGeneral!$B:$B, $A31, WestIndiesGeneral!$D:$D, "London")</f>
        <v>0</v>
      </c>
      <c r="D31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88"/>
  <sheetViews>
    <sheetView workbookViewId="0">
      <selection activeCell="A2" sqref="A2"/>
    </sheetView>
  </sheetViews>
  <sheetFormatPr defaultRowHeight="15" x14ac:dyDescent="0.25"/>
  <cols>
    <col min="2" max="2" width="18.85546875" customWidth="1"/>
    <col min="3" max="3" width="17.140625" customWidth="1"/>
    <col min="4" max="4" width="14.71093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B2" t="s">
        <v>55</v>
      </c>
      <c r="C2" t="s">
        <v>75</v>
      </c>
      <c r="D2" t="s">
        <v>33</v>
      </c>
    </row>
    <row r="3" spans="1:12" x14ac:dyDescent="0.25">
      <c r="B3" t="s">
        <v>57</v>
      </c>
      <c r="C3" t="s">
        <v>75</v>
      </c>
      <c r="D3" t="s">
        <v>33</v>
      </c>
    </row>
    <row r="4" spans="1:12" x14ac:dyDescent="0.25">
      <c r="B4" t="s">
        <v>36</v>
      </c>
      <c r="C4" t="s">
        <v>75</v>
      </c>
      <c r="D4" t="s">
        <v>33</v>
      </c>
    </row>
    <row r="5" spans="1:12" x14ac:dyDescent="0.25">
      <c r="B5" t="s">
        <v>4</v>
      </c>
      <c r="C5" t="s">
        <v>75</v>
      </c>
      <c r="D5" t="s">
        <v>33</v>
      </c>
    </row>
    <row r="6" spans="1:12" x14ac:dyDescent="0.25">
      <c r="B6" t="s">
        <v>58</v>
      </c>
      <c r="C6" t="s">
        <v>75</v>
      </c>
      <c r="D6" t="s">
        <v>33</v>
      </c>
    </row>
    <row r="7" spans="1:12" x14ac:dyDescent="0.25">
      <c r="B7" t="s">
        <v>69</v>
      </c>
      <c r="C7" t="s">
        <v>75</v>
      </c>
      <c r="D7" t="s">
        <v>33</v>
      </c>
    </row>
    <row r="8" spans="1:12" x14ac:dyDescent="0.25">
      <c r="B8" t="s">
        <v>43</v>
      </c>
      <c r="C8" t="s">
        <v>75</v>
      </c>
      <c r="D8" t="s">
        <v>33</v>
      </c>
    </row>
    <row r="9" spans="1:12" x14ac:dyDescent="0.25">
      <c r="B9" t="s">
        <v>76</v>
      </c>
      <c r="C9" t="s">
        <v>75</v>
      </c>
      <c r="D9" t="s">
        <v>33</v>
      </c>
    </row>
    <row r="10" spans="1:12" x14ac:dyDescent="0.25">
      <c r="B10" t="s">
        <v>5</v>
      </c>
      <c r="C10" t="s">
        <v>75</v>
      </c>
      <c r="D10" t="s">
        <v>33</v>
      </c>
    </row>
    <row r="11" spans="1:12" x14ac:dyDescent="0.25">
      <c r="B11" t="s">
        <v>59</v>
      </c>
      <c r="C11" t="s">
        <v>75</v>
      </c>
      <c r="D11" t="s">
        <v>33</v>
      </c>
    </row>
    <row r="12" spans="1:12" x14ac:dyDescent="0.25">
      <c r="B12" t="s">
        <v>6</v>
      </c>
      <c r="C12" t="s">
        <v>75</v>
      </c>
      <c r="D12" t="s">
        <v>33</v>
      </c>
    </row>
    <row r="13" spans="1:12" x14ac:dyDescent="0.25">
      <c r="B13" t="s">
        <v>60</v>
      </c>
      <c r="C13" t="s">
        <v>75</v>
      </c>
      <c r="D13" t="s">
        <v>33</v>
      </c>
    </row>
    <row r="14" spans="1:12" x14ac:dyDescent="0.25">
      <c r="B14" t="s">
        <v>38</v>
      </c>
      <c r="C14" t="s">
        <v>75</v>
      </c>
      <c r="D14" t="s">
        <v>33</v>
      </c>
    </row>
    <row r="15" spans="1:12" x14ac:dyDescent="0.25">
      <c r="B15" t="s">
        <v>37</v>
      </c>
      <c r="C15" t="s">
        <v>75</v>
      </c>
      <c r="D15" t="s">
        <v>33</v>
      </c>
    </row>
    <row r="16" spans="1:12" x14ac:dyDescent="0.25">
      <c r="B16" t="s">
        <v>8</v>
      </c>
      <c r="C16" t="s">
        <v>75</v>
      </c>
      <c r="D16" t="s">
        <v>33</v>
      </c>
    </row>
    <row r="17" spans="2:4" x14ac:dyDescent="0.25">
      <c r="B17" t="s">
        <v>40</v>
      </c>
      <c r="C17" t="s">
        <v>75</v>
      </c>
      <c r="D17" t="s">
        <v>33</v>
      </c>
    </row>
    <row r="18" spans="2:4" x14ac:dyDescent="0.25">
      <c r="B18" t="s">
        <v>77</v>
      </c>
      <c r="C18" t="s">
        <v>75</v>
      </c>
      <c r="D18" t="s">
        <v>33</v>
      </c>
    </row>
    <row r="19" spans="2:4" x14ac:dyDescent="0.25">
      <c r="B19" t="s">
        <v>78</v>
      </c>
      <c r="C19" t="s">
        <v>75</v>
      </c>
      <c r="D19" t="s">
        <v>33</v>
      </c>
    </row>
    <row r="20" spans="2:4" x14ac:dyDescent="0.25">
      <c r="B20" t="s">
        <v>46</v>
      </c>
      <c r="C20" t="s">
        <v>75</v>
      </c>
      <c r="D20" t="s">
        <v>33</v>
      </c>
    </row>
    <row r="21" spans="2:4" x14ac:dyDescent="0.25">
      <c r="B21" t="s">
        <v>9</v>
      </c>
      <c r="C21" t="s">
        <v>75</v>
      </c>
      <c r="D21" t="s">
        <v>33</v>
      </c>
    </row>
    <row r="22" spans="2:4" x14ac:dyDescent="0.25">
      <c r="B22" t="s">
        <v>10</v>
      </c>
      <c r="C22" t="s">
        <v>75</v>
      </c>
      <c r="D22" t="s">
        <v>33</v>
      </c>
    </row>
    <row r="23" spans="2:4" x14ac:dyDescent="0.25">
      <c r="B23" t="s">
        <v>11</v>
      </c>
      <c r="C23" t="s">
        <v>75</v>
      </c>
      <c r="D23" t="s">
        <v>33</v>
      </c>
    </row>
    <row r="24" spans="2:4" x14ac:dyDescent="0.25">
      <c r="B24" t="s">
        <v>39</v>
      </c>
      <c r="C24" t="s">
        <v>75</v>
      </c>
      <c r="D24" t="s">
        <v>33</v>
      </c>
    </row>
    <row r="25" spans="2:4" x14ac:dyDescent="0.25">
      <c r="B25" t="s">
        <v>79</v>
      </c>
      <c r="C25" t="s">
        <v>75</v>
      </c>
      <c r="D25" t="s">
        <v>33</v>
      </c>
    </row>
    <row r="26" spans="2:4" x14ac:dyDescent="0.25">
      <c r="B26" t="s">
        <v>103</v>
      </c>
      <c r="C26" t="s">
        <v>75</v>
      </c>
      <c r="D26" t="s">
        <v>33</v>
      </c>
    </row>
    <row r="27" spans="2:4" x14ac:dyDescent="0.25">
      <c r="B27" t="s">
        <v>44</v>
      </c>
      <c r="C27" t="s">
        <v>75</v>
      </c>
      <c r="D27" t="s">
        <v>33</v>
      </c>
    </row>
    <row r="28" spans="2:4" x14ac:dyDescent="0.25">
      <c r="B28" t="s">
        <v>80</v>
      </c>
      <c r="C28" t="s">
        <v>75</v>
      </c>
      <c r="D28" t="s">
        <v>33</v>
      </c>
    </row>
    <row r="29" spans="2:4" x14ac:dyDescent="0.25">
      <c r="B29" t="s">
        <v>81</v>
      </c>
      <c r="C29" t="s">
        <v>75</v>
      </c>
      <c r="D29" t="s">
        <v>33</v>
      </c>
    </row>
    <row r="30" spans="2:4" x14ac:dyDescent="0.25">
      <c r="B30" t="s">
        <v>82</v>
      </c>
      <c r="C30" t="s">
        <v>75</v>
      </c>
      <c r="D30" t="s">
        <v>33</v>
      </c>
    </row>
    <row r="31" spans="2:4" x14ac:dyDescent="0.25">
      <c r="B31" t="s">
        <v>34</v>
      </c>
      <c r="C31" t="s">
        <v>75</v>
      </c>
      <c r="D31" t="s">
        <v>33</v>
      </c>
    </row>
    <row r="32" spans="2:4" x14ac:dyDescent="0.25">
      <c r="B32" t="s">
        <v>13</v>
      </c>
      <c r="C32" t="s">
        <v>75</v>
      </c>
      <c r="D32" t="s">
        <v>33</v>
      </c>
    </row>
    <row r="33" spans="2:4" x14ac:dyDescent="0.25">
      <c r="B33" t="s">
        <v>14</v>
      </c>
      <c r="C33" t="s">
        <v>75</v>
      </c>
      <c r="D33" t="s">
        <v>33</v>
      </c>
    </row>
    <row r="34" spans="2:4" x14ac:dyDescent="0.25">
      <c r="B34" t="s">
        <v>23</v>
      </c>
      <c r="C34" t="s">
        <v>75</v>
      </c>
      <c r="D34" t="s">
        <v>33</v>
      </c>
    </row>
    <row r="35" spans="2:4" x14ac:dyDescent="0.25">
      <c r="B35" t="s">
        <v>27</v>
      </c>
      <c r="C35" t="s">
        <v>75</v>
      </c>
      <c r="D35" t="s">
        <v>33</v>
      </c>
    </row>
    <row r="36" spans="2:4" x14ac:dyDescent="0.25">
      <c r="B36" t="s">
        <v>15</v>
      </c>
      <c r="C36" t="s">
        <v>75</v>
      </c>
      <c r="D36" t="s">
        <v>33</v>
      </c>
    </row>
    <row r="37" spans="2:4" x14ac:dyDescent="0.25">
      <c r="B37" t="s">
        <v>42</v>
      </c>
      <c r="C37" t="s">
        <v>75</v>
      </c>
      <c r="D37" t="s">
        <v>33</v>
      </c>
    </row>
    <row r="38" spans="2:4" x14ac:dyDescent="0.25">
      <c r="B38" t="s">
        <v>83</v>
      </c>
      <c r="C38" t="s">
        <v>75</v>
      </c>
      <c r="D38" t="s">
        <v>33</v>
      </c>
    </row>
    <row r="39" spans="2:4" x14ac:dyDescent="0.25">
      <c r="B39" t="s">
        <v>47</v>
      </c>
      <c r="C39" t="s">
        <v>75</v>
      </c>
      <c r="D39" t="s">
        <v>33</v>
      </c>
    </row>
    <row r="40" spans="2:4" x14ac:dyDescent="0.25">
      <c r="B40" t="s">
        <v>16</v>
      </c>
      <c r="C40" t="s">
        <v>75</v>
      </c>
      <c r="D40" t="s">
        <v>33</v>
      </c>
    </row>
    <row r="41" spans="2:4" x14ac:dyDescent="0.25">
      <c r="B41" t="s">
        <v>17</v>
      </c>
      <c r="C41" t="s">
        <v>75</v>
      </c>
      <c r="D41" t="s">
        <v>33</v>
      </c>
    </row>
    <row r="42" spans="2:4" x14ac:dyDescent="0.25">
      <c r="B42" t="s">
        <v>18</v>
      </c>
      <c r="C42" t="s">
        <v>75</v>
      </c>
      <c r="D42" t="s">
        <v>33</v>
      </c>
    </row>
    <row r="43" spans="2:4" x14ac:dyDescent="0.25">
      <c r="B43" t="s">
        <v>26</v>
      </c>
      <c r="C43" t="s">
        <v>75</v>
      </c>
      <c r="D43" t="s">
        <v>33</v>
      </c>
    </row>
    <row r="44" spans="2:4" x14ac:dyDescent="0.25">
      <c r="B44" t="s">
        <v>84</v>
      </c>
      <c r="C44" t="s">
        <v>75</v>
      </c>
      <c r="D44" t="s">
        <v>33</v>
      </c>
    </row>
    <row r="45" spans="2:4" x14ac:dyDescent="0.25">
      <c r="B45" t="s">
        <v>19</v>
      </c>
      <c r="C45" t="s">
        <v>75</v>
      </c>
      <c r="D45" t="s">
        <v>33</v>
      </c>
    </row>
    <row r="46" spans="2:4" x14ac:dyDescent="0.25">
      <c r="B46" t="s">
        <v>45</v>
      </c>
      <c r="C46" t="s">
        <v>75</v>
      </c>
      <c r="D46" t="s">
        <v>33</v>
      </c>
    </row>
    <row r="47" spans="2:4" x14ac:dyDescent="0.25">
      <c r="B47" t="s">
        <v>85</v>
      </c>
      <c r="C47" t="s">
        <v>75</v>
      </c>
      <c r="D47" t="s">
        <v>33</v>
      </c>
    </row>
    <row r="48" spans="2:4" x14ac:dyDescent="0.25">
      <c r="B48" t="s">
        <v>54</v>
      </c>
      <c r="C48" t="s">
        <v>75</v>
      </c>
      <c r="D48" t="s">
        <v>33</v>
      </c>
    </row>
    <row r="49" spans="2:4" x14ac:dyDescent="0.25">
      <c r="B49" t="s">
        <v>86</v>
      </c>
      <c r="C49" t="s">
        <v>75</v>
      </c>
      <c r="D49" t="s">
        <v>33</v>
      </c>
    </row>
    <row r="50" spans="2:4" x14ac:dyDescent="0.25">
      <c r="B50" t="s">
        <v>20</v>
      </c>
      <c r="C50" t="s">
        <v>75</v>
      </c>
      <c r="D50" t="s">
        <v>33</v>
      </c>
    </row>
    <row r="51" spans="2:4" x14ac:dyDescent="0.25">
      <c r="B51" t="s">
        <v>21</v>
      </c>
      <c r="C51" t="s">
        <v>75</v>
      </c>
      <c r="D51" t="s">
        <v>33</v>
      </c>
    </row>
    <row r="52" spans="2:4" x14ac:dyDescent="0.25">
      <c r="B52" t="s">
        <v>22</v>
      </c>
      <c r="C52" t="s">
        <v>75</v>
      </c>
      <c r="D52" t="s">
        <v>33</v>
      </c>
    </row>
    <row r="53" spans="2:4" x14ac:dyDescent="0.25">
      <c r="B53" t="s">
        <v>61</v>
      </c>
      <c r="C53" t="s">
        <v>75</v>
      </c>
      <c r="D53" t="s">
        <v>33</v>
      </c>
    </row>
    <row r="54" spans="2:4" x14ac:dyDescent="0.25">
      <c r="B54" t="s">
        <v>87</v>
      </c>
      <c r="C54" t="s">
        <v>75</v>
      </c>
      <c r="D54" t="s">
        <v>33</v>
      </c>
    </row>
    <row r="55" spans="2:4" x14ac:dyDescent="0.25">
      <c r="B55" t="s">
        <v>62</v>
      </c>
      <c r="C55" t="s">
        <v>75</v>
      </c>
      <c r="D55" t="s">
        <v>33</v>
      </c>
    </row>
    <row r="56" spans="2:4" x14ac:dyDescent="0.25">
      <c r="B56" t="s">
        <v>88</v>
      </c>
      <c r="C56" t="s">
        <v>75</v>
      </c>
      <c r="D56" t="s">
        <v>33</v>
      </c>
    </row>
    <row r="57" spans="2:4" x14ac:dyDescent="0.25">
      <c r="B57" t="s">
        <v>63</v>
      </c>
      <c r="C57" t="s">
        <v>75</v>
      </c>
      <c r="D57" t="s">
        <v>33</v>
      </c>
    </row>
    <row r="58" spans="2:4" x14ac:dyDescent="0.25">
      <c r="B58" t="s">
        <v>89</v>
      </c>
      <c r="C58" t="s">
        <v>75</v>
      </c>
      <c r="D58" t="s">
        <v>33</v>
      </c>
    </row>
    <row r="59" spans="2:4" x14ac:dyDescent="0.25">
      <c r="B59" t="s">
        <v>70</v>
      </c>
      <c r="C59" t="s">
        <v>75</v>
      </c>
      <c r="D59" t="s">
        <v>33</v>
      </c>
    </row>
    <row r="60" spans="2:4" x14ac:dyDescent="0.25">
      <c r="B60" t="s">
        <v>64</v>
      </c>
      <c r="C60" t="s">
        <v>75</v>
      </c>
      <c r="D60" t="s">
        <v>33</v>
      </c>
    </row>
    <row r="61" spans="2:4" x14ac:dyDescent="0.25">
      <c r="B61" t="s">
        <v>65</v>
      </c>
      <c r="C61" t="s">
        <v>75</v>
      </c>
      <c r="D61" t="s">
        <v>33</v>
      </c>
    </row>
    <row r="62" spans="2:4" x14ac:dyDescent="0.25">
      <c r="B62" t="s">
        <v>4</v>
      </c>
      <c r="C62" t="s">
        <v>75</v>
      </c>
      <c r="D62" t="s">
        <v>35</v>
      </c>
    </row>
    <row r="63" spans="2:4" x14ac:dyDescent="0.25">
      <c r="B63" t="s">
        <v>6</v>
      </c>
      <c r="C63" t="s">
        <v>75</v>
      </c>
      <c r="D63" t="s">
        <v>35</v>
      </c>
    </row>
    <row r="64" spans="2:4" x14ac:dyDescent="0.25">
      <c r="B64" t="s">
        <v>60</v>
      </c>
      <c r="C64" t="s">
        <v>75</v>
      </c>
      <c r="D64" t="s">
        <v>35</v>
      </c>
    </row>
    <row r="65" spans="2:4" x14ac:dyDescent="0.25">
      <c r="B65" t="s">
        <v>7</v>
      </c>
      <c r="C65" t="s">
        <v>75</v>
      </c>
      <c r="D65" t="s">
        <v>35</v>
      </c>
    </row>
    <row r="66" spans="2:4" x14ac:dyDescent="0.25">
      <c r="B66" t="s">
        <v>8</v>
      </c>
      <c r="C66" t="s">
        <v>75</v>
      </c>
      <c r="D66" t="s">
        <v>35</v>
      </c>
    </row>
    <row r="67" spans="2:4" x14ac:dyDescent="0.25">
      <c r="B67" t="s">
        <v>9</v>
      </c>
      <c r="C67" t="s">
        <v>75</v>
      </c>
      <c r="D67" t="s">
        <v>35</v>
      </c>
    </row>
    <row r="68" spans="2:4" x14ac:dyDescent="0.25">
      <c r="B68" t="s">
        <v>10</v>
      </c>
      <c r="C68" t="s">
        <v>75</v>
      </c>
      <c r="D68" t="s">
        <v>35</v>
      </c>
    </row>
    <row r="69" spans="2:4" x14ac:dyDescent="0.25">
      <c r="B69" t="s">
        <v>11</v>
      </c>
      <c r="C69" t="s">
        <v>75</v>
      </c>
      <c r="D69" t="s">
        <v>35</v>
      </c>
    </row>
    <row r="70" spans="2:4" x14ac:dyDescent="0.25">
      <c r="B70" t="s">
        <v>12</v>
      </c>
      <c r="C70" t="s">
        <v>75</v>
      </c>
      <c r="D70" t="s">
        <v>35</v>
      </c>
    </row>
    <row r="71" spans="2:4" x14ac:dyDescent="0.25">
      <c r="B71" t="s">
        <v>13</v>
      </c>
      <c r="C71" t="s">
        <v>75</v>
      </c>
      <c r="D71" t="s">
        <v>35</v>
      </c>
    </row>
    <row r="72" spans="2:4" x14ac:dyDescent="0.25">
      <c r="B72" t="s">
        <v>14</v>
      </c>
      <c r="C72" t="s">
        <v>75</v>
      </c>
      <c r="D72" t="s">
        <v>35</v>
      </c>
    </row>
    <row r="73" spans="2:4" x14ac:dyDescent="0.25">
      <c r="B73" t="s">
        <v>27</v>
      </c>
      <c r="C73" t="s">
        <v>75</v>
      </c>
      <c r="D73" t="s">
        <v>35</v>
      </c>
    </row>
    <row r="74" spans="2:4" x14ac:dyDescent="0.25">
      <c r="B74" t="s">
        <v>15</v>
      </c>
      <c r="C74" t="s">
        <v>75</v>
      </c>
      <c r="D74" t="s">
        <v>35</v>
      </c>
    </row>
    <row r="75" spans="2:4" x14ac:dyDescent="0.25">
      <c r="B75" t="s">
        <v>16</v>
      </c>
      <c r="C75" t="s">
        <v>75</v>
      </c>
      <c r="D75" t="s">
        <v>35</v>
      </c>
    </row>
    <row r="76" spans="2:4" x14ac:dyDescent="0.25">
      <c r="B76" t="s">
        <v>17</v>
      </c>
      <c r="C76" t="s">
        <v>75</v>
      </c>
      <c r="D76" t="s">
        <v>35</v>
      </c>
    </row>
    <row r="77" spans="2:4" x14ac:dyDescent="0.25">
      <c r="B77" t="s">
        <v>18</v>
      </c>
      <c r="C77" t="s">
        <v>75</v>
      </c>
      <c r="D77" t="s">
        <v>35</v>
      </c>
    </row>
    <row r="78" spans="2:4" x14ac:dyDescent="0.25">
      <c r="B78" t="s">
        <v>19</v>
      </c>
      <c r="C78" t="s">
        <v>75</v>
      </c>
      <c r="D78" t="s">
        <v>35</v>
      </c>
    </row>
    <row r="79" spans="2:4" x14ac:dyDescent="0.25">
      <c r="B79" t="s">
        <v>45</v>
      </c>
      <c r="C79" t="s">
        <v>75</v>
      </c>
      <c r="D79" t="s">
        <v>35</v>
      </c>
    </row>
    <row r="80" spans="2:4" x14ac:dyDescent="0.25">
      <c r="B80" t="s">
        <v>54</v>
      </c>
      <c r="C80" t="s">
        <v>75</v>
      </c>
      <c r="D80" t="s">
        <v>35</v>
      </c>
    </row>
    <row r="81" spans="2:4" x14ac:dyDescent="0.25">
      <c r="B81" t="s">
        <v>71</v>
      </c>
      <c r="C81" t="s">
        <v>75</v>
      </c>
      <c r="D81" t="s">
        <v>35</v>
      </c>
    </row>
    <row r="82" spans="2:4" x14ac:dyDescent="0.25">
      <c r="B82" t="s">
        <v>21</v>
      </c>
      <c r="C82" t="s">
        <v>75</v>
      </c>
      <c r="D82" t="s">
        <v>35</v>
      </c>
    </row>
    <row r="83" spans="2:4" x14ac:dyDescent="0.25">
      <c r="B83" t="s">
        <v>22</v>
      </c>
      <c r="C83" t="s">
        <v>75</v>
      </c>
      <c r="D83" t="s">
        <v>35</v>
      </c>
    </row>
    <row r="84" spans="2:4" x14ac:dyDescent="0.25">
      <c r="B84" t="s">
        <v>61</v>
      </c>
      <c r="C84" t="s">
        <v>75</v>
      </c>
      <c r="D84" t="s">
        <v>35</v>
      </c>
    </row>
    <row r="85" spans="2:4" x14ac:dyDescent="0.25">
      <c r="B85" t="s">
        <v>62</v>
      </c>
      <c r="C85" t="s">
        <v>75</v>
      </c>
      <c r="D85" t="s">
        <v>35</v>
      </c>
    </row>
    <row r="86" spans="2:4" x14ac:dyDescent="0.25">
      <c r="B86" t="s">
        <v>63</v>
      </c>
      <c r="C86" t="s">
        <v>75</v>
      </c>
      <c r="D86" t="s">
        <v>35</v>
      </c>
    </row>
    <row r="87" spans="2:4" x14ac:dyDescent="0.25">
      <c r="B87" t="s">
        <v>70</v>
      </c>
      <c r="C87" t="s">
        <v>75</v>
      </c>
      <c r="D87" t="s">
        <v>35</v>
      </c>
    </row>
    <row r="88" spans="2:4" x14ac:dyDescent="0.25">
      <c r="B88" t="s">
        <v>64</v>
      </c>
      <c r="C88" t="s">
        <v>75</v>
      </c>
      <c r="D8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130"/>
  <sheetViews>
    <sheetView topLeftCell="A23" workbookViewId="0">
      <selection activeCell="H24" sqref="H24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1728</v>
      </c>
      <c r="B2" t="s">
        <v>55</v>
      </c>
      <c r="C2" t="s">
        <v>53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1728</v>
      </c>
      <c r="B3" t="s">
        <v>57</v>
      </c>
      <c r="C3" t="s">
        <v>53</v>
      </c>
      <c r="D3" t="s">
        <v>33</v>
      </c>
      <c r="J3">
        <f t="shared" ref="J3:J69" si="0">(E3*2240)+(F3*112)+(G3*28)+H3</f>
        <v>0</v>
      </c>
      <c r="L3">
        <f t="shared" ref="L3:L69" si="1">J3/2240</f>
        <v>0</v>
      </c>
    </row>
    <row r="4" spans="1:15" x14ac:dyDescent="0.25">
      <c r="A4">
        <v>1728</v>
      </c>
      <c r="B4" t="s">
        <v>36</v>
      </c>
      <c r="C4" t="s">
        <v>53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1728</v>
      </c>
      <c r="B5" t="s">
        <v>4</v>
      </c>
      <c r="C5" t="s">
        <v>53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1728</v>
      </c>
      <c r="B6" t="s">
        <v>58</v>
      </c>
      <c r="C6" t="s">
        <v>53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1728</v>
      </c>
      <c r="B7" t="s">
        <v>69</v>
      </c>
      <c r="C7" t="s">
        <v>53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1728</v>
      </c>
      <c r="B8" t="s">
        <v>101</v>
      </c>
      <c r="C8" t="s">
        <v>53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1728</v>
      </c>
      <c r="B9" t="s">
        <v>43</v>
      </c>
      <c r="C9" t="s">
        <v>53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1728</v>
      </c>
      <c r="B10" t="s">
        <v>76</v>
      </c>
      <c r="C10" t="s">
        <v>53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1728</v>
      </c>
      <c r="B11" t="s">
        <v>5</v>
      </c>
      <c r="C11" t="s">
        <v>53</v>
      </c>
      <c r="D11" t="s">
        <v>33</v>
      </c>
      <c r="F11">
        <v>39</v>
      </c>
      <c r="G11">
        <v>3</v>
      </c>
      <c r="H11">
        <v>17</v>
      </c>
      <c r="J11">
        <f t="shared" si="0"/>
        <v>4469</v>
      </c>
      <c r="L11">
        <f t="shared" si="1"/>
        <v>1.9950892857142857</v>
      </c>
    </row>
    <row r="12" spans="1:15" x14ac:dyDescent="0.25">
      <c r="A12">
        <v>1728</v>
      </c>
      <c r="B12" t="s">
        <v>59</v>
      </c>
      <c r="C12" t="s">
        <v>53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1728</v>
      </c>
      <c r="B13" t="s">
        <v>6</v>
      </c>
      <c r="C13" t="s">
        <v>53</v>
      </c>
      <c r="D13" t="s">
        <v>33</v>
      </c>
      <c r="F13">
        <v>162621</v>
      </c>
      <c r="G13">
        <v>2</v>
      </c>
      <c r="H13">
        <v>15</v>
      </c>
      <c r="J13">
        <f t="shared" si="0"/>
        <v>18213623</v>
      </c>
      <c r="L13">
        <f t="shared" si="1"/>
        <v>8131.0816964285714</v>
      </c>
    </row>
    <row r="14" spans="1:15" x14ac:dyDescent="0.25">
      <c r="A14">
        <v>1728</v>
      </c>
      <c r="B14" t="s">
        <v>96</v>
      </c>
      <c r="C14" t="s">
        <v>53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1728</v>
      </c>
      <c r="B15" t="s">
        <v>60</v>
      </c>
      <c r="C15" t="s">
        <v>53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1728</v>
      </c>
      <c r="B16" t="s">
        <v>7</v>
      </c>
      <c r="C16" t="s">
        <v>53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1728</v>
      </c>
      <c r="B17" t="s">
        <v>37</v>
      </c>
      <c r="C17" t="s">
        <v>53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1728</v>
      </c>
      <c r="B18" t="s">
        <v>8</v>
      </c>
      <c r="C18" t="s">
        <v>53</v>
      </c>
      <c r="D18" t="s">
        <v>33</v>
      </c>
      <c r="F18">
        <v>55</v>
      </c>
      <c r="G18">
        <v>2</v>
      </c>
      <c r="H18">
        <v>7</v>
      </c>
      <c r="J18">
        <f t="shared" si="0"/>
        <v>6223</v>
      </c>
      <c r="L18">
        <f t="shared" si="1"/>
        <v>2.7781250000000002</v>
      </c>
    </row>
    <row r="19" spans="1:12" x14ac:dyDescent="0.25">
      <c r="A19">
        <v>1728</v>
      </c>
      <c r="B19" t="s">
        <v>40</v>
      </c>
      <c r="C19" t="s">
        <v>53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1728</v>
      </c>
      <c r="B20" t="s">
        <v>77</v>
      </c>
      <c r="C20" t="s">
        <v>53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1728</v>
      </c>
      <c r="B21" t="s">
        <v>78</v>
      </c>
      <c r="C21" t="s">
        <v>53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1728</v>
      </c>
      <c r="B22" t="s">
        <v>46</v>
      </c>
      <c r="C22" t="s">
        <v>53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1728</v>
      </c>
      <c r="B23" t="s">
        <v>9</v>
      </c>
      <c r="C23" t="s">
        <v>53</v>
      </c>
      <c r="D23" t="s">
        <v>33</v>
      </c>
      <c r="H23">
        <f>508*200</f>
        <v>101600</v>
      </c>
      <c r="I23" t="s">
        <v>114</v>
      </c>
      <c r="J23">
        <f t="shared" si="0"/>
        <v>101600</v>
      </c>
      <c r="L23">
        <f t="shared" si="1"/>
        <v>45.357142857142854</v>
      </c>
    </row>
    <row r="24" spans="1:12" x14ac:dyDescent="0.25">
      <c r="A24">
        <v>1728</v>
      </c>
      <c r="B24" t="s">
        <v>10</v>
      </c>
      <c r="C24" t="s">
        <v>53</v>
      </c>
      <c r="D24" t="s">
        <v>33</v>
      </c>
      <c r="F24">
        <v>233</v>
      </c>
      <c r="G24">
        <v>1</v>
      </c>
      <c r="H24">
        <v>16</v>
      </c>
      <c r="J24">
        <f t="shared" si="0"/>
        <v>26140</v>
      </c>
      <c r="L24">
        <f t="shared" si="1"/>
        <v>11.669642857142858</v>
      </c>
    </row>
    <row r="25" spans="1:12" x14ac:dyDescent="0.25">
      <c r="A25">
        <v>1728</v>
      </c>
      <c r="B25" t="s">
        <v>11</v>
      </c>
      <c r="C25" t="s">
        <v>53</v>
      </c>
      <c r="D25" t="s">
        <v>33</v>
      </c>
      <c r="F25">
        <v>145</v>
      </c>
      <c r="G25">
        <v>1</v>
      </c>
      <c r="H25">
        <v>3</v>
      </c>
      <c r="J25">
        <f t="shared" si="0"/>
        <v>16271</v>
      </c>
      <c r="L25">
        <f t="shared" si="1"/>
        <v>7.2638392857142859</v>
      </c>
    </row>
    <row r="26" spans="1:12" x14ac:dyDescent="0.25">
      <c r="A26">
        <v>1728</v>
      </c>
      <c r="B26" t="s">
        <v>39</v>
      </c>
      <c r="C26" t="s">
        <v>53</v>
      </c>
      <c r="D26" t="s">
        <v>33</v>
      </c>
      <c r="H26">
        <v>29</v>
      </c>
      <c r="J26">
        <f t="shared" si="0"/>
        <v>29</v>
      </c>
      <c r="L26">
        <f t="shared" si="1"/>
        <v>1.2946428571428572E-2</v>
      </c>
    </row>
    <row r="27" spans="1:12" x14ac:dyDescent="0.25">
      <c r="A27">
        <v>1728</v>
      </c>
      <c r="B27" t="s">
        <v>79</v>
      </c>
      <c r="C27" t="s">
        <v>53</v>
      </c>
      <c r="D27" t="s">
        <v>33</v>
      </c>
      <c r="H27">
        <v>2668</v>
      </c>
      <c r="J27">
        <f t="shared" si="0"/>
        <v>2668</v>
      </c>
      <c r="L27">
        <f t="shared" si="1"/>
        <v>1.1910714285714286</v>
      </c>
    </row>
    <row r="28" spans="1:12" x14ac:dyDescent="0.25">
      <c r="A28">
        <v>1728</v>
      </c>
      <c r="B28" t="s">
        <v>103</v>
      </c>
      <c r="C28" t="s">
        <v>53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1728</v>
      </c>
      <c r="B29" t="s">
        <v>102</v>
      </c>
      <c r="C29" t="s">
        <v>53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1728</v>
      </c>
      <c r="B30" t="s">
        <v>44</v>
      </c>
      <c r="C30" t="s">
        <v>53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1728</v>
      </c>
      <c r="B31" t="s">
        <v>97</v>
      </c>
      <c r="C31" t="s">
        <v>53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1728</v>
      </c>
      <c r="B32" t="s">
        <v>12</v>
      </c>
      <c r="C32" t="s">
        <v>53</v>
      </c>
      <c r="D32" t="s">
        <v>33</v>
      </c>
      <c r="H32">
        <v>1440</v>
      </c>
      <c r="J32">
        <f t="shared" si="0"/>
        <v>1440</v>
      </c>
      <c r="L32">
        <f t="shared" si="1"/>
        <v>0.6428571428571429</v>
      </c>
    </row>
    <row r="33" spans="1:12" x14ac:dyDescent="0.25">
      <c r="A33">
        <v>1728</v>
      </c>
      <c r="B33" t="s">
        <v>82</v>
      </c>
      <c r="C33" t="s">
        <v>53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1728</v>
      </c>
      <c r="B34" t="s">
        <v>34</v>
      </c>
      <c r="C34" t="s">
        <v>53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1728</v>
      </c>
      <c r="B35" t="s">
        <v>13</v>
      </c>
      <c r="C35" t="s">
        <v>53</v>
      </c>
      <c r="D35" t="s">
        <v>33</v>
      </c>
      <c r="E35">
        <v>17</v>
      </c>
      <c r="F35">
        <v>15</v>
      </c>
      <c r="J35">
        <f t="shared" si="0"/>
        <v>39760</v>
      </c>
      <c r="L35">
        <f t="shared" si="1"/>
        <v>17.75</v>
      </c>
    </row>
    <row r="36" spans="1:12" x14ac:dyDescent="0.25">
      <c r="A36">
        <v>1728</v>
      </c>
      <c r="B36" t="s">
        <v>14</v>
      </c>
      <c r="C36" t="s">
        <v>53</v>
      </c>
      <c r="D36" t="s">
        <v>33</v>
      </c>
      <c r="H36">
        <v>7512</v>
      </c>
      <c r="I36" t="s">
        <v>110</v>
      </c>
      <c r="J36">
        <f t="shared" si="0"/>
        <v>7512</v>
      </c>
      <c r="L36">
        <f t="shared" si="1"/>
        <v>3.3535714285714286</v>
      </c>
    </row>
    <row r="37" spans="1:12" x14ac:dyDescent="0.25">
      <c r="A37">
        <v>1728</v>
      </c>
      <c r="B37" t="s">
        <v>23</v>
      </c>
      <c r="C37" t="s">
        <v>53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1728</v>
      </c>
      <c r="B38" t="s">
        <v>27</v>
      </c>
      <c r="C38" t="s">
        <v>53</v>
      </c>
      <c r="D38" t="s">
        <v>33</v>
      </c>
      <c r="H38">
        <v>42881</v>
      </c>
      <c r="I38" t="s">
        <v>113</v>
      </c>
      <c r="J38">
        <f t="shared" si="0"/>
        <v>42881</v>
      </c>
      <c r="L38">
        <f t="shared" si="1"/>
        <v>19.143303571428572</v>
      </c>
    </row>
    <row r="39" spans="1:12" x14ac:dyDescent="0.25">
      <c r="A39">
        <v>1728</v>
      </c>
      <c r="B39" t="s">
        <v>15</v>
      </c>
      <c r="C39" t="s">
        <v>53</v>
      </c>
      <c r="D39" t="s">
        <v>33</v>
      </c>
      <c r="F39">
        <v>17</v>
      </c>
      <c r="H39">
        <v>3</v>
      </c>
      <c r="J39">
        <f t="shared" si="0"/>
        <v>1907</v>
      </c>
      <c r="L39">
        <f t="shared" si="1"/>
        <v>0.85133928571428574</v>
      </c>
    </row>
    <row r="40" spans="1:12" x14ac:dyDescent="0.25">
      <c r="A40">
        <v>1728</v>
      </c>
      <c r="B40" t="s">
        <v>42</v>
      </c>
      <c r="C40" t="s">
        <v>53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1728</v>
      </c>
      <c r="B41" t="s">
        <v>83</v>
      </c>
      <c r="C41" t="s">
        <v>53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1728</v>
      </c>
      <c r="B42" t="s">
        <v>47</v>
      </c>
      <c r="C42" t="s">
        <v>53</v>
      </c>
      <c r="D42" t="s">
        <v>33</v>
      </c>
      <c r="H42">
        <v>394</v>
      </c>
      <c r="I42" t="s">
        <v>111</v>
      </c>
      <c r="J42">
        <f t="shared" si="0"/>
        <v>394</v>
      </c>
      <c r="L42">
        <f t="shared" si="1"/>
        <v>0.17589285714285716</v>
      </c>
    </row>
    <row r="43" spans="1:12" x14ac:dyDescent="0.25">
      <c r="A43">
        <v>1728</v>
      </c>
      <c r="B43" t="s">
        <v>16</v>
      </c>
      <c r="C43" t="s">
        <v>53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1728</v>
      </c>
      <c r="B44" t="s">
        <v>106</v>
      </c>
      <c r="C44" t="s">
        <v>53</v>
      </c>
      <c r="D44" t="s">
        <v>33</v>
      </c>
      <c r="F44">
        <v>2</v>
      </c>
      <c r="G44">
        <v>3</v>
      </c>
      <c r="J44">
        <f t="shared" si="0"/>
        <v>308</v>
      </c>
      <c r="L44">
        <f t="shared" si="1"/>
        <v>0.13750000000000001</v>
      </c>
    </row>
    <row r="45" spans="1:12" x14ac:dyDescent="0.25">
      <c r="A45">
        <v>1728</v>
      </c>
      <c r="B45" t="s">
        <v>17</v>
      </c>
      <c r="C45" t="s">
        <v>53</v>
      </c>
      <c r="D45" t="s">
        <v>33</v>
      </c>
      <c r="F45">
        <v>54</v>
      </c>
      <c r="J45">
        <f t="shared" si="0"/>
        <v>6048</v>
      </c>
      <c r="L45">
        <f t="shared" si="1"/>
        <v>2.7</v>
      </c>
    </row>
    <row r="46" spans="1:12" x14ac:dyDescent="0.25">
      <c r="A46">
        <v>1728</v>
      </c>
      <c r="B46" t="s">
        <v>18</v>
      </c>
      <c r="C46" t="s">
        <v>53</v>
      </c>
      <c r="D46" t="s">
        <v>33</v>
      </c>
      <c r="H46">
        <v>541089</v>
      </c>
      <c r="I46" t="s">
        <v>112</v>
      </c>
      <c r="J46">
        <f t="shared" si="0"/>
        <v>541089</v>
      </c>
      <c r="L46">
        <f t="shared" si="1"/>
        <v>241.55758928571427</v>
      </c>
    </row>
    <row r="47" spans="1:12" x14ac:dyDescent="0.25">
      <c r="A47">
        <v>1728</v>
      </c>
      <c r="B47" t="s">
        <v>26</v>
      </c>
      <c r="C47" t="s">
        <v>53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1728</v>
      </c>
      <c r="B48" t="s">
        <v>84</v>
      </c>
      <c r="C48" t="s">
        <v>53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1728</v>
      </c>
      <c r="B49" t="s">
        <v>19</v>
      </c>
      <c r="C49" t="s">
        <v>53</v>
      </c>
      <c r="D49" t="s">
        <v>33</v>
      </c>
      <c r="F49">
        <v>2</v>
      </c>
      <c r="H49">
        <v>21</v>
      </c>
      <c r="J49">
        <f t="shared" si="0"/>
        <v>245</v>
      </c>
      <c r="L49">
        <f t="shared" si="1"/>
        <v>0.109375</v>
      </c>
    </row>
    <row r="50" spans="1:12" x14ac:dyDescent="0.25">
      <c r="A50">
        <v>1728</v>
      </c>
      <c r="B50" t="s">
        <v>45</v>
      </c>
      <c r="C50" t="s">
        <v>53</v>
      </c>
      <c r="D50" t="s">
        <v>33</v>
      </c>
      <c r="H50">
        <v>2662</v>
      </c>
      <c r="J50">
        <f t="shared" si="0"/>
        <v>2662</v>
      </c>
      <c r="L50">
        <f t="shared" si="1"/>
        <v>1.1883928571428573</v>
      </c>
    </row>
    <row r="51" spans="1:12" x14ac:dyDescent="0.25">
      <c r="A51">
        <v>1728</v>
      </c>
      <c r="B51" t="s">
        <v>85</v>
      </c>
      <c r="C51" t="s">
        <v>53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1728</v>
      </c>
      <c r="B52" t="s">
        <v>54</v>
      </c>
      <c r="C52" t="s">
        <v>53</v>
      </c>
      <c r="D52" t="s">
        <v>33</v>
      </c>
      <c r="H52">
        <v>1246</v>
      </c>
      <c r="J52">
        <f t="shared" si="0"/>
        <v>1246</v>
      </c>
      <c r="L52">
        <f t="shared" si="1"/>
        <v>0.55625000000000002</v>
      </c>
    </row>
    <row r="53" spans="1:12" x14ac:dyDescent="0.25">
      <c r="A53">
        <v>1728</v>
      </c>
      <c r="B53" t="s">
        <v>95</v>
      </c>
      <c r="C53" t="s">
        <v>53</v>
      </c>
      <c r="D53" t="s">
        <v>33</v>
      </c>
      <c r="H53">
        <v>84</v>
      </c>
      <c r="J53">
        <f t="shared" si="0"/>
        <v>84</v>
      </c>
      <c r="L53">
        <f t="shared" si="1"/>
        <v>3.7499999999999999E-2</v>
      </c>
    </row>
    <row r="54" spans="1:12" x14ac:dyDescent="0.25">
      <c r="A54">
        <v>1728</v>
      </c>
      <c r="B54" t="s">
        <v>20</v>
      </c>
      <c r="C54" t="s">
        <v>53</v>
      </c>
      <c r="D54" t="s">
        <v>33</v>
      </c>
      <c r="H54">
        <v>94244</v>
      </c>
      <c r="J54">
        <f t="shared" si="0"/>
        <v>94244</v>
      </c>
      <c r="L54">
        <f t="shared" si="1"/>
        <v>42.073214285714286</v>
      </c>
    </row>
    <row r="55" spans="1:12" x14ac:dyDescent="0.25">
      <c r="A55">
        <v>1728</v>
      </c>
      <c r="B55" t="s">
        <v>21</v>
      </c>
      <c r="C55" t="s">
        <v>53</v>
      </c>
      <c r="D55" t="s">
        <v>33</v>
      </c>
      <c r="H55">
        <v>56.5</v>
      </c>
      <c r="J55">
        <f t="shared" si="0"/>
        <v>56.5</v>
      </c>
      <c r="L55">
        <f t="shared" si="1"/>
        <v>2.5223214285714286E-2</v>
      </c>
    </row>
    <row r="56" spans="1:12" x14ac:dyDescent="0.25">
      <c r="A56">
        <v>1728</v>
      </c>
      <c r="B56" t="s">
        <v>22</v>
      </c>
      <c r="C56" t="s">
        <v>53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1728</v>
      </c>
      <c r="B57" t="s">
        <v>61</v>
      </c>
      <c r="C57" t="s">
        <v>53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1728</v>
      </c>
      <c r="B58" t="s">
        <v>99</v>
      </c>
      <c r="C58" t="s">
        <v>53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1728</v>
      </c>
      <c r="B59" t="s">
        <v>87</v>
      </c>
      <c r="C59" t="s">
        <v>53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1728</v>
      </c>
      <c r="B60" t="s">
        <v>62</v>
      </c>
      <c r="C60" t="s">
        <v>53</v>
      </c>
      <c r="D60" t="s">
        <v>33</v>
      </c>
      <c r="E60">
        <v>58</v>
      </c>
      <c r="F60">
        <v>18</v>
      </c>
      <c r="J60">
        <f t="shared" si="0"/>
        <v>131936</v>
      </c>
      <c r="L60">
        <f t="shared" si="1"/>
        <v>58.9</v>
      </c>
    </row>
    <row r="61" spans="1:12" x14ac:dyDescent="0.25">
      <c r="A61">
        <v>1728</v>
      </c>
      <c r="B61" t="s">
        <v>88</v>
      </c>
      <c r="C61" t="s">
        <v>53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1728</v>
      </c>
      <c r="B62" t="s">
        <v>63</v>
      </c>
      <c r="C62" t="s">
        <v>53</v>
      </c>
      <c r="D62" t="s">
        <v>33</v>
      </c>
      <c r="E62">
        <v>121</v>
      </c>
      <c r="F62">
        <v>2</v>
      </c>
      <c r="G62">
        <v>2</v>
      </c>
      <c r="J62">
        <f t="shared" si="0"/>
        <v>271320</v>
      </c>
      <c r="L62">
        <f t="shared" si="1"/>
        <v>121.125</v>
      </c>
    </row>
    <row r="63" spans="1:12" x14ac:dyDescent="0.25">
      <c r="A63">
        <v>1728</v>
      </c>
      <c r="B63" t="s">
        <v>89</v>
      </c>
      <c r="C63" t="s">
        <v>53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1728</v>
      </c>
      <c r="B64" t="s">
        <v>70</v>
      </c>
      <c r="C64" t="s">
        <v>53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1728</v>
      </c>
      <c r="B65" t="s">
        <v>64</v>
      </c>
      <c r="C65" t="s">
        <v>53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1728</v>
      </c>
      <c r="B66" t="s">
        <v>65</v>
      </c>
      <c r="C66" t="s">
        <v>53</v>
      </c>
      <c r="D66" t="s">
        <v>33</v>
      </c>
      <c r="J66">
        <f t="shared" si="0"/>
        <v>0</v>
      </c>
      <c r="L66">
        <f t="shared" si="1"/>
        <v>0</v>
      </c>
    </row>
    <row r="67" spans="1:12" x14ac:dyDescent="0.25">
      <c r="A67">
        <v>1728</v>
      </c>
      <c r="B67" t="s">
        <v>55</v>
      </c>
      <c r="C67" t="s">
        <v>53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1728</v>
      </c>
      <c r="B68" t="s">
        <v>57</v>
      </c>
      <c r="C68" t="s">
        <v>53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1728</v>
      </c>
      <c r="B69" t="s">
        <v>36</v>
      </c>
      <c r="C69" t="s">
        <v>53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1728</v>
      </c>
      <c r="B70" t="s">
        <v>4</v>
      </c>
      <c r="C70" t="s">
        <v>53</v>
      </c>
      <c r="D70" t="s">
        <v>35</v>
      </c>
      <c r="J70">
        <f t="shared" ref="J70:J130" si="2">(E70*2240)+(F70*112)+(G70*28)+H70</f>
        <v>0</v>
      </c>
      <c r="L70">
        <f t="shared" ref="L70:L130" si="3">J70/2240</f>
        <v>0</v>
      </c>
    </row>
    <row r="71" spans="1:12" x14ac:dyDescent="0.25">
      <c r="A71">
        <v>1728</v>
      </c>
      <c r="B71" t="s">
        <v>58</v>
      </c>
      <c r="C71" t="s">
        <v>53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1728</v>
      </c>
      <c r="B72" t="s">
        <v>69</v>
      </c>
      <c r="C72" t="s">
        <v>53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1728</v>
      </c>
      <c r="B73" t="s">
        <v>43</v>
      </c>
      <c r="C73" t="s">
        <v>53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1728</v>
      </c>
      <c r="B74" t="s">
        <v>76</v>
      </c>
      <c r="C74" t="s">
        <v>53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1728</v>
      </c>
      <c r="B75" t="s">
        <v>5</v>
      </c>
      <c r="C75" t="s">
        <v>53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1728</v>
      </c>
      <c r="B76" t="s">
        <v>59</v>
      </c>
      <c r="C76" t="s">
        <v>53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1728</v>
      </c>
      <c r="B77" t="s">
        <v>6</v>
      </c>
      <c r="C77" t="s">
        <v>53</v>
      </c>
      <c r="D77" t="s">
        <v>35</v>
      </c>
      <c r="F77">
        <v>24638</v>
      </c>
      <c r="G77">
        <v>2</v>
      </c>
      <c r="H77">
        <v>15</v>
      </c>
      <c r="J77">
        <f t="shared" si="2"/>
        <v>2759527</v>
      </c>
      <c r="L77">
        <f t="shared" si="3"/>
        <v>1231.9316964285715</v>
      </c>
    </row>
    <row r="78" spans="1:12" x14ac:dyDescent="0.25">
      <c r="A78">
        <v>1728</v>
      </c>
      <c r="B78" t="s">
        <v>60</v>
      </c>
      <c r="C78" t="s">
        <v>53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1728</v>
      </c>
      <c r="B79" t="s">
        <v>7</v>
      </c>
      <c r="C79" t="s">
        <v>53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1728</v>
      </c>
      <c r="B80" t="s">
        <v>37</v>
      </c>
      <c r="C80" t="s">
        <v>53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1728</v>
      </c>
      <c r="B81" t="s">
        <v>8</v>
      </c>
      <c r="C81" t="s">
        <v>53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1728</v>
      </c>
      <c r="B82" t="s">
        <v>40</v>
      </c>
      <c r="C82" t="s">
        <v>53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1728</v>
      </c>
      <c r="B83" t="s">
        <v>77</v>
      </c>
      <c r="C83" t="s">
        <v>53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1728</v>
      </c>
      <c r="B84" t="s">
        <v>78</v>
      </c>
      <c r="C84" t="s">
        <v>53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1728</v>
      </c>
      <c r="B85" t="s">
        <v>46</v>
      </c>
      <c r="C85" t="s">
        <v>53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1728</v>
      </c>
      <c r="B86" t="s">
        <v>9</v>
      </c>
      <c r="C86" t="s">
        <v>53</v>
      </c>
      <c r="D86" t="s">
        <v>35</v>
      </c>
      <c r="H86">
        <v>165538</v>
      </c>
      <c r="J86">
        <f t="shared" si="2"/>
        <v>165538</v>
      </c>
      <c r="L86">
        <f t="shared" si="3"/>
        <v>73.900892857142864</v>
      </c>
    </row>
    <row r="87" spans="1:12" x14ac:dyDescent="0.25">
      <c r="A87">
        <v>1728</v>
      </c>
      <c r="B87" t="s">
        <v>10</v>
      </c>
      <c r="C87" t="s">
        <v>53</v>
      </c>
      <c r="D87" t="s">
        <v>35</v>
      </c>
      <c r="F87">
        <v>221</v>
      </c>
      <c r="G87">
        <v>2</v>
      </c>
      <c r="H87">
        <v>22</v>
      </c>
      <c r="J87">
        <f t="shared" si="2"/>
        <v>24830</v>
      </c>
      <c r="L87">
        <f t="shared" si="3"/>
        <v>11.084821428571429</v>
      </c>
    </row>
    <row r="88" spans="1:12" x14ac:dyDescent="0.25">
      <c r="A88">
        <v>1728</v>
      </c>
      <c r="B88" t="s">
        <v>11</v>
      </c>
      <c r="C88" t="s">
        <v>53</v>
      </c>
      <c r="D88" t="s">
        <v>35</v>
      </c>
      <c r="F88">
        <v>2</v>
      </c>
      <c r="G88">
        <v>2</v>
      </c>
      <c r="H88">
        <v>23</v>
      </c>
      <c r="J88">
        <f t="shared" si="2"/>
        <v>303</v>
      </c>
      <c r="L88">
        <f t="shared" si="3"/>
        <v>0.13526785714285713</v>
      </c>
    </row>
    <row r="89" spans="1:12" x14ac:dyDescent="0.25">
      <c r="A89">
        <v>1728</v>
      </c>
      <c r="B89" t="s">
        <v>39</v>
      </c>
      <c r="C89" t="s">
        <v>53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1728</v>
      </c>
      <c r="B90" t="s">
        <v>79</v>
      </c>
      <c r="C90" t="s">
        <v>53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1728</v>
      </c>
      <c r="B91" t="s">
        <v>103</v>
      </c>
      <c r="C91" t="s">
        <v>53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1728</v>
      </c>
      <c r="B92" t="s">
        <v>44</v>
      </c>
      <c r="C92" t="s">
        <v>53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1728</v>
      </c>
      <c r="B93" t="s">
        <v>97</v>
      </c>
      <c r="C93" t="s">
        <v>53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1728</v>
      </c>
      <c r="B94" t="s">
        <v>12</v>
      </c>
      <c r="C94" t="s">
        <v>53</v>
      </c>
      <c r="D94" t="s">
        <v>35</v>
      </c>
      <c r="H94">
        <v>1416</v>
      </c>
      <c r="J94">
        <f t="shared" si="2"/>
        <v>1416</v>
      </c>
      <c r="L94">
        <f t="shared" si="3"/>
        <v>0.63214285714285712</v>
      </c>
    </row>
    <row r="95" spans="1:12" x14ac:dyDescent="0.25">
      <c r="A95">
        <v>1728</v>
      </c>
      <c r="B95" t="s">
        <v>82</v>
      </c>
      <c r="C95" t="s">
        <v>53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1728</v>
      </c>
      <c r="B96" t="s">
        <v>34</v>
      </c>
      <c r="C96" t="s">
        <v>53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1728</v>
      </c>
      <c r="B97" t="s">
        <v>13</v>
      </c>
      <c r="C97" t="s">
        <v>53</v>
      </c>
      <c r="D97" t="s">
        <v>35</v>
      </c>
      <c r="E97">
        <v>11</v>
      </c>
      <c r="F97">
        <v>15</v>
      </c>
      <c r="G97">
        <v>1</v>
      </c>
      <c r="H97">
        <v>9</v>
      </c>
      <c r="J97">
        <f t="shared" si="2"/>
        <v>26357</v>
      </c>
      <c r="L97">
        <f t="shared" si="3"/>
        <v>11.766517857142857</v>
      </c>
    </row>
    <row r="98" spans="1:12" x14ac:dyDescent="0.25">
      <c r="A98">
        <v>1728</v>
      </c>
      <c r="B98" t="s">
        <v>14</v>
      </c>
      <c r="C98" t="s">
        <v>53</v>
      </c>
      <c r="D98" t="s">
        <v>35</v>
      </c>
      <c r="H98">
        <v>400</v>
      </c>
      <c r="I98" t="s">
        <v>146</v>
      </c>
      <c r="J98">
        <f t="shared" si="2"/>
        <v>400</v>
      </c>
      <c r="L98">
        <f t="shared" si="3"/>
        <v>0.17857142857142858</v>
      </c>
    </row>
    <row r="99" spans="1:12" x14ac:dyDescent="0.25">
      <c r="A99">
        <v>1728</v>
      </c>
      <c r="B99" t="s">
        <v>23</v>
      </c>
      <c r="C99" t="s">
        <v>53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1728</v>
      </c>
      <c r="B100" t="s">
        <v>27</v>
      </c>
      <c r="C100" t="s">
        <v>53</v>
      </c>
      <c r="D100" t="s">
        <v>35</v>
      </c>
      <c r="H100">
        <v>24396.5</v>
      </c>
      <c r="I100" t="s">
        <v>149</v>
      </c>
      <c r="J100">
        <f t="shared" si="2"/>
        <v>24396.5</v>
      </c>
      <c r="L100">
        <f t="shared" si="3"/>
        <v>10.891294642857142</v>
      </c>
    </row>
    <row r="101" spans="1:12" x14ac:dyDescent="0.25">
      <c r="A101">
        <v>1728</v>
      </c>
      <c r="B101" t="s">
        <v>15</v>
      </c>
      <c r="C101" t="s">
        <v>53</v>
      </c>
      <c r="D101" t="s">
        <v>35</v>
      </c>
      <c r="F101">
        <v>343</v>
      </c>
      <c r="G101">
        <v>3</v>
      </c>
      <c r="H101">
        <v>4</v>
      </c>
      <c r="J101">
        <f t="shared" si="2"/>
        <v>38504</v>
      </c>
      <c r="L101">
        <f t="shared" si="3"/>
        <v>17.189285714285713</v>
      </c>
    </row>
    <row r="102" spans="1:12" x14ac:dyDescent="0.25">
      <c r="A102">
        <v>1728</v>
      </c>
      <c r="B102" t="s">
        <v>93</v>
      </c>
      <c r="C102" t="s">
        <v>53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1728</v>
      </c>
      <c r="B103" t="s">
        <v>42</v>
      </c>
      <c r="C103" t="s">
        <v>53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1728</v>
      </c>
      <c r="B104" t="s">
        <v>83</v>
      </c>
      <c r="C104" t="s">
        <v>53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1728</v>
      </c>
      <c r="B105" t="s">
        <v>47</v>
      </c>
      <c r="C105" t="s">
        <v>53</v>
      </c>
      <c r="D105" t="s">
        <v>35</v>
      </c>
      <c r="H105">
        <v>10</v>
      </c>
      <c r="I105" t="s">
        <v>147</v>
      </c>
      <c r="J105">
        <f t="shared" si="2"/>
        <v>10</v>
      </c>
      <c r="L105">
        <f t="shared" si="3"/>
        <v>4.464285714285714E-3</v>
      </c>
    </row>
    <row r="106" spans="1:12" x14ac:dyDescent="0.25">
      <c r="A106">
        <v>1728</v>
      </c>
      <c r="B106" t="s">
        <v>16</v>
      </c>
      <c r="C106" t="s">
        <v>53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1728</v>
      </c>
      <c r="B107" t="s">
        <v>17</v>
      </c>
      <c r="C107" t="s">
        <v>53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1728</v>
      </c>
      <c r="B108" t="s">
        <v>18</v>
      </c>
      <c r="C108" t="s">
        <v>53</v>
      </c>
      <c r="D108" t="s">
        <v>35</v>
      </c>
      <c r="H108">
        <v>63744</v>
      </c>
      <c r="I108" t="s">
        <v>148</v>
      </c>
      <c r="J108">
        <f t="shared" si="2"/>
        <v>63744</v>
      </c>
      <c r="L108">
        <f t="shared" si="3"/>
        <v>28.457142857142856</v>
      </c>
    </row>
    <row r="109" spans="1:12" x14ac:dyDescent="0.25">
      <c r="A109">
        <v>1728</v>
      </c>
      <c r="B109" t="s">
        <v>26</v>
      </c>
      <c r="C109" t="s">
        <v>53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1728</v>
      </c>
      <c r="B110" t="s">
        <v>84</v>
      </c>
      <c r="C110" t="s">
        <v>53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1728</v>
      </c>
      <c r="B111" t="s">
        <v>19</v>
      </c>
      <c r="C111" t="s">
        <v>53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1728</v>
      </c>
      <c r="B112" t="s">
        <v>45</v>
      </c>
      <c r="C112" t="s">
        <v>53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1728</v>
      </c>
      <c r="B113" t="s">
        <v>85</v>
      </c>
      <c r="C113" t="s">
        <v>53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1728</v>
      </c>
      <c r="B114" t="s">
        <v>54</v>
      </c>
      <c r="C114" t="s">
        <v>53</v>
      </c>
      <c r="D114" t="s">
        <v>35</v>
      </c>
      <c r="H114">
        <v>233</v>
      </c>
      <c r="J114">
        <f t="shared" si="2"/>
        <v>233</v>
      </c>
      <c r="L114">
        <f t="shared" si="3"/>
        <v>0.10401785714285715</v>
      </c>
    </row>
    <row r="115" spans="1:12" x14ac:dyDescent="0.25">
      <c r="A115">
        <v>1728</v>
      </c>
      <c r="B115" t="s">
        <v>95</v>
      </c>
      <c r="C115" t="s">
        <v>53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1728</v>
      </c>
      <c r="B116" t="s">
        <v>20</v>
      </c>
      <c r="C116" t="s">
        <v>53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1728</v>
      </c>
      <c r="B117" t="s">
        <v>21</v>
      </c>
      <c r="C117" t="s">
        <v>53</v>
      </c>
      <c r="D117" t="s">
        <v>35</v>
      </c>
      <c r="H117">
        <v>25</v>
      </c>
      <c r="J117">
        <f t="shared" si="2"/>
        <v>25</v>
      </c>
      <c r="L117">
        <f t="shared" si="3"/>
        <v>1.1160714285714286E-2</v>
      </c>
    </row>
    <row r="118" spans="1:12" x14ac:dyDescent="0.25">
      <c r="A118">
        <v>1728</v>
      </c>
      <c r="B118" t="s">
        <v>105</v>
      </c>
      <c r="C118" t="s">
        <v>53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1728</v>
      </c>
      <c r="B119" t="s">
        <v>22</v>
      </c>
      <c r="C119" t="s">
        <v>53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1728</v>
      </c>
      <c r="B120" t="s">
        <v>61</v>
      </c>
      <c r="C120" t="s">
        <v>53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1728</v>
      </c>
      <c r="B121" t="s">
        <v>91</v>
      </c>
      <c r="C121" t="s">
        <v>53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1728</v>
      </c>
      <c r="B122" t="s">
        <v>98</v>
      </c>
      <c r="C122" t="s">
        <v>53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1728</v>
      </c>
      <c r="B123" t="s">
        <v>87</v>
      </c>
      <c r="C123" t="s">
        <v>53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1728</v>
      </c>
      <c r="B124" t="s">
        <v>62</v>
      </c>
      <c r="C124" t="s">
        <v>53</v>
      </c>
      <c r="D124" t="s">
        <v>35</v>
      </c>
      <c r="E124">
        <v>51</v>
      </c>
      <c r="F124">
        <v>11</v>
      </c>
      <c r="J124">
        <f t="shared" si="2"/>
        <v>115472</v>
      </c>
      <c r="L124">
        <f t="shared" si="3"/>
        <v>51.55</v>
      </c>
    </row>
    <row r="125" spans="1:12" x14ac:dyDescent="0.25">
      <c r="A125">
        <v>1728</v>
      </c>
      <c r="B125" t="s">
        <v>88</v>
      </c>
      <c r="C125" t="s">
        <v>53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1728</v>
      </c>
      <c r="B126" t="s">
        <v>63</v>
      </c>
      <c r="C126" t="s">
        <v>53</v>
      </c>
      <c r="D126" t="s">
        <v>35</v>
      </c>
      <c r="E126">
        <v>34</v>
      </c>
      <c r="F126">
        <v>9</v>
      </c>
      <c r="G126">
        <v>2</v>
      </c>
      <c r="H126">
        <v>23</v>
      </c>
      <c r="J126">
        <f t="shared" si="2"/>
        <v>77247</v>
      </c>
      <c r="L126">
        <f t="shared" si="3"/>
        <v>34.485267857142858</v>
      </c>
    </row>
    <row r="127" spans="1:12" x14ac:dyDescent="0.25">
      <c r="A127">
        <v>1728</v>
      </c>
      <c r="B127" t="s">
        <v>89</v>
      </c>
      <c r="C127" t="s">
        <v>53</v>
      </c>
      <c r="D127" t="s">
        <v>35</v>
      </c>
      <c r="E127">
        <v>1</v>
      </c>
      <c r="J127">
        <f t="shared" si="2"/>
        <v>2240</v>
      </c>
      <c r="L127">
        <f t="shared" si="3"/>
        <v>1</v>
      </c>
    </row>
    <row r="128" spans="1:12" x14ac:dyDescent="0.25">
      <c r="A128">
        <v>1728</v>
      </c>
      <c r="B128" t="s">
        <v>70</v>
      </c>
      <c r="C128" t="s">
        <v>53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25">
      <c r="A129">
        <v>1728</v>
      </c>
      <c r="B129" t="s">
        <v>64</v>
      </c>
      <c r="C129" t="s">
        <v>53</v>
      </c>
      <c r="D129" t="s">
        <v>35</v>
      </c>
      <c r="F129">
        <v>18</v>
      </c>
      <c r="J129">
        <f t="shared" si="2"/>
        <v>2016</v>
      </c>
      <c r="L129">
        <f t="shared" si="3"/>
        <v>0.9</v>
      </c>
    </row>
    <row r="130" spans="1:12" x14ac:dyDescent="0.25">
      <c r="A130">
        <v>1728</v>
      </c>
      <c r="B130" t="s">
        <v>65</v>
      </c>
      <c r="C130" t="s">
        <v>53</v>
      </c>
      <c r="D130" t="s">
        <v>35</v>
      </c>
      <c r="J130">
        <f t="shared" si="2"/>
        <v>0</v>
      </c>
      <c r="L130">
        <f t="shared" si="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104"/>
  <sheetViews>
    <sheetView topLeftCell="A18" workbookViewId="0">
      <selection activeCell="H19" sqref="H19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1728</v>
      </c>
      <c r="B2" t="s">
        <v>55</v>
      </c>
      <c r="C2" t="s">
        <v>56</v>
      </c>
      <c r="D2" t="s">
        <v>33</v>
      </c>
      <c r="J2">
        <f t="shared" ref="J2:J71" si="0">(E2*2240)+(F2*112)+(G2*28)+H2</f>
        <v>0</v>
      </c>
      <c r="L2">
        <f t="shared" ref="L2:L71" si="1">J2/2240</f>
        <v>0</v>
      </c>
    </row>
    <row r="3" spans="1:12" x14ac:dyDescent="0.25">
      <c r="A3">
        <v>1728</v>
      </c>
      <c r="B3" t="s">
        <v>57</v>
      </c>
      <c r="C3" t="s">
        <v>56</v>
      </c>
      <c r="D3" t="s">
        <v>33</v>
      </c>
      <c r="J3">
        <f t="shared" si="0"/>
        <v>0</v>
      </c>
      <c r="L3">
        <f t="shared" si="1"/>
        <v>0</v>
      </c>
    </row>
    <row r="4" spans="1:12" x14ac:dyDescent="0.25">
      <c r="A4">
        <v>1728</v>
      </c>
      <c r="B4" t="s">
        <v>36</v>
      </c>
      <c r="C4" t="s">
        <v>56</v>
      </c>
      <c r="D4" t="s">
        <v>33</v>
      </c>
      <c r="H4">
        <v>19239</v>
      </c>
      <c r="J4">
        <f t="shared" si="0"/>
        <v>19239</v>
      </c>
      <c r="L4">
        <f t="shared" si="1"/>
        <v>8.5888392857142861</v>
      </c>
    </row>
    <row r="5" spans="1:12" x14ac:dyDescent="0.25">
      <c r="A5">
        <v>1728</v>
      </c>
      <c r="B5" t="s">
        <v>4</v>
      </c>
      <c r="C5" t="s">
        <v>56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1728</v>
      </c>
      <c r="B6" t="s">
        <v>58</v>
      </c>
      <c r="C6" t="s">
        <v>56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1728</v>
      </c>
      <c r="B7" t="s">
        <v>92</v>
      </c>
      <c r="C7" t="s">
        <v>56</v>
      </c>
      <c r="D7" t="s">
        <v>33</v>
      </c>
      <c r="H7">
        <v>3262</v>
      </c>
      <c r="J7">
        <f t="shared" si="0"/>
        <v>3262</v>
      </c>
      <c r="L7">
        <f t="shared" si="1"/>
        <v>1.45625</v>
      </c>
    </row>
    <row r="8" spans="1:12" x14ac:dyDescent="0.25">
      <c r="A8">
        <v>1728</v>
      </c>
      <c r="B8" t="s">
        <v>43</v>
      </c>
      <c r="C8" t="s">
        <v>56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1728</v>
      </c>
      <c r="B9" t="s">
        <v>5</v>
      </c>
      <c r="C9" t="s">
        <v>56</v>
      </c>
      <c r="D9" t="s">
        <v>33</v>
      </c>
      <c r="F9">
        <v>35</v>
      </c>
      <c r="G9">
        <v>1</v>
      </c>
      <c r="H9">
        <v>18</v>
      </c>
      <c r="J9">
        <f t="shared" si="0"/>
        <v>3966</v>
      </c>
      <c r="L9">
        <f t="shared" si="1"/>
        <v>1.7705357142857143</v>
      </c>
    </row>
    <row r="10" spans="1:12" x14ac:dyDescent="0.25">
      <c r="A10">
        <v>1728</v>
      </c>
      <c r="B10" t="s">
        <v>59</v>
      </c>
      <c r="C10" t="s">
        <v>56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1728</v>
      </c>
      <c r="B11" t="s">
        <v>6</v>
      </c>
      <c r="C11" t="s">
        <v>56</v>
      </c>
      <c r="D11" t="s">
        <v>33</v>
      </c>
      <c r="F11">
        <v>181638</v>
      </c>
      <c r="G11">
        <v>1</v>
      </c>
      <c r="H11">
        <v>1</v>
      </c>
      <c r="J11">
        <f t="shared" si="0"/>
        <v>20343485</v>
      </c>
      <c r="L11">
        <f t="shared" si="1"/>
        <v>9081.9129464285706</v>
      </c>
    </row>
    <row r="12" spans="1:12" x14ac:dyDescent="0.25">
      <c r="A12">
        <v>1728</v>
      </c>
      <c r="B12" t="s">
        <v>60</v>
      </c>
      <c r="C12" t="s">
        <v>56</v>
      </c>
      <c r="D12" t="s">
        <v>33</v>
      </c>
      <c r="H12">
        <v>1624</v>
      </c>
      <c r="J12">
        <f t="shared" si="0"/>
        <v>1624</v>
      </c>
      <c r="L12">
        <f t="shared" si="1"/>
        <v>0.72499999999999998</v>
      </c>
    </row>
    <row r="13" spans="1:12" x14ac:dyDescent="0.25">
      <c r="A13">
        <v>1728</v>
      </c>
      <c r="B13" t="s">
        <v>7</v>
      </c>
      <c r="C13" t="s">
        <v>56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1728</v>
      </c>
      <c r="B14" t="s">
        <v>37</v>
      </c>
      <c r="C14" t="s">
        <v>56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1728</v>
      </c>
      <c r="B15" t="s">
        <v>8</v>
      </c>
      <c r="C15" t="s">
        <v>56</v>
      </c>
      <c r="D15" t="s">
        <v>33</v>
      </c>
      <c r="F15">
        <v>47</v>
      </c>
      <c r="G15">
        <v>3</v>
      </c>
      <c r="H15">
        <v>14</v>
      </c>
      <c r="J15">
        <f t="shared" si="0"/>
        <v>5362</v>
      </c>
      <c r="L15">
        <f t="shared" si="1"/>
        <v>2.3937499999999998</v>
      </c>
    </row>
    <row r="16" spans="1:12" x14ac:dyDescent="0.25">
      <c r="A16">
        <v>1728</v>
      </c>
      <c r="B16" t="s">
        <v>40</v>
      </c>
      <c r="C16" t="s">
        <v>56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1728</v>
      </c>
      <c r="B17" t="s">
        <v>78</v>
      </c>
      <c r="C17" t="s">
        <v>56</v>
      </c>
      <c r="D17" t="s">
        <v>33</v>
      </c>
      <c r="H17">
        <v>600</v>
      </c>
      <c r="J17">
        <f t="shared" si="0"/>
        <v>600</v>
      </c>
      <c r="L17">
        <f t="shared" si="1"/>
        <v>0.26785714285714285</v>
      </c>
    </row>
    <row r="18" spans="1:12" x14ac:dyDescent="0.25">
      <c r="A18">
        <v>1728</v>
      </c>
      <c r="B18" t="s">
        <v>9</v>
      </c>
      <c r="C18" t="s">
        <v>56</v>
      </c>
      <c r="D18" t="s">
        <v>33</v>
      </c>
      <c r="H18">
        <f>310.5*200</f>
        <v>62100</v>
      </c>
      <c r="I18" t="s">
        <v>119</v>
      </c>
      <c r="J18">
        <f t="shared" si="0"/>
        <v>62100</v>
      </c>
      <c r="L18">
        <f t="shared" si="1"/>
        <v>27.723214285714285</v>
      </c>
    </row>
    <row r="19" spans="1:12" x14ac:dyDescent="0.25">
      <c r="A19">
        <v>1728</v>
      </c>
      <c r="B19" t="s">
        <v>10</v>
      </c>
      <c r="C19" t="s">
        <v>56</v>
      </c>
      <c r="D19" t="s">
        <v>33</v>
      </c>
      <c r="F19">
        <v>2127</v>
      </c>
      <c r="G19">
        <v>2</v>
      </c>
      <c r="H19">
        <v>17</v>
      </c>
      <c r="J19">
        <f t="shared" si="0"/>
        <v>238297</v>
      </c>
      <c r="L19">
        <f t="shared" si="1"/>
        <v>106.38258928571429</v>
      </c>
    </row>
    <row r="20" spans="1:12" x14ac:dyDescent="0.25">
      <c r="A20">
        <v>1728</v>
      </c>
      <c r="B20" t="s">
        <v>11</v>
      </c>
      <c r="C20" t="s">
        <v>56</v>
      </c>
      <c r="D20" t="s">
        <v>33</v>
      </c>
      <c r="F20">
        <v>318</v>
      </c>
      <c r="H20">
        <v>20</v>
      </c>
      <c r="J20">
        <f t="shared" si="0"/>
        <v>35636</v>
      </c>
      <c r="L20">
        <f t="shared" si="1"/>
        <v>15.908928571428572</v>
      </c>
    </row>
    <row r="21" spans="1:12" x14ac:dyDescent="0.25">
      <c r="A21">
        <v>1728</v>
      </c>
      <c r="B21" t="s">
        <v>39</v>
      </c>
      <c r="C21" t="s">
        <v>56</v>
      </c>
      <c r="D21" t="s">
        <v>33</v>
      </c>
      <c r="H21">
        <v>1173.25</v>
      </c>
      <c r="J21">
        <f t="shared" si="0"/>
        <v>1173.25</v>
      </c>
      <c r="L21">
        <f t="shared" si="1"/>
        <v>0.52377232142857144</v>
      </c>
    </row>
    <row r="22" spans="1:12" x14ac:dyDescent="0.25">
      <c r="A22">
        <v>1728</v>
      </c>
      <c r="B22" t="s">
        <v>79</v>
      </c>
      <c r="C22" t="s">
        <v>56</v>
      </c>
      <c r="D22" t="s">
        <v>33</v>
      </c>
      <c r="H22">
        <v>1814</v>
      </c>
      <c r="J22">
        <f t="shared" si="0"/>
        <v>1814</v>
      </c>
      <c r="L22">
        <f t="shared" si="1"/>
        <v>0.80982142857142858</v>
      </c>
    </row>
    <row r="23" spans="1:12" x14ac:dyDescent="0.25">
      <c r="A23">
        <v>1728</v>
      </c>
      <c r="B23" t="s">
        <v>107</v>
      </c>
      <c r="C23" t="s">
        <v>56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1728</v>
      </c>
      <c r="B24" t="s">
        <v>102</v>
      </c>
      <c r="C24" t="s">
        <v>56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1728</v>
      </c>
      <c r="B25" t="s">
        <v>44</v>
      </c>
      <c r="C25" t="s">
        <v>56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1728</v>
      </c>
      <c r="B26" t="s">
        <v>12</v>
      </c>
      <c r="C26" t="s">
        <v>56</v>
      </c>
      <c r="D26" t="s">
        <v>33</v>
      </c>
      <c r="H26">
        <v>1620</v>
      </c>
      <c r="J26">
        <f t="shared" si="0"/>
        <v>1620</v>
      </c>
      <c r="L26">
        <f t="shared" si="1"/>
        <v>0.7232142857142857</v>
      </c>
    </row>
    <row r="27" spans="1:12" x14ac:dyDescent="0.25">
      <c r="A27">
        <v>1728</v>
      </c>
      <c r="B27" t="s">
        <v>34</v>
      </c>
      <c r="C27" t="s">
        <v>56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1728</v>
      </c>
      <c r="B28" t="s">
        <v>13</v>
      </c>
      <c r="C28" t="s">
        <v>56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1728</v>
      </c>
      <c r="B29" t="s">
        <v>14</v>
      </c>
      <c r="C29" t="s">
        <v>56</v>
      </c>
      <c r="D29" t="s">
        <v>33</v>
      </c>
      <c r="H29">
        <v>49452.5</v>
      </c>
      <c r="I29" t="s">
        <v>115</v>
      </c>
      <c r="J29">
        <f t="shared" si="0"/>
        <v>49452.5</v>
      </c>
      <c r="L29">
        <f t="shared" si="1"/>
        <v>22.077008928571427</v>
      </c>
    </row>
    <row r="30" spans="1:12" x14ac:dyDescent="0.25">
      <c r="A30">
        <v>1728</v>
      </c>
      <c r="B30" t="s">
        <v>23</v>
      </c>
      <c r="C30" t="s">
        <v>56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1728</v>
      </c>
      <c r="B31" t="s">
        <v>27</v>
      </c>
      <c r="C31" t="s">
        <v>56</v>
      </c>
      <c r="D31" t="s">
        <v>33</v>
      </c>
      <c r="H31">
        <v>45121.5</v>
      </c>
      <c r="I31" t="s">
        <v>118</v>
      </c>
      <c r="J31">
        <f t="shared" si="0"/>
        <v>45121.5</v>
      </c>
      <c r="L31">
        <f t="shared" si="1"/>
        <v>20.143526785714286</v>
      </c>
    </row>
    <row r="32" spans="1:12" x14ac:dyDescent="0.25">
      <c r="A32">
        <v>1728</v>
      </c>
      <c r="B32" t="s">
        <v>15</v>
      </c>
      <c r="C32" t="s">
        <v>56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1728</v>
      </c>
      <c r="B33" t="s">
        <v>42</v>
      </c>
      <c r="C33" t="s">
        <v>56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1728</v>
      </c>
      <c r="B34" t="s">
        <v>47</v>
      </c>
      <c r="C34" t="s">
        <v>56</v>
      </c>
      <c r="D34" t="s">
        <v>33</v>
      </c>
      <c r="H34">
        <v>1150.5</v>
      </c>
      <c r="I34" t="s">
        <v>116</v>
      </c>
      <c r="J34">
        <f t="shared" si="0"/>
        <v>1150.5</v>
      </c>
      <c r="L34">
        <f t="shared" si="1"/>
        <v>0.51361607142857146</v>
      </c>
    </row>
    <row r="35" spans="1:12" x14ac:dyDescent="0.25">
      <c r="A35">
        <v>1728</v>
      </c>
      <c r="B35" t="s">
        <v>16</v>
      </c>
      <c r="C35" t="s">
        <v>56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1728</v>
      </c>
      <c r="B36" t="s">
        <v>106</v>
      </c>
      <c r="C36" t="s">
        <v>56</v>
      </c>
      <c r="D36" t="s">
        <v>33</v>
      </c>
      <c r="F36">
        <v>1</v>
      </c>
      <c r="G36">
        <v>2</v>
      </c>
      <c r="J36">
        <f t="shared" si="0"/>
        <v>168</v>
      </c>
      <c r="L36">
        <f t="shared" si="1"/>
        <v>7.4999999999999997E-2</v>
      </c>
    </row>
    <row r="37" spans="1:12" x14ac:dyDescent="0.25">
      <c r="A37">
        <v>1728</v>
      </c>
      <c r="B37" t="s">
        <v>17</v>
      </c>
      <c r="C37" t="s">
        <v>56</v>
      </c>
      <c r="D37" t="s">
        <v>33</v>
      </c>
      <c r="F37">
        <v>101</v>
      </c>
      <c r="G37">
        <v>1</v>
      </c>
      <c r="J37">
        <f t="shared" si="0"/>
        <v>11340</v>
      </c>
      <c r="L37">
        <f t="shared" si="1"/>
        <v>5.0625</v>
      </c>
    </row>
    <row r="38" spans="1:12" x14ac:dyDescent="0.25">
      <c r="A38">
        <v>1728</v>
      </c>
      <c r="B38" t="s">
        <v>18</v>
      </c>
      <c r="C38" t="s">
        <v>56</v>
      </c>
      <c r="D38" t="s">
        <v>33</v>
      </c>
      <c r="H38">
        <v>480868.5</v>
      </c>
      <c r="I38" t="s">
        <v>117</v>
      </c>
      <c r="J38">
        <f t="shared" si="0"/>
        <v>480868.5</v>
      </c>
      <c r="L38">
        <f t="shared" si="1"/>
        <v>214.67343750000001</v>
      </c>
    </row>
    <row r="39" spans="1:12" x14ac:dyDescent="0.25">
      <c r="A39">
        <v>1728</v>
      </c>
      <c r="B39" t="s">
        <v>26</v>
      </c>
      <c r="C39" t="s">
        <v>56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1728</v>
      </c>
      <c r="B40" t="s">
        <v>19</v>
      </c>
      <c r="C40" t="s">
        <v>56</v>
      </c>
      <c r="D40" t="s">
        <v>33</v>
      </c>
      <c r="F40">
        <v>15</v>
      </c>
      <c r="G40">
        <v>2</v>
      </c>
      <c r="H40">
        <v>13</v>
      </c>
      <c r="J40">
        <f t="shared" si="0"/>
        <v>1749</v>
      </c>
      <c r="L40">
        <f t="shared" si="1"/>
        <v>0.78080357142857137</v>
      </c>
    </row>
    <row r="41" spans="1:12" x14ac:dyDescent="0.25">
      <c r="A41">
        <v>1728</v>
      </c>
      <c r="B41" t="s">
        <v>45</v>
      </c>
      <c r="C41" t="s">
        <v>56</v>
      </c>
      <c r="D41" t="s">
        <v>33</v>
      </c>
      <c r="H41">
        <v>332</v>
      </c>
      <c r="J41">
        <f t="shared" si="0"/>
        <v>332</v>
      </c>
      <c r="L41">
        <f t="shared" si="1"/>
        <v>0.14821428571428572</v>
      </c>
    </row>
    <row r="42" spans="1:12" x14ac:dyDescent="0.25">
      <c r="A42">
        <v>1728</v>
      </c>
      <c r="B42" t="s">
        <v>54</v>
      </c>
      <c r="C42" t="s">
        <v>56</v>
      </c>
      <c r="D42" t="s">
        <v>33</v>
      </c>
      <c r="H42">
        <v>3607.5</v>
      </c>
      <c r="J42">
        <f t="shared" si="0"/>
        <v>3607.5</v>
      </c>
      <c r="L42">
        <f t="shared" si="1"/>
        <v>1.6104910714285714</v>
      </c>
    </row>
    <row r="43" spans="1:12" x14ac:dyDescent="0.25">
      <c r="A43">
        <v>1728</v>
      </c>
      <c r="B43" t="s">
        <v>95</v>
      </c>
      <c r="C43" t="s">
        <v>56</v>
      </c>
      <c r="D43" t="s">
        <v>33</v>
      </c>
      <c r="H43">
        <v>316</v>
      </c>
      <c r="J43">
        <f t="shared" si="0"/>
        <v>316</v>
      </c>
      <c r="L43">
        <f t="shared" si="1"/>
        <v>0.14107142857142857</v>
      </c>
    </row>
    <row r="44" spans="1:12" x14ac:dyDescent="0.25">
      <c r="A44">
        <v>1728</v>
      </c>
      <c r="B44" t="s">
        <v>20</v>
      </c>
      <c r="C44" t="s">
        <v>56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1728</v>
      </c>
      <c r="B45" t="s">
        <v>21</v>
      </c>
      <c r="C45" t="s">
        <v>56</v>
      </c>
      <c r="D45" t="s">
        <v>33</v>
      </c>
      <c r="H45">
        <v>93</v>
      </c>
      <c r="J45">
        <f t="shared" si="0"/>
        <v>93</v>
      </c>
      <c r="L45">
        <f t="shared" si="1"/>
        <v>4.1517857142857141E-2</v>
      </c>
    </row>
    <row r="46" spans="1:12" x14ac:dyDescent="0.25">
      <c r="A46">
        <v>1728</v>
      </c>
      <c r="B46" t="s">
        <v>90</v>
      </c>
      <c r="C46" t="s">
        <v>56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1728</v>
      </c>
      <c r="B47" t="s">
        <v>22</v>
      </c>
      <c r="C47" t="s">
        <v>56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1728</v>
      </c>
      <c r="B48" t="s">
        <v>61</v>
      </c>
      <c r="C48" t="s">
        <v>56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1728</v>
      </c>
      <c r="B49" t="s">
        <v>62</v>
      </c>
      <c r="C49" t="s">
        <v>56</v>
      </c>
      <c r="D49" t="s">
        <v>33</v>
      </c>
      <c r="E49">
        <v>199</v>
      </c>
      <c r="F49">
        <v>2</v>
      </c>
      <c r="H49">
        <v>7</v>
      </c>
      <c r="J49">
        <f t="shared" si="0"/>
        <v>445991</v>
      </c>
      <c r="L49">
        <f t="shared" si="1"/>
        <v>199.10312500000001</v>
      </c>
    </row>
    <row r="50" spans="1:12" x14ac:dyDescent="0.25">
      <c r="A50">
        <v>1728</v>
      </c>
      <c r="B50" t="s">
        <v>63</v>
      </c>
      <c r="C50" t="s">
        <v>56</v>
      </c>
      <c r="D50" t="s">
        <v>33</v>
      </c>
      <c r="E50">
        <v>215</v>
      </c>
      <c r="F50">
        <v>14</v>
      </c>
      <c r="G50">
        <v>2</v>
      </c>
      <c r="J50">
        <f t="shared" si="0"/>
        <v>483224</v>
      </c>
      <c r="L50">
        <f t="shared" si="1"/>
        <v>215.72499999999999</v>
      </c>
    </row>
    <row r="51" spans="1:12" x14ac:dyDescent="0.25">
      <c r="A51">
        <v>1728</v>
      </c>
      <c r="B51" t="s">
        <v>89</v>
      </c>
      <c r="C51" t="s">
        <v>56</v>
      </c>
      <c r="D51" t="s">
        <v>33</v>
      </c>
      <c r="F51">
        <v>1</v>
      </c>
      <c r="G51">
        <v>2</v>
      </c>
      <c r="J51">
        <f t="shared" si="0"/>
        <v>168</v>
      </c>
      <c r="L51">
        <f t="shared" si="1"/>
        <v>7.4999999999999997E-2</v>
      </c>
    </row>
    <row r="52" spans="1:12" x14ac:dyDescent="0.25">
      <c r="A52">
        <v>1728</v>
      </c>
      <c r="B52" t="s">
        <v>70</v>
      </c>
      <c r="C52" t="s">
        <v>56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1728</v>
      </c>
      <c r="B53" t="s">
        <v>64</v>
      </c>
      <c r="C53" t="s">
        <v>56</v>
      </c>
      <c r="D53" t="s">
        <v>33</v>
      </c>
      <c r="F53">
        <v>9</v>
      </c>
      <c r="H53">
        <v>24</v>
      </c>
      <c r="J53">
        <f t="shared" si="0"/>
        <v>1032</v>
      </c>
      <c r="L53">
        <f t="shared" si="1"/>
        <v>0.46071428571428569</v>
      </c>
    </row>
    <row r="54" spans="1:12" x14ac:dyDescent="0.25">
      <c r="A54">
        <v>1728</v>
      </c>
      <c r="B54" t="s">
        <v>65</v>
      </c>
      <c r="C54" t="s">
        <v>56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1728</v>
      </c>
      <c r="B55" t="s">
        <v>55</v>
      </c>
      <c r="C55" t="s">
        <v>56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1728</v>
      </c>
      <c r="B56" t="s">
        <v>57</v>
      </c>
      <c r="C56" t="s">
        <v>56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1728</v>
      </c>
      <c r="B57" t="s">
        <v>36</v>
      </c>
      <c r="C57" t="s">
        <v>56</v>
      </c>
      <c r="D57" t="s">
        <v>35</v>
      </c>
      <c r="H57">
        <v>1182</v>
      </c>
      <c r="J57">
        <f t="shared" si="0"/>
        <v>1182</v>
      </c>
      <c r="L57">
        <f t="shared" si="1"/>
        <v>0.52767857142857144</v>
      </c>
    </row>
    <row r="58" spans="1:12" x14ac:dyDescent="0.25">
      <c r="A58">
        <v>1728</v>
      </c>
      <c r="B58" t="s">
        <v>4</v>
      </c>
      <c r="C58" t="s">
        <v>56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1728</v>
      </c>
      <c r="B59" t="s">
        <v>58</v>
      </c>
      <c r="C59" t="s">
        <v>56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1728</v>
      </c>
      <c r="B60" t="s">
        <v>92</v>
      </c>
      <c r="C60" t="s">
        <v>56</v>
      </c>
      <c r="D60" t="s">
        <v>35</v>
      </c>
      <c r="H60">
        <v>20</v>
      </c>
      <c r="J60">
        <f t="shared" si="0"/>
        <v>20</v>
      </c>
      <c r="L60">
        <f t="shared" si="1"/>
        <v>8.9285714285714281E-3</v>
      </c>
    </row>
    <row r="61" spans="1:12" x14ac:dyDescent="0.25">
      <c r="A61">
        <v>1728</v>
      </c>
      <c r="B61" t="s">
        <v>43</v>
      </c>
      <c r="C61" t="s">
        <v>56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1728</v>
      </c>
      <c r="B62" t="s">
        <v>5</v>
      </c>
      <c r="C62" t="s">
        <v>56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1728</v>
      </c>
      <c r="B63" t="s">
        <v>59</v>
      </c>
      <c r="C63" t="s">
        <v>56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1728</v>
      </c>
      <c r="B64" t="s">
        <v>6</v>
      </c>
      <c r="C64" t="s">
        <v>56</v>
      </c>
      <c r="D64" t="s">
        <v>35</v>
      </c>
      <c r="F64">
        <v>57025</v>
      </c>
      <c r="G64">
        <v>3</v>
      </c>
      <c r="H64">
        <v>17</v>
      </c>
      <c r="J64">
        <f t="shared" si="0"/>
        <v>6386901</v>
      </c>
      <c r="L64">
        <f t="shared" si="1"/>
        <v>2851.2950892857143</v>
      </c>
    </row>
    <row r="65" spans="1:12" x14ac:dyDescent="0.25">
      <c r="A65">
        <v>1728</v>
      </c>
      <c r="B65" t="s">
        <v>60</v>
      </c>
      <c r="C65" t="s">
        <v>56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1728</v>
      </c>
      <c r="B66" t="s">
        <v>38</v>
      </c>
      <c r="C66" t="s">
        <v>56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1728</v>
      </c>
      <c r="B67" t="s">
        <v>37</v>
      </c>
      <c r="C67" t="s">
        <v>56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1728</v>
      </c>
      <c r="B68" t="s">
        <v>8</v>
      </c>
      <c r="C68" t="s">
        <v>56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1728</v>
      </c>
      <c r="B69" t="s">
        <v>40</v>
      </c>
      <c r="C69" t="s">
        <v>56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1728</v>
      </c>
      <c r="B70" t="s">
        <v>9</v>
      </c>
      <c r="C70" t="s">
        <v>56</v>
      </c>
      <c r="D70" t="s">
        <v>35</v>
      </c>
      <c r="H70">
        <v>133309</v>
      </c>
      <c r="J70">
        <f t="shared" si="0"/>
        <v>133309</v>
      </c>
      <c r="L70">
        <f t="shared" si="1"/>
        <v>59.512946428571432</v>
      </c>
    </row>
    <row r="71" spans="1:12" x14ac:dyDescent="0.25">
      <c r="A71">
        <v>1728</v>
      </c>
      <c r="B71" t="s">
        <v>10</v>
      </c>
      <c r="C71" t="s">
        <v>56</v>
      </c>
      <c r="D71" t="s">
        <v>35</v>
      </c>
      <c r="F71">
        <v>711</v>
      </c>
      <c r="H71">
        <v>24</v>
      </c>
      <c r="J71">
        <f t="shared" si="0"/>
        <v>79656</v>
      </c>
      <c r="L71">
        <f t="shared" si="1"/>
        <v>35.560714285714283</v>
      </c>
    </row>
    <row r="72" spans="1:12" x14ac:dyDescent="0.25">
      <c r="A72">
        <v>1728</v>
      </c>
      <c r="B72" t="s">
        <v>11</v>
      </c>
      <c r="C72" t="s">
        <v>56</v>
      </c>
      <c r="D72" t="s">
        <v>35</v>
      </c>
      <c r="F72">
        <v>254</v>
      </c>
      <c r="G72">
        <v>1</v>
      </c>
      <c r="H72">
        <v>9</v>
      </c>
      <c r="J72">
        <f t="shared" ref="J72:J104" si="2">(E72*2240)+(F72*112)+(G72*28)+H72</f>
        <v>28485</v>
      </c>
      <c r="L72">
        <f t="shared" ref="L72:L104" si="3">J72/2240</f>
        <v>12.716517857142858</v>
      </c>
    </row>
    <row r="73" spans="1:12" x14ac:dyDescent="0.25">
      <c r="A73">
        <v>1728</v>
      </c>
      <c r="B73" t="s">
        <v>39</v>
      </c>
      <c r="C73" t="s">
        <v>56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1728</v>
      </c>
      <c r="B74" t="s">
        <v>79</v>
      </c>
      <c r="C74" t="s">
        <v>56</v>
      </c>
      <c r="D74" t="s">
        <v>35</v>
      </c>
      <c r="H74">
        <v>3585</v>
      </c>
      <c r="J74">
        <f t="shared" si="2"/>
        <v>3585</v>
      </c>
      <c r="L74">
        <f t="shared" si="3"/>
        <v>1.6004464285714286</v>
      </c>
    </row>
    <row r="75" spans="1:12" x14ac:dyDescent="0.25">
      <c r="A75">
        <v>1728</v>
      </c>
      <c r="B75" t="s">
        <v>44</v>
      </c>
      <c r="C75" t="s">
        <v>56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1728</v>
      </c>
      <c r="B76" t="s">
        <v>12</v>
      </c>
      <c r="C76" t="s">
        <v>56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1728</v>
      </c>
      <c r="B77" t="s">
        <v>34</v>
      </c>
      <c r="C77" t="s">
        <v>56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1728</v>
      </c>
      <c r="B78" t="s">
        <v>13</v>
      </c>
      <c r="C78" t="s">
        <v>56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1728</v>
      </c>
      <c r="B79" t="s">
        <v>14</v>
      </c>
      <c r="C79" t="s">
        <v>56</v>
      </c>
      <c r="D79" t="s">
        <v>35</v>
      </c>
      <c r="H79">
        <v>3881</v>
      </c>
      <c r="I79" t="s">
        <v>150</v>
      </c>
      <c r="J79">
        <f t="shared" si="2"/>
        <v>3881</v>
      </c>
      <c r="L79">
        <f t="shared" si="3"/>
        <v>1.7325892857142857</v>
      </c>
    </row>
    <row r="80" spans="1:12" x14ac:dyDescent="0.25">
      <c r="A80">
        <v>1728</v>
      </c>
      <c r="B80" t="s">
        <v>23</v>
      </c>
      <c r="C80" t="s">
        <v>56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1728</v>
      </c>
      <c r="B81" t="s">
        <v>27</v>
      </c>
      <c r="C81" t="s">
        <v>56</v>
      </c>
      <c r="D81" t="s">
        <v>35</v>
      </c>
      <c r="H81">
        <v>10783</v>
      </c>
      <c r="I81" t="s">
        <v>151</v>
      </c>
      <c r="J81">
        <f t="shared" si="2"/>
        <v>10783</v>
      </c>
      <c r="L81">
        <f t="shared" si="3"/>
        <v>4.8138392857142858</v>
      </c>
    </row>
    <row r="82" spans="1:12" x14ac:dyDescent="0.25">
      <c r="A82">
        <v>1728</v>
      </c>
      <c r="B82" t="s">
        <v>15</v>
      </c>
      <c r="C82" t="s">
        <v>56</v>
      </c>
      <c r="D82" t="s">
        <v>35</v>
      </c>
      <c r="F82">
        <v>185</v>
      </c>
      <c r="J82">
        <f t="shared" si="2"/>
        <v>20720</v>
      </c>
      <c r="L82">
        <f t="shared" si="3"/>
        <v>9.25</v>
      </c>
    </row>
    <row r="83" spans="1:12" x14ac:dyDescent="0.25">
      <c r="A83">
        <v>1728</v>
      </c>
      <c r="B83" t="s">
        <v>93</v>
      </c>
      <c r="C83" t="s">
        <v>56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1728</v>
      </c>
      <c r="B84" t="s">
        <v>42</v>
      </c>
      <c r="C84" t="s">
        <v>56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1728</v>
      </c>
      <c r="B85" t="s">
        <v>47</v>
      </c>
      <c r="C85" t="s">
        <v>56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1728</v>
      </c>
      <c r="B86" t="s">
        <v>16</v>
      </c>
      <c r="C86" t="s">
        <v>56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1728</v>
      </c>
      <c r="B87" t="s">
        <v>106</v>
      </c>
      <c r="C87" t="s">
        <v>56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1728</v>
      </c>
      <c r="B88" t="s">
        <v>17</v>
      </c>
      <c r="C88" t="s">
        <v>56</v>
      </c>
      <c r="D88" t="s">
        <v>35</v>
      </c>
      <c r="F88">
        <v>6</v>
      </c>
      <c r="H88">
        <v>19</v>
      </c>
      <c r="J88">
        <f t="shared" si="2"/>
        <v>691</v>
      </c>
      <c r="L88">
        <f t="shared" si="3"/>
        <v>0.30848214285714287</v>
      </c>
    </row>
    <row r="89" spans="1:12" x14ac:dyDescent="0.25">
      <c r="A89">
        <v>1728</v>
      </c>
      <c r="B89" t="s">
        <v>18</v>
      </c>
      <c r="C89" t="s">
        <v>56</v>
      </c>
      <c r="D89" t="s">
        <v>35</v>
      </c>
      <c r="H89">
        <v>141464</v>
      </c>
      <c r="I89" t="s">
        <v>163</v>
      </c>
      <c r="J89">
        <f t="shared" si="2"/>
        <v>141464</v>
      </c>
      <c r="L89">
        <f t="shared" si="3"/>
        <v>63.153571428571432</v>
      </c>
    </row>
    <row r="90" spans="1:12" x14ac:dyDescent="0.25">
      <c r="A90">
        <v>1728</v>
      </c>
      <c r="B90" t="s">
        <v>26</v>
      </c>
      <c r="C90" t="s">
        <v>56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1728</v>
      </c>
      <c r="B91" t="s">
        <v>19</v>
      </c>
      <c r="C91" t="s">
        <v>56</v>
      </c>
      <c r="D91" t="s">
        <v>35</v>
      </c>
      <c r="F91">
        <v>10</v>
      </c>
      <c r="G91">
        <v>2</v>
      </c>
      <c r="H91">
        <v>15</v>
      </c>
      <c r="J91">
        <f t="shared" si="2"/>
        <v>1191</v>
      </c>
      <c r="L91">
        <f t="shared" si="3"/>
        <v>0.53169642857142863</v>
      </c>
    </row>
    <row r="92" spans="1:12" x14ac:dyDescent="0.25">
      <c r="A92">
        <v>1728</v>
      </c>
      <c r="B92" t="s">
        <v>45</v>
      </c>
      <c r="C92" t="s">
        <v>56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1728</v>
      </c>
      <c r="B93" t="s">
        <v>54</v>
      </c>
      <c r="C93" t="s">
        <v>56</v>
      </c>
      <c r="D93" t="s">
        <v>35</v>
      </c>
      <c r="H93">
        <v>426</v>
      </c>
      <c r="J93">
        <f t="shared" si="2"/>
        <v>426</v>
      </c>
      <c r="L93">
        <f t="shared" si="3"/>
        <v>0.19017857142857142</v>
      </c>
    </row>
    <row r="94" spans="1:12" x14ac:dyDescent="0.25">
      <c r="A94">
        <v>1728</v>
      </c>
      <c r="B94" t="s">
        <v>95</v>
      </c>
      <c r="C94" t="s">
        <v>56</v>
      </c>
      <c r="D94" t="s">
        <v>35</v>
      </c>
      <c r="H94">
        <v>254</v>
      </c>
      <c r="J94">
        <f t="shared" si="2"/>
        <v>254</v>
      </c>
      <c r="L94">
        <f t="shared" si="3"/>
        <v>0.11339285714285714</v>
      </c>
    </row>
    <row r="95" spans="1:12" x14ac:dyDescent="0.25">
      <c r="A95">
        <v>1728</v>
      </c>
      <c r="B95" t="s">
        <v>20</v>
      </c>
      <c r="C95" t="s">
        <v>56</v>
      </c>
      <c r="D95" t="s">
        <v>35</v>
      </c>
      <c r="H95">
        <v>495</v>
      </c>
      <c r="J95">
        <f t="shared" si="2"/>
        <v>495</v>
      </c>
      <c r="L95">
        <f t="shared" si="3"/>
        <v>0.22098214285714285</v>
      </c>
    </row>
    <row r="96" spans="1:12" x14ac:dyDescent="0.25">
      <c r="A96">
        <v>1728</v>
      </c>
      <c r="B96" t="s">
        <v>21</v>
      </c>
      <c r="C96" t="s">
        <v>56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1728</v>
      </c>
      <c r="B97" t="s">
        <v>22</v>
      </c>
      <c r="C97" t="s">
        <v>56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1728</v>
      </c>
      <c r="B98" t="s">
        <v>61</v>
      </c>
      <c r="C98" t="s">
        <v>56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1728</v>
      </c>
      <c r="B99" t="s">
        <v>62</v>
      </c>
      <c r="C99" t="s">
        <v>56</v>
      </c>
      <c r="D99" t="s">
        <v>35</v>
      </c>
      <c r="E99">
        <v>96</v>
      </c>
      <c r="F99">
        <v>1</v>
      </c>
      <c r="G99">
        <v>3</v>
      </c>
      <c r="H99">
        <v>11</v>
      </c>
      <c r="J99">
        <f t="shared" si="2"/>
        <v>215247</v>
      </c>
      <c r="L99">
        <f t="shared" si="3"/>
        <v>96.09241071428572</v>
      </c>
    </row>
    <row r="100" spans="1:12" x14ac:dyDescent="0.25">
      <c r="A100">
        <v>1728</v>
      </c>
      <c r="B100" t="s">
        <v>63</v>
      </c>
      <c r="C100" t="s">
        <v>56</v>
      </c>
      <c r="D100" t="s">
        <v>35</v>
      </c>
      <c r="E100">
        <v>62</v>
      </c>
      <c r="F100">
        <v>10</v>
      </c>
      <c r="J100">
        <f t="shared" si="2"/>
        <v>140000</v>
      </c>
      <c r="L100">
        <f t="shared" si="3"/>
        <v>62.5</v>
      </c>
    </row>
    <row r="101" spans="1:12" x14ac:dyDescent="0.25">
      <c r="A101">
        <v>1728</v>
      </c>
      <c r="B101" t="s">
        <v>89</v>
      </c>
      <c r="C101" t="s">
        <v>56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1728</v>
      </c>
      <c r="B102" t="s">
        <v>70</v>
      </c>
      <c r="C102" t="s">
        <v>56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1728</v>
      </c>
      <c r="B103" t="s">
        <v>64</v>
      </c>
      <c r="C103" t="s">
        <v>56</v>
      </c>
      <c r="D103" t="s">
        <v>35</v>
      </c>
      <c r="E103">
        <v>16</v>
      </c>
      <c r="H103">
        <v>11</v>
      </c>
      <c r="J103">
        <f t="shared" si="2"/>
        <v>35851</v>
      </c>
      <c r="L103">
        <f t="shared" si="3"/>
        <v>16.004910714285714</v>
      </c>
    </row>
    <row r="104" spans="1:12" x14ac:dyDescent="0.25">
      <c r="A104">
        <v>1728</v>
      </c>
      <c r="B104" t="s">
        <v>65</v>
      </c>
      <c r="C104" t="s">
        <v>56</v>
      </c>
      <c r="D104" t="s">
        <v>35</v>
      </c>
      <c r="J104">
        <f t="shared" si="2"/>
        <v>0</v>
      </c>
      <c r="L104">
        <f t="shared" si="3"/>
        <v>0</v>
      </c>
    </row>
  </sheetData>
  <autoFilter ref="A1:N58" xr:uid="{AAD1F908-12B8-4B3A-A65D-184CD229ACD4}">
    <sortState xmlns:xlrd2="http://schemas.microsoft.com/office/spreadsheetml/2017/richdata2" ref="A2:N58">
      <sortCondition ref="B1:B58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32"/>
  <sheetViews>
    <sheetView workbookViewId="0">
      <selection activeCell="H13" sqref="H13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1728</v>
      </c>
      <c r="B2" t="s">
        <v>66</v>
      </c>
      <c r="C2" t="s">
        <v>67</v>
      </c>
      <c r="D2" t="s">
        <v>33</v>
      </c>
      <c r="J2">
        <f t="shared" ref="J2:J32" si="0">(E2*2240)+(F2*112)+(G2*28)+H2</f>
        <v>0</v>
      </c>
      <c r="L2">
        <f t="shared" ref="L2:L32" si="1">J2/2240</f>
        <v>0</v>
      </c>
    </row>
    <row r="3" spans="1:12" x14ac:dyDescent="0.25">
      <c r="A3">
        <v>1728</v>
      </c>
      <c r="B3" t="s">
        <v>6</v>
      </c>
      <c r="C3" t="s">
        <v>67</v>
      </c>
      <c r="D3" t="s">
        <v>33</v>
      </c>
      <c r="E3" s="1"/>
      <c r="F3">
        <v>378</v>
      </c>
      <c r="G3">
        <v>2</v>
      </c>
      <c r="I3" s="1"/>
      <c r="J3">
        <f t="shared" si="0"/>
        <v>42392</v>
      </c>
      <c r="K3" s="1"/>
      <c r="L3">
        <f t="shared" si="1"/>
        <v>18.925000000000001</v>
      </c>
    </row>
    <row r="4" spans="1:12" x14ac:dyDescent="0.25">
      <c r="A4">
        <v>1728</v>
      </c>
      <c r="B4" t="s">
        <v>8</v>
      </c>
      <c r="C4" t="s">
        <v>67</v>
      </c>
      <c r="D4" t="s">
        <v>33</v>
      </c>
      <c r="E4" s="1"/>
      <c r="F4">
        <v>92</v>
      </c>
      <c r="G4">
        <v>2</v>
      </c>
      <c r="H4">
        <v>15</v>
      </c>
      <c r="I4" s="1"/>
      <c r="J4">
        <f t="shared" si="0"/>
        <v>10375</v>
      </c>
      <c r="K4" s="1"/>
      <c r="L4">
        <f t="shared" si="1"/>
        <v>4.6316964285714288</v>
      </c>
    </row>
    <row r="5" spans="1:12" x14ac:dyDescent="0.25">
      <c r="A5">
        <v>1728</v>
      </c>
      <c r="B5" t="s">
        <v>9</v>
      </c>
      <c r="C5" t="s">
        <v>67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1728</v>
      </c>
      <c r="B6" t="s">
        <v>11</v>
      </c>
      <c r="C6" t="s">
        <v>67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1728</v>
      </c>
      <c r="B7" t="s">
        <v>12</v>
      </c>
      <c r="C7" t="s">
        <v>67</v>
      </c>
      <c r="D7" t="s">
        <v>33</v>
      </c>
      <c r="H7">
        <v>310</v>
      </c>
      <c r="J7">
        <f t="shared" si="0"/>
        <v>310</v>
      </c>
      <c r="L7">
        <f t="shared" si="1"/>
        <v>0.13839285714285715</v>
      </c>
    </row>
    <row r="8" spans="1:12" x14ac:dyDescent="0.25">
      <c r="A8">
        <v>1728</v>
      </c>
      <c r="B8" t="s">
        <v>14</v>
      </c>
      <c r="C8" t="s">
        <v>67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1728</v>
      </c>
      <c r="B9" t="s">
        <v>27</v>
      </c>
      <c r="C9" t="s">
        <v>67</v>
      </c>
      <c r="D9" t="s">
        <v>33</v>
      </c>
      <c r="H9">
        <v>100</v>
      </c>
      <c r="I9" t="s">
        <v>121</v>
      </c>
      <c r="J9">
        <f t="shared" si="0"/>
        <v>100</v>
      </c>
      <c r="K9" s="1"/>
      <c r="L9">
        <f t="shared" si="1"/>
        <v>4.4642857142857144E-2</v>
      </c>
    </row>
    <row r="10" spans="1:12" x14ac:dyDescent="0.25">
      <c r="A10">
        <v>1728</v>
      </c>
      <c r="B10" t="s">
        <v>15</v>
      </c>
      <c r="C10" t="s">
        <v>67</v>
      </c>
      <c r="D10" t="s">
        <v>33</v>
      </c>
      <c r="J10">
        <f t="shared" si="0"/>
        <v>0</v>
      </c>
      <c r="K10" s="1"/>
      <c r="L10">
        <f t="shared" si="1"/>
        <v>0</v>
      </c>
    </row>
    <row r="11" spans="1:12" x14ac:dyDescent="0.25">
      <c r="A11">
        <v>1728</v>
      </c>
      <c r="B11" t="s">
        <v>17</v>
      </c>
      <c r="C11" t="s">
        <v>67</v>
      </c>
      <c r="D11" t="s">
        <v>33</v>
      </c>
      <c r="J11">
        <f t="shared" si="0"/>
        <v>0</v>
      </c>
      <c r="K11" s="1"/>
      <c r="L11">
        <f t="shared" si="1"/>
        <v>0</v>
      </c>
    </row>
    <row r="12" spans="1:12" x14ac:dyDescent="0.25">
      <c r="A12">
        <v>1728</v>
      </c>
      <c r="B12" t="s">
        <v>18</v>
      </c>
      <c r="C12" t="s">
        <v>67</v>
      </c>
      <c r="D12" t="s">
        <v>33</v>
      </c>
      <c r="H12">
        <v>1090.5</v>
      </c>
      <c r="I12" t="s">
        <v>120</v>
      </c>
      <c r="J12">
        <f t="shared" si="0"/>
        <v>1090.5</v>
      </c>
      <c r="L12">
        <f t="shared" si="1"/>
        <v>0.48683035714285716</v>
      </c>
    </row>
    <row r="13" spans="1:12" x14ac:dyDescent="0.25">
      <c r="A13">
        <v>1728</v>
      </c>
      <c r="B13" t="s">
        <v>19</v>
      </c>
      <c r="C13" t="s">
        <v>67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1728</v>
      </c>
      <c r="B14" t="s">
        <v>54</v>
      </c>
      <c r="C14" t="s">
        <v>67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1728</v>
      </c>
      <c r="B15" t="s">
        <v>21</v>
      </c>
      <c r="C15" t="s">
        <v>67</v>
      </c>
      <c r="D15" t="s">
        <v>33</v>
      </c>
      <c r="H15">
        <v>13</v>
      </c>
      <c r="J15">
        <f t="shared" si="0"/>
        <v>13</v>
      </c>
      <c r="L15">
        <f t="shared" si="1"/>
        <v>5.8035714285714288E-3</v>
      </c>
    </row>
    <row r="16" spans="1:12" x14ac:dyDescent="0.25">
      <c r="A16">
        <v>1728</v>
      </c>
      <c r="B16" t="s">
        <v>90</v>
      </c>
      <c r="C16" t="s">
        <v>67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1728</v>
      </c>
      <c r="B17" t="s">
        <v>61</v>
      </c>
      <c r="C17" t="s">
        <v>67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1728</v>
      </c>
      <c r="B18" t="s">
        <v>62</v>
      </c>
      <c r="C18" t="s">
        <v>67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1728</v>
      </c>
      <c r="B19" t="s">
        <v>63</v>
      </c>
      <c r="C19" t="s">
        <v>67</v>
      </c>
      <c r="D19" t="s">
        <v>33</v>
      </c>
      <c r="E19">
        <v>67</v>
      </c>
      <c r="J19">
        <f t="shared" si="0"/>
        <v>150080</v>
      </c>
      <c r="L19">
        <f t="shared" si="1"/>
        <v>67</v>
      </c>
    </row>
    <row r="20" spans="1:12" x14ac:dyDescent="0.25">
      <c r="A20">
        <v>1728</v>
      </c>
      <c r="B20" t="s">
        <v>89</v>
      </c>
      <c r="C20" t="s">
        <v>67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1728</v>
      </c>
      <c r="B21" t="s">
        <v>70</v>
      </c>
      <c r="C21" t="s">
        <v>67</v>
      </c>
      <c r="D21" t="s">
        <v>33</v>
      </c>
      <c r="E21">
        <v>40</v>
      </c>
      <c r="J21">
        <f t="shared" si="0"/>
        <v>89600</v>
      </c>
      <c r="L21">
        <f t="shared" si="1"/>
        <v>40</v>
      </c>
    </row>
    <row r="22" spans="1:12" x14ac:dyDescent="0.25">
      <c r="A22">
        <v>1728</v>
      </c>
      <c r="B22" t="s">
        <v>6</v>
      </c>
      <c r="C22" t="s">
        <v>67</v>
      </c>
      <c r="D22" t="s">
        <v>35</v>
      </c>
      <c r="J22">
        <f t="shared" si="0"/>
        <v>0</v>
      </c>
      <c r="L22">
        <f t="shared" si="1"/>
        <v>0</v>
      </c>
    </row>
    <row r="23" spans="1:12" x14ac:dyDescent="0.25">
      <c r="A23">
        <v>1728</v>
      </c>
      <c r="B23" t="s">
        <v>12</v>
      </c>
      <c r="C23" t="s">
        <v>67</v>
      </c>
      <c r="D23" t="s">
        <v>35</v>
      </c>
      <c r="J23">
        <f t="shared" si="0"/>
        <v>0</v>
      </c>
      <c r="L23">
        <f t="shared" si="1"/>
        <v>0</v>
      </c>
    </row>
    <row r="24" spans="1:12" x14ac:dyDescent="0.25">
      <c r="A24">
        <v>1728</v>
      </c>
      <c r="B24" t="s">
        <v>41</v>
      </c>
      <c r="C24" t="s">
        <v>67</v>
      </c>
      <c r="D24" t="s">
        <v>35</v>
      </c>
      <c r="J24">
        <f t="shared" si="0"/>
        <v>0</v>
      </c>
      <c r="L24">
        <f t="shared" si="1"/>
        <v>0</v>
      </c>
    </row>
    <row r="25" spans="1:12" x14ac:dyDescent="0.25">
      <c r="A25">
        <v>1728</v>
      </c>
      <c r="B25" t="s">
        <v>27</v>
      </c>
      <c r="C25" t="s">
        <v>67</v>
      </c>
      <c r="D25" t="s">
        <v>35</v>
      </c>
      <c r="J25">
        <f t="shared" si="0"/>
        <v>0</v>
      </c>
      <c r="L25">
        <f t="shared" si="1"/>
        <v>0</v>
      </c>
    </row>
    <row r="26" spans="1:12" x14ac:dyDescent="0.25">
      <c r="A26">
        <v>1728</v>
      </c>
      <c r="B26" t="s">
        <v>17</v>
      </c>
      <c r="C26" t="s">
        <v>67</v>
      </c>
      <c r="D26" t="s">
        <v>35</v>
      </c>
      <c r="J26">
        <f t="shared" si="0"/>
        <v>0</v>
      </c>
      <c r="L26">
        <f t="shared" si="1"/>
        <v>0</v>
      </c>
    </row>
    <row r="27" spans="1:12" x14ac:dyDescent="0.25">
      <c r="A27">
        <v>1728</v>
      </c>
      <c r="B27" t="s">
        <v>19</v>
      </c>
      <c r="C27" t="s">
        <v>67</v>
      </c>
      <c r="D27" t="s">
        <v>35</v>
      </c>
      <c r="J27">
        <f t="shared" si="0"/>
        <v>0</v>
      </c>
      <c r="L27">
        <f t="shared" si="1"/>
        <v>0</v>
      </c>
    </row>
    <row r="28" spans="1:12" x14ac:dyDescent="0.25">
      <c r="A28">
        <v>1728</v>
      </c>
      <c r="B28" t="s">
        <v>54</v>
      </c>
      <c r="C28" t="s">
        <v>67</v>
      </c>
      <c r="D28" t="s">
        <v>35</v>
      </c>
      <c r="J28">
        <f t="shared" si="0"/>
        <v>0</v>
      </c>
      <c r="L28">
        <f t="shared" si="1"/>
        <v>0</v>
      </c>
    </row>
    <row r="29" spans="1:12" x14ac:dyDescent="0.25">
      <c r="A29">
        <v>1728</v>
      </c>
      <c r="B29" t="s">
        <v>9</v>
      </c>
      <c r="C29" t="s">
        <v>67</v>
      </c>
      <c r="D29" t="s">
        <v>35</v>
      </c>
      <c r="J29">
        <f t="shared" si="0"/>
        <v>0</v>
      </c>
      <c r="L29">
        <f t="shared" si="1"/>
        <v>0</v>
      </c>
    </row>
    <row r="30" spans="1:12" x14ac:dyDescent="0.25">
      <c r="A30">
        <v>1728</v>
      </c>
      <c r="B30" t="s">
        <v>8</v>
      </c>
      <c r="C30" t="s">
        <v>67</v>
      </c>
      <c r="D30" t="s">
        <v>35</v>
      </c>
      <c r="J30">
        <f t="shared" si="0"/>
        <v>0</v>
      </c>
      <c r="L30">
        <f t="shared" si="1"/>
        <v>0</v>
      </c>
    </row>
    <row r="31" spans="1:12" x14ac:dyDescent="0.25">
      <c r="A31">
        <v>1728</v>
      </c>
      <c r="B31" t="s">
        <v>61</v>
      </c>
      <c r="C31" t="s">
        <v>67</v>
      </c>
      <c r="D31" t="s">
        <v>35</v>
      </c>
      <c r="J31">
        <f t="shared" si="0"/>
        <v>0</v>
      </c>
      <c r="L31">
        <f t="shared" si="1"/>
        <v>0</v>
      </c>
    </row>
    <row r="32" spans="1:12" x14ac:dyDescent="0.25">
      <c r="A32">
        <v>1728</v>
      </c>
      <c r="B32" t="s">
        <v>63</v>
      </c>
      <c r="C32" t="s">
        <v>67</v>
      </c>
      <c r="D32" t="s">
        <v>35</v>
      </c>
      <c r="J32">
        <f t="shared" si="0"/>
        <v>0</v>
      </c>
      <c r="L32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32"/>
  <sheetViews>
    <sheetView topLeftCell="A24" zoomScaleNormal="100" workbookViewId="0">
      <selection activeCell="I24" sqref="I24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1728</v>
      </c>
      <c r="B2" t="s">
        <v>55</v>
      </c>
      <c r="C2" t="s">
        <v>68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1728</v>
      </c>
      <c r="B3" t="s">
        <v>57</v>
      </c>
      <c r="C3" t="s">
        <v>68</v>
      </c>
      <c r="D3" t="s">
        <v>33</v>
      </c>
      <c r="J3">
        <f t="shared" ref="J3:J70" si="0">(E3*2240)+(F3*112)+(G3*28)+H3</f>
        <v>0</v>
      </c>
      <c r="L3">
        <f t="shared" ref="L3:L70" si="1">J3/2240</f>
        <v>0</v>
      </c>
    </row>
    <row r="4" spans="1:12" x14ac:dyDescent="0.25">
      <c r="A4">
        <v>1728</v>
      </c>
      <c r="B4" t="s">
        <v>36</v>
      </c>
      <c r="C4" t="s">
        <v>68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1728</v>
      </c>
      <c r="B5" t="s">
        <v>4</v>
      </c>
      <c r="C5" t="s">
        <v>68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1728</v>
      </c>
      <c r="B6" t="s">
        <v>58</v>
      </c>
      <c r="C6" t="s">
        <v>68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1728</v>
      </c>
      <c r="B7" t="s">
        <v>69</v>
      </c>
      <c r="C7" t="s">
        <v>68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1728</v>
      </c>
      <c r="B8" t="s">
        <v>101</v>
      </c>
      <c r="C8" t="s">
        <v>68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1728</v>
      </c>
      <c r="B9" t="s">
        <v>122</v>
      </c>
      <c r="C9" t="s">
        <v>68</v>
      </c>
      <c r="D9" t="s">
        <v>33</v>
      </c>
      <c r="H9">
        <v>20</v>
      </c>
      <c r="J9">
        <f t="shared" si="0"/>
        <v>20</v>
      </c>
      <c r="L9">
        <f t="shared" si="1"/>
        <v>8.9285714285714281E-3</v>
      </c>
    </row>
    <row r="10" spans="1:12" x14ac:dyDescent="0.25">
      <c r="A10">
        <v>1728</v>
      </c>
      <c r="B10" t="s">
        <v>43</v>
      </c>
      <c r="C10" t="s">
        <v>68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1728</v>
      </c>
      <c r="B11" t="s">
        <v>76</v>
      </c>
      <c r="C11" t="s">
        <v>68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1728</v>
      </c>
      <c r="B12" t="s">
        <v>5</v>
      </c>
      <c r="C12" t="s">
        <v>68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1728</v>
      </c>
      <c r="B13" t="s">
        <v>59</v>
      </c>
      <c r="C13" t="s">
        <v>68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1728</v>
      </c>
      <c r="B14" t="s">
        <v>6</v>
      </c>
      <c r="C14" t="s">
        <v>68</v>
      </c>
      <c r="D14" t="s">
        <v>33</v>
      </c>
      <c r="F14">
        <v>162947</v>
      </c>
      <c r="G14">
        <v>2</v>
      </c>
      <c r="H14">
        <v>16</v>
      </c>
      <c r="J14">
        <f t="shared" si="0"/>
        <v>18250136</v>
      </c>
      <c r="L14">
        <f t="shared" si="1"/>
        <v>8147.3821428571428</v>
      </c>
    </row>
    <row r="15" spans="1:12" x14ac:dyDescent="0.25">
      <c r="A15">
        <v>1728</v>
      </c>
      <c r="B15" t="s">
        <v>96</v>
      </c>
      <c r="C15" t="s">
        <v>68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1728</v>
      </c>
      <c r="B16" t="s">
        <v>60</v>
      </c>
      <c r="C16" t="s">
        <v>68</v>
      </c>
      <c r="D16" t="s">
        <v>33</v>
      </c>
      <c r="H16">
        <v>358</v>
      </c>
      <c r="J16">
        <f t="shared" si="0"/>
        <v>358</v>
      </c>
      <c r="L16">
        <f t="shared" si="1"/>
        <v>0.15982142857142856</v>
      </c>
    </row>
    <row r="17" spans="1:12" x14ac:dyDescent="0.25">
      <c r="A17">
        <v>1728</v>
      </c>
      <c r="B17" t="s">
        <v>7</v>
      </c>
      <c r="C17" t="s">
        <v>68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1728</v>
      </c>
      <c r="B18" t="s">
        <v>37</v>
      </c>
      <c r="C18" t="s">
        <v>68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1728</v>
      </c>
      <c r="B19" t="s">
        <v>8</v>
      </c>
      <c r="C19" t="s">
        <v>68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1728</v>
      </c>
      <c r="B20" t="s">
        <v>40</v>
      </c>
      <c r="C20" t="s">
        <v>68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1728</v>
      </c>
      <c r="B21" t="s">
        <v>77</v>
      </c>
      <c r="C21" t="s">
        <v>68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1728</v>
      </c>
      <c r="B22" t="s">
        <v>78</v>
      </c>
      <c r="C22" t="s">
        <v>68</v>
      </c>
      <c r="D22" t="s">
        <v>33</v>
      </c>
      <c r="H22">
        <v>8995</v>
      </c>
      <c r="J22">
        <f t="shared" si="0"/>
        <v>8995</v>
      </c>
      <c r="L22">
        <f t="shared" si="1"/>
        <v>4.015625</v>
      </c>
    </row>
    <row r="23" spans="1:12" x14ac:dyDescent="0.25">
      <c r="A23">
        <v>1728</v>
      </c>
      <c r="B23" t="s">
        <v>46</v>
      </c>
      <c r="C23" t="s">
        <v>68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1728</v>
      </c>
      <c r="B24" t="s">
        <v>9</v>
      </c>
      <c r="C24" t="s">
        <v>68</v>
      </c>
      <c r="D24" t="s">
        <v>33</v>
      </c>
      <c r="H24">
        <f>959*200</f>
        <v>191800</v>
      </c>
      <c r="I24" t="s">
        <v>127</v>
      </c>
      <c r="J24">
        <f t="shared" si="0"/>
        <v>191800</v>
      </c>
      <c r="L24">
        <f t="shared" si="1"/>
        <v>85.625</v>
      </c>
    </row>
    <row r="25" spans="1:12" x14ac:dyDescent="0.25">
      <c r="A25">
        <v>1728</v>
      </c>
      <c r="B25" t="s">
        <v>10</v>
      </c>
      <c r="C25" t="s">
        <v>68</v>
      </c>
      <c r="D25" t="s">
        <v>33</v>
      </c>
      <c r="F25">
        <v>3422</v>
      </c>
      <c r="H25">
        <v>13</v>
      </c>
      <c r="J25">
        <f t="shared" si="0"/>
        <v>383277</v>
      </c>
      <c r="L25">
        <f t="shared" si="1"/>
        <v>171.10580357142857</v>
      </c>
    </row>
    <row r="26" spans="1:12" x14ac:dyDescent="0.25">
      <c r="A26">
        <v>1728</v>
      </c>
      <c r="B26" t="s">
        <v>11</v>
      </c>
      <c r="C26" t="s">
        <v>68</v>
      </c>
      <c r="D26" t="s">
        <v>33</v>
      </c>
      <c r="F26">
        <v>144</v>
      </c>
      <c r="H26">
        <v>14</v>
      </c>
      <c r="J26">
        <f t="shared" si="0"/>
        <v>16142</v>
      </c>
      <c r="L26">
        <f t="shared" si="1"/>
        <v>7.2062499999999998</v>
      </c>
    </row>
    <row r="27" spans="1:12" x14ac:dyDescent="0.25">
      <c r="A27">
        <v>1728</v>
      </c>
      <c r="B27" t="s">
        <v>39</v>
      </c>
      <c r="C27" t="s">
        <v>68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1728</v>
      </c>
      <c r="B28" t="s">
        <v>79</v>
      </c>
      <c r="C28" t="s">
        <v>68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1728</v>
      </c>
      <c r="B29" t="s">
        <v>108</v>
      </c>
      <c r="C29" t="s">
        <v>68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1728</v>
      </c>
      <c r="B30" t="s">
        <v>103</v>
      </c>
      <c r="C30" t="s">
        <v>68</v>
      </c>
      <c r="D30" t="s">
        <v>33</v>
      </c>
      <c r="H30">
        <v>790.5</v>
      </c>
      <c r="J30">
        <f t="shared" si="0"/>
        <v>790.5</v>
      </c>
      <c r="L30">
        <f t="shared" si="1"/>
        <v>0.35290178571428571</v>
      </c>
    </row>
    <row r="31" spans="1:12" x14ac:dyDescent="0.25">
      <c r="A31">
        <v>1728</v>
      </c>
      <c r="B31" t="s">
        <v>44</v>
      </c>
      <c r="C31" t="s">
        <v>68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1728</v>
      </c>
      <c r="B32" t="s">
        <v>97</v>
      </c>
      <c r="C32" t="s">
        <v>68</v>
      </c>
      <c r="D32" t="s">
        <v>33</v>
      </c>
      <c r="H32">
        <v>1100</v>
      </c>
      <c r="J32">
        <f t="shared" si="0"/>
        <v>1100</v>
      </c>
      <c r="L32">
        <f t="shared" si="1"/>
        <v>0.49107142857142855</v>
      </c>
    </row>
    <row r="33" spans="1:12" x14ac:dyDescent="0.25">
      <c r="A33">
        <v>1728</v>
      </c>
      <c r="B33" t="s">
        <v>12</v>
      </c>
      <c r="C33" t="s">
        <v>68</v>
      </c>
      <c r="D33" t="s">
        <v>33</v>
      </c>
      <c r="H33">
        <v>125870</v>
      </c>
      <c r="J33">
        <f t="shared" si="0"/>
        <v>125870</v>
      </c>
      <c r="L33">
        <f t="shared" si="1"/>
        <v>56.191964285714285</v>
      </c>
    </row>
    <row r="34" spans="1:12" x14ac:dyDescent="0.25">
      <c r="A34">
        <v>1728</v>
      </c>
      <c r="B34" t="s">
        <v>109</v>
      </c>
      <c r="C34" t="s">
        <v>68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1728</v>
      </c>
      <c r="B35" t="s">
        <v>34</v>
      </c>
      <c r="C35" t="s">
        <v>68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1728</v>
      </c>
      <c r="B36" t="s">
        <v>13</v>
      </c>
      <c r="C36" t="s">
        <v>68</v>
      </c>
      <c r="D36" t="s">
        <v>33</v>
      </c>
      <c r="E36">
        <v>4</v>
      </c>
      <c r="F36">
        <v>10</v>
      </c>
      <c r="G36">
        <v>2</v>
      </c>
      <c r="H36">
        <v>14</v>
      </c>
      <c r="J36">
        <f t="shared" si="0"/>
        <v>10150</v>
      </c>
      <c r="L36">
        <f t="shared" si="1"/>
        <v>4.53125</v>
      </c>
    </row>
    <row r="37" spans="1:12" x14ac:dyDescent="0.25">
      <c r="A37">
        <v>1728</v>
      </c>
      <c r="B37" t="s">
        <v>14</v>
      </c>
      <c r="C37" t="s">
        <v>68</v>
      </c>
      <c r="D37" t="s">
        <v>33</v>
      </c>
      <c r="H37">
        <v>44911.5</v>
      </c>
      <c r="I37" t="s">
        <v>123</v>
      </c>
      <c r="J37">
        <f t="shared" si="0"/>
        <v>44911.5</v>
      </c>
      <c r="L37">
        <f t="shared" si="1"/>
        <v>20.049776785714286</v>
      </c>
    </row>
    <row r="38" spans="1:12" x14ac:dyDescent="0.25">
      <c r="A38">
        <v>1728</v>
      </c>
      <c r="B38" t="s">
        <v>23</v>
      </c>
      <c r="C38" t="s">
        <v>68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1728</v>
      </c>
      <c r="B39" t="s">
        <v>27</v>
      </c>
      <c r="C39" t="s">
        <v>68</v>
      </c>
      <c r="D39" t="s">
        <v>33</v>
      </c>
      <c r="H39">
        <v>60005.5</v>
      </c>
      <c r="I39" t="s">
        <v>126</v>
      </c>
      <c r="J39">
        <f t="shared" si="0"/>
        <v>60005.5</v>
      </c>
      <c r="L39">
        <f t="shared" si="1"/>
        <v>26.788169642857142</v>
      </c>
    </row>
    <row r="40" spans="1:12" x14ac:dyDescent="0.25">
      <c r="A40">
        <v>1728</v>
      </c>
      <c r="B40" t="s">
        <v>15</v>
      </c>
      <c r="C40" t="s">
        <v>68</v>
      </c>
      <c r="D40" t="s">
        <v>33</v>
      </c>
      <c r="G40">
        <v>3</v>
      </c>
      <c r="H40">
        <v>11</v>
      </c>
      <c r="J40">
        <f t="shared" si="0"/>
        <v>95</v>
      </c>
      <c r="L40">
        <f t="shared" si="1"/>
        <v>4.2410714285714288E-2</v>
      </c>
    </row>
    <row r="41" spans="1:12" x14ac:dyDescent="0.25">
      <c r="A41">
        <v>1728</v>
      </c>
      <c r="B41" t="s">
        <v>42</v>
      </c>
      <c r="C41" t="s">
        <v>68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1728</v>
      </c>
      <c r="B42" t="s">
        <v>83</v>
      </c>
      <c r="C42" t="s">
        <v>68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1728</v>
      </c>
      <c r="B43" t="s">
        <v>47</v>
      </c>
      <c r="C43" t="s">
        <v>68</v>
      </c>
      <c r="D43" t="s">
        <v>33</v>
      </c>
      <c r="H43">
        <v>340</v>
      </c>
      <c r="I43" t="s">
        <v>124</v>
      </c>
      <c r="J43">
        <f t="shared" si="0"/>
        <v>340</v>
      </c>
      <c r="L43">
        <f t="shared" si="1"/>
        <v>0.15178571428571427</v>
      </c>
    </row>
    <row r="44" spans="1:12" x14ac:dyDescent="0.25">
      <c r="A44">
        <v>1728</v>
      </c>
      <c r="B44" t="s">
        <v>16</v>
      </c>
      <c r="C44" t="s">
        <v>68</v>
      </c>
      <c r="D44" t="s">
        <v>33</v>
      </c>
      <c r="H44">
        <v>96062</v>
      </c>
      <c r="J44">
        <f t="shared" si="0"/>
        <v>96062</v>
      </c>
      <c r="L44">
        <f t="shared" si="1"/>
        <v>42.884821428571428</v>
      </c>
    </row>
    <row r="45" spans="1:12" x14ac:dyDescent="0.25">
      <c r="A45">
        <v>1728</v>
      </c>
      <c r="B45" t="s">
        <v>17</v>
      </c>
      <c r="C45" t="s">
        <v>68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1728</v>
      </c>
      <c r="B46" t="s">
        <v>18</v>
      </c>
      <c r="C46" t="s">
        <v>68</v>
      </c>
      <c r="D46" t="s">
        <v>33</v>
      </c>
      <c r="H46">
        <v>626386</v>
      </c>
      <c r="I46" t="s">
        <v>125</v>
      </c>
      <c r="J46">
        <f t="shared" si="0"/>
        <v>626386</v>
      </c>
      <c r="L46">
        <f t="shared" si="1"/>
        <v>279.63660714285714</v>
      </c>
    </row>
    <row r="47" spans="1:12" x14ac:dyDescent="0.25">
      <c r="A47">
        <v>1728</v>
      </c>
      <c r="B47" t="s">
        <v>26</v>
      </c>
      <c r="C47" t="s">
        <v>68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1728</v>
      </c>
      <c r="B48" t="s">
        <v>84</v>
      </c>
      <c r="C48" t="s">
        <v>68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1728</v>
      </c>
      <c r="B49" t="s">
        <v>19</v>
      </c>
      <c r="C49" t="s">
        <v>68</v>
      </c>
      <c r="D49" t="s">
        <v>33</v>
      </c>
      <c r="F49">
        <v>34</v>
      </c>
      <c r="G49">
        <v>3</v>
      </c>
      <c r="H49">
        <v>19</v>
      </c>
      <c r="J49">
        <f t="shared" si="0"/>
        <v>3911</v>
      </c>
      <c r="L49">
        <f t="shared" si="1"/>
        <v>1.7459821428571429</v>
      </c>
    </row>
    <row r="50" spans="1:12" x14ac:dyDescent="0.25">
      <c r="A50">
        <v>1728</v>
      </c>
      <c r="B50" t="s">
        <v>45</v>
      </c>
      <c r="C50" t="s">
        <v>68</v>
      </c>
      <c r="D50" t="s">
        <v>33</v>
      </c>
      <c r="H50">
        <v>97476</v>
      </c>
      <c r="J50">
        <f t="shared" si="0"/>
        <v>97476</v>
      </c>
      <c r="L50">
        <f t="shared" si="1"/>
        <v>43.516071428571429</v>
      </c>
    </row>
    <row r="51" spans="1:12" x14ac:dyDescent="0.25">
      <c r="A51">
        <v>1728</v>
      </c>
      <c r="B51" t="s">
        <v>85</v>
      </c>
      <c r="C51" t="s">
        <v>68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1728</v>
      </c>
      <c r="B52" t="s">
        <v>54</v>
      </c>
      <c r="C52" t="s">
        <v>68</v>
      </c>
      <c r="D52" t="s">
        <v>33</v>
      </c>
      <c r="H52">
        <v>2127</v>
      </c>
      <c r="J52">
        <f t="shared" si="0"/>
        <v>2127</v>
      </c>
      <c r="L52">
        <f t="shared" si="1"/>
        <v>0.94955357142857144</v>
      </c>
    </row>
    <row r="53" spans="1:12" x14ac:dyDescent="0.25">
      <c r="A53">
        <v>1728</v>
      </c>
      <c r="B53" t="s">
        <v>95</v>
      </c>
      <c r="C53" t="s">
        <v>68</v>
      </c>
      <c r="D53" t="s">
        <v>33</v>
      </c>
      <c r="H53">
        <v>553</v>
      </c>
      <c r="J53">
        <f t="shared" si="0"/>
        <v>553</v>
      </c>
      <c r="L53">
        <f t="shared" si="1"/>
        <v>0.24687500000000001</v>
      </c>
    </row>
    <row r="54" spans="1:12" x14ac:dyDescent="0.25">
      <c r="A54">
        <v>1728</v>
      </c>
      <c r="B54" t="s">
        <v>20</v>
      </c>
      <c r="C54" t="s">
        <v>68</v>
      </c>
      <c r="D54" t="s">
        <v>33</v>
      </c>
      <c r="H54">
        <v>491</v>
      </c>
      <c r="J54">
        <f t="shared" si="0"/>
        <v>491</v>
      </c>
      <c r="L54">
        <f t="shared" si="1"/>
        <v>0.21919642857142857</v>
      </c>
    </row>
    <row r="55" spans="1:12" x14ac:dyDescent="0.25">
      <c r="A55">
        <v>1728</v>
      </c>
      <c r="B55" t="s">
        <v>21</v>
      </c>
      <c r="C55" t="s">
        <v>68</v>
      </c>
      <c r="D55" t="s">
        <v>33</v>
      </c>
      <c r="H55">
        <v>4653</v>
      </c>
      <c r="J55">
        <f t="shared" si="0"/>
        <v>4653</v>
      </c>
      <c r="L55">
        <f t="shared" si="1"/>
        <v>2.077232142857143</v>
      </c>
    </row>
    <row r="56" spans="1:12" x14ac:dyDescent="0.25">
      <c r="A56">
        <v>1728</v>
      </c>
      <c r="B56" t="s">
        <v>90</v>
      </c>
      <c r="C56" t="s">
        <v>68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1728</v>
      </c>
      <c r="B57" t="s">
        <v>22</v>
      </c>
      <c r="C57" t="s">
        <v>68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1728</v>
      </c>
      <c r="B58" t="s">
        <v>61</v>
      </c>
      <c r="C58" t="s">
        <v>68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1728</v>
      </c>
      <c r="B59" t="s">
        <v>98</v>
      </c>
      <c r="C59" t="s">
        <v>68</v>
      </c>
      <c r="D59" t="s">
        <v>33</v>
      </c>
      <c r="E59">
        <v>65</v>
      </c>
      <c r="F59">
        <v>3</v>
      </c>
      <c r="G59">
        <v>3</v>
      </c>
      <c r="J59">
        <f t="shared" si="0"/>
        <v>146020</v>
      </c>
      <c r="L59">
        <f t="shared" si="1"/>
        <v>65.1875</v>
      </c>
    </row>
    <row r="60" spans="1:12" x14ac:dyDescent="0.25">
      <c r="A60">
        <v>1728</v>
      </c>
      <c r="B60" t="s">
        <v>87</v>
      </c>
      <c r="C60" t="s">
        <v>68</v>
      </c>
      <c r="D60" t="s">
        <v>33</v>
      </c>
      <c r="E60">
        <v>10</v>
      </c>
      <c r="F60">
        <v>5</v>
      </c>
      <c r="J60">
        <f t="shared" si="0"/>
        <v>22960</v>
      </c>
      <c r="L60">
        <f t="shared" si="1"/>
        <v>10.25</v>
      </c>
    </row>
    <row r="61" spans="1:12" x14ac:dyDescent="0.25">
      <c r="A61">
        <v>1728</v>
      </c>
      <c r="B61" t="s">
        <v>62</v>
      </c>
      <c r="C61" t="s">
        <v>68</v>
      </c>
      <c r="D61" t="s">
        <v>33</v>
      </c>
      <c r="E61">
        <v>5</v>
      </c>
      <c r="F61">
        <v>14</v>
      </c>
      <c r="J61">
        <f t="shared" si="0"/>
        <v>12768</v>
      </c>
      <c r="L61">
        <f t="shared" si="1"/>
        <v>5.7</v>
      </c>
    </row>
    <row r="62" spans="1:12" x14ac:dyDescent="0.25">
      <c r="A62">
        <v>1728</v>
      </c>
      <c r="B62" t="s">
        <v>88</v>
      </c>
      <c r="C62" t="s">
        <v>68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1728</v>
      </c>
      <c r="B63" t="s">
        <v>63</v>
      </c>
      <c r="C63" t="s">
        <v>68</v>
      </c>
      <c r="D63" t="s">
        <v>33</v>
      </c>
      <c r="E63">
        <v>668</v>
      </c>
      <c r="F63">
        <v>14</v>
      </c>
      <c r="G63">
        <v>3</v>
      </c>
      <c r="H63">
        <v>14</v>
      </c>
      <c r="J63">
        <f t="shared" si="0"/>
        <v>1497986</v>
      </c>
      <c r="L63">
        <f t="shared" si="1"/>
        <v>668.74374999999998</v>
      </c>
    </row>
    <row r="64" spans="1:12" x14ac:dyDescent="0.25">
      <c r="A64">
        <v>1728</v>
      </c>
      <c r="B64" t="s">
        <v>89</v>
      </c>
      <c r="C64" t="s">
        <v>68</v>
      </c>
      <c r="D64" t="s">
        <v>33</v>
      </c>
      <c r="F64">
        <v>381</v>
      </c>
      <c r="G64">
        <v>2</v>
      </c>
      <c r="H64">
        <v>1</v>
      </c>
      <c r="J64">
        <f t="shared" si="0"/>
        <v>42729</v>
      </c>
      <c r="L64">
        <f t="shared" si="1"/>
        <v>19.075446428571428</v>
      </c>
    </row>
    <row r="65" spans="1:12" x14ac:dyDescent="0.25">
      <c r="A65">
        <v>1728</v>
      </c>
      <c r="B65" t="s">
        <v>70</v>
      </c>
      <c r="C65" t="s">
        <v>68</v>
      </c>
      <c r="D65" t="s">
        <v>33</v>
      </c>
      <c r="E65">
        <v>17</v>
      </c>
      <c r="F65">
        <v>10</v>
      </c>
      <c r="J65">
        <f t="shared" si="0"/>
        <v>39200</v>
      </c>
      <c r="L65">
        <f t="shared" si="1"/>
        <v>17.5</v>
      </c>
    </row>
    <row r="66" spans="1:12" x14ac:dyDescent="0.25">
      <c r="A66">
        <v>1728</v>
      </c>
      <c r="B66" t="s">
        <v>64</v>
      </c>
      <c r="C66" t="s">
        <v>68</v>
      </c>
      <c r="D66" t="s">
        <v>33</v>
      </c>
      <c r="J66">
        <f t="shared" si="0"/>
        <v>0</v>
      </c>
      <c r="L66">
        <f t="shared" si="1"/>
        <v>0</v>
      </c>
    </row>
    <row r="67" spans="1:12" x14ac:dyDescent="0.25">
      <c r="A67">
        <v>1728</v>
      </c>
      <c r="B67" t="s">
        <v>65</v>
      </c>
      <c r="C67" t="s">
        <v>68</v>
      </c>
      <c r="D67" t="s">
        <v>33</v>
      </c>
      <c r="J67">
        <f t="shared" si="0"/>
        <v>0</v>
      </c>
      <c r="L67">
        <f t="shared" si="1"/>
        <v>0</v>
      </c>
    </row>
    <row r="68" spans="1:12" x14ac:dyDescent="0.25">
      <c r="A68">
        <v>1728</v>
      </c>
      <c r="B68" t="s">
        <v>55</v>
      </c>
      <c r="C68" t="s">
        <v>68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1728</v>
      </c>
      <c r="B69" t="s">
        <v>57</v>
      </c>
      <c r="C69" t="s">
        <v>68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1728</v>
      </c>
      <c r="B70" t="s">
        <v>36</v>
      </c>
      <c r="C70" t="s">
        <v>68</v>
      </c>
      <c r="D70" t="s">
        <v>35</v>
      </c>
      <c r="J70">
        <f t="shared" si="0"/>
        <v>0</v>
      </c>
      <c r="L70">
        <f t="shared" si="1"/>
        <v>0</v>
      </c>
    </row>
    <row r="71" spans="1:12" x14ac:dyDescent="0.25">
      <c r="A71">
        <v>1728</v>
      </c>
      <c r="B71" t="s">
        <v>4</v>
      </c>
      <c r="C71" t="s">
        <v>68</v>
      </c>
      <c r="D71" t="s">
        <v>35</v>
      </c>
      <c r="J71">
        <f t="shared" ref="J71:J132" si="2">(E71*2240)+(F71*112)+(G71*28)+H71</f>
        <v>0</v>
      </c>
      <c r="L71">
        <f t="shared" ref="L71:L132" si="3">J71/2240</f>
        <v>0</v>
      </c>
    </row>
    <row r="72" spans="1:12" x14ac:dyDescent="0.25">
      <c r="A72">
        <v>1728</v>
      </c>
      <c r="B72" t="s">
        <v>58</v>
      </c>
      <c r="C72" t="s">
        <v>68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1728</v>
      </c>
      <c r="B73" t="s">
        <v>69</v>
      </c>
      <c r="C73" t="s">
        <v>68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1728</v>
      </c>
      <c r="B74" t="s">
        <v>101</v>
      </c>
      <c r="C74" t="s">
        <v>68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1728</v>
      </c>
      <c r="B75" t="s">
        <v>43</v>
      </c>
      <c r="C75" t="s">
        <v>68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1728</v>
      </c>
      <c r="B76" t="s">
        <v>76</v>
      </c>
      <c r="C76" t="s">
        <v>68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1728</v>
      </c>
      <c r="B77" t="s">
        <v>5</v>
      </c>
      <c r="C77" t="s">
        <v>68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1728</v>
      </c>
      <c r="B78" t="s">
        <v>59</v>
      </c>
      <c r="C78" t="s">
        <v>68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1728</v>
      </c>
      <c r="B79" t="s">
        <v>6</v>
      </c>
      <c r="C79" t="s">
        <v>68</v>
      </c>
      <c r="D79" t="s">
        <v>35</v>
      </c>
      <c r="F79">
        <v>108657</v>
      </c>
      <c r="G79">
        <v>2</v>
      </c>
      <c r="H79">
        <v>22</v>
      </c>
      <c r="J79">
        <f t="shared" si="2"/>
        <v>12169662</v>
      </c>
      <c r="L79">
        <f t="shared" si="3"/>
        <v>5432.8848214285717</v>
      </c>
    </row>
    <row r="80" spans="1:12" x14ac:dyDescent="0.25">
      <c r="A80">
        <v>1728</v>
      </c>
      <c r="B80" t="s">
        <v>60</v>
      </c>
      <c r="C80" t="s">
        <v>68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1728</v>
      </c>
      <c r="B81" t="s">
        <v>38</v>
      </c>
      <c r="C81" t="s">
        <v>68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1728</v>
      </c>
      <c r="B82" t="s">
        <v>37</v>
      </c>
      <c r="C82" t="s">
        <v>68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1728</v>
      </c>
      <c r="B83" t="s">
        <v>8</v>
      </c>
      <c r="C83" t="s">
        <v>68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1728</v>
      </c>
      <c r="B84" t="s">
        <v>40</v>
      </c>
      <c r="C84" t="s">
        <v>68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1728</v>
      </c>
      <c r="B85" t="s">
        <v>77</v>
      </c>
      <c r="C85" t="s">
        <v>68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1728</v>
      </c>
      <c r="B86" t="s">
        <v>78</v>
      </c>
      <c r="C86" t="s">
        <v>68</v>
      </c>
      <c r="D86" t="s">
        <v>35</v>
      </c>
      <c r="H86">
        <v>2230</v>
      </c>
      <c r="J86">
        <f t="shared" si="2"/>
        <v>2230</v>
      </c>
      <c r="L86">
        <f t="shared" si="3"/>
        <v>0.9955357142857143</v>
      </c>
    </row>
    <row r="87" spans="1:12" x14ac:dyDescent="0.25">
      <c r="A87">
        <v>1728</v>
      </c>
      <c r="B87" t="s">
        <v>46</v>
      </c>
      <c r="C87" t="s">
        <v>68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1728</v>
      </c>
      <c r="B88" t="s">
        <v>9</v>
      </c>
      <c r="C88" t="s">
        <v>68</v>
      </c>
      <c r="D88" t="s">
        <v>35</v>
      </c>
      <c r="H88">
        <v>279684</v>
      </c>
      <c r="J88">
        <f t="shared" si="2"/>
        <v>279684</v>
      </c>
      <c r="L88">
        <f t="shared" si="3"/>
        <v>124.85892857142858</v>
      </c>
    </row>
    <row r="89" spans="1:12" x14ac:dyDescent="0.25">
      <c r="A89">
        <v>1728</v>
      </c>
      <c r="B89" t="s">
        <v>10</v>
      </c>
      <c r="C89" t="s">
        <v>68</v>
      </c>
      <c r="D89" t="s">
        <v>35</v>
      </c>
      <c r="F89">
        <v>5343</v>
      </c>
      <c r="H89">
        <v>26</v>
      </c>
      <c r="J89">
        <f t="shared" si="2"/>
        <v>598442</v>
      </c>
      <c r="L89">
        <f t="shared" si="3"/>
        <v>267.16160714285712</v>
      </c>
    </row>
    <row r="90" spans="1:12" x14ac:dyDescent="0.25">
      <c r="A90">
        <v>1728</v>
      </c>
      <c r="B90" t="s">
        <v>11</v>
      </c>
      <c r="C90" t="s">
        <v>68</v>
      </c>
      <c r="D90" t="s">
        <v>35</v>
      </c>
      <c r="F90">
        <v>178</v>
      </c>
      <c r="G90">
        <v>3</v>
      </c>
      <c r="H90">
        <v>19</v>
      </c>
      <c r="J90">
        <f t="shared" si="2"/>
        <v>20039</v>
      </c>
      <c r="L90">
        <f t="shared" si="3"/>
        <v>8.945982142857142</v>
      </c>
    </row>
    <row r="91" spans="1:12" x14ac:dyDescent="0.25">
      <c r="A91">
        <v>1728</v>
      </c>
      <c r="B91" t="s">
        <v>39</v>
      </c>
      <c r="C91" t="s">
        <v>68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1728</v>
      </c>
      <c r="B92" t="s">
        <v>79</v>
      </c>
      <c r="C92" t="s">
        <v>68</v>
      </c>
      <c r="D92" t="s">
        <v>35</v>
      </c>
      <c r="H92">
        <v>464</v>
      </c>
      <c r="J92">
        <f t="shared" si="2"/>
        <v>464</v>
      </c>
      <c r="L92">
        <f t="shared" si="3"/>
        <v>0.20714285714285716</v>
      </c>
    </row>
    <row r="93" spans="1:12" x14ac:dyDescent="0.25">
      <c r="A93">
        <v>1728</v>
      </c>
      <c r="B93" t="s">
        <v>103</v>
      </c>
      <c r="C93" t="s">
        <v>68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1728</v>
      </c>
      <c r="B94" t="s">
        <v>44</v>
      </c>
      <c r="C94" t="s">
        <v>68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1728</v>
      </c>
      <c r="B95" t="s">
        <v>97</v>
      </c>
      <c r="C95" t="s">
        <v>68</v>
      </c>
      <c r="D95" t="s">
        <v>35</v>
      </c>
      <c r="H95">
        <v>14</v>
      </c>
      <c r="J95">
        <f t="shared" si="2"/>
        <v>14</v>
      </c>
      <c r="L95">
        <f t="shared" si="3"/>
        <v>6.2500000000000003E-3</v>
      </c>
    </row>
    <row r="96" spans="1:12" x14ac:dyDescent="0.25">
      <c r="A96">
        <v>1728</v>
      </c>
      <c r="B96" t="s">
        <v>12</v>
      </c>
      <c r="C96" t="s">
        <v>68</v>
      </c>
      <c r="D96" t="s">
        <v>35</v>
      </c>
      <c r="H96">
        <v>116025</v>
      </c>
      <c r="J96">
        <f t="shared" si="2"/>
        <v>116025</v>
      </c>
      <c r="L96">
        <f t="shared" si="3"/>
        <v>51.796875</v>
      </c>
    </row>
    <row r="97" spans="1:12" x14ac:dyDescent="0.25">
      <c r="A97">
        <v>1728</v>
      </c>
      <c r="B97" t="s">
        <v>82</v>
      </c>
      <c r="C97" t="s">
        <v>68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1728</v>
      </c>
      <c r="B98" t="s">
        <v>34</v>
      </c>
      <c r="C98" t="s">
        <v>68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1728</v>
      </c>
      <c r="B99" t="s">
        <v>13</v>
      </c>
      <c r="C99" t="s">
        <v>68</v>
      </c>
      <c r="D99" t="s">
        <v>35</v>
      </c>
      <c r="E99">
        <v>1</v>
      </c>
      <c r="F99">
        <v>16</v>
      </c>
      <c r="H99">
        <v>21</v>
      </c>
      <c r="J99">
        <f t="shared" si="2"/>
        <v>4053</v>
      </c>
      <c r="L99">
        <f t="shared" si="3"/>
        <v>1.809375</v>
      </c>
    </row>
    <row r="100" spans="1:12" x14ac:dyDescent="0.25">
      <c r="A100">
        <v>1728</v>
      </c>
      <c r="B100" t="s">
        <v>14</v>
      </c>
      <c r="C100" t="s">
        <v>68</v>
      </c>
      <c r="D100" t="s">
        <v>35</v>
      </c>
      <c r="H100">
        <v>24806.5</v>
      </c>
      <c r="I100" t="s">
        <v>152</v>
      </c>
      <c r="J100">
        <f t="shared" si="2"/>
        <v>24806.5</v>
      </c>
      <c r="L100">
        <f t="shared" si="3"/>
        <v>11.074330357142857</v>
      </c>
    </row>
    <row r="101" spans="1:12" x14ac:dyDescent="0.25">
      <c r="A101">
        <v>1728</v>
      </c>
      <c r="B101" t="s">
        <v>23</v>
      </c>
      <c r="C101" t="s">
        <v>68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1728</v>
      </c>
      <c r="B102" t="s">
        <v>27</v>
      </c>
      <c r="C102" t="s">
        <v>68</v>
      </c>
      <c r="D102" t="s">
        <v>35</v>
      </c>
      <c r="H102">
        <v>30218</v>
      </c>
      <c r="I102" t="s">
        <v>154</v>
      </c>
      <c r="J102">
        <f t="shared" si="2"/>
        <v>30218</v>
      </c>
      <c r="L102">
        <f t="shared" si="3"/>
        <v>13.490178571428572</v>
      </c>
    </row>
    <row r="103" spans="1:12" x14ac:dyDescent="0.25">
      <c r="A103">
        <v>1728</v>
      </c>
      <c r="B103" t="s">
        <v>15</v>
      </c>
      <c r="C103" t="s">
        <v>68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1728</v>
      </c>
      <c r="B104" t="s">
        <v>93</v>
      </c>
      <c r="C104" t="s">
        <v>68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1728</v>
      </c>
      <c r="B105" t="s">
        <v>42</v>
      </c>
      <c r="C105" t="s">
        <v>68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1728</v>
      </c>
      <c r="B106" t="s">
        <v>83</v>
      </c>
      <c r="C106" t="s">
        <v>68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1728</v>
      </c>
      <c r="B107" t="s">
        <v>47</v>
      </c>
      <c r="C107" t="s">
        <v>68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1728</v>
      </c>
      <c r="B108" t="s">
        <v>16</v>
      </c>
      <c r="C108" t="s">
        <v>68</v>
      </c>
      <c r="D108" t="s">
        <v>35</v>
      </c>
      <c r="H108">
        <v>188659</v>
      </c>
      <c r="J108">
        <f t="shared" si="2"/>
        <v>188659</v>
      </c>
      <c r="L108">
        <f t="shared" si="3"/>
        <v>84.222767857142856</v>
      </c>
    </row>
    <row r="109" spans="1:12" x14ac:dyDescent="0.25">
      <c r="A109">
        <v>1728</v>
      </c>
      <c r="B109" t="s">
        <v>17</v>
      </c>
      <c r="C109" t="s">
        <v>68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1728</v>
      </c>
      <c r="B110" t="s">
        <v>18</v>
      </c>
      <c r="C110" t="s">
        <v>68</v>
      </c>
      <c r="D110" t="s">
        <v>35</v>
      </c>
      <c r="H110">
        <v>216325.5</v>
      </c>
      <c r="I110" t="s">
        <v>153</v>
      </c>
      <c r="J110">
        <f t="shared" si="2"/>
        <v>216325.5</v>
      </c>
      <c r="L110">
        <f t="shared" si="3"/>
        <v>96.573883928571433</v>
      </c>
    </row>
    <row r="111" spans="1:12" x14ac:dyDescent="0.25">
      <c r="A111">
        <v>1728</v>
      </c>
      <c r="B111" t="s">
        <v>26</v>
      </c>
      <c r="C111" t="s">
        <v>68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1728</v>
      </c>
      <c r="B112" t="s">
        <v>84</v>
      </c>
      <c r="C112" t="s">
        <v>68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1728</v>
      </c>
      <c r="B113" t="s">
        <v>19</v>
      </c>
      <c r="C113" t="s">
        <v>68</v>
      </c>
      <c r="D113" t="s">
        <v>35</v>
      </c>
      <c r="F113">
        <v>20</v>
      </c>
      <c r="H113">
        <v>2</v>
      </c>
      <c r="J113">
        <f t="shared" si="2"/>
        <v>2242</v>
      </c>
      <c r="L113">
        <f t="shared" si="3"/>
        <v>1.0008928571428573</v>
      </c>
    </row>
    <row r="114" spans="1:12" x14ac:dyDescent="0.25">
      <c r="A114">
        <v>1728</v>
      </c>
      <c r="B114" t="s">
        <v>45</v>
      </c>
      <c r="C114" t="s">
        <v>68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1728</v>
      </c>
      <c r="B115" t="s">
        <v>85</v>
      </c>
      <c r="C115" t="s">
        <v>68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1728</v>
      </c>
      <c r="B116" t="s">
        <v>54</v>
      </c>
      <c r="C116" t="s">
        <v>68</v>
      </c>
      <c r="D116" t="s">
        <v>35</v>
      </c>
      <c r="H116">
        <v>173.5</v>
      </c>
      <c r="J116">
        <f t="shared" si="2"/>
        <v>173.5</v>
      </c>
      <c r="L116">
        <f t="shared" si="3"/>
        <v>7.7455357142857145E-2</v>
      </c>
    </row>
    <row r="117" spans="1:12" x14ac:dyDescent="0.25">
      <c r="A117">
        <v>1728</v>
      </c>
      <c r="B117" t="s">
        <v>95</v>
      </c>
      <c r="C117" t="s">
        <v>68</v>
      </c>
      <c r="D117" t="s">
        <v>35</v>
      </c>
      <c r="H117">
        <v>136</v>
      </c>
      <c r="J117">
        <f t="shared" si="2"/>
        <v>136</v>
      </c>
      <c r="L117">
        <f t="shared" si="3"/>
        <v>6.0714285714285714E-2</v>
      </c>
    </row>
    <row r="118" spans="1:12" x14ac:dyDescent="0.25">
      <c r="A118">
        <v>1728</v>
      </c>
      <c r="B118" t="s">
        <v>20</v>
      </c>
      <c r="C118" t="s">
        <v>68</v>
      </c>
      <c r="D118" t="s">
        <v>35</v>
      </c>
      <c r="H118">
        <v>1146</v>
      </c>
      <c r="J118">
        <f t="shared" si="2"/>
        <v>1146</v>
      </c>
      <c r="L118">
        <f t="shared" si="3"/>
        <v>0.51160714285714282</v>
      </c>
    </row>
    <row r="119" spans="1:12" x14ac:dyDescent="0.25">
      <c r="A119">
        <v>1728</v>
      </c>
      <c r="B119" t="s">
        <v>21</v>
      </c>
      <c r="C119" t="s">
        <v>68</v>
      </c>
      <c r="D119" t="s">
        <v>35</v>
      </c>
      <c r="H119">
        <v>2123</v>
      </c>
      <c r="J119">
        <f t="shared" si="2"/>
        <v>2123</v>
      </c>
      <c r="L119">
        <f t="shared" si="3"/>
        <v>0.94776785714285716</v>
      </c>
    </row>
    <row r="120" spans="1:12" x14ac:dyDescent="0.25">
      <c r="A120">
        <v>1728</v>
      </c>
      <c r="B120" t="s">
        <v>90</v>
      </c>
      <c r="C120" t="s">
        <v>68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1728</v>
      </c>
      <c r="B121" t="s">
        <v>22</v>
      </c>
      <c r="C121" t="s">
        <v>68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1728</v>
      </c>
      <c r="B122" t="s">
        <v>61</v>
      </c>
      <c r="C122" t="s">
        <v>68</v>
      </c>
      <c r="D122" t="s">
        <v>35</v>
      </c>
      <c r="E122">
        <v>4</v>
      </c>
      <c r="F122">
        <v>10</v>
      </c>
      <c r="J122">
        <f t="shared" si="2"/>
        <v>10080</v>
      </c>
      <c r="L122">
        <f t="shared" si="3"/>
        <v>4.5</v>
      </c>
    </row>
    <row r="123" spans="1:12" x14ac:dyDescent="0.25">
      <c r="A123">
        <v>1728</v>
      </c>
      <c r="B123" t="s">
        <v>91</v>
      </c>
      <c r="C123" t="s">
        <v>68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1728</v>
      </c>
      <c r="B124" t="s">
        <v>98</v>
      </c>
      <c r="C124" t="s">
        <v>68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1728</v>
      </c>
      <c r="B125" t="s">
        <v>87</v>
      </c>
      <c r="C125" t="s">
        <v>68</v>
      </c>
      <c r="D125" t="s">
        <v>35</v>
      </c>
      <c r="E125">
        <v>9</v>
      </c>
      <c r="F125">
        <v>7</v>
      </c>
      <c r="J125">
        <f t="shared" si="2"/>
        <v>20944</v>
      </c>
      <c r="L125">
        <f t="shared" si="3"/>
        <v>9.35</v>
      </c>
    </row>
    <row r="126" spans="1:12" x14ac:dyDescent="0.25">
      <c r="A126">
        <v>1728</v>
      </c>
      <c r="B126" t="s">
        <v>62</v>
      </c>
      <c r="C126" t="s">
        <v>68</v>
      </c>
      <c r="D126" t="s">
        <v>35</v>
      </c>
      <c r="E126">
        <v>34</v>
      </c>
      <c r="F126">
        <v>16</v>
      </c>
      <c r="G126">
        <v>3</v>
      </c>
      <c r="H126">
        <v>15</v>
      </c>
      <c r="J126">
        <f t="shared" si="2"/>
        <v>78051</v>
      </c>
      <c r="L126">
        <f t="shared" si="3"/>
        <v>34.844196428571429</v>
      </c>
    </row>
    <row r="127" spans="1:12" x14ac:dyDescent="0.25">
      <c r="A127">
        <v>1728</v>
      </c>
      <c r="B127" t="s">
        <v>88</v>
      </c>
      <c r="C127" t="s">
        <v>68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1728</v>
      </c>
      <c r="B128" t="s">
        <v>63</v>
      </c>
      <c r="C128" t="s">
        <v>68</v>
      </c>
      <c r="D128" t="s">
        <v>35</v>
      </c>
      <c r="E128">
        <v>536</v>
      </c>
      <c r="F128">
        <v>8</v>
      </c>
      <c r="G128">
        <v>2</v>
      </c>
      <c r="H128">
        <v>25</v>
      </c>
      <c r="J128">
        <f t="shared" si="2"/>
        <v>1201617</v>
      </c>
      <c r="L128">
        <f t="shared" si="3"/>
        <v>536.43616071428573</v>
      </c>
    </row>
    <row r="129" spans="1:12" x14ac:dyDescent="0.25">
      <c r="A129">
        <v>1728</v>
      </c>
      <c r="B129" t="s">
        <v>89</v>
      </c>
      <c r="C129" t="s">
        <v>68</v>
      </c>
      <c r="D129" t="s">
        <v>35</v>
      </c>
      <c r="E129">
        <v>22</v>
      </c>
      <c r="F129">
        <v>6</v>
      </c>
      <c r="G129">
        <v>1</v>
      </c>
      <c r="H129">
        <v>4</v>
      </c>
      <c r="J129">
        <f t="shared" si="2"/>
        <v>49984</v>
      </c>
      <c r="L129">
        <f t="shared" si="3"/>
        <v>22.314285714285713</v>
      </c>
    </row>
    <row r="130" spans="1:12" x14ac:dyDescent="0.25">
      <c r="A130">
        <v>1728</v>
      </c>
      <c r="B130" t="s">
        <v>70</v>
      </c>
      <c r="C130" t="s">
        <v>68</v>
      </c>
      <c r="D130" t="s">
        <v>35</v>
      </c>
      <c r="E130">
        <v>37</v>
      </c>
      <c r="F130">
        <v>5</v>
      </c>
      <c r="H130">
        <v>16</v>
      </c>
      <c r="J130">
        <f t="shared" si="2"/>
        <v>83456</v>
      </c>
      <c r="L130">
        <f t="shared" si="3"/>
        <v>37.25714285714286</v>
      </c>
    </row>
    <row r="131" spans="1:12" x14ac:dyDescent="0.25">
      <c r="A131">
        <v>1728</v>
      </c>
      <c r="B131" t="s">
        <v>64</v>
      </c>
      <c r="C131" t="s">
        <v>68</v>
      </c>
      <c r="D131" t="s">
        <v>35</v>
      </c>
      <c r="E131">
        <v>11</v>
      </c>
      <c r="F131">
        <v>2</v>
      </c>
      <c r="G131">
        <v>1</v>
      </c>
      <c r="H131">
        <v>23</v>
      </c>
      <c r="J131">
        <f t="shared" si="2"/>
        <v>24915</v>
      </c>
      <c r="L131">
        <f t="shared" si="3"/>
        <v>11.122767857142858</v>
      </c>
    </row>
    <row r="132" spans="1:12" x14ac:dyDescent="0.25">
      <c r="A132">
        <v>1728</v>
      </c>
      <c r="B132" t="s">
        <v>65</v>
      </c>
      <c r="C132" t="s">
        <v>68</v>
      </c>
      <c r="D132" t="s">
        <v>35</v>
      </c>
      <c r="J132">
        <f t="shared" si="2"/>
        <v>0</v>
      </c>
      <c r="L132">
        <f t="shared" si="3"/>
        <v>0</v>
      </c>
    </row>
  </sheetData>
  <autoFilter ref="A1:O63" xr:uid="{8C2F7725-5A61-4A1B-A740-CC887BCB0E68}">
    <sortState xmlns:xlrd2="http://schemas.microsoft.com/office/spreadsheetml/2017/richdata2" ref="A2:O63">
      <sortCondition ref="B1:B63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O126"/>
  <sheetViews>
    <sheetView topLeftCell="A50" workbookViewId="0">
      <selection activeCell="H84" sqref="H84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1728</v>
      </c>
      <c r="B2" t="s">
        <v>55</v>
      </c>
      <c r="C2" t="s">
        <v>72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1728</v>
      </c>
      <c r="B3" t="s">
        <v>57</v>
      </c>
      <c r="C3" t="s">
        <v>72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1728</v>
      </c>
      <c r="B4" t="s">
        <v>36</v>
      </c>
      <c r="C4" t="s">
        <v>72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1728</v>
      </c>
      <c r="B5" t="s">
        <v>4</v>
      </c>
      <c r="C5" t="s">
        <v>72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1728</v>
      </c>
      <c r="B6" t="s">
        <v>58</v>
      </c>
      <c r="C6" t="s">
        <v>72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1728</v>
      </c>
      <c r="B7" t="s">
        <v>69</v>
      </c>
      <c r="C7" t="s">
        <v>72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1728</v>
      </c>
      <c r="B8" t="s">
        <v>43</v>
      </c>
      <c r="C8" t="s">
        <v>72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1728</v>
      </c>
      <c r="B9" t="s">
        <v>76</v>
      </c>
      <c r="C9" t="s">
        <v>72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1728</v>
      </c>
      <c r="B10" t="s">
        <v>5</v>
      </c>
      <c r="C10" t="s">
        <v>72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1728</v>
      </c>
      <c r="B11" t="s">
        <v>59</v>
      </c>
      <c r="C11" t="s">
        <v>72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1728</v>
      </c>
      <c r="B12" t="s">
        <v>6</v>
      </c>
      <c r="C12" t="s">
        <v>72</v>
      </c>
      <c r="D12" t="s">
        <v>33</v>
      </c>
      <c r="F12">
        <v>44759</v>
      </c>
      <c r="J12">
        <f t="shared" si="0"/>
        <v>5013008</v>
      </c>
      <c r="L12">
        <f t="shared" si="1"/>
        <v>2237.9499999999998</v>
      </c>
    </row>
    <row r="13" spans="1:15" x14ac:dyDescent="0.25">
      <c r="A13">
        <v>1728</v>
      </c>
      <c r="B13" t="s">
        <v>96</v>
      </c>
      <c r="C13" t="s">
        <v>72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1728</v>
      </c>
      <c r="B14" t="s">
        <v>60</v>
      </c>
      <c r="C14" t="s">
        <v>72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1728</v>
      </c>
      <c r="B15" t="s">
        <v>7</v>
      </c>
      <c r="C15" t="s">
        <v>72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1728</v>
      </c>
      <c r="B16" t="s">
        <v>37</v>
      </c>
      <c r="C16" t="s">
        <v>72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1728</v>
      </c>
      <c r="B17" t="s">
        <v>8</v>
      </c>
      <c r="C17" t="s">
        <v>72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1728</v>
      </c>
      <c r="B18" t="s">
        <v>40</v>
      </c>
      <c r="C18" t="s">
        <v>72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1728</v>
      </c>
      <c r="B19" t="s">
        <v>77</v>
      </c>
      <c r="C19" t="s">
        <v>72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1728</v>
      </c>
      <c r="B20" t="s">
        <v>78</v>
      </c>
      <c r="C20" t="s">
        <v>72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1728</v>
      </c>
      <c r="B21" t="s">
        <v>46</v>
      </c>
      <c r="C21" t="s">
        <v>72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1728</v>
      </c>
      <c r="B22" t="s">
        <v>9</v>
      </c>
      <c r="C22" t="s">
        <v>72</v>
      </c>
      <c r="D22" t="s">
        <v>33</v>
      </c>
      <c r="H22">
        <f>50*200</f>
        <v>10000</v>
      </c>
      <c r="I22" t="s">
        <v>132</v>
      </c>
      <c r="J22">
        <f t="shared" si="0"/>
        <v>10000</v>
      </c>
      <c r="L22">
        <f t="shared" si="1"/>
        <v>4.4642857142857144</v>
      </c>
    </row>
    <row r="23" spans="1:12" x14ac:dyDescent="0.25">
      <c r="A23">
        <v>1728</v>
      </c>
      <c r="B23" t="s">
        <v>10</v>
      </c>
      <c r="C23" t="s">
        <v>72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1728</v>
      </c>
      <c r="B24" t="s">
        <v>11</v>
      </c>
      <c r="C24" t="s">
        <v>72</v>
      </c>
      <c r="D24" t="s">
        <v>33</v>
      </c>
      <c r="F24">
        <v>56</v>
      </c>
      <c r="G24">
        <v>1</v>
      </c>
      <c r="H24">
        <v>27</v>
      </c>
      <c r="J24">
        <f t="shared" si="0"/>
        <v>6327</v>
      </c>
      <c r="L24">
        <f t="shared" si="1"/>
        <v>2.8245535714285714</v>
      </c>
    </row>
    <row r="25" spans="1:12" x14ac:dyDescent="0.25">
      <c r="A25">
        <v>1728</v>
      </c>
      <c r="B25" t="s">
        <v>39</v>
      </c>
      <c r="C25" t="s">
        <v>72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1728</v>
      </c>
      <c r="B26" t="s">
        <v>79</v>
      </c>
      <c r="C26" t="s">
        <v>72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1728</v>
      </c>
      <c r="B27" t="s">
        <v>103</v>
      </c>
      <c r="C27" t="s">
        <v>72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1728</v>
      </c>
      <c r="B28" t="s">
        <v>44</v>
      </c>
      <c r="C28" t="s">
        <v>72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1728</v>
      </c>
      <c r="B29" t="s">
        <v>97</v>
      </c>
      <c r="C29" t="s">
        <v>72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1728</v>
      </c>
      <c r="B30" t="s">
        <v>12</v>
      </c>
      <c r="C30" t="s">
        <v>72</v>
      </c>
      <c r="D30" t="s">
        <v>33</v>
      </c>
      <c r="H30">
        <v>2817</v>
      </c>
      <c r="J30">
        <f t="shared" si="0"/>
        <v>2817</v>
      </c>
      <c r="L30">
        <f t="shared" si="1"/>
        <v>1.2575892857142856</v>
      </c>
    </row>
    <row r="31" spans="1:12" x14ac:dyDescent="0.25">
      <c r="A31">
        <v>1728</v>
      </c>
      <c r="B31" t="s">
        <v>82</v>
      </c>
      <c r="C31" t="s">
        <v>72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1728</v>
      </c>
      <c r="B32" t="s">
        <v>34</v>
      </c>
      <c r="C32" t="s">
        <v>72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1728</v>
      </c>
      <c r="B33" t="s">
        <v>13</v>
      </c>
      <c r="C33" t="s">
        <v>72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1728</v>
      </c>
      <c r="B34" t="s">
        <v>14</v>
      </c>
      <c r="C34" t="s">
        <v>72</v>
      </c>
      <c r="D34" t="s">
        <v>33</v>
      </c>
      <c r="H34">
        <v>12123</v>
      </c>
      <c r="I34" t="s">
        <v>128</v>
      </c>
      <c r="J34">
        <f t="shared" si="0"/>
        <v>12123</v>
      </c>
      <c r="L34">
        <f t="shared" si="1"/>
        <v>5.4120535714285714</v>
      </c>
    </row>
    <row r="35" spans="1:12" x14ac:dyDescent="0.25">
      <c r="A35">
        <v>1728</v>
      </c>
      <c r="B35" t="s">
        <v>23</v>
      </c>
      <c r="C35" t="s">
        <v>72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1728</v>
      </c>
      <c r="B36" t="s">
        <v>27</v>
      </c>
      <c r="C36" t="s">
        <v>72</v>
      </c>
      <c r="D36" t="s">
        <v>33</v>
      </c>
      <c r="H36">
        <v>2230.5</v>
      </c>
      <c r="I36" t="s">
        <v>131</v>
      </c>
      <c r="J36">
        <f t="shared" si="0"/>
        <v>2230.5</v>
      </c>
      <c r="L36">
        <f t="shared" si="1"/>
        <v>0.99575892857142856</v>
      </c>
    </row>
    <row r="37" spans="1:12" x14ac:dyDescent="0.25">
      <c r="A37">
        <v>1728</v>
      </c>
      <c r="B37" t="s">
        <v>15</v>
      </c>
      <c r="C37" t="s">
        <v>72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1728</v>
      </c>
      <c r="B38" t="s">
        <v>42</v>
      </c>
      <c r="C38" t="s">
        <v>72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1728</v>
      </c>
      <c r="B39" t="s">
        <v>83</v>
      </c>
      <c r="C39" t="s">
        <v>72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1728</v>
      </c>
      <c r="B40" t="s">
        <v>47</v>
      </c>
      <c r="C40" t="s">
        <v>72</v>
      </c>
      <c r="D40" t="s">
        <v>33</v>
      </c>
      <c r="H40">
        <v>90</v>
      </c>
      <c r="I40" t="s">
        <v>129</v>
      </c>
      <c r="J40">
        <f t="shared" si="0"/>
        <v>90</v>
      </c>
      <c r="L40">
        <f t="shared" si="1"/>
        <v>4.0178571428571432E-2</v>
      </c>
    </row>
    <row r="41" spans="1:12" x14ac:dyDescent="0.25">
      <c r="A41">
        <v>1728</v>
      </c>
      <c r="B41" t="s">
        <v>16</v>
      </c>
      <c r="C41" t="s">
        <v>72</v>
      </c>
      <c r="D41" t="s">
        <v>33</v>
      </c>
      <c r="H41">
        <v>2127</v>
      </c>
      <c r="J41">
        <f t="shared" si="0"/>
        <v>2127</v>
      </c>
      <c r="L41">
        <f t="shared" si="1"/>
        <v>0.94955357142857144</v>
      </c>
    </row>
    <row r="42" spans="1:12" x14ac:dyDescent="0.25">
      <c r="A42">
        <v>1728</v>
      </c>
      <c r="B42" t="s">
        <v>17</v>
      </c>
      <c r="C42" t="s">
        <v>72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1728</v>
      </c>
      <c r="B43" t="s">
        <v>18</v>
      </c>
      <c r="C43" t="s">
        <v>72</v>
      </c>
      <c r="D43" t="s">
        <v>33</v>
      </c>
      <c r="H43">
        <v>55414</v>
      </c>
      <c r="I43" t="s">
        <v>130</v>
      </c>
      <c r="J43">
        <f t="shared" si="0"/>
        <v>55414</v>
      </c>
      <c r="L43">
        <f t="shared" si="1"/>
        <v>24.738392857142856</v>
      </c>
    </row>
    <row r="44" spans="1:12" x14ac:dyDescent="0.25">
      <c r="A44">
        <v>1728</v>
      </c>
      <c r="B44" t="s">
        <v>26</v>
      </c>
      <c r="C44" t="s">
        <v>72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1728</v>
      </c>
      <c r="B45" t="s">
        <v>84</v>
      </c>
      <c r="C45" t="s">
        <v>72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1728</v>
      </c>
      <c r="B46" t="s">
        <v>19</v>
      </c>
      <c r="C46" t="s">
        <v>72</v>
      </c>
      <c r="D46" t="s">
        <v>33</v>
      </c>
      <c r="G46">
        <v>3</v>
      </c>
      <c r="H46">
        <v>10</v>
      </c>
      <c r="J46">
        <f t="shared" si="0"/>
        <v>94</v>
      </c>
      <c r="L46">
        <f t="shared" si="1"/>
        <v>4.1964285714285711E-2</v>
      </c>
    </row>
    <row r="47" spans="1:12" x14ac:dyDescent="0.25">
      <c r="A47">
        <v>1728</v>
      </c>
      <c r="B47" t="s">
        <v>45</v>
      </c>
      <c r="C47" t="s">
        <v>72</v>
      </c>
      <c r="D47" t="s">
        <v>33</v>
      </c>
      <c r="H47">
        <v>10</v>
      </c>
      <c r="J47">
        <f t="shared" si="0"/>
        <v>10</v>
      </c>
      <c r="L47">
        <f t="shared" si="1"/>
        <v>4.464285714285714E-3</v>
      </c>
    </row>
    <row r="48" spans="1:12" x14ac:dyDescent="0.25">
      <c r="A48">
        <v>1728</v>
      </c>
      <c r="B48" t="s">
        <v>85</v>
      </c>
      <c r="C48" t="s">
        <v>72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1728</v>
      </c>
      <c r="B49" t="s">
        <v>54</v>
      </c>
      <c r="C49" t="s">
        <v>72</v>
      </c>
      <c r="D49" t="s">
        <v>33</v>
      </c>
      <c r="H49">
        <v>183</v>
      </c>
      <c r="J49">
        <f t="shared" si="0"/>
        <v>183</v>
      </c>
      <c r="L49">
        <f t="shared" si="1"/>
        <v>8.1696428571428573E-2</v>
      </c>
    </row>
    <row r="50" spans="1:12" x14ac:dyDescent="0.25">
      <c r="A50">
        <v>1728</v>
      </c>
      <c r="B50" t="s">
        <v>95</v>
      </c>
      <c r="C50" t="s">
        <v>72</v>
      </c>
      <c r="D50" t="s">
        <v>33</v>
      </c>
      <c r="H50">
        <v>61</v>
      </c>
      <c r="J50">
        <f t="shared" si="0"/>
        <v>61</v>
      </c>
      <c r="L50">
        <f t="shared" si="1"/>
        <v>2.7232142857142858E-2</v>
      </c>
    </row>
    <row r="51" spans="1:12" x14ac:dyDescent="0.25">
      <c r="A51">
        <v>1728</v>
      </c>
      <c r="B51" t="s">
        <v>20</v>
      </c>
      <c r="C51" t="s">
        <v>72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1728</v>
      </c>
      <c r="B52" t="s">
        <v>21</v>
      </c>
      <c r="C52" t="s">
        <v>72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1728</v>
      </c>
      <c r="B53" t="s">
        <v>22</v>
      </c>
      <c r="C53" t="s">
        <v>72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1728</v>
      </c>
      <c r="B54" t="s">
        <v>61</v>
      </c>
      <c r="C54" t="s">
        <v>72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1728</v>
      </c>
      <c r="B55" t="s">
        <v>99</v>
      </c>
      <c r="C55" t="s">
        <v>72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1728</v>
      </c>
      <c r="B56" t="s">
        <v>87</v>
      </c>
      <c r="C56" t="s">
        <v>72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1728</v>
      </c>
      <c r="B57" t="s">
        <v>62</v>
      </c>
      <c r="C57" t="s">
        <v>72</v>
      </c>
      <c r="D57" t="s">
        <v>33</v>
      </c>
      <c r="E57">
        <v>10</v>
      </c>
      <c r="G57">
        <v>2</v>
      </c>
      <c r="H57">
        <v>8</v>
      </c>
      <c r="J57">
        <f t="shared" si="0"/>
        <v>22464</v>
      </c>
      <c r="L57">
        <f t="shared" si="1"/>
        <v>10.028571428571428</v>
      </c>
    </row>
    <row r="58" spans="1:12" x14ac:dyDescent="0.25">
      <c r="A58">
        <v>1728</v>
      </c>
      <c r="B58" t="s">
        <v>88</v>
      </c>
      <c r="C58" t="s">
        <v>72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1728</v>
      </c>
      <c r="B59" t="s">
        <v>63</v>
      </c>
      <c r="C59" t="s">
        <v>72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1728</v>
      </c>
      <c r="B60" t="s">
        <v>89</v>
      </c>
      <c r="C60" t="s">
        <v>72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1728</v>
      </c>
      <c r="B61" t="s">
        <v>70</v>
      </c>
      <c r="C61" t="s">
        <v>72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1728</v>
      </c>
      <c r="B62" t="s">
        <v>64</v>
      </c>
      <c r="C62" t="s">
        <v>72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1728</v>
      </c>
      <c r="B63" t="s">
        <v>65</v>
      </c>
      <c r="C63" t="s">
        <v>72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1728</v>
      </c>
      <c r="B64" t="s">
        <v>55</v>
      </c>
      <c r="C64" t="s">
        <v>72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1728</v>
      </c>
      <c r="B65" t="s">
        <v>57</v>
      </c>
      <c r="C65" t="s">
        <v>72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1728</v>
      </c>
      <c r="B66" t="s">
        <v>36</v>
      </c>
      <c r="C66" t="s">
        <v>72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1728</v>
      </c>
      <c r="B67" t="s">
        <v>4</v>
      </c>
      <c r="C67" t="s">
        <v>72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1728</v>
      </c>
      <c r="B68" t="s">
        <v>58</v>
      </c>
      <c r="C68" t="s">
        <v>72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1728</v>
      </c>
      <c r="B69" t="s">
        <v>69</v>
      </c>
      <c r="C69" t="s">
        <v>72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1728</v>
      </c>
      <c r="B70" t="s">
        <v>43</v>
      </c>
      <c r="C70" t="s">
        <v>72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1728</v>
      </c>
      <c r="B71" t="s">
        <v>76</v>
      </c>
      <c r="C71" t="s">
        <v>72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1728</v>
      </c>
      <c r="B72" t="s">
        <v>5</v>
      </c>
      <c r="C72" t="s">
        <v>72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1728</v>
      </c>
      <c r="B73" t="s">
        <v>59</v>
      </c>
      <c r="C73" t="s">
        <v>72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1728</v>
      </c>
      <c r="B74" t="s">
        <v>6</v>
      </c>
      <c r="C74" t="s">
        <v>72</v>
      </c>
      <c r="D74" t="s">
        <v>35</v>
      </c>
      <c r="F74">
        <v>5876</v>
      </c>
      <c r="G74">
        <v>3</v>
      </c>
      <c r="H74">
        <v>7</v>
      </c>
      <c r="J74">
        <f t="shared" si="2"/>
        <v>658203</v>
      </c>
      <c r="L74">
        <f t="shared" si="3"/>
        <v>293.84062499999999</v>
      </c>
    </row>
    <row r="75" spans="1:12" x14ac:dyDescent="0.25">
      <c r="A75">
        <v>1728</v>
      </c>
      <c r="B75" t="s">
        <v>60</v>
      </c>
      <c r="C75" t="s">
        <v>72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1728</v>
      </c>
      <c r="B76" t="s">
        <v>7</v>
      </c>
      <c r="C76" t="s">
        <v>72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1728</v>
      </c>
      <c r="B77" t="s">
        <v>37</v>
      </c>
      <c r="C77" t="s">
        <v>72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1728</v>
      </c>
      <c r="B78" t="s">
        <v>8</v>
      </c>
      <c r="C78" t="s">
        <v>72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1728</v>
      </c>
      <c r="B79" t="s">
        <v>40</v>
      </c>
      <c r="C79" t="s">
        <v>72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1728</v>
      </c>
      <c r="B80" t="s">
        <v>77</v>
      </c>
      <c r="C80" t="s">
        <v>72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1728</v>
      </c>
      <c r="B81" t="s">
        <v>78</v>
      </c>
      <c r="C81" t="s">
        <v>72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1728</v>
      </c>
      <c r="B82" t="s">
        <v>46</v>
      </c>
      <c r="C82" t="s">
        <v>72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1728</v>
      </c>
      <c r="B83" t="s">
        <v>9</v>
      </c>
      <c r="C83" t="s">
        <v>72</v>
      </c>
      <c r="D83" t="s">
        <v>35</v>
      </c>
      <c r="H83">
        <f>46*200</f>
        <v>9200</v>
      </c>
      <c r="I83" t="s">
        <v>158</v>
      </c>
      <c r="J83">
        <f t="shared" si="2"/>
        <v>9200</v>
      </c>
      <c r="L83">
        <f t="shared" si="3"/>
        <v>4.1071428571428568</v>
      </c>
    </row>
    <row r="84" spans="1:12" x14ac:dyDescent="0.25">
      <c r="A84">
        <v>1728</v>
      </c>
      <c r="B84" t="s">
        <v>10</v>
      </c>
      <c r="C84" t="s">
        <v>72</v>
      </c>
      <c r="D84" t="s">
        <v>35</v>
      </c>
      <c r="F84">
        <v>3</v>
      </c>
      <c r="J84">
        <f t="shared" si="2"/>
        <v>336</v>
      </c>
      <c r="L84">
        <f t="shared" si="3"/>
        <v>0.15</v>
      </c>
    </row>
    <row r="85" spans="1:12" x14ac:dyDescent="0.25">
      <c r="A85">
        <v>1728</v>
      </c>
      <c r="B85" t="s">
        <v>11</v>
      </c>
      <c r="C85" t="s">
        <v>72</v>
      </c>
      <c r="D85" t="s">
        <v>35</v>
      </c>
      <c r="F85">
        <v>22</v>
      </c>
      <c r="G85">
        <v>2</v>
      </c>
      <c r="H85">
        <v>4</v>
      </c>
      <c r="J85">
        <f t="shared" si="2"/>
        <v>2524</v>
      </c>
      <c r="L85">
        <f t="shared" si="3"/>
        <v>1.1267857142857143</v>
      </c>
    </row>
    <row r="86" spans="1:12" x14ac:dyDescent="0.25">
      <c r="A86">
        <v>1728</v>
      </c>
      <c r="B86" t="s">
        <v>39</v>
      </c>
      <c r="C86" t="s">
        <v>72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1728</v>
      </c>
      <c r="B87" t="s">
        <v>79</v>
      </c>
      <c r="C87" t="s">
        <v>72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1728</v>
      </c>
      <c r="B88" t="s">
        <v>103</v>
      </c>
      <c r="C88" t="s">
        <v>72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1728</v>
      </c>
      <c r="B89" t="s">
        <v>44</v>
      </c>
      <c r="C89" t="s">
        <v>72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1728</v>
      </c>
      <c r="B90" t="s">
        <v>97</v>
      </c>
      <c r="C90" t="s">
        <v>72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1728</v>
      </c>
      <c r="B91" t="s">
        <v>12</v>
      </c>
      <c r="C91" t="s">
        <v>72</v>
      </c>
      <c r="D91" t="s">
        <v>35</v>
      </c>
      <c r="H91">
        <v>1300</v>
      </c>
      <c r="J91">
        <f t="shared" si="2"/>
        <v>1300</v>
      </c>
      <c r="L91">
        <f t="shared" si="3"/>
        <v>0.5803571428571429</v>
      </c>
    </row>
    <row r="92" spans="1:12" x14ac:dyDescent="0.25">
      <c r="A92">
        <v>1728</v>
      </c>
      <c r="B92" t="s">
        <v>82</v>
      </c>
      <c r="C92" t="s">
        <v>72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1728</v>
      </c>
      <c r="B93" t="s">
        <v>34</v>
      </c>
      <c r="C93" t="s">
        <v>72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1728</v>
      </c>
      <c r="B94" t="s">
        <v>13</v>
      </c>
      <c r="C94" t="s">
        <v>72</v>
      </c>
      <c r="D94" t="s">
        <v>35</v>
      </c>
      <c r="E94">
        <v>10</v>
      </c>
      <c r="J94">
        <f t="shared" si="2"/>
        <v>22400</v>
      </c>
      <c r="L94">
        <f t="shared" si="3"/>
        <v>10</v>
      </c>
    </row>
    <row r="95" spans="1:12" x14ac:dyDescent="0.25">
      <c r="A95">
        <v>1728</v>
      </c>
      <c r="B95" t="s">
        <v>14</v>
      </c>
      <c r="C95" t="s">
        <v>72</v>
      </c>
      <c r="D95" t="s">
        <v>35</v>
      </c>
      <c r="H95">
        <v>2400.5</v>
      </c>
      <c r="I95" t="s">
        <v>155</v>
      </c>
      <c r="J95">
        <f t="shared" si="2"/>
        <v>2400.5</v>
      </c>
      <c r="L95">
        <f t="shared" si="3"/>
        <v>1.0716517857142858</v>
      </c>
    </row>
    <row r="96" spans="1:12" x14ac:dyDescent="0.25">
      <c r="A96">
        <v>1728</v>
      </c>
      <c r="B96" t="s">
        <v>23</v>
      </c>
      <c r="C96" t="s">
        <v>72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1728</v>
      </c>
      <c r="B97" t="s">
        <v>27</v>
      </c>
      <c r="C97" t="s">
        <v>72</v>
      </c>
      <c r="D97" t="s">
        <v>35</v>
      </c>
      <c r="H97">
        <v>1100.5</v>
      </c>
      <c r="I97" t="s">
        <v>157</v>
      </c>
      <c r="J97">
        <f t="shared" si="2"/>
        <v>1100.5</v>
      </c>
      <c r="L97">
        <f t="shared" si="3"/>
        <v>0.49129464285714286</v>
      </c>
    </row>
    <row r="98" spans="1:12" x14ac:dyDescent="0.25">
      <c r="A98">
        <v>1728</v>
      </c>
      <c r="B98" t="s">
        <v>15</v>
      </c>
      <c r="C98" t="s">
        <v>72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1728</v>
      </c>
      <c r="B99" t="s">
        <v>93</v>
      </c>
      <c r="C99" t="s">
        <v>72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1728</v>
      </c>
      <c r="B100" t="s">
        <v>42</v>
      </c>
      <c r="C100" t="s">
        <v>72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1728</v>
      </c>
      <c r="B101" t="s">
        <v>83</v>
      </c>
      <c r="C101" t="s">
        <v>72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1728</v>
      </c>
      <c r="B102" t="s">
        <v>47</v>
      </c>
      <c r="C102" t="s">
        <v>72</v>
      </c>
      <c r="D102" t="s">
        <v>35</v>
      </c>
      <c r="H102">
        <v>30</v>
      </c>
      <c r="I102" t="s">
        <v>133</v>
      </c>
      <c r="J102">
        <f t="shared" si="2"/>
        <v>30</v>
      </c>
      <c r="L102">
        <f t="shared" si="3"/>
        <v>1.3392857142857142E-2</v>
      </c>
    </row>
    <row r="103" spans="1:12" x14ac:dyDescent="0.25">
      <c r="A103">
        <v>1728</v>
      </c>
      <c r="B103" t="s">
        <v>16</v>
      </c>
      <c r="C103" t="s">
        <v>72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1728</v>
      </c>
      <c r="B104" t="s">
        <v>17</v>
      </c>
      <c r="C104" t="s">
        <v>72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1728</v>
      </c>
      <c r="B105" t="s">
        <v>18</v>
      </c>
      <c r="C105" t="s">
        <v>72</v>
      </c>
      <c r="D105" t="s">
        <v>35</v>
      </c>
      <c r="H105">
        <v>2926</v>
      </c>
      <c r="I105" t="s">
        <v>156</v>
      </c>
      <c r="J105">
        <f t="shared" si="2"/>
        <v>2926</v>
      </c>
      <c r="L105">
        <f t="shared" si="3"/>
        <v>1.3062499999999999</v>
      </c>
    </row>
    <row r="106" spans="1:12" x14ac:dyDescent="0.25">
      <c r="A106">
        <v>1728</v>
      </c>
      <c r="B106" t="s">
        <v>26</v>
      </c>
      <c r="C106" t="s">
        <v>72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1728</v>
      </c>
      <c r="B107" t="s">
        <v>84</v>
      </c>
      <c r="C107" t="s">
        <v>72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1728</v>
      </c>
      <c r="B108" t="s">
        <v>19</v>
      </c>
      <c r="C108" t="s">
        <v>72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1728</v>
      </c>
      <c r="B109" t="s">
        <v>45</v>
      </c>
      <c r="C109" t="s">
        <v>72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1728</v>
      </c>
      <c r="B110" t="s">
        <v>85</v>
      </c>
      <c r="C110" t="s">
        <v>72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1728</v>
      </c>
      <c r="B111" t="s">
        <v>54</v>
      </c>
      <c r="C111" t="s">
        <v>72</v>
      </c>
      <c r="D111" t="s">
        <v>35</v>
      </c>
      <c r="H111">
        <v>20</v>
      </c>
      <c r="J111">
        <f t="shared" si="2"/>
        <v>20</v>
      </c>
      <c r="L111">
        <f t="shared" si="3"/>
        <v>8.9285714285714281E-3</v>
      </c>
    </row>
    <row r="112" spans="1:12" x14ac:dyDescent="0.25">
      <c r="A112">
        <v>1728</v>
      </c>
      <c r="B112" t="s">
        <v>95</v>
      </c>
      <c r="C112" t="s">
        <v>72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1728</v>
      </c>
      <c r="B113" t="s">
        <v>20</v>
      </c>
      <c r="C113" t="s">
        <v>72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1728</v>
      </c>
      <c r="B114" t="s">
        <v>21</v>
      </c>
      <c r="C114" t="s">
        <v>72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1728</v>
      </c>
      <c r="B115" t="s">
        <v>22</v>
      </c>
      <c r="C115" t="s">
        <v>72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1728</v>
      </c>
      <c r="B116" t="s">
        <v>61</v>
      </c>
      <c r="C116" t="s">
        <v>72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1728</v>
      </c>
      <c r="B117" t="s">
        <v>91</v>
      </c>
      <c r="C117" t="s">
        <v>72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1728</v>
      </c>
      <c r="B118" t="s">
        <v>98</v>
      </c>
      <c r="C118" t="s">
        <v>72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1728</v>
      </c>
      <c r="B119" t="s">
        <v>87</v>
      </c>
      <c r="C119" t="s">
        <v>72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1728</v>
      </c>
      <c r="B120" t="s">
        <v>62</v>
      </c>
      <c r="C120" t="s">
        <v>72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1728</v>
      </c>
      <c r="B121" t="s">
        <v>88</v>
      </c>
      <c r="C121" t="s">
        <v>72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1728</v>
      </c>
      <c r="B122" t="s">
        <v>63</v>
      </c>
      <c r="C122" t="s">
        <v>72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1728</v>
      </c>
      <c r="B123" t="s">
        <v>89</v>
      </c>
      <c r="C123" t="s">
        <v>72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1728</v>
      </c>
      <c r="B124" t="s">
        <v>70</v>
      </c>
      <c r="C124" t="s">
        <v>72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1728</v>
      </c>
      <c r="B125" t="s">
        <v>64</v>
      </c>
      <c r="C125" t="s">
        <v>72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1728</v>
      </c>
      <c r="B126" t="s">
        <v>65</v>
      </c>
      <c r="C126" t="s">
        <v>72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O126"/>
  <sheetViews>
    <sheetView topLeftCell="A22" workbookViewId="0">
      <selection activeCell="H23" sqref="H23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1728</v>
      </c>
      <c r="B2" t="s">
        <v>55</v>
      </c>
      <c r="C2" t="s">
        <v>73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1728</v>
      </c>
      <c r="B3" t="s">
        <v>57</v>
      </c>
      <c r="C3" t="s">
        <v>73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1728</v>
      </c>
      <c r="B4" t="s">
        <v>36</v>
      </c>
      <c r="C4" t="s">
        <v>73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1728</v>
      </c>
      <c r="B5" t="s">
        <v>4</v>
      </c>
      <c r="C5" t="s">
        <v>73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1728</v>
      </c>
      <c r="B6" t="s">
        <v>58</v>
      </c>
      <c r="C6" t="s">
        <v>73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1728</v>
      </c>
      <c r="B7" t="s">
        <v>69</v>
      </c>
      <c r="C7" t="s">
        <v>73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1728</v>
      </c>
      <c r="B8" t="s">
        <v>43</v>
      </c>
      <c r="C8" t="s">
        <v>73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1728</v>
      </c>
      <c r="B9" t="s">
        <v>76</v>
      </c>
      <c r="C9" t="s">
        <v>73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1728</v>
      </c>
      <c r="B10" t="s">
        <v>5</v>
      </c>
      <c r="C10" t="s">
        <v>73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1728</v>
      </c>
      <c r="B11" t="s">
        <v>59</v>
      </c>
      <c r="C11" t="s">
        <v>73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1728</v>
      </c>
      <c r="B12" t="s">
        <v>6</v>
      </c>
      <c r="C12" t="s">
        <v>73</v>
      </c>
      <c r="D12" t="s">
        <v>33</v>
      </c>
      <c r="F12">
        <v>40711</v>
      </c>
      <c r="G12">
        <v>1</v>
      </c>
      <c r="H12">
        <v>23</v>
      </c>
      <c r="J12">
        <f t="shared" si="0"/>
        <v>4559683</v>
      </c>
      <c r="L12">
        <f t="shared" si="1"/>
        <v>2035.5727678571429</v>
      </c>
    </row>
    <row r="13" spans="1:15" x14ac:dyDescent="0.25">
      <c r="A13">
        <v>1728</v>
      </c>
      <c r="B13" t="s">
        <v>96</v>
      </c>
      <c r="C13" t="s">
        <v>73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1728</v>
      </c>
      <c r="B14" t="s">
        <v>60</v>
      </c>
      <c r="C14" t="s">
        <v>73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1728</v>
      </c>
      <c r="B15" t="s">
        <v>7</v>
      </c>
      <c r="C15" t="s">
        <v>73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1728</v>
      </c>
      <c r="B16" t="s">
        <v>37</v>
      </c>
      <c r="C16" t="s">
        <v>73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1728</v>
      </c>
      <c r="B17" t="s">
        <v>8</v>
      </c>
      <c r="C17" t="s">
        <v>73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1728</v>
      </c>
      <c r="B18" t="s">
        <v>40</v>
      </c>
      <c r="C18" t="s">
        <v>73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1728</v>
      </c>
      <c r="B19" t="s">
        <v>77</v>
      </c>
      <c r="C19" t="s">
        <v>73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1728</v>
      </c>
      <c r="B20" t="s">
        <v>78</v>
      </c>
      <c r="C20" t="s">
        <v>73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1728</v>
      </c>
      <c r="B21" t="s">
        <v>46</v>
      </c>
      <c r="C21" t="s">
        <v>73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1728</v>
      </c>
      <c r="B22" t="s">
        <v>9</v>
      </c>
      <c r="C22" t="s">
        <v>73</v>
      </c>
      <c r="D22" t="s">
        <v>33</v>
      </c>
      <c r="H22">
        <f>30*200</f>
        <v>6000</v>
      </c>
      <c r="I22" t="s">
        <v>136</v>
      </c>
      <c r="J22">
        <f t="shared" si="0"/>
        <v>6000</v>
      </c>
      <c r="L22">
        <f t="shared" si="1"/>
        <v>2.6785714285714284</v>
      </c>
    </row>
    <row r="23" spans="1:12" x14ac:dyDescent="0.25">
      <c r="A23">
        <v>1728</v>
      </c>
      <c r="B23" t="s">
        <v>10</v>
      </c>
      <c r="C23" t="s">
        <v>73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1728</v>
      </c>
      <c r="B24" t="s">
        <v>11</v>
      </c>
      <c r="C24" t="s">
        <v>73</v>
      </c>
      <c r="D24" t="s">
        <v>33</v>
      </c>
      <c r="G24">
        <v>2</v>
      </c>
      <c r="J24">
        <f t="shared" si="0"/>
        <v>56</v>
      </c>
      <c r="L24">
        <f t="shared" si="1"/>
        <v>2.5000000000000001E-2</v>
      </c>
    </row>
    <row r="25" spans="1:12" x14ac:dyDescent="0.25">
      <c r="A25">
        <v>1728</v>
      </c>
      <c r="B25" t="s">
        <v>39</v>
      </c>
      <c r="C25" t="s">
        <v>73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1728</v>
      </c>
      <c r="B26" t="s">
        <v>79</v>
      </c>
      <c r="C26" t="s">
        <v>73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1728</v>
      </c>
      <c r="B27" t="s">
        <v>103</v>
      </c>
      <c r="C27" t="s">
        <v>73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1728</v>
      </c>
      <c r="B28" t="s">
        <v>44</v>
      </c>
      <c r="C28" t="s">
        <v>73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1728</v>
      </c>
      <c r="B29" t="s">
        <v>97</v>
      </c>
      <c r="C29" t="s">
        <v>73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1728</v>
      </c>
      <c r="B30" t="s">
        <v>12</v>
      </c>
      <c r="C30" t="s">
        <v>73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1728</v>
      </c>
      <c r="B31" t="s">
        <v>82</v>
      </c>
      <c r="C31" t="s">
        <v>73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1728</v>
      </c>
      <c r="B32" t="s">
        <v>34</v>
      </c>
      <c r="C32" t="s">
        <v>73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1728</v>
      </c>
      <c r="B33" t="s">
        <v>13</v>
      </c>
      <c r="C33" t="s">
        <v>73</v>
      </c>
      <c r="D33" t="s">
        <v>33</v>
      </c>
      <c r="E33">
        <v>12</v>
      </c>
      <c r="J33">
        <f t="shared" si="0"/>
        <v>26880</v>
      </c>
      <c r="L33">
        <f t="shared" si="1"/>
        <v>12</v>
      </c>
    </row>
    <row r="34" spans="1:12" x14ac:dyDescent="0.25">
      <c r="A34">
        <v>1728</v>
      </c>
      <c r="B34" t="s">
        <v>14</v>
      </c>
      <c r="C34" t="s">
        <v>73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1728</v>
      </c>
      <c r="B35" t="s">
        <v>23</v>
      </c>
      <c r="C35" t="s">
        <v>73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1728</v>
      </c>
      <c r="B36" t="s">
        <v>27</v>
      </c>
      <c r="C36" t="s">
        <v>73</v>
      </c>
      <c r="D36" t="s">
        <v>33</v>
      </c>
      <c r="H36">
        <v>13103.5</v>
      </c>
      <c r="I36" t="s">
        <v>135</v>
      </c>
      <c r="J36">
        <f t="shared" si="0"/>
        <v>13103.5</v>
      </c>
      <c r="L36">
        <f t="shared" si="1"/>
        <v>5.8497767857142859</v>
      </c>
    </row>
    <row r="37" spans="1:12" x14ac:dyDescent="0.25">
      <c r="A37">
        <v>1728</v>
      </c>
      <c r="B37" t="s">
        <v>15</v>
      </c>
      <c r="C37" t="s">
        <v>73</v>
      </c>
      <c r="D37" t="s">
        <v>33</v>
      </c>
      <c r="F37">
        <v>18</v>
      </c>
      <c r="J37">
        <f t="shared" si="0"/>
        <v>2016</v>
      </c>
      <c r="L37">
        <f t="shared" si="1"/>
        <v>0.9</v>
      </c>
    </row>
    <row r="38" spans="1:12" x14ac:dyDescent="0.25">
      <c r="A38">
        <v>1728</v>
      </c>
      <c r="B38" t="s">
        <v>42</v>
      </c>
      <c r="C38" t="s">
        <v>73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1728</v>
      </c>
      <c r="B39" t="s">
        <v>83</v>
      </c>
      <c r="C39" t="s">
        <v>73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1728</v>
      </c>
      <c r="B40" t="s">
        <v>47</v>
      </c>
      <c r="C40" t="s">
        <v>73</v>
      </c>
      <c r="D40" t="s">
        <v>33</v>
      </c>
      <c r="H40">
        <v>30</v>
      </c>
      <c r="I40" t="s">
        <v>133</v>
      </c>
      <c r="J40">
        <f t="shared" si="0"/>
        <v>30</v>
      </c>
      <c r="L40">
        <f t="shared" si="1"/>
        <v>1.3392857142857142E-2</v>
      </c>
    </row>
    <row r="41" spans="1:12" x14ac:dyDescent="0.25">
      <c r="A41">
        <v>1728</v>
      </c>
      <c r="B41" t="s">
        <v>16</v>
      </c>
      <c r="C41" t="s">
        <v>73</v>
      </c>
      <c r="D41" t="s">
        <v>33</v>
      </c>
      <c r="H41">
        <v>200</v>
      </c>
      <c r="J41">
        <f t="shared" si="0"/>
        <v>200</v>
      </c>
      <c r="L41">
        <f t="shared" si="1"/>
        <v>8.9285714285714288E-2</v>
      </c>
    </row>
    <row r="42" spans="1:12" x14ac:dyDescent="0.25">
      <c r="A42">
        <v>1728</v>
      </c>
      <c r="B42" t="s">
        <v>17</v>
      </c>
      <c r="C42" t="s">
        <v>73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1728</v>
      </c>
      <c r="B43" t="s">
        <v>18</v>
      </c>
      <c r="C43" t="s">
        <v>73</v>
      </c>
      <c r="D43" t="s">
        <v>33</v>
      </c>
      <c r="H43">
        <v>7677</v>
      </c>
      <c r="I43" t="s">
        <v>134</v>
      </c>
      <c r="J43">
        <f t="shared" si="0"/>
        <v>7677</v>
      </c>
      <c r="L43">
        <f t="shared" si="1"/>
        <v>3.4272321428571431</v>
      </c>
    </row>
    <row r="44" spans="1:12" x14ac:dyDescent="0.25">
      <c r="A44">
        <v>1728</v>
      </c>
      <c r="B44" t="s">
        <v>26</v>
      </c>
      <c r="C44" t="s">
        <v>73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1728</v>
      </c>
      <c r="B45" t="s">
        <v>84</v>
      </c>
      <c r="C45" t="s">
        <v>73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1728</v>
      </c>
      <c r="B46" t="s">
        <v>19</v>
      </c>
      <c r="C46" t="s">
        <v>73</v>
      </c>
      <c r="D46" t="s">
        <v>33</v>
      </c>
      <c r="G46">
        <v>3</v>
      </c>
      <c r="H46">
        <v>7</v>
      </c>
      <c r="J46">
        <f t="shared" si="0"/>
        <v>91</v>
      </c>
      <c r="L46">
        <f t="shared" si="1"/>
        <v>4.0625000000000001E-2</v>
      </c>
    </row>
    <row r="47" spans="1:12" x14ac:dyDescent="0.25">
      <c r="A47">
        <v>1728</v>
      </c>
      <c r="B47" t="s">
        <v>45</v>
      </c>
      <c r="C47" t="s">
        <v>73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1728</v>
      </c>
      <c r="B48" t="s">
        <v>85</v>
      </c>
      <c r="C48" t="s">
        <v>73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1728</v>
      </c>
      <c r="B49" t="s">
        <v>54</v>
      </c>
      <c r="C49" t="s">
        <v>73</v>
      </c>
      <c r="D49" t="s">
        <v>33</v>
      </c>
      <c r="H49">
        <v>44</v>
      </c>
      <c r="J49">
        <f t="shared" si="0"/>
        <v>44</v>
      </c>
      <c r="L49">
        <f t="shared" si="1"/>
        <v>1.9642857142857142E-2</v>
      </c>
    </row>
    <row r="50" spans="1:12" x14ac:dyDescent="0.25">
      <c r="A50">
        <v>1728</v>
      </c>
      <c r="B50" t="s">
        <v>95</v>
      </c>
      <c r="C50" t="s">
        <v>73</v>
      </c>
      <c r="D50" t="s">
        <v>33</v>
      </c>
      <c r="H50">
        <v>48</v>
      </c>
      <c r="J50">
        <f t="shared" si="0"/>
        <v>48</v>
      </c>
      <c r="L50">
        <f t="shared" si="1"/>
        <v>2.1428571428571429E-2</v>
      </c>
    </row>
    <row r="51" spans="1:12" x14ac:dyDescent="0.25">
      <c r="A51">
        <v>1728</v>
      </c>
      <c r="B51" t="s">
        <v>20</v>
      </c>
      <c r="C51" t="s">
        <v>73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1728</v>
      </c>
      <c r="B52" t="s">
        <v>21</v>
      </c>
      <c r="C52" t="s">
        <v>73</v>
      </c>
      <c r="D52" t="s">
        <v>33</v>
      </c>
      <c r="H52">
        <v>2</v>
      </c>
      <c r="J52">
        <f t="shared" si="0"/>
        <v>2</v>
      </c>
      <c r="L52">
        <f t="shared" si="1"/>
        <v>8.9285714285714283E-4</v>
      </c>
    </row>
    <row r="53" spans="1:12" x14ac:dyDescent="0.25">
      <c r="A53">
        <v>1728</v>
      </c>
      <c r="B53" t="s">
        <v>22</v>
      </c>
      <c r="C53" t="s">
        <v>73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1728</v>
      </c>
      <c r="B54" t="s">
        <v>61</v>
      </c>
      <c r="C54" t="s">
        <v>73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1728</v>
      </c>
      <c r="B55" t="s">
        <v>99</v>
      </c>
      <c r="C55" t="s">
        <v>73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1728</v>
      </c>
      <c r="B56" t="s">
        <v>87</v>
      </c>
      <c r="C56" t="s">
        <v>73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1728</v>
      </c>
      <c r="B57" t="s">
        <v>62</v>
      </c>
      <c r="C57" t="s">
        <v>73</v>
      </c>
      <c r="D57" t="s">
        <v>33</v>
      </c>
      <c r="E57">
        <v>20</v>
      </c>
      <c r="F57">
        <v>6</v>
      </c>
      <c r="G57">
        <v>3</v>
      </c>
      <c r="H57">
        <v>20</v>
      </c>
      <c r="J57">
        <f t="shared" si="0"/>
        <v>45576</v>
      </c>
      <c r="L57">
        <f t="shared" si="1"/>
        <v>20.346428571428572</v>
      </c>
    </row>
    <row r="58" spans="1:12" x14ac:dyDescent="0.25">
      <c r="A58">
        <v>1728</v>
      </c>
      <c r="B58" t="s">
        <v>88</v>
      </c>
      <c r="C58" t="s">
        <v>73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1728</v>
      </c>
      <c r="B59" t="s">
        <v>63</v>
      </c>
      <c r="C59" t="s">
        <v>73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1728</v>
      </c>
      <c r="B60" t="s">
        <v>89</v>
      </c>
      <c r="C60" t="s">
        <v>73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1728</v>
      </c>
      <c r="B61" t="s">
        <v>70</v>
      </c>
      <c r="C61" t="s">
        <v>73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1728</v>
      </c>
      <c r="B62" t="s">
        <v>64</v>
      </c>
      <c r="C62" t="s">
        <v>73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1728</v>
      </c>
      <c r="B63" t="s">
        <v>65</v>
      </c>
      <c r="C63" t="s">
        <v>73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1728</v>
      </c>
      <c r="B64" t="s">
        <v>55</v>
      </c>
      <c r="C64" t="s">
        <v>73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1728</v>
      </c>
      <c r="B65" t="s">
        <v>57</v>
      </c>
      <c r="C65" t="s">
        <v>73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1728</v>
      </c>
      <c r="B66" t="s">
        <v>36</v>
      </c>
      <c r="C66" t="s">
        <v>73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1728</v>
      </c>
      <c r="B67" t="s">
        <v>4</v>
      </c>
      <c r="C67" t="s">
        <v>73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1728</v>
      </c>
      <c r="B68" t="s">
        <v>58</v>
      </c>
      <c r="C68" t="s">
        <v>73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1728</v>
      </c>
      <c r="B69" t="s">
        <v>69</v>
      </c>
      <c r="C69" t="s">
        <v>73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1728</v>
      </c>
      <c r="B70" t="s">
        <v>43</v>
      </c>
      <c r="C70" t="s">
        <v>73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1728</v>
      </c>
      <c r="B71" t="s">
        <v>76</v>
      </c>
      <c r="C71" t="s">
        <v>73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1728</v>
      </c>
      <c r="B72" t="s">
        <v>5</v>
      </c>
      <c r="C72" t="s">
        <v>73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1728</v>
      </c>
      <c r="B73" t="s">
        <v>59</v>
      </c>
      <c r="C73" t="s">
        <v>73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1728</v>
      </c>
      <c r="B74" t="s">
        <v>6</v>
      </c>
      <c r="C74" t="s">
        <v>73</v>
      </c>
      <c r="D74" t="s">
        <v>35</v>
      </c>
      <c r="F74">
        <v>9582</v>
      </c>
      <c r="G74">
        <v>1</v>
      </c>
      <c r="H74">
        <v>14</v>
      </c>
      <c r="J74">
        <f t="shared" si="2"/>
        <v>1073226</v>
      </c>
      <c r="L74">
        <f t="shared" si="3"/>
        <v>479.11874999999998</v>
      </c>
    </row>
    <row r="75" spans="1:12" x14ac:dyDescent="0.25">
      <c r="A75">
        <v>1728</v>
      </c>
      <c r="B75" t="s">
        <v>60</v>
      </c>
      <c r="C75" t="s">
        <v>73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1728</v>
      </c>
      <c r="B76" t="s">
        <v>7</v>
      </c>
      <c r="C76" t="s">
        <v>73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1728</v>
      </c>
      <c r="B77" t="s">
        <v>37</v>
      </c>
      <c r="C77" t="s">
        <v>73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1728</v>
      </c>
      <c r="B78" t="s">
        <v>8</v>
      </c>
      <c r="C78" t="s">
        <v>73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1728</v>
      </c>
      <c r="B79" t="s">
        <v>40</v>
      </c>
      <c r="C79" t="s">
        <v>73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1728</v>
      </c>
      <c r="B80" t="s">
        <v>77</v>
      </c>
      <c r="C80" t="s">
        <v>73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1728</v>
      </c>
      <c r="B81" t="s">
        <v>78</v>
      </c>
      <c r="C81" t="s">
        <v>73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1728</v>
      </c>
      <c r="B82" t="s">
        <v>46</v>
      </c>
      <c r="C82" t="s">
        <v>73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1728</v>
      </c>
      <c r="B83" t="s">
        <v>9</v>
      </c>
      <c r="C83" t="s">
        <v>73</v>
      </c>
      <c r="D83" t="s">
        <v>35</v>
      </c>
      <c r="H83">
        <v>4315</v>
      </c>
      <c r="J83">
        <f t="shared" si="2"/>
        <v>4315</v>
      </c>
      <c r="L83">
        <f t="shared" si="3"/>
        <v>1.9263392857142858</v>
      </c>
    </row>
    <row r="84" spans="1:12" x14ac:dyDescent="0.25">
      <c r="A84">
        <v>1728</v>
      </c>
      <c r="B84" t="s">
        <v>10</v>
      </c>
      <c r="C84" t="s">
        <v>73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1728</v>
      </c>
      <c r="B85" t="s">
        <v>11</v>
      </c>
      <c r="C85" t="s">
        <v>73</v>
      </c>
      <c r="D85" t="s">
        <v>35</v>
      </c>
      <c r="F85">
        <v>18</v>
      </c>
      <c r="G85">
        <v>1</v>
      </c>
      <c r="H85">
        <v>25</v>
      </c>
      <c r="J85">
        <f t="shared" si="2"/>
        <v>2069</v>
      </c>
      <c r="L85">
        <f t="shared" si="3"/>
        <v>0.92366071428571428</v>
      </c>
    </row>
    <row r="86" spans="1:12" x14ac:dyDescent="0.25">
      <c r="A86">
        <v>1728</v>
      </c>
      <c r="B86" t="s">
        <v>39</v>
      </c>
      <c r="C86" t="s">
        <v>73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1728</v>
      </c>
      <c r="B87" t="s">
        <v>79</v>
      </c>
      <c r="C87" t="s">
        <v>73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1728</v>
      </c>
      <c r="B88" t="s">
        <v>103</v>
      </c>
      <c r="C88" t="s">
        <v>73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1728</v>
      </c>
      <c r="B89" t="s">
        <v>44</v>
      </c>
      <c r="C89" t="s">
        <v>73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1728</v>
      </c>
      <c r="B90" t="s">
        <v>97</v>
      </c>
      <c r="C90" t="s">
        <v>73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1728</v>
      </c>
      <c r="B91" t="s">
        <v>12</v>
      </c>
      <c r="C91" t="s">
        <v>73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1728</v>
      </c>
      <c r="B92" t="s">
        <v>82</v>
      </c>
      <c r="C92" t="s">
        <v>73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1728</v>
      </c>
      <c r="B93" t="s">
        <v>34</v>
      </c>
      <c r="C93" t="s">
        <v>73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1728</v>
      </c>
      <c r="B94" t="s">
        <v>13</v>
      </c>
      <c r="C94" t="s">
        <v>73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1728</v>
      </c>
      <c r="B95" t="s">
        <v>14</v>
      </c>
      <c r="C95" t="s">
        <v>73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1728</v>
      </c>
      <c r="B96" t="s">
        <v>23</v>
      </c>
      <c r="C96" t="s">
        <v>73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1728</v>
      </c>
      <c r="B97" t="s">
        <v>27</v>
      </c>
      <c r="C97" t="s">
        <v>73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1728</v>
      </c>
      <c r="B98" t="s">
        <v>15</v>
      </c>
      <c r="C98" t="s">
        <v>73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1728</v>
      </c>
      <c r="B99" t="s">
        <v>93</v>
      </c>
      <c r="C99" t="s">
        <v>73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1728</v>
      </c>
      <c r="B100" t="s">
        <v>42</v>
      </c>
      <c r="C100" t="s">
        <v>73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1728</v>
      </c>
      <c r="B101" t="s">
        <v>83</v>
      </c>
      <c r="C101" t="s">
        <v>73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1728</v>
      </c>
      <c r="B102" t="s">
        <v>47</v>
      </c>
      <c r="C102" t="s">
        <v>73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1728</v>
      </c>
      <c r="B103" t="s">
        <v>16</v>
      </c>
      <c r="C103" t="s">
        <v>73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1728</v>
      </c>
      <c r="B104" t="s">
        <v>17</v>
      </c>
      <c r="C104" t="s">
        <v>73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1728</v>
      </c>
      <c r="B105" t="s">
        <v>18</v>
      </c>
      <c r="C105" t="s">
        <v>73</v>
      </c>
      <c r="D105" t="s">
        <v>35</v>
      </c>
      <c r="H105">
        <v>2300.5</v>
      </c>
      <c r="I105" t="s">
        <v>159</v>
      </c>
      <c r="J105">
        <f t="shared" si="2"/>
        <v>2300.5</v>
      </c>
      <c r="L105">
        <f t="shared" si="3"/>
        <v>1.0270089285714286</v>
      </c>
    </row>
    <row r="106" spans="1:12" x14ac:dyDescent="0.25">
      <c r="A106">
        <v>1728</v>
      </c>
      <c r="B106" t="s">
        <v>26</v>
      </c>
      <c r="C106" t="s">
        <v>73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1728</v>
      </c>
      <c r="B107" t="s">
        <v>84</v>
      </c>
      <c r="C107" t="s">
        <v>73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1728</v>
      </c>
      <c r="B108" t="s">
        <v>19</v>
      </c>
      <c r="C108" t="s">
        <v>73</v>
      </c>
      <c r="D108" t="s">
        <v>35</v>
      </c>
      <c r="H108">
        <v>23</v>
      </c>
      <c r="J108">
        <f t="shared" si="2"/>
        <v>23</v>
      </c>
      <c r="L108">
        <f t="shared" si="3"/>
        <v>1.0267857142857143E-2</v>
      </c>
    </row>
    <row r="109" spans="1:12" x14ac:dyDescent="0.25">
      <c r="A109">
        <v>1728</v>
      </c>
      <c r="B109" t="s">
        <v>45</v>
      </c>
      <c r="C109" t="s">
        <v>73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1728</v>
      </c>
      <c r="B110" t="s">
        <v>85</v>
      </c>
      <c r="C110" t="s">
        <v>73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1728</v>
      </c>
      <c r="B111" t="s">
        <v>54</v>
      </c>
      <c r="C111" t="s">
        <v>73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1728</v>
      </c>
      <c r="B112" t="s">
        <v>95</v>
      </c>
      <c r="C112" t="s">
        <v>73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1728</v>
      </c>
      <c r="B113" t="s">
        <v>20</v>
      </c>
      <c r="C113" t="s">
        <v>73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1728</v>
      </c>
      <c r="B114" t="s">
        <v>21</v>
      </c>
      <c r="C114" t="s">
        <v>73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1728</v>
      </c>
      <c r="B115" t="s">
        <v>22</v>
      </c>
      <c r="C115" t="s">
        <v>73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1728</v>
      </c>
      <c r="B116" t="s">
        <v>61</v>
      </c>
      <c r="C116" t="s">
        <v>73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1728</v>
      </c>
      <c r="B117" t="s">
        <v>91</v>
      </c>
      <c r="C117" t="s">
        <v>73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1728</v>
      </c>
      <c r="B118" t="s">
        <v>98</v>
      </c>
      <c r="C118" t="s">
        <v>73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1728</v>
      </c>
      <c r="B119" t="s">
        <v>87</v>
      </c>
      <c r="C119" t="s">
        <v>73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1728</v>
      </c>
      <c r="B120" t="s">
        <v>62</v>
      </c>
      <c r="C120" t="s">
        <v>73</v>
      </c>
      <c r="D120" t="s">
        <v>35</v>
      </c>
      <c r="E120">
        <v>41</v>
      </c>
      <c r="J120">
        <f t="shared" si="2"/>
        <v>91840</v>
      </c>
      <c r="L120">
        <f t="shared" si="3"/>
        <v>41</v>
      </c>
    </row>
    <row r="121" spans="1:12" x14ac:dyDescent="0.25">
      <c r="A121">
        <v>1728</v>
      </c>
      <c r="B121" t="s">
        <v>88</v>
      </c>
      <c r="C121" t="s">
        <v>73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1728</v>
      </c>
      <c r="B122" t="s">
        <v>63</v>
      </c>
      <c r="C122" t="s">
        <v>73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1728</v>
      </c>
      <c r="B123" t="s">
        <v>89</v>
      </c>
      <c r="C123" t="s">
        <v>73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1728</v>
      </c>
      <c r="B124" t="s">
        <v>70</v>
      </c>
      <c r="C124" t="s">
        <v>73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1728</v>
      </c>
      <c r="B125" t="s">
        <v>64</v>
      </c>
      <c r="C125" t="s">
        <v>73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1728</v>
      </c>
      <c r="B126" t="s">
        <v>65</v>
      </c>
      <c r="C126" t="s">
        <v>73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O126"/>
  <sheetViews>
    <sheetView topLeftCell="A22" workbookViewId="0">
      <selection activeCell="H23" sqref="H23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1728</v>
      </c>
      <c r="B2" t="s">
        <v>55</v>
      </c>
      <c r="C2" t="s">
        <v>74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1728</v>
      </c>
      <c r="B3" t="s">
        <v>57</v>
      </c>
      <c r="C3" t="s">
        <v>74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1728</v>
      </c>
      <c r="B4" t="s">
        <v>36</v>
      </c>
      <c r="C4" t="s">
        <v>74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1728</v>
      </c>
      <c r="B5" t="s">
        <v>4</v>
      </c>
      <c r="C5" t="s">
        <v>74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1728</v>
      </c>
      <c r="B6" t="s">
        <v>58</v>
      </c>
      <c r="C6" t="s">
        <v>74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1728</v>
      </c>
      <c r="B7" t="s">
        <v>69</v>
      </c>
      <c r="C7" t="s">
        <v>74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1728</v>
      </c>
      <c r="B8" t="s">
        <v>43</v>
      </c>
      <c r="C8" t="s">
        <v>74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1728</v>
      </c>
      <c r="B9" t="s">
        <v>76</v>
      </c>
      <c r="C9" t="s">
        <v>74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1728</v>
      </c>
      <c r="B10" t="s">
        <v>5</v>
      </c>
      <c r="C10" t="s">
        <v>74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1728</v>
      </c>
      <c r="B11" t="s">
        <v>59</v>
      </c>
      <c r="C11" t="s">
        <v>74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1728</v>
      </c>
      <c r="B12" t="s">
        <v>6</v>
      </c>
      <c r="C12" t="s">
        <v>74</v>
      </c>
      <c r="D12" t="s">
        <v>33</v>
      </c>
      <c r="F12">
        <v>146045</v>
      </c>
      <c r="G12">
        <v>3</v>
      </c>
      <c r="H12">
        <v>27</v>
      </c>
      <c r="J12">
        <f t="shared" si="0"/>
        <v>16357151</v>
      </c>
      <c r="L12">
        <f t="shared" si="1"/>
        <v>7302.299553571429</v>
      </c>
    </row>
    <row r="13" spans="1:15" x14ac:dyDescent="0.25">
      <c r="A13">
        <v>1728</v>
      </c>
      <c r="B13" t="s">
        <v>96</v>
      </c>
      <c r="C13" t="s">
        <v>74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1728</v>
      </c>
      <c r="B14" t="s">
        <v>60</v>
      </c>
      <c r="C14" t="s">
        <v>74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1728</v>
      </c>
      <c r="B15" t="s">
        <v>7</v>
      </c>
      <c r="C15" t="s">
        <v>74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1728</v>
      </c>
      <c r="B16" t="s">
        <v>37</v>
      </c>
      <c r="C16" t="s">
        <v>74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1728</v>
      </c>
      <c r="B17" t="s">
        <v>8</v>
      </c>
      <c r="C17" t="s">
        <v>74</v>
      </c>
      <c r="D17" t="s">
        <v>33</v>
      </c>
      <c r="G17">
        <v>1</v>
      </c>
      <c r="H17">
        <v>4</v>
      </c>
      <c r="J17">
        <f t="shared" si="0"/>
        <v>32</v>
      </c>
      <c r="L17">
        <f t="shared" si="1"/>
        <v>1.4285714285714285E-2</v>
      </c>
    </row>
    <row r="18" spans="1:12" x14ac:dyDescent="0.25">
      <c r="A18">
        <v>1728</v>
      </c>
      <c r="B18" t="s">
        <v>40</v>
      </c>
      <c r="C18" t="s">
        <v>74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1728</v>
      </c>
      <c r="B19" t="s">
        <v>77</v>
      </c>
      <c r="C19" t="s">
        <v>74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1728</v>
      </c>
      <c r="B20" t="s">
        <v>78</v>
      </c>
      <c r="C20" t="s">
        <v>74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1728</v>
      </c>
      <c r="B21" t="s">
        <v>46</v>
      </c>
      <c r="C21" t="s">
        <v>74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1728</v>
      </c>
      <c r="B22" t="s">
        <v>9</v>
      </c>
      <c r="C22" t="s">
        <v>74</v>
      </c>
      <c r="D22" t="s">
        <v>33</v>
      </c>
      <c r="H22">
        <f>301*200</f>
        <v>60200</v>
      </c>
      <c r="I22" t="s">
        <v>140</v>
      </c>
      <c r="J22">
        <f t="shared" si="0"/>
        <v>60200</v>
      </c>
      <c r="L22">
        <f t="shared" si="1"/>
        <v>26.875</v>
      </c>
    </row>
    <row r="23" spans="1:12" x14ac:dyDescent="0.25">
      <c r="A23">
        <v>1728</v>
      </c>
      <c r="B23" t="s">
        <v>10</v>
      </c>
      <c r="C23" t="s">
        <v>74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1728</v>
      </c>
      <c r="B24" t="s">
        <v>11</v>
      </c>
      <c r="C24" t="s">
        <v>74</v>
      </c>
      <c r="D24" t="s">
        <v>33</v>
      </c>
      <c r="F24">
        <v>34</v>
      </c>
      <c r="H24">
        <v>17</v>
      </c>
      <c r="J24">
        <f t="shared" si="0"/>
        <v>3825</v>
      </c>
      <c r="L24">
        <f t="shared" si="1"/>
        <v>1.7075892857142858</v>
      </c>
    </row>
    <row r="25" spans="1:12" x14ac:dyDescent="0.25">
      <c r="A25">
        <v>1728</v>
      </c>
      <c r="B25" t="s">
        <v>39</v>
      </c>
      <c r="C25" t="s">
        <v>74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1728</v>
      </c>
      <c r="B26" t="s">
        <v>79</v>
      </c>
      <c r="C26" t="s">
        <v>74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1728</v>
      </c>
      <c r="B27" t="s">
        <v>103</v>
      </c>
      <c r="C27" t="s">
        <v>74</v>
      </c>
      <c r="D27" t="s">
        <v>33</v>
      </c>
      <c r="H27">
        <v>50</v>
      </c>
      <c r="J27">
        <f t="shared" si="0"/>
        <v>50</v>
      </c>
      <c r="L27">
        <f t="shared" si="1"/>
        <v>2.2321428571428572E-2</v>
      </c>
    </row>
    <row r="28" spans="1:12" x14ac:dyDescent="0.25">
      <c r="A28">
        <v>1728</v>
      </c>
      <c r="B28" t="s">
        <v>44</v>
      </c>
      <c r="C28" t="s">
        <v>74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1728</v>
      </c>
      <c r="B29" t="s">
        <v>97</v>
      </c>
      <c r="C29" t="s">
        <v>74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1728</v>
      </c>
      <c r="B30" t="s">
        <v>12</v>
      </c>
      <c r="C30" t="s">
        <v>74</v>
      </c>
      <c r="D30" t="s">
        <v>33</v>
      </c>
      <c r="H30">
        <v>80</v>
      </c>
      <c r="J30">
        <f t="shared" si="0"/>
        <v>80</v>
      </c>
      <c r="L30">
        <f t="shared" si="1"/>
        <v>3.5714285714285712E-2</v>
      </c>
    </row>
    <row r="31" spans="1:12" x14ac:dyDescent="0.25">
      <c r="A31">
        <v>1728</v>
      </c>
      <c r="B31" t="s">
        <v>82</v>
      </c>
      <c r="C31" t="s">
        <v>74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1728</v>
      </c>
      <c r="B32" t="s">
        <v>34</v>
      </c>
      <c r="C32" t="s">
        <v>74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1728</v>
      </c>
      <c r="B33" t="s">
        <v>13</v>
      </c>
      <c r="C33" t="s">
        <v>74</v>
      </c>
      <c r="D33" t="s">
        <v>33</v>
      </c>
      <c r="E33">
        <v>11</v>
      </c>
      <c r="F33">
        <v>18</v>
      </c>
      <c r="J33">
        <f t="shared" si="0"/>
        <v>26656</v>
      </c>
      <c r="L33">
        <f t="shared" si="1"/>
        <v>11.9</v>
      </c>
    </row>
    <row r="34" spans="1:12" x14ac:dyDescent="0.25">
      <c r="A34">
        <v>1728</v>
      </c>
      <c r="B34" t="s">
        <v>14</v>
      </c>
      <c r="C34" t="s">
        <v>74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1728</v>
      </c>
      <c r="B35" t="s">
        <v>23</v>
      </c>
      <c r="C35" t="s">
        <v>74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1728</v>
      </c>
      <c r="B36" t="s">
        <v>27</v>
      </c>
      <c r="C36" t="s">
        <v>74</v>
      </c>
      <c r="D36" t="s">
        <v>33</v>
      </c>
      <c r="H36">
        <v>2620.5</v>
      </c>
      <c r="I36" t="s">
        <v>139</v>
      </c>
      <c r="J36">
        <f t="shared" si="0"/>
        <v>2620.5</v>
      </c>
      <c r="L36">
        <f t="shared" si="1"/>
        <v>1.1698660714285714</v>
      </c>
    </row>
    <row r="37" spans="1:12" x14ac:dyDescent="0.25">
      <c r="A37">
        <v>1728</v>
      </c>
      <c r="B37" t="s">
        <v>15</v>
      </c>
      <c r="C37" t="s">
        <v>74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1728</v>
      </c>
      <c r="B38" t="s">
        <v>42</v>
      </c>
      <c r="C38" t="s">
        <v>74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1728</v>
      </c>
      <c r="B39" t="s">
        <v>83</v>
      </c>
      <c r="C39" t="s">
        <v>74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1728</v>
      </c>
      <c r="B40" t="s">
        <v>47</v>
      </c>
      <c r="C40" t="s">
        <v>74</v>
      </c>
      <c r="D40" t="s">
        <v>33</v>
      </c>
      <c r="H40">
        <v>237.5</v>
      </c>
      <c r="I40" t="s">
        <v>137</v>
      </c>
      <c r="J40">
        <f t="shared" si="0"/>
        <v>237.5</v>
      </c>
      <c r="L40">
        <f t="shared" si="1"/>
        <v>0.10602678571428571</v>
      </c>
    </row>
    <row r="41" spans="1:12" x14ac:dyDescent="0.25">
      <c r="A41">
        <v>1728</v>
      </c>
      <c r="B41" t="s">
        <v>16</v>
      </c>
      <c r="C41" t="s">
        <v>74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1728</v>
      </c>
      <c r="B42" t="s">
        <v>17</v>
      </c>
      <c r="C42" t="s">
        <v>74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1728</v>
      </c>
      <c r="B43" t="s">
        <v>18</v>
      </c>
      <c r="C43" t="s">
        <v>74</v>
      </c>
      <c r="D43" t="s">
        <v>33</v>
      </c>
      <c r="H43">
        <v>32403.5</v>
      </c>
      <c r="I43" t="s">
        <v>138</v>
      </c>
      <c r="J43">
        <f t="shared" si="0"/>
        <v>32403.5</v>
      </c>
      <c r="L43">
        <f t="shared" si="1"/>
        <v>14.465848214285714</v>
      </c>
    </row>
    <row r="44" spans="1:12" x14ac:dyDescent="0.25">
      <c r="A44">
        <v>1728</v>
      </c>
      <c r="B44" t="s">
        <v>26</v>
      </c>
      <c r="C44" t="s">
        <v>74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1728</v>
      </c>
      <c r="B45" t="s">
        <v>84</v>
      </c>
      <c r="C45" t="s">
        <v>74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1728</v>
      </c>
      <c r="B46" t="s">
        <v>19</v>
      </c>
      <c r="C46" t="s">
        <v>74</v>
      </c>
      <c r="D46" t="s">
        <v>33</v>
      </c>
      <c r="F46">
        <v>6</v>
      </c>
      <c r="G46">
        <v>1</v>
      </c>
      <c r="H46">
        <v>12</v>
      </c>
      <c r="J46">
        <f t="shared" si="0"/>
        <v>712</v>
      </c>
      <c r="L46">
        <f t="shared" si="1"/>
        <v>0.31785714285714284</v>
      </c>
    </row>
    <row r="47" spans="1:12" x14ac:dyDescent="0.25">
      <c r="A47">
        <v>1728</v>
      </c>
      <c r="B47" t="s">
        <v>45</v>
      </c>
      <c r="C47" t="s">
        <v>74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1728</v>
      </c>
      <c r="B48" t="s">
        <v>85</v>
      </c>
      <c r="C48" t="s">
        <v>74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1728</v>
      </c>
      <c r="B49" t="s">
        <v>54</v>
      </c>
      <c r="C49" t="s">
        <v>74</v>
      </c>
      <c r="D49" t="s">
        <v>33</v>
      </c>
      <c r="H49">
        <v>468</v>
      </c>
      <c r="J49">
        <f t="shared" si="0"/>
        <v>468</v>
      </c>
      <c r="L49">
        <f t="shared" si="1"/>
        <v>0.20892857142857144</v>
      </c>
    </row>
    <row r="50" spans="1:12" x14ac:dyDescent="0.25">
      <c r="A50">
        <v>1728</v>
      </c>
      <c r="B50" t="s">
        <v>95</v>
      </c>
      <c r="C50" t="s">
        <v>74</v>
      </c>
      <c r="D50" t="s">
        <v>33</v>
      </c>
      <c r="H50">
        <v>250</v>
      </c>
      <c r="J50">
        <f t="shared" si="0"/>
        <v>250</v>
      </c>
      <c r="L50">
        <f t="shared" si="1"/>
        <v>0.11160714285714286</v>
      </c>
    </row>
    <row r="51" spans="1:12" x14ac:dyDescent="0.25">
      <c r="A51">
        <v>1728</v>
      </c>
      <c r="B51" t="s">
        <v>20</v>
      </c>
      <c r="C51" t="s">
        <v>74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1728</v>
      </c>
      <c r="B52" t="s">
        <v>21</v>
      </c>
      <c r="C52" t="s">
        <v>74</v>
      </c>
      <c r="D52" t="s">
        <v>33</v>
      </c>
      <c r="H52">
        <v>50</v>
      </c>
      <c r="J52">
        <f t="shared" si="0"/>
        <v>50</v>
      </c>
      <c r="L52">
        <f t="shared" si="1"/>
        <v>2.2321428571428572E-2</v>
      </c>
    </row>
    <row r="53" spans="1:12" x14ac:dyDescent="0.25">
      <c r="A53">
        <v>1728</v>
      </c>
      <c r="B53" t="s">
        <v>22</v>
      </c>
      <c r="C53" t="s">
        <v>74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1728</v>
      </c>
      <c r="B54" t="s">
        <v>61</v>
      </c>
      <c r="C54" t="s">
        <v>74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1728</v>
      </c>
      <c r="B55" t="s">
        <v>99</v>
      </c>
      <c r="C55" t="s">
        <v>74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1728</v>
      </c>
      <c r="B56" t="s">
        <v>87</v>
      </c>
      <c r="C56" t="s">
        <v>74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1728</v>
      </c>
      <c r="B57" t="s">
        <v>62</v>
      </c>
      <c r="C57" t="s">
        <v>74</v>
      </c>
      <c r="D57" t="s">
        <v>33</v>
      </c>
      <c r="E57">
        <v>345</v>
      </c>
      <c r="F57">
        <v>19</v>
      </c>
      <c r="G57">
        <v>2</v>
      </c>
      <c r="H57">
        <v>13</v>
      </c>
      <c r="J57">
        <f t="shared" si="0"/>
        <v>774997</v>
      </c>
      <c r="L57">
        <f t="shared" si="1"/>
        <v>345.98080357142857</v>
      </c>
    </row>
    <row r="58" spans="1:12" x14ac:dyDescent="0.25">
      <c r="A58">
        <v>1728</v>
      </c>
      <c r="B58" t="s">
        <v>88</v>
      </c>
      <c r="C58" t="s">
        <v>74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1728</v>
      </c>
      <c r="B59" t="s">
        <v>63</v>
      </c>
      <c r="C59" t="s">
        <v>74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1728</v>
      </c>
      <c r="B60" t="s">
        <v>89</v>
      </c>
      <c r="C60" t="s">
        <v>74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1728</v>
      </c>
      <c r="B61" t="s">
        <v>70</v>
      </c>
      <c r="C61" t="s">
        <v>74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1728</v>
      </c>
      <c r="B62" t="s">
        <v>64</v>
      </c>
      <c r="C62" t="s">
        <v>74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1728</v>
      </c>
      <c r="B63" t="s">
        <v>65</v>
      </c>
      <c r="C63" t="s">
        <v>74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1728</v>
      </c>
      <c r="B64" t="s">
        <v>55</v>
      </c>
      <c r="C64" t="s">
        <v>74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1728</v>
      </c>
      <c r="B65" t="s">
        <v>57</v>
      </c>
      <c r="C65" t="s">
        <v>74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1728</v>
      </c>
      <c r="B66" t="s">
        <v>36</v>
      </c>
      <c r="C66" t="s">
        <v>74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1728</v>
      </c>
      <c r="B67" t="s">
        <v>4</v>
      </c>
      <c r="C67" t="s">
        <v>74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1728</v>
      </c>
      <c r="B68" t="s">
        <v>58</v>
      </c>
      <c r="C68" t="s">
        <v>74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1728</v>
      </c>
      <c r="B69" t="s">
        <v>69</v>
      </c>
      <c r="C69" t="s">
        <v>74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1728</v>
      </c>
      <c r="B70" t="s">
        <v>43</v>
      </c>
      <c r="C70" t="s">
        <v>74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1728</v>
      </c>
      <c r="B71" t="s">
        <v>76</v>
      </c>
      <c r="C71" t="s">
        <v>74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1728</v>
      </c>
      <c r="B72" t="s">
        <v>5</v>
      </c>
      <c r="C72" t="s">
        <v>74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1728</v>
      </c>
      <c r="B73" t="s">
        <v>59</v>
      </c>
      <c r="C73" t="s">
        <v>74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1728</v>
      </c>
      <c r="B74" t="s">
        <v>6</v>
      </c>
      <c r="C74" t="s">
        <v>74</v>
      </c>
      <c r="D74" t="s">
        <v>35</v>
      </c>
      <c r="F74">
        <v>19596</v>
      </c>
      <c r="G74">
        <v>2</v>
      </c>
      <c r="H74">
        <v>8</v>
      </c>
      <c r="J74">
        <f t="shared" si="2"/>
        <v>2194816</v>
      </c>
      <c r="L74">
        <f t="shared" si="3"/>
        <v>979.82857142857142</v>
      </c>
    </row>
    <row r="75" spans="1:12" x14ac:dyDescent="0.25">
      <c r="A75">
        <v>1728</v>
      </c>
      <c r="B75" t="s">
        <v>60</v>
      </c>
      <c r="C75" t="s">
        <v>74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1728</v>
      </c>
      <c r="B76" t="s">
        <v>7</v>
      </c>
      <c r="C76" t="s">
        <v>74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1728</v>
      </c>
      <c r="B77" t="s">
        <v>37</v>
      </c>
      <c r="C77" t="s">
        <v>74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1728</v>
      </c>
      <c r="B78" t="s">
        <v>8</v>
      </c>
      <c r="C78" t="s">
        <v>74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1728</v>
      </c>
      <c r="B79" t="s">
        <v>40</v>
      </c>
      <c r="C79" t="s">
        <v>74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1728</v>
      </c>
      <c r="B80" t="s">
        <v>77</v>
      </c>
      <c r="C80" t="s">
        <v>74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1728</v>
      </c>
      <c r="B81" t="s">
        <v>78</v>
      </c>
      <c r="C81" t="s">
        <v>74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1728</v>
      </c>
      <c r="B82" t="s">
        <v>46</v>
      </c>
      <c r="C82" t="s">
        <v>74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1728</v>
      </c>
      <c r="B83" t="s">
        <v>9</v>
      </c>
      <c r="C83" t="s">
        <v>74</v>
      </c>
      <c r="D83" t="s">
        <v>35</v>
      </c>
      <c r="H83">
        <v>88630</v>
      </c>
      <c r="J83">
        <f t="shared" si="2"/>
        <v>88630</v>
      </c>
      <c r="L83">
        <f t="shared" si="3"/>
        <v>39.566964285714285</v>
      </c>
    </row>
    <row r="84" spans="1:12" x14ac:dyDescent="0.25">
      <c r="A84">
        <v>1728</v>
      </c>
      <c r="B84" t="s">
        <v>10</v>
      </c>
      <c r="C84" t="s">
        <v>74</v>
      </c>
      <c r="D84" t="s">
        <v>35</v>
      </c>
      <c r="F84">
        <v>11</v>
      </c>
      <c r="G84">
        <v>3</v>
      </c>
      <c r="H84">
        <v>8</v>
      </c>
      <c r="J84">
        <f t="shared" si="2"/>
        <v>1324</v>
      </c>
      <c r="L84">
        <f t="shared" si="3"/>
        <v>0.59107142857142858</v>
      </c>
    </row>
    <row r="85" spans="1:12" x14ac:dyDescent="0.25">
      <c r="A85">
        <v>1728</v>
      </c>
      <c r="B85" t="s">
        <v>11</v>
      </c>
      <c r="C85" t="s">
        <v>74</v>
      </c>
      <c r="D85" t="s">
        <v>35</v>
      </c>
      <c r="F85">
        <v>3</v>
      </c>
      <c r="G85">
        <v>1</v>
      </c>
      <c r="H85">
        <v>14</v>
      </c>
      <c r="J85">
        <f t="shared" si="2"/>
        <v>378</v>
      </c>
      <c r="L85">
        <f t="shared" si="3"/>
        <v>0.16875000000000001</v>
      </c>
    </row>
    <row r="86" spans="1:12" x14ac:dyDescent="0.25">
      <c r="A86">
        <v>1728</v>
      </c>
      <c r="B86" t="s">
        <v>39</v>
      </c>
      <c r="C86" t="s">
        <v>74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1728</v>
      </c>
      <c r="B87" t="s">
        <v>79</v>
      </c>
      <c r="C87" t="s">
        <v>74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1728</v>
      </c>
      <c r="B88" t="s">
        <v>103</v>
      </c>
      <c r="C88" t="s">
        <v>74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1728</v>
      </c>
      <c r="B89" t="s">
        <v>44</v>
      </c>
      <c r="C89" t="s">
        <v>74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1728</v>
      </c>
      <c r="B90" t="s">
        <v>97</v>
      </c>
      <c r="C90" t="s">
        <v>74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1728</v>
      </c>
      <c r="B91" t="s">
        <v>12</v>
      </c>
      <c r="C91" t="s">
        <v>74</v>
      </c>
      <c r="D91" t="s">
        <v>35</v>
      </c>
      <c r="H91">
        <v>660</v>
      </c>
      <c r="J91">
        <f t="shared" si="2"/>
        <v>660</v>
      </c>
      <c r="L91">
        <f t="shared" si="3"/>
        <v>0.29464285714285715</v>
      </c>
    </row>
    <row r="92" spans="1:12" x14ac:dyDescent="0.25">
      <c r="A92">
        <v>1728</v>
      </c>
      <c r="B92" t="s">
        <v>82</v>
      </c>
      <c r="C92" t="s">
        <v>74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1728</v>
      </c>
      <c r="B93" t="s">
        <v>34</v>
      </c>
      <c r="C93" t="s">
        <v>74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1728</v>
      </c>
      <c r="B94" t="s">
        <v>13</v>
      </c>
      <c r="C94" t="s">
        <v>74</v>
      </c>
      <c r="D94" t="s">
        <v>35</v>
      </c>
      <c r="E94">
        <v>8</v>
      </c>
      <c r="F94">
        <v>9</v>
      </c>
      <c r="H94">
        <v>12</v>
      </c>
      <c r="J94">
        <f t="shared" si="2"/>
        <v>18940</v>
      </c>
      <c r="L94">
        <f t="shared" si="3"/>
        <v>8.4553571428571423</v>
      </c>
    </row>
    <row r="95" spans="1:12" x14ac:dyDescent="0.25">
      <c r="A95">
        <v>1728</v>
      </c>
      <c r="B95" t="s">
        <v>14</v>
      </c>
      <c r="C95" t="s">
        <v>74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1728</v>
      </c>
      <c r="B96" t="s">
        <v>23</v>
      </c>
      <c r="C96" t="s">
        <v>74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1728</v>
      </c>
      <c r="B97" t="s">
        <v>27</v>
      </c>
      <c r="C97" t="s">
        <v>74</v>
      </c>
      <c r="D97" t="s">
        <v>35</v>
      </c>
      <c r="H97">
        <v>360</v>
      </c>
      <c r="I97" t="s">
        <v>161</v>
      </c>
      <c r="J97">
        <f t="shared" si="2"/>
        <v>360</v>
      </c>
      <c r="L97">
        <f t="shared" si="3"/>
        <v>0.16071428571428573</v>
      </c>
    </row>
    <row r="98" spans="1:12" x14ac:dyDescent="0.25">
      <c r="A98">
        <v>1728</v>
      </c>
      <c r="B98" t="s">
        <v>15</v>
      </c>
      <c r="C98" t="s">
        <v>74</v>
      </c>
      <c r="D98" t="s">
        <v>35</v>
      </c>
      <c r="F98">
        <v>58</v>
      </c>
      <c r="G98">
        <v>3</v>
      </c>
      <c r="H98">
        <v>8</v>
      </c>
      <c r="J98">
        <f t="shared" si="2"/>
        <v>6588</v>
      </c>
      <c r="L98">
        <f t="shared" si="3"/>
        <v>2.9410714285714286</v>
      </c>
    </row>
    <row r="99" spans="1:12" x14ac:dyDescent="0.25">
      <c r="A99">
        <v>1728</v>
      </c>
      <c r="B99" t="s">
        <v>93</v>
      </c>
      <c r="C99" t="s">
        <v>74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1728</v>
      </c>
      <c r="B100" t="s">
        <v>42</v>
      </c>
      <c r="C100" t="s">
        <v>74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1728</v>
      </c>
      <c r="B101" t="s">
        <v>83</v>
      </c>
      <c r="C101" t="s">
        <v>74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1728</v>
      </c>
      <c r="B102" t="s">
        <v>47</v>
      </c>
      <c r="C102" t="s">
        <v>74</v>
      </c>
      <c r="D102" t="s">
        <v>35</v>
      </c>
      <c r="H102">
        <v>30</v>
      </c>
      <c r="I102" t="s">
        <v>133</v>
      </c>
      <c r="J102">
        <f t="shared" si="2"/>
        <v>30</v>
      </c>
      <c r="L102">
        <f t="shared" si="3"/>
        <v>1.3392857142857142E-2</v>
      </c>
    </row>
    <row r="103" spans="1:12" x14ac:dyDescent="0.25">
      <c r="A103">
        <v>1728</v>
      </c>
      <c r="B103" t="s">
        <v>16</v>
      </c>
      <c r="C103" t="s">
        <v>74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1728</v>
      </c>
      <c r="B104" t="s">
        <v>17</v>
      </c>
      <c r="C104" t="s">
        <v>74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1728</v>
      </c>
      <c r="B105" t="s">
        <v>18</v>
      </c>
      <c r="C105" t="s">
        <v>74</v>
      </c>
      <c r="D105" t="s">
        <v>35</v>
      </c>
      <c r="H105">
        <v>30208</v>
      </c>
      <c r="I105" t="s">
        <v>160</v>
      </c>
      <c r="J105">
        <f t="shared" si="2"/>
        <v>30208</v>
      </c>
      <c r="L105">
        <f t="shared" si="3"/>
        <v>13.485714285714286</v>
      </c>
    </row>
    <row r="106" spans="1:12" x14ac:dyDescent="0.25">
      <c r="A106">
        <v>1728</v>
      </c>
      <c r="B106" t="s">
        <v>26</v>
      </c>
      <c r="C106" t="s">
        <v>74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1728</v>
      </c>
      <c r="B107" t="s">
        <v>84</v>
      </c>
      <c r="C107" t="s">
        <v>74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1728</v>
      </c>
      <c r="B108" t="s">
        <v>19</v>
      </c>
      <c r="C108" t="s">
        <v>74</v>
      </c>
      <c r="D108" t="s">
        <v>35</v>
      </c>
      <c r="F108">
        <v>3</v>
      </c>
      <c r="G108">
        <v>1</v>
      </c>
      <c r="H108">
        <v>10</v>
      </c>
      <c r="J108">
        <f t="shared" si="2"/>
        <v>374</v>
      </c>
      <c r="L108">
        <f t="shared" si="3"/>
        <v>0.1669642857142857</v>
      </c>
    </row>
    <row r="109" spans="1:12" x14ac:dyDescent="0.25">
      <c r="A109">
        <v>1728</v>
      </c>
      <c r="B109" t="s">
        <v>45</v>
      </c>
      <c r="C109" t="s">
        <v>74</v>
      </c>
      <c r="D109" t="s">
        <v>35</v>
      </c>
      <c r="H109">
        <v>287</v>
      </c>
      <c r="J109">
        <f t="shared" si="2"/>
        <v>287</v>
      </c>
      <c r="L109">
        <f t="shared" si="3"/>
        <v>0.12812499999999999</v>
      </c>
    </row>
    <row r="110" spans="1:12" x14ac:dyDescent="0.25">
      <c r="A110">
        <v>1728</v>
      </c>
      <c r="B110" t="s">
        <v>85</v>
      </c>
      <c r="C110" t="s">
        <v>74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1728</v>
      </c>
      <c r="B111" t="s">
        <v>54</v>
      </c>
      <c r="C111" t="s">
        <v>74</v>
      </c>
      <c r="D111" t="s">
        <v>35</v>
      </c>
      <c r="H111">
        <v>29</v>
      </c>
      <c r="J111">
        <f t="shared" si="2"/>
        <v>29</v>
      </c>
      <c r="L111">
        <f t="shared" si="3"/>
        <v>1.2946428571428572E-2</v>
      </c>
    </row>
    <row r="112" spans="1:12" x14ac:dyDescent="0.25">
      <c r="A112">
        <v>1728</v>
      </c>
      <c r="B112" t="s">
        <v>95</v>
      </c>
      <c r="C112" t="s">
        <v>74</v>
      </c>
      <c r="D112" t="s">
        <v>35</v>
      </c>
      <c r="H112">
        <v>4</v>
      </c>
      <c r="J112">
        <f t="shared" si="2"/>
        <v>4</v>
      </c>
      <c r="L112">
        <f t="shared" si="3"/>
        <v>1.7857142857142857E-3</v>
      </c>
    </row>
    <row r="113" spans="1:12" x14ac:dyDescent="0.25">
      <c r="A113">
        <v>1728</v>
      </c>
      <c r="B113" t="s">
        <v>20</v>
      </c>
      <c r="C113" t="s">
        <v>74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1728</v>
      </c>
      <c r="B114" t="s">
        <v>21</v>
      </c>
      <c r="C114" t="s">
        <v>74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1728</v>
      </c>
      <c r="B115" t="s">
        <v>22</v>
      </c>
      <c r="C115" t="s">
        <v>74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1728</v>
      </c>
      <c r="B116" t="s">
        <v>61</v>
      </c>
      <c r="C116" t="s">
        <v>74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1728</v>
      </c>
      <c r="B117" t="s">
        <v>91</v>
      </c>
      <c r="C117" t="s">
        <v>74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1728</v>
      </c>
      <c r="B118" t="s">
        <v>98</v>
      </c>
      <c r="C118" t="s">
        <v>74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1728</v>
      </c>
      <c r="B119" t="s">
        <v>87</v>
      </c>
      <c r="C119" t="s">
        <v>74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1728</v>
      </c>
      <c r="B120" t="s">
        <v>62</v>
      </c>
      <c r="C120" t="s">
        <v>74</v>
      </c>
      <c r="D120" t="s">
        <v>35</v>
      </c>
      <c r="E120">
        <v>113</v>
      </c>
      <c r="F120">
        <v>3</v>
      </c>
      <c r="H120">
        <v>21</v>
      </c>
      <c r="J120">
        <f t="shared" si="2"/>
        <v>253477</v>
      </c>
      <c r="L120">
        <f t="shared" si="3"/>
        <v>113.159375</v>
      </c>
    </row>
    <row r="121" spans="1:12" x14ac:dyDescent="0.25">
      <c r="A121">
        <v>1728</v>
      </c>
      <c r="B121" t="s">
        <v>88</v>
      </c>
      <c r="C121" t="s">
        <v>74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1728</v>
      </c>
      <c r="B122" t="s">
        <v>63</v>
      </c>
      <c r="C122" t="s">
        <v>74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1728</v>
      </c>
      <c r="B123" t="s">
        <v>89</v>
      </c>
      <c r="C123" t="s">
        <v>74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1728</v>
      </c>
      <c r="B124" t="s">
        <v>70</v>
      </c>
      <c r="C124" t="s">
        <v>74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1728</v>
      </c>
      <c r="B125" t="s">
        <v>64</v>
      </c>
      <c r="C125" t="s">
        <v>74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1728</v>
      </c>
      <c r="B126" t="s">
        <v>65</v>
      </c>
      <c r="C126" t="s">
        <v>74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O126"/>
  <sheetViews>
    <sheetView workbookViewId="0">
      <selection activeCell="A2" sqref="A2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B2" t="s">
        <v>55</v>
      </c>
      <c r="C2" t="s">
        <v>94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B3" t="s">
        <v>57</v>
      </c>
      <c r="C3" t="s">
        <v>94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B4" t="s">
        <v>36</v>
      </c>
      <c r="C4" t="s">
        <v>94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B5" t="s">
        <v>4</v>
      </c>
      <c r="C5" t="s">
        <v>94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B6" t="s">
        <v>58</v>
      </c>
      <c r="C6" t="s">
        <v>94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B7" t="s">
        <v>69</v>
      </c>
      <c r="C7" t="s">
        <v>94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B8" t="s">
        <v>43</v>
      </c>
      <c r="C8" t="s">
        <v>94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B9" t="s">
        <v>76</v>
      </c>
      <c r="C9" t="s">
        <v>94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B10" t="s">
        <v>5</v>
      </c>
      <c r="C10" t="s">
        <v>94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B11" t="s">
        <v>59</v>
      </c>
      <c r="C11" t="s">
        <v>94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B12" t="s">
        <v>6</v>
      </c>
      <c r="C12" t="s">
        <v>94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B13" t="s">
        <v>96</v>
      </c>
      <c r="C13" t="s">
        <v>94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B14" t="s">
        <v>60</v>
      </c>
      <c r="C14" t="s">
        <v>94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B15" t="s">
        <v>7</v>
      </c>
      <c r="C15" t="s">
        <v>94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B16" t="s">
        <v>37</v>
      </c>
      <c r="C16" t="s">
        <v>94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8</v>
      </c>
      <c r="C17" t="s">
        <v>94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40</v>
      </c>
      <c r="C18" t="s">
        <v>94</v>
      </c>
      <c r="D18" t="s">
        <v>33</v>
      </c>
      <c r="J18">
        <f t="shared" si="0"/>
        <v>0</v>
      </c>
      <c r="L18">
        <f t="shared" si="1"/>
        <v>0</v>
      </c>
    </row>
    <row r="19" spans="2:12" x14ac:dyDescent="0.25">
      <c r="B19" t="s">
        <v>77</v>
      </c>
      <c r="C19" t="s">
        <v>94</v>
      </c>
      <c r="D19" t="s">
        <v>33</v>
      </c>
      <c r="J19">
        <f t="shared" si="0"/>
        <v>0</v>
      </c>
      <c r="L19">
        <f t="shared" si="1"/>
        <v>0</v>
      </c>
    </row>
    <row r="20" spans="2:12" x14ac:dyDescent="0.25">
      <c r="B20" t="s">
        <v>78</v>
      </c>
      <c r="C20" t="s">
        <v>94</v>
      </c>
      <c r="D20" t="s">
        <v>33</v>
      </c>
      <c r="J20">
        <f t="shared" si="0"/>
        <v>0</v>
      </c>
      <c r="L20">
        <f t="shared" si="1"/>
        <v>0</v>
      </c>
    </row>
    <row r="21" spans="2:12" x14ac:dyDescent="0.25">
      <c r="B21" t="s">
        <v>46</v>
      </c>
      <c r="C21" t="s">
        <v>94</v>
      </c>
      <c r="D21" t="s">
        <v>33</v>
      </c>
      <c r="J21">
        <f t="shared" si="0"/>
        <v>0</v>
      </c>
      <c r="L21">
        <f t="shared" si="1"/>
        <v>0</v>
      </c>
    </row>
    <row r="22" spans="2:12" x14ac:dyDescent="0.25">
      <c r="B22" t="s">
        <v>9</v>
      </c>
      <c r="C22" t="s">
        <v>94</v>
      </c>
      <c r="D22" t="s">
        <v>33</v>
      </c>
      <c r="J22">
        <f t="shared" si="0"/>
        <v>0</v>
      </c>
      <c r="L22">
        <f t="shared" si="1"/>
        <v>0</v>
      </c>
    </row>
    <row r="23" spans="2:12" x14ac:dyDescent="0.25">
      <c r="B23" t="s">
        <v>10</v>
      </c>
      <c r="C23" t="s">
        <v>94</v>
      </c>
      <c r="D23" t="s">
        <v>33</v>
      </c>
      <c r="J23">
        <f t="shared" si="0"/>
        <v>0</v>
      </c>
      <c r="L23">
        <f t="shared" si="1"/>
        <v>0</v>
      </c>
    </row>
    <row r="24" spans="2:12" x14ac:dyDescent="0.25">
      <c r="B24" t="s">
        <v>11</v>
      </c>
      <c r="C24" t="s">
        <v>94</v>
      </c>
      <c r="D24" t="s">
        <v>33</v>
      </c>
      <c r="J24">
        <f t="shared" si="0"/>
        <v>0</v>
      </c>
      <c r="L24">
        <f t="shared" si="1"/>
        <v>0</v>
      </c>
    </row>
    <row r="25" spans="2:12" x14ac:dyDescent="0.25">
      <c r="B25" t="s">
        <v>39</v>
      </c>
      <c r="C25" t="s">
        <v>94</v>
      </c>
      <c r="D25" t="s">
        <v>33</v>
      </c>
      <c r="J25">
        <f t="shared" si="0"/>
        <v>0</v>
      </c>
      <c r="L25">
        <f t="shared" si="1"/>
        <v>0</v>
      </c>
    </row>
    <row r="26" spans="2:12" x14ac:dyDescent="0.25">
      <c r="B26" t="s">
        <v>79</v>
      </c>
      <c r="C26" t="s">
        <v>94</v>
      </c>
      <c r="D26" t="s">
        <v>33</v>
      </c>
      <c r="J26">
        <f t="shared" si="0"/>
        <v>0</v>
      </c>
      <c r="L26">
        <f t="shared" si="1"/>
        <v>0</v>
      </c>
    </row>
    <row r="27" spans="2:12" x14ac:dyDescent="0.25">
      <c r="B27" t="s">
        <v>103</v>
      </c>
      <c r="C27" t="s">
        <v>94</v>
      </c>
      <c r="D27" t="s">
        <v>33</v>
      </c>
      <c r="J27">
        <f t="shared" si="0"/>
        <v>0</v>
      </c>
      <c r="L27">
        <f t="shared" si="1"/>
        <v>0</v>
      </c>
    </row>
    <row r="28" spans="2:12" x14ac:dyDescent="0.25">
      <c r="B28" t="s">
        <v>44</v>
      </c>
      <c r="C28" t="s">
        <v>94</v>
      </c>
      <c r="D28" t="s">
        <v>33</v>
      </c>
      <c r="J28">
        <f t="shared" si="0"/>
        <v>0</v>
      </c>
      <c r="L28">
        <f t="shared" si="1"/>
        <v>0</v>
      </c>
    </row>
    <row r="29" spans="2:12" x14ac:dyDescent="0.25">
      <c r="B29" t="s">
        <v>97</v>
      </c>
      <c r="C29" t="s">
        <v>94</v>
      </c>
      <c r="D29" t="s">
        <v>33</v>
      </c>
      <c r="J29">
        <f t="shared" si="0"/>
        <v>0</v>
      </c>
      <c r="L29">
        <f t="shared" si="1"/>
        <v>0</v>
      </c>
    </row>
    <row r="30" spans="2:12" x14ac:dyDescent="0.25">
      <c r="B30" t="s">
        <v>12</v>
      </c>
      <c r="C30" t="s">
        <v>94</v>
      </c>
      <c r="D30" t="s">
        <v>33</v>
      </c>
      <c r="J30">
        <f t="shared" si="0"/>
        <v>0</v>
      </c>
      <c r="L30">
        <f t="shared" si="1"/>
        <v>0</v>
      </c>
    </row>
    <row r="31" spans="2:12" x14ac:dyDescent="0.25">
      <c r="B31" t="s">
        <v>82</v>
      </c>
      <c r="C31" t="s">
        <v>94</v>
      </c>
      <c r="D31" t="s">
        <v>33</v>
      </c>
      <c r="J31">
        <f t="shared" si="0"/>
        <v>0</v>
      </c>
      <c r="L31">
        <f t="shared" si="1"/>
        <v>0</v>
      </c>
    </row>
    <row r="32" spans="2:12" x14ac:dyDescent="0.25">
      <c r="B32" t="s">
        <v>34</v>
      </c>
      <c r="C32" t="s">
        <v>94</v>
      </c>
      <c r="D32" t="s">
        <v>33</v>
      </c>
      <c r="J32">
        <f t="shared" si="0"/>
        <v>0</v>
      </c>
      <c r="L32">
        <f t="shared" si="1"/>
        <v>0</v>
      </c>
    </row>
    <row r="33" spans="2:12" x14ac:dyDescent="0.25">
      <c r="B33" t="s">
        <v>13</v>
      </c>
      <c r="C33" t="s">
        <v>94</v>
      </c>
      <c r="D33" t="s">
        <v>33</v>
      </c>
      <c r="J33">
        <f t="shared" si="0"/>
        <v>0</v>
      </c>
      <c r="L33">
        <f t="shared" si="1"/>
        <v>0</v>
      </c>
    </row>
    <row r="34" spans="2:12" x14ac:dyDescent="0.25">
      <c r="B34" t="s">
        <v>14</v>
      </c>
      <c r="C34" t="s">
        <v>94</v>
      </c>
      <c r="D34" t="s">
        <v>33</v>
      </c>
      <c r="J34">
        <f t="shared" si="0"/>
        <v>0</v>
      </c>
      <c r="L34">
        <f t="shared" si="1"/>
        <v>0</v>
      </c>
    </row>
    <row r="35" spans="2:12" x14ac:dyDescent="0.25">
      <c r="B35" t="s">
        <v>23</v>
      </c>
      <c r="C35" t="s">
        <v>94</v>
      </c>
      <c r="D35" t="s">
        <v>33</v>
      </c>
      <c r="J35">
        <f t="shared" si="0"/>
        <v>0</v>
      </c>
      <c r="L35">
        <f t="shared" si="1"/>
        <v>0</v>
      </c>
    </row>
    <row r="36" spans="2:12" x14ac:dyDescent="0.25">
      <c r="B36" t="s">
        <v>27</v>
      </c>
      <c r="C36" t="s">
        <v>94</v>
      </c>
      <c r="D36" t="s">
        <v>33</v>
      </c>
      <c r="J36">
        <f t="shared" si="0"/>
        <v>0</v>
      </c>
      <c r="L36">
        <f t="shared" si="1"/>
        <v>0</v>
      </c>
    </row>
    <row r="37" spans="2:12" x14ac:dyDescent="0.25">
      <c r="B37" t="s">
        <v>15</v>
      </c>
      <c r="C37" t="s">
        <v>94</v>
      </c>
      <c r="D37" t="s">
        <v>33</v>
      </c>
      <c r="J37">
        <f t="shared" si="0"/>
        <v>0</v>
      </c>
      <c r="L37">
        <f t="shared" si="1"/>
        <v>0</v>
      </c>
    </row>
    <row r="38" spans="2:12" x14ac:dyDescent="0.25">
      <c r="B38" t="s">
        <v>42</v>
      </c>
      <c r="C38" t="s">
        <v>94</v>
      </c>
      <c r="D38" t="s">
        <v>33</v>
      </c>
      <c r="J38">
        <f t="shared" si="0"/>
        <v>0</v>
      </c>
      <c r="L38">
        <f t="shared" si="1"/>
        <v>0</v>
      </c>
    </row>
    <row r="39" spans="2:12" x14ac:dyDescent="0.25">
      <c r="B39" t="s">
        <v>83</v>
      </c>
      <c r="C39" t="s">
        <v>94</v>
      </c>
      <c r="D39" t="s">
        <v>33</v>
      </c>
      <c r="J39">
        <f t="shared" si="0"/>
        <v>0</v>
      </c>
      <c r="L39">
        <f t="shared" si="1"/>
        <v>0</v>
      </c>
    </row>
    <row r="40" spans="2:12" x14ac:dyDescent="0.25">
      <c r="B40" t="s">
        <v>47</v>
      </c>
      <c r="C40" t="s">
        <v>94</v>
      </c>
      <c r="D40" t="s">
        <v>33</v>
      </c>
      <c r="J40">
        <f t="shared" si="0"/>
        <v>0</v>
      </c>
      <c r="L40">
        <f t="shared" si="1"/>
        <v>0</v>
      </c>
    </row>
    <row r="41" spans="2:12" x14ac:dyDescent="0.25">
      <c r="B41" t="s">
        <v>16</v>
      </c>
      <c r="C41" t="s">
        <v>94</v>
      </c>
      <c r="D41" t="s">
        <v>33</v>
      </c>
      <c r="J41">
        <f t="shared" si="0"/>
        <v>0</v>
      </c>
      <c r="L41">
        <f t="shared" si="1"/>
        <v>0</v>
      </c>
    </row>
    <row r="42" spans="2:12" x14ac:dyDescent="0.25">
      <c r="B42" t="s">
        <v>17</v>
      </c>
      <c r="C42" t="s">
        <v>94</v>
      </c>
      <c r="D42" t="s">
        <v>33</v>
      </c>
      <c r="J42">
        <f t="shared" si="0"/>
        <v>0</v>
      </c>
      <c r="L42">
        <f t="shared" si="1"/>
        <v>0</v>
      </c>
    </row>
    <row r="43" spans="2:12" x14ac:dyDescent="0.25">
      <c r="B43" t="s">
        <v>18</v>
      </c>
      <c r="C43" t="s">
        <v>94</v>
      </c>
      <c r="D43" t="s">
        <v>33</v>
      </c>
      <c r="J43">
        <f t="shared" si="0"/>
        <v>0</v>
      </c>
      <c r="L43">
        <f t="shared" si="1"/>
        <v>0</v>
      </c>
    </row>
    <row r="44" spans="2:12" x14ac:dyDescent="0.25">
      <c r="B44" t="s">
        <v>26</v>
      </c>
      <c r="C44" t="s">
        <v>94</v>
      </c>
      <c r="D44" t="s">
        <v>33</v>
      </c>
      <c r="J44">
        <f t="shared" si="0"/>
        <v>0</v>
      </c>
      <c r="L44">
        <f t="shared" si="1"/>
        <v>0</v>
      </c>
    </row>
    <row r="45" spans="2:12" x14ac:dyDescent="0.25">
      <c r="B45" t="s">
        <v>84</v>
      </c>
      <c r="C45" t="s">
        <v>94</v>
      </c>
      <c r="D45" t="s">
        <v>33</v>
      </c>
      <c r="J45">
        <f t="shared" si="0"/>
        <v>0</v>
      </c>
      <c r="L45">
        <f t="shared" si="1"/>
        <v>0</v>
      </c>
    </row>
    <row r="46" spans="2:12" x14ac:dyDescent="0.25">
      <c r="B46" t="s">
        <v>19</v>
      </c>
      <c r="C46" t="s">
        <v>94</v>
      </c>
      <c r="D46" t="s">
        <v>33</v>
      </c>
      <c r="J46">
        <f t="shared" si="0"/>
        <v>0</v>
      </c>
      <c r="L46">
        <f t="shared" si="1"/>
        <v>0</v>
      </c>
    </row>
    <row r="47" spans="2:12" x14ac:dyDescent="0.25">
      <c r="B47" t="s">
        <v>45</v>
      </c>
      <c r="C47" t="s">
        <v>94</v>
      </c>
      <c r="D47" t="s">
        <v>33</v>
      </c>
      <c r="J47">
        <f t="shared" si="0"/>
        <v>0</v>
      </c>
      <c r="L47">
        <f t="shared" si="1"/>
        <v>0</v>
      </c>
    </row>
    <row r="48" spans="2:12" x14ac:dyDescent="0.25">
      <c r="B48" t="s">
        <v>85</v>
      </c>
      <c r="C48" t="s">
        <v>94</v>
      </c>
      <c r="D48" t="s">
        <v>33</v>
      </c>
      <c r="J48">
        <f t="shared" si="0"/>
        <v>0</v>
      </c>
      <c r="L48">
        <f t="shared" si="1"/>
        <v>0</v>
      </c>
    </row>
    <row r="49" spans="2:12" x14ac:dyDescent="0.25">
      <c r="B49" t="s">
        <v>54</v>
      </c>
      <c r="C49" t="s">
        <v>94</v>
      </c>
      <c r="D49" t="s">
        <v>33</v>
      </c>
      <c r="J49">
        <f t="shared" si="0"/>
        <v>0</v>
      </c>
      <c r="L49">
        <f t="shared" si="1"/>
        <v>0</v>
      </c>
    </row>
    <row r="50" spans="2:12" x14ac:dyDescent="0.25">
      <c r="B50" t="s">
        <v>95</v>
      </c>
      <c r="C50" t="s">
        <v>94</v>
      </c>
      <c r="D50" t="s">
        <v>33</v>
      </c>
      <c r="J50">
        <f t="shared" si="0"/>
        <v>0</v>
      </c>
      <c r="L50">
        <f t="shared" si="1"/>
        <v>0</v>
      </c>
    </row>
    <row r="51" spans="2:12" x14ac:dyDescent="0.25">
      <c r="B51" t="s">
        <v>20</v>
      </c>
      <c r="C51" t="s">
        <v>94</v>
      </c>
      <c r="D51" t="s">
        <v>33</v>
      </c>
      <c r="J51">
        <f t="shared" si="0"/>
        <v>0</v>
      </c>
      <c r="L51">
        <f t="shared" si="1"/>
        <v>0</v>
      </c>
    </row>
    <row r="52" spans="2:12" x14ac:dyDescent="0.25">
      <c r="B52" t="s">
        <v>21</v>
      </c>
      <c r="C52" t="s">
        <v>94</v>
      </c>
      <c r="D52" t="s">
        <v>33</v>
      </c>
      <c r="J52">
        <f t="shared" si="0"/>
        <v>0</v>
      </c>
      <c r="L52">
        <f t="shared" si="1"/>
        <v>0</v>
      </c>
    </row>
    <row r="53" spans="2:12" x14ac:dyDescent="0.25">
      <c r="B53" t="s">
        <v>22</v>
      </c>
      <c r="C53" t="s">
        <v>94</v>
      </c>
      <c r="D53" t="s">
        <v>33</v>
      </c>
      <c r="J53">
        <f t="shared" si="0"/>
        <v>0</v>
      </c>
      <c r="L53">
        <f t="shared" si="1"/>
        <v>0</v>
      </c>
    </row>
    <row r="54" spans="2:12" x14ac:dyDescent="0.25">
      <c r="B54" t="s">
        <v>61</v>
      </c>
      <c r="C54" t="s">
        <v>94</v>
      </c>
      <c r="D54" t="s">
        <v>33</v>
      </c>
      <c r="J54">
        <f t="shared" si="0"/>
        <v>0</v>
      </c>
      <c r="L54">
        <f t="shared" si="1"/>
        <v>0</v>
      </c>
    </row>
    <row r="55" spans="2:12" x14ac:dyDescent="0.25">
      <c r="B55" t="s">
        <v>99</v>
      </c>
      <c r="C55" t="s">
        <v>94</v>
      </c>
      <c r="D55" t="s">
        <v>33</v>
      </c>
      <c r="J55">
        <f t="shared" si="0"/>
        <v>0</v>
      </c>
      <c r="L55">
        <f t="shared" si="1"/>
        <v>0</v>
      </c>
    </row>
    <row r="56" spans="2:12" x14ac:dyDescent="0.25">
      <c r="B56" t="s">
        <v>87</v>
      </c>
      <c r="C56" t="s">
        <v>94</v>
      </c>
      <c r="D56" t="s">
        <v>33</v>
      </c>
      <c r="J56">
        <f t="shared" si="0"/>
        <v>0</v>
      </c>
      <c r="L56">
        <f t="shared" si="1"/>
        <v>0</v>
      </c>
    </row>
    <row r="57" spans="2:12" x14ac:dyDescent="0.25">
      <c r="B57" t="s">
        <v>62</v>
      </c>
      <c r="C57" t="s">
        <v>94</v>
      </c>
      <c r="D57" t="s">
        <v>33</v>
      </c>
      <c r="J57">
        <f t="shared" si="0"/>
        <v>0</v>
      </c>
      <c r="L57">
        <f t="shared" si="1"/>
        <v>0</v>
      </c>
    </row>
    <row r="58" spans="2:12" x14ac:dyDescent="0.25">
      <c r="B58" t="s">
        <v>88</v>
      </c>
      <c r="C58" t="s">
        <v>94</v>
      </c>
      <c r="D58" t="s">
        <v>33</v>
      </c>
      <c r="J58">
        <f t="shared" si="0"/>
        <v>0</v>
      </c>
      <c r="L58">
        <f t="shared" si="1"/>
        <v>0</v>
      </c>
    </row>
    <row r="59" spans="2:12" x14ac:dyDescent="0.25">
      <c r="B59" t="s">
        <v>63</v>
      </c>
      <c r="C59" t="s">
        <v>94</v>
      </c>
      <c r="D59" t="s">
        <v>33</v>
      </c>
      <c r="J59">
        <f t="shared" si="0"/>
        <v>0</v>
      </c>
      <c r="L59">
        <f t="shared" si="1"/>
        <v>0</v>
      </c>
    </row>
    <row r="60" spans="2:12" x14ac:dyDescent="0.25">
      <c r="B60" t="s">
        <v>89</v>
      </c>
      <c r="C60" t="s">
        <v>94</v>
      </c>
      <c r="D60" t="s">
        <v>33</v>
      </c>
      <c r="J60">
        <f t="shared" si="0"/>
        <v>0</v>
      </c>
      <c r="L60">
        <f t="shared" si="1"/>
        <v>0</v>
      </c>
    </row>
    <row r="61" spans="2:12" x14ac:dyDescent="0.25">
      <c r="B61" t="s">
        <v>70</v>
      </c>
      <c r="C61" t="s">
        <v>94</v>
      </c>
      <c r="D61" t="s">
        <v>33</v>
      </c>
      <c r="J61">
        <f t="shared" si="0"/>
        <v>0</v>
      </c>
      <c r="L61">
        <f t="shared" si="1"/>
        <v>0</v>
      </c>
    </row>
    <row r="62" spans="2:12" x14ac:dyDescent="0.25">
      <c r="B62" t="s">
        <v>64</v>
      </c>
      <c r="C62" t="s">
        <v>94</v>
      </c>
      <c r="D62" t="s">
        <v>33</v>
      </c>
      <c r="J62">
        <f t="shared" si="0"/>
        <v>0</v>
      </c>
      <c r="L62">
        <f t="shared" si="1"/>
        <v>0</v>
      </c>
    </row>
    <row r="63" spans="2:12" x14ac:dyDescent="0.25">
      <c r="B63" t="s">
        <v>65</v>
      </c>
      <c r="C63" t="s">
        <v>94</v>
      </c>
      <c r="D63" t="s">
        <v>33</v>
      </c>
      <c r="J63">
        <f t="shared" si="0"/>
        <v>0</v>
      </c>
      <c r="L63">
        <f t="shared" si="1"/>
        <v>0</v>
      </c>
    </row>
    <row r="64" spans="2:12" x14ac:dyDescent="0.25">
      <c r="B64" t="s">
        <v>55</v>
      </c>
      <c r="C64" t="s">
        <v>94</v>
      </c>
      <c r="D64" t="s">
        <v>35</v>
      </c>
      <c r="J64">
        <f t="shared" si="0"/>
        <v>0</v>
      </c>
      <c r="L64">
        <f t="shared" si="1"/>
        <v>0</v>
      </c>
    </row>
    <row r="65" spans="2:12" x14ac:dyDescent="0.25">
      <c r="B65" t="s">
        <v>57</v>
      </c>
      <c r="C65" t="s">
        <v>94</v>
      </c>
      <c r="D65" t="s">
        <v>35</v>
      </c>
      <c r="J65">
        <f t="shared" si="0"/>
        <v>0</v>
      </c>
      <c r="L65">
        <f t="shared" si="1"/>
        <v>0</v>
      </c>
    </row>
    <row r="66" spans="2:12" x14ac:dyDescent="0.25">
      <c r="B66" t="s">
        <v>36</v>
      </c>
      <c r="C66" t="s">
        <v>94</v>
      </c>
      <c r="D66" t="s">
        <v>35</v>
      </c>
      <c r="J66">
        <f t="shared" si="0"/>
        <v>0</v>
      </c>
      <c r="L66">
        <f t="shared" si="1"/>
        <v>0</v>
      </c>
    </row>
    <row r="67" spans="2:12" x14ac:dyDescent="0.25">
      <c r="B67" t="s">
        <v>4</v>
      </c>
      <c r="C67" t="s">
        <v>94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2:12" x14ac:dyDescent="0.25">
      <c r="B68" t="s">
        <v>58</v>
      </c>
      <c r="C68" t="s">
        <v>94</v>
      </c>
      <c r="D68" t="s">
        <v>35</v>
      </c>
      <c r="J68">
        <f t="shared" si="2"/>
        <v>0</v>
      </c>
      <c r="L68">
        <f t="shared" si="3"/>
        <v>0</v>
      </c>
    </row>
    <row r="69" spans="2:12" x14ac:dyDescent="0.25">
      <c r="B69" t="s">
        <v>69</v>
      </c>
      <c r="C69" t="s">
        <v>94</v>
      </c>
      <c r="D69" t="s">
        <v>35</v>
      </c>
      <c r="J69">
        <f t="shared" si="2"/>
        <v>0</v>
      </c>
      <c r="L69">
        <f t="shared" si="3"/>
        <v>0</v>
      </c>
    </row>
    <row r="70" spans="2:12" x14ac:dyDescent="0.25">
      <c r="B70" t="s">
        <v>43</v>
      </c>
      <c r="C70" t="s">
        <v>94</v>
      </c>
      <c r="D70" t="s">
        <v>35</v>
      </c>
      <c r="J70">
        <f t="shared" si="2"/>
        <v>0</v>
      </c>
      <c r="L70">
        <f t="shared" si="3"/>
        <v>0</v>
      </c>
    </row>
    <row r="71" spans="2:12" x14ac:dyDescent="0.25">
      <c r="B71" t="s">
        <v>76</v>
      </c>
      <c r="C71" t="s">
        <v>94</v>
      </c>
      <c r="D71" t="s">
        <v>35</v>
      </c>
      <c r="J71">
        <f t="shared" si="2"/>
        <v>0</v>
      </c>
      <c r="L71">
        <f t="shared" si="3"/>
        <v>0</v>
      </c>
    </row>
    <row r="72" spans="2:12" x14ac:dyDescent="0.25">
      <c r="B72" t="s">
        <v>5</v>
      </c>
      <c r="C72" t="s">
        <v>94</v>
      </c>
      <c r="D72" t="s">
        <v>35</v>
      </c>
      <c r="J72">
        <f t="shared" si="2"/>
        <v>0</v>
      </c>
      <c r="L72">
        <f t="shared" si="3"/>
        <v>0</v>
      </c>
    </row>
    <row r="73" spans="2:12" x14ac:dyDescent="0.25">
      <c r="B73" t="s">
        <v>59</v>
      </c>
      <c r="C73" t="s">
        <v>94</v>
      </c>
      <c r="D73" t="s">
        <v>35</v>
      </c>
      <c r="J73">
        <f t="shared" si="2"/>
        <v>0</v>
      </c>
      <c r="L73">
        <f t="shared" si="3"/>
        <v>0</v>
      </c>
    </row>
    <row r="74" spans="2:12" x14ac:dyDescent="0.25">
      <c r="B74" t="s">
        <v>6</v>
      </c>
      <c r="C74" t="s">
        <v>94</v>
      </c>
      <c r="D74" t="s">
        <v>35</v>
      </c>
      <c r="J74">
        <f t="shared" si="2"/>
        <v>0</v>
      </c>
      <c r="L74">
        <f t="shared" si="3"/>
        <v>0</v>
      </c>
    </row>
    <row r="75" spans="2:12" x14ac:dyDescent="0.25">
      <c r="B75" t="s">
        <v>60</v>
      </c>
      <c r="C75" t="s">
        <v>94</v>
      </c>
      <c r="D75" t="s">
        <v>35</v>
      </c>
      <c r="J75">
        <f t="shared" si="2"/>
        <v>0</v>
      </c>
      <c r="L75">
        <f t="shared" si="3"/>
        <v>0</v>
      </c>
    </row>
    <row r="76" spans="2:12" x14ac:dyDescent="0.25">
      <c r="B76" t="s">
        <v>7</v>
      </c>
      <c r="C76" t="s">
        <v>94</v>
      </c>
      <c r="D76" t="s">
        <v>35</v>
      </c>
      <c r="J76">
        <f t="shared" si="2"/>
        <v>0</v>
      </c>
      <c r="L76">
        <f t="shared" si="3"/>
        <v>0</v>
      </c>
    </row>
    <row r="77" spans="2:12" x14ac:dyDescent="0.25">
      <c r="B77" t="s">
        <v>37</v>
      </c>
      <c r="C77" t="s">
        <v>94</v>
      </c>
      <c r="D77" t="s">
        <v>35</v>
      </c>
      <c r="J77">
        <f t="shared" si="2"/>
        <v>0</v>
      </c>
      <c r="L77">
        <f t="shared" si="3"/>
        <v>0</v>
      </c>
    </row>
    <row r="78" spans="2:12" x14ac:dyDescent="0.25">
      <c r="B78" t="s">
        <v>8</v>
      </c>
      <c r="C78" t="s">
        <v>94</v>
      </c>
      <c r="D78" t="s">
        <v>35</v>
      </c>
      <c r="J78">
        <f t="shared" si="2"/>
        <v>0</v>
      </c>
      <c r="L78">
        <f t="shared" si="3"/>
        <v>0</v>
      </c>
    </row>
    <row r="79" spans="2:12" x14ac:dyDescent="0.25">
      <c r="B79" t="s">
        <v>40</v>
      </c>
      <c r="C79" t="s">
        <v>94</v>
      </c>
      <c r="D79" t="s">
        <v>35</v>
      </c>
      <c r="J79">
        <f t="shared" si="2"/>
        <v>0</v>
      </c>
      <c r="L79">
        <f t="shared" si="3"/>
        <v>0</v>
      </c>
    </row>
    <row r="80" spans="2:12" x14ac:dyDescent="0.25">
      <c r="B80" t="s">
        <v>77</v>
      </c>
      <c r="C80" t="s">
        <v>94</v>
      </c>
      <c r="D80" t="s">
        <v>35</v>
      </c>
      <c r="J80">
        <f t="shared" si="2"/>
        <v>0</v>
      </c>
      <c r="L80">
        <f t="shared" si="3"/>
        <v>0</v>
      </c>
    </row>
    <row r="81" spans="2:12" x14ac:dyDescent="0.25">
      <c r="B81" t="s">
        <v>78</v>
      </c>
      <c r="C81" t="s">
        <v>94</v>
      </c>
      <c r="D81" t="s">
        <v>35</v>
      </c>
      <c r="J81">
        <f t="shared" si="2"/>
        <v>0</v>
      </c>
      <c r="L81">
        <f t="shared" si="3"/>
        <v>0</v>
      </c>
    </row>
    <row r="82" spans="2:12" x14ac:dyDescent="0.25">
      <c r="B82" t="s">
        <v>46</v>
      </c>
      <c r="C82" t="s">
        <v>94</v>
      </c>
      <c r="D82" t="s">
        <v>35</v>
      </c>
      <c r="J82">
        <f t="shared" si="2"/>
        <v>0</v>
      </c>
      <c r="L82">
        <f t="shared" si="3"/>
        <v>0</v>
      </c>
    </row>
    <row r="83" spans="2:12" x14ac:dyDescent="0.25">
      <c r="B83" t="s">
        <v>9</v>
      </c>
      <c r="C83" t="s">
        <v>94</v>
      </c>
      <c r="D83" t="s">
        <v>35</v>
      </c>
      <c r="J83">
        <f t="shared" si="2"/>
        <v>0</v>
      </c>
      <c r="L83">
        <f t="shared" si="3"/>
        <v>0</v>
      </c>
    </row>
    <row r="84" spans="2:12" x14ac:dyDescent="0.25">
      <c r="B84" t="s">
        <v>10</v>
      </c>
      <c r="C84" t="s">
        <v>94</v>
      </c>
      <c r="D84" t="s">
        <v>35</v>
      </c>
      <c r="J84">
        <f t="shared" si="2"/>
        <v>0</v>
      </c>
      <c r="L84">
        <f t="shared" si="3"/>
        <v>0</v>
      </c>
    </row>
    <row r="85" spans="2:12" x14ac:dyDescent="0.25">
      <c r="B85" t="s">
        <v>11</v>
      </c>
      <c r="C85" t="s">
        <v>94</v>
      </c>
      <c r="D85" t="s">
        <v>35</v>
      </c>
      <c r="J85">
        <f t="shared" si="2"/>
        <v>0</v>
      </c>
      <c r="L85">
        <f t="shared" si="3"/>
        <v>0</v>
      </c>
    </row>
    <row r="86" spans="2:12" x14ac:dyDescent="0.25">
      <c r="B86" t="s">
        <v>39</v>
      </c>
      <c r="C86" t="s">
        <v>94</v>
      </c>
      <c r="D86" t="s">
        <v>35</v>
      </c>
      <c r="J86">
        <f t="shared" si="2"/>
        <v>0</v>
      </c>
      <c r="L86">
        <f t="shared" si="3"/>
        <v>0</v>
      </c>
    </row>
    <row r="87" spans="2:12" x14ac:dyDescent="0.25">
      <c r="B87" t="s">
        <v>79</v>
      </c>
      <c r="C87" t="s">
        <v>94</v>
      </c>
      <c r="D87" t="s">
        <v>35</v>
      </c>
      <c r="J87">
        <f t="shared" si="2"/>
        <v>0</v>
      </c>
      <c r="L87">
        <f t="shared" si="3"/>
        <v>0</v>
      </c>
    </row>
    <row r="88" spans="2:12" x14ac:dyDescent="0.25">
      <c r="B88" t="s">
        <v>103</v>
      </c>
      <c r="C88" t="s">
        <v>94</v>
      </c>
      <c r="D88" t="s">
        <v>35</v>
      </c>
      <c r="J88">
        <f t="shared" si="2"/>
        <v>0</v>
      </c>
      <c r="L88">
        <f t="shared" si="3"/>
        <v>0</v>
      </c>
    </row>
    <row r="89" spans="2:12" x14ac:dyDescent="0.25">
      <c r="B89" t="s">
        <v>44</v>
      </c>
      <c r="C89" t="s">
        <v>94</v>
      </c>
      <c r="D89" t="s">
        <v>35</v>
      </c>
      <c r="J89">
        <f t="shared" si="2"/>
        <v>0</v>
      </c>
      <c r="L89">
        <f t="shared" si="3"/>
        <v>0</v>
      </c>
    </row>
    <row r="90" spans="2:12" x14ac:dyDescent="0.25">
      <c r="B90" t="s">
        <v>97</v>
      </c>
      <c r="C90" t="s">
        <v>94</v>
      </c>
      <c r="D90" t="s">
        <v>35</v>
      </c>
      <c r="J90">
        <f t="shared" si="2"/>
        <v>0</v>
      </c>
      <c r="L90">
        <f t="shared" si="3"/>
        <v>0</v>
      </c>
    </row>
    <row r="91" spans="2:12" x14ac:dyDescent="0.25">
      <c r="B91" t="s">
        <v>12</v>
      </c>
      <c r="C91" t="s">
        <v>94</v>
      </c>
      <c r="D91" t="s">
        <v>35</v>
      </c>
      <c r="J91">
        <f t="shared" si="2"/>
        <v>0</v>
      </c>
      <c r="L91">
        <f t="shared" si="3"/>
        <v>0</v>
      </c>
    </row>
    <row r="92" spans="2:12" x14ac:dyDescent="0.25">
      <c r="B92" t="s">
        <v>82</v>
      </c>
      <c r="C92" t="s">
        <v>94</v>
      </c>
      <c r="D92" t="s">
        <v>35</v>
      </c>
      <c r="J92">
        <f t="shared" si="2"/>
        <v>0</v>
      </c>
      <c r="L92">
        <f t="shared" si="3"/>
        <v>0</v>
      </c>
    </row>
    <row r="93" spans="2:12" x14ac:dyDescent="0.25">
      <c r="B93" t="s">
        <v>34</v>
      </c>
      <c r="C93" t="s">
        <v>94</v>
      </c>
      <c r="D93" t="s">
        <v>35</v>
      </c>
      <c r="J93">
        <f t="shared" si="2"/>
        <v>0</v>
      </c>
      <c r="L93">
        <f t="shared" si="3"/>
        <v>0</v>
      </c>
    </row>
    <row r="94" spans="2:12" x14ac:dyDescent="0.25">
      <c r="B94" t="s">
        <v>13</v>
      </c>
      <c r="C94" t="s">
        <v>94</v>
      </c>
      <c r="D94" t="s">
        <v>35</v>
      </c>
      <c r="J94">
        <f t="shared" si="2"/>
        <v>0</v>
      </c>
      <c r="L94">
        <f t="shared" si="3"/>
        <v>0</v>
      </c>
    </row>
    <row r="95" spans="2:12" x14ac:dyDescent="0.25">
      <c r="B95" t="s">
        <v>14</v>
      </c>
      <c r="C95" t="s">
        <v>94</v>
      </c>
      <c r="D95" t="s">
        <v>35</v>
      </c>
      <c r="J95">
        <f t="shared" si="2"/>
        <v>0</v>
      </c>
      <c r="L95">
        <f t="shared" si="3"/>
        <v>0</v>
      </c>
    </row>
    <row r="96" spans="2:12" x14ac:dyDescent="0.25">
      <c r="B96" t="s">
        <v>23</v>
      </c>
      <c r="C96" t="s">
        <v>94</v>
      </c>
      <c r="D96" t="s">
        <v>35</v>
      </c>
      <c r="J96">
        <f t="shared" si="2"/>
        <v>0</v>
      </c>
      <c r="L96">
        <f t="shared" si="3"/>
        <v>0</v>
      </c>
    </row>
    <row r="97" spans="2:12" x14ac:dyDescent="0.25">
      <c r="B97" t="s">
        <v>27</v>
      </c>
      <c r="C97" t="s">
        <v>94</v>
      </c>
      <c r="D97" t="s">
        <v>35</v>
      </c>
      <c r="J97">
        <f t="shared" si="2"/>
        <v>0</v>
      </c>
      <c r="L97">
        <f t="shared" si="3"/>
        <v>0</v>
      </c>
    </row>
    <row r="98" spans="2:12" x14ac:dyDescent="0.25">
      <c r="B98" t="s">
        <v>15</v>
      </c>
      <c r="C98" t="s">
        <v>94</v>
      </c>
      <c r="D98" t="s">
        <v>35</v>
      </c>
      <c r="J98">
        <f t="shared" si="2"/>
        <v>0</v>
      </c>
      <c r="L98">
        <f t="shared" si="3"/>
        <v>0</v>
      </c>
    </row>
    <row r="99" spans="2:12" x14ac:dyDescent="0.25">
      <c r="B99" t="s">
        <v>93</v>
      </c>
      <c r="C99" t="s">
        <v>94</v>
      </c>
      <c r="D99" t="s">
        <v>35</v>
      </c>
      <c r="J99">
        <f t="shared" si="2"/>
        <v>0</v>
      </c>
      <c r="L99">
        <f t="shared" si="3"/>
        <v>0</v>
      </c>
    </row>
    <row r="100" spans="2:12" x14ac:dyDescent="0.25">
      <c r="B100" t="s">
        <v>42</v>
      </c>
      <c r="C100" t="s">
        <v>94</v>
      </c>
      <c r="D100" t="s">
        <v>35</v>
      </c>
      <c r="J100">
        <f t="shared" si="2"/>
        <v>0</v>
      </c>
      <c r="L100">
        <f t="shared" si="3"/>
        <v>0</v>
      </c>
    </row>
    <row r="101" spans="2:12" x14ac:dyDescent="0.25">
      <c r="B101" t="s">
        <v>83</v>
      </c>
      <c r="C101" t="s">
        <v>94</v>
      </c>
      <c r="D101" t="s">
        <v>35</v>
      </c>
      <c r="J101">
        <f t="shared" si="2"/>
        <v>0</v>
      </c>
      <c r="L101">
        <f t="shared" si="3"/>
        <v>0</v>
      </c>
    </row>
    <row r="102" spans="2:12" x14ac:dyDescent="0.25">
      <c r="B102" t="s">
        <v>47</v>
      </c>
      <c r="C102" t="s">
        <v>94</v>
      </c>
      <c r="D102" t="s">
        <v>35</v>
      </c>
      <c r="J102">
        <f t="shared" si="2"/>
        <v>0</v>
      </c>
      <c r="L102">
        <f t="shared" si="3"/>
        <v>0</v>
      </c>
    </row>
    <row r="103" spans="2:12" x14ac:dyDescent="0.25">
      <c r="B103" t="s">
        <v>16</v>
      </c>
      <c r="C103" t="s">
        <v>94</v>
      </c>
      <c r="D103" t="s">
        <v>35</v>
      </c>
      <c r="J103">
        <f t="shared" si="2"/>
        <v>0</v>
      </c>
      <c r="L103">
        <f t="shared" si="3"/>
        <v>0</v>
      </c>
    </row>
    <row r="104" spans="2:12" x14ac:dyDescent="0.25">
      <c r="B104" t="s">
        <v>17</v>
      </c>
      <c r="C104" t="s">
        <v>94</v>
      </c>
      <c r="D104" t="s">
        <v>35</v>
      </c>
      <c r="J104">
        <f t="shared" si="2"/>
        <v>0</v>
      </c>
      <c r="L104">
        <f t="shared" si="3"/>
        <v>0</v>
      </c>
    </row>
    <row r="105" spans="2:12" x14ac:dyDescent="0.25">
      <c r="B105" t="s">
        <v>18</v>
      </c>
      <c r="C105" t="s">
        <v>94</v>
      </c>
      <c r="D105" t="s">
        <v>35</v>
      </c>
      <c r="J105">
        <f t="shared" si="2"/>
        <v>0</v>
      </c>
      <c r="L105">
        <f t="shared" si="3"/>
        <v>0</v>
      </c>
    </row>
    <row r="106" spans="2:12" x14ac:dyDescent="0.25">
      <c r="B106" t="s">
        <v>26</v>
      </c>
      <c r="C106" t="s">
        <v>94</v>
      </c>
      <c r="D106" t="s">
        <v>35</v>
      </c>
      <c r="J106">
        <f t="shared" si="2"/>
        <v>0</v>
      </c>
      <c r="L106">
        <f t="shared" si="3"/>
        <v>0</v>
      </c>
    </row>
    <row r="107" spans="2:12" x14ac:dyDescent="0.25">
      <c r="B107" t="s">
        <v>84</v>
      </c>
      <c r="C107" t="s">
        <v>94</v>
      </c>
      <c r="D107" t="s">
        <v>35</v>
      </c>
      <c r="J107">
        <f t="shared" si="2"/>
        <v>0</v>
      </c>
      <c r="L107">
        <f t="shared" si="3"/>
        <v>0</v>
      </c>
    </row>
    <row r="108" spans="2:12" x14ac:dyDescent="0.25">
      <c r="B108" t="s">
        <v>19</v>
      </c>
      <c r="C108" t="s">
        <v>94</v>
      </c>
      <c r="D108" t="s">
        <v>35</v>
      </c>
      <c r="J108">
        <f t="shared" si="2"/>
        <v>0</v>
      </c>
      <c r="L108">
        <f t="shared" si="3"/>
        <v>0</v>
      </c>
    </row>
    <row r="109" spans="2:12" x14ac:dyDescent="0.25">
      <c r="B109" t="s">
        <v>45</v>
      </c>
      <c r="C109" t="s">
        <v>94</v>
      </c>
      <c r="D109" t="s">
        <v>35</v>
      </c>
      <c r="J109">
        <f t="shared" si="2"/>
        <v>0</v>
      </c>
      <c r="L109">
        <f t="shared" si="3"/>
        <v>0</v>
      </c>
    </row>
    <row r="110" spans="2:12" x14ac:dyDescent="0.25">
      <c r="B110" t="s">
        <v>85</v>
      </c>
      <c r="C110" t="s">
        <v>94</v>
      </c>
      <c r="D110" t="s">
        <v>35</v>
      </c>
      <c r="J110">
        <f t="shared" si="2"/>
        <v>0</v>
      </c>
      <c r="L110">
        <f t="shared" si="3"/>
        <v>0</v>
      </c>
    </row>
    <row r="111" spans="2:12" x14ac:dyDescent="0.25">
      <c r="B111" t="s">
        <v>54</v>
      </c>
      <c r="C111" t="s">
        <v>94</v>
      </c>
      <c r="D111" t="s">
        <v>35</v>
      </c>
      <c r="J111">
        <f t="shared" si="2"/>
        <v>0</v>
      </c>
      <c r="L111">
        <f t="shared" si="3"/>
        <v>0</v>
      </c>
    </row>
    <row r="112" spans="2:12" x14ac:dyDescent="0.25">
      <c r="B112" t="s">
        <v>95</v>
      </c>
      <c r="C112" t="s">
        <v>94</v>
      </c>
      <c r="D112" t="s">
        <v>35</v>
      </c>
      <c r="J112">
        <f t="shared" si="2"/>
        <v>0</v>
      </c>
      <c r="L112">
        <f t="shared" si="3"/>
        <v>0</v>
      </c>
    </row>
    <row r="113" spans="2:12" x14ac:dyDescent="0.25">
      <c r="B113" t="s">
        <v>20</v>
      </c>
      <c r="C113" t="s">
        <v>94</v>
      </c>
      <c r="D113" t="s">
        <v>35</v>
      </c>
      <c r="J113">
        <f t="shared" si="2"/>
        <v>0</v>
      </c>
      <c r="L113">
        <f t="shared" si="3"/>
        <v>0</v>
      </c>
    </row>
    <row r="114" spans="2:12" x14ac:dyDescent="0.25">
      <c r="B114" t="s">
        <v>21</v>
      </c>
      <c r="C114" t="s">
        <v>94</v>
      </c>
      <c r="D114" t="s">
        <v>35</v>
      </c>
      <c r="J114">
        <f t="shared" si="2"/>
        <v>0</v>
      </c>
      <c r="L114">
        <f t="shared" si="3"/>
        <v>0</v>
      </c>
    </row>
    <row r="115" spans="2:12" x14ac:dyDescent="0.25">
      <c r="B115" t="s">
        <v>22</v>
      </c>
      <c r="C115" t="s">
        <v>94</v>
      </c>
      <c r="D115" t="s">
        <v>35</v>
      </c>
      <c r="J115">
        <f t="shared" si="2"/>
        <v>0</v>
      </c>
      <c r="L115">
        <f t="shared" si="3"/>
        <v>0</v>
      </c>
    </row>
    <row r="116" spans="2:12" x14ac:dyDescent="0.25">
      <c r="B116" t="s">
        <v>61</v>
      </c>
      <c r="C116" t="s">
        <v>94</v>
      </c>
      <c r="D116" t="s">
        <v>35</v>
      </c>
      <c r="J116">
        <f t="shared" si="2"/>
        <v>0</v>
      </c>
      <c r="L116">
        <f t="shared" si="3"/>
        <v>0</v>
      </c>
    </row>
    <row r="117" spans="2:12" x14ac:dyDescent="0.25">
      <c r="B117" t="s">
        <v>91</v>
      </c>
      <c r="C117" t="s">
        <v>94</v>
      </c>
      <c r="D117" t="s">
        <v>35</v>
      </c>
      <c r="J117">
        <f t="shared" si="2"/>
        <v>0</v>
      </c>
      <c r="L117">
        <f t="shared" si="3"/>
        <v>0</v>
      </c>
    </row>
    <row r="118" spans="2:12" x14ac:dyDescent="0.25">
      <c r="B118" t="s">
        <v>98</v>
      </c>
      <c r="C118" t="s">
        <v>94</v>
      </c>
      <c r="D118" t="s">
        <v>35</v>
      </c>
      <c r="J118">
        <f t="shared" si="2"/>
        <v>0</v>
      </c>
      <c r="L118">
        <f t="shared" si="3"/>
        <v>0</v>
      </c>
    </row>
    <row r="119" spans="2:12" x14ac:dyDescent="0.25">
      <c r="B119" t="s">
        <v>87</v>
      </c>
      <c r="C119" t="s">
        <v>94</v>
      </c>
      <c r="D119" t="s">
        <v>35</v>
      </c>
      <c r="J119">
        <f t="shared" si="2"/>
        <v>0</v>
      </c>
      <c r="L119">
        <f t="shared" si="3"/>
        <v>0</v>
      </c>
    </row>
    <row r="120" spans="2:12" x14ac:dyDescent="0.25">
      <c r="B120" t="s">
        <v>62</v>
      </c>
      <c r="C120" t="s">
        <v>94</v>
      </c>
      <c r="D120" t="s">
        <v>35</v>
      </c>
      <c r="J120">
        <f t="shared" si="2"/>
        <v>0</v>
      </c>
      <c r="L120">
        <f t="shared" si="3"/>
        <v>0</v>
      </c>
    </row>
    <row r="121" spans="2:12" x14ac:dyDescent="0.25">
      <c r="B121" t="s">
        <v>88</v>
      </c>
      <c r="C121" t="s">
        <v>94</v>
      </c>
      <c r="D121" t="s">
        <v>35</v>
      </c>
      <c r="J121">
        <f t="shared" si="2"/>
        <v>0</v>
      </c>
      <c r="L121">
        <f t="shared" si="3"/>
        <v>0</v>
      </c>
    </row>
    <row r="122" spans="2:12" x14ac:dyDescent="0.25">
      <c r="B122" t="s">
        <v>63</v>
      </c>
      <c r="C122" t="s">
        <v>94</v>
      </c>
      <c r="D122" t="s">
        <v>35</v>
      </c>
      <c r="J122">
        <f t="shared" si="2"/>
        <v>0</v>
      </c>
      <c r="L122">
        <f t="shared" si="3"/>
        <v>0</v>
      </c>
    </row>
    <row r="123" spans="2:12" x14ac:dyDescent="0.25">
      <c r="B123" t="s">
        <v>89</v>
      </c>
      <c r="C123" t="s">
        <v>94</v>
      </c>
      <c r="D123" t="s">
        <v>35</v>
      </c>
      <c r="J123">
        <f t="shared" si="2"/>
        <v>0</v>
      </c>
      <c r="L123">
        <f t="shared" si="3"/>
        <v>0</v>
      </c>
    </row>
    <row r="124" spans="2:12" x14ac:dyDescent="0.25">
      <c r="B124" t="s">
        <v>70</v>
      </c>
      <c r="C124" t="s">
        <v>94</v>
      </c>
      <c r="D124" t="s">
        <v>35</v>
      </c>
      <c r="J124">
        <f t="shared" si="2"/>
        <v>0</v>
      </c>
      <c r="L124">
        <f t="shared" si="3"/>
        <v>0</v>
      </c>
    </row>
    <row r="125" spans="2:12" x14ac:dyDescent="0.25">
      <c r="B125" t="s">
        <v>64</v>
      </c>
      <c r="C125" t="s">
        <v>94</v>
      </c>
      <c r="D125" t="s">
        <v>35</v>
      </c>
      <c r="J125">
        <f t="shared" si="2"/>
        <v>0</v>
      </c>
      <c r="L125">
        <f t="shared" si="3"/>
        <v>0</v>
      </c>
    </row>
    <row r="126" spans="2:12" x14ac:dyDescent="0.25">
      <c r="B126" t="s">
        <v>65</v>
      </c>
      <c r="C126" t="s">
        <v>94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7E2B-81A7-4097-B5FB-FAEFC7BAC741}">
  <dimension ref="A1:O128"/>
  <sheetViews>
    <sheetView topLeftCell="A23" workbookViewId="0">
      <selection activeCell="H24" sqref="H24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1728</v>
      </c>
      <c r="B2" t="s">
        <v>55</v>
      </c>
      <c r="C2" t="s">
        <v>100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1728</v>
      </c>
      <c r="B3" t="s">
        <v>57</v>
      </c>
      <c r="C3" t="s">
        <v>100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5" x14ac:dyDescent="0.25">
      <c r="A4">
        <v>1728</v>
      </c>
      <c r="B4" t="s">
        <v>36</v>
      </c>
      <c r="C4" t="s">
        <v>100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1728</v>
      </c>
      <c r="B5" t="s">
        <v>4</v>
      </c>
      <c r="C5" t="s">
        <v>100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1728</v>
      </c>
      <c r="B6" t="s">
        <v>58</v>
      </c>
      <c r="C6" t="s">
        <v>100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1728</v>
      </c>
      <c r="B7" t="s">
        <v>69</v>
      </c>
      <c r="C7" t="s">
        <v>100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1728</v>
      </c>
      <c r="B8" t="s">
        <v>43</v>
      </c>
      <c r="C8" t="s">
        <v>100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1728</v>
      </c>
      <c r="B9" t="s">
        <v>76</v>
      </c>
      <c r="C9" t="s">
        <v>100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1728</v>
      </c>
      <c r="B10" t="s">
        <v>104</v>
      </c>
      <c r="C10" t="s">
        <v>100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1728</v>
      </c>
      <c r="B11" t="s">
        <v>5</v>
      </c>
      <c r="C11" t="s">
        <v>100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1728</v>
      </c>
      <c r="B12" t="s">
        <v>59</v>
      </c>
      <c r="C12" t="s">
        <v>100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1728</v>
      </c>
      <c r="B13" t="s">
        <v>6</v>
      </c>
      <c r="C13" t="s">
        <v>100</v>
      </c>
      <c r="D13" t="s">
        <v>33</v>
      </c>
      <c r="F13">
        <v>4397</v>
      </c>
      <c r="G13">
        <v>2</v>
      </c>
      <c r="H13">
        <v>22</v>
      </c>
      <c r="J13">
        <f t="shared" si="0"/>
        <v>492542</v>
      </c>
      <c r="L13">
        <f t="shared" si="1"/>
        <v>219.88482142857143</v>
      </c>
    </row>
    <row r="14" spans="1:15" x14ac:dyDescent="0.25">
      <c r="A14">
        <v>1728</v>
      </c>
      <c r="B14" t="s">
        <v>96</v>
      </c>
      <c r="C14" t="s">
        <v>100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1728</v>
      </c>
      <c r="B15" t="s">
        <v>60</v>
      </c>
      <c r="C15" t="s">
        <v>100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1728</v>
      </c>
      <c r="B16" t="s">
        <v>7</v>
      </c>
      <c r="C16" t="s">
        <v>100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1728</v>
      </c>
      <c r="B17" t="s">
        <v>37</v>
      </c>
      <c r="C17" t="s">
        <v>100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1728</v>
      </c>
      <c r="B18" t="s">
        <v>8</v>
      </c>
      <c r="C18" t="s">
        <v>100</v>
      </c>
      <c r="D18" t="s">
        <v>33</v>
      </c>
      <c r="F18">
        <v>140</v>
      </c>
      <c r="J18">
        <f t="shared" si="0"/>
        <v>15680</v>
      </c>
      <c r="L18">
        <f t="shared" si="1"/>
        <v>7</v>
      </c>
    </row>
    <row r="19" spans="1:12" x14ac:dyDescent="0.25">
      <c r="A19">
        <v>1728</v>
      </c>
      <c r="B19" t="s">
        <v>40</v>
      </c>
      <c r="C19" t="s">
        <v>100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1728</v>
      </c>
      <c r="B20" t="s">
        <v>77</v>
      </c>
      <c r="C20" t="s">
        <v>100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1728</v>
      </c>
      <c r="B21" t="s">
        <v>78</v>
      </c>
      <c r="C21" t="s">
        <v>100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1728</v>
      </c>
      <c r="B22" t="s">
        <v>46</v>
      </c>
      <c r="C22" t="s">
        <v>100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1728</v>
      </c>
      <c r="B23" t="s">
        <v>9</v>
      </c>
      <c r="C23" t="s">
        <v>100</v>
      </c>
      <c r="D23" t="s">
        <v>33</v>
      </c>
      <c r="H23">
        <f>10*200</f>
        <v>2000</v>
      </c>
      <c r="I23" t="s">
        <v>145</v>
      </c>
      <c r="J23">
        <f t="shared" si="0"/>
        <v>2000</v>
      </c>
      <c r="L23">
        <f t="shared" si="1"/>
        <v>0.8928571428571429</v>
      </c>
    </row>
    <row r="24" spans="1:12" x14ac:dyDescent="0.25">
      <c r="A24">
        <v>1728</v>
      </c>
      <c r="B24" t="s">
        <v>10</v>
      </c>
      <c r="C24" t="s">
        <v>100</v>
      </c>
      <c r="D24" t="s">
        <v>33</v>
      </c>
      <c r="F24">
        <v>60</v>
      </c>
      <c r="J24">
        <f t="shared" si="0"/>
        <v>6720</v>
      </c>
      <c r="L24">
        <f t="shared" si="1"/>
        <v>3</v>
      </c>
    </row>
    <row r="25" spans="1:12" x14ac:dyDescent="0.25">
      <c r="A25">
        <v>1728</v>
      </c>
      <c r="B25" t="s">
        <v>11</v>
      </c>
      <c r="C25" t="s">
        <v>100</v>
      </c>
      <c r="D25" t="s">
        <v>33</v>
      </c>
      <c r="F25">
        <v>23</v>
      </c>
      <c r="G25">
        <v>2</v>
      </c>
      <c r="H25">
        <v>8</v>
      </c>
      <c r="J25">
        <f t="shared" si="0"/>
        <v>2640</v>
      </c>
      <c r="L25">
        <f t="shared" si="1"/>
        <v>1.1785714285714286</v>
      </c>
    </row>
    <row r="26" spans="1:12" x14ac:dyDescent="0.25">
      <c r="A26">
        <v>1728</v>
      </c>
      <c r="B26" t="s">
        <v>39</v>
      </c>
      <c r="C26" t="s">
        <v>100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1728</v>
      </c>
      <c r="B27" t="s">
        <v>79</v>
      </c>
      <c r="C27" t="s">
        <v>100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1728</v>
      </c>
      <c r="B28" t="s">
        <v>103</v>
      </c>
      <c r="C28" t="s">
        <v>100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1728</v>
      </c>
      <c r="B29" t="s">
        <v>44</v>
      </c>
      <c r="C29" t="s">
        <v>100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1728</v>
      </c>
      <c r="B30" t="s">
        <v>97</v>
      </c>
      <c r="C30" t="s">
        <v>100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1728</v>
      </c>
      <c r="B31" t="s">
        <v>12</v>
      </c>
      <c r="C31" t="s">
        <v>100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1728</v>
      </c>
      <c r="B32" t="s">
        <v>82</v>
      </c>
      <c r="C32" t="s">
        <v>100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1728</v>
      </c>
      <c r="B33" t="s">
        <v>34</v>
      </c>
      <c r="C33" t="s">
        <v>100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1728</v>
      </c>
      <c r="B34" t="s">
        <v>13</v>
      </c>
      <c r="C34" t="s">
        <v>100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1728</v>
      </c>
      <c r="B35" t="s">
        <v>14</v>
      </c>
      <c r="C35" t="s">
        <v>100</v>
      </c>
      <c r="D35" t="s">
        <v>33</v>
      </c>
      <c r="H35">
        <v>3501</v>
      </c>
      <c r="I35" t="s">
        <v>141</v>
      </c>
      <c r="J35">
        <f t="shared" si="0"/>
        <v>3501</v>
      </c>
      <c r="L35">
        <f t="shared" si="1"/>
        <v>1.5629464285714285</v>
      </c>
    </row>
    <row r="36" spans="1:12" x14ac:dyDescent="0.25">
      <c r="A36">
        <v>1728</v>
      </c>
      <c r="B36" t="s">
        <v>23</v>
      </c>
      <c r="C36" t="s">
        <v>100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1728</v>
      </c>
      <c r="B37" t="s">
        <v>27</v>
      </c>
      <c r="C37" t="s">
        <v>100</v>
      </c>
      <c r="D37" t="s">
        <v>33</v>
      </c>
      <c r="H37">
        <v>1170.5</v>
      </c>
      <c r="I37" t="s">
        <v>144</v>
      </c>
      <c r="J37">
        <f t="shared" si="0"/>
        <v>1170.5</v>
      </c>
      <c r="L37">
        <f t="shared" si="1"/>
        <v>0.52254464285714286</v>
      </c>
    </row>
    <row r="38" spans="1:12" x14ac:dyDescent="0.25">
      <c r="A38">
        <v>1728</v>
      </c>
      <c r="B38" t="s">
        <v>15</v>
      </c>
      <c r="C38" t="s">
        <v>100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1728</v>
      </c>
      <c r="B39" t="s">
        <v>42</v>
      </c>
      <c r="C39" t="s">
        <v>100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1728</v>
      </c>
      <c r="B40" t="s">
        <v>83</v>
      </c>
      <c r="C40" t="s">
        <v>100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1728</v>
      </c>
      <c r="B41" t="s">
        <v>47</v>
      </c>
      <c r="C41" t="s">
        <v>100</v>
      </c>
      <c r="D41" t="s">
        <v>33</v>
      </c>
      <c r="H41">
        <v>20</v>
      </c>
      <c r="I41" t="s">
        <v>142</v>
      </c>
      <c r="J41">
        <f t="shared" si="0"/>
        <v>20</v>
      </c>
      <c r="L41">
        <f t="shared" si="1"/>
        <v>8.9285714285714281E-3</v>
      </c>
    </row>
    <row r="42" spans="1:12" x14ac:dyDescent="0.25">
      <c r="A42">
        <v>1728</v>
      </c>
      <c r="B42" t="s">
        <v>16</v>
      </c>
      <c r="C42" t="s">
        <v>100</v>
      </c>
      <c r="D42" t="s">
        <v>33</v>
      </c>
      <c r="H42">
        <v>1785</v>
      </c>
      <c r="J42">
        <f t="shared" si="0"/>
        <v>1785</v>
      </c>
      <c r="L42">
        <f t="shared" si="1"/>
        <v>0.796875</v>
      </c>
    </row>
    <row r="43" spans="1:12" x14ac:dyDescent="0.25">
      <c r="A43">
        <v>1728</v>
      </c>
      <c r="B43" t="s">
        <v>17</v>
      </c>
      <c r="C43" t="s">
        <v>100</v>
      </c>
      <c r="D43" t="s">
        <v>33</v>
      </c>
      <c r="F43">
        <v>24</v>
      </c>
      <c r="J43">
        <f t="shared" si="0"/>
        <v>2688</v>
      </c>
      <c r="L43">
        <f t="shared" si="1"/>
        <v>1.2</v>
      </c>
    </row>
    <row r="44" spans="1:12" x14ac:dyDescent="0.25">
      <c r="A44">
        <v>1728</v>
      </c>
      <c r="B44" t="s">
        <v>18</v>
      </c>
      <c r="C44" t="s">
        <v>100</v>
      </c>
      <c r="D44" t="s">
        <v>33</v>
      </c>
      <c r="H44">
        <v>4651</v>
      </c>
      <c r="I44" t="s">
        <v>143</v>
      </c>
      <c r="J44">
        <f t="shared" si="0"/>
        <v>4651</v>
      </c>
      <c r="L44">
        <f t="shared" si="1"/>
        <v>2.0763392857142855</v>
      </c>
    </row>
    <row r="45" spans="1:12" x14ac:dyDescent="0.25">
      <c r="A45">
        <v>1728</v>
      </c>
      <c r="B45" t="s">
        <v>26</v>
      </c>
      <c r="C45" t="s">
        <v>100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1728</v>
      </c>
      <c r="B46" t="s">
        <v>84</v>
      </c>
      <c r="C46" t="s">
        <v>100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1728</v>
      </c>
      <c r="B47" t="s">
        <v>19</v>
      </c>
      <c r="C47" t="s">
        <v>100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1728</v>
      </c>
      <c r="B48" t="s">
        <v>45</v>
      </c>
      <c r="C48" t="s">
        <v>100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1728</v>
      </c>
      <c r="B49" t="s">
        <v>85</v>
      </c>
      <c r="C49" t="s">
        <v>100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1728</v>
      </c>
      <c r="B50" t="s">
        <v>54</v>
      </c>
      <c r="C50" t="s">
        <v>100</v>
      </c>
      <c r="D50" t="s">
        <v>33</v>
      </c>
      <c r="H50">
        <v>12</v>
      </c>
      <c r="J50">
        <f t="shared" si="0"/>
        <v>12</v>
      </c>
      <c r="L50">
        <f t="shared" si="1"/>
        <v>5.3571428571428572E-3</v>
      </c>
    </row>
    <row r="51" spans="1:12" x14ac:dyDescent="0.25">
      <c r="A51">
        <v>1728</v>
      </c>
      <c r="B51" t="s">
        <v>95</v>
      </c>
      <c r="C51" t="s">
        <v>100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1728</v>
      </c>
      <c r="B52" t="s">
        <v>20</v>
      </c>
      <c r="C52" t="s">
        <v>100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1728</v>
      </c>
      <c r="B53" t="s">
        <v>21</v>
      </c>
      <c r="C53" t="s">
        <v>100</v>
      </c>
      <c r="D53" t="s">
        <v>33</v>
      </c>
      <c r="H53">
        <v>142</v>
      </c>
      <c r="J53">
        <f t="shared" si="0"/>
        <v>142</v>
      </c>
      <c r="L53">
        <f t="shared" si="1"/>
        <v>6.339285714285714E-2</v>
      </c>
    </row>
    <row r="54" spans="1:12" x14ac:dyDescent="0.25">
      <c r="A54">
        <v>1728</v>
      </c>
      <c r="B54" t="s">
        <v>90</v>
      </c>
      <c r="C54" t="s">
        <v>100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1728</v>
      </c>
      <c r="B55" t="s">
        <v>22</v>
      </c>
      <c r="C55" t="s">
        <v>100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1728</v>
      </c>
      <c r="B56" t="s">
        <v>61</v>
      </c>
      <c r="C56" t="s">
        <v>100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1728</v>
      </c>
      <c r="B57" t="s">
        <v>98</v>
      </c>
      <c r="C57" t="s">
        <v>100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1728</v>
      </c>
      <c r="B58" t="s">
        <v>87</v>
      </c>
      <c r="C58" t="s">
        <v>100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1728</v>
      </c>
      <c r="B59" t="s">
        <v>62</v>
      </c>
      <c r="C59" t="s">
        <v>100</v>
      </c>
      <c r="D59" t="s">
        <v>33</v>
      </c>
      <c r="E59">
        <v>10</v>
      </c>
      <c r="J59">
        <f t="shared" si="0"/>
        <v>22400</v>
      </c>
      <c r="L59">
        <f t="shared" si="1"/>
        <v>10</v>
      </c>
    </row>
    <row r="60" spans="1:12" x14ac:dyDescent="0.25">
      <c r="A60">
        <v>1728</v>
      </c>
      <c r="B60" t="s">
        <v>88</v>
      </c>
      <c r="C60" t="s">
        <v>100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1728</v>
      </c>
      <c r="B61" t="s">
        <v>63</v>
      </c>
      <c r="C61" t="s">
        <v>100</v>
      </c>
      <c r="D61" t="s">
        <v>33</v>
      </c>
      <c r="E61">
        <v>25</v>
      </c>
      <c r="F61">
        <v>13</v>
      </c>
      <c r="H61">
        <v>15</v>
      </c>
      <c r="J61">
        <f t="shared" si="0"/>
        <v>57471</v>
      </c>
      <c r="L61">
        <f t="shared" si="1"/>
        <v>25.656696428571429</v>
      </c>
    </row>
    <row r="62" spans="1:12" x14ac:dyDescent="0.25">
      <c r="A62">
        <v>1728</v>
      </c>
      <c r="B62" t="s">
        <v>89</v>
      </c>
      <c r="C62" t="s">
        <v>100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1728</v>
      </c>
      <c r="B63" t="s">
        <v>70</v>
      </c>
      <c r="C63" t="s">
        <v>100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1728</v>
      </c>
      <c r="B64" t="s">
        <v>64</v>
      </c>
      <c r="C64" t="s">
        <v>100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1728</v>
      </c>
      <c r="B65" t="s">
        <v>65</v>
      </c>
      <c r="C65" t="s">
        <v>100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1728</v>
      </c>
      <c r="B66" t="s">
        <v>55</v>
      </c>
      <c r="C66" t="s">
        <v>100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1728</v>
      </c>
      <c r="B67" t="s">
        <v>57</v>
      </c>
      <c r="C67" t="s">
        <v>100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1728</v>
      </c>
      <c r="B68" t="s">
        <v>36</v>
      </c>
      <c r="C68" t="s">
        <v>100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1728</v>
      </c>
      <c r="B69" t="s">
        <v>4</v>
      </c>
      <c r="C69" t="s">
        <v>100</v>
      </c>
      <c r="D69" t="s">
        <v>35</v>
      </c>
      <c r="J69">
        <f t="shared" ref="J69:J128" si="2">(E69*2240)+(F69*112)+(G69*28)+H69</f>
        <v>0</v>
      </c>
      <c r="L69">
        <f t="shared" ref="L69:L128" si="3">J69/2240</f>
        <v>0</v>
      </c>
    </row>
    <row r="70" spans="1:12" x14ac:dyDescent="0.25">
      <c r="A70">
        <v>1728</v>
      </c>
      <c r="B70" t="s">
        <v>58</v>
      </c>
      <c r="C70" t="s">
        <v>100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1728</v>
      </c>
      <c r="B71" t="s">
        <v>69</v>
      </c>
      <c r="C71" t="s">
        <v>100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1728</v>
      </c>
      <c r="B72" t="s">
        <v>43</v>
      </c>
      <c r="C72" t="s">
        <v>100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1728</v>
      </c>
      <c r="B73" t="s">
        <v>76</v>
      </c>
      <c r="C73" t="s">
        <v>100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1728</v>
      </c>
      <c r="B74" t="s">
        <v>5</v>
      </c>
      <c r="C74" t="s">
        <v>100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1728</v>
      </c>
      <c r="B75" t="s">
        <v>59</v>
      </c>
      <c r="C75" t="s">
        <v>100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1728</v>
      </c>
      <c r="B76" t="s">
        <v>6</v>
      </c>
      <c r="C76" t="s">
        <v>100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1728</v>
      </c>
      <c r="B77" t="s">
        <v>60</v>
      </c>
      <c r="C77" t="s">
        <v>100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1728</v>
      </c>
      <c r="B78" t="s">
        <v>7</v>
      </c>
      <c r="C78" t="s">
        <v>100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1728</v>
      </c>
      <c r="B79" t="s">
        <v>37</v>
      </c>
      <c r="C79" t="s">
        <v>100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1728</v>
      </c>
      <c r="B80" t="s">
        <v>8</v>
      </c>
      <c r="C80" t="s">
        <v>100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1728</v>
      </c>
      <c r="B81" t="s">
        <v>40</v>
      </c>
      <c r="C81" t="s">
        <v>100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1728</v>
      </c>
      <c r="B82" t="s">
        <v>77</v>
      </c>
      <c r="C82" t="s">
        <v>100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1728</v>
      </c>
      <c r="B83" t="s">
        <v>78</v>
      </c>
      <c r="C83" t="s">
        <v>100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1728</v>
      </c>
      <c r="B84" t="s">
        <v>46</v>
      </c>
      <c r="C84" t="s">
        <v>100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1728</v>
      </c>
      <c r="B85" t="s">
        <v>9</v>
      </c>
      <c r="C85" t="s">
        <v>100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1728</v>
      </c>
      <c r="B86" t="s">
        <v>10</v>
      </c>
      <c r="C86" t="s">
        <v>100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1728</v>
      </c>
      <c r="B87" t="s">
        <v>11</v>
      </c>
      <c r="C87" t="s">
        <v>100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1728</v>
      </c>
      <c r="B88" t="s">
        <v>39</v>
      </c>
      <c r="C88" t="s">
        <v>100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1728</v>
      </c>
      <c r="B89" t="s">
        <v>79</v>
      </c>
      <c r="C89" t="s">
        <v>100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1728</v>
      </c>
      <c r="B90" t="s">
        <v>103</v>
      </c>
      <c r="C90" t="s">
        <v>100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1728</v>
      </c>
      <c r="B91" t="s">
        <v>44</v>
      </c>
      <c r="C91" t="s">
        <v>100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1728</v>
      </c>
      <c r="B92" t="s">
        <v>97</v>
      </c>
      <c r="C92" t="s">
        <v>100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1728</v>
      </c>
      <c r="B93" t="s">
        <v>12</v>
      </c>
      <c r="C93" t="s">
        <v>100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1728</v>
      </c>
      <c r="B94" t="s">
        <v>82</v>
      </c>
      <c r="C94" t="s">
        <v>100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1728</v>
      </c>
      <c r="B95" t="s">
        <v>34</v>
      </c>
      <c r="C95" t="s">
        <v>100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1728</v>
      </c>
      <c r="B96" t="s">
        <v>13</v>
      </c>
      <c r="C96" t="s">
        <v>100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1728</v>
      </c>
      <c r="B97" t="s">
        <v>14</v>
      </c>
      <c r="C97" t="s">
        <v>100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1728</v>
      </c>
      <c r="B98" t="s">
        <v>23</v>
      </c>
      <c r="C98" t="s">
        <v>100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1728</v>
      </c>
      <c r="B99" t="s">
        <v>27</v>
      </c>
      <c r="C99" t="s">
        <v>100</v>
      </c>
      <c r="D99" t="s">
        <v>35</v>
      </c>
      <c r="H99">
        <v>6741.5</v>
      </c>
      <c r="I99" t="s">
        <v>162</v>
      </c>
      <c r="J99">
        <f t="shared" si="2"/>
        <v>6741.5</v>
      </c>
      <c r="L99">
        <f t="shared" si="3"/>
        <v>3.0095982142857145</v>
      </c>
    </row>
    <row r="100" spans="1:12" x14ac:dyDescent="0.25">
      <c r="A100">
        <v>1728</v>
      </c>
      <c r="B100" t="s">
        <v>15</v>
      </c>
      <c r="C100" t="s">
        <v>100</v>
      </c>
      <c r="D100" t="s">
        <v>35</v>
      </c>
      <c r="F100">
        <v>3</v>
      </c>
      <c r="G100">
        <v>2</v>
      </c>
      <c r="H100">
        <v>20</v>
      </c>
      <c r="J100">
        <f t="shared" si="2"/>
        <v>412</v>
      </c>
      <c r="L100">
        <f t="shared" si="3"/>
        <v>0.18392857142857144</v>
      </c>
    </row>
    <row r="101" spans="1:12" x14ac:dyDescent="0.25">
      <c r="A101">
        <v>1728</v>
      </c>
      <c r="B101" t="s">
        <v>93</v>
      </c>
      <c r="C101" t="s">
        <v>100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1728</v>
      </c>
      <c r="B102" t="s">
        <v>42</v>
      </c>
      <c r="C102" t="s">
        <v>100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1728</v>
      </c>
      <c r="B103" t="s">
        <v>83</v>
      </c>
      <c r="C103" t="s">
        <v>100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1728</v>
      </c>
      <c r="B104" t="s">
        <v>47</v>
      </c>
      <c r="C104" t="s">
        <v>100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1728</v>
      </c>
      <c r="B105" t="s">
        <v>16</v>
      </c>
      <c r="C105" t="s">
        <v>100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1728</v>
      </c>
      <c r="B106" t="s">
        <v>17</v>
      </c>
      <c r="C106" t="s">
        <v>100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1728</v>
      </c>
      <c r="B107" t="s">
        <v>18</v>
      </c>
      <c r="C107" t="s">
        <v>100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1728</v>
      </c>
      <c r="B108" t="s">
        <v>26</v>
      </c>
      <c r="C108" t="s">
        <v>100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1728</v>
      </c>
      <c r="B109" t="s">
        <v>84</v>
      </c>
      <c r="C109" t="s">
        <v>100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1728</v>
      </c>
      <c r="B110" t="s">
        <v>19</v>
      </c>
      <c r="C110" t="s">
        <v>100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1728</v>
      </c>
      <c r="B111" t="s">
        <v>45</v>
      </c>
      <c r="C111" t="s">
        <v>100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1728</v>
      </c>
      <c r="B112" t="s">
        <v>85</v>
      </c>
      <c r="C112" t="s">
        <v>100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1728</v>
      </c>
      <c r="B113" t="s">
        <v>54</v>
      </c>
      <c r="C113" t="s">
        <v>100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1728</v>
      </c>
      <c r="B114" t="s">
        <v>95</v>
      </c>
      <c r="C114" t="s">
        <v>100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1728</v>
      </c>
      <c r="B115" t="s">
        <v>20</v>
      </c>
      <c r="C115" t="s">
        <v>100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1728</v>
      </c>
      <c r="B116" t="s">
        <v>21</v>
      </c>
      <c r="C116" t="s">
        <v>100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1728</v>
      </c>
      <c r="B117" t="s">
        <v>22</v>
      </c>
      <c r="C117" t="s">
        <v>100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1728</v>
      </c>
      <c r="B118" t="s">
        <v>61</v>
      </c>
      <c r="C118" t="s">
        <v>100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1728</v>
      </c>
      <c r="B119" t="s">
        <v>91</v>
      </c>
      <c r="C119" t="s">
        <v>100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1728</v>
      </c>
      <c r="B120" t="s">
        <v>98</v>
      </c>
      <c r="C120" t="s">
        <v>100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1728</v>
      </c>
      <c r="B121" t="s">
        <v>87</v>
      </c>
      <c r="C121" t="s">
        <v>100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1728</v>
      </c>
      <c r="B122" t="s">
        <v>62</v>
      </c>
      <c r="C122" t="s">
        <v>100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1728</v>
      </c>
      <c r="B123" t="s">
        <v>88</v>
      </c>
      <c r="C123" t="s">
        <v>100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1728</v>
      </c>
      <c r="B124" t="s">
        <v>63</v>
      </c>
      <c r="C124" t="s">
        <v>100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1728</v>
      </c>
      <c r="B125" t="s">
        <v>89</v>
      </c>
      <c r="C125" t="s">
        <v>100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1728</v>
      </c>
      <c r="B126" t="s">
        <v>70</v>
      </c>
      <c r="C126" t="s">
        <v>100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1728</v>
      </c>
      <c r="B127" t="s">
        <v>64</v>
      </c>
      <c r="C127" t="s">
        <v>100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1728</v>
      </c>
      <c r="B128" t="s">
        <v>65</v>
      </c>
      <c r="C128" t="s">
        <v>100</v>
      </c>
      <c r="D128" t="s">
        <v>35</v>
      </c>
      <c r="J128">
        <f t="shared" si="2"/>
        <v>0</v>
      </c>
      <c r="L128">
        <f t="shared" si="3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fc4363-6422-4cdd-96f6-49f865293ff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C737C8930EB24D8E43F3205FC06BBA" ma:contentTypeVersion="6" ma:contentTypeDescription="Create a new document." ma:contentTypeScope="" ma:versionID="603e91c72b62c964620858d3caac0708">
  <xsd:schema xmlns:xsd="http://www.w3.org/2001/XMLSchema" xmlns:xs="http://www.w3.org/2001/XMLSchema" xmlns:p="http://schemas.microsoft.com/office/2006/metadata/properties" xmlns:ns3="cefc4363-6422-4cdd-96f6-49f865293ffe" targetNamespace="http://schemas.microsoft.com/office/2006/metadata/properties" ma:root="true" ma:fieldsID="bdb3fa76c8d7c99816ad06ce9ee87077" ns3:_="">
    <xsd:import namespace="cefc4363-6422-4cdd-96f6-49f865293ff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c4363-6422-4cdd-96f6-49f865293f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CDE1FE-DFCB-4101-AEB2-2CA56C6908AA}">
  <ds:schemaRefs>
    <ds:schemaRef ds:uri="http://purl.org/dc/dcmitype/"/>
    <ds:schemaRef ds:uri="cefc4363-6422-4cdd-96f6-49f865293ffe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2A76B89-1C55-45FE-9217-D607BBCE85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2A5332-A7F6-48B8-B84E-EAF0BD1F8F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fc4363-6422-4cdd-96f6-49f865293f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  <vt:lpstr>WestIndiesGeneral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2025-04-29T19:14:08Z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0x01010021C737C8930EB24D8E43F3205FC06BBA</vt:lpwstr>
  </property>
</Properties>
</file>