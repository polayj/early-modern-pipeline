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369" documentId="8_{C0695486-9971-41D7-990B-370AE49982F3}" xr6:coauthVersionLast="47" xr6:coauthVersionMax="47" xr10:uidLastSave="{22E87CE8-7010-4AAE-818F-65E72DF06DF0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Barbados!$A$1:$N$52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7" l="1"/>
  <c r="H22" i="5"/>
  <c r="H18" i="3"/>
  <c r="H11" i="2"/>
  <c r="L61" i="6"/>
  <c r="J61" i="6"/>
  <c r="L50" i="2"/>
  <c r="J50" i="2"/>
  <c r="J64" i="2"/>
  <c r="L64" i="2" s="1"/>
  <c r="J11" i="2"/>
  <c r="L11" i="2" s="1"/>
  <c r="J6" i="2"/>
  <c r="L6" i="2" s="1"/>
  <c r="J8" i="2"/>
  <c r="L8" i="2" s="1"/>
  <c r="L62" i="2"/>
  <c r="L63" i="2"/>
  <c r="J3" i="2"/>
  <c r="L3" i="2" s="1"/>
  <c r="J4" i="2"/>
  <c r="L4" i="2" s="1"/>
  <c r="J5" i="2"/>
  <c r="L5" i="2" s="1"/>
  <c r="J7" i="2"/>
  <c r="L7" i="2" s="1"/>
  <c r="J9" i="2"/>
  <c r="L9" i="2" s="1"/>
  <c r="J10" i="2"/>
  <c r="L10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1" i="2"/>
  <c r="L31" i="2" s="1"/>
  <c r="J33" i="2"/>
  <c r="L33" i="2" s="1"/>
  <c r="J34" i="2"/>
  <c r="L34" i="2" s="1"/>
  <c r="J35" i="2"/>
  <c r="L35" i="2" s="1"/>
  <c r="J36" i="2"/>
  <c r="L36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J63" i="2"/>
  <c r="L3" i="3"/>
  <c r="L5" i="3"/>
  <c r="L6" i="3"/>
  <c r="L7" i="3"/>
  <c r="L8" i="3"/>
  <c r="L9" i="3"/>
  <c r="L13" i="3"/>
  <c r="L14" i="3"/>
  <c r="L17" i="3"/>
  <c r="L18" i="3"/>
  <c r="L21" i="3"/>
  <c r="L22" i="3"/>
  <c r="L23" i="3"/>
  <c r="L30" i="3"/>
  <c r="L31" i="3"/>
  <c r="L32" i="3"/>
  <c r="L35" i="3"/>
  <c r="L37" i="3"/>
  <c r="L39" i="3"/>
  <c r="L41" i="3"/>
  <c r="L43" i="3"/>
  <c r="L46" i="3"/>
  <c r="L47" i="3"/>
  <c r="L48" i="3"/>
  <c r="L49" i="3"/>
  <c r="L50" i="3"/>
  <c r="L52" i="3"/>
  <c r="L53" i="3"/>
  <c r="L54" i="3"/>
  <c r="L55" i="3"/>
  <c r="L56" i="3"/>
  <c r="L57" i="3"/>
  <c r="L59" i="3"/>
  <c r="L61" i="3"/>
  <c r="L62" i="3"/>
  <c r="L63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1" i="3"/>
  <c r="L92" i="3"/>
  <c r="L93" i="3"/>
  <c r="L94" i="3"/>
  <c r="L95" i="3"/>
  <c r="L96" i="3"/>
  <c r="L97" i="3"/>
  <c r="J3" i="3"/>
  <c r="J4" i="3"/>
  <c r="L4" i="3" s="1"/>
  <c r="J5" i="3"/>
  <c r="J6" i="3"/>
  <c r="J7" i="3"/>
  <c r="J8" i="3"/>
  <c r="J9" i="3"/>
  <c r="J10" i="3"/>
  <c r="L10" i="3" s="1"/>
  <c r="J11" i="3"/>
  <c r="L11" i="3" s="1"/>
  <c r="J12" i="3"/>
  <c r="L12" i="3" s="1"/>
  <c r="J13" i="3"/>
  <c r="J14" i="3"/>
  <c r="J15" i="3"/>
  <c r="L15" i="3" s="1"/>
  <c r="J16" i="3"/>
  <c r="L16" i="3" s="1"/>
  <c r="J17" i="3"/>
  <c r="J18" i="3"/>
  <c r="J19" i="3"/>
  <c r="L19" i="3" s="1"/>
  <c r="J20" i="3"/>
  <c r="L20" i="3" s="1"/>
  <c r="J21" i="3"/>
  <c r="J22" i="3"/>
  <c r="J23" i="3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J31" i="3"/>
  <c r="J32" i="3"/>
  <c r="J33" i="3"/>
  <c r="L33" i="3" s="1"/>
  <c r="J34" i="3"/>
  <c r="L34" i="3" s="1"/>
  <c r="J35" i="3"/>
  <c r="J36" i="3"/>
  <c r="L36" i="3" s="1"/>
  <c r="J37" i="3"/>
  <c r="J38" i="3"/>
  <c r="L38" i="3" s="1"/>
  <c r="J39" i="3"/>
  <c r="J40" i="3"/>
  <c r="L40" i="3" s="1"/>
  <c r="J41" i="3"/>
  <c r="J42" i="3"/>
  <c r="L42" i="3" s="1"/>
  <c r="J43" i="3"/>
  <c r="J44" i="3"/>
  <c r="L44" i="3" s="1"/>
  <c r="J45" i="3"/>
  <c r="L45" i="3" s="1"/>
  <c r="J46" i="3"/>
  <c r="J47" i="3"/>
  <c r="J48" i="3"/>
  <c r="J49" i="3"/>
  <c r="J50" i="3"/>
  <c r="J51" i="3"/>
  <c r="L51" i="3" s="1"/>
  <c r="J52" i="3"/>
  <c r="J53" i="3"/>
  <c r="J54" i="3"/>
  <c r="J55" i="3"/>
  <c r="J56" i="3"/>
  <c r="J57" i="3"/>
  <c r="J58" i="3"/>
  <c r="L58" i="3" s="1"/>
  <c r="J59" i="3"/>
  <c r="J60" i="3"/>
  <c r="L60" i="3" s="1"/>
  <c r="J61" i="3"/>
  <c r="J62" i="3"/>
  <c r="J63" i="3"/>
  <c r="J64" i="3"/>
  <c r="L64" i="3" s="1"/>
  <c r="J65" i="3"/>
  <c r="L65" i="3" s="1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L90" i="3" s="1"/>
  <c r="J91" i="3"/>
  <c r="J92" i="3"/>
  <c r="J93" i="3"/>
  <c r="J94" i="3"/>
  <c r="J95" i="3"/>
  <c r="J96" i="3"/>
  <c r="J97" i="3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L3" i="5"/>
  <c r="L4" i="5"/>
  <c r="L6" i="5"/>
  <c r="L7" i="5"/>
  <c r="L8" i="5"/>
  <c r="L9" i="5"/>
  <c r="L10" i="5"/>
  <c r="L11" i="5"/>
  <c r="L12" i="5"/>
  <c r="L13" i="5"/>
  <c r="L14" i="5"/>
  <c r="L16" i="5"/>
  <c r="L18" i="5"/>
  <c r="L19" i="5"/>
  <c r="L20" i="5"/>
  <c r="L25" i="5"/>
  <c r="L26" i="5"/>
  <c r="L27" i="5"/>
  <c r="L28" i="5"/>
  <c r="L29" i="5"/>
  <c r="L30" i="5"/>
  <c r="L31" i="5"/>
  <c r="L32" i="5"/>
  <c r="L35" i="5"/>
  <c r="L37" i="5"/>
  <c r="L38" i="5"/>
  <c r="L39" i="5"/>
  <c r="L40" i="5"/>
  <c r="L42" i="5"/>
  <c r="L43" i="5"/>
  <c r="L44" i="5"/>
  <c r="L45" i="5"/>
  <c r="L46" i="5"/>
  <c r="L47" i="5"/>
  <c r="L48" i="5"/>
  <c r="L49" i="5"/>
  <c r="L54" i="5"/>
  <c r="L55" i="5"/>
  <c r="L58" i="5"/>
  <c r="L59" i="5"/>
  <c r="L60" i="5"/>
  <c r="L61" i="5"/>
  <c r="L63" i="5"/>
  <c r="L64" i="5"/>
  <c r="L65" i="5"/>
  <c r="L66" i="5"/>
  <c r="L68" i="5"/>
  <c r="L69" i="5"/>
  <c r="L70" i="5"/>
  <c r="L71" i="5"/>
  <c r="L72" i="5"/>
  <c r="L73" i="5"/>
  <c r="L75" i="5"/>
  <c r="L76" i="5"/>
  <c r="L77" i="5"/>
  <c r="L79" i="5"/>
  <c r="L80" i="5"/>
  <c r="L81" i="5"/>
  <c r="L82" i="5"/>
  <c r="L86" i="5"/>
  <c r="L89" i="5"/>
  <c r="L92" i="5"/>
  <c r="L93" i="5"/>
  <c r="L94" i="5"/>
  <c r="L96" i="5"/>
  <c r="L97" i="5"/>
  <c r="L98" i="5"/>
  <c r="L99" i="5"/>
  <c r="L100" i="5"/>
  <c r="L101" i="5"/>
  <c r="L102" i="5"/>
  <c r="L103" i="5"/>
  <c r="L107" i="5"/>
  <c r="L109" i="5"/>
  <c r="L110" i="5"/>
  <c r="L112" i="5"/>
  <c r="L115" i="5"/>
  <c r="L116" i="5"/>
  <c r="L117" i="5"/>
  <c r="L118" i="5"/>
  <c r="L119" i="5"/>
  <c r="L121" i="5"/>
  <c r="L122" i="5"/>
  <c r="L123" i="5"/>
  <c r="L124" i="5"/>
  <c r="L125" i="5"/>
  <c r="L126" i="5"/>
  <c r="J3" i="5"/>
  <c r="J4" i="5"/>
  <c r="J5" i="5"/>
  <c r="L5" i="5" s="1"/>
  <c r="J6" i="5"/>
  <c r="J7" i="5"/>
  <c r="J8" i="5"/>
  <c r="J9" i="5"/>
  <c r="J10" i="5"/>
  <c r="J11" i="5"/>
  <c r="J12" i="5"/>
  <c r="J13" i="5"/>
  <c r="J14" i="5"/>
  <c r="J15" i="5"/>
  <c r="L15" i="5" s="1"/>
  <c r="J16" i="5"/>
  <c r="J17" i="5"/>
  <c r="L17" i="5" s="1"/>
  <c r="J18" i="5"/>
  <c r="J19" i="5"/>
  <c r="J20" i="5"/>
  <c r="J21" i="5"/>
  <c r="L21" i="5" s="1"/>
  <c r="J22" i="5"/>
  <c r="L22" i="5" s="1"/>
  <c r="J23" i="5"/>
  <c r="L23" i="5" s="1"/>
  <c r="J24" i="5"/>
  <c r="L24" i="5" s="1"/>
  <c r="J25" i="5"/>
  <c r="J26" i="5"/>
  <c r="J27" i="5"/>
  <c r="J28" i="5"/>
  <c r="J29" i="5"/>
  <c r="J30" i="5"/>
  <c r="J31" i="5"/>
  <c r="J32" i="5"/>
  <c r="J33" i="5"/>
  <c r="L33" i="5" s="1"/>
  <c r="J34" i="5"/>
  <c r="L34" i="5" s="1"/>
  <c r="J35" i="5"/>
  <c r="J36" i="5"/>
  <c r="L36" i="5" s="1"/>
  <c r="J37" i="5"/>
  <c r="J38" i="5"/>
  <c r="J39" i="5"/>
  <c r="J40" i="5"/>
  <c r="J41" i="5"/>
  <c r="L41" i="5" s="1"/>
  <c r="J42" i="5"/>
  <c r="J43" i="5"/>
  <c r="J44" i="5"/>
  <c r="J45" i="5"/>
  <c r="J46" i="5"/>
  <c r="J47" i="5"/>
  <c r="J48" i="5"/>
  <c r="J49" i="5"/>
  <c r="J50" i="5"/>
  <c r="L50" i="5" s="1"/>
  <c r="J51" i="5"/>
  <c r="L51" i="5" s="1"/>
  <c r="J52" i="5"/>
  <c r="L52" i="5" s="1"/>
  <c r="J53" i="5"/>
  <c r="L53" i="5" s="1"/>
  <c r="J54" i="5"/>
  <c r="J55" i="5"/>
  <c r="J56" i="5"/>
  <c r="L56" i="5" s="1"/>
  <c r="J57" i="5"/>
  <c r="L57" i="5" s="1"/>
  <c r="J58" i="5"/>
  <c r="J59" i="5"/>
  <c r="J60" i="5"/>
  <c r="J61" i="5"/>
  <c r="J62" i="5"/>
  <c r="L62" i="5" s="1"/>
  <c r="J63" i="5"/>
  <c r="J64" i="5"/>
  <c r="J65" i="5"/>
  <c r="J66" i="5"/>
  <c r="J67" i="5"/>
  <c r="L67" i="5" s="1"/>
  <c r="J68" i="5"/>
  <c r="J69" i="5"/>
  <c r="J70" i="5"/>
  <c r="J71" i="5"/>
  <c r="J72" i="5"/>
  <c r="J73" i="5"/>
  <c r="J74" i="5"/>
  <c r="L74" i="5" s="1"/>
  <c r="J75" i="5"/>
  <c r="J76" i="5"/>
  <c r="J77" i="5"/>
  <c r="J78" i="5"/>
  <c r="L78" i="5" s="1"/>
  <c r="J79" i="5"/>
  <c r="J80" i="5"/>
  <c r="J81" i="5"/>
  <c r="J82" i="5"/>
  <c r="J83" i="5"/>
  <c r="L83" i="5" s="1"/>
  <c r="J84" i="5"/>
  <c r="L84" i="5" s="1"/>
  <c r="J85" i="5"/>
  <c r="L85" i="5" s="1"/>
  <c r="J86" i="5"/>
  <c r="J87" i="5"/>
  <c r="L87" i="5" s="1"/>
  <c r="J88" i="5"/>
  <c r="L88" i="5" s="1"/>
  <c r="J89" i="5"/>
  <c r="J90" i="5"/>
  <c r="L90" i="5" s="1"/>
  <c r="J91" i="5"/>
  <c r="L91" i="5" s="1"/>
  <c r="J92" i="5"/>
  <c r="J93" i="5"/>
  <c r="J94" i="5"/>
  <c r="J95" i="5"/>
  <c r="L95" i="5" s="1"/>
  <c r="J96" i="5"/>
  <c r="J97" i="5"/>
  <c r="J98" i="5"/>
  <c r="J99" i="5"/>
  <c r="J100" i="5"/>
  <c r="J101" i="5"/>
  <c r="J102" i="5"/>
  <c r="J103" i="5"/>
  <c r="J104" i="5"/>
  <c r="L104" i="5" s="1"/>
  <c r="J105" i="5"/>
  <c r="L105" i="5" s="1"/>
  <c r="J106" i="5"/>
  <c r="L106" i="5" s="1"/>
  <c r="J107" i="5"/>
  <c r="J108" i="5"/>
  <c r="L108" i="5" s="1"/>
  <c r="J109" i="5"/>
  <c r="J110" i="5"/>
  <c r="J111" i="5"/>
  <c r="L111" i="5" s="1"/>
  <c r="J112" i="5"/>
  <c r="J113" i="5"/>
  <c r="L113" i="5" s="1"/>
  <c r="J114" i="5"/>
  <c r="L114" i="5" s="1"/>
  <c r="J115" i="5"/>
  <c r="J116" i="5"/>
  <c r="J117" i="5"/>
  <c r="J118" i="5"/>
  <c r="J119" i="5"/>
  <c r="J120" i="5"/>
  <c r="L120" i="5" s="1"/>
  <c r="J121" i="5"/>
  <c r="J122" i="5"/>
  <c r="J123" i="5"/>
  <c r="J124" i="5"/>
  <c r="J125" i="5"/>
  <c r="J126" i="5"/>
  <c r="L3" i="6"/>
  <c r="L4" i="6"/>
  <c r="L5" i="6"/>
  <c r="L6" i="6"/>
  <c r="L7" i="6"/>
  <c r="L8" i="6"/>
  <c r="L18" i="6"/>
  <c r="L23" i="6"/>
  <c r="L26" i="6"/>
  <c r="L27" i="6"/>
  <c r="L28" i="6"/>
  <c r="L29" i="6"/>
  <c r="L38" i="6"/>
  <c r="L43" i="6"/>
  <c r="L44" i="6"/>
  <c r="L46" i="6"/>
  <c r="L47" i="6"/>
  <c r="L59" i="6"/>
  <c r="L67" i="6"/>
  <c r="L68" i="6"/>
  <c r="J3" i="6"/>
  <c r="J4" i="6"/>
  <c r="J5" i="6"/>
  <c r="J6" i="6"/>
  <c r="J7" i="6"/>
  <c r="J8" i="6"/>
  <c r="J9" i="6"/>
  <c r="L9" i="6" s="1"/>
  <c r="J10" i="6"/>
  <c r="L10" i="6" s="1"/>
  <c r="J11" i="6"/>
  <c r="L11" i="6" s="1"/>
  <c r="J12" i="6"/>
  <c r="L12" i="6" s="1"/>
  <c r="J13" i="6"/>
  <c r="L13" i="6" s="1"/>
  <c r="J14" i="6"/>
  <c r="L14" i="6" s="1"/>
  <c r="J15" i="6"/>
  <c r="L15" i="6" s="1"/>
  <c r="J16" i="6"/>
  <c r="L16" i="6" s="1"/>
  <c r="J17" i="6"/>
  <c r="L17" i="6" s="1"/>
  <c r="J18" i="6"/>
  <c r="J19" i="6"/>
  <c r="L19" i="6" s="1"/>
  <c r="J20" i="6"/>
  <c r="L20" i="6" s="1"/>
  <c r="J21" i="6"/>
  <c r="L21" i="6" s="1"/>
  <c r="J22" i="6"/>
  <c r="L22" i="6" s="1"/>
  <c r="J23" i="6"/>
  <c r="J24" i="6"/>
  <c r="L24" i="6" s="1"/>
  <c r="J25" i="6"/>
  <c r="L25" i="6" s="1"/>
  <c r="J26" i="6"/>
  <c r="J27" i="6"/>
  <c r="J28" i="6"/>
  <c r="J29" i="6"/>
  <c r="J30" i="6"/>
  <c r="L30" i="6" s="1"/>
  <c r="J31" i="6"/>
  <c r="L31" i="6" s="1"/>
  <c r="J32" i="6"/>
  <c r="L32" i="6" s="1"/>
  <c r="J33" i="6"/>
  <c r="L33" i="6" s="1"/>
  <c r="J34" i="6"/>
  <c r="L34" i="6" s="1"/>
  <c r="J35" i="6"/>
  <c r="L35" i="6" s="1"/>
  <c r="J36" i="6"/>
  <c r="L36" i="6" s="1"/>
  <c r="J37" i="6"/>
  <c r="L37" i="6" s="1"/>
  <c r="J38" i="6"/>
  <c r="J39" i="6"/>
  <c r="L39" i="6" s="1"/>
  <c r="J40" i="6"/>
  <c r="L40" i="6" s="1"/>
  <c r="J41" i="6"/>
  <c r="L41" i="6" s="1"/>
  <c r="J42" i="6"/>
  <c r="L42" i="6" s="1"/>
  <c r="J43" i="6"/>
  <c r="J44" i="6"/>
  <c r="J45" i="6"/>
  <c r="L45" i="6" s="1"/>
  <c r="J46" i="6"/>
  <c r="J47" i="6"/>
  <c r="J48" i="6"/>
  <c r="L48" i="6" s="1"/>
  <c r="J49" i="6"/>
  <c r="L49" i="6" s="1"/>
  <c r="J50" i="6"/>
  <c r="L50" i="6" s="1"/>
  <c r="J51" i="6"/>
  <c r="L51" i="6" s="1"/>
  <c r="J52" i="6"/>
  <c r="L52" i="6" s="1"/>
  <c r="J53" i="6"/>
  <c r="L53" i="6" s="1"/>
  <c r="J54" i="6"/>
  <c r="L54" i="6" s="1"/>
  <c r="J55" i="6"/>
  <c r="L55" i="6" s="1"/>
  <c r="J56" i="6"/>
  <c r="L56" i="6" s="1"/>
  <c r="J57" i="6"/>
  <c r="L57" i="6" s="1"/>
  <c r="J58" i="6"/>
  <c r="L58" i="6" s="1"/>
  <c r="J59" i="6"/>
  <c r="J60" i="6"/>
  <c r="L60" i="6" s="1"/>
  <c r="J62" i="6"/>
  <c r="L62" i="6" s="1"/>
  <c r="J63" i="6"/>
  <c r="L63" i="6" s="1"/>
  <c r="J64" i="6"/>
  <c r="L64" i="6" s="1"/>
  <c r="J65" i="6"/>
  <c r="L65" i="6" s="1"/>
  <c r="J66" i="6"/>
  <c r="L66" i="6" s="1"/>
  <c r="J67" i="6"/>
  <c r="J68" i="6"/>
  <c r="J69" i="6"/>
  <c r="L69" i="6" s="1"/>
  <c r="L3" i="7"/>
  <c r="L4" i="7"/>
  <c r="L6" i="7"/>
  <c r="L7" i="7"/>
  <c r="L8" i="7"/>
  <c r="L9" i="7"/>
  <c r="L10" i="7"/>
  <c r="L12" i="7"/>
  <c r="L14" i="7"/>
  <c r="L16" i="7"/>
  <c r="L17" i="7"/>
  <c r="L19" i="7"/>
  <c r="L20" i="7"/>
  <c r="L21" i="7"/>
  <c r="L22" i="7"/>
  <c r="L24" i="7"/>
  <c r="L27" i="7"/>
  <c r="L28" i="7"/>
  <c r="L29" i="7"/>
  <c r="L30" i="7"/>
  <c r="L31" i="7"/>
  <c r="L33" i="7"/>
  <c r="L35" i="7"/>
  <c r="L37" i="7"/>
  <c r="L39" i="7"/>
  <c r="L40" i="7"/>
  <c r="L42" i="7"/>
  <c r="L43" i="7"/>
  <c r="L44" i="7"/>
  <c r="L45" i="7"/>
  <c r="L46" i="7"/>
  <c r="L47" i="7"/>
  <c r="L48" i="7"/>
  <c r="L49" i="7"/>
  <c r="L51" i="7"/>
  <c r="L52" i="7"/>
  <c r="L54" i="7"/>
  <c r="L55" i="7"/>
  <c r="L57" i="7"/>
  <c r="L59" i="7"/>
  <c r="L60" i="7"/>
  <c r="L61" i="7"/>
  <c r="L62" i="7"/>
  <c r="L64" i="7"/>
  <c r="L65" i="7"/>
  <c r="L66" i="7"/>
  <c r="L67" i="7"/>
  <c r="L68" i="7"/>
  <c r="J3" i="7"/>
  <c r="J4" i="7"/>
  <c r="J5" i="7"/>
  <c r="L5" i="7" s="1"/>
  <c r="J6" i="7"/>
  <c r="J7" i="7"/>
  <c r="J8" i="7"/>
  <c r="J9" i="7"/>
  <c r="J10" i="7"/>
  <c r="J11" i="7"/>
  <c r="L11" i="7" s="1"/>
  <c r="J12" i="7"/>
  <c r="J13" i="7"/>
  <c r="L13" i="7" s="1"/>
  <c r="J14" i="7"/>
  <c r="J15" i="7"/>
  <c r="L15" i="7" s="1"/>
  <c r="J16" i="7"/>
  <c r="J17" i="7"/>
  <c r="J18" i="7"/>
  <c r="L18" i="7" s="1"/>
  <c r="J19" i="7"/>
  <c r="J20" i="7"/>
  <c r="J21" i="7"/>
  <c r="J22" i="7"/>
  <c r="J23" i="7"/>
  <c r="L23" i="7" s="1"/>
  <c r="J24" i="7"/>
  <c r="J25" i="7"/>
  <c r="L25" i="7" s="1"/>
  <c r="J26" i="7"/>
  <c r="L26" i="7" s="1"/>
  <c r="J27" i="7"/>
  <c r="J28" i="7"/>
  <c r="J29" i="7"/>
  <c r="J30" i="7"/>
  <c r="J31" i="7"/>
  <c r="J32" i="7"/>
  <c r="L32" i="7" s="1"/>
  <c r="J33" i="7"/>
  <c r="J34" i="7"/>
  <c r="L34" i="7" s="1"/>
  <c r="J35" i="7"/>
  <c r="J36" i="7"/>
  <c r="L36" i="7" s="1"/>
  <c r="J37" i="7"/>
  <c r="J38" i="7"/>
  <c r="L38" i="7" s="1"/>
  <c r="J39" i="7"/>
  <c r="J40" i="7"/>
  <c r="J41" i="7"/>
  <c r="L41" i="7" s="1"/>
  <c r="J42" i="7"/>
  <c r="J43" i="7"/>
  <c r="J44" i="7"/>
  <c r="J45" i="7"/>
  <c r="J46" i="7"/>
  <c r="J47" i="7"/>
  <c r="J48" i="7"/>
  <c r="J49" i="7"/>
  <c r="J50" i="7"/>
  <c r="L50" i="7" s="1"/>
  <c r="J51" i="7"/>
  <c r="J52" i="7"/>
  <c r="J53" i="7"/>
  <c r="L53" i="7" s="1"/>
  <c r="J54" i="7"/>
  <c r="J55" i="7"/>
  <c r="J56" i="7"/>
  <c r="L56" i="7" s="1"/>
  <c r="J57" i="7"/>
  <c r="J58" i="7"/>
  <c r="L58" i="7" s="1"/>
  <c r="J59" i="7"/>
  <c r="J60" i="7"/>
  <c r="J61" i="7"/>
  <c r="J62" i="7"/>
  <c r="J63" i="7"/>
  <c r="L63" i="7" s="1"/>
  <c r="J64" i="7"/>
  <c r="J65" i="7"/>
  <c r="J66" i="7"/>
  <c r="J67" i="7"/>
  <c r="J68" i="7"/>
  <c r="L3" i="8"/>
  <c r="L4" i="8"/>
  <c r="L6" i="8"/>
  <c r="L7" i="8"/>
  <c r="L8" i="8"/>
  <c r="L9" i="8"/>
  <c r="L10" i="8"/>
  <c r="L12" i="8"/>
  <c r="L13" i="8"/>
  <c r="L14" i="8"/>
  <c r="L16" i="8"/>
  <c r="L17" i="8"/>
  <c r="L18" i="8"/>
  <c r="L20" i="8"/>
  <c r="L21" i="8"/>
  <c r="L22" i="8"/>
  <c r="L23" i="8"/>
  <c r="L25" i="8"/>
  <c r="L26" i="8"/>
  <c r="L27" i="8"/>
  <c r="L28" i="8"/>
  <c r="L30" i="8"/>
  <c r="L31" i="8"/>
  <c r="L32" i="8"/>
  <c r="L33" i="8"/>
  <c r="L34" i="8"/>
  <c r="L36" i="8"/>
  <c r="L37" i="8"/>
  <c r="L39" i="8"/>
  <c r="L40" i="8"/>
  <c r="L41" i="8"/>
  <c r="L42" i="8"/>
  <c r="L43" i="8"/>
  <c r="L44" i="8"/>
  <c r="L46" i="8"/>
  <c r="L47" i="8"/>
  <c r="L48" i="8"/>
  <c r="L49" i="8"/>
  <c r="L50" i="8"/>
  <c r="L52" i="8"/>
  <c r="L55" i="8"/>
  <c r="L58" i="8"/>
  <c r="L59" i="8"/>
  <c r="L60" i="8"/>
  <c r="L61" i="8"/>
  <c r="L62" i="8"/>
  <c r="L64" i="8"/>
  <c r="L65" i="8"/>
  <c r="L66" i="8"/>
  <c r="L67" i="8"/>
  <c r="L68" i="8"/>
  <c r="L69" i="8"/>
  <c r="L70" i="8"/>
  <c r="J3" i="8"/>
  <c r="J4" i="8"/>
  <c r="J5" i="8"/>
  <c r="L5" i="8" s="1"/>
  <c r="J6" i="8"/>
  <c r="J7" i="8"/>
  <c r="J8" i="8"/>
  <c r="J9" i="8"/>
  <c r="J10" i="8"/>
  <c r="J11" i="8"/>
  <c r="L11" i="8" s="1"/>
  <c r="J12" i="8"/>
  <c r="J13" i="8"/>
  <c r="J14" i="8"/>
  <c r="J15" i="8"/>
  <c r="L15" i="8" s="1"/>
  <c r="J16" i="8"/>
  <c r="J17" i="8"/>
  <c r="J18" i="8"/>
  <c r="J19" i="8"/>
  <c r="L19" i="8" s="1"/>
  <c r="J20" i="8"/>
  <c r="J21" i="8"/>
  <c r="J22" i="8"/>
  <c r="J23" i="8"/>
  <c r="J24" i="8"/>
  <c r="L24" i="8" s="1"/>
  <c r="J25" i="8"/>
  <c r="J26" i="8"/>
  <c r="J27" i="8"/>
  <c r="J28" i="8"/>
  <c r="J29" i="8"/>
  <c r="L29" i="8" s="1"/>
  <c r="J30" i="8"/>
  <c r="J31" i="8"/>
  <c r="J32" i="8"/>
  <c r="J33" i="8"/>
  <c r="J34" i="8"/>
  <c r="J35" i="8"/>
  <c r="L35" i="8" s="1"/>
  <c r="J36" i="8"/>
  <c r="J37" i="8"/>
  <c r="J38" i="8"/>
  <c r="L38" i="8" s="1"/>
  <c r="J39" i="8"/>
  <c r="J40" i="8"/>
  <c r="J41" i="8"/>
  <c r="J42" i="8"/>
  <c r="J43" i="8"/>
  <c r="J44" i="8"/>
  <c r="J45" i="8"/>
  <c r="L45" i="8" s="1"/>
  <c r="J46" i="8"/>
  <c r="J47" i="8"/>
  <c r="J48" i="8"/>
  <c r="J49" i="8"/>
  <c r="J50" i="8"/>
  <c r="J51" i="8"/>
  <c r="L51" i="8" s="1"/>
  <c r="J52" i="8"/>
  <c r="J53" i="8"/>
  <c r="L53" i="8" s="1"/>
  <c r="J54" i="8"/>
  <c r="L54" i="8" s="1"/>
  <c r="J55" i="8"/>
  <c r="J56" i="8"/>
  <c r="L56" i="8" s="1"/>
  <c r="J57" i="8"/>
  <c r="L57" i="8" s="1"/>
  <c r="J58" i="8"/>
  <c r="J59" i="8"/>
  <c r="J60" i="8"/>
  <c r="J61" i="8"/>
  <c r="J62" i="8"/>
  <c r="J63" i="8"/>
  <c r="L63" i="8" s="1"/>
  <c r="J64" i="8"/>
  <c r="J65" i="8"/>
  <c r="J66" i="8"/>
  <c r="J67" i="8"/>
  <c r="J68" i="8"/>
  <c r="J69" i="8"/>
  <c r="J70" i="8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20" i="1" l="1"/>
  <c r="D19" i="1"/>
  <c r="D12" i="1"/>
  <c r="D21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<sst xmlns="http://schemas.openxmlformats.org/spreadsheetml/2006/main" count="2150" uniqueCount="135">
  <si>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</si>
  <si>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</si>
  <si>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</si>
  <si>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</si>
  <si>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</si>
  <si>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</si>
  <si>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</si>
  <si>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</si>
  <si>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</si>
  <si>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</si>
  <si>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</si>
  <si>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</si>
  <si>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</si>
  <si>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</si>
  <si>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</si>
  <si>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</si>
  <si>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</si>
  <si>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</si>
  <si>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</si>
  <si>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</si>
  <si>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</si>
  <si>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</si>
  <si>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</si>
  <si>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</si>
  <si>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</si>
  <si>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</si>
  <si>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</si>
  <si>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</si>
  <si>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</si>
  <si>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</si>
  <si>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</si>
  <si>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</si>
  <si>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</si>
  <si>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</si>
  <si>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</si>
  <si>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</si>
  <si>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</si>
  <si>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</si>
  <si>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</si>
  <si>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</si>
  <si>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</si>
  <si>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</si>
  <si>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</si>
  <si>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</si>
  <si>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</si>
  <si>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</si>
  <si>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</si>
  <si>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</si>
  <si>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</si>
  <si>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</si>
  <si>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</si>
  <si>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</si>
  <si>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</si>
  <si>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</si>
  <si>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</si>
  <si>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</si>
  <si>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</si>
  <si>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</si>
  <si>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</si>
  <si>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</si>
  <si>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</si>
  <si>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</si>
  <si>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</si>
  <si>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</si>
  <si>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</si>
  <si>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</si>
  <si>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</si>
  <si>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</si>
  <si>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</si>
  <si>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</si>
  <si>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</si>
  <si>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</si>
  <si>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</si>
  <si>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</si>
  <si>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</si>
  <si>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</si>
  <si>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</si>
  <si>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</si>
  <si>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</si>
  <si>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</si>
  <si>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</si>
  <si>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</si>
  <si>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</si>
  <si>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</si>
  <si>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</si>
  <si>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</si>
  <si>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</si>
  <si>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</si>
  <si>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</si>
  <si>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</si>
  <si>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</si>
  <si>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</si>
  <si>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</si>
  <si>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</si>
  <si>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</si>
  <si>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</si>
  <si>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</si>
  <si>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</si>
  <si>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</si>
  <si>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</si>
  <si>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</si>
  <si>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</si>
  <si>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</si>
  <si>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</si>
  <si>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</si>
  <si>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</si>
  <si>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3t 2h 62g</t>
  </si>
  <si>
    <t>417.5bags and 9370lb</t>
  </si>
  <si>
    <t>466g</t>
  </si>
  <si>
    <t>380g</t>
  </si>
  <si>
    <t>9t 2h 35g</t>
  </si>
  <si>
    <t>580bags</t>
  </si>
  <si>
    <t>965g</t>
  </si>
  <si>
    <t>Lemon Juice</t>
  </si>
  <si>
    <t>706g</t>
  </si>
  <si>
    <t>3975g</t>
  </si>
  <si>
    <t>3h 44g</t>
  </si>
  <si>
    <t>41bags</t>
  </si>
  <si>
    <t>5819.5g</t>
  </si>
  <si>
    <t>229g</t>
  </si>
  <si>
    <t>301g</t>
  </si>
  <si>
    <t>6bags</t>
  </si>
  <si>
    <t>6g</t>
  </si>
  <si>
    <t>17g</t>
  </si>
  <si>
    <t>26g</t>
  </si>
  <si>
    <t>30g</t>
  </si>
  <si>
    <t>349g</t>
  </si>
  <si>
    <t>44g</t>
  </si>
  <si>
    <t>85g</t>
  </si>
  <si>
    <t>90g</t>
  </si>
  <si>
    <t>4882g</t>
  </si>
  <si>
    <t>188g</t>
  </si>
  <si>
    <t>100g</t>
  </si>
  <si>
    <t>15g</t>
  </si>
  <si>
    <t>224g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</si>
</sst>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H17" sqref="H1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0.37991071428571427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4.464285714285714E-3</v>
      </c>
      <c r="D2">
        <f>B2+C2</f>
        <v>0.38437499999999997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31" si="0">B3+C3</f>
        <v>0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14035.738392857142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2806.2504464285712</v>
      </c>
      <c r="D4">
        <f t="shared" si="0"/>
        <v>16841.988839285714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4.2410714285714281E-2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2.4553571428571428E-3</v>
      </c>
      <c r="D5">
        <f t="shared" si="0"/>
        <v>4.4866071428571422E-2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5.0714285714285712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1.9419642857142856</v>
      </c>
      <c r="D6">
        <f t="shared" si="0"/>
        <v>7.0133928571428568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97.783482142857167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65.835267857142867</v>
      </c>
      <c r="D7">
        <f t="shared" si="0"/>
        <v>163.61875000000003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1251.5339285714285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120.52500000000001</v>
      </c>
      <c r="D8">
        <f t="shared" si="0"/>
        <v>1372.0589285714286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5.8343749999999996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1.59375</v>
      </c>
      <c r="D9">
        <f t="shared" si="0"/>
        <v>7.4281249999999996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61.918749999999996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54.038839285714289</v>
      </c>
      <c r="D10">
        <f t="shared" si="0"/>
        <v>115.95758928571428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189.359375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15.768303571428572</v>
      </c>
      <c r="D11">
        <f t="shared" si="0"/>
        <v>205.12767857142856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33.425892857142856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24.251562500000002</v>
      </c>
      <c r="D12">
        <f t="shared" si="0"/>
        <v>57.677455357142861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1.51875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0.71830357142857137</v>
      </c>
      <c r="D13">
        <f t="shared" si="0"/>
        <v>2.2370535714285715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47.949107142857144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27.830803571428568</v>
      </c>
      <c r="D14">
        <f t="shared" si="0"/>
        <v>75.779910714285705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9.96875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0.66785714285714282</v>
      </c>
      <c r="D15">
        <f t="shared" si="0"/>
        <v>10.636607142857143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20.866741071428571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2.4379464285714283</v>
      </c>
      <c r="D16">
        <f t="shared" si="0"/>
        <v>23.3046875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5.8535714285714295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0.90892857142857153</v>
      </c>
      <c r="D17">
        <f t="shared" si="0"/>
        <v>6.7625000000000011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1.3013392857142858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0.13169642857142858</v>
      </c>
      <c r="D18">
        <f t="shared" si="0"/>
        <v>1.4330357142857144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29.667410714285715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4.6482142857142854</v>
      </c>
      <c r="D19">
        <f t="shared" si="0"/>
        <v>34.315624999999997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0.86339285714285707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0.51071428571428568</v>
      </c>
      <c r="D20">
        <f t="shared" si="0"/>
        <v>1.3741071428571427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73.600892857142853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2.1620535714285718</v>
      </c>
      <c r="D21">
        <f t="shared" si="0"/>
        <v>75.762946428571425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0.05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0.05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7.1602678571428573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0.36517857142857141</v>
      </c>
      <c r="D25">
        <f t="shared" si="0"/>
        <v>7.5254464285714286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16.218303571428567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0</v>
      </c>
      <c r="D26">
        <f t="shared" si="0"/>
        <v>16.218303571428567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15.870089285714286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15.870089285714286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314.15089285714288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392.89419642857143</v>
      </c>
      <c r="D28">
        <f t="shared" si="0"/>
        <v>707.04508928571431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140.70446428571429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52.418303571428574</v>
      </c>
      <c r="D29">
        <f t="shared" si="0"/>
        <v>193.12276785714286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2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0</v>
      </c>
      <c r="D30">
        <f t="shared" si="0"/>
        <v>2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3.827232142857143</v>
      </c>
      <c r="D31">
        <f t="shared" si="0"/>
        <v>3.827232142857143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4"/>
  <sheetViews>
    <sheetView topLeftCell="A43" workbookViewId="0">
      <selection activeCell="H12" sqref="H12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1707</v>
      </c>
      <c r="B2" t="s">
        <v>38</v>
      </c>
      <c r="C2" t="s">
        <v>55</v>
      </c>
      <c r="D2" t="s">
        <v>33</v>
      </c>
      <c r="J2">
        <f t="shared" ref="J2:J64" si="0">(E2*2240)+(F2*112)+(G2*28)+H2</f>
        <v>0</v>
      </c>
      <c r="L2">
        <f t="shared" ref="L2:L64" si="1">J2/2240</f>
        <v>0</v>
      </c>
    </row>
    <row r="3" spans="1:15" x14ac:dyDescent="0.25">
      <c r="A3">
        <v>1707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1707</v>
      </c>
      <c r="B4" t="s">
        <v>5</v>
      </c>
      <c r="C4" t="s">
        <v>55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1707</v>
      </c>
      <c r="B5" t="s">
        <v>6</v>
      </c>
      <c r="C5" t="s">
        <v>55</v>
      </c>
      <c r="D5" t="s">
        <v>33</v>
      </c>
      <c r="F5">
        <v>77162</v>
      </c>
      <c r="G5">
        <v>3</v>
      </c>
      <c r="H5">
        <v>19</v>
      </c>
      <c r="J5">
        <f t="shared" si="0"/>
        <v>8642247</v>
      </c>
      <c r="L5">
        <f t="shared" si="1"/>
        <v>3858.1459821428571</v>
      </c>
    </row>
    <row r="6" spans="1:15" x14ac:dyDescent="0.25">
      <c r="A6">
        <v>1707</v>
      </c>
      <c r="B6" t="s">
        <v>62</v>
      </c>
      <c r="C6" t="s">
        <v>55</v>
      </c>
      <c r="D6" t="s">
        <v>33</v>
      </c>
      <c r="H6">
        <v>200</v>
      </c>
      <c r="J6">
        <f t="shared" si="0"/>
        <v>200</v>
      </c>
      <c r="L6">
        <f t="shared" si="1"/>
        <v>8.9285714285714288E-2</v>
      </c>
    </row>
    <row r="7" spans="1:15" x14ac:dyDescent="0.25">
      <c r="A7">
        <v>1707</v>
      </c>
      <c r="B7" t="s">
        <v>7</v>
      </c>
      <c r="C7" t="s">
        <v>55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1707</v>
      </c>
      <c r="B8" t="s">
        <v>39</v>
      </c>
      <c r="C8" t="s">
        <v>55</v>
      </c>
      <c r="D8" t="s">
        <v>33</v>
      </c>
      <c r="H8">
        <v>28</v>
      </c>
      <c r="J8">
        <f t="shared" si="0"/>
        <v>28</v>
      </c>
      <c r="L8">
        <f t="shared" si="1"/>
        <v>1.2500000000000001E-2</v>
      </c>
    </row>
    <row r="9" spans="1:15" x14ac:dyDescent="0.25">
      <c r="A9">
        <v>1707</v>
      </c>
      <c r="B9" t="s">
        <v>8</v>
      </c>
      <c r="C9" t="s">
        <v>55</v>
      </c>
      <c r="D9" t="s">
        <v>33</v>
      </c>
      <c r="F9">
        <v>48</v>
      </c>
      <c r="G9">
        <v>1</v>
      </c>
      <c r="H9">
        <v>18</v>
      </c>
      <c r="J9">
        <f t="shared" si="0"/>
        <v>5422</v>
      </c>
      <c r="L9">
        <f t="shared" si="1"/>
        <v>2.4205357142857142</v>
      </c>
    </row>
    <row r="10" spans="1:15" x14ac:dyDescent="0.25">
      <c r="A10">
        <v>1707</v>
      </c>
      <c r="B10" t="s">
        <v>48</v>
      </c>
      <c r="C10" t="s">
        <v>55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1707</v>
      </c>
      <c r="B11" t="s">
        <v>9</v>
      </c>
      <c r="C11" t="s">
        <v>55</v>
      </c>
      <c r="D11" t="s">
        <v>33</v>
      </c>
      <c r="H11">
        <f>417.5*200+9370</f>
        <v>92870</v>
      </c>
      <c r="I11" t="s">
        <v>107</v>
      </c>
      <c r="J11">
        <f t="shared" si="0"/>
        <v>92870</v>
      </c>
      <c r="L11">
        <f t="shared" si="1"/>
        <v>41.459821428571431</v>
      </c>
    </row>
    <row r="12" spans="1:15" x14ac:dyDescent="0.25">
      <c r="A12">
        <v>1707</v>
      </c>
      <c r="B12" t="s">
        <v>10</v>
      </c>
      <c r="C12" t="s">
        <v>55</v>
      </c>
      <c r="D12" t="s">
        <v>33</v>
      </c>
      <c r="F12">
        <v>9760</v>
      </c>
      <c r="G12">
        <v>2</v>
      </c>
      <c r="H12">
        <v>14</v>
      </c>
      <c r="J12">
        <f t="shared" si="0"/>
        <v>1093190</v>
      </c>
      <c r="L12">
        <f t="shared" si="1"/>
        <v>488.03125</v>
      </c>
    </row>
    <row r="13" spans="1:15" x14ac:dyDescent="0.25">
      <c r="A13">
        <v>1707</v>
      </c>
      <c r="B13" t="s">
        <v>11</v>
      </c>
      <c r="C13" t="s">
        <v>55</v>
      </c>
      <c r="D13" t="s">
        <v>33</v>
      </c>
      <c r="F13">
        <v>3</v>
      </c>
      <c r="H13">
        <v>25</v>
      </c>
      <c r="J13">
        <f t="shared" si="0"/>
        <v>361</v>
      </c>
      <c r="L13">
        <f t="shared" si="1"/>
        <v>0.1611607142857143</v>
      </c>
    </row>
    <row r="14" spans="1:15" x14ac:dyDescent="0.25">
      <c r="A14">
        <v>1707</v>
      </c>
      <c r="B14" t="s">
        <v>41</v>
      </c>
      <c r="C14" t="s">
        <v>55</v>
      </c>
      <c r="D14" t="s">
        <v>33</v>
      </c>
      <c r="H14">
        <v>200</v>
      </c>
      <c r="J14">
        <f t="shared" si="0"/>
        <v>200</v>
      </c>
      <c r="L14">
        <f t="shared" si="1"/>
        <v>8.9285714285714288E-2</v>
      </c>
    </row>
    <row r="15" spans="1:15" x14ac:dyDescent="0.25">
      <c r="A15">
        <v>1707</v>
      </c>
      <c r="B15" t="s">
        <v>12</v>
      </c>
      <c r="C15" t="s">
        <v>55</v>
      </c>
      <c r="D15" t="s">
        <v>33</v>
      </c>
      <c r="H15">
        <v>420</v>
      </c>
      <c r="J15">
        <f t="shared" si="0"/>
        <v>420</v>
      </c>
      <c r="L15">
        <f t="shared" si="1"/>
        <v>0.1875</v>
      </c>
    </row>
    <row r="16" spans="1:15" x14ac:dyDescent="0.25">
      <c r="A16">
        <v>1707</v>
      </c>
      <c r="B16" t="s">
        <v>34</v>
      </c>
      <c r="C16" t="s">
        <v>55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1707</v>
      </c>
      <c r="B17" t="s">
        <v>13</v>
      </c>
      <c r="C17" t="s">
        <v>55</v>
      </c>
      <c r="D17" t="s">
        <v>33</v>
      </c>
      <c r="E17">
        <v>162</v>
      </c>
      <c r="F17">
        <v>10</v>
      </c>
      <c r="G17">
        <v>1</v>
      </c>
      <c r="J17">
        <f t="shared" si="0"/>
        <v>364028</v>
      </c>
      <c r="L17">
        <f t="shared" si="1"/>
        <v>162.51249999999999</v>
      </c>
    </row>
    <row r="18" spans="1:12" x14ac:dyDescent="0.25">
      <c r="A18">
        <v>1707</v>
      </c>
      <c r="B18" t="s">
        <v>14</v>
      </c>
      <c r="C18" t="s">
        <v>55</v>
      </c>
      <c r="D18" t="s">
        <v>33</v>
      </c>
      <c r="H18">
        <v>4661</v>
      </c>
      <c r="I18" t="s">
        <v>108</v>
      </c>
      <c r="J18">
        <f t="shared" si="0"/>
        <v>4661</v>
      </c>
      <c r="L18">
        <f t="shared" si="1"/>
        <v>2.0808035714285715</v>
      </c>
    </row>
    <row r="19" spans="1:12" x14ac:dyDescent="0.25">
      <c r="A19">
        <v>1707</v>
      </c>
      <c r="B19" t="s">
        <v>27</v>
      </c>
      <c r="C19" t="s">
        <v>55</v>
      </c>
      <c r="D19" t="s">
        <v>33</v>
      </c>
      <c r="H19">
        <v>9442.5</v>
      </c>
      <c r="I19" t="s">
        <v>106</v>
      </c>
      <c r="J19">
        <f t="shared" si="0"/>
        <v>9442.5</v>
      </c>
      <c r="L19">
        <f t="shared" si="1"/>
        <v>4.2154017857142856</v>
      </c>
    </row>
    <row r="20" spans="1:12" x14ac:dyDescent="0.25">
      <c r="A20">
        <v>1707</v>
      </c>
      <c r="B20" t="s">
        <v>15</v>
      </c>
      <c r="C20" t="s">
        <v>55</v>
      </c>
      <c r="D20" t="s">
        <v>33</v>
      </c>
      <c r="F20">
        <v>7</v>
      </c>
      <c r="J20">
        <f t="shared" si="0"/>
        <v>784</v>
      </c>
      <c r="L20">
        <f t="shared" si="1"/>
        <v>0.35</v>
      </c>
    </row>
    <row r="21" spans="1:12" x14ac:dyDescent="0.25">
      <c r="A21">
        <v>1707</v>
      </c>
      <c r="B21" t="s">
        <v>49</v>
      </c>
      <c r="C21" t="s">
        <v>55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1707</v>
      </c>
      <c r="B22" t="s">
        <v>17</v>
      </c>
      <c r="C22" t="s">
        <v>55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1707</v>
      </c>
      <c r="B23" t="s">
        <v>18</v>
      </c>
      <c r="C23" t="s">
        <v>55</v>
      </c>
      <c r="D23" t="s">
        <v>33</v>
      </c>
      <c r="H23">
        <v>3801</v>
      </c>
      <c r="I23" t="s">
        <v>109</v>
      </c>
      <c r="J23">
        <f t="shared" si="0"/>
        <v>3801</v>
      </c>
      <c r="L23">
        <f t="shared" si="1"/>
        <v>1.6968749999999999</v>
      </c>
    </row>
    <row r="24" spans="1:12" x14ac:dyDescent="0.25">
      <c r="A24">
        <v>1707</v>
      </c>
      <c r="B24" t="s">
        <v>19</v>
      </c>
      <c r="C24" t="s">
        <v>55</v>
      </c>
      <c r="D24" t="s">
        <v>33</v>
      </c>
      <c r="F24">
        <v>8</v>
      </c>
      <c r="G24">
        <v>2</v>
      </c>
      <c r="H24">
        <v>14</v>
      </c>
      <c r="J24">
        <f t="shared" si="0"/>
        <v>966</v>
      </c>
      <c r="L24">
        <f t="shared" si="1"/>
        <v>0.43125000000000002</v>
      </c>
    </row>
    <row r="25" spans="1:12" x14ac:dyDescent="0.25">
      <c r="A25">
        <v>1707</v>
      </c>
      <c r="B25" t="s">
        <v>56</v>
      </c>
      <c r="C25" t="s">
        <v>55</v>
      </c>
      <c r="D25" t="s">
        <v>33</v>
      </c>
      <c r="H25">
        <v>405</v>
      </c>
      <c r="J25">
        <f t="shared" si="0"/>
        <v>405</v>
      </c>
      <c r="L25">
        <f t="shared" si="1"/>
        <v>0.18080357142857142</v>
      </c>
    </row>
    <row r="26" spans="1:12" x14ac:dyDescent="0.25">
      <c r="A26">
        <v>1707</v>
      </c>
      <c r="B26" t="s">
        <v>102</v>
      </c>
      <c r="C26" t="s">
        <v>55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1707</v>
      </c>
      <c r="B27" t="s">
        <v>20</v>
      </c>
      <c r="C27" t="s">
        <v>55</v>
      </c>
      <c r="D27" t="s">
        <v>33</v>
      </c>
      <c r="H27">
        <v>38683</v>
      </c>
      <c r="J27">
        <f t="shared" si="0"/>
        <v>38683</v>
      </c>
      <c r="L27">
        <f t="shared" si="1"/>
        <v>17.26919642857143</v>
      </c>
    </row>
    <row r="28" spans="1:12" x14ac:dyDescent="0.25">
      <c r="A28">
        <v>1707</v>
      </c>
      <c r="B28" t="s">
        <v>21</v>
      </c>
      <c r="C28" t="s">
        <v>55</v>
      </c>
      <c r="D28" t="s">
        <v>33</v>
      </c>
      <c r="H28">
        <v>30</v>
      </c>
      <c r="J28">
        <f t="shared" si="0"/>
        <v>30</v>
      </c>
      <c r="L28">
        <f t="shared" si="1"/>
        <v>1.3392857142857142E-2</v>
      </c>
    </row>
    <row r="29" spans="1:12" x14ac:dyDescent="0.25">
      <c r="A29">
        <v>1707</v>
      </c>
      <c r="B29" t="s">
        <v>94</v>
      </c>
      <c r="C29" t="s">
        <v>55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1707</v>
      </c>
      <c r="B30" t="s">
        <v>22</v>
      </c>
      <c r="C30" t="s">
        <v>55</v>
      </c>
      <c r="D30" t="s">
        <v>33</v>
      </c>
      <c r="F30">
        <v>4</v>
      </c>
      <c r="G30">
        <v>2</v>
      </c>
      <c r="H30">
        <v>41</v>
      </c>
      <c r="J30">
        <f t="shared" si="0"/>
        <v>545</v>
      </c>
      <c r="L30">
        <f t="shared" si="1"/>
        <v>0.24330357142857142</v>
      </c>
    </row>
    <row r="31" spans="1:12" x14ac:dyDescent="0.25">
      <c r="A31">
        <v>1707</v>
      </c>
      <c r="B31" t="s">
        <v>64</v>
      </c>
      <c r="C31" t="s">
        <v>55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1707</v>
      </c>
      <c r="B32" t="s">
        <v>65</v>
      </c>
      <c r="C32" t="s">
        <v>55</v>
      </c>
      <c r="D32" t="s">
        <v>33</v>
      </c>
      <c r="F32">
        <v>81</v>
      </c>
    </row>
    <row r="33" spans="1:12" x14ac:dyDescent="0.25">
      <c r="A33">
        <v>1707</v>
      </c>
      <c r="B33" t="s">
        <v>93</v>
      </c>
      <c r="C33" t="s">
        <v>55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1707</v>
      </c>
      <c r="B34" t="s">
        <v>66</v>
      </c>
      <c r="C34" t="s">
        <v>55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1707</v>
      </c>
      <c r="B35" t="s">
        <v>5</v>
      </c>
      <c r="C35" t="s">
        <v>55</v>
      </c>
      <c r="D35" t="s">
        <v>35</v>
      </c>
      <c r="J35">
        <f t="shared" si="0"/>
        <v>0</v>
      </c>
      <c r="L35">
        <f t="shared" si="1"/>
        <v>0</v>
      </c>
    </row>
    <row r="36" spans="1:12" x14ac:dyDescent="0.25">
      <c r="A36">
        <v>1707</v>
      </c>
      <c r="B36" t="s">
        <v>6</v>
      </c>
      <c r="C36" t="s">
        <v>55</v>
      </c>
      <c r="D36" t="s">
        <v>35</v>
      </c>
      <c r="F36">
        <v>13436</v>
      </c>
      <c r="G36">
        <v>2</v>
      </c>
      <c r="H36">
        <v>17</v>
      </c>
      <c r="J36">
        <f t="shared" si="0"/>
        <v>1504905</v>
      </c>
      <c r="L36">
        <f t="shared" si="1"/>
        <v>671.83258928571433</v>
      </c>
    </row>
    <row r="37" spans="1:12" x14ac:dyDescent="0.25">
      <c r="A37">
        <v>1707</v>
      </c>
      <c r="B37" t="s">
        <v>37</v>
      </c>
      <c r="C37" t="s">
        <v>55</v>
      </c>
      <c r="D37" t="s">
        <v>35</v>
      </c>
      <c r="J37">
        <f t="shared" si="0"/>
        <v>0</v>
      </c>
      <c r="L37">
        <f t="shared" si="1"/>
        <v>0</v>
      </c>
    </row>
    <row r="38" spans="1:12" x14ac:dyDescent="0.25">
      <c r="A38">
        <v>1707</v>
      </c>
      <c r="B38" t="s">
        <v>8</v>
      </c>
      <c r="C38" t="s">
        <v>55</v>
      </c>
      <c r="D38" t="s">
        <v>35</v>
      </c>
      <c r="F38">
        <v>2</v>
      </c>
      <c r="G38">
        <v>1</v>
      </c>
      <c r="H38">
        <v>1</v>
      </c>
      <c r="J38">
        <f t="shared" si="0"/>
        <v>253</v>
      </c>
      <c r="L38">
        <f t="shared" si="1"/>
        <v>0.11294642857142857</v>
      </c>
    </row>
    <row r="39" spans="1:12" x14ac:dyDescent="0.25">
      <c r="A39">
        <v>1707</v>
      </c>
      <c r="B39" t="s">
        <v>9</v>
      </c>
      <c r="C39" t="s">
        <v>55</v>
      </c>
      <c r="D39" t="s">
        <v>35</v>
      </c>
      <c r="F39">
        <v>361</v>
      </c>
      <c r="H39">
        <v>7</v>
      </c>
      <c r="J39">
        <f t="shared" si="0"/>
        <v>40439</v>
      </c>
      <c r="L39">
        <f t="shared" si="1"/>
        <v>18.053125000000001</v>
      </c>
    </row>
    <row r="40" spans="1:12" x14ac:dyDescent="0.25">
      <c r="A40">
        <v>1707</v>
      </c>
      <c r="B40" t="s">
        <v>10</v>
      </c>
      <c r="C40" t="s">
        <v>55</v>
      </c>
      <c r="D40" t="s">
        <v>35</v>
      </c>
      <c r="F40">
        <v>806</v>
      </c>
      <c r="G40">
        <v>2</v>
      </c>
      <c r="H40">
        <v>12</v>
      </c>
      <c r="J40">
        <f t="shared" si="0"/>
        <v>90340</v>
      </c>
      <c r="L40">
        <f t="shared" si="1"/>
        <v>40.330357142857146</v>
      </c>
    </row>
    <row r="41" spans="1:12" x14ac:dyDescent="0.25">
      <c r="A41">
        <v>1707</v>
      </c>
      <c r="B41" t="s">
        <v>11</v>
      </c>
      <c r="C41" t="s">
        <v>55</v>
      </c>
      <c r="D41" t="s">
        <v>35</v>
      </c>
      <c r="J41">
        <f t="shared" si="0"/>
        <v>0</v>
      </c>
      <c r="L41">
        <f t="shared" si="1"/>
        <v>0</v>
      </c>
    </row>
    <row r="42" spans="1:12" x14ac:dyDescent="0.25">
      <c r="A42">
        <v>1707</v>
      </c>
      <c r="B42" t="s">
        <v>36</v>
      </c>
      <c r="C42" t="s">
        <v>55</v>
      </c>
      <c r="D42" t="s">
        <v>35</v>
      </c>
      <c r="J42">
        <f t="shared" si="0"/>
        <v>0</v>
      </c>
      <c r="L42">
        <f t="shared" si="1"/>
        <v>0</v>
      </c>
    </row>
    <row r="43" spans="1:12" x14ac:dyDescent="0.25">
      <c r="A43">
        <v>1707</v>
      </c>
      <c r="B43" t="s">
        <v>41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1707</v>
      </c>
      <c r="B44" t="s">
        <v>12</v>
      </c>
      <c r="C44" t="s">
        <v>55</v>
      </c>
      <c r="D44" t="s">
        <v>35</v>
      </c>
      <c r="H44">
        <v>2145</v>
      </c>
      <c r="J44">
        <f t="shared" si="0"/>
        <v>2145</v>
      </c>
      <c r="L44">
        <f t="shared" si="1"/>
        <v>0.9575892857142857</v>
      </c>
    </row>
    <row r="45" spans="1:12" x14ac:dyDescent="0.25">
      <c r="A45">
        <v>1707</v>
      </c>
      <c r="B45" t="s">
        <v>13</v>
      </c>
      <c r="C45" t="s">
        <v>55</v>
      </c>
      <c r="D45" t="s">
        <v>35</v>
      </c>
      <c r="F45">
        <v>285</v>
      </c>
      <c r="G45">
        <v>1</v>
      </c>
      <c r="H45">
        <v>24</v>
      </c>
      <c r="J45">
        <f t="shared" si="0"/>
        <v>31972</v>
      </c>
      <c r="L45">
        <f t="shared" si="1"/>
        <v>14.273214285714285</v>
      </c>
    </row>
    <row r="46" spans="1:12" x14ac:dyDescent="0.25">
      <c r="A46">
        <v>1707</v>
      </c>
      <c r="B46" t="s">
        <v>14</v>
      </c>
      <c r="C46" t="s">
        <v>55</v>
      </c>
      <c r="D46" t="s">
        <v>35</v>
      </c>
      <c r="H46">
        <v>3491</v>
      </c>
      <c r="I46" t="s">
        <v>126</v>
      </c>
      <c r="J46">
        <f t="shared" si="0"/>
        <v>3491</v>
      </c>
      <c r="L46">
        <f t="shared" si="1"/>
        <v>1.5584821428571429</v>
      </c>
    </row>
    <row r="47" spans="1:12" x14ac:dyDescent="0.25">
      <c r="A47">
        <v>1707</v>
      </c>
      <c r="B47" t="s">
        <v>27</v>
      </c>
      <c r="C47" t="s">
        <v>55</v>
      </c>
      <c r="D47" t="s">
        <v>35</v>
      </c>
      <c r="J47">
        <f t="shared" si="0"/>
        <v>0</v>
      </c>
      <c r="L47">
        <f t="shared" si="1"/>
        <v>0</v>
      </c>
    </row>
    <row r="48" spans="1:12" x14ac:dyDescent="0.25">
      <c r="A48">
        <v>1707</v>
      </c>
      <c r="B48" t="s">
        <v>15</v>
      </c>
      <c r="C48" t="s">
        <v>55</v>
      </c>
      <c r="D48" t="s">
        <v>35</v>
      </c>
      <c r="F48">
        <v>14</v>
      </c>
      <c r="G48">
        <v>1</v>
      </c>
      <c r="H48">
        <v>13</v>
      </c>
      <c r="J48">
        <f t="shared" si="0"/>
        <v>1609</v>
      </c>
      <c r="L48">
        <f t="shared" si="1"/>
        <v>0.71830357142857137</v>
      </c>
    </row>
    <row r="49" spans="1:12" x14ac:dyDescent="0.25">
      <c r="A49">
        <v>1707</v>
      </c>
      <c r="B49" t="s">
        <v>49</v>
      </c>
      <c r="C49" t="s">
        <v>55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1707</v>
      </c>
      <c r="B50" t="s">
        <v>16</v>
      </c>
      <c r="C50" t="s">
        <v>55</v>
      </c>
      <c r="D50" t="s">
        <v>35</v>
      </c>
      <c r="H50">
        <v>366</v>
      </c>
      <c r="J50">
        <f t="shared" si="0"/>
        <v>366</v>
      </c>
      <c r="L50">
        <f t="shared" si="1"/>
        <v>0.16339285714285715</v>
      </c>
    </row>
    <row r="51" spans="1:12" x14ac:dyDescent="0.25">
      <c r="A51">
        <v>1707</v>
      </c>
      <c r="B51" t="s">
        <v>17</v>
      </c>
      <c r="C51" t="s">
        <v>55</v>
      </c>
      <c r="D51" t="s">
        <v>35</v>
      </c>
      <c r="F51">
        <v>10</v>
      </c>
      <c r="G51">
        <v>2</v>
      </c>
      <c r="H51">
        <v>7</v>
      </c>
      <c r="J51">
        <f t="shared" si="0"/>
        <v>1183</v>
      </c>
      <c r="L51">
        <f t="shared" si="1"/>
        <v>0.52812499999999996</v>
      </c>
    </row>
    <row r="52" spans="1:12" x14ac:dyDescent="0.25">
      <c r="A52">
        <v>1707</v>
      </c>
      <c r="B52" t="s">
        <v>18</v>
      </c>
      <c r="C52" t="s">
        <v>55</v>
      </c>
      <c r="D52" t="s">
        <v>35</v>
      </c>
      <c r="H52">
        <v>440</v>
      </c>
      <c r="I52" t="s">
        <v>127</v>
      </c>
      <c r="J52">
        <f t="shared" si="0"/>
        <v>440</v>
      </c>
      <c r="L52">
        <f t="shared" si="1"/>
        <v>0.19642857142857142</v>
      </c>
    </row>
    <row r="53" spans="1:12" x14ac:dyDescent="0.25">
      <c r="A53">
        <v>1707</v>
      </c>
      <c r="B53" t="s">
        <v>19</v>
      </c>
      <c r="C53" t="s">
        <v>55</v>
      </c>
      <c r="D53" t="s">
        <v>35</v>
      </c>
      <c r="F53">
        <v>3</v>
      </c>
      <c r="H53">
        <v>27</v>
      </c>
      <c r="J53">
        <f t="shared" si="0"/>
        <v>363</v>
      </c>
      <c r="L53">
        <f t="shared" si="1"/>
        <v>0.16205357142857144</v>
      </c>
    </row>
    <row r="54" spans="1:12" x14ac:dyDescent="0.25">
      <c r="A54">
        <v>1707</v>
      </c>
      <c r="B54" t="s">
        <v>56</v>
      </c>
      <c r="C54" t="s">
        <v>55</v>
      </c>
      <c r="D54" t="s">
        <v>35</v>
      </c>
      <c r="H54">
        <v>21</v>
      </c>
      <c r="J54">
        <f t="shared" si="0"/>
        <v>21</v>
      </c>
      <c r="L54">
        <f t="shared" si="1"/>
        <v>9.3749999999999997E-3</v>
      </c>
    </row>
    <row r="55" spans="1:12" x14ac:dyDescent="0.25">
      <c r="A55">
        <v>1707</v>
      </c>
      <c r="B55" t="s">
        <v>102</v>
      </c>
      <c r="C55" t="s">
        <v>55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1707</v>
      </c>
      <c r="B56" t="s">
        <v>20</v>
      </c>
      <c r="C56" t="s">
        <v>55</v>
      </c>
      <c r="D56" t="s">
        <v>35</v>
      </c>
      <c r="H56">
        <v>1958</v>
      </c>
      <c r="J56">
        <f t="shared" si="0"/>
        <v>1958</v>
      </c>
      <c r="L56">
        <f t="shared" si="1"/>
        <v>0.87410714285714286</v>
      </c>
    </row>
    <row r="57" spans="1:12" x14ac:dyDescent="0.25">
      <c r="A57">
        <v>1707</v>
      </c>
      <c r="B57" t="s">
        <v>21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1707</v>
      </c>
      <c r="B58" t="s">
        <v>95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1707</v>
      </c>
      <c r="B59" t="s">
        <v>22</v>
      </c>
      <c r="C59" t="s">
        <v>55</v>
      </c>
      <c r="D59" t="s">
        <v>35</v>
      </c>
      <c r="F59">
        <v>1</v>
      </c>
      <c r="G59">
        <v>2</v>
      </c>
      <c r="J59">
        <f t="shared" si="0"/>
        <v>168</v>
      </c>
      <c r="L59">
        <f t="shared" si="1"/>
        <v>7.4999999999999997E-2</v>
      </c>
    </row>
    <row r="60" spans="1:12" x14ac:dyDescent="0.25">
      <c r="A60">
        <v>1707</v>
      </c>
      <c r="B60" t="s">
        <v>63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1707</v>
      </c>
      <c r="B61" t="s">
        <v>96</v>
      </c>
      <c r="C61" t="s">
        <v>55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1707</v>
      </c>
      <c r="B62" t="s">
        <v>64</v>
      </c>
      <c r="C62" t="s">
        <v>55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1707</v>
      </c>
      <c r="B63" t="s">
        <v>65</v>
      </c>
      <c r="C63" t="s">
        <v>55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1707</v>
      </c>
      <c r="B64" t="s">
        <v>67</v>
      </c>
      <c r="C64" t="s">
        <v>55</v>
      </c>
      <c r="D64" t="s">
        <v>35</v>
      </c>
      <c r="F64">
        <v>76</v>
      </c>
      <c r="G64">
        <v>2</v>
      </c>
      <c r="H64">
        <v>5</v>
      </c>
      <c r="J64">
        <f t="shared" si="0"/>
        <v>8573</v>
      </c>
      <c r="L64">
        <f t="shared" si="1"/>
        <v>3.827232142857143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7"/>
  <sheetViews>
    <sheetView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1707</v>
      </c>
      <c r="B2" t="s">
        <v>57</v>
      </c>
      <c r="C2" t="s">
        <v>58</v>
      </c>
      <c r="D2" t="s">
        <v>33</v>
      </c>
      <c r="J2">
        <f t="shared" ref="J2:J65" si="0">(E2*2240)+(F2*112)+(G2*28)+H2</f>
        <v>0</v>
      </c>
      <c r="L2">
        <f t="shared" ref="L2:L65" si="1">J2/2240</f>
        <v>0</v>
      </c>
    </row>
    <row r="3" spans="1:12" x14ac:dyDescent="0.25">
      <c r="A3">
        <v>1707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1707</v>
      </c>
      <c r="B4" t="s">
        <v>38</v>
      </c>
      <c r="C4" t="s">
        <v>58</v>
      </c>
      <c r="D4" t="s">
        <v>33</v>
      </c>
      <c r="H4">
        <v>4691</v>
      </c>
      <c r="J4">
        <f t="shared" si="0"/>
        <v>4691</v>
      </c>
      <c r="L4">
        <f t="shared" si="1"/>
        <v>2.0941964285714287</v>
      </c>
    </row>
    <row r="5" spans="1:12" x14ac:dyDescent="0.25">
      <c r="A5">
        <v>1707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1707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1707</v>
      </c>
      <c r="B7" t="s">
        <v>97</v>
      </c>
      <c r="C7" t="s">
        <v>58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1707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1707</v>
      </c>
      <c r="B9" t="s">
        <v>5</v>
      </c>
      <c r="C9" t="s">
        <v>58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1707</v>
      </c>
      <c r="B10" t="s">
        <v>61</v>
      </c>
      <c r="C10" t="s">
        <v>58</v>
      </c>
      <c r="D10" t="s">
        <v>33</v>
      </c>
      <c r="F10">
        <v>25</v>
      </c>
      <c r="J10">
        <f t="shared" si="0"/>
        <v>2800</v>
      </c>
      <c r="L10">
        <f t="shared" si="1"/>
        <v>1.25</v>
      </c>
    </row>
    <row r="11" spans="1:12" x14ac:dyDescent="0.25">
      <c r="A11">
        <v>1707</v>
      </c>
      <c r="B11" t="s">
        <v>6</v>
      </c>
      <c r="C11" t="s">
        <v>58</v>
      </c>
      <c r="D11" t="s">
        <v>33</v>
      </c>
      <c r="F11">
        <v>110966</v>
      </c>
      <c r="G11">
        <v>3</v>
      </c>
      <c r="H11">
        <v>6</v>
      </c>
      <c r="J11">
        <f t="shared" si="0"/>
        <v>12428282</v>
      </c>
      <c r="L11">
        <f t="shared" si="1"/>
        <v>5548.3401785714286</v>
      </c>
    </row>
    <row r="12" spans="1:12" x14ac:dyDescent="0.25">
      <c r="A12">
        <v>1707</v>
      </c>
      <c r="B12" t="s">
        <v>62</v>
      </c>
      <c r="C12" t="s">
        <v>58</v>
      </c>
      <c r="D12" t="s">
        <v>33</v>
      </c>
      <c r="H12">
        <v>2155</v>
      </c>
      <c r="J12">
        <f t="shared" si="0"/>
        <v>2155</v>
      </c>
      <c r="L12">
        <f t="shared" si="1"/>
        <v>0.9620535714285714</v>
      </c>
    </row>
    <row r="13" spans="1:12" x14ac:dyDescent="0.25">
      <c r="A13">
        <v>1707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1707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1707</v>
      </c>
      <c r="B15" t="s">
        <v>8</v>
      </c>
      <c r="C15" t="s">
        <v>58</v>
      </c>
      <c r="D15" t="s">
        <v>33</v>
      </c>
      <c r="F15">
        <v>11</v>
      </c>
      <c r="G15">
        <v>1</v>
      </c>
      <c r="H15">
        <v>10</v>
      </c>
      <c r="J15">
        <f t="shared" si="0"/>
        <v>1270</v>
      </c>
      <c r="L15">
        <f t="shared" si="1"/>
        <v>0.5669642857142857</v>
      </c>
    </row>
    <row r="16" spans="1:12" x14ac:dyDescent="0.25">
      <c r="A16">
        <v>1707</v>
      </c>
      <c r="B16" t="s">
        <v>42</v>
      </c>
      <c r="C16" t="s">
        <v>58</v>
      </c>
      <c r="D16" t="s">
        <v>33</v>
      </c>
      <c r="H16">
        <v>26</v>
      </c>
      <c r="J16">
        <f t="shared" si="0"/>
        <v>26</v>
      </c>
      <c r="L16">
        <f t="shared" si="1"/>
        <v>1.1607142857142858E-2</v>
      </c>
    </row>
    <row r="17" spans="1:12" x14ac:dyDescent="0.25">
      <c r="A17">
        <v>1707</v>
      </c>
      <c r="B17" t="s">
        <v>81</v>
      </c>
      <c r="C17" t="s">
        <v>58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1707</v>
      </c>
      <c r="B18" t="s">
        <v>9</v>
      </c>
      <c r="C18" t="s">
        <v>58</v>
      </c>
      <c r="D18" t="s">
        <v>33</v>
      </c>
      <c r="H18">
        <f>580*200</f>
        <v>116000</v>
      </c>
      <c r="I18" t="s">
        <v>111</v>
      </c>
      <c r="J18">
        <f t="shared" si="0"/>
        <v>116000</v>
      </c>
      <c r="L18">
        <f t="shared" si="1"/>
        <v>51.785714285714285</v>
      </c>
    </row>
    <row r="19" spans="1:12" x14ac:dyDescent="0.25">
      <c r="A19">
        <v>1707</v>
      </c>
      <c r="B19" t="s">
        <v>10</v>
      </c>
      <c r="C19" t="s">
        <v>58</v>
      </c>
      <c r="D19" t="s">
        <v>33</v>
      </c>
      <c r="F19">
        <v>8916</v>
      </c>
      <c r="G19">
        <v>3</v>
      </c>
      <c r="H19">
        <v>6</v>
      </c>
      <c r="J19">
        <f t="shared" si="0"/>
        <v>998682</v>
      </c>
      <c r="L19">
        <f t="shared" si="1"/>
        <v>445.84017857142857</v>
      </c>
    </row>
    <row r="20" spans="1:12" x14ac:dyDescent="0.25">
      <c r="A20">
        <v>1707</v>
      </c>
      <c r="B20" t="s">
        <v>11</v>
      </c>
      <c r="C20" t="s">
        <v>58</v>
      </c>
      <c r="D20" t="s">
        <v>33</v>
      </c>
      <c r="F20">
        <v>3</v>
      </c>
      <c r="J20">
        <f t="shared" si="0"/>
        <v>336</v>
      </c>
      <c r="L20">
        <f t="shared" si="1"/>
        <v>0.15</v>
      </c>
    </row>
    <row r="21" spans="1:12" x14ac:dyDescent="0.25">
      <c r="A21">
        <v>1707</v>
      </c>
      <c r="B21" t="s">
        <v>41</v>
      </c>
      <c r="C21" t="s">
        <v>58</v>
      </c>
      <c r="D21" t="s">
        <v>33</v>
      </c>
      <c r="H21">
        <v>79</v>
      </c>
      <c r="J21">
        <f t="shared" si="0"/>
        <v>79</v>
      </c>
      <c r="L21">
        <f t="shared" si="1"/>
        <v>3.5267857142857142E-2</v>
      </c>
    </row>
    <row r="22" spans="1:12" x14ac:dyDescent="0.25">
      <c r="A22">
        <v>1707</v>
      </c>
      <c r="B22" t="s">
        <v>46</v>
      </c>
      <c r="C22" t="s">
        <v>58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1707</v>
      </c>
      <c r="B23" t="s">
        <v>12</v>
      </c>
      <c r="C23" t="s">
        <v>58</v>
      </c>
      <c r="D23" t="s">
        <v>33</v>
      </c>
      <c r="H23">
        <v>56</v>
      </c>
      <c r="J23">
        <f t="shared" si="0"/>
        <v>56</v>
      </c>
      <c r="L23">
        <f t="shared" si="1"/>
        <v>2.5000000000000001E-2</v>
      </c>
    </row>
    <row r="24" spans="1:12" x14ac:dyDescent="0.25">
      <c r="A24">
        <v>1707</v>
      </c>
      <c r="B24" t="s">
        <v>113</v>
      </c>
      <c r="C24" t="s">
        <v>58</v>
      </c>
      <c r="D24" t="s">
        <v>33</v>
      </c>
      <c r="H24">
        <v>7062</v>
      </c>
      <c r="I24" t="s">
        <v>114</v>
      </c>
      <c r="J24">
        <f t="shared" si="0"/>
        <v>7062</v>
      </c>
      <c r="L24">
        <f t="shared" si="1"/>
        <v>3.1526785714285714</v>
      </c>
    </row>
    <row r="25" spans="1:12" x14ac:dyDescent="0.25">
      <c r="A25">
        <v>1707</v>
      </c>
      <c r="B25" t="s">
        <v>13</v>
      </c>
      <c r="C25" t="s">
        <v>58</v>
      </c>
      <c r="D25" t="s">
        <v>33</v>
      </c>
      <c r="F25">
        <v>219</v>
      </c>
      <c r="G25">
        <v>1</v>
      </c>
      <c r="H25">
        <v>21</v>
      </c>
      <c r="J25">
        <f t="shared" si="0"/>
        <v>24577</v>
      </c>
      <c r="L25">
        <f t="shared" si="1"/>
        <v>10.971875000000001</v>
      </c>
    </row>
    <row r="26" spans="1:12" x14ac:dyDescent="0.25">
      <c r="A26">
        <v>1707</v>
      </c>
      <c r="B26" t="s">
        <v>14</v>
      </c>
      <c r="C26" t="s">
        <v>58</v>
      </c>
      <c r="D26" t="s">
        <v>33</v>
      </c>
      <c r="H26">
        <v>9652.5</v>
      </c>
      <c r="I26" t="s">
        <v>112</v>
      </c>
      <c r="J26">
        <f t="shared" si="0"/>
        <v>9652.5</v>
      </c>
      <c r="L26">
        <f t="shared" si="1"/>
        <v>4.3091517857142856</v>
      </c>
    </row>
    <row r="27" spans="1:12" x14ac:dyDescent="0.25">
      <c r="A27">
        <v>1707</v>
      </c>
      <c r="B27" t="s">
        <v>23</v>
      </c>
      <c r="C27" t="s">
        <v>58</v>
      </c>
      <c r="D27" t="s">
        <v>33</v>
      </c>
      <c r="F27">
        <v>1</v>
      </c>
      <c r="J27">
        <f t="shared" si="0"/>
        <v>112</v>
      </c>
      <c r="L27">
        <f t="shared" si="1"/>
        <v>0.05</v>
      </c>
    </row>
    <row r="28" spans="1:12" x14ac:dyDescent="0.25">
      <c r="A28">
        <v>1707</v>
      </c>
      <c r="B28" t="s">
        <v>27</v>
      </c>
      <c r="C28" t="s">
        <v>58</v>
      </c>
      <c r="D28" t="s">
        <v>33</v>
      </c>
      <c r="H28">
        <v>24296</v>
      </c>
      <c r="I28" t="s">
        <v>110</v>
      </c>
      <c r="J28">
        <f t="shared" si="0"/>
        <v>24296</v>
      </c>
      <c r="L28">
        <f t="shared" si="1"/>
        <v>10.846428571428572</v>
      </c>
    </row>
    <row r="29" spans="1:12" x14ac:dyDescent="0.25">
      <c r="A29">
        <v>1707</v>
      </c>
      <c r="B29" t="s">
        <v>15</v>
      </c>
      <c r="C29" t="s">
        <v>58</v>
      </c>
      <c r="D29" t="s">
        <v>33</v>
      </c>
      <c r="F29">
        <v>2</v>
      </c>
      <c r="H29">
        <v>14</v>
      </c>
      <c r="J29">
        <f t="shared" si="0"/>
        <v>238</v>
      </c>
      <c r="L29">
        <f t="shared" si="1"/>
        <v>0.10625</v>
      </c>
    </row>
    <row r="30" spans="1:12" x14ac:dyDescent="0.25">
      <c r="A30">
        <v>1707</v>
      </c>
      <c r="B30" t="s">
        <v>44</v>
      </c>
      <c r="C30" t="s">
        <v>58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1707</v>
      </c>
      <c r="B31" t="s">
        <v>49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1707</v>
      </c>
      <c r="B32" t="s">
        <v>16</v>
      </c>
      <c r="C32" t="s">
        <v>58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1707</v>
      </c>
      <c r="B33" t="s">
        <v>17</v>
      </c>
      <c r="C33" t="s">
        <v>58</v>
      </c>
      <c r="D33" t="s">
        <v>33</v>
      </c>
      <c r="F33">
        <v>198</v>
      </c>
      <c r="G33">
        <v>2</v>
      </c>
      <c r="J33">
        <f t="shared" si="0"/>
        <v>22232</v>
      </c>
      <c r="L33">
        <f t="shared" si="1"/>
        <v>9.9250000000000007</v>
      </c>
    </row>
    <row r="34" spans="1:12" x14ac:dyDescent="0.25">
      <c r="A34">
        <v>1707</v>
      </c>
      <c r="B34" t="s">
        <v>18</v>
      </c>
      <c r="C34" t="s">
        <v>58</v>
      </c>
      <c r="D34" t="s">
        <v>33</v>
      </c>
      <c r="H34">
        <v>39760</v>
      </c>
      <c r="I34" t="s">
        <v>115</v>
      </c>
      <c r="J34">
        <f t="shared" si="0"/>
        <v>39760</v>
      </c>
      <c r="L34">
        <f t="shared" si="1"/>
        <v>17.75</v>
      </c>
    </row>
    <row r="35" spans="1:12" x14ac:dyDescent="0.25">
      <c r="A35">
        <v>1707</v>
      </c>
      <c r="B35" t="s">
        <v>26</v>
      </c>
      <c r="C35" t="s">
        <v>58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1707</v>
      </c>
      <c r="B36" t="s">
        <v>19</v>
      </c>
      <c r="C36" t="s">
        <v>58</v>
      </c>
      <c r="D36" t="s">
        <v>33</v>
      </c>
      <c r="F36">
        <v>68</v>
      </c>
      <c r="G36">
        <v>1</v>
      </c>
      <c r="H36">
        <v>8</v>
      </c>
      <c r="J36">
        <f t="shared" si="0"/>
        <v>7652</v>
      </c>
      <c r="L36">
        <f t="shared" si="1"/>
        <v>3.4160714285714286</v>
      </c>
    </row>
    <row r="37" spans="1:12" x14ac:dyDescent="0.25">
      <c r="A37">
        <v>1707</v>
      </c>
      <c r="B37" t="s">
        <v>47</v>
      </c>
      <c r="C37" t="s">
        <v>58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1707</v>
      </c>
      <c r="B38" t="s">
        <v>56</v>
      </c>
      <c r="C38" t="s">
        <v>58</v>
      </c>
      <c r="D38" t="s">
        <v>33</v>
      </c>
      <c r="H38">
        <v>1080</v>
      </c>
      <c r="J38">
        <f t="shared" si="0"/>
        <v>1080</v>
      </c>
      <c r="L38">
        <f t="shared" si="1"/>
        <v>0.48214285714285715</v>
      </c>
    </row>
    <row r="39" spans="1:12" x14ac:dyDescent="0.25">
      <c r="A39">
        <v>1707</v>
      </c>
      <c r="B39" t="s">
        <v>102</v>
      </c>
      <c r="C39" t="s">
        <v>58</v>
      </c>
      <c r="D39" t="s">
        <v>33</v>
      </c>
      <c r="H39">
        <v>170</v>
      </c>
      <c r="J39">
        <f t="shared" si="0"/>
        <v>170</v>
      </c>
      <c r="L39">
        <f t="shared" si="1"/>
        <v>7.5892857142857137E-2</v>
      </c>
    </row>
    <row r="40" spans="1:12" x14ac:dyDescent="0.25">
      <c r="A40">
        <v>1707</v>
      </c>
      <c r="B40" t="s">
        <v>20</v>
      </c>
      <c r="C40" t="s">
        <v>58</v>
      </c>
      <c r="D40" t="s">
        <v>33</v>
      </c>
      <c r="H40">
        <v>20666</v>
      </c>
      <c r="J40">
        <f t="shared" si="0"/>
        <v>20666</v>
      </c>
      <c r="L40">
        <f t="shared" si="1"/>
        <v>9.225892857142858</v>
      </c>
    </row>
    <row r="41" spans="1:12" x14ac:dyDescent="0.25">
      <c r="A41">
        <v>1707</v>
      </c>
      <c r="B41" t="s">
        <v>21</v>
      </c>
      <c r="C41" t="s">
        <v>58</v>
      </c>
      <c r="D41" t="s">
        <v>33</v>
      </c>
      <c r="H41">
        <v>66</v>
      </c>
      <c r="J41">
        <f t="shared" si="0"/>
        <v>66</v>
      </c>
      <c r="L41">
        <f t="shared" si="1"/>
        <v>2.9464285714285714E-2</v>
      </c>
    </row>
    <row r="42" spans="1:12" x14ac:dyDescent="0.25">
      <c r="A42">
        <v>1707</v>
      </c>
      <c r="B42" t="s">
        <v>22</v>
      </c>
      <c r="C42" t="s">
        <v>58</v>
      </c>
      <c r="D42" t="s">
        <v>33</v>
      </c>
      <c r="F42">
        <v>1440</v>
      </c>
      <c r="G42">
        <v>1</v>
      </c>
      <c r="H42">
        <v>7</v>
      </c>
      <c r="J42">
        <f t="shared" si="0"/>
        <v>161315</v>
      </c>
      <c r="L42">
        <f t="shared" si="1"/>
        <v>72.015625</v>
      </c>
    </row>
    <row r="43" spans="1:12" x14ac:dyDescent="0.25">
      <c r="A43">
        <v>1707</v>
      </c>
      <c r="B43" t="s">
        <v>63</v>
      </c>
      <c r="C43" t="s">
        <v>58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1707</v>
      </c>
      <c r="B44" t="s">
        <v>64</v>
      </c>
      <c r="C44" t="s">
        <v>58</v>
      </c>
      <c r="D44" t="s">
        <v>33</v>
      </c>
      <c r="G44">
        <v>325</v>
      </c>
      <c r="J44">
        <f t="shared" si="0"/>
        <v>9100</v>
      </c>
      <c r="L44">
        <f t="shared" si="1"/>
        <v>4.0625</v>
      </c>
    </row>
    <row r="45" spans="1:12" x14ac:dyDescent="0.25">
      <c r="A45">
        <v>1707</v>
      </c>
      <c r="B45" t="s">
        <v>65</v>
      </c>
      <c r="C45" t="s">
        <v>58</v>
      </c>
      <c r="D45" t="s">
        <v>33</v>
      </c>
      <c r="E45">
        <v>10</v>
      </c>
      <c r="J45">
        <f t="shared" si="0"/>
        <v>22400</v>
      </c>
      <c r="L45">
        <f t="shared" si="1"/>
        <v>10</v>
      </c>
    </row>
    <row r="46" spans="1:12" x14ac:dyDescent="0.25">
      <c r="A46">
        <v>1707</v>
      </c>
      <c r="B46" t="s">
        <v>73</v>
      </c>
      <c r="C46" t="s">
        <v>58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1707</v>
      </c>
      <c r="B47" t="s">
        <v>66</v>
      </c>
      <c r="C47" t="s">
        <v>58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1707</v>
      </c>
      <c r="B48" t="s">
        <v>67</v>
      </c>
      <c r="C48" t="s">
        <v>58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1707</v>
      </c>
      <c r="B49" t="s">
        <v>57</v>
      </c>
      <c r="C49" t="s">
        <v>58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1707</v>
      </c>
      <c r="B50" t="s">
        <v>59</v>
      </c>
      <c r="C50" t="s">
        <v>58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1707</v>
      </c>
      <c r="B51" t="s">
        <v>38</v>
      </c>
      <c r="C51" t="s">
        <v>58</v>
      </c>
      <c r="D51" t="s">
        <v>35</v>
      </c>
      <c r="H51">
        <v>433</v>
      </c>
      <c r="J51">
        <f t="shared" si="0"/>
        <v>433</v>
      </c>
      <c r="L51">
        <f t="shared" si="1"/>
        <v>0.19330357142857144</v>
      </c>
    </row>
    <row r="52" spans="1:12" x14ac:dyDescent="0.25">
      <c r="A52">
        <v>1707</v>
      </c>
      <c r="B52" t="s">
        <v>4</v>
      </c>
      <c r="C52" t="s">
        <v>58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1707</v>
      </c>
      <c r="B53" t="s">
        <v>60</v>
      </c>
      <c r="C53" t="s">
        <v>58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1707</v>
      </c>
      <c r="B54" t="s">
        <v>97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1707</v>
      </c>
      <c r="B55" t="s">
        <v>45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1707</v>
      </c>
      <c r="B56" t="s">
        <v>5</v>
      </c>
      <c r="C56" t="s">
        <v>58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1707</v>
      </c>
      <c r="B57" t="s">
        <v>61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1707</v>
      </c>
      <c r="B58" t="s">
        <v>6</v>
      </c>
      <c r="C58" t="s">
        <v>58</v>
      </c>
      <c r="D58" t="s">
        <v>35</v>
      </c>
      <c r="F58">
        <v>15481</v>
      </c>
      <c r="G58">
        <v>3</v>
      </c>
      <c r="H58">
        <v>20</v>
      </c>
      <c r="J58">
        <f t="shared" si="0"/>
        <v>1733976</v>
      </c>
      <c r="L58">
        <f t="shared" si="1"/>
        <v>774.09642857142853</v>
      </c>
    </row>
    <row r="59" spans="1:12" x14ac:dyDescent="0.25">
      <c r="A59">
        <v>1707</v>
      </c>
      <c r="B59" t="s">
        <v>62</v>
      </c>
      <c r="C59" t="s">
        <v>58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1707</v>
      </c>
      <c r="B60" t="s">
        <v>7</v>
      </c>
      <c r="C60" t="s">
        <v>58</v>
      </c>
      <c r="D60" t="s">
        <v>35</v>
      </c>
      <c r="H60">
        <v>5.5</v>
      </c>
      <c r="J60">
        <f t="shared" si="0"/>
        <v>5.5</v>
      </c>
      <c r="L60">
        <f t="shared" si="1"/>
        <v>2.4553571428571428E-3</v>
      </c>
    </row>
    <row r="61" spans="1:12" x14ac:dyDescent="0.25">
      <c r="A61">
        <v>1707</v>
      </c>
      <c r="B61" t="s">
        <v>39</v>
      </c>
      <c r="C61" t="s">
        <v>58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1707</v>
      </c>
      <c r="B62" t="s">
        <v>8</v>
      </c>
      <c r="C62" t="s">
        <v>58</v>
      </c>
      <c r="D62" t="s">
        <v>35</v>
      </c>
      <c r="F62">
        <v>17</v>
      </c>
      <c r="H62">
        <v>18</v>
      </c>
      <c r="J62">
        <f t="shared" si="0"/>
        <v>1922</v>
      </c>
      <c r="L62">
        <f t="shared" si="1"/>
        <v>0.85803571428571423</v>
      </c>
    </row>
    <row r="63" spans="1:12" x14ac:dyDescent="0.25">
      <c r="A63">
        <v>1707</v>
      </c>
      <c r="B63" t="s">
        <v>42</v>
      </c>
      <c r="C63" t="s">
        <v>58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1707</v>
      </c>
      <c r="B64" t="s">
        <v>9</v>
      </c>
      <c r="C64" t="s">
        <v>58</v>
      </c>
      <c r="D64" t="s">
        <v>35</v>
      </c>
      <c r="H64">
        <v>29418</v>
      </c>
      <c r="J64">
        <f t="shared" si="0"/>
        <v>29418</v>
      </c>
      <c r="L64">
        <f t="shared" si="1"/>
        <v>13.133035714285715</v>
      </c>
    </row>
    <row r="65" spans="1:12" x14ac:dyDescent="0.25">
      <c r="A65">
        <v>1707</v>
      </c>
      <c r="B65" t="s">
        <v>10</v>
      </c>
      <c r="C65" t="s">
        <v>58</v>
      </c>
      <c r="D65" t="s">
        <v>35</v>
      </c>
      <c r="F65">
        <v>639</v>
      </c>
      <c r="H65">
        <v>27</v>
      </c>
      <c r="J65">
        <f t="shared" si="0"/>
        <v>71595</v>
      </c>
      <c r="L65">
        <f t="shared" si="1"/>
        <v>31.962053571428573</v>
      </c>
    </row>
    <row r="66" spans="1:12" x14ac:dyDescent="0.25">
      <c r="A66">
        <v>1707</v>
      </c>
      <c r="B66" t="s">
        <v>11</v>
      </c>
      <c r="C66" t="s">
        <v>58</v>
      </c>
      <c r="D66" t="s">
        <v>35</v>
      </c>
      <c r="J66">
        <f t="shared" ref="J66:J97" si="2">(E66*2240)+(F66*112)+(G66*28)+H66</f>
        <v>0</v>
      </c>
      <c r="L66">
        <f t="shared" ref="L66:L97" si="3">J66/2240</f>
        <v>0</v>
      </c>
    </row>
    <row r="67" spans="1:12" x14ac:dyDescent="0.25">
      <c r="A67">
        <v>1707</v>
      </c>
      <c r="B67" t="s">
        <v>41</v>
      </c>
      <c r="C67" t="s">
        <v>58</v>
      </c>
      <c r="D67" t="s">
        <v>35</v>
      </c>
      <c r="J67">
        <f t="shared" si="2"/>
        <v>0</v>
      </c>
      <c r="L67">
        <f t="shared" si="3"/>
        <v>0</v>
      </c>
    </row>
    <row r="68" spans="1:12" x14ac:dyDescent="0.25">
      <c r="A68">
        <v>1707</v>
      </c>
      <c r="B68" t="s">
        <v>82</v>
      </c>
      <c r="C68" t="s">
        <v>58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1707</v>
      </c>
      <c r="B69" t="s">
        <v>46</v>
      </c>
      <c r="C69" t="s">
        <v>58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1707</v>
      </c>
      <c r="B70" t="s">
        <v>12</v>
      </c>
      <c r="C70" t="s">
        <v>58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1707</v>
      </c>
      <c r="B71" t="s">
        <v>34</v>
      </c>
      <c r="C71" t="s">
        <v>58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1707</v>
      </c>
      <c r="B72" t="s">
        <v>13</v>
      </c>
      <c r="C72" t="s">
        <v>58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1707</v>
      </c>
      <c r="B73" t="s">
        <v>14</v>
      </c>
      <c r="C73" t="s">
        <v>58</v>
      </c>
      <c r="D73" t="s">
        <v>35</v>
      </c>
      <c r="H73">
        <v>850</v>
      </c>
      <c r="I73" t="s">
        <v>128</v>
      </c>
      <c r="J73">
        <f t="shared" si="2"/>
        <v>850</v>
      </c>
      <c r="L73">
        <f t="shared" si="3"/>
        <v>0.3794642857142857</v>
      </c>
    </row>
    <row r="74" spans="1:12" x14ac:dyDescent="0.25">
      <c r="A74">
        <v>1707</v>
      </c>
      <c r="B74" t="s">
        <v>23</v>
      </c>
      <c r="C74" t="s">
        <v>58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1707</v>
      </c>
      <c r="B75" t="s">
        <v>27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1707</v>
      </c>
      <c r="B76" t="s">
        <v>15</v>
      </c>
      <c r="C76" t="s">
        <v>58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1707</v>
      </c>
      <c r="B77" t="s">
        <v>98</v>
      </c>
      <c r="C77" t="s">
        <v>58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1707</v>
      </c>
      <c r="B78" t="s">
        <v>44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1707</v>
      </c>
      <c r="B79" t="s">
        <v>49</v>
      </c>
      <c r="C79" t="s">
        <v>58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1707</v>
      </c>
      <c r="B80" t="s">
        <v>16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1707</v>
      </c>
      <c r="B81" t="s">
        <v>17</v>
      </c>
      <c r="C81" t="s">
        <v>58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1707</v>
      </c>
      <c r="B82" t="s">
        <v>18</v>
      </c>
      <c r="C82" t="s">
        <v>58</v>
      </c>
      <c r="D82" t="s">
        <v>35</v>
      </c>
      <c r="H82">
        <v>900</v>
      </c>
      <c r="I82" t="s">
        <v>129</v>
      </c>
      <c r="J82">
        <f t="shared" si="2"/>
        <v>900</v>
      </c>
      <c r="L82">
        <f t="shared" si="3"/>
        <v>0.4017857142857143</v>
      </c>
    </row>
    <row r="83" spans="1:12" x14ac:dyDescent="0.25">
      <c r="A83">
        <v>1707</v>
      </c>
      <c r="B83" t="s">
        <v>26</v>
      </c>
      <c r="C83" t="s">
        <v>58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1707</v>
      </c>
      <c r="B84" t="s">
        <v>19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1707</v>
      </c>
      <c r="B85" t="s">
        <v>47</v>
      </c>
      <c r="C85" t="s">
        <v>58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1707</v>
      </c>
      <c r="B86" t="s">
        <v>56</v>
      </c>
      <c r="C86" t="s">
        <v>58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1707</v>
      </c>
      <c r="B87" t="s">
        <v>102</v>
      </c>
      <c r="C87" t="s">
        <v>58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1707</v>
      </c>
      <c r="B88" t="s">
        <v>20</v>
      </c>
      <c r="C88" t="s">
        <v>58</v>
      </c>
      <c r="D88" t="s">
        <v>35</v>
      </c>
      <c r="H88">
        <v>4107</v>
      </c>
      <c r="J88">
        <f t="shared" si="2"/>
        <v>4107</v>
      </c>
      <c r="L88">
        <f t="shared" si="3"/>
        <v>1.8334821428571428</v>
      </c>
    </row>
    <row r="89" spans="1:12" x14ac:dyDescent="0.25">
      <c r="A89">
        <v>1707</v>
      </c>
      <c r="B89" t="s">
        <v>21</v>
      </c>
      <c r="C89" t="s">
        <v>58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1707</v>
      </c>
      <c r="B90" t="s">
        <v>22</v>
      </c>
      <c r="C90" t="s">
        <v>58</v>
      </c>
      <c r="D90" t="s">
        <v>35</v>
      </c>
      <c r="F90">
        <v>41</v>
      </c>
      <c r="G90">
        <v>2</v>
      </c>
      <c r="H90">
        <v>27</v>
      </c>
      <c r="J90">
        <f t="shared" si="2"/>
        <v>4675</v>
      </c>
      <c r="L90">
        <f t="shared" si="3"/>
        <v>2.0870535714285716</v>
      </c>
    </row>
    <row r="91" spans="1:12" x14ac:dyDescent="0.25">
      <c r="A91">
        <v>1707</v>
      </c>
      <c r="B91" t="s">
        <v>63</v>
      </c>
      <c r="C91" t="s">
        <v>58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1707</v>
      </c>
      <c r="B92" t="s">
        <v>64</v>
      </c>
      <c r="C92" t="s">
        <v>58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1707</v>
      </c>
      <c r="B93" t="s">
        <v>65</v>
      </c>
      <c r="C93" t="s">
        <v>58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1707</v>
      </c>
      <c r="B94" t="s">
        <v>93</v>
      </c>
      <c r="C94" t="s">
        <v>58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1707</v>
      </c>
      <c r="B95" t="s">
        <v>73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1707</v>
      </c>
      <c r="B96" t="s">
        <v>66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1707</v>
      </c>
      <c r="B97" t="s">
        <v>67</v>
      </c>
      <c r="C97" t="s">
        <v>58</v>
      </c>
      <c r="D97" t="s">
        <v>35</v>
      </c>
      <c r="J97">
        <f t="shared" si="2"/>
        <v>0</v>
      </c>
      <c r="L97">
        <f t="shared" si="3"/>
        <v>0</v>
      </c>
    </row>
  </sheetData>
  <autoFilter ref="A1:N52" xr:uid="{AAD1F908-12B8-4B3A-A65D-184CD229ACD4}">
    <sortState xmlns:xlrd2="http://schemas.microsoft.com/office/spreadsheetml/2017/richdata2" ref="A2:N52">
      <sortCondition ref="B1:B5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3"/>
  <sheetViews>
    <sheetView workbookViewId="0">
      <selection activeCell="A2" sqref="A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68</v>
      </c>
      <c r="C2" t="s">
        <v>69</v>
      </c>
      <c r="D2" t="s">
        <v>33</v>
      </c>
      <c r="J2">
        <f t="shared" ref="J2:J23" si="0">(E2*2240)+(F2*112)+(G2*28)+H2</f>
        <v>0</v>
      </c>
      <c r="L2">
        <f t="shared" ref="L2:L23" si="1">J2/2240</f>
        <v>0</v>
      </c>
    </row>
    <row r="3" spans="1:12" x14ac:dyDescent="0.25">
      <c r="B3" t="s">
        <v>6</v>
      </c>
      <c r="C3" t="s">
        <v>69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B4" t="s">
        <v>8</v>
      </c>
      <c r="C4" t="s">
        <v>69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B5" t="s">
        <v>9</v>
      </c>
      <c r="C5" t="s">
        <v>69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12</v>
      </c>
      <c r="C6" t="s">
        <v>69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27</v>
      </c>
      <c r="C7" t="s">
        <v>69</v>
      </c>
      <c r="D7" t="s">
        <v>33</v>
      </c>
      <c r="J7">
        <f t="shared" si="0"/>
        <v>0</v>
      </c>
      <c r="K7" s="1"/>
      <c r="L7">
        <f t="shared" si="1"/>
        <v>0</v>
      </c>
    </row>
    <row r="8" spans="1:12" x14ac:dyDescent="0.25">
      <c r="B8" t="s">
        <v>17</v>
      </c>
      <c r="C8" t="s">
        <v>69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B9" t="s">
        <v>18</v>
      </c>
      <c r="C9" t="s">
        <v>69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21</v>
      </c>
      <c r="C10" t="s">
        <v>69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63</v>
      </c>
      <c r="C11" t="s">
        <v>69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65</v>
      </c>
      <c r="C12" t="s">
        <v>69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6</v>
      </c>
      <c r="C13" t="s">
        <v>69</v>
      </c>
      <c r="D13" t="s">
        <v>35</v>
      </c>
      <c r="J13">
        <f t="shared" si="0"/>
        <v>0</v>
      </c>
      <c r="L13">
        <f t="shared" si="1"/>
        <v>0</v>
      </c>
    </row>
    <row r="14" spans="1:12" x14ac:dyDescent="0.25">
      <c r="B14" t="s">
        <v>12</v>
      </c>
      <c r="C14" t="s">
        <v>69</v>
      </c>
      <c r="D14" t="s">
        <v>35</v>
      </c>
      <c r="J14">
        <f t="shared" si="0"/>
        <v>0</v>
      </c>
      <c r="L14">
        <f t="shared" si="1"/>
        <v>0</v>
      </c>
    </row>
    <row r="15" spans="1:12" x14ac:dyDescent="0.25">
      <c r="B15" t="s">
        <v>43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B16" t="s">
        <v>27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2:12" x14ac:dyDescent="0.25">
      <c r="B17" t="s">
        <v>17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2:12" x14ac:dyDescent="0.25">
      <c r="B18" t="s">
        <v>19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2:12" x14ac:dyDescent="0.25">
      <c r="B19" t="s">
        <v>56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2:12" x14ac:dyDescent="0.25">
      <c r="B20" t="s">
        <v>9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2:12" x14ac:dyDescent="0.25">
      <c r="B21" t="s">
        <v>8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2:12" x14ac:dyDescent="0.25">
      <c r="B22" t="s">
        <v>63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2:12" x14ac:dyDescent="0.25">
      <c r="B23" t="s">
        <v>65</v>
      </c>
      <c r="C23" t="s">
        <v>69</v>
      </c>
      <c r="D23" t="s">
        <v>35</v>
      </c>
      <c r="J23">
        <f t="shared" si="0"/>
        <v>0</v>
      </c>
      <c r="L23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6"/>
  <sheetViews>
    <sheetView zoomScaleNormal="100" workbookViewId="0">
      <selection activeCell="H23" sqref="H2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1707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1707</v>
      </c>
      <c r="B3" t="s">
        <v>59</v>
      </c>
      <c r="C3" t="s">
        <v>70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1707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1707</v>
      </c>
      <c r="B5" t="s">
        <v>4</v>
      </c>
      <c r="C5" t="s">
        <v>70</v>
      </c>
      <c r="D5" t="s">
        <v>33</v>
      </c>
      <c r="H5">
        <v>150</v>
      </c>
      <c r="J5">
        <f t="shared" si="0"/>
        <v>150</v>
      </c>
      <c r="L5">
        <f t="shared" si="1"/>
        <v>6.6964285714285712E-2</v>
      </c>
    </row>
    <row r="6" spans="1:12" x14ac:dyDescent="0.25">
      <c r="A6">
        <v>1707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1707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1707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1707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1707</v>
      </c>
      <c r="B10" t="s">
        <v>5</v>
      </c>
      <c r="C10" t="s">
        <v>70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1707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1707</v>
      </c>
      <c r="B12" t="s">
        <v>6</v>
      </c>
      <c r="C12" t="s">
        <v>70</v>
      </c>
      <c r="D12" t="s">
        <v>33</v>
      </c>
      <c r="F12">
        <v>65497</v>
      </c>
      <c r="H12">
        <v>3</v>
      </c>
      <c r="J12">
        <f t="shared" si="0"/>
        <v>7335667</v>
      </c>
      <c r="L12">
        <f t="shared" si="1"/>
        <v>3274.8513392857144</v>
      </c>
    </row>
    <row r="13" spans="1:12" x14ac:dyDescent="0.25">
      <c r="A13">
        <v>1707</v>
      </c>
      <c r="B13" t="s">
        <v>103</v>
      </c>
      <c r="C13" t="s">
        <v>70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1707</v>
      </c>
      <c r="B14" t="s">
        <v>62</v>
      </c>
      <c r="C14" t="s">
        <v>70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1707</v>
      </c>
      <c r="B15" t="s">
        <v>7</v>
      </c>
      <c r="C15" t="s">
        <v>70</v>
      </c>
      <c r="D15" t="s">
        <v>33</v>
      </c>
      <c r="H15">
        <v>89</v>
      </c>
      <c r="J15">
        <f t="shared" si="0"/>
        <v>89</v>
      </c>
      <c r="L15">
        <f t="shared" si="1"/>
        <v>3.9732142857142855E-2</v>
      </c>
    </row>
    <row r="16" spans="1:12" x14ac:dyDescent="0.25">
      <c r="A16">
        <v>1707</v>
      </c>
      <c r="B16" t="s">
        <v>39</v>
      </c>
      <c r="C16" t="s">
        <v>70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1707</v>
      </c>
      <c r="B17" t="s">
        <v>8</v>
      </c>
      <c r="C17" t="s">
        <v>70</v>
      </c>
      <c r="D17" t="s">
        <v>33</v>
      </c>
      <c r="F17">
        <v>34</v>
      </c>
      <c r="G17">
        <v>3</v>
      </c>
      <c r="H17">
        <v>11</v>
      </c>
      <c r="J17">
        <f t="shared" si="0"/>
        <v>3903</v>
      </c>
      <c r="L17">
        <f t="shared" si="1"/>
        <v>1.7424107142857144</v>
      </c>
    </row>
    <row r="18" spans="1:12" x14ac:dyDescent="0.25">
      <c r="A18">
        <v>1707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1707</v>
      </c>
      <c r="B19" t="s">
        <v>80</v>
      </c>
      <c r="C19" t="s">
        <v>70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1707</v>
      </c>
      <c r="B20" t="s">
        <v>81</v>
      </c>
      <c r="C20" t="s">
        <v>70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1707</v>
      </c>
      <c r="B21" t="s">
        <v>48</v>
      </c>
      <c r="C21" t="s">
        <v>70</v>
      </c>
      <c r="D21" t="s">
        <v>33</v>
      </c>
      <c r="H21">
        <v>760</v>
      </c>
      <c r="J21">
        <f t="shared" si="0"/>
        <v>760</v>
      </c>
      <c r="L21">
        <f t="shared" si="1"/>
        <v>0.3392857142857143</v>
      </c>
    </row>
    <row r="22" spans="1:12" x14ac:dyDescent="0.25">
      <c r="A22">
        <v>1707</v>
      </c>
      <c r="B22" t="s">
        <v>9</v>
      </c>
      <c r="C22" t="s">
        <v>70</v>
      </c>
      <c r="D22" t="s">
        <v>33</v>
      </c>
      <c r="H22">
        <f>41*200</f>
        <v>8200</v>
      </c>
      <c r="I22" t="s">
        <v>117</v>
      </c>
      <c r="J22">
        <f t="shared" si="0"/>
        <v>8200</v>
      </c>
      <c r="L22">
        <f t="shared" si="1"/>
        <v>3.6607142857142856</v>
      </c>
    </row>
    <row r="23" spans="1:12" x14ac:dyDescent="0.25">
      <c r="A23">
        <v>1707</v>
      </c>
      <c r="B23" t="s">
        <v>10</v>
      </c>
      <c r="C23" t="s">
        <v>70</v>
      </c>
      <c r="D23" t="s">
        <v>33</v>
      </c>
      <c r="F23">
        <v>6192</v>
      </c>
      <c r="J23">
        <f t="shared" si="0"/>
        <v>693504</v>
      </c>
      <c r="L23">
        <f t="shared" si="1"/>
        <v>309.60000000000002</v>
      </c>
    </row>
    <row r="24" spans="1:12" x14ac:dyDescent="0.25">
      <c r="A24">
        <v>1707</v>
      </c>
      <c r="B24" t="s">
        <v>11</v>
      </c>
      <c r="C24" t="s">
        <v>70</v>
      </c>
      <c r="D24" t="s">
        <v>33</v>
      </c>
      <c r="F24">
        <v>110</v>
      </c>
      <c r="G24">
        <v>1</v>
      </c>
      <c r="H24">
        <v>24</v>
      </c>
      <c r="J24">
        <f t="shared" si="0"/>
        <v>12372</v>
      </c>
      <c r="L24">
        <f t="shared" si="1"/>
        <v>5.5232142857142854</v>
      </c>
    </row>
    <row r="25" spans="1:12" x14ac:dyDescent="0.25">
      <c r="A25">
        <v>1707</v>
      </c>
      <c r="B25" t="s">
        <v>41</v>
      </c>
      <c r="C25" t="s">
        <v>70</v>
      </c>
      <c r="D25" t="s">
        <v>33</v>
      </c>
      <c r="H25">
        <v>16</v>
      </c>
      <c r="J25">
        <f t="shared" si="0"/>
        <v>16</v>
      </c>
      <c r="L25">
        <f t="shared" si="1"/>
        <v>7.1428571428571426E-3</v>
      </c>
    </row>
    <row r="26" spans="1:12" x14ac:dyDescent="0.25">
      <c r="A26">
        <v>1707</v>
      </c>
      <c r="B26" t="s">
        <v>82</v>
      </c>
      <c r="C26" t="s">
        <v>70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1707</v>
      </c>
      <c r="B27" t="s">
        <v>83</v>
      </c>
      <c r="C27" t="s">
        <v>70</v>
      </c>
      <c r="D27" t="s">
        <v>33</v>
      </c>
      <c r="H27">
        <v>368</v>
      </c>
      <c r="J27">
        <f t="shared" si="0"/>
        <v>368</v>
      </c>
      <c r="L27">
        <f t="shared" si="1"/>
        <v>0.16428571428571428</v>
      </c>
    </row>
    <row r="28" spans="1:12" x14ac:dyDescent="0.25">
      <c r="A28">
        <v>1707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1707</v>
      </c>
      <c r="B29" t="s">
        <v>104</v>
      </c>
      <c r="C29" t="s">
        <v>70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1707</v>
      </c>
      <c r="B30" t="s">
        <v>12</v>
      </c>
      <c r="C30" t="s">
        <v>70</v>
      </c>
      <c r="D30" t="s">
        <v>33</v>
      </c>
      <c r="H30">
        <v>125961</v>
      </c>
      <c r="J30">
        <f t="shared" si="0"/>
        <v>125961</v>
      </c>
      <c r="L30">
        <f t="shared" si="1"/>
        <v>56.232589285714283</v>
      </c>
    </row>
    <row r="31" spans="1:12" x14ac:dyDescent="0.25">
      <c r="A31">
        <v>1707</v>
      </c>
      <c r="B31" t="s">
        <v>86</v>
      </c>
      <c r="C31" t="s">
        <v>70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1707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1707</v>
      </c>
      <c r="B33" t="s">
        <v>13</v>
      </c>
      <c r="C33" t="s">
        <v>70</v>
      </c>
      <c r="D33" t="s">
        <v>33</v>
      </c>
      <c r="F33">
        <v>195</v>
      </c>
      <c r="J33">
        <f t="shared" si="0"/>
        <v>21840</v>
      </c>
      <c r="L33">
        <f t="shared" si="1"/>
        <v>9.75</v>
      </c>
    </row>
    <row r="34" spans="1:12" x14ac:dyDescent="0.25">
      <c r="A34">
        <v>1707</v>
      </c>
      <c r="B34" t="s">
        <v>14</v>
      </c>
      <c r="C34" t="s">
        <v>70</v>
      </c>
      <c r="D34" t="s">
        <v>33</v>
      </c>
      <c r="H34">
        <v>58210</v>
      </c>
      <c r="I34" t="s">
        <v>118</v>
      </c>
      <c r="J34">
        <f t="shared" si="0"/>
        <v>58210</v>
      </c>
      <c r="L34">
        <f t="shared" si="1"/>
        <v>25.986607142857142</v>
      </c>
    </row>
    <row r="35" spans="1:12" x14ac:dyDescent="0.25">
      <c r="A35">
        <v>1707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1707</v>
      </c>
      <c r="B36" t="s">
        <v>27</v>
      </c>
      <c r="C36" t="s">
        <v>70</v>
      </c>
      <c r="D36" t="s">
        <v>33</v>
      </c>
      <c r="H36">
        <v>2330.5</v>
      </c>
      <c r="I36" t="s">
        <v>116</v>
      </c>
      <c r="J36">
        <f t="shared" si="0"/>
        <v>2330.5</v>
      </c>
      <c r="L36">
        <f t="shared" si="1"/>
        <v>1.0404017857142858</v>
      </c>
    </row>
    <row r="37" spans="1:12" x14ac:dyDescent="0.25">
      <c r="A37">
        <v>1707</v>
      </c>
      <c r="B37" t="s">
        <v>15</v>
      </c>
      <c r="C37" t="s">
        <v>70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1707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1707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1707</v>
      </c>
      <c r="B40" t="s">
        <v>49</v>
      </c>
      <c r="C40" t="s">
        <v>70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1707</v>
      </c>
      <c r="B41" t="s">
        <v>16</v>
      </c>
      <c r="C41" t="s">
        <v>70</v>
      </c>
      <c r="D41" t="s">
        <v>33</v>
      </c>
      <c r="H41">
        <v>106237</v>
      </c>
      <c r="J41">
        <f t="shared" si="0"/>
        <v>106237</v>
      </c>
      <c r="L41">
        <f t="shared" si="1"/>
        <v>47.427232142857143</v>
      </c>
    </row>
    <row r="42" spans="1:12" x14ac:dyDescent="0.25">
      <c r="A42">
        <v>1707</v>
      </c>
      <c r="B42" t="s">
        <v>17</v>
      </c>
      <c r="C42" t="s">
        <v>70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1707</v>
      </c>
      <c r="B43" t="s">
        <v>18</v>
      </c>
      <c r="C43" t="s">
        <v>70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1707</v>
      </c>
      <c r="B44" t="s">
        <v>26</v>
      </c>
      <c r="C44" t="s">
        <v>70</v>
      </c>
      <c r="D44" t="s">
        <v>33</v>
      </c>
      <c r="H44">
        <v>16039</v>
      </c>
      <c r="J44">
        <f t="shared" si="0"/>
        <v>16039</v>
      </c>
      <c r="L44">
        <f t="shared" si="1"/>
        <v>7.1602678571428573</v>
      </c>
    </row>
    <row r="45" spans="1:12" x14ac:dyDescent="0.25">
      <c r="A45">
        <v>1707</v>
      </c>
      <c r="B45" t="s">
        <v>88</v>
      </c>
      <c r="C45" t="s">
        <v>70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1707</v>
      </c>
      <c r="B46" t="s">
        <v>19</v>
      </c>
      <c r="C46" t="s">
        <v>70</v>
      </c>
      <c r="D46" t="s">
        <v>33</v>
      </c>
      <c r="F46">
        <v>11</v>
      </c>
      <c r="J46">
        <f t="shared" si="0"/>
        <v>1232</v>
      </c>
      <c r="L46">
        <f t="shared" si="1"/>
        <v>0.55000000000000004</v>
      </c>
    </row>
    <row r="47" spans="1:12" x14ac:dyDescent="0.25">
      <c r="A47">
        <v>1707</v>
      </c>
      <c r="B47" t="s">
        <v>47</v>
      </c>
      <c r="C47" t="s">
        <v>70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1707</v>
      </c>
      <c r="B48" t="s">
        <v>89</v>
      </c>
      <c r="C48" t="s">
        <v>70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1707</v>
      </c>
      <c r="B49" t="s">
        <v>56</v>
      </c>
      <c r="C49" t="s">
        <v>70</v>
      </c>
      <c r="D49" t="s">
        <v>33</v>
      </c>
      <c r="H49">
        <v>1090</v>
      </c>
      <c r="J49">
        <f t="shared" si="0"/>
        <v>1090</v>
      </c>
      <c r="L49">
        <f t="shared" si="1"/>
        <v>0.48660714285714285</v>
      </c>
    </row>
    <row r="50" spans="1:12" x14ac:dyDescent="0.25">
      <c r="A50">
        <v>1707</v>
      </c>
      <c r="B50" t="s">
        <v>102</v>
      </c>
      <c r="C50" t="s">
        <v>70</v>
      </c>
      <c r="D50" t="s">
        <v>33</v>
      </c>
      <c r="H50">
        <v>363</v>
      </c>
      <c r="J50">
        <f t="shared" si="0"/>
        <v>363</v>
      </c>
      <c r="L50">
        <f t="shared" si="1"/>
        <v>0.16205357142857144</v>
      </c>
    </row>
    <row r="51" spans="1:12" x14ac:dyDescent="0.25">
      <c r="A51">
        <v>1707</v>
      </c>
      <c r="B51" t="s">
        <v>20</v>
      </c>
      <c r="C51" t="s">
        <v>70</v>
      </c>
      <c r="D51" t="s">
        <v>33</v>
      </c>
      <c r="H51">
        <v>7106</v>
      </c>
      <c r="J51">
        <f t="shared" si="0"/>
        <v>7106</v>
      </c>
      <c r="L51">
        <f t="shared" si="1"/>
        <v>3.1723214285714287</v>
      </c>
    </row>
    <row r="52" spans="1:12" x14ac:dyDescent="0.25">
      <c r="A52">
        <v>1707</v>
      </c>
      <c r="B52" t="s">
        <v>21</v>
      </c>
      <c r="C52" t="s">
        <v>70</v>
      </c>
      <c r="D52" t="s">
        <v>33</v>
      </c>
      <c r="H52">
        <v>1812</v>
      </c>
      <c r="J52">
        <f t="shared" si="0"/>
        <v>1812</v>
      </c>
      <c r="L52">
        <f t="shared" si="1"/>
        <v>0.80892857142857144</v>
      </c>
    </row>
    <row r="53" spans="1:12" x14ac:dyDescent="0.25">
      <c r="A53">
        <v>1707</v>
      </c>
      <c r="B53" t="s">
        <v>22</v>
      </c>
      <c r="C53" t="s">
        <v>70</v>
      </c>
      <c r="D53" t="s">
        <v>33</v>
      </c>
      <c r="F53">
        <v>26</v>
      </c>
      <c r="G53">
        <v>3</v>
      </c>
      <c r="H53">
        <v>10</v>
      </c>
      <c r="J53">
        <f t="shared" si="0"/>
        <v>3006</v>
      </c>
      <c r="L53">
        <f t="shared" si="1"/>
        <v>1.3419642857142857</v>
      </c>
    </row>
    <row r="54" spans="1:12" x14ac:dyDescent="0.25">
      <c r="A54">
        <v>1707</v>
      </c>
      <c r="B54" t="s">
        <v>63</v>
      </c>
      <c r="C54" t="s">
        <v>70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1707</v>
      </c>
      <c r="B55" t="s">
        <v>105</v>
      </c>
      <c r="C55" t="s">
        <v>70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1707</v>
      </c>
      <c r="B56" t="s">
        <v>91</v>
      </c>
      <c r="C56" t="s">
        <v>70</v>
      </c>
      <c r="D56" t="s">
        <v>33</v>
      </c>
      <c r="F56">
        <v>25</v>
      </c>
      <c r="J56">
        <f t="shared" si="0"/>
        <v>2800</v>
      </c>
      <c r="L56">
        <f t="shared" si="1"/>
        <v>1.25</v>
      </c>
    </row>
    <row r="57" spans="1:12" x14ac:dyDescent="0.25">
      <c r="A57">
        <v>1707</v>
      </c>
      <c r="B57" t="s">
        <v>64</v>
      </c>
      <c r="C57" t="s">
        <v>70</v>
      </c>
      <c r="D57" t="s">
        <v>33</v>
      </c>
      <c r="E57">
        <v>310</v>
      </c>
      <c r="F57">
        <v>1</v>
      </c>
      <c r="G57">
        <v>3</v>
      </c>
      <c r="H57">
        <v>2</v>
      </c>
      <c r="J57">
        <f t="shared" si="0"/>
        <v>694598</v>
      </c>
      <c r="L57">
        <f t="shared" si="1"/>
        <v>310.08839285714288</v>
      </c>
    </row>
    <row r="58" spans="1:12" x14ac:dyDescent="0.25">
      <c r="A58">
        <v>1707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1707</v>
      </c>
      <c r="B59" t="s">
        <v>65</v>
      </c>
      <c r="C59" t="s">
        <v>70</v>
      </c>
      <c r="D59" t="s">
        <v>33</v>
      </c>
      <c r="E59">
        <v>130</v>
      </c>
      <c r="F59">
        <v>14</v>
      </c>
      <c r="H59">
        <v>10</v>
      </c>
      <c r="J59">
        <f t="shared" si="0"/>
        <v>292778</v>
      </c>
      <c r="L59">
        <f t="shared" si="1"/>
        <v>130.70446428571429</v>
      </c>
    </row>
    <row r="60" spans="1:12" x14ac:dyDescent="0.25">
      <c r="A60">
        <v>1707</v>
      </c>
      <c r="B60" t="s">
        <v>93</v>
      </c>
      <c r="C60" t="s">
        <v>70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1707</v>
      </c>
      <c r="B61" t="s">
        <v>73</v>
      </c>
      <c r="C61" t="s">
        <v>70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1707</v>
      </c>
      <c r="B62" t="s">
        <v>66</v>
      </c>
      <c r="C62" t="s">
        <v>70</v>
      </c>
      <c r="D62" t="s">
        <v>33</v>
      </c>
      <c r="E62">
        <v>2</v>
      </c>
      <c r="J62">
        <f t="shared" si="0"/>
        <v>4480</v>
      </c>
      <c r="L62">
        <f t="shared" si="1"/>
        <v>2</v>
      </c>
    </row>
    <row r="63" spans="1:12" x14ac:dyDescent="0.25">
      <c r="A63">
        <v>1707</v>
      </c>
      <c r="B63" t="s">
        <v>67</v>
      </c>
      <c r="C63" t="s">
        <v>70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1707</v>
      </c>
      <c r="B64" t="s">
        <v>57</v>
      </c>
      <c r="C64" t="s">
        <v>70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1707</v>
      </c>
      <c r="B65" t="s">
        <v>59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1707</v>
      </c>
      <c r="B66" t="s">
        <v>38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1707</v>
      </c>
      <c r="B67" t="s">
        <v>4</v>
      </c>
      <c r="C67" t="s">
        <v>70</v>
      </c>
      <c r="D67" t="s">
        <v>35</v>
      </c>
      <c r="H67">
        <v>10</v>
      </c>
      <c r="J67">
        <f t="shared" ref="J67:J126" si="2">(E67*2240)+(F67*112)+(G67*28)+H67</f>
        <v>10</v>
      </c>
      <c r="L67">
        <f t="shared" ref="L67:L126" si="3">J67/2240</f>
        <v>4.464285714285714E-3</v>
      </c>
    </row>
    <row r="68" spans="1:12" x14ac:dyDescent="0.25">
      <c r="A68">
        <v>1707</v>
      </c>
      <c r="B68" t="s">
        <v>60</v>
      </c>
      <c r="C68" t="s">
        <v>70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1707</v>
      </c>
      <c r="B69" t="s">
        <v>71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1707</v>
      </c>
      <c r="B70" t="s">
        <v>45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1707</v>
      </c>
      <c r="B71" t="s">
        <v>79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1707</v>
      </c>
      <c r="B72" t="s">
        <v>5</v>
      </c>
      <c r="C72" t="s">
        <v>70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1707</v>
      </c>
      <c r="B73" t="s">
        <v>61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1707</v>
      </c>
      <c r="B74" t="s">
        <v>6</v>
      </c>
      <c r="C74" t="s">
        <v>70</v>
      </c>
      <c r="D74" t="s">
        <v>35</v>
      </c>
      <c r="F74">
        <v>15253</v>
      </c>
      <c r="G74">
        <v>3</v>
      </c>
      <c r="H74">
        <v>21</v>
      </c>
      <c r="J74">
        <f t="shared" si="2"/>
        <v>1708441</v>
      </c>
      <c r="L74">
        <f t="shared" si="3"/>
        <v>762.69687499999998</v>
      </c>
    </row>
    <row r="75" spans="1:12" x14ac:dyDescent="0.25">
      <c r="A75">
        <v>1707</v>
      </c>
      <c r="B75" t="s">
        <v>62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1707</v>
      </c>
      <c r="B76" t="s">
        <v>40</v>
      </c>
      <c r="C76" t="s">
        <v>70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1707</v>
      </c>
      <c r="B77" t="s">
        <v>39</v>
      </c>
      <c r="C77" t="s">
        <v>70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1707</v>
      </c>
      <c r="B78" t="s">
        <v>8</v>
      </c>
      <c r="C78" t="s">
        <v>70</v>
      </c>
      <c r="D78" t="s">
        <v>35</v>
      </c>
      <c r="F78">
        <v>16</v>
      </c>
      <c r="G78">
        <v>1</v>
      </c>
      <c r="H78">
        <v>19</v>
      </c>
      <c r="J78">
        <f t="shared" si="2"/>
        <v>1839</v>
      </c>
      <c r="L78">
        <f t="shared" si="3"/>
        <v>0.82098214285714288</v>
      </c>
    </row>
    <row r="79" spans="1:12" x14ac:dyDescent="0.25">
      <c r="A79">
        <v>1707</v>
      </c>
      <c r="B79" t="s">
        <v>42</v>
      </c>
      <c r="C79" t="s">
        <v>70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1707</v>
      </c>
      <c r="B80" t="s">
        <v>80</v>
      </c>
      <c r="C80" t="s">
        <v>70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1707</v>
      </c>
      <c r="B81" t="s">
        <v>81</v>
      </c>
      <c r="C81" t="s">
        <v>70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1707</v>
      </c>
      <c r="B82" t="s">
        <v>48</v>
      </c>
      <c r="C82" t="s">
        <v>70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1707</v>
      </c>
      <c r="B83" t="s">
        <v>9</v>
      </c>
      <c r="C83" t="s">
        <v>70</v>
      </c>
      <c r="D83" t="s">
        <v>35</v>
      </c>
      <c r="H83">
        <v>55505</v>
      </c>
      <c r="J83">
        <f t="shared" si="2"/>
        <v>55505</v>
      </c>
      <c r="L83">
        <f t="shared" si="3"/>
        <v>24.779017857142858</v>
      </c>
    </row>
    <row r="84" spans="1:12" x14ac:dyDescent="0.25">
      <c r="A84">
        <v>1707</v>
      </c>
      <c r="B84" t="s">
        <v>10</v>
      </c>
      <c r="C84" t="s">
        <v>70</v>
      </c>
      <c r="D84" t="s">
        <v>35</v>
      </c>
      <c r="F84">
        <v>909</v>
      </c>
      <c r="G84">
        <v>2</v>
      </c>
      <c r="H84">
        <v>17</v>
      </c>
      <c r="J84">
        <f t="shared" si="2"/>
        <v>101881</v>
      </c>
      <c r="L84">
        <f t="shared" si="3"/>
        <v>45.482589285714283</v>
      </c>
    </row>
    <row r="85" spans="1:12" x14ac:dyDescent="0.25">
      <c r="A85">
        <v>1707</v>
      </c>
      <c r="B85" t="s">
        <v>11</v>
      </c>
      <c r="C85" t="s">
        <v>70</v>
      </c>
      <c r="D85" t="s">
        <v>35</v>
      </c>
      <c r="F85">
        <v>29</v>
      </c>
      <c r="G85">
        <v>3</v>
      </c>
      <c r="H85">
        <v>14</v>
      </c>
      <c r="J85">
        <f t="shared" si="2"/>
        <v>3346</v>
      </c>
      <c r="L85">
        <f t="shared" si="3"/>
        <v>1.4937499999999999</v>
      </c>
    </row>
    <row r="86" spans="1:12" x14ac:dyDescent="0.25">
      <c r="A86">
        <v>1707</v>
      </c>
      <c r="B86" t="s">
        <v>41</v>
      </c>
      <c r="C86" t="s">
        <v>70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1707</v>
      </c>
      <c r="B87" t="s">
        <v>82</v>
      </c>
      <c r="C87" t="s">
        <v>70</v>
      </c>
      <c r="D87" t="s">
        <v>35</v>
      </c>
      <c r="H87">
        <v>1232</v>
      </c>
      <c r="J87">
        <f t="shared" si="2"/>
        <v>1232</v>
      </c>
      <c r="L87">
        <f t="shared" si="3"/>
        <v>0.55000000000000004</v>
      </c>
    </row>
    <row r="88" spans="1:12" x14ac:dyDescent="0.25">
      <c r="A88">
        <v>1707</v>
      </c>
      <c r="B88" t="s">
        <v>83</v>
      </c>
      <c r="C88" t="s">
        <v>70</v>
      </c>
      <c r="D88" t="s">
        <v>35</v>
      </c>
      <c r="H88">
        <v>60</v>
      </c>
      <c r="J88">
        <f t="shared" si="2"/>
        <v>60</v>
      </c>
      <c r="L88">
        <f t="shared" si="3"/>
        <v>2.6785714285714284E-2</v>
      </c>
    </row>
    <row r="89" spans="1:12" x14ac:dyDescent="0.25">
      <c r="A89">
        <v>1707</v>
      </c>
      <c r="B89" t="s">
        <v>46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1707</v>
      </c>
      <c r="B90" t="s">
        <v>104</v>
      </c>
      <c r="C90" t="s">
        <v>70</v>
      </c>
      <c r="D90" t="s">
        <v>35</v>
      </c>
      <c r="H90">
        <v>75</v>
      </c>
      <c r="J90">
        <f t="shared" si="2"/>
        <v>75</v>
      </c>
      <c r="L90">
        <f t="shared" si="3"/>
        <v>3.3482142857142856E-2</v>
      </c>
    </row>
    <row r="91" spans="1:12" x14ac:dyDescent="0.25">
      <c r="A91">
        <v>1707</v>
      </c>
      <c r="B91" t="s">
        <v>12</v>
      </c>
      <c r="C91" t="s">
        <v>70</v>
      </c>
      <c r="D91" t="s">
        <v>35</v>
      </c>
      <c r="H91">
        <v>98118</v>
      </c>
      <c r="J91">
        <f t="shared" si="2"/>
        <v>98118</v>
      </c>
      <c r="L91">
        <f t="shared" si="3"/>
        <v>43.802678571428572</v>
      </c>
    </row>
    <row r="92" spans="1:12" x14ac:dyDescent="0.25">
      <c r="A92">
        <v>1707</v>
      </c>
      <c r="B92" t="s">
        <v>86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1707</v>
      </c>
      <c r="B93" t="s">
        <v>34</v>
      </c>
      <c r="C93" t="s">
        <v>70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1707</v>
      </c>
      <c r="B94" t="s">
        <v>13</v>
      </c>
      <c r="C94" t="s">
        <v>70</v>
      </c>
      <c r="D94" t="s">
        <v>35</v>
      </c>
      <c r="F94">
        <v>29</v>
      </c>
      <c r="G94">
        <v>3</v>
      </c>
      <c r="H94">
        <v>17</v>
      </c>
      <c r="J94">
        <f t="shared" si="2"/>
        <v>3349</v>
      </c>
      <c r="L94">
        <f t="shared" si="3"/>
        <v>1.4950892857142857</v>
      </c>
    </row>
    <row r="95" spans="1:12" x14ac:dyDescent="0.25">
      <c r="A95">
        <v>1707</v>
      </c>
      <c r="B95" t="s">
        <v>14</v>
      </c>
      <c r="C95" t="s">
        <v>70</v>
      </c>
      <c r="D95" t="s">
        <v>35</v>
      </c>
      <c r="H95">
        <v>48832.5</v>
      </c>
      <c r="I95" t="s">
        <v>130</v>
      </c>
      <c r="J95">
        <f t="shared" si="2"/>
        <v>48832.5</v>
      </c>
      <c r="L95">
        <f t="shared" si="3"/>
        <v>21.800223214285715</v>
      </c>
    </row>
    <row r="96" spans="1:12" x14ac:dyDescent="0.25">
      <c r="A96">
        <v>1707</v>
      </c>
      <c r="B96" t="s">
        <v>23</v>
      </c>
      <c r="C96" t="s">
        <v>70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1707</v>
      </c>
      <c r="B97" t="s">
        <v>27</v>
      </c>
      <c r="C97" t="s">
        <v>70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1707</v>
      </c>
      <c r="B98" t="s">
        <v>15</v>
      </c>
      <c r="C98" t="s">
        <v>70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1707</v>
      </c>
      <c r="B99" t="s">
        <v>98</v>
      </c>
      <c r="C99" t="s">
        <v>70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1707</v>
      </c>
      <c r="B100" t="s">
        <v>44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1707</v>
      </c>
      <c r="B101" t="s">
        <v>87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1707</v>
      </c>
      <c r="B102" t="s">
        <v>49</v>
      </c>
      <c r="C102" t="s">
        <v>70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1707</v>
      </c>
      <c r="B103" t="s">
        <v>16</v>
      </c>
      <c r="C103" t="s">
        <v>70</v>
      </c>
      <c r="D103" t="s">
        <v>35</v>
      </c>
      <c r="H103">
        <v>61895</v>
      </c>
      <c r="J103">
        <f t="shared" si="2"/>
        <v>61895</v>
      </c>
      <c r="L103">
        <f t="shared" si="3"/>
        <v>27.631696428571427</v>
      </c>
    </row>
    <row r="104" spans="1:12" x14ac:dyDescent="0.25">
      <c r="A104">
        <v>1707</v>
      </c>
      <c r="B104" t="s">
        <v>17</v>
      </c>
      <c r="C104" t="s">
        <v>70</v>
      </c>
      <c r="D104" t="s">
        <v>35</v>
      </c>
      <c r="F104">
        <v>2</v>
      </c>
      <c r="G104">
        <v>3</v>
      </c>
      <c r="H104">
        <v>5</v>
      </c>
      <c r="J104">
        <f t="shared" si="2"/>
        <v>313</v>
      </c>
      <c r="L104">
        <f t="shared" si="3"/>
        <v>0.13973214285714286</v>
      </c>
    </row>
    <row r="105" spans="1:12" x14ac:dyDescent="0.25">
      <c r="A105">
        <v>1707</v>
      </c>
      <c r="B105" t="s">
        <v>18</v>
      </c>
      <c r="C105" t="s">
        <v>70</v>
      </c>
      <c r="D105" t="s">
        <v>35</v>
      </c>
      <c r="H105">
        <v>1880.5</v>
      </c>
      <c r="I105" t="s">
        <v>131</v>
      </c>
      <c r="J105">
        <f t="shared" si="2"/>
        <v>1880.5</v>
      </c>
      <c r="L105">
        <f t="shared" si="3"/>
        <v>0.83950892857142856</v>
      </c>
    </row>
    <row r="106" spans="1:12" x14ac:dyDescent="0.25">
      <c r="A106">
        <v>1707</v>
      </c>
      <c r="B106" t="s">
        <v>26</v>
      </c>
      <c r="C106" t="s">
        <v>70</v>
      </c>
      <c r="D106" t="s">
        <v>35</v>
      </c>
      <c r="H106">
        <v>818</v>
      </c>
      <c r="J106">
        <f t="shared" si="2"/>
        <v>818</v>
      </c>
      <c r="L106">
        <f t="shared" si="3"/>
        <v>0.36517857142857141</v>
      </c>
    </row>
    <row r="107" spans="1:12" x14ac:dyDescent="0.25">
      <c r="A107">
        <v>1707</v>
      </c>
      <c r="B107" t="s">
        <v>88</v>
      </c>
      <c r="C107" t="s">
        <v>70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1707</v>
      </c>
      <c r="B108" t="s">
        <v>19</v>
      </c>
      <c r="C108" t="s">
        <v>70</v>
      </c>
      <c r="D108" t="s">
        <v>35</v>
      </c>
      <c r="F108">
        <v>8</v>
      </c>
      <c r="H108">
        <v>14</v>
      </c>
      <c r="J108">
        <f t="shared" si="2"/>
        <v>910</v>
      </c>
      <c r="L108">
        <f t="shared" si="3"/>
        <v>0.40625</v>
      </c>
    </row>
    <row r="109" spans="1:12" x14ac:dyDescent="0.25">
      <c r="A109">
        <v>1707</v>
      </c>
      <c r="B109" t="s">
        <v>47</v>
      </c>
      <c r="C109" t="s">
        <v>70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1707</v>
      </c>
      <c r="B110" t="s">
        <v>89</v>
      </c>
      <c r="C110" t="s">
        <v>70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1707</v>
      </c>
      <c r="B111" t="s">
        <v>56</v>
      </c>
      <c r="C111" t="s">
        <v>70</v>
      </c>
      <c r="D111" t="s">
        <v>35</v>
      </c>
      <c r="H111">
        <v>274</v>
      </c>
      <c r="J111">
        <f t="shared" si="2"/>
        <v>274</v>
      </c>
      <c r="L111">
        <f t="shared" si="3"/>
        <v>0.12232142857142857</v>
      </c>
    </row>
    <row r="112" spans="1:12" x14ac:dyDescent="0.25">
      <c r="A112">
        <v>1707</v>
      </c>
      <c r="B112" t="s">
        <v>102</v>
      </c>
      <c r="C112" t="s">
        <v>70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1707</v>
      </c>
      <c r="B113" t="s">
        <v>20</v>
      </c>
      <c r="C113" t="s">
        <v>70</v>
      </c>
      <c r="D113" t="s">
        <v>35</v>
      </c>
      <c r="H113">
        <v>4347</v>
      </c>
      <c r="J113">
        <f t="shared" si="2"/>
        <v>4347</v>
      </c>
      <c r="L113">
        <f t="shared" si="3"/>
        <v>1.940625</v>
      </c>
    </row>
    <row r="114" spans="1:12" x14ac:dyDescent="0.25">
      <c r="A114">
        <v>1707</v>
      </c>
      <c r="B114" t="s">
        <v>21</v>
      </c>
      <c r="C114" t="s">
        <v>70</v>
      </c>
      <c r="D114" t="s">
        <v>35</v>
      </c>
      <c r="H114">
        <v>1144</v>
      </c>
      <c r="J114">
        <f t="shared" si="2"/>
        <v>1144</v>
      </c>
      <c r="L114">
        <f t="shared" si="3"/>
        <v>0.51071428571428568</v>
      </c>
    </row>
    <row r="115" spans="1:12" x14ac:dyDescent="0.25">
      <c r="A115">
        <v>1707</v>
      </c>
      <c r="B115" t="s">
        <v>22</v>
      </c>
      <c r="C115" t="s">
        <v>70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1707</v>
      </c>
      <c r="B116" t="s">
        <v>63</v>
      </c>
      <c r="C116" t="s">
        <v>70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1707</v>
      </c>
      <c r="B117" t="s">
        <v>96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1707</v>
      </c>
      <c r="B118" t="s">
        <v>105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1707</v>
      </c>
      <c r="B119" t="s">
        <v>91</v>
      </c>
      <c r="C119" t="s">
        <v>70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1707</v>
      </c>
      <c r="B120" t="s">
        <v>64</v>
      </c>
      <c r="C120" t="s">
        <v>70</v>
      </c>
      <c r="D120" t="s">
        <v>35</v>
      </c>
      <c r="E120">
        <v>392</v>
      </c>
      <c r="F120">
        <v>17</v>
      </c>
      <c r="G120">
        <v>3</v>
      </c>
      <c r="H120">
        <v>15</v>
      </c>
      <c r="J120">
        <f t="shared" si="2"/>
        <v>880083</v>
      </c>
      <c r="L120">
        <f t="shared" si="3"/>
        <v>392.89419642857143</v>
      </c>
    </row>
    <row r="121" spans="1:12" x14ac:dyDescent="0.25">
      <c r="A121">
        <v>1707</v>
      </c>
      <c r="B121" t="s">
        <v>92</v>
      </c>
      <c r="C121" t="s">
        <v>70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1707</v>
      </c>
      <c r="B122" t="s">
        <v>65</v>
      </c>
      <c r="C122" t="s">
        <v>70</v>
      </c>
      <c r="D122" t="s">
        <v>35</v>
      </c>
      <c r="E122">
        <v>52</v>
      </c>
      <c r="F122">
        <v>8</v>
      </c>
      <c r="G122">
        <v>1</v>
      </c>
      <c r="H122">
        <v>13</v>
      </c>
      <c r="J122">
        <f t="shared" si="2"/>
        <v>117417</v>
      </c>
      <c r="L122">
        <f t="shared" si="3"/>
        <v>52.418303571428574</v>
      </c>
    </row>
    <row r="123" spans="1:12" x14ac:dyDescent="0.25">
      <c r="A123">
        <v>1707</v>
      </c>
      <c r="B123" t="s">
        <v>93</v>
      </c>
      <c r="C123" t="s">
        <v>70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1707</v>
      </c>
      <c r="B124" t="s">
        <v>73</v>
      </c>
      <c r="C124" t="s">
        <v>70</v>
      </c>
      <c r="D124" t="s">
        <v>35</v>
      </c>
      <c r="E124">
        <v>2</v>
      </c>
      <c r="F124">
        <v>18</v>
      </c>
      <c r="J124">
        <f t="shared" si="2"/>
        <v>6496</v>
      </c>
      <c r="L124">
        <f t="shared" si="3"/>
        <v>2.9</v>
      </c>
    </row>
    <row r="125" spans="1:12" x14ac:dyDescent="0.25">
      <c r="A125">
        <v>1707</v>
      </c>
      <c r="B125" t="s">
        <v>66</v>
      </c>
      <c r="C125" t="s">
        <v>70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1707</v>
      </c>
      <c r="B126" t="s">
        <v>67</v>
      </c>
      <c r="C126" t="s">
        <v>70</v>
      </c>
      <c r="D126" t="s">
        <v>35</v>
      </c>
      <c r="J126">
        <f t="shared" si="2"/>
        <v>0</v>
      </c>
      <c r="L126">
        <f t="shared" si="3"/>
        <v>0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workbookViewId="0">
      <selection activeCell="H60" sqref="H6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1707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1707</v>
      </c>
      <c r="B3" t="s">
        <v>59</v>
      </c>
      <c r="C3" t="s">
        <v>75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1707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1707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1707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1707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1707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1707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1707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1707</v>
      </c>
      <c r="B11" t="s">
        <v>6</v>
      </c>
      <c r="C11" t="s">
        <v>75</v>
      </c>
      <c r="D11" t="s">
        <v>33</v>
      </c>
      <c r="F11">
        <v>8523</v>
      </c>
      <c r="G11">
        <v>1</v>
      </c>
      <c r="H11">
        <v>9</v>
      </c>
      <c r="J11">
        <f t="shared" si="0"/>
        <v>954613</v>
      </c>
      <c r="L11">
        <f t="shared" si="1"/>
        <v>426.16651785714288</v>
      </c>
    </row>
    <row r="12" spans="1:12" x14ac:dyDescent="0.25">
      <c r="A12">
        <v>1707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1707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1707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1707</v>
      </c>
      <c r="B15" t="s">
        <v>8</v>
      </c>
      <c r="C15" t="s">
        <v>75</v>
      </c>
      <c r="D15" t="s">
        <v>33</v>
      </c>
      <c r="G15">
        <v>1</v>
      </c>
      <c r="H15">
        <v>14</v>
      </c>
      <c r="J15">
        <f t="shared" si="0"/>
        <v>42</v>
      </c>
      <c r="L15">
        <f t="shared" si="1"/>
        <v>1.8749999999999999E-2</v>
      </c>
    </row>
    <row r="16" spans="1:12" x14ac:dyDescent="0.25">
      <c r="A16">
        <v>1707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1707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1707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1707</v>
      </c>
      <c r="B19" t="s">
        <v>9</v>
      </c>
      <c r="C19" t="s">
        <v>75</v>
      </c>
      <c r="D19" t="s">
        <v>33</v>
      </c>
      <c r="H19">
        <v>465</v>
      </c>
      <c r="J19">
        <f t="shared" si="0"/>
        <v>465</v>
      </c>
      <c r="L19">
        <f t="shared" si="1"/>
        <v>0.20758928571428573</v>
      </c>
    </row>
    <row r="20" spans="1:12" x14ac:dyDescent="0.25">
      <c r="A20">
        <v>1707</v>
      </c>
      <c r="B20" t="s">
        <v>10</v>
      </c>
      <c r="C20" t="s">
        <v>75</v>
      </c>
      <c r="D20" t="s">
        <v>33</v>
      </c>
      <c r="F20">
        <v>161</v>
      </c>
      <c r="G20">
        <v>1</v>
      </c>
      <c r="J20">
        <f t="shared" si="0"/>
        <v>18060</v>
      </c>
      <c r="L20">
        <f t="shared" si="1"/>
        <v>8.0625</v>
      </c>
    </row>
    <row r="21" spans="1:12" x14ac:dyDescent="0.25">
      <c r="A21">
        <v>1707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1707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1707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1707</v>
      </c>
      <c r="B24" t="s">
        <v>12</v>
      </c>
      <c r="C24" t="s">
        <v>75</v>
      </c>
      <c r="D24" t="s">
        <v>33</v>
      </c>
      <c r="H24">
        <v>10622</v>
      </c>
      <c r="J24">
        <f t="shared" si="0"/>
        <v>10622</v>
      </c>
      <c r="L24">
        <f t="shared" si="1"/>
        <v>4.7419642857142854</v>
      </c>
    </row>
    <row r="25" spans="1:12" x14ac:dyDescent="0.25">
      <c r="A25">
        <v>1707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1707</v>
      </c>
      <c r="B26" t="s">
        <v>13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1707</v>
      </c>
      <c r="B27" t="s">
        <v>14</v>
      </c>
      <c r="C27" t="s">
        <v>75</v>
      </c>
      <c r="D27" t="s">
        <v>33</v>
      </c>
      <c r="H27">
        <v>2290.5</v>
      </c>
      <c r="I27" t="s">
        <v>119</v>
      </c>
      <c r="J27">
        <f t="shared" si="0"/>
        <v>2290.5</v>
      </c>
      <c r="L27">
        <f t="shared" si="1"/>
        <v>1.0225446428571427</v>
      </c>
    </row>
    <row r="28" spans="1:12" x14ac:dyDescent="0.25">
      <c r="A28">
        <v>1707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1707</v>
      </c>
      <c r="B29" t="s">
        <v>27</v>
      </c>
      <c r="C29" t="s">
        <v>75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1707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1707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1707</v>
      </c>
      <c r="B32" t="s">
        <v>49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1707</v>
      </c>
      <c r="B33" t="s">
        <v>16</v>
      </c>
      <c r="C33" t="s">
        <v>75</v>
      </c>
      <c r="D33" t="s">
        <v>33</v>
      </c>
      <c r="H33">
        <v>1119</v>
      </c>
      <c r="J33">
        <f t="shared" si="0"/>
        <v>1119</v>
      </c>
      <c r="L33">
        <f t="shared" si="1"/>
        <v>0.49955357142857143</v>
      </c>
    </row>
    <row r="34" spans="1:12" x14ac:dyDescent="0.25">
      <c r="A34">
        <v>1707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1707</v>
      </c>
      <c r="B35" t="s">
        <v>18</v>
      </c>
      <c r="C35" t="s">
        <v>75</v>
      </c>
      <c r="D35" t="s">
        <v>33</v>
      </c>
      <c r="H35">
        <v>3010.5</v>
      </c>
      <c r="I35" t="s">
        <v>120</v>
      </c>
      <c r="J35">
        <f t="shared" si="0"/>
        <v>3010.5</v>
      </c>
      <c r="L35">
        <f t="shared" si="1"/>
        <v>1.3439732142857144</v>
      </c>
    </row>
    <row r="36" spans="1:12" x14ac:dyDescent="0.25">
      <c r="A36">
        <v>1707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1707</v>
      </c>
      <c r="B37" t="s">
        <v>19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1707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1707</v>
      </c>
      <c r="B39" t="s">
        <v>56</v>
      </c>
      <c r="C39" t="s">
        <v>75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1707</v>
      </c>
      <c r="B40" t="s">
        <v>102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1707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1707</v>
      </c>
      <c r="B42" t="s">
        <v>21</v>
      </c>
      <c r="C42" t="s">
        <v>75</v>
      </c>
      <c r="D42" t="s">
        <v>33</v>
      </c>
      <c r="H42">
        <v>14</v>
      </c>
      <c r="J42">
        <f t="shared" si="0"/>
        <v>14</v>
      </c>
      <c r="L42">
        <f t="shared" si="1"/>
        <v>6.2500000000000003E-3</v>
      </c>
    </row>
    <row r="43" spans="1:12" x14ac:dyDescent="0.25">
      <c r="A43">
        <v>1707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1707</v>
      </c>
      <c r="B44" t="s">
        <v>63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1707</v>
      </c>
      <c r="B45" t="s">
        <v>64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1707</v>
      </c>
      <c r="B46" t="s">
        <v>65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1707</v>
      </c>
      <c r="B47" t="s">
        <v>73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1707</v>
      </c>
      <c r="B48" t="s">
        <v>66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1707</v>
      </c>
      <c r="B49" t="s">
        <v>67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1707</v>
      </c>
      <c r="B50" t="s">
        <v>6</v>
      </c>
      <c r="C50" t="s">
        <v>75</v>
      </c>
      <c r="D50" t="s">
        <v>35</v>
      </c>
      <c r="F50">
        <v>4189</v>
      </c>
      <c r="G50">
        <v>1</v>
      </c>
      <c r="H50">
        <v>11</v>
      </c>
      <c r="J50">
        <f t="shared" si="0"/>
        <v>469207</v>
      </c>
      <c r="L50">
        <f t="shared" si="1"/>
        <v>209.46741071428571</v>
      </c>
    </row>
    <row r="51" spans="1:12" x14ac:dyDescent="0.25">
      <c r="A51">
        <v>1707</v>
      </c>
      <c r="B51" t="s">
        <v>7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1707</v>
      </c>
      <c r="B52" t="s">
        <v>8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1707</v>
      </c>
      <c r="B53" t="s">
        <v>9</v>
      </c>
      <c r="C53" t="s">
        <v>75</v>
      </c>
      <c r="D53" t="s">
        <v>35</v>
      </c>
      <c r="F53">
        <v>12</v>
      </c>
      <c r="J53">
        <f t="shared" si="0"/>
        <v>1344</v>
      </c>
      <c r="L53">
        <f t="shared" si="1"/>
        <v>0.6</v>
      </c>
    </row>
    <row r="54" spans="1:12" x14ac:dyDescent="0.25">
      <c r="A54">
        <v>1707</v>
      </c>
      <c r="B54" t="s">
        <v>10</v>
      </c>
      <c r="C54" t="s">
        <v>75</v>
      </c>
      <c r="D54" t="s">
        <v>35</v>
      </c>
      <c r="F54">
        <v>55</v>
      </c>
      <c r="J54">
        <f t="shared" si="0"/>
        <v>6160</v>
      </c>
      <c r="L54">
        <f t="shared" si="1"/>
        <v>2.75</v>
      </c>
    </row>
    <row r="55" spans="1:12" x14ac:dyDescent="0.25">
      <c r="A55">
        <v>1707</v>
      </c>
      <c r="B55" t="s">
        <v>11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1707</v>
      </c>
      <c r="B56" t="s">
        <v>12</v>
      </c>
      <c r="C56" t="s">
        <v>75</v>
      </c>
      <c r="D56" t="s">
        <v>35</v>
      </c>
      <c r="H56">
        <v>18926</v>
      </c>
      <c r="J56">
        <f t="shared" si="0"/>
        <v>18926</v>
      </c>
      <c r="L56">
        <f t="shared" si="1"/>
        <v>8.4491071428571427</v>
      </c>
    </row>
    <row r="57" spans="1:12" x14ac:dyDescent="0.25">
      <c r="A57">
        <v>1707</v>
      </c>
      <c r="B57" t="s">
        <v>13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1707</v>
      </c>
      <c r="B58" t="s">
        <v>14</v>
      </c>
      <c r="C58" t="s">
        <v>75</v>
      </c>
      <c r="D58" t="s">
        <v>35</v>
      </c>
      <c r="H58">
        <v>1000</v>
      </c>
      <c r="I58" t="s">
        <v>132</v>
      </c>
      <c r="J58">
        <f t="shared" si="0"/>
        <v>1000</v>
      </c>
      <c r="L58">
        <f t="shared" si="1"/>
        <v>0.44642857142857145</v>
      </c>
    </row>
    <row r="59" spans="1:12" x14ac:dyDescent="0.25">
      <c r="A59">
        <v>1707</v>
      </c>
      <c r="B59" t="s">
        <v>27</v>
      </c>
      <c r="C59" t="s">
        <v>75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1707</v>
      </c>
      <c r="B60" t="s">
        <v>15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1707</v>
      </c>
      <c r="B61" t="s">
        <v>16</v>
      </c>
      <c r="C61" t="s">
        <v>75</v>
      </c>
      <c r="D61" t="s">
        <v>35</v>
      </c>
      <c r="H61">
        <v>80</v>
      </c>
      <c r="J61">
        <f t="shared" si="0"/>
        <v>80</v>
      </c>
      <c r="L61">
        <f t="shared" si="1"/>
        <v>3.5714285714285712E-2</v>
      </c>
    </row>
    <row r="62" spans="1:12" x14ac:dyDescent="0.25">
      <c r="A62">
        <v>1707</v>
      </c>
      <c r="B62" t="s">
        <v>17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1707</v>
      </c>
      <c r="B63" t="s">
        <v>18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1707</v>
      </c>
      <c r="B64" t="s">
        <v>19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1707</v>
      </c>
      <c r="B65" t="s">
        <v>56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1707</v>
      </c>
      <c r="B66" t="s">
        <v>21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1707</v>
      </c>
      <c r="B67" t="s">
        <v>22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1707</v>
      </c>
      <c r="B68" t="s">
        <v>64</v>
      </c>
      <c r="C68" t="s">
        <v>75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1707</v>
      </c>
      <c r="B69" t="s">
        <v>66</v>
      </c>
      <c r="C69" t="s">
        <v>75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8"/>
  <sheetViews>
    <sheetView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1707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1707</v>
      </c>
      <c r="B3" t="s">
        <v>59</v>
      </c>
      <c r="C3" t="s">
        <v>76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1707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1707</v>
      </c>
      <c r="B5" t="s">
        <v>4</v>
      </c>
      <c r="C5" t="s">
        <v>76</v>
      </c>
      <c r="D5" t="s">
        <v>33</v>
      </c>
      <c r="H5">
        <v>601</v>
      </c>
      <c r="J5">
        <f t="shared" si="0"/>
        <v>601</v>
      </c>
      <c r="L5">
        <f t="shared" si="1"/>
        <v>0.26830357142857142</v>
      </c>
    </row>
    <row r="6" spans="1:12" x14ac:dyDescent="0.25">
      <c r="A6">
        <v>1707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1707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1707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1707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1707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1707</v>
      </c>
      <c r="B11" t="s">
        <v>6</v>
      </c>
      <c r="C11" t="s">
        <v>76</v>
      </c>
      <c r="D11" t="s">
        <v>33</v>
      </c>
      <c r="F11">
        <v>7540</v>
      </c>
      <c r="H11">
        <v>15</v>
      </c>
      <c r="J11">
        <f t="shared" si="0"/>
        <v>844495</v>
      </c>
      <c r="L11">
        <f t="shared" si="1"/>
        <v>377.00669642857144</v>
      </c>
    </row>
    <row r="12" spans="1:12" x14ac:dyDescent="0.25">
      <c r="A12">
        <v>1707</v>
      </c>
      <c r="B12" t="s">
        <v>62</v>
      </c>
      <c r="C12" t="s">
        <v>76</v>
      </c>
      <c r="D12" t="s">
        <v>33</v>
      </c>
      <c r="H12">
        <v>1617</v>
      </c>
      <c r="J12">
        <f t="shared" si="0"/>
        <v>1617</v>
      </c>
      <c r="L12">
        <f t="shared" si="1"/>
        <v>0.72187500000000004</v>
      </c>
    </row>
    <row r="13" spans="1:12" x14ac:dyDescent="0.25">
      <c r="A13">
        <v>1707</v>
      </c>
      <c r="B13" t="s">
        <v>7</v>
      </c>
      <c r="C13" t="s">
        <v>76</v>
      </c>
      <c r="D13" t="s">
        <v>33</v>
      </c>
      <c r="H13">
        <v>6</v>
      </c>
      <c r="J13">
        <f t="shared" si="0"/>
        <v>6</v>
      </c>
      <c r="L13">
        <f t="shared" si="1"/>
        <v>2.6785714285714286E-3</v>
      </c>
    </row>
    <row r="14" spans="1:12" x14ac:dyDescent="0.25">
      <c r="A14">
        <v>1707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1707</v>
      </c>
      <c r="B15" t="s">
        <v>8</v>
      </c>
      <c r="C15" t="s">
        <v>76</v>
      </c>
      <c r="D15" t="s">
        <v>33</v>
      </c>
      <c r="F15">
        <v>1</v>
      </c>
      <c r="G15">
        <v>3</v>
      </c>
      <c r="H15">
        <v>21</v>
      </c>
      <c r="J15">
        <f t="shared" si="0"/>
        <v>217</v>
      </c>
      <c r="L15">
        <f t="shared" si="1"/>
        <v>9.6875000000000003E-2</v>
      </c>
    </row>
    <row r="16" spans="1:12" x14ac:dyDescent="0.25">
      <c r="A16">
        <v>1707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1707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1707</v>
      </c>
      <c r="B18" t="s">
        <v>9</v>
      </c>
      <c r="C18" t="s">
        <v>76</v>
      </c>
      <c r="D18" t="s">
        <v>33</v>
      </c>
      <c r="H18">
        <f>6*200</f>
        <v>1200</v>
      </c>
      <c r="I18" t="s">
        <v>121</v>
      </c>
      <c r="J18">
        <f t="shared" si="0"/>
        <v>1200</v>
      </c>
      <c r="L18">
        <f t="shared" si="1"/>
        <v>0.5357142857142857</v>
      </c>
    </row>
    <row r="19" spans="1:12" x14ac:dyDescent="0.25">
      <c r="A19">
        <v>1707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1707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1707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1707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1707</v>
      </c>
      <c r="B23" t="s">
        <v>12</v>
      </c>
      <c r="C23" t="s">
        <v>76</v>
      </c>
      <c r="D23" t="s">
        <v>33</v>
      </c>
      <c r="H23">
        <v>215</v>
      </c>
      <c r="J23">
        <f t="shared" si="0"/>
        <v>215</v>
      </c>
      <c r="L23">
        <f t="shared" si="1"/>
        <v>9.5982142857142863E-2</v>
      </c>
    </row>
    <row r="24" spans="1:12" x14ac:dyDescent="0.25">
      <c r="A24">
        <v>1707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1707</v>
      </c>
      <c r="B25" t="s">
        <v>13</v>
      </c>
      <c r="C25" t="s">
        <v>76</v>
      </c>
      <c r="D25" t="s">
        <v>33</v>
      </c>
      <c r="F25">
        <v>122</v>
      </c>
      <c r="G25">
        <v>2</v>
      </c>
      <c r="J25">
        <f t="shared" si="0"/>
        <v>13720</v>
      </c>
      <c r="L25">
        <f t="shared" si="1"/>
        <v>6.125</v>
      </c>
    </row>
    <row r="26" spans="1:12" x14ac:dyDescent="0.25">
      <c r="A26">
        <v>1707</v>
      </c>
      <c r="B26" t="s">
        <v>14</v>
      </c>
      <c r="C26" t="s">
        <v>76</v>
      </c>
      <c r="D26" t="s">
        <v>33</v>
      </c>
      <c r="H26">
        <v>60</v>
      </c>
      <c r="I26" t="s">
        <v>122</v>
      </c>
      <c r="J26">
        <f t="shared" si="0"/>
        <v>60</v>
      </c>
      <c r="L26">
        <f t="shared" si="1"/>
        <v>2.6785714285714284E-2</v>
      </c>
    </row>
    <row r="27" spans="1:12" x14ac:dyDescent="0.25">
      <c r="A27">
        <v>1707</v>
      </c>
      <c r="B27" t="s">
        <v>23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1707</v>
      </c>
      <c r="B28" t="s">
        <v>27</v>
      </c>
      <c r="C28" t="s">
        <v>76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1707</v>
      </c>
      <c r="B29" t="s">
        <v>15</v>
      </c>
      <c r="C29" t="s">
        <v>76</v>
      </c>
      <c r="D29" t="s">
        <v>33</v>
      </c>
      <c r="F29">
        <v>21</v>
      </c>
      <c r="G29">
        <v>1</v>
      </c>
      <c r="J29">
        <f t="shared" si="0"/>
        <v>2380</v>
      </c>
      <c r="L29">
        <f t="shared" si="1"/>
        <v>1.0625</v>
      </c>
    </row>
    <row r="30" spans="1:12" x14ac:dyDescent="0.25">
      <c r="A30">
        <v>1707</v>
      </c>
      <c r="B30" t="s">
        <v>44</v>
      </c>
      <c r="C30" t="s">
        <v>76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1707</v>
      </c>
      <c r="B31" t="s">
        <v>49</v>
      </c>
      <c r="C31" t="s">
        <v>76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1707</v>
      </c>
      <c r="B32" t="s">
        <v>16</v>
      </c>
      <c r="C32" t="s">
        <v>76</v>
      </c>
      <c r="D32" t="s">
        <v>33</v>
      </c>
      <c r="H32">
        <v>50</v>
      </c>
      <c r="J32">
        <f t="shared" si="0"/>
        <v>50</v>
      </c>
      <c r="L32">
        <f t="shared" si="1"/>
        <v>2.2321428571428572E-2</v>
      </c>
    </row>
    <row r="33" spans="1:12" x14ac:dyDescent="0.25">
      <c r="A33">
        <v>1707</v>
      </c>
      <c r="B33" t="s">
        <v>17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1707</v>
      </c>
      <c r="B34" t="s">
        <v>18</v>
      </c>
      <c r="C34" t="s">
        <v>76</v>
      </c>
      <c r="D34" t="s">
        <v>33</v>
      </c>
      <c r="H34">
        <v>170</v>
      </c>
      <c r="I34" t="s">
        <v>123</v>
      </c>
      <c r="J34">
        <f t="shared" si="0"/>
        <v>170</v>
      </c>
      <c r="L34">
        <f t="shared" si="1"/>
        <v>7.5892857142857137E-2</v>
      </c>
    </row>
    <row r="35" spans="1:12" x14ac:dyDescent="0.25">
      <c r="A35">
        <v>1707</v>
      </c>
      <c r="B35" t="s">
        <v>72</v>
      </c>
      <c r="C35" t="s">
        <v>76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1707</v>
      </c>
      <c r="B36" t="s">
        <v>19</v>
      </c>
      <c r="C36" t="s">
        <v>76</v>
      </c>
      <c r="D36" t="s">
        <v>33</v>
      </c>
      <c r="F36">
        <v>21</v>
      </c>
      <c r="H36">
        <v>14</v>
      </c>
      <c r="J36">
        <f t="shared" si="0"/>
        <v>2366</v>
      </c>
      <c r="L36">
        <f t="shared" si="1"/>
        <v>1.0562499999999999</v>
      </c>
    </row>
    <row r="37" spans="1:12" x14ac:dyDescent="0.25">
      <c r="A37">
        <v>1707</v>
      </c>
      <c r="B37" t="s">
        <v>47</v>
      </c>
      <c r="C37" t="s">
        <v>76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1707</v>
      </c>
      <c r="B38" t="s">
        <v>56</v>
      </c>
      <c r="C38" t="s">
        <v>76</v>
      </c>
      <c r="D38" t="s">
        <v>33</v>
      </c>
      <c r="H38">
        <v>190</v>
      </c>
      <c r="J38">
        <f t="shared" si="0"/>
        <v>190</v>
      </c>
      <c r="L38">
        <f t="shared" si="1"/>
        <v>8.4821428571428575E-2</v>
      </c>
    </row>
    <row r="39" spans="1:12" x14ac:dyDescent="0.25">
      <c r="A39">
        <v>1707</v>
      </c>
      <c r="B39" t="s">
        <v>102</v>
      </c>
      <c r="C39" t="s">
        <v>76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1707</v>
      </c>
      <c r="B40" t="s">
        <v>20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1707</v>
      </c>
      <c r="B41" t="s">
        <v>21</v>
      </c>
      <c r="C41" t="s">
        <v>76</v>
      </c>
      <c r="D41" t="s">
        <v>33</v>
      </c>
      <c r="H41">
        <v>12</v>
      </c>
      <c r="J41">
        <f t="shared" si="0"/>
        <v>12</v>
      </c>
      <c r="L41">
        <f t="shared" si="1"/>
        <v>5.3571428571428572E-3</v>
      </c>
    </row>
    <row r="42" spans="1:12" x14ac:dyDescent="0.25">
      <c r="A42">
        <v>1707</v>
      </c>
      <c r="B42" t="s">
        <v>22</v>
      </c>
      <c r="C42" t="s">
        <v>76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1707</v>
      </c>
      <c r="B43" t="s">
        <v>63</v>
      </c>
      <c r="C43" t="s">
        <v>76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1707</v>
      </c>
      <c r="B44" t="s">
        <v>64</v>
      </c>
      <c r="C44" t="s">
        <v>76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1707</v>
      </c>
      <c r="B45" t="s">
        <v>65</v>
      </c>
      <c r="C45" t="s">
        <v>76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1707</v>
      </c>
      <c r="B46" t="s">
        <v>73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1707</v>
      </c>
      <c r="B47" t="s">
        <v>66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1707</v>
      </c>
      <c r="B48" t="s">
        <v>67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1707</v>
      </c>
      <c r="B49" t="s">
        <v>5</v>
      </c>
      <c r="C49" t="s">
        <v>76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1707</v>
      </c>
      <c r="B50" t="s">
        <v>6</v>
      </c>
      <c r="C50" t="s">
        <v>76</v>
      </c>
      <c r="D50" t="s">
        <v>35</v>
      </c>
      <c r="F50">
        <v>5829</v>
      </c>
      <c r="G50">
        <v>2</v>
      </c>
      <c r="H50">
        <v>7</v>
      </c>
      <c r="J50">
        <f t="shared" si="0"/>
        <v>652911</v>
      </c>
      <c r="L50">
        <f t="shared" si="1"/>
        <v>291.47812499999998</v>
      </c>
    </row>
    <row r="51" spans="1:12" x14ac:dyDescent="0.25">
      <c r="A51">
        <v>1707</v>
      </c>
      <c r="B51" t="s">
        <v>7</v>
      </c>
      <c r="C51" t="s">
        <v>76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1707</v>
      </c>
      <c r="B52" t="s">
        <v>8</v>
      </c>
      <c r="C52" t="s">
        <v>76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1707</v>
      </c>
      <c r="B53" t="s">
        <v>9</v>
      </c>
      <c r="C53" t="s">
        <v>76</v>
      </c>
      <c r="D53" t="s">
        <v>35</v>
      </c>
      <c r="H53">
        <v>10657</v>
      </c>
      <c r="J53">
        <f t="shared" si="0"/>
        <v>10657</v>
      </c>
      <c r="L53">
        <f t="shared" si="1"/>
        <v>4.7575892857142854</v>
      </c>
    </row>
    <row r="54" spans="1:12" x14ac:dyDescent="0.25">
      <c r="A54">
        <v>1707</v>
      </c>
      <c r="B54" t="s">
        <v>10</v>
      </c>
      <c r="C54" t="s">
        <v>76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1707</v>
      </c>
      <c r="B55" t="s">
        <v>11</v>
      </c>
      <c r="C55" t="s">
        <v>76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1707</v>
      </c>
      <c r="B56" t="s">
        <v>12</v>
      </c>
      <c r="C56" t="s">
        <v>76</v>
      </c>
      <c r="D56" t="s">
        <v>35</v>
      </c>
      <c r="H56">
        <v>343</v>
      </c>
      <c r="J56">
        <f t="shared" si="0"/>
        <v>343</v>
      </c>
      <c r="L56">
        <f t="shared" si="1"/>
        <v>0.15312500000000001</v>
      </c>
    </row>
    <row r="57" spans="1:12" x14ac:dyDescent="0.25">
      <c r="A57">
        <v>1707</v>
      </c>
      <c r="B57" t="s">
        <v>13</v>
      </c>
      <c r="C57" t="s">
        <v>76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1707</v>
      </c>
      <c r="B58" t="s">
        <v>14</v>
      </c>
      <c r="C58" t="s">
        <v>76</v>
      </c>
      <c r="D58" t="s">
        <v>35</v>
      </c>
      <c r="H58">
        <v>150</v>
      </c>
      <c r="I58" t="s">
        <v>133</v>
      </c>
      <c r="J58">
        <f t="shared" si="0"/>
        <v>150</v>
      </c>
      <c r="L58">
        <f t="shared" si="1"/>
        <v>6.6964285714285712E-2</v>
      </c>
    </row>
    <row r="59" spans="1:12" x14ac:dyDescent="0.25">
      <c r="A59">
        <v>1707</v>
      </c>
      <c r="B59" t="s">
        <v>27</v>
      </c>
      <c r="C59" t="s">
        <v>76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1707</v>
      </c>
      <c r="B60" t="s">
        <v>15</v>
      </c>
      <c r="C60" t="s">
        <v>76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1707</v>
      </c>
      <c r="B61" t="s">
        <v>17</v>
      </c>
      <c r="C61" t="s">
        <v>76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1707</v>
      </c>
      <c r="B62" t="s">
        <v>18</v>
      </c>
      <c r="C62" t="s">
        <v>76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1707</v>
      </c>
      <c r="B63" t="s">
        <v>19</v>
      </c>
      <c r="C63" t="s">
        <v>76</v>
      </c>
      <c r="D63" t="s">
        <v>35</v>
      </c>
      <c r="F63">
        <v>6</v>
      </c>
      <c r="G63">
        <v>3</v>
      </c>
      <c r="H63">
        <v>7</v>
      </c>
      <c r="J63">
        <f t="shared" si="0"/>
        <v>763</v>
      </c>
      <c r="L63">
        <f t="shared" si="1"/>
        <v>0.34062500000000001</v>
      </c>
    </row>
    <row r="64" spans="1:12" x14ac:dyDescent="0.25">
      <c r="A64">
        <v>1707</v>
      </c>
      <c r="B64" t="s">
        <v>56</v>
      </c>
      <c r="C64" t="s">
        <v>76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1707</v>
      </c>
      <c r="B65" t="s">
        <v>102</v>
      </c>
      <c r="C65" t="s">
        <v>76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1707</v>
      </c>
      <c r="B66" t="s">
        <v>21</v>
      </c>
      <c r="C66" t="s">
        <v>76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1707</v>
      </c>
      <c r="B67" t="s">
        <v>22</v>
      </c>
      <c r="C67" t="s">
        <v>76</v>
      </c>
      <c r="D67" t="s">
        <v>35</v>
      </c>
      <c r="J67">
        <f t="shared" ref="J67:J68" si="2">(E67*2240)+(F67*112)+(G67*28)+H67</f>
        <v>0</v>
      </c>
      <c r="L67">
        <f t="shared" ref="L67:L68" si="3">J67/2240</f>
        <v>0</v>
      </c>
    </row>
    <row r="68" spans="1:12" x14ac:dyDescent="0.25">
      <c r="A68">
        <v>1707</v>
      </c>
      <c r="B68" t="s">
        <v>64</v>
      </c>
      <c r="C68" t="s">
        <v>76</v>
      </c>
      <c r="D68" t="s">
        <v>35</v>
      </c>
      <c r="J68">
        <f t="shared" si="2"/>
        <v>0</v>
      </c>
      <c r="L68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0"/>
  <sheetViews>
    <sheetView topLeftCell="A40" workbookViewId="0">
      <selection activeCell="H64" sqref="H6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1707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1707</v>
      </c>
      <c r="B3" t="s">
        <v>59</v>
      </c>
      <c r="C3" t="s">
        <v>77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1707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1707</v>
      </c>
      <c r="B5" t="s">
        <v>4</v>
      </c>
      <c r="C5" t="s">
        <v>77</v>
      </c>
      <c r="D5" t="s">
        <v>33</v>
      </c>
      <c r="H5">
        <v>100</v>
      </c>
      <c r="J5">
        <f t="shared" si="0"/>
        <v>100</v>
      </c>
      <c r="L5">
        <f t="shared" si="1"/>
        <v>4.4642857142857144E-2</v>
      </c>
    </row>
    <row r="6" spans="1:12" x14ac:dyDescent="0.25">
      <c r="A6">
        <v>1707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1707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1707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1707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1707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1707</v>
      </c>
      <c r="B11" t="s">
        <v>6</v>
      </c>
      <c r="C11" t="s">
        <v>77</v>
      </c>
      <c r="D11" t="s">
        <v>33</v>
      </c>
      <c r="F11">
        <v>11024</v>
      </c>
      <c r="G11">
        <v>2</v>
      </c>
      <c r="H11">
        <v>6</v>
      </c>
      <c r="J11">
        <f t="shared" si="0"/>
        <v>1234750</v>
      </c>
      <c r="L11">
        <f t="shared" si="1"/>
        <v>551.22767857142856</v>
      </c>
    </row>
    <row r="12" spans="1:12" x14ac:dyDescent="0.25">
      <c r="A12">
        <v>1707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1707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1707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1707</v>
      </c>
      <c r="B15" t="s">
        <v>8</v>
      </c>
      <c r="C15" t="s">
        <v>77</v>
      </c>
      <c r="D15" t="s">
        <v>33</v>
      </c>
      <c r="F15">
        <v>4</v>
      </c>
      <c r="G15">
        <v>2</v>
      </c>
      <c r="H15">
        <v>2</v>
      </c>
      <c r="J15">
        <f t="shared" si="0"/>
        <v>506</v>
      </c>
      <c r="L15">
        <f t="shared" si="1"/>
        <v>0.22589285714285715</v>
      </c>
    </row>
    <row r="16" spans="1:12" x14ac:dyDescent="0.25">
      <c r="A16">
        <v>1707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1707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1707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1707</v>
      </c>
      <c r="B19" t="s">
        <v>9</v>
      </c>
      <c r="C19" t="s">
        <v>77</v>
      </c>
      <c r="D19" t="s">
        <v>33</v>
      </c>
      <c r="H19">
        <v>300</v>
      </c>
      <c r="I19" t="s">
        <v>125</v>
      </c>
      <c r="J19">
        <f t="shared" si="0"/>
        <v>300</v>
      </c>
      <c r="L19">
        <f t="shared" si="1"/>
        <v>0.13392857142857142</v>
      </c>
    </row>
    <row r="20" spans="1:12" x14ac:dyDescent="0.25">
      <c r="A20">
        <v>1707</v>
      </c>
      <c r="B20" t="s">
        <v>10</v>
      </c>
      <c r="C20" t="s">
        <v>77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1707</v>
      </c>
      <c r="B21" t="s">
        <v>11</v>
      </c>
      <c r="C21" t="s">
        <v>77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1707</v>
      </c>
      <c r="B22" t="s">
        <v>41</v>
      </c>
      <c r="C22" t="s">
        <v>77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1707</v>
      </c>
      <c r="B23" t="s">
        <v>46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1707</v>
      </c>
      <c r="B24" t="s">
        <v>12</v>
      </c>
      <c r="C24" t="s">
        <v>77</v>
      </c>
      <c r="D24" t="s">
        <v>33</v>
      </c>
      <c r="H24">
        <v>1424</v>
      </c>
      <c r="J24">
        <f t="shared" si="0"/>
        <v>1424</v>
      </c>
      <c r="L24">
        <f t="shared" si="1"/>
        <v>0.63571428571428568</v>
      </c>
    </row>
    <row r="25" spans="1:12" x14ac:dyDescent="0.25">
      <c r="A25">
        <v>1707</v>
      </c>
      <c r="B25" t="s">
        <v>34</v>
      </c>
      <c r="C25" t="s">
        <v>77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1707</v>
      </c>
      <c r="B26" t="s">
        <v>13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1707</v>
      </c>
      <c r="B27" t="s">
        <v>14</v>
      </c>
      <c r="C27" t="s">
        <v>77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1707</v>
      </c>
      <c r="B28" t="s">
        <v>23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1707</v>
      </c>
      <c r="B29" t="s">
        <v>27</v>
      </c>
      <c r="C29" t="s">
        <v>77</v>
      </c>
      <c r="D29" t="s">
        <v>33</v>
      </c>
      <c r="H29">
        <v>260</v>
      </c>
      <c r="I29" t="s">
        <v>124</v>
      </c>
      <c r="J29">
        <f t="shared" si="0"/>
        <v>260</v>
      </c>
      <c r="L29">
        <f t="shared" si="1"/>
        <v>0.11607142857142858</v>
      </c>
    </row>
    <row r="30" spans="1:12" x14ac:dyDescent="0.25">
      <c r="A30">
        <v>1707</v>
      </c>
      <c r="B30" t="s">
        <v>15</v>
      </c>
      <c r="C30" t="s">
        <v>77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1707</v>
      </c>
      <c r="B31" t="s">
        <v>44</v>
      </c>
      <c r="C31" t="s">
        <v>77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1707</v>
      </c>
      <c r="B32" t="s">
        <v>49</v>
      </c>
      <c r="C32" t="s">
        <v>77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1707</v>
      </c>
      <c r="B33" t="s">
        <v>16</v>
      </c>
      <c r="C33" t="s">
        <v>77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1707</v>
      </c>
      <c r="B34" t="s">
        <v>100</v>
      </c>
      <c r="C34" t="s">
        <v>77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1707</v>
      </c>
      <c r="B35" t="s">
        <v>17</v>
      </c>
      <c r="C35" t="s">
        <v>77</v>
      </c>
      <c r="D35" t="s">
        <v>33</v>
      </c>
      <c r="G35">
        <v>3</v>
      </c>
      <c r="H35">
        <v>14</v>
      </c>
      <c r="J35">
        <f t="shared" si="0"/>
        <v>98</v>
      </c>
      <c r="L35">
        <f t="shared" si="1"/>
        <v>4.3749999999999997E-2</v>
      </c>
    </row>
    <row r="36" spans="1:12" x14ac:dyDescent="0.25">
      <c r="A36">
        <v>1707</v>
      </c>
      <c r="B36" t="s">
        <v>18</v>
      </c>
      <c r="C36" t="s">
        <v>77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1707</v>
      </c>
      <c r="B37" t="s">
        <v>72</v>
      </c>
      <c r="C37" t="s">
        <v>77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1707</v>
      </c>
      <c r="B38" t="s">
        <v>19</v>
      </c>
      <c r="C38" t="s">
        <v>77</v>
      </c>
      <c r="D38" t="s">
        <v>33</v>
      </c>
      <c r="F38">
        <v>8</v>
      </c>
      <c r="J38">
        <f t="shared" si="0"/>
        <v>896</v>
      </c>
      <c r="L38">
        <f t="shared" si="1"/>
        <v>0.4</v>
      </c>
    </row>
    <row r="39" spans="1:12" x14ac:dyDescent="0.25">
      <c r="A39">
        <v>1707</v>
      </c>
      <c r="B39" t="s">
        <v>47</v>
      </c>
      <c r="C39" t="s">
        <v>77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1707</v>
      </c>
      <c r="B40" t="s">
        <v>56</v>
      </c>
      <c r="C40" t="s">
        <v>77</v>
      </c>
      <c r="D40" t="s">
        <v>33</v>
      </c>
      <c r="H40">
        <v>150</v>
      </c>
      <c r="J40">
        <f t="shared" si="0"/>
        <v>150</v>
      </c>
      <c r="L40">
        <f t="shared" si="1"/>
        <v>6.6964285714285712E-2</v>
      </c>
    </row>
    <row r="41" spans="1:12" x14ac:dyDescent="0.25">
      <c r="A41">
        <v>1707</v>
      </c>
      <c r="B41" t="s">
        <v>102</v>
      </c>
      <c r="C41" t="s">
        <v>77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1707</v>
      </c>
      <c r="B42" t="s">
        <v>20</v>
      </c>
      <c r="C42" t="s">
        <v>77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1707</v>
      </c>
      <c r="B43" t="s">
        <v>21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1707</v>
      </c>
      <c r="B44" t="s">
        <v>22</v>
      </c>
      <c r="C44" t="s">
        <v>77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1707</v>
      </c>
      <c r="B45" t="s">
        <v>63</v>
      </c>
      <c r="C45" t="s">
        <v>77</v>
      </c>
      <c r="D45" t="s">
        <v>33</v>
      </c>
      <c r="E45">
        <v>15</v>
      </c>
      <c r="F45">
        <v>17</v>
      </c>
      <c r="G45">
        <v>1</v>
      </c>
      <c r="H45">
        <v>17</v>
      </c>
      <c r="J45">
        <f t="shared" si="0"/>
        <v>35549</v>
      </c>
      <c r="L45">
        <f t="shared" si="1"/>
        <v>15.870089285714286</v>
      </c>
    </row>
    <row r="46" spans="1:12" x14ac:dyDescent="0.25">
      <c r="A46">
        <v>1707</v>
      </c>
      <c r="B46" t="s">
        <v>64</v>
      </c>
      <c r="C46" t="s">
        <v>77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1707</v>
      </c>
      <c r="B47" t="s">
        <v>65</v>
      </c>
      <c r="C47" t="s">
        <v>77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1707</v>
      </c>
      <c r="B48" t="s">
        <v>73</v>
      </c>
      <c r="C48" t="s">
        <v>77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1707</v>
      </c>
      <c r="B49" t="s">
        <v>66</v>
      </c>
      <c r="C49" t="s">
        <v>77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1707</v>
      </c>
      <c r="B50" t="s">
        <v>67</v>
      </c>
      <c r="C50" t="s">
        <v>77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1707</v>
      </c>
      <c r="B51" t="s">
        <v>6</v>
      </c>
      <c r="C51" t="s">
        <v>77</v>
      </c>
      <c r="D51" t="s">
        <v>35</v>
      </c>
      <c r="F51">
        <v>1933</v>
      </c>
      <c r="G51">
        <v>2</v>
      </c>
      <c r="H51">
        <v>9</v>
      </c>
      <c r="J51">
        <f t="shared" si="0"/>
        <v>216561</v>
      </c>
      <c r="L51">
        <f t="shared" si="1"/>
        <v>96.679017857142853</v>
      </c>
    </row>
    <row r="52" spans="1:12" x14ac:dyDescent="0.25">
      <c r="A52">
        <v>1707</v>
      </c>
      <c r="B52" t="s">
        <v>7</v>
      </c>
      <c r="C52" t="s">
        <v>77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1707</v>
      </c>
      <c r="B53" t="s">
        <v>8</v>
      </c>
      <c r="C53" t="s">
        <v>77</v>
      </c>
      <c r="D53" t="s">
        <v>35</v>
      </c>
      <c r="F53">
        <v>3</v>
      </c>
      <c r="J53">
        <f t="shared" si="0"/>
        <v>336</v>
      </c>
      <c r="L53">
        <f t="shared" si="1"/>
        <v>0.15</v>
      </c>
    </row>
    <row r="54" spans="1:12" x14ac:dyDescent="0.25">
      <c r="A54">
        <v>1707</v>
      </c>
      <c r="B54" t="s">
        <v>9</v>
      </c>
      <c r="C54" t="s">
        <v>77</v>
      </c>
      <c r="D54" t="s">
        <v>35</v>
      </c>
      <c r="F54">
        <v>90</v>
      </c>
      <c r="G54">
        <v>1</v>
      </c>
      <c r="J54">
        <f t="shared" si="0"/>
        <v>10108</v>
      </c>
      <c r="L54">
        <f t="shared" si="1"/>
        <v>4.5125000000000002</v>
      </c>
    </row>
    <row r="55" spans="1:12" x14ac:dyDescent="0.25">
      <c r="A55">
        <v>1707</v>
      </c>
      <c r="B55" t="s">
        <v>10</v>
      </c>
      <c r="C55" t="s">
        <v>77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1707</v>
      </c>
      <c r="B56" t="s">
        <v>11</v>
      </c>
      <c r="C56" t="s">
        <v>77</v>
      </c>
      <c r="D56" t="s">
        <v>35</v>
      </c>
      <c r="F56">
        <v>2</v>
      </c>
      <c r="J56">
        <f t="shared" si="0"/>
        <v>224</v>
      </c>
      <c r="L56">
        <f t="shared" si="1"/>
        <v>0.1</v>
      </c>
    </row>
    <row r="57" spans="1:12" x14ac:dyDescent="0.25">
      <c r="A57">
        <v>1707</v>
      </c>
      <c r="B57" t="s">
        <v>12</v>
      </c>
      <c r="C57" t="s">
        <v>77</v>
      </c>
      <c r="D57" t="s">
        <v>35</v>
      </c>
      <c r="H57">
        <v>1515</v>
      </c>
      <c r="J57">
        <f t="shared" si="0"/>
        <v>1515</v>
      </c>
      <c r="L57">
        <f t="shared" si="1"/>
        <v>0.6763392857142857</v>
      </c>
    </row>
    <row r="58" spans="1:12" x14ac:dyDescent="0.25">
      <c r="A58">
        <v>1707</v>
      </c>
      <c r="B58" t="s">
        <v>13</v>
      </c>
      <c r="C58" t="s">
        <v>77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1707</v>
      </c>
      <c r="B59" t="s">
        <v>14</v>
      </c>
      <c r="C59" t="s">
        <v>77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1707</v>
      </c>
      <c r="B60" t="s">
        <v>27</v>
      </c>
      <c r="C60" t="s">
        <v>77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1707</v>
      </c>
      <c r="B61" t="s">
        <v>15</v>
      </c>
      <c r="C61" t="s">
        <v>77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1707</v>
      </c>
      <c r="B62" t="s">
        <v>17</v>
      </c>
      <c r="C62" t="s">
        <v>77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1707</v>
      </c>
      <c r="B63" t="s">
        <v>18</v>
      </c>
      <c r="C63" t="s">
        <v>77</v>
      </c>
      <c r="D63" t="s">
        <v>35</v>
      </c>
      <c r="H63">
        <v>2240.5</v>
      </c>
      <c r="I63" t="s">
        <v>134</v>
      </c>
      <c r="J63">
        <f t="shared" si="0"/>
        <v>2240.5</v>
      </c>
      <c r="L63">
        <f t="shared" si="1"/>
        <v>1.0002232142857144</v>
      </c>
    </row>
    <row r="64" spans="1:12" x14ac:dyDescent="0.25">
      <c r="A64">
        <v>1707</v>
      </c>
      <c r="B64" t="s">
        <v>19</v>
      </c>
      <c r="C64" t="s">
        <v>77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1707</v>
      </c>
      <c r="B65" t="s">
        <v>56</v>
      </c>
      <c r="C65" t="s">
        <v>77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1707</v>
      </c>
      <c r="B66" t="s">
        <v>20</v>
      </c>
      <c r="C66" t="s">
        <v>77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1707</v>
      </c>
      <c r="B67" t="s">
        <v>21</v>
      </c>
      <c r="C67" t="s">
        <v>77</v>
      </c>
      <c r="D67" t="s">
        <v>35</v>
      </c>
      <c r="J67">
        <f t="shared" ref="J67:J70" si="2">(E67*2240)+(F67*112)+(G67*28)+H67</f>
        <v>0</v>
      </c>
      <c r="L67">
        <f t="shared" ref="L67:L70" si="3">J67/2240</f>
        <v>0</v>
      </c>
    </row>
    <row r="68" spans="1:12" x14ac:dyDescent="0.25">
      <c r="A68">
        <v>1707</v>
      </c>
      <c r="B68" t="s">
        <v>22</v>
      </c>
      <c r="C68" t="s">
        <v>77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1707</v>
      </c>
      <c r="B69" t="s">
        <v>64</v>
      </c>
      <c r="C69" t="s">
        <v>77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1707</v>
      </c>
      <c r="B70" t="s">
        <v>66</v>
      </c>
      <c r="C70" t="s">
        <v>77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DA4C3-ECE9-4770-8038-1305D62973C7}">
  <ds:schemaRefs>
    <ds:schemaRef ds:uri="http://www.w3.org/XML/1998/namespace"/>
    <ds:schemaRef ds:uri="cefc4363-6422-4cdd-96f6-49f865293ff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DD7780-5AA5-440A-9E0D-1277B214FC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A341DC-F525-487F-ACCF-4C3DB629F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2025-04-29T18:38:06Z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