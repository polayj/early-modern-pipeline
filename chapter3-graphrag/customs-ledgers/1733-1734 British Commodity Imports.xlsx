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610" documentId="8_{3538F4E6-47E1-44E8-9962-B5BD6E8250DE}" xr6:coauthVersionLast="47" xr6:coauthVersionMax="47" xr10:uidLastSave="{2262B8B1-0B28-4448-8804-33C6DD8E0087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Barbados!$A$1:$N$58</definedName>
    <definedName name="_xlnm._FilterDatabase" localSheetId="5" hidden="1">Jamaica!$A$1:$O$68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8" l="1"/>
  <c r="H85" i="7"/>
  <c r="H83" i="6"/>
  <c r="H93" i="5"/>
  <c r="H102" i="5"/>
  <c r="L98" i="5"/>
  <c r="J98" i="5"/>
  <c r="H71" i="3"/>
  <c r="L95" i="3"/>
  <c r="J95" i="3"/>
  <c r="J70" i="3"/>
  <c r="L70" i="3" s="1"/>
  <c r="H87" i="2"/>
  <c r="H25" i="11"/>
  <c r="L30" i="11"/>
  <c r="J30" i="11"/>
  <c r="J22" i="11"/>
  <c r="L22" i="11" s="1"/>
  <c r="J8" i="11"/>
  <c r="L8" i="11" s="1"/>
  <c r="H22" i="8"/>
  <c r="J42" i="8"/>
  <c r="L42" i="8" s="1"/>
  <c r="H22" i="7"/>
  <c r="L43" i="7"/>
  <c r="J43" i="7"/>
  <c r="J32" i="7"/>
  <c r="L32" i="7" s="1"/>
  <c r="H22" i="6"/>
  <c r="H27" i="5"/>
  <c r="J61" i="5"/>
  <c r="L61" i="5" s="1"/>
  <c r="H36" i="5"/>
  <c r="J32" i="5"/>
  <c r="L32" i="5" s="1"/>
  <c r="J24" i="5"/>
  <c r="L24" i="5" s="1"/>
  <c r="J11" i="5"/>
  <c r="L11" i="5" s="1"/>
  <c r="J9" i="5"/>
  <c r="L9" i="5" s="1"/>
  <c r="J8" i="5"/>
  <c r="L8" i="5" s="1"/>
  <c r="L5" i="4"/>
  <c r="J5" i="4"/>
  <c r="H20" i="3"/>
  <c r="J51" i="3"/>
  <c r="L51" i="3" s="1"/>
  <c r="J35" i="3"/>
  <c r="L35" i="3" s="1"/>
  <c r="J24" i="3"/>
  <c r="L24" i="3" s="1"/>
  <c r="J7" i="3"/>
  <c r="L7" i="3" s="1"/>
  <c r="J18" i="3"/>
  <c r="L18" i="3" s="1"/>
  <c r="H24" i="2"/>
  <c r="L56" i="2"/>
  <c r="J56" i="2"/>
  <c r="J9" i="2"/>
  <c r="L9" i="2" s="1"/>
  <c r="J126" i="5"/>
  <c r="L126" i="5" s="1"/>
  <c r="J79" i="5"/>
  <c r="L79" i="5" s="1"/>
  <c r="J88" i="3"/>
  <c r="L88" i="3" s="1"/>
  <c r="J119" i="2"/>
  <c r="L119" i="2" s="1"/>
  <c r="J57" i="11"/>
  <c r="L57" i="11" s="1"/>
  <c r="J11" i="11"/>
  <c r="L11" i="11" s="1"/>
  <c r="J60" i="5"/>
  <c r="L60" i="5" s="1"/>
  <c r="J10" i="5"/>
  <c r="L10" i="5" s="1"/>
  <c r="J15" i="4"/>
  <c r="L15" i="4" s="1"/>
  <c r="J17" i="4"/>
  <c r="L17" i="4" s="1"/>
  <c r="J13" i="4"/>
  <c r="L13" i="4" s="1"/>
  <c r="J10" i="4"/>
  <c r="L10" i="4" s="1"/>
  <c r="J7" i="4"/>
  <c r="L7" i="4" s="1"/>
  <c r="J25" i="3"/>
  <c r="L25" i="3" s="1"/>
  <c r="J30" i="2"/>
  <c r="L30" i="2" s="1"/>
  <c r="J8" i="2"/>
  <c r="L8" i="2" s="1"/>
  <c r="C23" i="1"/>
  <c r="C24" i="1"/>
  <c r="B23" i="1"/>
  <c r="B24" i="1"/>
  <c r="J131" i="11"/>
  <c r="L131" i="11" s="1"/>
  <c r="J130" i="11"/>
  <c r="L130" i="11" s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6" i="11"/>
  <c r="L56" i="11" s="1"/>
  <c r="J55" i="11"/>
  <c r="L55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8" i="7"/>
  <c r="L128" i="7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L36" i="6"/>
  <c r="J36" i="6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2" i="3"/>
  <c r="L22" i="3" s="1"/>
  <c r="J23" i="3"/>
  <c r="L23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105" i="3"/>
  <c r="L105" i="3" s="1"/>
  <c r="J106" i="3"/>
  <c r="L106" i="3" s="1"/>
  <c r="J3" i="4"/>
  <c r="L3" i="4" s="1"/>
  <c r="J4" i="4"/>
  <c r="L4" i="4" s="1"/>
  <c r="J6" i="4"/>
  <c r="L6" i="4" s="1"/>
  <c r="J8" i="4"/>
  <c r="L8" i="4" s="1"/>
  <c r="J9" i="4"/>
  <c r="L9" i="4" s="1"/>
  <c r="J11" i="4"/>
  <c r="L11" i="4" s="1"/>
  <c r="J12" i="4"/>
  <c r="L12" i="4" s="1"/>
  <c r="J14" i="4"/>
  <c r="L14" i="4" s="1"/>
  <c r="J16" i="4"/>
  <c r="L16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59" i="5"/>
  <c r="L59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J135" i="5"/>
  <c r="L135" i="5" s="1"/>
  <c r="J136" i="5"/>
  <c r="L136" i="5" s="1"/>
  <c r="J137" i="5"/>
  <c r="L137" i="5" s="1"/>
  <c r="J138" i="5"/>
  <c r="L138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<sst xmlns="http://schemas.openxmlformats.org/spreadsheetml/2006/main" count="3546" uniqueCount="166">
  <si>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</si>
  <si>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</si>
  <si>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</si>
  <si>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</si>
  <si>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</si>
  <si>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</si>
  <si>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</si>
  <si>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</si>
  <si>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</si>
  <si>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</si>
  <si>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</si>
  <si>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</si>
  <si>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</si>
  <si>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</si>
  <si>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</si>
  <si>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</si>
  <si>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</si>
  <si>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</si>
  <si>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</si>
  <si>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</si>
  <si>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</si>
  <si>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</si>
  <si>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</si>
  <si>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</si>
  <si>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</si>
  <si>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</si>
  <si>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</si>
  <si>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</si>
  <si>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</si>
  <si>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</si>
  <si>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</si>
  <si>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</si>
  <si>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</si>
  <si>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</si>
  <si>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</si>
  <si>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</si>
  <si>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</si>
  <si>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</si>
  <si>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</si>
  <si>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</si>
  <si>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</si>
  <si>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</si>
  <si>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</si>
  <si>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</si>
  <si>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</si>
  <si>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</si>
  <si>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</si>
  <si>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</si>
  <si>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</si>
  <si>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</si>
  <si>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</si>
  <si>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</si>
  <si>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</si>
  <si>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</si>
  <si>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</si>
  <si>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</si>
  <si>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</si>
  <si>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</si>
  <si>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</si>
  <si>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</si>
  <si>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</si>
  <si>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</si>
  <si>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</si>
  <si>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</si>
  <si>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</si>
  <si>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</si>
  <si>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</si>
  <si>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</si>
  <si>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</si>
  <si>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</si>
  <si>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</si>
  <si>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</si>
  <si>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</si>
  <si>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</si>
  <si>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</si>
  <si>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</si>
  <si>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</si>
  <si>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</si>
  <si>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</si>
  <si>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</si>
  <si>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</si>
  <si>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</si>
  <si>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</si>
  <si>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</si>
  <si>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</si>
  <si>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</si>
  <si>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</si>
  <si>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</si>
  <si>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</si>
  <si>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</si>
  <si>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</si>
  <si>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</si>
  <si>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</si>
  <si>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</si>
  <si>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</si>
  <si>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</si>
  <si>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</si>
  <si>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</si>
  <si>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</si>
  <si>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</si>
  <si>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</si>
  <si>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</si>
  <si>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</si>
  <si>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</si>
  <si>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</si>
  <si>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</si>
  <si>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</si>
  <si>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Barbados Tarr</t>
  </si>
  <si>
    <t>13.5g</t>
  </si>
  <si>
    <t>17316g</t>
  </si>
  <si>
    <t>112t 1h 9g</t>
  </si>
  <si>
    <t>460bags+164lb</t>
  </si>
  <si>
    <t>Balsam Capavia</t>
  </si>
  <si>
    <t>74g</t>
  </si>
  <si>
    <t>4290g</t>
  </si>
  <si>
    <t>97t 3h 36g</t>
  </si>
  <si>
    <t>400bags+45lb</t>
  </si>
  <si>
    <t>Cortex Eletheria</t>
  </si>
  <si>
    <t>40g</t>
  </si>
  <si>
    <t>3t 2h 44g</t>
  </si>
  <si>
    <t>Balsam Artificial</t>
  </si>
  <si>
    <t>Cortex Guiaci</t>
  </si>
  <si>
    <t>Gum Elemni</t>
  </si>
  <si>
    <t>42t 3h 38g</t>
  </si>
  <si>
    <t>16.5g</t>
  </si>
  <si>
    <t>170151.5g</t>
  </si>
  <si>
    <t>94t 3h 57g</t>
  </si>
  <si>
    <t>Port</t>
  </si>
  <si>
    <t>8t 2h 29g</t>
  </si>
  <si>
    <t>482bags+166lb</t>
  </si>
  <si>
    <t>708g</t>
  </si>
  <si>
    <t>17g</t>
  </si>
  <si>
    <t>374g</t>
  </si>
  <si>
    <t>117bags+60lb</t>
  </si>
  <si>
    <t>Juniper Berries</t>
  </si>
  <si>
    <t>9g</t>
  </si>
  <si>
    <t>335.5g</t>
  </si>
  <si>
    <t>2t 2h 36g</t>
  </si>
  <si>
    <t>130bags+180lb</t>
  </si>
  <si>
    <t>5g</t>
  </si>
  <si>
    <t>5957g</t>
  </si>
  <si>
    <t>30t 3h 1g</t>
  </si>
  <si>
    <t>1t 23g</t>
  </si>
  <si>
    <t>1123bags+172lb</t>
  </si>
  <si>
    <t>20g</t>
  </si>
  <si>
    <t>1h 23g</t>
  </si>
  <si>
    <t>3bags</t>
  </si>
  <si>
    <t>2361g</t>
  </si>
  <si>
    <t>4t 1g</t>
  </si>
  <si>
    <t>1199bags+91lb</t>
  </si>
  <si>
    <t>140g</t>
  </si>
  <si>
    <t>1.75g</t>
  </si>
  <si>
    <t>4424g</t>
  </si>
  <si>
    <t>1t 2h 7g</t>
  </si>
  <si>
    <t>294bags+139lb</t>
  </si>
  <si>
    <t>541g</t>
  </si>
  <si>
    <t>2g</t>
  </si>
  <si>
    <t>45761g</t>
  </si>
  <si>
    <t>6t 2h 41g</t>
  </si>
  <si>
    <t>898bags+95lb</t>
  </si>
  <si>
    <t>1034g</t>
  </si>
  <si>
    <t>187bags</t>
  </si>
  <si>
    <t>21g</t>
  </si>
  <si>
    <t>141bags+40lb</t>
  </si>
  <si>
    <t>8253g</t>
  </si>
  <si>
    <t>233bags+198lb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</si>
</sst>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J5" sqref="J5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7.857142857142857E-2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7.857142857142857E-2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0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25010.260714285716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9322.1370535714286</v>
      </c>
      <c r="D4">
        <f t="shared" si="0"/>
        <v>34332.397767857146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70.204017857142858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7.9910714285714279E-2</v>
      </c>
      <c r="D6">
        <f t="shared" si="0"/>
        <v>70.283928571428575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242.76205357142854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264.09062500000005</v>
      </c>
      <c r="D7">
        <f t="shared" si="0"/>
        <v>506.85267857142856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959.32857142857131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395.59375</v>
      </c>
      <c r="D8">
        <f t="shared" si="0"/>
        <v>1354.9223214285712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15.68125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29.134821428571428</v>
      </c>
      <c r="D9">
        <f t="shared" si="0"/>
        <v>44.816071428571426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38.826785714285712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19.266964285714288</v>
      </c>
      <c r="D10">
        <f t="shared" si="0"/>
        <v>58.09375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48.1875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51.534374999999997</v>
      </c>
      <c r="D11">
        <f t="shared" si="0"/>
        <v>99.721874999999997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51.4375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3.0410714285714286</v>
      </c>
      <c r="D12">
        <f t="shared" si="0"/>
        <v>54.478571428571428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0.58392857142857146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0.58392857142857146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63.437946428571429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78.709375000000009</v>
      </c>
      <c r="D14">
        <f t="shared" si="0"/>
        <v>142.14732142857144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0.19062500000000002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0.19062500000000002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886.31696428571422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276.2939732142857</v>
      </c>
      <c r="D16">
        <f t="shared" si="0"/>
        <v>1162.6109374999999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42.1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1.6870535714285717</v>
      </c>
      <c r="D17">
        <f t="shared" si="0"/>
        <v>43.787053571428572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1.3785714285714288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0.11607142857142858</v>
      </c>
      <c r="D18">
        <f t="shared" si="0"/>
        <v>1.4946428571428574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1.2205357142857143</v>
      </c>
      <c r="D19">
        <f t="shared" si="0"/>
        <v>1.2205357142857143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2.0765625000000001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0.45357142857142863</v>
      </c>
      <c r="D20">
        <f t="shared" si="0"/>
        <v>2.5301339285714288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16.705357142857142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1.905357142857143</v>
      </c>
      <c r="D25">
        <f t="shared" si="0"/>
        <v>18.610714285714284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385.48727678571424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14.106249999999999</v>
      </c>
      <c r="D26">
        <f t="shared" si="0"/>
        <v>399.59352678571423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18.426785714285714</v>
      </c>
      <c r="D27">
        <f t="shared" si="0"/>
        <v>19.426785714285714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1164.6656250000001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444.09062499999999</v>
      </c>
      <c r="D28">
        <f t="shared" si="0"/>
        <v>1608.7562500000001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566.6915178571428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609.66651785714294</v>
      </c>
      <c r="D29">
        <f t="shared" si="0"/>
        <v>1176.3580357142857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20.25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28.492857142857144</v>
      </c>
      <c r="D30">
        <f t="shared" si="0"/>
        <v>48.742857142857147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1"/>
  <sheetViews>
    <sheetView topLeftCell="A115" workbookViewId="0">
      <selection activeCell="H110" sqref="H110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1734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1734</v>
      </c>
      <c r="B3" t="s">
        <v>57</v>
      </c>
      <c r="C3" t="s">
        <v>53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1734</v>
      </c>
      <c r="B4" t="s">
        <v>36</v>
      </c>
      <c r="C4" t="s">
        <v>53</v>
      </c>
      <c r="D4" t="s">
        <v>33</v>
      </c>
      <c r="H4">
        <v>12</v>
      </c>
      <c r="J4">
        <f t="shared" si="0"/>
        <v>12</v>
      </c>
      <c r="L4">
        <f t="shared" si="1"/>
        <v>5.3571428571428572E-3</v>
      </c>
    </row>
    <row r="5" spans="1:15" x14ac:dyDescent="0.25">
      <c r="A5">
        <v>1734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1734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1734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1734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1734</v>
      </c>
      <c r="B9" t="s">
        <v>107</v>
      </c>
      <c r="C9" t="s">
        <v>53</v>
      </c>
      <c r="D9" t="s">
        <v>33</v>
      </c>
      <c r="H9">
        <v>51</v>
      </c>
      <c r="J9">
        <f t="shared" si="0"/>
        <v>51</v>
      </c>
      <c r="L9">
        <f t="shared" si="1"/>
        <v>2.2767857142857142E-2</v>
      </c>
    </row>
    <row r="10" spans="1:15" x14ac:dyDescent="0.25">
      <c r="A10">
        <v>1734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1734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1734</v>
      </c>
      <c r="B12" t="s">
        <v>5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1734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1734</v>
      </c>
      <c r="B14" t="s">
        <v>6</v>
      </c>
      <c r="C14" t="s">
        <v>53</v>
      </c>
      <c r="D14" t="s">
        <v>33</v>
      </c>
      <c r="F14">
        <v>63642</v>
      </c>
      <c r="G14">
        <v>3</v>
      </c>
      <c r="H14">
        <v>10</v>
      </c>
      <c r="J14">
        <f t="shared" si="0"/>
        <v>7127998</v>
      </c>
      <c r="L14">
        <f t="shared" si="1"/>
        <v>3182.1419642857145</v>
      </c>
    </row>
    <row r="15" spans="1:15" x14ac:dyDescent="0.25">
      <c r="A15">
        <v>1734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1734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1734</v>
      </c>
      <c r="B19" t="s">
        <v>8</v>
      </c>
      <c r="C19" t="s">
        <v>53</v>
      </c>
      <c r="D19" t="s">
        <v>33</v>
      </c>
      <c r="F19">
        <v>25</v>
      </c>
      <c r="G19">
        <v>2</v>
      </c>
      <c r="H19">
        <v>2</v>
      </c>
      <c r="J19">
        <f t="shared" si="0"/>
        <v>2858</v>
      </c>
      <c r="L19">
        <f t="shared" si="1"/>
        <v>1.2758928571428572</v>
      </c>
    </row>
    <row r="20" spans="1:12" x14ac:dyDescent="0.25">
      <c r="A20">
        <v>1734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1734</v>
      </c>
      <c r="B21" t="s">
        <v>77</v>
      </c>
      <c r="C21" t="s">
        <v>53</v>
      </c>
      <c r="D21" t="s">
        <v>33</v>
      </c>
      <c r="F21">
        <v>8</v>
      </c>
      <c r="G21">
        <v>2</v>
      </c>
      <c r="H21">
        <v>13</v>
      </c>
      <c r="J21">
        <f t="shared" si="0"/>
        <v>965</v>
      </c>
      <c r="L21">
        <f t="shared" si="1"/>
        <v>0.43080357142857145</v>
      </c>
    </row>
    <row r="22" spans="1:12" x14ac:dyDescent="0.25">
      <c r="A22">
        <v>1734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1734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1734</v>
      </c>
      <c r="B24" t="s">
        <v>9</v>
      </c>
      <c r="C24" t="s">
        <v>53</v>
      </c>
      <c r="D24" t="s">
        <v>33</v>
      </c>
      <c r="H24">
        <f>460*200+164</f>
        <v>92164</v>
      </c>
      <c r="I24" t="s">
        <v>111</v>
      </c>
      <c r="J24">
        <f t="shared" si="0"/>
        <v>92164</v>
      </c>
      <c r="L24">
        <f t="shared" si="1"/>
        <v>41.144642857142856</v>
      </c>
    </row>
    <row r="25" spans="1:12" x14ac:dyDescent="0.25">
      <c r="A25">
        <v>1734</v>
      </c>
      <c r="B25" t="s">
        <v>10</v>
      </c>
      <c r="C25" t="s">
        <v>53</v>
      </c>
      <c r="D25" t="s">
        <v>33</v>
      </c>
      <c r="F25">
        <v>926</v>
      </c>
      <c r="G25">
        <v>2</v>
      </c>
      <c r="H25">
        <v>3</v>
      </c>
      <c r="J25">
        <f t="shared" si="0"/>
        <v>103771</v>
      </c>
      <c r="L25">
        <f t="shared" si="1"/>
        <v>46.326339285714283</v>
      </c>
    </row>
    <row r="26" spans="1:12" x14ac:dyDescent="0.25">
      <c r="A26">
        <v>1734</v>
      </c>
      <c r="B26" t="s">
        <v>11</v>
      </c>
      <c r="C26" t="s">
        <v>53</v>
      </c>
      <c r="D26" t="s">
        <v>33</v>
      </c>
      <c r="F26">
        <v>65</v>
      </c>
      <c r="G26">
        <v>2</v>
      </c>
      <c r="H26">
        <v>3</v>
      </c>
      <c r="J26">
        <f t="shared" si="0"/>
        <v>7339</v>
      </c>
      <c r="L26">
        <f t="shared" si="1"/>
        <v>3.2763392857142857</v>
      </c>
    </row>
    <row r="27" spans="1:12" x14ac:dyDescent="0.25">
      <c r="A27">
        <v>1734</v>
      </c>
      <c r="B27" t="s">
        <v>39</v>
      </c>
      <c r="C27" t="s">
        <v>53</v>
      </c>
      <c r="D27" t="s">
        <v>33</v>
      </c>
      <c r="H27">
        <v>50</v>
      </c>
      <c r="J27">
        <f t="shared" si="0"/>
        <v>50</v>
      </c>
      <c r="L27">
        <f t="shared" si="1"/>
        <v>2.2321428571428572E-2</v>
      </c>
    </row>
    <row r="28" spans="1:12" x14ac:dyDescent="0.25">
      <c r="A28">
        <v>1734</v>
      </c>
      <c r="B28" t="s">
        <v>79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103</v>
      </c>
      <c r="C29" t="s">
        <v>53</v>
      </c>
      <c r="D29" t="s">
        <v>33</v>
      </c>
      <c r="H29">
        <v>13</v>
      </c>
      <c r="J29">
        <f t="shared" si="0"/>
        <v>13</v>
      </c>
      <c r="L29">
        <f t="shared" si="1"/>
        <v>5.8035714285714288E-3</v>
      </c>
    </row>
    <row r="30" spans="1:12" x14ac:dyDescent="0.25">
      <c r="A30">
        <v>1734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1734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1734</v>
      </c>
      <c r="B33" t="s">
        <v>12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1734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1734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1734</v>
      </c>
      <c r="B36" t="s">
        <v>13</v>
      </c>
      <c r="C36" t="s">
        <v>53</v>
      </c>
      <c r="D36" t="s">
        <v>33</v>
      </c>
      <c r="E36">
        <v>11</v>
      </c>
      <c r="J36">
        <f t="shared" si="0"/>
        <v>24640</v>
      </c>
      <c r="L36">
        <f t="shared" si="1"/>
        <v>11</v>
      </c>
    </row>
    <row r="37" spans="1:12" x14ac:dyDescent="0.25">
      <c r="A37">
        <v>1734</v>
      </c>
      <c r="B37" t="s">
        <v>14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1734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1734</v>
      </c>
      <c r="B39" t="s">
        <v>27</v>
      </c>
      <c r="C39" t="s">
        <v>53</v>
      </c>
      <c r="D39" t="s">
        <v>33</v>
      </c>
      <c r="H39">
        <v>283032.5</v>
      </c>
      <c r="I39" t="s">
        <v>110</v>
      </c>
      <c r="J39">
        <f t="shared" si="0"/>
        <v>283032.5</v>
      </c>
      <c r="L39">
        <f t="shared" si="1"/>
        <v>126.35379464285714</v>
      </c>
    </row>
    <row r="40" spans="1:12" x14ac:dyDescent="0.25">
      <c r="A40">
        <v>1734</v>
      </c>
      <c r="B40" t="s">
        <v>15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1734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1734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1734</v>
      </c>
      <c r="B43" t="s">
        <v>47</v>
      </c>
      <c r="C43" t="s">
        <v>53</v>
      </c>
      <c r="D43" t="s">
        <v>33</v>
      </c>
      <c r="H43">
        <v>135</v>
      </c>
      <c r="I43" t="s">
        <v>108</v>
      </c>
      <c r="J43">
        <f t="shared" si="0"/>
        <v>135</v>
      </c>
      <c r="L43">
        <f t="shared" si="1"/>
        <v>6.0267857142857144E-2</v>
      </c>
    </row>
    <row r="44" spans="1:12" x14ac:dyDescent="0.25">
      <c r="A44">
        <v>1734</v>
      </c>
      <c r="B44" t="s">
        <v>16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1734</v>
      </c>
      <c r="B45" t="s">
        <v>17</v>
      </c>
      <c r="C45" t="s">
        <v>53</v>
      </c>
      <c r="D45" t="s">
        <v>33</v>
      </c>
      <c r="H45">
        <v>14</v>
      </c>
      <c r="J45">
        <f t="shared" si="0"/>
        <v>14</v>
      </c>
      <c r="L45">
        <f t="shared" si="1"/>
        <v>6.2500000000000003E-3</v>
      </c>
    </row>
    <row r="46" spans="1:12" x14ac:dyDescent="0.25">
      <c r="A46">
        <v>1734</v>
      </c>
      <c r="B46" t="s">
        <v>18</v>
      </c>
      <c r="C46" t="s">
        <v>53</v>
      </c>
      <c r="D46" t="s">
        <v>33</v>
      </c>
      <c r="H46">
        <v>173204.5</v>
      </c>
      <c r="I46" t="s">
        <v>109</v>
      </c>
      <c r="J46">
        <f t="shared" si="0"/>
        <v>173204.5</v>
      </c>
      <c r="L46">
        <f t="shared" si="1"/>
        <v>77.323437499999997</v>
      </c>
    </row>
    <row r="47" spans="1:12" x14ac:dyDescent="0.25">
      <c r="A47">
        <v>1734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1734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1734</v>
      </c>
      <c r="B49" t="s">
        <v>19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1734</v>
      </c>
      <c r="B50" t="s">
        <v>45</v>
      </c>
      <c r="C50" t="s">
        <v>53</v>
      </c>
      <c r="D50" t="s">
        <v>33</v>
      </c>
      <c r="H50">
        <v>626</v>
      </c>
      <c r="J50">
        <f t="shared" si="0"/>
        <v>626</v>
      </c>
      <c r="L50">
        <f t="shared" si="1"/>
        <v>0.27946428571428572</v>
      </c>
    </row>
    <row r="51" spans="1:12" x14ac:dyDescent="0.25">
      <c r="A51">
        <v>1734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1734</v>
      </c>
      <c r="B52" t="s">
        <v>54</v>
      </c>
      <c r="C52" t="s">
        <v>53</v>
      </c>
      <c r="D52" t="s">
        <v>33</v>
      </c>
      <c r="H52">
        <v>633</v>
      </c>
      <c r="J52">
        <f t="shared" si="0"/>
        <v>633</v>
      </c>
      <c r="L52">
        <f t="shared" si="1"/>
        <v>0.28258928571428571</v>
      </c>
    </row>
    <row r="53" spans="1:12" x14ac:dyDescent="0.25">
      <c r="A53">
        <v>1734</v>
      </c>
      <c r="B53" t="s">
        <v>95</v>
      </c>
      <c r="C53" t="s">
        <v>53</v>
      </c>
      <c r="D53" t="s">
        <v>33</v>
      </c>
      <c r="H53">
        <v>12</v>
      </c>
      <c r="J53">
        <f t="shared" si="0"/>
        <v>12</v>
      </c>
      <c r="L53">
        <f t="shared" si="1"/>
        <v>5.3571428571428572E-3</v>
      </c>
    </row>
    <row r="54" spans="1:12" x14ac:dyDescent="0.25">
      <c r="A54">
        <v>1734</v>
      </c>
      <c r="B54" t="s">
        <v>20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1734</v>
      </c>
      <c r="B55" t="s">
        <v>21</v>
      </c>
      <c r="C55" t="s">
        <v>53</v>
      </c>
      <c r="D55" t="s">
        <v>33</v>
      </c>
      <c r="H55">
        <v>25</v>
      </c>
      <c r="J55">
        <f t="shared" si="0"/>
        <v>25</v>
      </c>
      <c r="L55">
        <f t="shared" si="1"/>
        <v>1.1160714285714286E-2</v>
      </c>
    </row>
    <row r="56" spans="1:12" x14ac:dyDescent="0.25">
      <c r="A56">
        <v>1734</v>
      </c>
      <c r="B56" t="s">
        <v>90</v>
      </c>
      <c r="C56" t="s">
        <v>53</v>
      </c>
      <c r="D56" t="s">
        <v>33</v>
      </c>
      <c r="F56">
        <v>35</v>
      </c>
      <c r="J56">
        <f t="shared" si="0"/>
        <v>3920</v>
      </c>
      <c r="L56">
        <f t="shared" si="1"/>
        <v>1.75</v>
      </c>
    </row>
    <row r="57" spans="1:12" x14ac:dyDescent="0.25">
      <c r="A57">
        <v>1734</v>
      </c>
      <c r="B57" t="s">
        <v>22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1734</v>
      </c>
      <c r="B58" t="s">
        <v>61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1734</v>
      </c>
      <c r="B59" t="s">
        <v>99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1734</v>
      </c>
      <c r="B60" t="s">
        <v>87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1734</v>
      </c>
      <c r="B61" t="s">
        <v>62</v>
      </c>
      <c r="C61" t="s">
        <v>53</v>
      </c>
      <c r="D61" t="s">
        <v>33</v>
      </c>
      <c r="E61">
        <v>112</v>
      </c>
      <c r="F61">
        <v>6</v>
      </c>
      <c r="G61">
        <v>1</v>
      </c>
      <c r="H61">
        <v>3</v>
      </c>
      <c r="J61">
        <f t="shared" si="0"/>
        <v>251583</v>
      </c>
      <c r="L61">
        <f t="shared" si="1"/>
        <v>112.31383928571428</v>
      </c>
    </row>
    <row r="62" spans="1:12" x14ac:dyDescent="0.25">
      <c r="A62">
        <v>1734</v>
      </c>
      <c r="B62" t="s">
        <v>88</v>
      </c>
      <c r="C62" t="s">
        <v>53</v>
      </c>
      <c r="D62" t="s">
        <v>33</v>
      </c>
      <c r="E62">
        <v>11</v>
      </c>
      <c r="F62">
        <v>15</v>
      </c>
      <c r="J62">
        <f t="shared" si="0"/>
        <v>26320</v>
      </c>
      <c r="L62">
        <f t="shared" si="1"/>
        <v>11.75</v>
      </c>
    </row>
    <row r="63" spans="1:12" x14ac:dyDescent="0.25">
      <c r="A63">
        <v>1734</v>
      </c>
      <c r="B63" t="s">
        <v>63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89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1734</v>
      </c>
      <c r="B65" t="s">
        <v>70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1734</v>
      </c>
      <c r="B66" t="s">
        <v>64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1734</v>
      </c>
      <c r="B67" t="s">
        <v>65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1734</v>
      </c>
      <c r="B68" t="s">
        <v>55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1734</v>
      </c>
      <c r="B69" t="s">
        <v>57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1734</v>
      </c>
      <c r="B70" t="s">
        <v>36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1734</v>
      </c>
      <c r="B71" t="s">
        <v>4</v>
      </c>
      <c r="C71" t="s">
        <v>53</v>
      </c>
      <c r="D71" t="s">
        <v>35</v>
      </c>
      <c r="J71">
        <f t="shared" ref="J71:J131" si="2">(E71*2240)+(F71*112)+(G71*28)+H71</f>
        <v>0</v>
      </c>
      <c r="L71">
        <f t="shared" ref="L71:L131" si="3">J71/2240</f>
        <v>0</v>
      </c>
    </row>
    <row r="72" spans="1:12" x14ac:dyDescent="0.25">
      <c r="A72">
        <v>1734</v>
      </c>
      <c r="B72" t="s">
        <v>58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1734</v>
      </c>
      <c r="B73" t="s">
        <v>69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1734</v>
      </c>
      <c r="B74" t="s">
        <v>43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1734</v>
      </c>
      <c r="B75" t="s">
        <v>76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1734</v>
      </c>
      <c r="B76" t="s">
        <v>5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1734</v>
      </c>
      <c r="B77" t="s">
        <v>59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1734</v>
      </c>
      <c r="B78" t="s">
        <v>6</v>
      </c>
      <c r="C78" t="s">
        <v>53</v>
      </c>
      <c r="D78" t="s">
        <v>35</v>
      </c>
      <c r="F78">
        <v>22998</v>
      </c>
      <c r="G78">
        <v>1</v>
      </c>
      <c r="H78">
        <v>14</v>
      </c>
      <c r="J78">
        <f t="shared" si="2"/>
        <v>2575818</v>
      </c>
      <c r="L78">
        <f t="shared" si="3"/>
        <v>1149.91875</v>
      </c>
    </row>
    <row r="79" spans="1:12" x14ac:dyDescent="0.25">
      <c r="A79">
        <v>1734</v>
      </c>
      <c r="B79" t="s">
        <v>60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1734</v>
      </c>
      <c r="B80" t="s">
        <v>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1734</v>
      </c>
      <c r="B81" t="s">
        <v>37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1734</v>
      </c>
      <c r="B82" t="s">
        <v>8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1734</v>
      </c>
      <c r="B83" t="s">
        <v>40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1734</v>
      </c>
      <c r="B84" t="s">
        <v>77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1734</v>
      </c>
      <c r="B85" t="s">
        <v>78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1734</v>
      </c>
      <c r="B86" t="s">
        <v>46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1734</v>
      </c>
      <c r="B87" t="s">
        <v>9</v>
      </c>
      <c r="C87" t="s">
        <v>53</v>
      </c>
      <c r="D87" t="s">
        <v>35</v>
      </c>
      <c r="H87">
        <f>1199*200+91</f>
        <v>239891</v>
      </c>
      <c r="I87" t="s">
        <v>149</v>
      </c>
      <c r="J87">
        <f t="shared" si="2"/>
        <v>239891</v>
      </c>
      <c r="L87">
        <f t="shared" si="3"/>
        <v>107.09419642857142</v>
      </c>
    </row>
    <row r="88" spans="1:12" x14ac:dyDescent="0.25">
      <c r="A88">
        <v>1734</v>
      </c>
      <c r="B88" t="s">
        <v>10</v>
      </c>
      <c r="C88" t="s">
        <v>53</v>
      </c>
      <c r="D88" t="s">
        <v>35</v>
      </c>
      <c r="F88">
        <v>450</v>
      </c>
      <c r="H88">
        <v>27</v>
      </c>
      <c r="J88">
        <f t="shared" si="2"/>
        <v>50427</v>
      </c>
      <c r="L88">
        <f t="shared" si="3"/>
        <v>22.51205357142857</v>
      </c>
    </row>
    <row r="89" spans="1:12" x14ac:dyDescent="0.25">
      <c r="A89">
        <v>1734</v>
      </c>
      <c r="B89" t="s">
        <v>11</v>
      </c>
      <c r="C89" t="s">
        <v>53</v>
      </c>
      <c r="D89" t="s">
        <v>35</v>
      </c>
      <c r="F89">
        <v>8</v>
      </c>
      <c r="H89">
        <v>4</v>
      </c>
      <c r="J89">
        <f t="shared" si="2"/>
        <v>900</v>
      </c>
      <c r="L89">
        <f t="shared" si="3"/>
        <v>0.4017857142857143</v>
      </c>
    </row>
    <row r="90" spans="1:12" x14ac:dyDescent="0.25">
      <c r="A90">
        <v>1734</v>
      </c>
      <c r="B90" t="s">
        <v>39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1734</v>
      </c>
      <c r="B91" t="s">
        <v>79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103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1734</v>
      </c>
      <c r="B93" t="s">
        <v>44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1734</v>
      </c>
      <c r="B94" t="s">
        <v>97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1734</v>
      </c>
      <c r="B95" t="s">
        <v>12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1734</v>
      </c>
      <c r="B96" t="s">
        <v>82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1734</v>
      </c>
      <c r="B97" t="s">
        <v>34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1734</v>
      </c>
      <c r="B98" t="s">
        <v>13</v>
      </c>
      <c r="C98" t="s">
        <v>53</v>
      </c>
      <c r="D98" t="s">
        <v>35</v>
      </c>
      <c r="E98">
        <v>18</v>
      </c>
      <c r="F98">
        <v>10</v>
      </c>
      <c r="J98">
        <f t="shared" si="2"/>
        <v>41440</v>
      </c>
      <c r="L98">
        <f t="shared" si="3"/>
        <v>18.5</v>
      </c>
    </row>
    <row r="99" spans="1:12" x14ac:dyDescent="0.25">
      <c r="A99">
        <v>1734</v>
      </c>
      <c r="B99" t="s">
        <v>14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1734</v>
      </c>
      <c r="B100" t="s">
        <v>23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27</v>
      </c>
      <c r="C101" t="s">
        <v>53</v>
      </c>
      <c r="D101" t="s">
        <v>35</v>
      </c>
      <c r="H101">
        <v>10092.5</v>
      </c>
      <c r="I101" t="s">
        <v>148</v>
      </c>
      <c r="J101">
        <f t="shared" si="2"/>
        <v>10092.5</v>
      </c>
      <c r="L101">
        <f t="shared" si="3"/>
        <v>4.5055803571428568</v>
      </c>
    </row>
    <row r="102" spans="1:12" x14ac:dyDescent="0.25">
      <c r="A102">
        <v>1734</v>
      </c>
      <c r="B102" t="s">
        <v>15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1734</v>
      </c>
      <c r="B103" t="s">
        <v>93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1734</v>
      </c>
      <c r="B104" t="s">
        <v>42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83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1734</v>
      </c>
      <c r="B106" t="s">
        <v>47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1734</v>
      </c>
      <c r="B107" t="s">
        <v>16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1734</v>
      </c>
      <c r="B108" t="s">
        <v>17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1734</v>
      </c>
      <c r="B109" t="s">
        <v>18</v>
      </c>
      <c r="C109" t="s">
        <v>53</v>
      </c>
      <c r="D109" t="s">
        <v>35</v>
      </c>
      <c r="H109">
        <v>23616</v>
      </c>
      <c r="I109" t="s">
        <v>147</v>
      </c>
      <c r="J109">
        <f t="shared" si="2"/>
        <v>23616</v>
      </c>
      <c r="L109">
        <f t="shared" si="3"/>
        <v>10.542857142857143</v>
      </c>
    </row>
    <row r="110" spans="1:12" x14ac:dyDescent="0.25">
      <c r="A110">
        <v>1734</v>
      </c>
      <c r="B110" t="s">
        <v>26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1734</v>
      </c>
      <c r="B111" t="s">
        <v>84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1734</v>
      </c>
      <c r="B112" t="s">
        <v>19</v>
      </c>
      <c r="C112" t="s">
        <v>53</v>
      </c>
      <c r="D112" t="s">
        <v>35</v>
      </c>
      <c r="F112">
        <v>1</v>
      </c>
      <c r="J112">
        <f t="shared" si="2"/>
        <v>112</v>
      </c>
      <c r="L112">
        <f t="shared" si="3"/>
        <v>0.05</v>
      </c>
    </row>
    <row r="113" spans="1:12" x14ac:dyDescent="0.25">
      <c r="A113">
        <v>1734</v>
      </c>
      <c r="B113" t="s">
        <v>45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1734</v>
      </c>
      <c r="B114" t="s">
        <v>85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1734</v>
      </c>
      <c r="B115" t="s">
        <v>54</v>
      </c>
      <c r="C115" t="s">
        <v>53</v>
      </c>
      <c r="D115" t="s">
        <v>35</v>
      </c>
      <c r="H115">
        <v>7</v>
      </c>
      <c r="J115">
        <f t="shared" si="2"/>
        <v>7</v>
      </c>
      <c r="L115">
        <f t="shared" si="3"/>
        <v>3.1250000000000002E-3</v>
      </c>
    </row>
    <row r="116" spans="1:12" x14ac:dyDescent="0.25">
      <c r="A116">
        <v>1734</v>
      </c>
      <c r="B116" t="s">
        <v>95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1734</v>
      </c>
      <c r="B117" t="s">
        <v>20</v>
      </c>
      <c r="C117" t="s">
        <v>53</v>
      </c>
      <c r="D117" t="s">
        <v>35</v>
      </c>
      <c r="H117">
        <v>1296</v>
      </c>
      <c r="J117">
        <f t="shared" si="2"/>
        <v>1296</v>
      </c>
      <c r="L117">
        <f t="shared" si="3"/>
        <v>0.57857142857142863</v>
      </c>
    </row>
    <row r="118" spans="1:12" x14ac:dyDescent="0.25">
      <c r="A118">
        <v>1734</v>
      </c>
      <c r="B118" t="s">
        <v>21</v>
      </c>
      <c r="C118" t="s">
        <v>53</v>
      </c>
      <c r="D118" t="s">
        <v>35</v>
      </c>
      <c r="H118">
        <v>50</v>
      </c>
      <c r="J118">
        <f t="shared" si="2"/>
        <v>50</v>
      </c>
      <c r="L118">
        <f t="shared" si="3"/>
        <v>2.2321428571428572E-2</v>
      </c>
    </row>
    <row r="119" spans="1:12" x14ac:dyDescent="0.25">
      <c r="A119">
        <v>1734</v>
      </c>
      <c r="B119" t="s">
        <v>105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1734</v>
      </c>
      <c r="B120" t="s">
        <v>22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1734</v>
      </c>
      <c r="B121" t="s">
        <v>61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1734</v>
      </c>
      <c r="B122" t="s">
        <v>91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1734</v>
      </c>
      <c r="B123" t="s">
        <v>98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1734</v>
      </c>
      <c r="B124" t="s">
        <v>87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1734</v>
      </c>
      <c r="B125" t="s">
        <v>62</v>
      </c>
      <c r="C125" t="s">
        <v>53</v>
      </c>
      <c r="D125" t="s">
        <v>35</v>
      </c>
      <c r="E125">
        <v>138</v>
      </c>
      <c r="F125">
        <v>17</v>
      </c>
      <c r="G125">
        <v>1</v>
      </c>
      <c r="H125">
        <v>24</v>
      </c>
      <c r="J125">
        <f t="shared" si="2"/>
        <v>311076</v>
      </c>
      <c r="L125">
        <f t="shared" si="3"/>
        <v>138.87321428571428</v>
      </c>
    </row>
    <row r="126" spans="1:12" x14ac:dyDescent="0.25">
      <c r="A126">
        <v>1734</v>
      </c>
      <c r="B126" t="s">
        <v>88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1734</v>
      </c>
      <c r="B127" t="s">
        <v>63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1734</v>
      </c>
      <c r="B128" t="s">
        <v>89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1734</v>
      </c>
      <c r="B129" t="s">
        <v>70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1734</v>
      </c>
      <c r="B130" t="s">
        <v>64</v>
      </c>
      <c r="C130" t="s">
        <v>53</v>
      </c>
      <c r="D130" t="s">
        <v>35</v>
      </c>
      <c r="E130">
        <v>15</v>
      </c>
      <c r="J130">
        <f t="shared" si="2"/>
        <v>33600</v>
      </c>
      <c r="L130">
        <f t="shared" si="3"/>
        <v>15</v>
      </c>
    </row>
    <row r="131" spans="1:12" x14ac:dyDescent="0.25">
      <c r="A131">
        <v>1734</v>
      </c>
      <c r="B131" t="s">
        <v>65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6"/>
  <sheetViews>
    <sheetView topLeftCell="A82" workbookViewId="0">
      <selection activeCell="H91" sqref="H9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1734</v>
      </c>
      <c r="B2" t="s">
        <v>55</v>
      </c>
      <c r="C2" t="s">
        <v>56</v>
      </c>
      <c r="D2" t="s">
        <v>33</v>
      </c>
      <c r="J2">
        <f t="shared" ref="J2:J72" si="0">(E2*2240)+(F2*112)+(G2*28)+H2</f>
        <v>0</v>
      </c>
      <c r="L2">
        <f t="shared" ref="L2:L72" si="1">J2/2240</f>
        <v>0</v>
      </c>
    </row>
    <row r="3" spans="1:12" x14ac:dyDescent="0.25">
      <c r="A3">
        <v>1734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1734</v>
      </c>
      <c r="B4" t="s">
        <v>36</v>
      </c>
      <c r="C4" t="s">
        <v>56</v>
      </c>
      <c r="D4" t="s">
        <v>33</v>
      </c>
      <c r="H4">
        <v>15405</v>
      </c>
      <c r="J4">
        <f t="shared" si="0"/>
        <v>15405</v>
      </c>
      <c r="L4">
        <f t="shared" si="1"/>
        <v>6.8772321428571432</v>
      </c>
    </row>
    <row r="5" spans="1:12" x14ac:dyDescent="0.25">
      <c r="A5">
        <v>1734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1734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1734</v>
      </c>
      <c r="B7" t="s">
        <v>112</v>
      </c>
      <c r="C7" t="s">
        <v>56</v>
      </c>
      <c r="D7" t="s">
        <v>33</v>
      </c>
      <c r="H7">
        <v>1556</v>
      </c>
      <c r="J7">
        <f t="shared" si="0"/>
        <v>1556</v>
      </c>
      <c r="L7">
        <f t="shared" si="1"/>
        <v>0.69464285714285712</v>
      </c>
    </row>
    <row r="8" spans="1:12" x14ac:dyDescent="0.25">
      <c r="A8">
        <v>1734</v>
      </c>
      <c r="B8" t="s">
        <v>92</v>
      </c>
      <c r="C8" t="s">
        <v>56</v>
      </c>
      <c r="D8" t="s">
        <v>33</v>
      </c>
      <c r="H8">
        <v>688</v>
      </c>
      <c r="J8">
        <f t="shared" si="0"/>
        <v>688</v>
      </c>
      <c r="L8">
        <f t="shared" si="1"/>
        <v>0.30714285714285716</v>
      </c>
    </row>
    <row r="9" spans="1:12" x14ac:dyDescent="0.25">
      <c r="A9">
        <v>1734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1734</v>
      </c>
      <c r="B10" t="s">
        <v>5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1734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1734</v>
      </c>
      <c r="B12" t="s">
        <v>6</v>
      </c>
      <c r="C12" t="s">
        <v>56</v>
      </c>
      <c r="D12" t="s">
        <v>33</v>
      </c>
      <c r="F12">
        <v>50906</v>
      </c>
      <c r="H12">
        <v>2</v>
      </c>
      <c r="J12">
        <f t="shared" si="0"/>
        <v>5701474</v>
      </c>
      <c r="L12">
        <f t="shared" si="1"/>
        <v>2545.300892857143</v>
      </c>
    </row>
    <row r="13" spans="1:12" x14ac:dyDescent="0.25">
      <c r="A13">
        <v>1734</v>
      </c>
      <c r="B13" t="s">
        <v>60</v>
      </c>
      <c r="C13" t="s">
        <v>56</v>
      </c>
      <c r="D13" t="s">
        <v>33</v>
      </c>
      <c r="H13">
        <v>1235</v>
      </c>
      <c r="J13">
        <f t="shared" si="0"/>
        <v>1235</v>
      </c>
      <c r="L13">
        <f t="shared" si="1"/>
        <v>0.5513392857142857</v>
      </c>
    </row>
    <row r="14" spans="1:12" x14ac:dyDescent="0.25">
      <c r="A14">
        <v>1734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1734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1734</v>
      </c>
      <c r="B16" t="s">
        <v>8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77</v>
      </c>
      <c r="C18" t="s">
        <v>56</v>
      </c>
      <c r="D18" t="s">
        <v>33</v>
      </c>
      <c r="F18">
        <v>16</v>
      </c>
      <c r="G18">
        <v>1</v>
      </c>
      <c r="H18">
        <v>2</v>
      </c>
      <c r="J18">
        <f t="shared" si="0"/>
        <v>1822</v>
      </c>
      <c r="L18">
        <f t="shared" si="1"/>
        <v>0.81339285714285714</v>
      </c>
    </row>
    <row r="19" spans="1:12" x14ac:dyDescent="0.25">
      <c r="A19">
        <v>1734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1734</v>
      </c>
      <c r="B20" t="s">
        <v>9</v>
      </c>
      <c r="C20" t="s">
        <v>56</v>
      </c>
      <c r="D20" t="s">
        <v>33</v>
      </c>
      <c r="H20">
        <f>400*200+45</f>
        <v>80045</v>
      </c>
      <c r="I20" t="s">
        <v>116</v>
      </c>
      <c r="J20">
        <f t="shared" si="0"/>
        <v>80045</v>
      </c>
      <c r="L20">
        <f t="shared" si="1"/>
        <v>35.734375</v>
      </c>
    </row>
    <row r="21" spans="1:12" x14ac:dyDescent="0.25">
      <c r="A21">
        <v>1734</v>
      </c>
      <c r="B21" t="s">
        <v>10</v>
      </c>
      <c r="C21" t="s">
        <v>56</v>
      </c>
      <c r="D21" t="s">
        <v>33</v>
      </c>
      <c r="F21">
        <v>2851</v>
      </c>
      <c r="G21">
        <v>1</v>
      </c>
      <c r="H21">
        <v>26</v>
      </c>
      <c r="J21">
        <f t="shared" si="0"/>
        <v>319366</v>
      </c>
      <c r="L21">
        <f t="shared" si="1"/>
        <v>142.57410714285714</v>
      </c>
    </row>
    <row r="22" spans="1:12" x14ac:dyDescent="0.25">
      <c r="A22">
        <v>1734</v>
      </c>
      <c r="B22" t="s">
        <v>11</v>
      </c>
      <c r="C22" t="s">
        <v>56</v>
      </c>
      <c r="D22" t="s">
        <v>33</v>
      </c>
      <c r="F22">
        <v>115</v>
      </c>
      <c r="H22">
        <v>14</v>
      </c>
      <c r="J22">
        <f t="shared" si="0"/>
        <v>12894</v>
      </c>
      <c r="L22">
        <f t="shared" si="1"/>
        <v>5.7562499999999996</v>
      </c>
    </row>
    <row r="23" spans="1:12" x14ac:dyDescent="0.25">
      <c r="A23">
        <v>1734</v>
      </c>
      <c r="B23" t="s">
        <v>39</v>
      </c>
      <c r="C23" t="s">
        <v>56</v>
      </c>
      <c r="D23" t="s">
        <v>33</v>
      </c>
      <c r="H23">
        <v>447</v>
      </c>
      <c r="J23">
        <f t="shared" si="0"/>
        <v>447</v>
      </c>
      <c r="L23">
        <f t="shared" si="1"/>
        <v>0.19955357142857144</v>
      </c>
    </row>
    <row r="24" spans="1:12" x14ac:dyDescent="0.25">
      <c r="A24">
        <v>1734</v>
      </c>
      <c r="B24" t="s">
        <v>79</v>
      </c>
      <c r="C24" t="s">
        <v>56</v>
      </c>
      <c r="D24" t="s">
        <v>33</v>
      </c>
      <c r="H24">
        <v>62747</v>
      </c>
      <c r="J24">
        <f t="shared" si="0"/>
        <v>62747</v>
      </c>
      <c r="L24">
        <f t="shared" si="1"/>
        <v>28.01205357142857</v>
      </c>
    </row>
    <row r="25" spans="1:12" x14ac:dyDescent="0.25">
      <c r="A25">
        <v>1734</v>
      </c>
      <c r="B25" t="s">
        <v>102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1734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1734</v>
      </c>
      <c r="B27" t="s">
        <v>12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1734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13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1734</v>
      </c>
      <c r="B30" t="s">
        <v>14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1734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27</v>
      </c>
      <c r="C32" t="s">
        <v>56</v>
      </c>
      <c r="D32" t="s">
        <v>33</v>
      </c>
      <c r="H32">
        <v>246753.5</v>
      </c>
      <c r="I32" t="s">
        <v>115</v>
      </c>
      <c r="J32">
        <f t="shared" si="0"/>
        <v>246753.5</v>
      </c>
      <c r="L32">
        <f t="shared" si="1"/>
        <v>110.15781250000001</v>
      </c>
    </row>
    <row r="33" spans="1:12" x14ac:dyDescent="0.25">
      <c r="A33">
        <v>1734</v>
      </c>
      <c r="B33" t="s">
        <v>15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1734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1734</v>
      </c>
      <c r="B35" t="s">
        <v>83</v>
      </c>
      <c r="C35" t="s">
        <v>56</v>
      </c>
      <c r="D35" t="s">
        <v>33</v>
      </c>
      <c r="F35">
        <v>20</v>
      </c>
      <c r="G35">
        <v>1</v>
      </c>
      <c r="H35">
        <v>2</v>
      </c>
      <c r="J35">
        <f t="shared" si="0"/>
        <v>2270</v>
      </c>
      <c r="L35">
        <f t="shared" si="1"/>
        <v>1.0133928571428572</v>
      </c>
    </row>
    <row r="36" spans="1:12" x14ac:dyDescent="0.25">
      <c r="A36">
        <v>1734</v>
      </c>
      <c r="B36" t="s">
        <v>47</v>
      </c>
      <c r="C36" t="s">
        <v>56</v>
      </c>
      <c r="D36" t="s">
        <v>33</v>
      </c>
      <c r="H36">
        <v>740</v>
      </c>
      <c r="I36" t="s">
        <v>113</v>
      </c>
      <c r="J36">
        <f t="shared" si="0"/>
        <v>740</v>
      </c>
      <c r="L36">
        <f t="shared" si="1"/>
        <v>0.33035714285714285</v>
      </c>
    </row>
    <row r="37" spans="1:12" x14ac:dyDescent="0.25">
      <c r="A37">
        <v>1734</v>
      </c>
      <c r="B37" t="s">
        <v>16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1734</v>
      </c>
      <c r="B38" t="s">
        <v>17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1734</v>
      </c>
      <c r="B39" t="s">
        <v>18</v>
      </c>
      <c r="C39" t="s">
        <v>56</v>
      </c>
      <c r="D39" t="s">
        <v>33</v>
      </c>
      <c r="H39">
        <v>42911</v>
      </c>
      <c r="I39" t="s">
        <v>114</v>
      </c>
      <c r="J39">
        <f t="shared" si="0"/>
        <v>42911</v>
      </c>
      <c r="L39">
        <f t="shared" si="1"/>
        <v>19.156696428571429</v>
      </c>
    </row>
    <row r="40" spans="1:12" x14ac:dyDescent="0.25">
      <c r="A40">
        <v>1734</v>
      </c>
      <c r="B40" t="s">
        <v>26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1734</v>
      </c>
      <c r="B41" t="s">
        <v>19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1734</v>
      </c>
      <c r="B42" t="s">
        <v>45</v>
      </c>
      <c r="C42" t="s">
        <v>56</v>
      </c>
      <c r="D42" t="s">
        <v>33</v>
      </c>
      <c r="H42">
        <v>126</v>
      </c>
      <c r="J42">
        <f t="shared" si="0"/>
        <v>126</v>
      </c>
      <c r="L42">
        <f t="shared" si="1"/>
        <v>5.6250000000000001E-2</v>
      </c>
    </row>
    <row r="43" spans="1:12" x14ac:dyDescent="0.25">
      <c r="A43">
        <v>1734</v>
      </c>
      <c r="B43" t="s">
        <v>54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1734</v>
      </c>
      <c r="B44" t="s">
        <v>95</v>
      </c>
      <c r="C44" t="s">
        <v>56</v>
      </c>
      <c r="D44" t="s">
        <v>33</v>
      </c>
      <c r="H44">
        <v>148</v>
      </c>
      <c r="J44">
        <f t="shared" si="0"/>
        <v>148</v>
      </c>
      <c r="L44">
        <f t="shared" si="1"/>
        <v>6.6071428571428573E-2</v>
      </c>
    </row>
    <row r="45" spans="1:12" x14ac:dyDescent="0.25">
      <c r="A45">
        <v>1734</v>
      </c>
      <c r="B45" t="s">
        <v>20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1734</v>
      </c>
      <c r="B46" t="s">
        <v>21</v>
      </c>
      <c r="C46" t="s">
        <v>56</v>
      </c>
      <c r="D46" t="s">
        <v>33</v>
      </c>
      <c r="H46">
        <v>67</v>
      </c>
      <c r="J46">
        <f t="shared" si="0"/>
        <v>67</v>
      </c>
      <c r="L46">
        <f t="shared" si="1"/>
        <v>2.9910714285714287E-2</v>
      </c>
    </row>
    <row r="47" spans="1:12" x14ac:dyDescent="0.25">
      <c r="A47">
        <v>1734</v>
      </c>
      <c r="B47" t="s">
        <v>22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1734</v>
      </c>
      <c r="B48" t="s">
        <v>61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1734</v>
      </c>
      <c r="B49" t="s">
        <v>62</v>
      </c>
      <c r="C49" t="s">
        <v>56</v>
      </c>
      <c r="D49" t="s">
        <v>33</v>
      </c>
      <c r="E49">
        <v>195</v>
      </c>
      <c r="F49">
        <v>6</v>
      </c>
      <c r="G49">
        <v>1</v>
      </c>
      <c r="H49">
        <v>22</v>
      </c>
      <c r="J49">
        <f t="shared" si="0"/>
        <v>437522</v>
      </c>
      <c r="L49">
        <f t="shared" si="1"/>
        <v>195.32232142857143</v>
      </c>
    </row>
    <row r="50" spans="1:12" x14ac:dyDescent="0.25">
      <c r="A50">
        <v>1734</v>
      </c>
      <c r="B50" t="s">
        <v>63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1734</v>
      </c>
      <c r="B51" t="s">
        <v>89</v>
      </c>
      <c r="C51" t="s">
        <v>56</v>
      </c>
      <c r="D51" t="s">
        <v>33</v>
      </c>
      <c r="E51">
        <v>35</v>
      </c>
      <c r="F51">
        <v>9</v>
      </c>
      <c r="J51">
        <f t="shared" si="0"/>
        <v>79408</v>
      </c>
      <c r="L51">
        <f t="shared" si="1"/>
        <v>35.450000000000003</v>
      </c>
    </row>
    <row r="52" spans="1:12" x14ac:dyDescent="0.25">
      <c r="A52">
        <v>1734</v>
      </c>
      <c r="B52" t="s">
        <v>70</v>
      </c>
      <c r="C52" t="s">
        <v>56</v>
      </c>
      <c r="D52" t="s">
        <v>33</v>
      </c>
      <c r="E52">
        <v>7</v>
      </c>
      <c r="F52">
        <v>16</v>
      </c>
      <c r="J52">
        <f t="shared" si="0"/>
        <v>17472</v>
      </c>
      <c r="L52">
        <f t="shared" si="1"/>
        <v>7.8</v>
      </c>
    </row>
    <row r="53" spans="1:12" x14ac:dyDescent="0.25">
      <c r="A53">
        <v>1734</v>
      </c>
      <c r="B53" t="s">
        <v>64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1734</v>
      </c>
      <c r="B54" t="s">
        <v>65</v>
      </c>
      <c r="C54" t="s">
        <v>56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1734</v>
      </c>
      <c r="B55" t="s">
        <v>55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1734</v>
      </c>
      <c r="B56" t="s">
        <v>57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1734</v>
      </c>
      <c r="B57" t="s">
        <v>36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1734</v>
      </c>
      <c r="B58" t="s">
        <v>4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1734</v>
      </c>
      <c r="B59" t="s">
        <v>58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1734</v>
      </c>
      <c r="B60" t="s">
        <v>92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1734</v>
      </c>
      <c r="B61" t="s">
        <v>43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1734</v>
      </c>
      <c r="B62" t="s">
        <v>5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1734</v>
      </c>
      <c r="B63" t="s">
        <v>59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6</v>
      </c>
      <c r="C64" t="s">
        <v>56</v>
      </c>
      <c r="D64" t="s">
        <v>35</v>
      </c>
      <c r="F64">
        <v>21714</v>
      </c>
      <c r="H64">
        <v>3</v>
      </c>
      <c r="J64">
        <f t="shared" si="0"/>
        <v>2431971</v>
      </c>
      <c r="L64">
        <f t="shared" si="1"/>
        <v>1085.7013392857143</v>
      </c>
    </row>
    <row r="65" spans="1:12" x14ac:dyDescent="0.25">
      <c r="A65">
        <v>1734</v>
      </c>
      <c r="B65" t="s">
        <v>60</v>
      </c>
      <c r="C65" t="s">
        <v>56</v>
      </c>
      <c r="D65" t="s">
        <v>35</v>
      </c>
      <c r="H65">
        <v>100</v>
      </c>
      <c r="J65">
        <f t="shared" si="0"/>
        <v>100</v>
      </c>
      <c r="L65">
        <f t="shared" si="1"/>
        <v>4.4642857142857144E-2</v>
      </c>
    </row>
    <row r="66" spans="1:12" x14ac:dyDescent="0.25">
      <c r="A66">
        <v>1734</v>
      </c>
      <c r="B66" t="s">
        <v>38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1734</v>
      </c>
      <c r="B67" t="s">
        <v>37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1734</v>
      </c>
      <c r="B68" t="s">
        <v>8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1734</v>
      </c>
      <c r="B69" t="s">
        <v>40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1734</v>
      </c>
      <c r="B70" t="s">
        <v>77</v>
      </c>
      <c r="C70" t="s">
        <v>56</v>
      </c>
      <c r="D70" t="s">
        <v>35</v>
      </c>
      <c r="F70">
        <v>8</v>
      </c>
      <c r="G70">
        <v>2</v>
      </c>
      <c r="J70">
        <f t="shared" si="0"/>
        <v>952</v>
      </c>
      <c r="L70">
        <f t="shared" si="1"/>
        <v>0.42499999999999999</v>
      </c>
    </row>
    <row r="71" spans="1:12" x14ac:dyDescent="0.25">
      <c r="A71">
        <v>1734</v>
      </c>
      <c r="B71" t="s">
        <v>9</v>
      </c>
      <c r="C71" t="s">
        <v>56</v>
      </c>
      <c r="D71" t="s">
        <v>35</v>
      </c>
      <c r="H71">
        <f>294*200+139</f>
        <v>58939</v>
      </c>
      <c r="I71" t="s">
        <v>154</v>
      </c>
      <c r="J71">
        <f t="shared" si="0"/>
        <v>58939</v>
      </c>
      <c r="L71">
        <f t="shared" si="1"/>
        <v>26.312053571428571</v>
      </c>
    </row>
    <row r="72" spans="1:12" x14ac:dyDescent="0.25">
      <c r="A72">
        <v>1734</v>
      </c>
      <c r="B72" t="s">
        <v>10</v>
      </c>
      <c r="C72" t="s">
        <v>56</v>
      </c>
      <c r="D72" t="s">
        <v>35</v>
      </c>
      <c r="F72">
        <v>392</v>
      </c>
      <c r="G72">
        <v>2</v>
      </c>
      <c r="H72">
        <v>14</v>
      </c>
      <c r="J72">
        <f t="shared" si="0"/>
        <v>43974</v>
      </c>
      <c r="L72">
        <f t="shared" si="1"/>
        <v>19.631250000000001</v>
      </c>
    </row>
    <row r="73" spans="1:12" x14ac:dyDescent="0.25">
      <c r="A73">
        <v>1734</v>
      </c>
      <c r="B73" t="s">
        <v>11</v>
      </c>
      <c r="C73" t="s">
        <v>56</v>
      </c>
      <c r="D73" t="s">
        <v>35</v>
      </c>
      <c r="F73">
        <v>171</v>
      </c>
      <c r="G73">
        <v>2</v>
      </c>
      <c r="J73">
        <f t="shared" ref="J73:J106" si="2">(E73*2240)+(F73*112)+(G73*28)+H73</f>
        <v>19208</v>
      </c>
      <c r="L73">
        <f t="shared" ref="L73:L106" si="3">J73/2240</f>
        <v>8.5749999999999993</v>
      </c>
    </row>
    <row r="74" spans="1:12" x14ac:dyDescent="0.25">
      <c r="A74">
        <v>1734</v>
      </c>
      <c r="B74" t="s">
        <v>39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1734</v>
      </c>
      <c r="B75" t="s">
        <v>79</v>
      </c>
      <c r="C75" t="s">
        <v>56</v>
      </c>
      <c r="D75" t="s">
        <v>35</v>
      </c>
      <c r="H75">
        <v>20628</v>
      </c>
      <c r="J75">
        <f t="shared" si="2"/>
        <v>20628</v>
      </c>
      <c r="L75">
        <f t="shared" si="3"/>
        <v>9.2089285714285722</v>
      </c>
    </row>
    <row r="76" spans="1:12" x14ac:dyDescent="0.25">
      <c r="A76">
        <v>1734</v>
      </c>
      <c r="B76" t="s">
        <v>44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1734</v>
      </c>
      <c r="B77" t="s">
        <v>12</v>
      </c>
      <c r="C77" t="s">
        <v>56</v>
      </c>
      <c r="D77" t="s">
        <v>35</v>
      </c>
      <c r="H77">
        <v>112</v>
      </c>
      <c r="J77">
        <f t="shared" si="2"/>
        <v>112</v>
      </c>
      <c r="L77">
        <f t="shared" si="3"/>
        <v>0.05</v>
      </c>
    </row>
    <row r="78" spans="1:12" x14ac:dyDescent="0.25">
      <c r="A78">
        <v>1734</v>
      </c>
      <c r="B78" t="s">
        <v>34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1734</v>
      </c>
      <c r="B79" t="s">
        <v>13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1734</v>
      </c>
      <c r="B80" t="s">
        <v>14</v>
      </c>
      <c r="C80" t="s">
        <v>56</v>
      </c>
      <c r="D80" t="s">
        <v>35</v>
      </c>
      <c r="H80">
        <v>1400.5</v>
      </c>
      <c r="I80" t="s">
        <v>150</v>
      </c>
      <c r="J80">
        <f t="shared" si="2"/>
        <v>1400.5</v>
      </c>
      <c r="L80">
        <f t="shared" si="3"/>
        <v>0.62522321428571426</v>
      </c>
    </row>
    <row r="81" spans="1:12" x14ac:dyDescent="0.25">
      <c r="A81">
        <v>1734</v>
      </c>
      <c r="B81" t="s">
        <v>23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1734</v>
      </c>
      <c r="B82" t="s">
        <v>27</v>
      </c>
      <c r="C82" t="s">
        <v>56</v>
      </c>
      <c r="D82" t="s">
        <v>35</v>
      </c>
      <c r="H82">
        <v>3851</v>
      </c>
      <c r="I82" t="s">
        <v>153</v>
      </c>
      <c r="J82">
        <f t="shared" si="2"/>
        <v>3851</v>
      </c>
      <c r="L82">
        <f t="shared" si="3"/>
        <v>1.7191964285714285</v>
      </c>
    </row>
    <row r="83" spans="1:12" x14ac:dyDescent="0.25">
      <c r="A83">
        <v>1734</v>
      </c>
      <c r="B83" t="s">
        <v>15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1734</v>
      </c>
      <c r="B84" t="s">
        <v>93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1734</v>
      </c>
      <c r="B85" t="s">
        <v>42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1734</v>
      </c>
      <c r="B86" t="s">
        <v>47</v>
      </c>
      <c r="C86" t="s">
        <v>56</v>
      </c>
      <c r="D86" t="s">
        <v>35</v>
      </c>
      <c r="H86">
        <v>17.5</v>
      </c>
      <c r="I86" t="s">
        <v>151</v>
      </c>
      <c r="J86">
        <f t="shared" si="2"/>
        <v>17.5</v>
      </c>
      <c r="L86">
        <f t="shared" si="3"/>
        <v>7.8125E-3</v>
      </c>
    </row>
    <row r="87" spans="1:12" x14ac:dyDescent="0.25">
      <c r="A87">
        <v>1734</v>
      </c>
      <c r="B87" t="s">
        <v>16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1734</v>
      </c>
      <c r="B88" t="s">
        <v>106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1734</v>
      </c>
      <c r="B89" t="s">
        <v>17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1734</v>
      </c>
      <c r="B90" t="s">
        <v>18</v>
      </c>
      <c r="C90" t="s">
        <v>56</v>
      </c>
      <c r="D90" t="s">
        <v>35</v>
      </c>
      <c r="H90">
        <v>44251.5</v>
      </c>
      <c r="I90" t="s">
        <v>152</v>
      </c>
      <c r="J90">
        <f t="shared" si="2"/>
        <v>44251.5</v>
      </c>
      <c r="L90">
        <f t="shared" si="3"/>
        <v>19.755133928571428</v>
      </c>
    </row>
    <row r="91" spans="1:12" x14ac:dyDescent="0.25">
      <c r="A91">
        <v>1734</v>
      </c>
      <c r="B91" t="s">
        <v>26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19</v>
      </c>
      <c r="C92" t="s">
        <v>56</v>
      </c>
      <c r="D92" t="s">
        <v>35</v>
      </c>
      <c r="F92">
        <v>1</v>
      </c>
      <c r="J92">
        <f t="shared" si="2"/>
        <v>112</v>
      </c>
      <c r="L92">
        <f t="shared" si="3"/>
        <v>0.05</v>
      </c>
    </row>
    <row r="93" spans="1:12" x14ac:dyDescent="0.25">
      <c r="A93">
        <v>1734</v>
      </c>
      <c r="B93" t="s">
        <v>45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1734</v>
      </c>
      <c r="B94" t="s">
        <v>54</v>
      </c>
      <c r="C94" t="s">
        <v>56</v>
      </c>
      <c r="D94" t="s">
        <v>35</v>
      </c>
      <c r="H94">
        <v>77</v>
      </c>
      <c r="J94">
        <f t="shared" si="2"/>
        <v>77</v>
      </c>
      <c r="L94">
        <f t="shared" si="3"/>
        <v>3.4375000000000003E-2</v>
      </c>
    </row>
    <row r="95" spans="1:12" x14ac:dyDescent="0.25">
      <c r="A95">
        <v>1734</v>
      </c>
      <c r="B95" t="s">
        <v>71</v>
      </c>
      <c r="C95" t="s">
        <v>56</v>
      </c>
      <c r="D95" t="s">
        <v>35</v>
      </c>
      <c r="F95">
        <v>2</v>
      </c>
      <c r="G95">
        <v>1</v>
      </c>
      <c r="H95">
        <v>21</v>
      </c>
      <c r="J95">
        <f t="shared" si="2"/>
        <v>273</v>
      </c>
      <c r="L95">
        <f t="shared" si="3"/>
        <v>0.121875</v>
      </c>
    </row>
    <row r="96" spans="1:12" x14ac:dyDescent="0.25">
      <c r="A96">
        <v>1734</v>
      </c>
      <c r="B96" t="s">
        <v>95</v>
      </c>
      <c r="C96" t="s">
        <v>56</v>
      </c>
      <c r="D96" t="s">
        <v>35</v>
      </c>
      <c r="H96">
        <v>8</v>
      </c>
      <c r="J96">
        <f t="shared" si="2"/>
        <v>8</v>
      </c>
      <c r="L96">
        <f t="shared" si="3"/>
        <v>3.5714285714285713E-3</v>
      </c>
    </row>
    <row r="97" spans="1:12" x14ac:dyDescent="0.25">
      <c r="A97">
        <v>1734</v>
      </c>
      <c r="B97" t="s">
        <v>20</v>
      </c>
      <c r="C97" t="s">
        <v>56</v>
      </c>
      <c r="D97" t="s">
        <v>35</v>
      </c>
      <c r="H97">
        <v>218</v>
      </c>
      <c r="J97">
        <f t="shared" si="2"/>
        <v>218</v>
      </c>
      <c r="L97">
        <f t="shared" si="3"/>
        <v>9.7321428571428573E-2</v>
      </c>
    </row>
    <row r="98" spans="1:12" x14ac:dyDescent="0.25">
      <c r="A98">
        <v>1734</v>
      </c>
      <c r="B98" t="s">
        <v>21</v>
      </c>
      <c r="C98" t="s">
        <v>56</v>
      </c>
      <c r="D98" t="s">
        <v>35</v>
      </c>
      <c r="H98">
        <v>103</v>
      </c>
      <c r="J98">
        <f t="shared" si="2"/>
        <v>103</v>
      </c>
      <c r="L98">
        <f t="shared" si="3"/>
        <v>4.598214285714286E-2</v>
      </c>
    </row>
    <row r="99" spans="1:12" x14ac:dyDescent="0.25">
      <c r="A99">
        <v>1734</v>
      </c>
      <c r="B99" t="s">
        <v>22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1734</v>
      </c>
      <c r="B100" t="s">
        <v>61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62</v>
      </c>
      <c r="C101" t="s">
        <v>56</v>
      </c>
      <c r="D101" t="s">
        <v>35</v>
      </c>
      <c r="E101">
        <v>47</v>
      </c>
      <c r="F101">
        <v>4</v>
      </c>
      <c r="G101">
        <v>1</v>
      </c>
      <c r="H101">
        <v>19</v>
      </c>
      <c r="J101">
        <f t="shared" si="2"/>
        <v>105775</v>
      </c>
      <c r="L101">
        <f t="shared" si="3"/>
        <v>47.220982142857146</v>
      </c>
    </row>
    <row r="102" spans="1:12" x14ac:dyDescent="0.25">
      <c r="A102">
        <v>1734</v>
      </c>
      <c r="B102" t="s">
        <v>63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1734</v>
      </c>
      <c r="B103" t="s">
        <v>89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1734</v>
      </c>
      <c r="B104" t="s">
        <v>70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64</v>
      </c>
      <c r="C105" t="s">
        <v>56</v>
      </c>
      <c r="D105" t="s">
        <v>35</v>
      </c>
      <c r="E105">
        <v>3</v>
      </c>
      <c r="F105">
        <v>3</v>
      </c>
      <c r="G105">
        <v>3</v>
      </c>
      <c r="H105">
        <v>1</v>
      </c>
      <c r="J105">
        <f t="shared" si="2"/>
        <v>7141</v>
      </c>
      <c r="L105">
        <f t="shared" si="3"/>
        <v>3.1879464285714287</v>
      </c>
    </row>
    <row r="106" spans="1:12" x14ac:dyDescent="0.25">
      <c r="A106">
        <v>1734</v>
      </c>
      <c r="B106" t="s">
        <v>65</v>
      </c>
      <c r="C106" t="s">
        <v>56</v>
      </c>
      <c r="D106" t="s">
        <v>35</v>
      </c>
      <c r="J106">
        <f t="shared" si="2"/>
        <v>0</v>
      </c>
      <c r="L106">
        <f t="shared" si="3"/>
        <v>0</v>
      </c>
    </row>
  </sheetData>
  <autoFilter ref="A1:N58" xr:uid="{AAD1F908-12B8-4B3A-A65D-184CD229ACD4}">
    <sortState xmlns:xlrd2="http://schemas.microsoft.com/office/spreadsheetml/2017/richdata2" ref="A2:N58">
      <sortCondition ref="B1:B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10" sqref="H10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1734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1734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1734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1734</v>
      </c>
      <c r="B5" t="s">
        <v>117</v>
      </c>
      <c r="C5" t="s">
        <v>67</v>
      </c>
      <c r="D5" t="s">
        <v>33</v>
      </c>
      <c r="E5" s="1"/>
      <c r="F5" s="2">
        <v>38</v>
      </c>
      <c r="G5" s="2">
        <v>1</v>
      </c>
      <c r="I5" s="1"/>
      <c r="J5">
        <f t="shared" si="0"/>
        <v>4284</v>
      </c>
      <c r="K5" s="1"/>
      <c r="L5">
        <f t="shared" si="1"/>
        <v>1.9125000000000001</v>
      </c>
    </row>
    <row r="6" spans="1:12" x14ac:dyDescent="0.25">
      <c r="A6">
        <v>1734</v>
      </c>
      <c r="B6" t="s">
        <v>9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1734</v>
      </c>
      <c r="B7" t="s">
        <v>11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1734</v>
      </c>
      <c r="B8" t="s">
        <v>12</v>
      </c>
      <c r="C8" t="s">
        <v>67</v>
      </c>
      <c r="D8" t="s">
        <v>33</v>
      </c>
      <c r="H8">
        <v>436</v>
      </c>
      <c r="J8">
        <f t="shared" si="0"/>
        <v>436</v>
      </c>
      <c r="L8">
        <f t="shared" si="1"/>
        <v>0.19464285714285715</v>
      </c>
    </row>
    <row r="9" spans="1:12" x14ac:dyDescent="0.25">
      <c r="A9">
        <v>1734</v>
      </c>
      <c r="B9" t="s">
        <v>27</v>
      </c>
      <c r="C9" t="s">
        <v>67</v>
      </c>
      <c r="D9" t="s">
        <v>33</v>
      </c>
      <c r="H9">
        <v>9262.5</v>
      </c>
      <c r="I9" t="s">
        <v>119</v>
      </c>
      <c r="J9">
        <f t="shared" si="0"/>
        <v>9262.5</v>
      </c>
      <c r="K9" s="1"/>
      <c r="L9">
        <f t="shared" si="1"/>
        <v>4.1350446428571432</v>
      </c>
    </row>
    <row r="10" spans="1:12" x14ac:dyDescent="0.25">
      <c r="A10">
        <v>1734</v>
      </c>
      <c r="B10" t="s">
        <v>15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1734</v>
      </c>
      <c r="B11" t="s">
        <v>17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1734</v>
      </c>
      <c r="B12" t="s">
        <v>18</v>
      </c>
      <c r="C12" t="s">
        <v>67</v>
      </c>
      <c r="D12" t="s">
        <v>33</v>
      </c>
      <c r="H12">
        <v>400</v>
      </c>
      <c r="I12" t="s">
        <v>118</v>
      </c>
      <c r="J12">
        <f t="shared" si="0"/>
        <v>400</v>
      </c>
      <c r="L12">
        <f t="shared" si="1"/>
        <v>0.17857142857142858</v>
      </c>
    </row>
    <row r="13" spans="1:12" x14ac:dyDescent="0.25">
      <c r="A13">
        <v>1734</v>
      </c>
      <c r="B13" t="s">
        <v>19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1734</v>
      </c>
      <c r="B14" t="s">
        <v>21</v>
      </c>
      <c r="C14" t="s">
        <v>67</v>
      </c>
      <c r="D14" t="s">
        <v>33</v>
      </c>
      <c r="H14">
        <v>15</v>
      </c>
      <c r="J14">
        <f t="shared" si="0"/>
        <v>15</v>
      </c>
      <c r="L14">
        <f t="shared" si="1"/>
        <v>6.6964285714285711E-3</v>
      </c>
    </row>
    <row r="15" spans="1:12" x14ac:dyDescent="0.25">
      <c r="A15">
        <v>1734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1734</v>
      </c>
      <c r="B16" t="s">
        <v>61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63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1734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1734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1734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1734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1734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1734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1734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1734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1734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1734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8"/>
  <sheetViews>
    <sheetView topLeftCell="A112" zoomScaleNormal="100" workbookViewId="0">
      <selection activeCell="H117" sqref="H11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1734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1734</v>
      </c>
      <c r="B3" t="s">
        <v>57</v>
      </c>
      <c r="C3" t="s">
        <v>68</v>
      </c>
      <c r="D3" t="s">
        <v>33</v>
      </c>
      <c r="J3">
        <f t="shared" ref="J3:J75" si="0">(E3*2240)+(F3*112)+(G3*28)+H3</f>
        <v>0</v>
      </c>
      <c r="L3">
        <f t="shared" ref="L3:L75" si="1">J3/2240</f>
        <v>0</v>
      </c>
    </row>
    <row r="4" spans="1:12" x14ac:dyDescent="0.25">
      <c r="A4">
        <v>1734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1734</v>
      </c>
      <c r="B5" t="s">
        <v>4</v>
      </c>
      <c r="C5" t="s">
        <v>68</v>
      </c>
      <c r="D5" t="s">
        <v>33</v>
      </c>
      <c r="H5">
        <v>176</v>
      </c>
      <c r="J5">
        <f t="shared" si="0"/>
        <v>176</v>
      </c>
      <c r="L5">
        <f t="shared" si="1"/>
        <v>7.857142857142857E-2</v>
      </c>
    </row>
    <row r="6" spans="1:12" x14ac:dyDescent="0.25">
      <c r="A6">
        <v>1734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1734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1734</v>
      </c>
      <c r="B8" t="s">
        <v>120</v>
      </c>
      <c r="C8" t="s">
        <v>68</v>
      </c>
      <c r="D8" t="s">
        <v>33</v>
      </c>
      <c r="H8">
        <v>447.5</v>
      </c>
      <c r="J8">
        <f t="shared" si="0"/>
        <v>447.5</v>
      </c>
      <c r="L8">
        <f t="shared" si="1"/>
        <v>0.19977678571428573</v>
      </c>
    </row>
    <row r="9" spans="1:12" x14ac:dyDescent="0.25">
      <c r="A9">
        <v>1734</v>
      </c>
      <c r="B9" t="s">
        <v>112</v>
      </c>
      <c r="C9" t="s">
        <v>68</v>
      </c>
      <c r="D9" t="s">
        <v>33</v>
      </c>
      <c r="H9">
        <v>120</v>
      </c>
      <c r="J9">
        <f t="shared" si="0"/>
        <v>120</v>
      </c>
      <c r="L9">
        <f t="shared" si="1"/>
        <v>5.3571428571428568E-2</v>
      </c>
    </row>
    <row r="10" spans="1:12" x14ac:dyDescent="0.25">
      <c r="A10">
        <v>1734</v>
      </c>
      <c r="B10" t="s">
        <v>101</v>
      </c>
      <c r="C10" t="s">
        <v>68</v>
      </c>
      <c r="D10" t="s">
        <v>33</v>
      </c>
      <c r="H10">
        <v>121</v>
      </c>
      <c r="J10">
        <f t="shared" si="0"/>
        <v>121</v>
      </c>
      <c r="L10">
        <f t="shared" si="1"/>
        <v>5.4017857142857145E-2</v>
      </c>
    </row>
    <row r="11" spans="1:12" x14ac:dyDescent="0.25">
      <c r="A11">
        <v>1734</v>
      </c>
      <c r="B11" t="s">
        <v>107</v>
      </c>
      <c r="C11" t="s">
        <v>68</v>
      </c>
      <c r="D11" t="s">
        <v>33</v>
      </c>
      <c r="H11">
        <v>1348</v>
      </c>
      <c r="J11">
        <f t="shared" si="0"/>
        <v>1348</v>
      </c>
      <c r="L11">
        <f t="shared" si="1"/>
        <v>0.60178571428571426</v>
      </c>
    </row>
    <row r="12" spans="1:12" x14ac:dyDescent="0.25">
      <c r="A12">
        <v>1734</v>
      </c>
      <c r="B12" t="s">
        <v>43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1734</v>
      </c>
      <c r="B13" t="s">
        <v>76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1734</v>
      </c>
      <c r="B14" t="s">
        <v>5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1734</v>
      </c>
      <c r="B15" t="s">
        <v>59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1734</v>
      </c>
      <c r="B16" t="s">
        <v>6</v>
      </c>
      <c r="C16" t="s">
        <v>68</v>
      </c>
      <c r="D16" t="s">
        <v>33</v>
      </c>
      <c r="F16">
        <v>197965</v>
      </c>
      <c r="G16">
        <v>3</v>
      </c>
      <c r="H16">
        <v>16</v>
      </c>
      <c r="J16">
        <f t="shared" si="0"/>
        <v>22172180</v>
      </c>
      <c r="L16">
        <f t="shared" si="1"/>
        <v>9898.2946428571431</v>
      </c>
    </row>
    <row r="17" spans="1:12" x14ac:dyDescent="0.25">
      <c r="A17">
        <v>1734</v>
      </c>
      <c r="B17" t="s">
        <v>96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60</v>
      </c>
      <c r="C18" t="s">
        <v>68</v>
      </c>
      <c r="D18" t="s">
        <v>33</v>
      </c>
      <c r="H18">
        <v>123</v>
      </c>
      <c r="J18">
        <f t="shared" si="0"/>
        <v>123</v>
      </c>
      <c r="L18">
        <f t="shared" si="1"/>
        <v>5.4910714285714285E-2</v>
      </c>
    </row>
    <row r="19" spans="1:12" x14ac:dyDescent="0.25">
      <c r="A19">
        <v>1734</v>
      </c>
      <c r="B19" t="s">
        <v>7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1734</v>
      </c>
      <c r="B20" t="s">
        <v>37</v>
      </c>
      <c r="C20" t="s">
        <v>68</v>
      </c>
      <c r="D20" t="s">
        <v>33</v>
      </c>
      <c r="H20">
        <v>366</v>
      </c>
      <c r="J20">
        <f t="shared" si="0"/>
        <v>366</v>
      </c>
      <c r="L20">
        <f t="shared" si="1"/>
        <v>0.16339285714285715</v>
      </c>
    </row>
    <row r="21" spans="1:12" x14ac:dyDescent="0.25">
      <c r="A21">
        <v>1734</v>
      </c>
      <c r="B21" t="s">
        <v>8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1734</v>
      </c>
      <c r="B22" t="s">
        <v>40</v>
      </c>
      <c r="C22" t="s">
        <v>68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1734</v>
      </c>
      <c r="B23" t="s">
        <v>77</v>
      </c>
      <c r="C23" t="s">
        <v>68</v>
      </c>
      <c r="D23" t="s">
        <v>33</v>
      </c>
      <c r="F23">
        <v>27</v>
      </c>
      <c r="H23">
        <v>26</v>
      </c>
      <c r="J23">
        <f t="shared" si="0"/>
        <v>3050</v>
      </c>
      <c r="L23">
        <f t="shared" si="1"/>
        <v>1.3616071428571428</v>
      </c>
    </row>
    <row r="24" spans="1:12" x14ac:dyDescent="0.25">
      <c r="A24">
        <v>1734</v>
      </c>
      <c r="B24" t="s">
        <v>121</v>
      </c>
      <c r="C24" t="s">
        <v>68</v>
      </c>
      <c r="D24" t="s">
        <v>33</v>
      </c>
      <c r="H24">
        <v>1524</v>
      </c>
      <c r="J24">
        <f t="shared" si="0"/>
        <v>1524</v>
      </c>
      <c r="L24">
        <f t="shared" si="1"/>
        <v>0.68035714285714288</v>
      </c>
    </row>
    <row r="25" spans="1:12" x14ac:dyDescent="0.25">
      <c r="A25">
        <v>1734</v>
      </c>
      <c r="B25" t="s">
        <v>78</v>
      </c>
      <c r="C25" t="s">
        <v>68</v>
      </c>
      <c r="D25" t="s">
        <v>33</v>
      </c>
      <c r="H25">
        <v>41017</v>
      </c>
      <c r="J25">
        <f t="shared" si="0"/>
        <v>41017</v>
      </c>
      <c r="L25">
        <f t="shared" si="1"/>
        <v>18.311160714285716</v>
      </c>
    </row>
    <row r="26" spans="1:12" x14ac:dyDescent="0.25">
      <c r="A26">
        <v>1734</v>
      </c>
      <c r="B26" t="s">
        <v>46</v>
      </c>
      <c r="C26" t="s">
        <v>68</v>
      </c>
      <c r="D26" t="s">
        <v>33</v>
      </c>
      <c r="H26">
        <v>2168</v>
      </c>
      <c r="J26">
        <f t="shared" si="0"/>
        <v>2168</v>
      </c>
      <c r="L26">
        <f t="shared" si="1"/>
        <v>0.96785714285714286</v>
      </c>
    </row>
    <row r="27" spans="1:12" x14ac:dyDescent="0.25">
      <c r="A27">
        <v>1734</v>
      </c>
      <c r="B27" t="s">
        <v>9</v>
      </c>
      <c r="C27" t="s">
        <v>68</v>
      </c>
      <c r="D27" t="s">
        <v>33</v>
      </c>
      <c r="H27">
        <f>482*200+166</f>
        <v>96566</v>
      </c>
      <c r="I27" t="s">
        <v>129</v>
      </c>
      <c r="J27">
        <f t="shared" si="0"/>
        <v>96566</v>
      </c>
      <c r="L27">
        <f t="shared" si="1"/>
        <v>43.109821428571429</v>
      </c>
    </row>
    <row r="28" spans="1:12" x14ac:dyDescent="0.25">
      <c r="A28">
        <v>1734</v>
      </c>
      <c r="B28" t="s">
        <v>10</v>
      </c>
      <c r="C28" t="s">
        <v>68</v>
      </c>
      <c r="D28" t="s">
        <v>33</v>
      </c>
      <c r="F28">
        <v>15398</v>
      </c>
      <c r="G28">
        <v>3</v>
      </c>
      <c r="H28">
        <v>6</v>
      </c>
      <c r="J28">
        <f t="shared" si="0"/>
        <v>1724666</v>
      </c>
      <c r="L28">
        <f t="shared" si="1"/>
        <v>769.94017857142853</v>
      </c>
    </row>
    <row r="29" spans="1:12" x14ac:dyDescent="0.25">
      <c r="A29">
        <v>1734</v>
      </c>
      <c r="B29" t="s">
        <v>11</v>
      </c>
      <c r="C29" t="s">
        <v>68</v>
      </c>
      <c r="D29" t="s">
        <v>33</v>
      </c>
      <c r="F29">
        <v>51</v>
      </c>
      <c r="H29">
        <v>14</v>
      </c>
      <c r="J29">
        <f t="shared" si="0"/>
        <v>5726</v>
      </c>
      <c r="L29">
        <f t="shared" si="1"/>
        <v>2.5562499999999999</v>
      </c>
    </row>
    <row r="30" spans="1:12" x14ac:dyDescent="0.25">
      <c r="A30">
        <v>1734</v>
      </c>
      <c r="B30" t="s">
        <v>39</v>
      </c>
      <c r="C30" t="s">
        <v>68</v>
      </c>
      <c r="D30" t="s">
        <v>33</v>
      </c>
      <c r="H30">
        <v>72</v>
      </c>
      <c r="J30">
        <f t="shared" si="0"/>
        <v>72</v>
      </c>
      <c r="L30">
        <f t="shared" si="1"/>
        <v>3.214285714285714E-2</v>
      </c>
    </row>
    <row r="31" spans="1:12" x14ac:dyDescent="0.25">
      <c r="A31">
        <v>1734</v>
      </c>
      <c r="B31" t="s">
        <v>79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122</v>
      </c>
      <c r="C32" t="s">
        <v>68</v>
      </c>
      <c r="D32" t="s">
        <v>33</v>
      </c>
      <c r="H32">
        <v>518</v>
      </c>
      <c r="J32">
        <f t="shared" si="0"/>
        <v>518</v>
      </c>
      <c r="L32">
        <f t="shared" si="1"/>
        <v>0.23125000000000001</v>
      </c>
    </row>
    <row r="33" spans="1:12" x14ac:dyDescent="0.25">
      <c r="A33">
        <v>1734</v>
      </c>
      <c r="B33" t="s">
        <v>103</v>
      </c>
      <c r="C33" t="s">
        <v>68</v>
      </c>
      <c r="D33" t="s">
        <v>33</v>
      </c>
      <c r="H33">
        <v>3850</v>
      </c>
      <c r="J33">
        <f t="shared" si="0"/>
        <v>3850</v>
      </c>
      <c r="L33">
        <f t="shared" si="1"/>
        <v>1.71875</v>
      </c>
    </row>
    <row r="34" spans="1:12" x14ac:dyDescent="0.25">
      <c r="A34">
        <v>1734</v>
      </c>
      <c r="B34" t="s">
        <v>44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1734</v>
      </c>
      <c r="B35" t="s">
        <v>97</v>
      </c>
      <c r="C35" t="s">
        <v>68</v>
      </c>
      <c r="D35" t="s">
        <v>33</v>
      </c>
      <c r="H35">
        <v>87</v>
      </c>
      <c r="J35">
        <f t="shared" si="0"/>
        <v>87</v>
      </c>
      <c r="L35">
        <f t="shared" si="1"/>
        <v>3.8839285714285715E-2</v>
      </c>
    </row>
    <row r="36" spans="1:12" x14ac:dyDescent="0.25">
      <c r="A36">
        <v>1734</v>
      </c>
      <c r="B36" t="s">
        <v>12</v>
      </c>
      <c r="C36" t="s">
        <v>68</v>
      </c>
      <c r="D36" t="s">
        <v>33</v>
      </c>
      <c r="H36">
        <f>32351+50963</f>
        <v>83314</v>
      </c>
      <c r="J36">
        <f t="shared" si="0"/>
        <v>83314</v>
      </c>
      <c r="L36">
        <f t="shared" si="1"/>
        <v>37.193750000000001</v>
      </c>
    </row>
    <row r="37" spans="1:12" x14ac:dyDescent="0.25">
      <c r="A37">
        <v>1734</v>
      </c>
      <c r="B37" t="s">
        <v>82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1734</v>
      </c>
      <c r="B38" t="s">
        <v>34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1734</v>
      </c>
      <c r="B39" t="s">
        <v>13</v>
      </c>
      <c r="C39" t="s">
        <v>68</v>
      </c>
      <c r="D39" t="s">
        <v>33</v>
      </c>
      <c r="E39">
        <v>5</v>
      </c>
      <c r="J39">
        <f t="shared" si="0"/>
        <v>11200</v>
      </c>
      <c r="L39">
        <f t="shared" si="1"/>
        <v>5</v>
      </c>
    </row>
    <row r="40" spans="1:12" x14ac:dyDescent="0.25">
      <c r="A40">
        <v>1734</v>
      </c>
      <c r="B40" t="s">
        <v>14</v>
      </c>
      <c r="C40" t="s">
        <v>68</v>
      </c>
      <c r="D40" t="s">
        <v>33</v>
      </c>
      <c r="H40">
        <v>108138</v>
      </c>
      <c r="I40" t="s">
        <v>123</v>
      </c>
      <c r="J40">
        <f t="shared" si="0"/>
        <v>108138</v>
      </c>
      <c r="L40">
        <f t="shared" si="1"/>
        <v>48.275892857142857</v>
      </c>
    </row>
    <row r="41" spans="1:12" x14ac:dyDescent="0.25">
      <c r="A41">
        <v>1734</v>
      </c>
      <c r="B41" t="s">
        <v>23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1734</v>
      </c>
      <c r="B42" t="s">
        <v>27</v>
      </c>
      <c r="C42" t="s">
        <v>68</v>
      </c>
      <c r="D42" t="s">
        <v>33</v>
      </c>
      <c r="H42">
        <v>239401.5</v>
      </c>
      <c r="I42" t="s">
        <v>126</v>
      </c>
      <c r="J42">
        <f t="shared" si="0"/>
        <v>239401.5</v>
      </c>
      <c r="L42">
        <f t="shared" si="1"/>
        <v>106.87566964285715</v>
      </c>
    </row>
    <row r="43" spans="1:12" x14ac:dyDescent="0.25">
      <c r="A43">
        <v>1734</v>
      </c>
      <c r="B43" t="s">
        <v>15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1734</v>
      </c>
      <c r="B44" t="s">
        <v>42</v>
      </c>
      <c r="C44" t="s">
        <v>68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1734</v>
      </c>
      <c r="B45" t="s">
        <v>83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1734</v>
      </c>
      <c r="B46" t="s">
        <v>47</v>
      </c>
      <c r="C46" t="s">
        <v>68</v>
      </c>
      <c r="D46" t="s">
        <v>33</v>
      </c>
      <c r="H46">
        <v>165</v>
      </c>
      <c r="I46" t="s">
        <v>124</v>
      </c>
      <c r="J46">
        <f t="shared" si="0"/>
        <v>165</v>
      </c>
      <c r="L46">
        <f t="shared" si="1"/>
        <v>7.3660714285714288E-2</v>
      </c>
    </row>
    <row r="47" spans="1:12" x14ac:dyDescent="0.25">
      <c r="A47">
        <v>1734</v>
      </c>
      <c r="B47" t="s">
        <v>16</v>
      </c>
      <c r="C47" t="s">
        <v>68</v>
      </c>
      <c r="D47" t="s">
        <v>33</v>
      </c>
      <c r="H47">
        <v>138914</v>
      </c>
      <c r="J47">
        <f t="shared" si="0"/>
        <v>138914</v>
      </c>
      <c r="L47">
        <f t="shared" si="1"/>
        <v>62.015178571428571</v>
      </c>
    </row>
    <row r="48" spans="1:12" x14ac:dyDescent="0.25">
      <c r="A48">
        <v>1734</v>
      </c>
      <c r="B48" t="s">
        <v>127</v>
      </c>
      <c r="C48" t="s">
        <v>68</v>
      </c>
      <c r="D48" t="s">
        <v>33</v>
      </c>
      <c r="H48">
        <v>21715.5</v>
      </c>
      <c r="I48" t="s">
        <v>128</v>
      </c>
    </row>
    <row r="49" spans="1:12" x14ac:dyDescent="0.25">
      <c r="A49">
        <v>1734</v>
      </c>
      <c r="B49" t="s">
        <v>17</v>
      </c>
      <c r="C49" t="s">
        <v>68</v>
      </c>
      <c r="D49" t="s">
        <v>33</v>
      </c>
      <c r="F49">
        <v>3</v>
      </c>
      <c r="G49">
        <v>2</v>
      </c>
      <c r="H49">
        <v>21</v>
      </c>
      <c r="J49">
        <f t="shared" si="0"/>
        <v>413</v>
      </c>
      <c r="L49">
        <f t="shared" si="1"/>
        <v>0.18437500000000001</v>
      </c>
    </row>
    <row r="50" spans="1:12" x14ac:dyDescent="0.25">
      <c r="A50">
        <v>1734</v>
      </c>
      <c r="B50" t="s">
        <v>18</v>
      </c>
      <c r="C50" t="s">
        <v>68</v>
      </c>
      <c r="D50" t="s">
        <v>33</v>
      </c>
      <c r="H50">
        <v>1701952</v>
      </c>
      <c r="I50" t="s">
        <v>125</v>
      </c>
      <c r="J50">
        <f t="shared" si="0"/>
        <v>1701952</v>
      </c>
      <c r="L50">
        <f t="shared" si="1"/>
        <v>759.8</v>
      </c>
    </row>
    <row r="51" spans="1:12" x14ac:dyDescent="0.25">
      <c r="A51">
        <v>1734</v>
      </c>
      <c r="B51" t="s">
        <v>26</v>
      </c>
      <c r="C51" t="s">
        <v>68</v>
      </c>
      <c r="D51" t="s">
        <v>33</v>
      </c>
      <c r="H51">
        <v>37340</v>
      </c>
      <c r="J51">
        <f t="shared" si="0"/>
        <v>37340</v>
      </c>
      <c r="L51">
        <f t="shared" si="1"/>
        <v>16.669642857142858</v>
      </c>
    </row>
    <row r="52" spans="1:12" x14ac:dyDescent="0.25">
      <c r="A52">
        <v>1734</v>
      </c>
      <c r="B52" t="s">
        <v>84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1734</v>
      </c>
      <c r="B53" t="s">
        <v>19</v>
      </c>
      <c r="C53" t="s">
        <v>68</v>
      </c>
      <c r="D53" t="s">
        <v>33</v>
      </c>
      <c r="F53">
        <v>842</v>
      </c>
      <c r="J53">
        <f t="shared" si="0"/>
        <v>94304</v>
      </c>
      <c r="L53">
        <f t="shared" si="1"/>
        <v>42.1</v>
      </c>
    </row>
    <row r="54" spans="1:12" x14ac:dyDescent="0.25">
      <c r="A54">
        <v>1734</v>
      </c>
      <c r="B54" t="s">
        <v>45</v>
      </c>
      <c r="C54" t="s">
        <v>68</v>
      </c>
      <c r="D54" t="s">
        <v>33</v>
      </c>
      <c r="H54">
        <v>9939</v>
      </c>
      <c r="J54">
        <f t="shared" si="0"/>
        <v>9939</v>
      </c>
      <c r="L54">
        <f t="shared" si="1"/>
        <v>4.4370535714285717</v>
      </c>
    </row>
    <row r="55" spans="1:12" x14ac:dyDescent="0.25">
      <c r="A55">
        <v>1734</v>
      </c>
      <c r="B55" t="s">
        <v>85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1734</v>
      </c>
      <c r="B56" t="s">
        <v>54</v>
      </c>
      <c r="C56" t="s">
        <v>68</v>
      </c>
      <c r="D56" t="s">
        <v>33</v>
      </c>
      <c r="H56">
        <v>2046</v>
      </c>
      <c r="J56">
        <f t="shared" si="0"/>
        <v>2046</v>
      </c>
      <c r="L56">
        <f t="shared" si="1"/>
        <v>0.91339285714285712</v>
      </c>
    </row>
    <row r="57" spans="1:12" x14ac:dyDescent="0.25">
      <c r="A57">
        <v>1734</v>
      </c>
      <c r="B57" t="s">
        <v>95</v>
      </c>
      <c r="C57" t="s">
        <v>68</v>
      </c>
      <c r="D57" t="s">
        <v>33</v>
      </c>
      <c r="H57">
        <v>528</v>
      </c>
      <c r="J57">
        <f t="shared" si="0"/>
        <v>528</v>
      </c>
      <c r="L57">
        <f t="shared" si="1"/>
        <v>0.23571428571428571</v>
      </c>
    </row>
    <row r="58" spans="1:12" x14ac:dyDescent="0.25">
      <c r="A58">
        <v>1734</v>
      </c>
      <c r="B58" t="s">
        <v>20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1734</v>
      </c>
      <c r="B59" t="s">
        <v>21</v>
      </c>
      <c r="C59" t="s">
        <v>68</v>
      </c>
      <c r="D59" t="s">
        <v>33</v>
      </c>
      <c r="H59">
        <v>4508.5</v>
      </c>
      <c r="J59">
        <f t="shared" si="0"/>
        <v>4508.5</v>
      </c>
      <c r="L59">
        <f t="shared" si="1"/>
        <v>2.0127232142857143</v>
      </c>
    </row>
    <row r="60" spans="1:12" x14ac:dyDescent="0.25">
      <c r="A60">
        <v>1734</v>
      </c>
      <c r="B60" t="s">
        <v>90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1734</v>
      </c>
      <c r="B61" t="s">
        <v>105</v>
      </c>
      <c r="C61" t="s">
        <v>68</v>
      </c>
      <c r="D61" t="s">
        <v>33</v>
      </c>
      <c r="F61">
        <v>1</v>
      </c>
      <c r="J61">
        <f t="shared" si="0"/>
        <v>112</v>
      </c>
      <c r="L61">
        <f t="shared" si="1"/>
        <v>0.05</v>
      </c>
    </row>
    <row r="62" spans="1:12" x14ac:dyDescent="0.25">
      <c r="A62">
        <v>1734</v>
      </c>
      <c r="B62" t="s">
        <v>22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1734</v>
      </c>
      <c r="B63" t="s">
        <v>61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98</v>
      </c>
      <c r="C64" t="s">
        <v>68</v>
      </c>
      <c r="D64" t="s">
        <v>33</v>
      </c>
      <c r="E64">
        <v>75</v>
      </c>
      <c r="F64">
        <v>18</v>
      </c>
      <c r="G64">
        <v>3</v>
      </c>
      <c r="H64">
        <v>4500</v>
      </c>
      <c r="J64">
        <f t="shared" si="0"/>
        <v>174600</v>
      </c>
      <c r="L64">
        <f t="shared" si="1"/>
        <v>77.946428571428569</v>
      </c>
    </row>
    <row r="65" spans="1:12" x14ac:dyDescent="0.25">
      <c r="A65">
        <v>1734</v>
      </c>
      <c r="B65" t="s">
        <v>87</v>
      </c>
      <c r="C65" t="s">
        <v>68</v>
      </c>
      <c r="D65" t="s">
        <v>33</v>
      </c>
      <c r="E65">
        <v>55</v>
      </c>
      <c r="J65">
        <f t="shared" si="0"/>
        <v>123200</v>
      </c>
      <c r="L65">
        <f t="shared" si="1"/>
        <v>55</v>
      </c>
    </row>
    <row r="66" spans="1:12" x14ac:dyDescent="0.25">
      <c r="A66">
        <v>1734</v>
      </c>
      <c r="B66" t="s">
        <v>62</v>
      </c>
      <c r="C66" t="s">
        <v>68</v>
      </c>
      <c r="D66" t="s">
        <v>33</v>
      </c>
      <c r="E66">
        <v>8</v>
      </c>
      <c r="J66">
        <f t="shared" si="0"/>
        <v>17920</v>
      </c>
      <c r="L66">
        <f t="shared" si="1"/>
        <v>8</v>
      </c>
    </row>
    <row r="67" spans="1:12" x14ac:dyDescent="0.25">
      <c r="A67">
        <v>1734</v>
      </c>
      <c r="B67" t="s">
        <v>88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1734</v>
      </c>
      <c r="B68" t="s">
        <v>63</v>
      </c>
      <c r="C68" t="s">
        <v>68</v>
      </c>
      <c r="D68" t="s">
        <v>33</v>
      </c>
      <c r="E68">
        <v>316</v>
      </c>
      <c r="F68">
        <v>8</v>
      </c>
      <c r="G68">
        <v>3</v>
      </c>
      <c r="H68">
        <v>9</v>
      </c>
      <c r="J68">
        <f t="shared" si="0"/>
        <v>708829</v>
      </c>
      <c r="L68">
        <f t="shared" si="1"/>
        <v>316.44151785714286</v>
      </c>
    </row>
    <row r="69" spans="1:12" x14ac:dyDescent="0.25">
      <c r="A69">
        <v>1734</v>
      </c>
      <c r="B69" t="s">
        <v>89</v>
      </c>
      <c r="C69" t="s">
        <v>68</v>
      </c>
      <c r="D69" t="s">
        <v>33</v>
      </c>
      <c r="E69">
        <v>270</v>
      </c>
      <c r="F69">
        <v>14</v>
      </c>
      <c r="H69">
        <v>4784</v>
      </c>
      <c r="J69">
        <f t="shared" si="0"/>
        <v>611152</v>
      </c>
      <c r="L69">
        <f t="shared" si="1"/>
        <v>272.83571428571429</v>
      </c>
    </row>
    <row r="70" spans="1:12" x14ac:dyDescent="0.25">
      <c r="A70">
        <v>1734</v>
      </c>
      <c r="B70" t="s">
        <v>70</v>
      </c>
      <c r="C70" t="s">
        <v>68</v>
      </c>
      <c r="D70" t="s">
        <v>33</v>
      </c>
      <c r="E70">
        <v>82</v>
      </c>
      <c r="F70">
        <v>10</v>
      </c>
      <c r="G70">
        <v>3</v>
      </c>
      <c r="J70">
        <f t="shared" si="0"/>
        <v>184884</v>
      </c>
      <c r="L70">
        <f t="shared" si="1"/>
        <v>82.537499999999994</v>
      </c>
    </row>
    <row r="71" spans="1:12" x14ac:dyDescent="0.25">
      <c r="A71">
        <v>1734</v>
      </c>
      <c r="B71" t="s">
        <v>64</v>
      </c>
      <c r="C71" t="s">
        <v>68</v>
      </c>
      <c r="D71" t="s">
        <v>33</v>
      </c>
      <c r="E71">
        <v>20</v>
      </c>
      <c r="F71">
        <v>5</v>
      </c>
      <c r="J71">
        <f t="shared" si="0"/>
        <v>45360</v>
      </c>
      <c r="L71">
        <f t="shared" si="1"/>
        <v>20.25</v>
      </c>
    </row>
    <row r="72" spans="1:12" x14ac:dyDescent="0.25">
      <c r="A72">
        <v>1734</v>
      </c>
      <c r="B72" t="s">
        <v>65</v>
      </c>
      <c r="C72" t="s">
        <v>68</v>
      </c>
      <c r="D72" t="s">
        <v>33</v>
      </c>
      <c r="J72">
        <f t="shared" si="0"/>
        <v>0</v>
      </c>
      <c r="L72">
        <f t="shared" si="1"/>
        <v>0</v>
      </c>
    </row>
    <row r="73" spans="1:12" x14ac:dyDescent="0.25">
      <c r="A73">
        <v>1734</v>
      </c>
      <c r="B73" t="s">
        <v>55</v>
      </c>
      <c r="C73" t="s">
        <v>68</v>
      </c>
      <c r="D73" t="s">
        <v>35</v>
      </c>
      <c r="J73">
        <f t="shared" si="0"/>
        <v>0</v>
      </c>
      <c r="L73">
        <f t="shared" si="1"/>
        <v>0</v>
      </c>
    </row>
    <row r="74" spans="1:12" x14ac:dyDescent="0.25">
      <c r="A74">
        <v>1734</v>
      </c>
      <c r="B74" t="s">
        <v>57</v>
      </c>
      <c r="C74" t="s">
        <v>68</v>
      </c>
      <c r="D74" t="s">
        <v>35</v>
      </c>
      <c r="J74">
        <f t="shared" si="0"/>
        <v>0</v>
      </c>
      <c r="L74">
        <f t="shared" si="1"/>
        <v>0</v>
      </c>
    </row>
    <row r="75" spans="1:12" x14ac:dyDescent="0.25">
      <c r="A75">
        <v>1734</v>
      </c>
      <c r="B75" t="s">
        <v>36</v>
      </c>
      <c r="C75" t="s">
        <v>68</v>
      </c>
      <c r="D75" t="s">
        <v>35</v>
      </c>
      <c r="J75">
        <f t="shared" si="0"/>
        <v>0</v>
      </c>
      <c r="L75">
        <f t="shared" si="1"/>
        <v>0</v>
      </c>
    </row>
    <row r="76" spans="1:12" x14ac:dyDescent="0.25">
      <c r="A76">
        <v>1734</v>
      </c>
      <c r="B76" t="s">
        <v>4</v>
      </c>
      <c r="C76" t="s">
        <v>68</v>
      </c>
      <c r="D76" t="s">
        <v>35</v>
      </c>
      <c r="J76">
        <f t="shared" ref="J76:J138" si="2">(E76*2240)+(F76*112)+(G76*28)+H76</f>
        <v>0</v>
      </c>
      <c r="L76">
        <f t="shared" ref="L76:L138" si="3">J76/2240</f>
        <v>0</v>
      </c>
    </row>
    <row r="77" spans="1:12" x14ac:dyDescent="0.25">
      <c r="A77">
        <v>1734</v>
      </c>
      <c r="B77" t="s">
        <v>58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1734</v>
      </c>
      <c r="B78" t="s">
        <v>69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1734</v>
      </c>
      <c r="B79" t="s">
        <v>101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1734</v>
      </c>
      <c r="B80" t="s">
        <v>43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1734</v>
      </c>
      <c r="B81" t="s">
        <v>76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1734</v>
      </c>
      <c r="B82" t="s">
        <v>5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1734</v>
      </c>
      <c r="B83" t="s">
        <v>59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1734</v>
      </c>
      <c r="B84" t="s">
        <v>6</v>
      </c>
      <c r="C84" t="s">
        <v>68</v>
      </c>
      <c r="D84" t="s">
        <v>35</v>
      </c>
      <c r="F84">
        <v>102007</v>
      </c>
      <c r="G84">
        <v>1</v>
      </c>
      <c r="H84">
        <v>23</v>
      </c>
      <c r="J84">
        <f t="shared" si="2"/>
        <v>11424835</v>
      </c>
      <c r="L84">
        <f t="shared" si="3"/>
        <v>5100.3727678571431</v>
      </c>
    </row>
    <row r="85" spans="1:12" x14ac:dyDescent="0.25">
      <c r="A85">
        <v>1734</v>
      </c>
      <c r="B85" t="s">
        <v>60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1734</v>
      </c>
      <c r="B86" t="s">
        <v>38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1734</v>
      </c>
      <c r="B87" t="s">
        <v>37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1734</v>
      </c>
      <c r="B88" t="s">
        <v>8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1734</v>
      </c>
      <c r="B89" t="s">
        <v>40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1734</v>
      </c>
      <c r="B90" t="s">
        <v>77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1734</v>
      </c>
      <c r="B91" t="s">
        <v>78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46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1734</v>
      </c>
      <c r="B93" t="s">
        <v>9</v>
      </c>
      <c r="C93" t="s">
        <v>68</v>
      </c>
      <c r="D93" t="s">
        <v>35</v>
      </c>
      <c r="H93">
        <f>898*200+95</f>
        <v>179695</v>
      </c>
      <c r="I93" t="s">
        <v>159</v>
      </c>
      <c r="J93">
        <f t="shared" si="2"/>
        <v>179695</v>
      </c>
      <c r="L93">
        <f t="shared" si="3"/>
        <v>80.220982142857139</v>
      </c>
    </row>
    <row r="94" spans="1:12" x14ac:dyDescent="0.25">
      <c r="A94">
        <v>1734</v>
      </c>
      <c r="B94" t="s">
        <v>10</v>
      </c>
      <c r="C94" t="s">
        <v>68</v>
      </c>
      <c r="D94" t="s">
        <v>35</v>
      </c>
      <c r="F94">
        <v>7069</v>
      </c>
      <c r="H94">
        <v>1</v>
      </c>
      <c r="J94">
        <f t="shared" si="2"/>
        <v>791729</v>
      </c>
      <c r="L94">
        <f t="shared" si="3"/>
        <v>353.45044642857141</v>
      </c>
    </row>
    <row r="95" spans="1:12" x14ac:dyDescent="0.25">
      <c r="A95">
        <v>1734</v>
      </c>
      <c r="B95" t="s">
        <v>11</v>
      </c>
      <c r="C95" t="s">
        <v>68</v>
      </c>
      <c r="D95" t="s">
        <v>35</v>
      </c>
      <c r="F95">
        <v>305</v>
      </c>
      <c r="G95">
        <v>2</v>
      </c>
      <c r="H95">
        <v>20</v>
      </c>
      <c r="J95">
        <f t="shared" si="2"/>
        <v>34236</v>
      </c>
      <c r="L95">
        <f t="shared" si="3"/>
        <v>15.283928571428572</v>
      </c>
    </row>
    <row r="96" spans="1:12" x14ac:dyDescent="0.25">
      <c r="A96">
        <v>1734</v>
      </c>
      <c r="B96" t="s">
        <v>39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1734</v>
      </c>
      <c r="B97" t="s">
        <v>79</v>
      </c>
      <c r="C97" t="s">
        <v>68</v>
      </c>
      <c r="D97" t="s">
        <v>35</v>
      </c>
      <c r="H97">
        <v>46164</v>
      </c>
      <c r="J97">
        <f t="shared" si="2"/>
        <v>46164</v>
      </c>
      <c r="L97">
        <f t="shared" si="3"/>
        <v>20.608928571428571</v>
      </c>
    </row>
    <row r="98" spans="1:12" x14ac:dyDescent="0.25">
      <c r="A98">
        <v>1734</v>
      </c>
      <c r="B98" t="s">
        <v>122</v>
      </c>
      <c r="C98" t="s">
        <v>68</v>
      </c>
      <c r="D98" t="s">
        <v>35</v>
      </c>
      <c r="H98">
        <v>150</v>
      </c>
      <c r="J98">
        <f t="shared" si="2"/>
        <v>150</v>
      </c>
      <c r="L98">
        <f t="shared" si="3"/>
        <v>6.6964285714285712E-2</v>
      </c>
    </row>
    <row r="99" spans="1:12" x14ac:dyDescent="0.25">
      <c r="A99">
        <v>1734</v>
      </c>
      <c r="B99" t="s">
        <v>103</v>
      </c>
      <c r="C99" t="s">
        <v>68</v>
      </c>
      <c r="D99" t="s">
        <v>35</v>
      </c>
      <c r="H99">
        <v>172</v>
      </c>
      <c r="J99">
        <f t="shared" si="2"/>
        <v>172</v>
      </c>
      <c r="L99">
        <f t="shared" si="3"/>
        <v>7.678571428571429E-2</v>
      </c>
    </row>
    <row r="100" spans="1:12" x14ac:dyDescent="0.25">
      <c r="A100">
        <v>1734</v>
      </c>
      <c r="B100" t="s">
        <v>44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97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1734</v>
      </c>
      <c r="B102" t="s">
        <v>12</v>
      </c>
      <c r="C102" t="s">
        <v>68</v>
      </c>
      <c r="D102" t="s">
        <v>35</v>
      </c>
      <c r="H102">
        <f>10336+29590</f>
        <v>39926</v>
      </c>
      <c r="J102">
        <f t="shared" si="2"/>
        <v>39926</v>
      </c>
      <c r="L102">
        <f t="shared" si="3"/>
        <v>17.824107142857144</v>
      </c>
    </row>
    <row r="103" spans="1:12" x14ac:dyDescent="0.25">
      <c r="A103">
        <v>1734</v>
      </c>
      <c r="B103" t="s">
        <v>82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1734</v>
      </c>
      <c r="B104" t="s">
        <v>34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13</v>
      </c>
      <c r="C105" t="s">
        <v>68</v>
      </c>
      <c r="D105" t="s">
        <v>35</v>
      </c>
      <c r="E105">
        <v>9</v>
      </c>
      <c r="F105">
        <v>12</v>
      </c>
      <c r="G105">
        <v>2</v>
      </c>
      <c r="H105">
        <v>21</v>
      </c>
      <c r="J105">
        <f t="shared" si="2"/>
        <v>21581</v>
      </c>
      <c r="L105">
        <f t="shared" si="3"/>
        <v>9.6343750000000004</v>
      </c>
    </row>
    <row r="106" spans="1:12" x14ac:dyDescent="0.25">
      <c r="A106">
        <v>1734</v>
      </c>
      <c r="B106" t="s">
        <v>14</v>
      </c>
      <c r="C106" t="s">
        <v>68</v>
      </c>
      <c r="D106" t="s">
        <v>35</v>
      </c>
      <c r="H106">
        <v>5411.5</v>
      </c>
      <c r="I106" t="s">
        <v>155</v>
      </c>
      <c r="J106">
        <f t="shared" si="2"/>
        <v>5411.5</v>
      </c>
      <c r="L106">
        <f t="shared" si="3"/>
        <v>2.4158482142857145</v>
      </c>
    </row>
    <row r="107" spans="1:12" x14ac:dyDescent="0.25">
      <c r="A107">
        <v>1734</v>
      </c>
      <c r="B107" t="s">
        <v>23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1734</v>
      </c>
      <c r="B108" t="s">
        <v>27</v>
      </c>
      <c r="C108" t="s">
        <v>68</v>
      </c>
      <c r="D108" t="s">
        <v>35</v>
      </c>
      <c r="H108">
        <v>16794.5</v>
      </c>
      <c r="I108" t="s">
        <v>158</v>
      </c>
      <c r="J108">
        <f t="shared" si="2"/>
        <v>16794.5</v>
      </c>
      <c r="L108">
        <f t="shared" si="3"/>
        <v>7.4975446428571431</v>
      </c>
    </row>
    <row r="109" spans="1:12" x14ac:dyDescent="0.25">
      <c r="A109">
        <v>1734</v>
      </c>
      <c r="B109" t="s">
        <v>15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1734</v>
      </c>
      <c r="B110" t="s">
        <v>93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1734</v>
      </c>
      <c r="B111" t="s">
        <v>42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1734</v>
      </c>
      <c r="B112" t="s">
        <v>83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1734</v>
      </c>
      <c r="B113" t="s">
        <v>47</v>
      </c>
      <c r="C113" t="s">
        <v>68</v>
      </c>
      <c r="D113" t="s">
        <v>35</v>
      </c>
      <c r="H113">
        <v>20</v>
      </c>
      <c r="I113" t="s">
        <v>156</v>
      </c>
      <c r="J113">
        <f t="shared" si="2"/>
        <v>20</v>
      </c>
      <c r="L113">
        <f t="shared" si="3"/>
        <v>8.9285714285714281E-3</v>
      </c>
    </row>
    <row r="114" spans="1:12" x14ac:dyDescent="0.25">
      <c r="A114">
        <v>1734</v>
      </c>
      <c r="B114" t="s">
        <v>16</v>
      </c>
      <c r="C114" t="s">
        <v>68</v>
      </c>
      <c r="D114" t="s">
        <v>35</v>
      </c>
      <c r="H114">
        <v>173836</v>
      </c>
      <c r="J114">
        <f t="shared" si="2"/>
        <v>173836</v>
      </c>
      <c r="L114">
        <f t="shared" si="3"/>
        <v>77.605357142857144</v>
      </c>
    </row>
    <row r="115" spans="1:12" x14ac:dyDescent="0.25">
      <c r="A115">
        <v>1734</v>
      </c>
      <c r="B115" t="s">
        <v>17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1734</v>
      </c>
      <c r="B116" t="s">
        <v>18</v>
      </c>
      <c r="C116" t="s">
        <v>68</v>
      </c>
      <c r="D116" t="s">
        <v>35</v>
      </c>
      <c r="H116">
        <v>457727.5</v>
      </c>
      <c r="I116" t="s">
        <v>157</v>
      </c>
      <c r="J116">
        <f t="shared" si="2"/>
        <v>457727.5</v>
      </c>
      <c r="L116">
        <f t="shared" si="3"/>
        <v>204.34263392857142</v>
      </c>
    </row>
    <row r="117" spans="1:12" x14ac:dyDescent="0.25">
      <c r="A117">
        <v>1734</v>
      </c>
      <c r="B117" t="s">
        <v>26</v>
      </c>
      <c r="C117" t="s">
        <v>68</v>
      </c>
      <c r="D117" t="s">
        <v>35</v>
      </c>
      <c r="H117">
        <v>4188</v>
      </c>
      <c r="J117">
        <f t="shared" si="2"/>
        <v>4188</v>
      </c>
      <c r="L117">
        <f t="shared" si="3"/>
        <v>1.8696428571428572</v>
      </c>
    </row>
    <row r="118" spans="1:12" x14ac:dyDescent="0.25">
      <c r="A118">
        <v>1734</v>
      </c>
      <c r="B118" t="s">
        <v>84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1734</v>
      </c>
      <c r="B119" t="s">
        <v>19</v>
      </c>
      <c r="C119" t="s">
        <v>68</v>
      </c>
      <c r="D119" t="s">
        <v>35</v>
      </c>
      <c r="F119">
        <v>24</v>
      </c>
      <c r="G119">
        <v>2</v>
      </c>
      <c r="H119">
        <v>20</v>
      </c>
      <c r="J119">
        <f t="shared" si="2"/>
        <v>2764</v>
      </c>
      <c r="L119">
        <f t="shared" si="3"/>
        <v>1.2339285714285715</v>
      </c>
    </row>
    <row r="120" spans="1:12" x14ac:dyDescent="0.25">
      <c r="A120">
        <v>1734</v>
      </c>
      <c r="B120" t="s">
        <v>45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1734</v>
      </c>
      <c r="B121" t="s">
        <v>85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1734</v>
      </c>
      <c r="B122" t="s">
        <v>54</v>
      </c>
      <c r="C122" t="s">
        <v>68</v>
      </c>
      <c r="D122" t="s">
        <v>35</v>
      </c>
      <c r="H122">
        <v>77</v>
      </c>
      <c r="J122">
        <f t="shared" si="2"/>
        <v>77</v>
      </c>
      <c r="L122">
        <f t="shared" si="3"/>
        <v>3.4375000000000003E-2</v>
      </c>
    </row>
    <row r="123" spans="1:12" x14ac:dyDescent="0.25">
      <c r="A123">
        <v>1734</v>
      </c>
      <c r="B123" t="s">
        <v>95</v>
      </c>
      <c r="C123" t="s">
        <v>68</v>
      </c>
      <c r="D123" t="s">
        <v>35</v>
      </c>
      <c r="H123">
        <v>32</v>
      </c>
      <c r="J123">
        <f t="shared" si="2"/>
        <v>32</v>
      </c>
      <c r="L123">
        <f t="shared" si="3"/>
        <v>1.4285714285714285E-2</v>
      </c>
    </row>
    <row r="124" spans="1:12" x14ac:dyDescent="0.25">
      <c r="A124">
        <v>1734</v>
      </c>
      <c r="B124" t="s">
        <v>20</v>
      </c>
      <c r="C124" t="s">
        <v>68</v>
      </c>
      <c r="D124" t="s">
        <v>35</v>
      </c>
      <c r="H124">
        <v>1220</v>
      </c>
      <c r="J124">
        <f t="shared" si="2"/>
        <v>1220</v>
      </c>
      <c r="L124">
        <f t="shared" si="3"/>
        <v>0.5446428571428571</v>
      </c>
    </row>
    <row r="125" spans="1:12" x14ac:dyDescent="0.25">
      <c r="A125">
        <v>1734</v>
      </c>
      <c r="B125" t="s">
        <v>21</v>
      </c>
      <c r="C125" t="s">
        <v>68</v>
      </c>
      <c r="D125" t="s">
        <v>35</v>
      </c>
      <c r="H125">
        <v>863</v>
      </c>
      <c r="J125">
        <f t="shared" si="2"/>
        <v>863</v>
      </c>
      <c r="L125">
        <f t="shared" si="3"/>
        <v>0.38526785714285716</v>
      </c>
    </row>
    <row r="126" spans="1:12" x14ac:dyDescent="0.25">
      <c r="A126">
        <v>1734</v>
      </c>
      <c r="B126" t="s">
        <v>90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1734</v>
      </c>
      <c r="B127" t="s">
        <v>22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1734</v>
      </c>
      <c r="B128" t="s">
        <v>61</v>
      </c>
      <c r="C128" t="s">
        <v>68</v>
      </c>
      <c r="D128" t="s">
        <v>35</v>
      </c>
      <c r="E128">
        <v>18</v>
      </c>
      <c r="F128">
        <v>8</v>
      </c>
      <c r="G128">
        <v>2</v>
      </c>
      <c r="H128">
        <v>4</v>
      </c>
      <c r="J128">
        <f t="shared" si="2"/>
        <v>41276</v>
      </c>
      <c r="L128">
        <f t="shared" si="3"/>
        <v>18.426785714285714</v>
      </c>
    </row>
    <row r="129" spans="1:12" x14ac:dyDescent="0.25">
      <c r="A129">
        <v>1734</v>
      </c>
      <c r="B129" t="s">
        <v>91</v>
      </c>
      <c r="C129" t="s">
        <v>68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1734</v>
      </c>
      <c r="B130" t="s">
        <v>98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1734</v>
      </c>
      <c r="B131" t="s">
        <v>87</v>
      </c>
      <c r="C131" t="s">
        <v>68</v>
      </c>
      <c r="D131" t="s">
        <v>35</v>
      </c>
      <c r="E131">
        <v>59</v>
      </c>
      <c r="F131">
        <v>18</v>
      </c>
      <c r="G131">
        <v>1</v>
      </c>
      <c r="H131">
        <v>23</v>
      </c>
      <c r="J131">
        <f t="shared" si="2"/>
        <v>134227</v>
      </c>
      <c r="L131">
        <f t="shared" si="3"/>
        <v>59.922767857142858</v>
      </c>
    </row>
    <row r="132" spans="1:12" x14ac:dyDescent="0.25">
      <c r="A132">
        <v>1734</v>
      </c>
      <c r="B132" t="s">
        <v>62</v>
      </c>
      <c r="C132" t="s">
        <v>68</v>
      </c>
      <c r="D132" t="s">
        <v>35</v>
      </c>
      <c r="E132">
        <v>2</v>
      </c>
      <c r="F132">
        <v>5</v>
      </c>
      <c r="G132">
        <v>1</v>
      </c>
      <c r="H132">
        <v>22</v>
      </c>
      <c r="J132">
        <f t="shared" si="2"/>
        <v>5090</v>
      </c>
      <c r="L132">
        <f t="shared" si="3"/>
        <v>2.2723214285714284</v>
      </c>
    </row>
    <row r="133" spans="1:12" x14ac:dyDescent="0.25">
      <c r="A133">
        <v>1734</v>
      </c>
      <c r="B133" t="s">
        <v>88</v>
      </c>
      <c r="C133" t="s">
        <v>68</v>
      </c>
      <c r="D133" t="s">
        <v>35</v>
      </c>
      <c r="J133">
        <f t="shared" si="2"/>
        <v>0</v>
      </c>
      <c r="L133">
        <f t="shared" si="3"/>
        <v>0</v>
      </c>
    </row>
    <row r="134" spans="1:12" x14ac:dyDescent="0.25">
      <c r="A134">
        <v>1734</v>
      </c>
      <c r="B134" t="s">
        <v>63</v>
      </c>
      <c r="C134" t="s">
        <v>68</v>
      </c>
      <c r="D134" t="s">
        <v>35</v>
      </c>
      <c r="E134">
        <v>359</v>
      </c>
      <c r="F134">
        <v>13</v>
      </c>
      <c r="G134">
        <v>1</v>
      </c>
      <c r="H134">
        <v>9</v>
      </c>
      <c r="J134">
        <f t="shared" si="2"/>
        <v>805653</v>
      </c>
      <c r="L134">
        <f t="shared" si="3"/>
        <v>359.66651785714288</v>
      </c>
    </row>
    <row r="135" spans="1:12" x14ac:dyDescent="0.25">
      <c r="A135">
        <v>1734</v>
      </c>
      <c r="B135" t="s">
        <v>89</v>
      </c>
      <c r="C135" t="s">
        <v>68</v>
      </c>
      <c r="D135" t="s">
        <v>35</v>
      </c>
      <c r="F135">
        <v>1565</v>
      </c>
      <c r="G135">
        <v>2</v>
      </c>
      <c r="H135">
        <v>9</v>
      </c>
      <c r="J135">
        <f t="shared" si="2"/>
        <v>175345</v>
      </c>
      <c r="L135">
        <f t="shared" si="3"/>
        <v>78.279017857142861</v>
      </c>
    </row>
    <row r="136" spans="1:12" x14ac:dyDescent="0.25">
      <c r="A136">
        <v>1734</v>
      </c>
      <c r="B136" t="s">
        <v>70</v>
      </c>
      <c r="C136" t="s">
        <v>68</v>
      </c>
      <c r="D136" t="s">
        <v>35</v>
      </c>
      <c r="E136">
        <v>79</v>
      </c>
      <c r="F136">
        <v>11</v>
      </c>
      <c r="G136">
        <v>3</v>
      </c>
      <c r="H136">
        <v>5</v>
      </c>
      <c r="J136">
        <f t="shared" si="2"/>
        <v>178281</v>
      </c>
      <c r="L136">
        <f t="shared" si="3"/>
        <v>79.589732142857144</v>
      </c>
    </row>
    <row r="137" spans="1:12" x14ac:dyDescent="0.25">
      <c r="A137">
        <v>1734</v>
      </c>
      <c r="B137" t="s">
        <v>64</v>
      </c>
      <c r="C137" t="s">
        <v>68</v>
      </c>
      <c r="D137" t="s">
        <v>35</v>
      </c>
      <c r="E137">
        <v>10</v>
      </c>
      <c r="F137">
        <v>6</v>
      </c>
      <c r="H137">
        <v>11</v>
      </c>
      <c r="J137">
        <f t="shared" si="2"/>
        <v>23083</v>
      </c>
      <c r="L137">
        <f t="shared" si="3"/>
        <v>10.304910714285715</v>
      </c>
    </row>
    <row r="138" spans="1:12" x14ac:dyDescent="0.25">
      <c r="A138">
        <v>1734</v>
      </c>
      <c r="B138" t="s">
        <v>65</v>
      </c>
      <c r="C138" t="s">
        <v>68</v>
      </c>
      <c r="D138" t="s">
        <v>35</v>
      </c>
      <c r="J138">
        <f t="shared" si="2"/>
        <v>0</v>
      </c>
      <c r="L138">
        <f t="shared" si="3"/>
        <v>0</v>
      </c>
    </row>
  </sheetData>
  <autoFilter ref="A1:O68" xr:uid="{8C2F7725-5A61-4A1B-A740-CC887BCB0E68}">
    <sortState xmlns:xlrd2="http://schemas.microsoft.com/office/spreadsheetml/2017/richdata2" ref="A2:O68">
      <sortCondition ref="B1:B6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6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1734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1734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1734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1734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1734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1734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1734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1734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1734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1734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1734</v>
      </c>
      <c r="B12" t="s">
        <v>6</v>
      </c>
      <c r="C12" t="s">
        <v>72</v>
      </c>
      <c r="D12" t="s">
        <v>33</v>
      </c>
      <c r="F12">
        <v>29181</v>
      </c>
      <c r="G12">
        <v>1</v>
      </c>
      <c r="H12">
        <v>16</v>
      </c>
      <c r="J12">
        <f t="shared" si="0"/>
        <v>3268316</v>
      </c>
      <c r="L12">
        <f t="shared" si="1"/>
        <v>1459.0696428571428</v>
      </c>
    </row>
    <row r="13" spans="1:15" x14ac:dyDescent="0.25">
      <c r="A13">
        <v>1734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1734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1734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1734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1734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1734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1734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1734</v>
      </c>
      <c r="B22" t="s">
        <v>9</v>
      </c>
      <c r="C22" t="s">
        <v>72</v>
      </c>
      <c r="D22" t="s">
        <v>33</v>
      </c>
      <c r="H22">
        <f>117*200+60</f>
        <v>23460</v>
      </c>
      <c r="I22" t="s">
        <v>133</v>
      </c>
      <c r="J22">
        <f t="shared" si="0"/>
        <v>23460</v>
      </c>
      <c r="L22">
        <f t="shared" si="1"/>
        <v>10.473214285714286</v>
      </c>
    </row>
    <row r="23" spans="1:12" x14ac:dyDescent="0.25">
      <c r="A23">
        <v>1734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1734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1734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1734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1734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1734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1734</v>
      </c>
      <c r="B30" t="s">
        <v>12</v>
      </c>
      <c r="C30" t="s">
        <v>72</v>
      </c>
      <c r="D30" t="s">
        <v>33</v>
      </c>
      <c r="H30">
        <v>112</v>
      </c>
      <c r="J30">
        <f t="shared" si="0"/>
        <v>112</v>
      </c>
      <c r="L30">
        <f t="shared" si="1"/>
        <v>0.05</v>
      </c>
    </row>
    <row r="31" spans="1:12" x14ac:dyDescent="0.25">
      <c r="A31">
        <v>1734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1734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1734</v>
      </c>
      <c r="B34" t="s">
        <v>14</v>
      </c>
      <c r="C34" t="s">
        <v>72</v>
      </c>
      <c r="D34" t="s">
        <v>33</v>
      </c>
      <c r="H34">
        <v>7082</v>
      </c>
      <c r="I34" t="s">
        <v>130</v>
      </c>
      <c r="J34">
        <f t="shared" si="0"/>
        <v>7082</v>
      </c>
      <c r="L34">
        <f t="shared" si="1"/>
        <v>3.1616071428571431</v>
      </c>
    </row>
    <row r="35" spans="1:12" x14ac:dyDescent="0.25">
      <c r="A35">
        <v>1734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1734</v>
      </c>
      <c r="B36" t="s">
        <v>27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1734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1734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1734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1734</v>
      </c>
      <c r="B40" t="s">
        <v>47</v>
      </c>
      <c r="C40" t="s">
        <v>72</v>
      </c>
      <c r="D40" t="s">
        <v>33</v>
      </c>
      <c r="H40">
        <v>170</v>
      </c>
      <c r="I40" t="s">
        <v>131</v>
      </c>
      <c r="J40">
        <f t="shared" si="0"/>
        <v>170</v>
      </c>
      <c r="L40">
        <f t="shared" si="1"/>
        <v>7.5892857142857137E-2</v>
      </c>
    </row>
    <row r="41" spans="1:12" x14ac:dyDescent="0.25">
      <c r="A41">
        <v>1734</v>
      </c>
      <c r="B41" t="s">
        <v>16</v>
      </c>
      <c r="C41" t="s">
        <v>72</v>
      </c>
      <c r="D41" t="s">
        <v>33</v>
      </c>
      <c r="H41">
        <v>1087</v>
      </c>
      <c r="J41">
        <f t="shared" si="0"/>
        <v>1087</v>
      </c>
      <c r="L41">
        <f t="shared" si="1"/>
        <v>0.48526785714285714</v>
      </c>
    </row>
    <row r="42" spans="1:12" x14ac:dyDescent="0.25">
      <c r="A42">
        <v>1734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1734</v>
      </c>
      <c r="B43" t="s">
        <v>18</v>
      </c>
      <c r="C43" t="s">
        <v>72</v>
      </c>
      <c r="D43" t="s">
        <v>33</v>
      </c>
      <c r="H43">
        <v>3741</v>
      </c>
      <c r="I43" t="s">
        <v>132</v>
      </c>
      <c r="J43">
        <f t="shared" si="0"/>
        <v>3741</v>
      </c>
      <c r="L43">
        <f t="shared" si="1"/>
        <v>1.6700892857142857</v>
      </c>
    </row>
    <row r="44" spans="1:12" x14ac:dyDescent="0.25">
      <c r="A44">
        <v>1734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1734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1734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1734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1734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1734</v>
      </c>
      <c r="B49" t="s">
        <v>54</v>
      </c>
      <c r="C49" t="s">
        <v>72</v>
      </c>
      <c r="D49" t="s">
        <v>33</v>
      </c>
      <c r="H49">
        <v>66</v>
      </c>
      <c r="J49">
        <f t="shared" si="0"/>
        <v>66</v>
      </c>
      <c r="L49">
        <f t="shared" si="1"/>
        <v>2.9464285714285714E-2</v>
      </c>
    </row>
    <row r="50" spans="1:12" x14ac:dyDescent="0.25">
      <c r="A50">
        <v>1734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1734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1734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1734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1734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1734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1734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1734</v>
      </c>
      <c r="B57" t="s">
        <v>62</v>
      </c>
      <c r="C57" t="s">
        <v>72</v>
      </c>
      <c r="D57" t="s">
        <v>33</v>
      </c>
      <c r="E57">
        <v>50</v>
      </c>
      <c r="J57">
        <f t="shared" si="0"/>
        <v>112000</v>
      </c>
      <c r="L57">
        <f t="shared" si="1"/>
        <v>50</v>
      </c>
    </row>
    <row r="58" spans="1:12" x14ac:dyDescent="0.25">
      <c r="A58">
        <v>1734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1734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1734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1734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1734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1734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1734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1734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1734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1734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1734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1734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1734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1734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1734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1734</v>
      </c>
      <c r="B74" t="s">
        <v>6</v>
      </c>
      <c r="C74" t="s">
        <v>72</v>
      </c>
      <c r="D74" t="s">
        <v>35</v>
      </c>
      <c r="F74">
        <v>6048</v>
      </c>
      <c r="G74">
        <v>1</v>
      </c>
      <c r="H74">
        <v>23</v>
      </c>
      <c r="J74">
        <f t="shared" si="2"/>
        <v>677427</v>
      </c>
      <c r="L74">
        <f t="shared" si="3"/>
        <v>302.42276785714284</v>
      </c>
    </row>
    <row r="75" spans="1:12" x14ac:dyDescent="0.25">
      <c r="A75">
        <v>1734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1734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1734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1734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1734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1734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1734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1734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1734</v>
      </c>
      <c r="B83" t="s">
        <v>9</v>
      </c>
      <c r="C83" t="s">
        <v>72</v>
      </c>
      <c r="D83" t="s">
        <v>35</v>
      </c>
      <c r="H83">
        <f>187*200</f>
        <v>37400</v>
      </c>
      <c r="I83" t="s">
        <v>161</v>
      </c>
      <c r="J83">
        <f t="shared" si="2"/>
        <v>37400</v>
      </c>
      <c r="L83">
        <f t="shared" si="3"/>
        <v>16.696428571428573</v>
      </c>
    </row>
    <row r="84" spans="1:12" x14ac:dyDescent="0.25">
      <c r="A84">
        <v>1734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1734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1734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1734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1734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1734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1734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1734</v>
      </c>
      <c r="B91" t="s">
        <v>12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1734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1734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1734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1734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1734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1734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1734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1734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1734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1734</v>
      </c>
      <c r="B103" t="s">
        <v>16</v>
      </c>
      <c r="C103" t="s">
        <v>72</v>
      </c>
      <c r="D103" t="s">
        <v>35</v>
      </c>
      <c r="H103">
        <v>373</v>
      </c>
      <c r="J103">
        <f t="shared" si="2"/>
        <v>373</v>
      </c>
      <c r="L103">
        <f t="shared" si="3"/>
        <v>0.16651785714285713</v>
      </c>
    </row>
    <row r="104" spans="1:12" x14ac:dyDescent="0.25">
      <c r="A104">
        <v>1734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18</v>
      </c>
      <c r="C105" t="s">
        <v>72</v>
      </c>
      <c r="D105" t="s">
        <v>35</v>
      </c>
      <c r="H105">
        <v>10342.5</v>
      </c>
      <c r="I105" t="s">
        <v>160</v>
      </c>
      <c r="J105">
        <f t="shared" si="2"/>
        <v>10342.5</v>
      </c>
      <c r="L105">
        <f t="shared" si="3"/>
        <v>4.6171875</v>
      </c>
    </row>
    <row r="106" spans="1:12" x14ac:dyDescent="0.25">
      <c r="A106">
        <v>1734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1734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1734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1734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1734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1734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1734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1734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1734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1734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1734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1734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1734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1734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1734</v>
      </c>
      <c r="B120" t="s">
        <v>62</v>
      </c>
      <c r="C120" t="s">
        <v>72</v>
      </c>
      <c r="D120" t="s">
        <v>35</v>
      </c>
      <c r="E120">
        <v>5</v>
      </c>
      <c r="J120">
        <f t="shared" si="2"/>
        <v>11200</v>
      </c>
      <c r="L120">
        <f t="shared" si="3"/>
        <v>5</v>
      </c>
    </row>
    <row r="121" spans="1:12" x14ac:dyDescent="0.25">
      <c r="A121">
        <v>1734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1734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1734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1734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1734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1734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8"/>
  <sheetViews>
    <sheetView topLeftCell="A106" workbookViewId="0">
      <selection activeCell="H46" sqref="H4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1734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1734</v>
      </c>
      <c r="B3" t="s">
        <v>57</v>
      </c>
      <c r="C3" t="s">
        <v>73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1734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1734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1734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1734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1734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1734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1734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1734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1734</v>
      </c>
      <c r="B12" t="s">
        <v>6</v>
      </c>
      <c r="C12" t="s">
        <v>73</v>
      </c>
      <c r="D12" t="s">
        <v>33</v>
      </c>
      <c r="F12">
        <v>28457</v>
      </c>
      <c r="H12">
        <v>26</v>
      </c>
      <c r="J12">
        <f t="shared" si="0"/>
        <v>3187210</v>
      </c>
      <c r="L12">
        <f t="shared" si="1"/>
        <v>1422.8616071428571</v>
      </c>
    </row>
    <row r="13" spans="1:15" x14ac:dyDescent="0.25">
      <c r="A13">
        <v>1734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1734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1734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1734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1734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1734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1734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1734</v>
      </c>
      <c r="B22" t="s">
        <v>9</v>
      </c>
      <c r="C22" t="s">
        <v>73</v>
      </c>
      <c r="D22" t="s">
        <v>33</v>
      </c>
      <c r="H22">
        <f>130*200+180</f>
        <v>26180</v>
      </c>
      <c r="I22" t="s">
        <v>138</v>
      </c>
      <c r="J22">
        <f t="shared" si="0"/>
        <v>26180</v>
      </c>
      <c r="L22">
        <f t="shared" si="1"/>
        <v>11.6875</v>
      </c>
    </row>
    <row r="23" spans="1:12" x14ac:dyDescent="0.25">
      <c r="A23">
        <v>1734</v>
      </c>
      <c r="B23" t="s">
        <v>10</v>
      </c>
      <c r="C23" t="s">
        <v>73</v>
      </c>
      <c r="D23" t="s">
        <v>33</v>
      </c>
      <c r="F23">
        <v>4</v>
      </c>
      <c r="G23">
        <v>1</v>
      </c>
      <c r="H23">
        <v>1</v>
      </c>
      <c r="J23">
        <f t="shared" si="0"/>
        <v>477</v>
      </c>
      <c r="L23">
        <f t="shared" si="1"/>
        <v>0.21294642857142856</v>
      </c>
    </row>
    <row r="24" spans="1:12" x14ac:dyDescent="0.25">
      <c r="A24">
        <v>1734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1734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1734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1734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1734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1734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1734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134</v>
      </c>
      <c r="C32" t="s">
        <v>73</v>
      </c>
      <c r="D32" t="s">
        <v>33</v>
      </c>
      <c r="F32">
        <v>15</v>
      </c>
      <c r="J32">
        <f t="shared" si="0"/>
        <v>1680</v>
      </c>
      <c r="L32">
        <f t="shared" si="1"/>
        <v>0.75</v>
      </c>
    </row>
    <row r="33" spans="1:12" x14ac:dyDescent="0.25">
      <c r="A33">
        <v>1734</v>
      </c>
      <c r="B33" t="s">
        <v>34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1734</v>
      </c>
      <c r="B34" t="s">
        <v>13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1734</v>
      </c>
      <c r="B35" t="s">
        <v>14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1734</v>
      </c>
      <c r="B36" t="s">
        <v>23</v>
      </c>
      <c r="C36" t="s">
        <v>73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1734</v>
      </c>
      <c r="B37" t="s">
        <v>27</v>
      </c>
      <c r="C37" t="s">
        <v>73</v>
      </c>
      <c r="D37" t="s">
        <v>33</v>
      </c>
      <c r="H37">
        <v>6661.5</v>
      </c>
      <c r="I37" t="s">
        <v>137</v>
      </c>
      <c r="J37">
        <f t="shared" si="0"/>
        <v>6661.5</v>
      </c>
      <c r="L37">
        <f t="shared" si="1"/>
        <v>2.9738839285714285</v>
      </c>
    </row>
    <row r="38" spans="1:12" x14ac:dyDescent="0.25">
      <c r="A38">
        <v>1734</v>
      </c>
      <c r="B38" t="s">
        <v>15</v>
      </c>
      <c r="C38" t="s">
        <v>73</v>
      </c>
      <c r="D38" t="s">
        <v>33</v>
      </c>
      <c r="F38">
        <v>11</v>
      </c>
      <c r="G38">
        <v>2</v>
      </c>
      <c r="H38">
        <v>20</v>
      </c>
      <c r="J38">
        <f t="shared" si="0"/>
        <v>1308</v>
      </c>
      <c r="L38">
        <f t="shared" si="1"/>
        <v>0.58392857142857146</v>
      </c>
    </row>
    <row r="39" spans="1:12" x14ac:dyDescent="0.25">
      <c r="A39">
        <v>1734</v>
      </c>
      <c r="B39" t="s">
        <v>42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1734</v>
      </c>
      <c r="B40" t="s">
        <v>83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1734</v>
      </c>
      <c r="B41" t="s">
        <v>47</v>
      </c>
      <c r="C41" t="s">
        <v>73</v>
      </c>
      <c r="D41" t="s">
        <v>33</v>
      </c>
      <c r="H41">
        <v>90</v>
      </c>
      <c r="I41" t="s">
        <v>135</v>
      </c>
      <c r="J41">
        <f t="shared" si="0"/>
        <v>90</v>
      </c>
      <c r="L41">
        <f t="shared" si="1"/>
        <v>4.0178571428571432E-2</v>
      </c>
    </row>
    <row r="42" spans="1:12" x14ac:dyDescent="0.25">
      <c r="A42">
        <v>1734</v>
      </c>
      <c r="B42" t="s">
        <v>16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1734</v>
      </c>
      <c r="B43" t="s">
        <v>106</v>
      </c>
      <c r="C43" t="s">
        <v>73</v>
      </c>
      <c r="D43" t="s">
        <v>33</v>
      </c>
      <c r="F43">
        <v>2</v>
      </c>
      <c r="J43">
        <f t="shared" si="0"/>
        <v>224</v>
      </c>
      <c r="L43">
        <f t="shared" si="1"/>
        <v>0.1</v>
      </c>
    </row>
    <row r="44" spans="1:12" x14ac:dyDescent="0.25">
      <c r="A44">
        <v>1734</v>
      </c>
      <c r="B44" t="s">
        <v>17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1734</v>
      </c>
      <c r="B45" t="s">
        <v>18</v>
      </c>
      <c r="C45" t="s">
        <v>73</v>
      </c>
      <c r="D45" t="s">
        <v>33</v>
      </c>
      <c r="H45">
        <v>3356</v>
      </c>
      <c r="I45" t="s">
        <v>136</v>
      </c>
      <c r="J45">
        <f t="shared" si="0"/>
        <v>3356</v>
      </c>
      <c r="L45">
        <f t="shared" si="1"/>
        <v>1.4982142857142857</v>
      </c>
    </row>
    <row r="46" spans="1:12" x14ac:dyDescent="0.25">
      <c r="A46">
        <v>1734</v>
      </c>
      <c r="B46" t="s">
        <v>26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1734</v>
      </c>
      <c r="B47" t="s">
        <v>84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1734</v>
      </c>
      <c r="B48" t="s">
        <v>19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1734</v>
      </c>
      <c r="B49" t="s">
        <v>45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1734</v>
      </c>
      <c r="B50" t="s">
        <v>85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1734</v>
      </c>
      <c r="B51" t="s">
        <v>54</v>
      </c>
      <c r="C51" t="s">
        <v>73</v>
      </c>
      <c r="D51" t="s">
        <v>33</v>
      </c>
      <c r="H51">
        <v>37</v>
      </c>
      <c r="J51">
        <f t="shared" si="0"/>
        <v>37</v>
      </c>
      <c r="L51">
        <f t="shared" si="1"/>
        <v>1.6517857142857143E-2</v>
      </c>
    </row>
    <row r="52" spans="1:12" x14ac:dyDescent="0.25">
      <c r="A52">
        <v>1734</v>
      </c>
      <c r="B52" t="s">
        <v>95</v>
      </c>
      <c r="C52" t="s">
        <v>73</v>
      </c>
      <c r="D52" t="s">
        <v>33</v>
      </c>
      <c r="H52">
        <v>20</v>
      </c>
      <c r="J52">
        <f t="shared" si="0"/>
        <v>20</v>
      </c>
      <c r="L52">
        <f t="shared" si="1"/>
        <v>8.9285714285714281E-3</v>
      </c>
    </row>
    <row r="53" spans="1:12" x14ac:dyDescent="0.25">
      <c r="A53">
        <v>1734</v>
      </c>
      <c r="B53" t="s">
        <v>20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1734</v>
      </c>
      <c r="B54" t="s">
        <v>21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1734</v>
      </c>
      <c r="B55" t="s">
        <v>22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1734</v>
      </c>
      <c r="B56" t="s">
        <v>61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1734</v>
      </c>
      <c r="B57" t="s">
        <v>99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1734</v>
      </c>
      <c r="B58" t="s">
        <v>87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1734</v>
      </c>
      <c r="B59" t="s">
        <v>62</v>
      </c>
      <c r="C59" t="s">
        <v>73</v>
      </c>
      <c r="D59" t="s">
        <v>33</v>
      </c>
      <c r="E59">
        <v>41</v>
      </c>
      <c r="F59">
        <v>9</v>
      </c>
      <c r="G59">
        <v>2</v>
      </c>
      <c r="J59">
        <f t="shared" si="0"/>
        <v>92904</v>
      </c>
      <c r="L59">
        <f t="shared" si="1"/>
        <v>41.475000000000001</v>
      </c>
    </row>
    <row r="60" spans="1:12" x14ac:dyDescent="0.25">
      <c r="A60">
        <v>1734</v>
      </c>
      <c r="B60" t="s">
        <v>88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1734</v>
      </c>
      <c r="B61" t="s">
        <v>63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1734</v>
      </c>
      <c r="B62" t="s">
        <v>89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1734</v>
      </c>
      <c r="B63" t="s">
        <v>70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64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1734</v>
      </c>
      <c r="B65" t="s">
        <v>65</v>
      </c>
      <c r="C65" t="s">
        <v>73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1734</v>
      </c>
      <c r="B66" t="s">
        <v>55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1734</v>
      </c>
      <c r="B67" t="s">
        <v>57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1734</v>
      </c>
      <c r="B68" t="s">
        <v>36</v>
      </c>
      <c r="C68" t="s">
        <v>73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1734</v>
      </c>
      <c r="B69" t="s">
        <v>4</v>
      </c>
      <c r="C69" t="s">
        <v>73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1734</v>
      </c>
      <c r="B70" t="s">
        <v>58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1734</v>
      </c>
      <c r="B71" t="s">
        <v>69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1734</v>
      </c>
      <c r="B72" t="s">
        <v>43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1734</v>
      </c>
      <c r="B73" t="s">
        <v>76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1734</v>
      </c>
      <c r="B74" t="s">
        <v>5</v>
      </c>
      <c r="C74" t="s">
        <v>73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1734</v>
      </c>
      <c r="B75" t="s">
        <v>59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1734</v>
      </c>
      <c r="B76" t="s">
        <v>6</v>
      </c>
      <c r="C76" t="s">
        <v>73</v>
      </c>
      <c r="D76" t="s">
        <v>35</v>
      </c>
      <c r="F76">
        <v>5514</v>
      </c>
      <c r="G76">
        <v>2</v>
      </c>
      <c r="H76">
        <v>12</v>
      </c>
      <c r="J76">
        <f t="shared" si="2"/>
        <v>617636</v>
      </c>
      <c r="L76">
        <f t="shared" si="3"/>
        <v>275.73035714285714</v>
      </c>
    </row>
    <row r="77" spans="1:12" x14ac:dyDescent="0.25">
      <c r="A77">
        <v>1734</v>
      </c>
      <c r="B77" t="s">
        <v>60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1734</v>
      </c>
      <c r="B78" t="s">
        <v>7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1734</v>
      </c>
      <c r="B79" t="s">
        <v>37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1734</v>
      </c>
      <c r="B80" t="s">
        <v>8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1734</v>
      </c>
      <c r="B81" t="s">
        <v>40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1734</v>
      </c>
      <c r="B82" t="s">
        <v>77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1734</v>
      </c>
      <c r="B83" t="s">
        <v>78</v>
      </c>
      <c r="C83" t="s">
        <v>73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1734</v>
      </c>
      <c r="B84" t="s">
        <v>46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1734</v>
      </c>
      <c r="B85" t="s">
        <v>9</v>
      </c>
      <c r="C85" t="s">
        <v>73</v>
      </c>
      <c r="D85" t="s">
        <v>35</v>
      </c>
      <c r="H85">
        <f>141*200+40</f>
        <v>28240</v>
      </c>
      <c r="I85" t="s">
        <v>163</v>
      </c>
      <c r="J85">
        <f t="shared" si="2"/>
        <v>28240</v>
      </c>
      <c r="L85">
        <f t="shared" si="3"/>
        <v>12.607142857142858</v>
      </c>
    </row>
    <row r="86" spans="1:12" x14ac:dyDescent="0.25">
      <c r="A86">
        <v>1734</v>
      </c>
      <c r="B86" t="s">
        <v>10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1734</v>
      </c>
      <c r="B87" t="s">
        <v>11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1734</v>
      </c>
      <c r="B88" t="s">
        <v>39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1734</v>
      </c>
      <c r="B89" t="s">
        <v>79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1734</v>
      </c>
      <c r="B90" t="s">
        <v>103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1734</v>
      </c>
      <c r="B91" t="s">
        <v>44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97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1734</v>
      </c>
      <c r="B93" t="s">
        <v>12</v>
      </c>
      <c r="C93" t="s">
        <v>73</v>
      </c>
      <c r="D93" t="s">
        <v>35</v>
      </c>
      <c r="H93">
        <v>10</v>
      </c>
      <c r="J93">
        <f t="shared" si="2"/>
        <v>10</v>
      </c>
      <c r="L93">
        <f t="shared" si="3"/>
        <v>4.464285714285714E-3</v>
      </c>
    </row>
    <row r="94" spans="1:12" x14ac:dyDescent="0.25">
      <c r="A94">
        <v>1734</v>
      </c>
      <c r="B94" t="s">
        <v>82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1734</v>
      </c>
      <c r="B95" t="s">
        <v>34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1734</v>
      </c>
      <c r="B96" t="s">
        <v>13</v>
      </c>
      <c r="C96" t="s">
        <v>73</v>
      </c>
      <c r="D96" t="s">
        <v>35</v>
      </c>
      <c r="E96">
        <v>5</v>
      </c>
      <c r="F96">
        <v>18</v>
      </c>
      <c r="J96">
        <f t="shared" si="2"/>
        <v>13216</v>
      </c>
      <c r="L96">
        <f t="shared" si="3"/>
        <v>5.9</v>
      </c>
    </row>
    <row r="97" spans="1:12" x14ac:dyDescent="0.25">
      <c r="A97">
        <v>1734</v>
      </c>
      <c r="B97" t="s">
        <v>14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1734</v>
      </c>
      <c r="B98" t="s">
        <v>23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1734</v>
      </c>
      <c r="B99" t="s">
        <v>27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1734</v>
      </c>
      <c r="B100" t="s">
        <v>15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93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1734</v>
      </c>
      <c r="B102" t="s">
        <v>42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1734</v>
      </c>
      <c r="B103" t="s">
        <v>83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1734</v>
      </c>
      <c r="B104" t="s">
        <v>47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16</v>
      </c>
      <c r="C105" t="s">
        <v>73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1734</v>
      </c>
      <c r="B106" t="s">
        <v>17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1734</v>
      </c>
      <c r="B107" t="s">
        <v>18</v>
      </c>
      <c r="C107" t="s">
        <v>73</v>
      </c>
      <c r="D107" t="s">
        <v>35</v>
      </c>
      <c r="H107">
        <v>210</v>
      </c>
      <c r="I107" t="s">
        <v>162</v>
      </c>
      <c r="J107">
        <f t="shared" si="2"/>
        <v>210</v>
      </c>
      <c r="L107">
        <f t="shared" si="3"/>
        <v>9.375E-2</v>
      </c>
    </row>
    <row r="108" spans="1:12" x14ac:dyDescent="0.25">
      <c r="A108">
        <v>1734</v>
      </c>
      <c r="B108" t="s">
        <v>26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1734</v>
      </c>
      <c r="B109" t="s">
        <v>84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1734</v>
      </c>
      <c r="B110" t="s">
        <v>19</v>
      </c>
      <c r="C110" t="s">
        <v>73</v>
      </c>
      <c r="D110" t="s">
        <v>35</v>
      </c>
      <c r="F110">
        <v>1</v>
      </c>
      <c r="G110">
        <v>2</v>
      </c>
      <c r="H110">
        <v>9</v>
      </c>
      <c r="J110">
        <f t="shared" si="2"/>
        <v>177</v>
      </c>
      <c r="L110">
        <f t="shared" si="3"/>
        <v>7.901785714285714E-2</v>
      </c>
    </row>
    <row r="111" spans="1:12" x14ac:dyDescent="0.25">
      <c r="A111">
        <v>1734</v>
      </c>
      <c r="B111" t="s">
        <v>45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1734</v>
      </c>
      <c r="B112" t="s">
        <v>85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1734</v>
      </c>
      <c r="B113" t="s">
        <v>54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1734</v>
      </c>
      <c r="B114" t="s">
        <v>95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1734</v>
      </c>
      <c r="B115" t="s">
        <v>20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1734</v>
      </c>
      <c r="B116" t="s">
        <v>21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1734</v>
      </c>
      <c r="B117" t="s">
        <v>22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1734</v>
      </c>
      <c r="B118" t="s">
        <v>61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1734</v>
      </c>
      <c r="B119" t="s">
        <v>91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1734</v>
      </c>
      <c r="B120" t="s">
        <v>98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1734</v>
      </c>
      <c r="B121" t="s">
        <v>87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1734</v>
      </c>
      <c r="B122" t="s">
        <v>62</v>
      </c>
      <c r="C122" t="s">
        <v>73</v>
      </c>
      <c r="D122" t="s">
        <v>35</v>
      </c>
      <c r="F122">
        <v>8</v>
      </c>
      <c r="G122">
        <v>2</v>
      </c>
      <c r="H122">
        <v>1</v>
      </c>
      <c r="J122">
        <f t="shared" si="2"/>
        <v>953</v>
      </c>
      <c r="L122">
        <f t="shared" si="3"/>
        <v>0.42544642857142856</v>
      </c>
    </row>
    <row r="123" spans="1:12" x14ac:dyDescent="0.25">
      <c r="A123">
        <v>1734</v>
      </c>
      <c r="B123" t="s">
        <v>88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1734</v>
      </c>
      <c r="B124" t="s">
        <v>63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1734</v>
      </c>
      <c r="B125" t="s">
        <v>89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1734</v>
      </c>
      <c r="B126" t="s">
        <v>70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1734</v>
      </c>
      <c r="B127" t="s">
        <v>64</v>
      </c>
      <c r="C127" t="s">
        <v>73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1734</v>
      </c>
      <c r="B128" t="s">
        <v>65</v>
      </c>
      <c r="C128" t="s">
        <v>73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109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1734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1734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1734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1734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1734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1734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1734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1734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1734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1734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1734</v>
      </c>
      <c r="B12" t="s">
        <v>6</v>
      </c>
      <c r="C12" t="s">
        <v>74</v>
      </c>
      <c r="D12" t="s">
        <v>33</v>
      </c>
      <c r="F12">
        <v>128117</v>
      </c>
      <c r="H12">
        <v>4</v>
      </c>
      <c r="J12">
        <f t="shared" si="0"/>
        <v>14349108</v>
      </c>
      <c r="L12">
        <f t="shared" si="1"/>
        <v>6405.8517857142861</v>
      </c>
    </row>
    <row r="13" spans="1:15" x14ac:dyDescent="0.25">
      <c r="A13">
        <v>1734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1734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1734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1734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8</v>
      </c>
      <c r="C17" t="s">
        <v>74</v>
      </c>
      <c r="D17" t="s">
        <v>33</v>
      </c>
      <c r="F17">
        <v>1378</v>
      </c>
      <c r="G17">
        <v>2</v>
      </c>
      <c r="H17">
        <v>7</v>
      </c>
      <c r="J17">
        <f t="shared" si="0"/>
        <v>154399</v>
      </c>
      <c r="L17">
        <f t="shared" si="1"/>
        <v>68.928124999999994</v>
      </c>
    </row>
    <row r="18" spans="1:12" x14ac:dyDescent="0.25">
      <c r="A18">
        <v>1734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1734</v>
      </c>
      <c r="B19" t="s">
        <v>77</v>
      </c>
      <c r="C19" t="s">
        <v>74</v>
      </c>
      <c r="D19" t="s">
        <v>33</v>
      </c>
      <c r="F19">
        <v>3</v>
      </c>
      <c r="H19">
        <v>1</v>
      </c>
      <c r="J19">
        <f t="shared" si="0"/>
        <v>337</v>
      </c>
      <c r="L19">
        <f t="shared" si="1"/>
        <v>0.15044642857142856</v>
      </c>
    </row>
    <row r="20" spans="1:12" x14ac:dyDescent="0.25">
      <c r="A20">
        <v>1734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1734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1734</v>
      </c>
      <c r="B22" t="s">
        <v>9</v>
      </c>
      <c r="C22" t="s">
        <v>74</v>
      </c>
      <c r="D22" t="s">
        <v>33</v>
      </c>
      <c r="H22">
        <f>1123*200+172</f>
        <v>224772</v>
      </c>
      <c r="I22" t="s">
        <v>143</v>
      </c>
      <c r="J22">
        <f t="shared" si="0"/>
        <v>224772</v>
      </c>
      <c r="L22">
        <f t="shared" si="1"/>
        <v>100.34464285714286</v>
      </c>
    </row>
    <row r="23" spans="1:12" x14ac:dyDescent="0.25">
      <c r="A23">
        <v>1734</v>
      </c>
      <c r="B23" t="s">
        <v>10</v>
      </c>
      <c r="C23" t="s">
        <v>74</v>
      </c>
      <c r="D23" t="s">
        <v>33</v>
      </c>
      <c r="F23">
        <v>5</v>
      </c>
      <c r="G23">
        <v>2</v>
      </c>
      <c r="J23">
        <f t="shared" si="0"/>
        <v>616</v>
      </c>
      <c r="L23">
        <f t="shared" si="1"/>
        <v>0.27500000000000002</v>
      </c>
    </row>
    <row r="24" spans="1:12" x14ac:dyDescent="0.25">
      <c r="A24">
        <v>1734</v>
      </c>
      <c r="B24" t="s">
        <v>11</v>
      </c>
      <c r="C24" t="s">
        <v>74</v>
      </c>
      <c r="D24" t="s">
        <v>33</v>
      </c>
      <c r="F24">
        <v>81</v>
      </c>
      <c r="G24">
        <v>3</v>
      </c>
      <c r="H24">
        <v>11</v>
      </c>
      <c r="J24">
        <f t="shared" si="0"/>
        <v>9167</v>
      </c>
      <c r="L24">
        <f t="shared" si="1"/>
        <v>4.0924107142857142</v>
      </c>
    </row>
    <row r="25" spans="1:12" x14ac:dyDescent="0.25">
      <c r="A25">
        <v>1734</v>
      </c>
      <c r="B25" t="s">
        <v>39</v>
      </c>
      <c r="C25" t="s">
        <v>74</v>
      </c>
      <c r="D25" t="s">
        <v>33</v>
      </c>
      <c r="H25">
        <v>16</v>
      </c>
      <c r="J25">
        <f t="shared" si="0"/>
        <v>16</v>
      </c>
      <c r="L25">
        <f t="shared" si="1"/>
        <v>7.1428571428571426E-3</v>
      </c>
    </row>
    <row r="26" spans="1:12" x14ac:dyDescent="0.25">
      <c r="A26">
        <v>1734</v>
      </c>
      <c r="B26" t="s">
        <v>79</v>
      </c>
      <c r="C26" t="s">
        <v>74</v>
      </c>
      <c r="D26" t="s">
        <v>33</v>
      </c>
      <c r="H26">
        <v>20500</v>
      </c>
      <c r="J26">
        <f t="shared" si="0"/>
        <v>20500</v>
      </c>
      <c r="L26">
        <f t="shared" si="1"/>
        <v>9.1517857142857135</v>
      </c>
    </row>
    <row r="27" spans="1:12" x14ac:dyDescent="0.25">
      <c r="A27">
        <v>1734</v>
      </c>
      <c r="B27" t="s">
        <v>103</v>
      </c>
      <c r="C27" t="s">
        <v>74</v>
      </c>
      <c r="D27" t="s">
        <v>33</v>
      </c>
      <c r="H27">
        <v>150</v>
      </c>
      <c r="J27">
        <f t="shared" si="0"/>
        <v>150</v>
      </c>
      <c r="L27">
        <f t="shared" si="1"/>
        <v>6.6964285714285712E-2</v>
      </c>
    </row>
    <row r="28" spans="1:12" x14ac:dyDescent="0.25">
      <c r="A28">
        <v>1734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1734</v>
      </c>
      <c r="B30" t="s">
        <v>12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1734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1734</v>
      </c>
      <c r="B33" t="s">
        <v>13</v>
      </c>
      <c r="C33" t="s">
        <v>74</v>
      </c>
      <c r="D33" t="s">
        <v>33</v>
      </c>
      <c r="E33">
        <v>32</v>
      </c>
      <c r="F33">
        <v>3</v>
      </c>
      <c r="G33">
        <v>3</v>
      </c>
      <c r="J33">
        <f t="shared" si="0"/>
        <v>72100</v>
      </c>
      <c r="L33">
        <f t="shared" si="1"/>
        <v>32.1875</v>
      </c>
    </row>
    <row r="34" spans="1:12" x14ac:dyDescent="0.25">
      <c r="A34">
        <v>1734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1734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1734</v>
      </c>
      <c r="B36" t="s">
        <v>27</v>
      </c>
      <c r="C36" t="s">
        <v>74</v>
      </c>
      <c r="D36" t="s">
        <v>33</v>
      </c>
      <c r="H36">
        <v>77520</v>
      </c>
      <c r="I36" t="s">
        <v>141</v>
      </c>
      <c r="J36">
        <f t="shared" si="0"/>
        <v>77520</v>
      </c>
      <c r="L36">
        <f t="shared" si="1"/>
        <v>34.607142857142854</v>
      </c>
    </row>
    <row r="37" spans="1:12" x14ac:dyDescent="0.25">
      <c r="A37">
        <v>1734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1734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1734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1734</v>
      </c>
      <c r="B40" t="s">
        <v>47</v>
      </c>
      <c r="C40" t="s">
        <v>74</v>
      </c>
      <c r="D40" t="s">
        <v>33</v>
      </c>
      <c r="H40">
        <v>50</v>
      </c>
      <c r="I40" t="s">
        <v>139</v>
      </c>
      <c r="J40">
        <f t="shared" si="0"/>
        <v>50</v>
      </c>
      <c r="L40">
        <f t="shared" si="1"/>
        <v>2.2321428571428572E-2</v>
      </c>
    </row>
    <row r="41" spans="1:12" x14ac:dyDescent="0.25">
      <c r="A41">
        <v>1734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1734</v>
      </c>
      <c r="B42" t="s">
        <v>127</v>
      </c>
      <c r="C42" t="s">
        <v>74</v>
      </c>
      <c r="D42" t="s">
        <v>33</v>
      </c>
      <c r="H42">
        <v>2750.5</v>
      </c>
      <c r="I42" t="s">
        <v>142</v>
      </c>
      <c r="J42">
        <f t="shared" si="0"/>
        <v>2750.5</v>
      </c>
      <c r="L42">
        <f t="shared" si="1"/>
        <v>1.2279017857142858</v>
      </c>
    </row>
    <row r="43" spans="1:12" x14ac:dyDescent="0.25">
      <c r="A43">
        <v>1734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1734</v>
      </c>
      <c r="B44" t="s">
        <v>18</v>
      </c>
      <c r="C44" t="s">
        <v>74</v>
      </c>
      <c r="D44" t="s">
        <v>33</v>
      </c>
      <c r="H44">
        <v>59585.5</v>
      </c>
      <c r="I44" t="s">
        <v>140</v>
      </c>
      <c r="J44">
        <f t="shared" si="0"/>
        <v>59585.5</v>
      </c>
      <c r="L44">
        <f t="shared" si="1"/>
        <v>26.600669642857142</v>
      </c>
    </row>
    <row r="45" spans="1:12" x14ac:dyDescent="0.25">
      <c r="A45">
        <v>1734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1734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1734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1734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1734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1734</v>
      </c>
      <c r="B50" t="s">
        <v>54</v>
      </c>
      <c r="C50" t="s">
        <v>74</v>
      </c>
      <c r="D50" t="s">
        <v>33</v>
      </c>
      <c r="H50">
        <v>306</v>
      </c>
      <c r="J50">
        <f t="shared" si="0"/>
        <v>306</v>
      </c>
      <c r="L50">
        <f t="shared" si="1"/>
        <v>0.13660714285714284</v>
      </c>
    </row>
    <row r="51" spans="1:12" x14ac:dyDescent="0.25">
      <c r="A51">
        <v>1734</v>
      </c>
      <c r="B51" t="s">
        <v>95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1734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1734</v>
      </c>
      <c r="B53" t="s">
        <v>21</v>
      </c>
      <c r="C53" t="s">
        <v>74</v>
      </c>
      <c r="D53" t="s">
        <v>33</v>
      </c>
      <c r="H53">
        <v>36</v>
      </c>
      <c r="J53">
        <f t="shared" si="0"/>
        <v>36</v>
      </c>
      <c r="L53">
        <f t="shared" si="1"/>
        <v>1.607142857142857E-2</v>
      </c>
    </row>
    <row r="54" spans="1:12" x14ac:dyDescent="0.25">
      <c r="A54">
        <v>1734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1734</v>
      </c>
      <c r="B55" t="s">
        <v>61</v>
      </c>
      <c r="C55" t="s">
        <v>74</v>
      </c>
      <c r="D55" t="s">
        <v>33</v>
      </c>
      <c r="E55">
        <v>1</v>
      </c>
      <c r="J55">
        <f t="shared" si="0"/>
        <v>2240</v>
      </c>
      <c r="L55">
        <f t="shared" si="1"/>
        <v>1</v>
      </c>
    </row>
    <row r="56" spans="1:12" x14ac:dyDescent="0.25">
      <c r="A56">
        <v>1734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1734</v>
      </c>
      <c r="B57" t="s">
        <v>87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1734</v>
      </c>
      <c r="B58" t="s">
        <v>62</v>
      </c>
      <c r="C58" t="s">
        <v>74</v>
      </c>
      <c r="D58" t="s">
        <v>33</v>
      </c>
      <c r="E58">
        <v>727</v>
      </c>
      <c r="F58">
        <v>11</v>
      </c>
      <c r="H58">
        <v>10</v>
      </c>
      <c r="J58">
        <f t="shared" si="0"/>
        <v>1629722</v>
      </c>
      <c r="L58">
        <f t="shared" si="1"/>
        <v>727.55446428571429</v>
      </c>
    </row>
    <row r="59" spans="1:12" x14ac:dyDescent="0.25">
      <c r="A59">
        <v>1734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1734</v>
      </c>
      <c r="B60" t="s">
        <v>63</v>
      </c>
      <c r="C60" t="s">
        <v>74</v>
      </c>
      <c r="D60" t="s">
        <v>33</v>
      </c>
      <c r="F60">
        <v>5</v>
      </c>
      <c r="J60">
        <f t="shared" si="0"/>
        <v>560</v>
      </c>
      <c r="L60">
        <f t="shared" si="1"/>
        <v>0.25</v>
      </c>
    </row>
    <row r="61" spans="1:12" x14ac:dyDescent="0.25">
      <c r="A61">
        <v>1734</v>
      </c>
      <c r="B61" t="s">
        <v>89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1734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1734</v>
      </c>
      <c r="B63" t="s">
        <v>64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1734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1734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1734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1734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1734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1734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1734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1734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1734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1734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1734</v>
      </c>
      <c r="B75" t="s">
        <v>6</v>
      </c>
      <c r="C75" t="s">
        <v>74</v>
      </c>
      <c r="D75" t="s">
        <v>35</v>
      </c>
      <c r="F75">
        <v>26225</v>
      </c>
      <c r="H75">
        <v>2</v>
      </c>
      <c r="J75">
        <f t="shared" si="2"/>
        <v>2937202</v>
      </c>
      <c r="L75">
        <f t="shared" si="3"/>
        <v>1311.2508928571428</v>
      </c>
    </row>
    <row r="76" spans="1:12" x14ac:dyDescent="0.25">
      <c r="A76">
        <v>1734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1734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1734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1734</v>
      </c>
      <c r="B79" t="s">
        <v>8</v>
      </c>
      <c r="C79" t="s">
        <v>74</v>
      </c>
      <c r="D79" t="s">
        <v>35</v>
      </c>
      <c r="F79">
        <v>1</v>
      </c>
      <c r="G79">
        <v>2</v>
      </c>
      <c r="H79">
        <v>11</v>
      </c>
      <c r="J79">
        <f t="shared" si="2"/>
        <v>179</v>
      </c>
      <c r="L79">
        <f t="shared" si="3"/>
        <v>7.9910714285714279E-2</v>
      </c>
    </row>
    <row r="80" spans="1:12" x14ac:dyDescent="0.25">
      <c r="A80">
        <v>1734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1734</v>
      </c>
      <c r="B81" t="s">
        <v>77</v>
      </c>
      <c r="C81" t="s">
        <v>74</v>
      </c>
      <c r="D81" t="s">
        <v>35</v>
      </c>
      <c r="F81">
        <v>3</v>
      </c>
      <c r="G81">
        <v>3</v>
      </c>
      <c r="H81">
        <v>11</v>
      </c>
      <c r="J81">
        <f t="shared" si="2"/>
        <v>431</v>
      </c>
      <c r="L81">
        <f t="shared" si="3"/>
        <v>0.1924107142857143</v>
      </c>
    </row>
    <row r="82" spans="1:12" x14ac:dyDescent="0.25">
      <c r="A82">
        <v>1734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1734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1734</v>
      </c>
      <c r="B84" t="s">
        <v>9</v>
      </c>
      <c r="C84" t="s">
        <v>74</v>
      </c>
      <c r="D84" t="s">
        <v>35</v>
      </c>
      <c r="H84">
        <f>233*200+198</f>
        <v>46798</v>
      </c>
      <c r="I84" t="s">
        <v>165</v>
      </c>
      <c r="J84">
        <f t="shared" si="2"/>
        <v>46798</v>
      </c>
      <c r="L84">
        <f t="shared" si="3"/>
        <v>20.891964285714284</v>
      </c>
    </row>
    <row r="85" spans="1:12" x14ac:dyDescent="0.25">
      <c r="A85">
        <v>1734</v>
      </c>
      <c r="B85" t="s">
        <v>10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1734</v>
      </c>
      <c r="B86" t="s">
        <v>11</v>
      </c>
      <c r="C86" t="s">
        <v>74</v>
      </c>
      <c r="D86" t="s">
        <v>35</v>
      </c>
      <c r="F86">
        <v>97</v>
      </c>
      <c r="G86">
        <v>1</v>
      </c>
      <c r="H86">
        <v>26</v>
      </c>
      <c r="J86">
        <f t="shared" si="2"/>
        <v>10918</v>
      </c>
      <c r="L86">
        <f t="shared" si="3"/>
        <v>4.8741071428571425</v>
      </c>
    </row>
    <row r="87" spans="1:12" x14ac:dyDescent="0.25">
      <c r="A87">
        <v>1734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1734</v>
      </c>
      <c r="B88" t="s">
        <v>79</v>
      </c>
      <c r="C88" t="s">
        <v>74</v>
      </c>
      <c r="D88" t="s">
        <v>35</v>
      </c>
      <c r="H88">
        <v>77103</v>
      </c>
      <c r="J88">
        <f t="shared" si="2"/>
        <v>77103</v>
      </c>
      <c r="L88">
        <f t="shared" si="3"/>
        <v>34.420982142857142</v>
      </c>
    </row>
    <row r="89" spans="1:12" x14ac:dyDescent="0.25">
      <c r="A89">
        <v>1734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1734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1734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12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1734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1734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1734</v>
      </c>
      <c r="B95" t="s">
        <v>13</v>
      </c>
      <c r="C95" t="s">
        <v>74</v>
      </c>
      <c r="D95" t="s">
        <v>35</v>
      </c>
      <c r="E95">
        <v>17</v>
      </c>
      <c r="F95">
        <v>10</v>
      </c>
      <c r="J95">
        <f t="shared" si="2"/>
        <v>39200</v>
      </c>
      <c r="L95">
        <f t="shared" si="3"/>
        <v>17.5</v>
      </c>
    </row>
    <row r="96" spans="1:12" x14ac:dyDescent="0.25">
      <c r="A96">
        <v>1734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1734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1734</v>
      </c>
      <c r="B98" t="s">
        <v>27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1734</v>
      </c>
      <c r="B99" t="s">
        <v>15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1734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1734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1734</v>
      </c>
      <c r="B103" t="s">
        <v>47</v>
      </c>
      <c r="C103" t="s">
        <v>74</v>
      </c>
      <c r="D103" t="s">
        <v>35</v>
      </c>
      <c r="H103">
        <v>20</v>
      </c>
      <c r="I103" t="s">
        <v>156</v>
      </c>
      <c r="J103">
        <f t="shared" si="2"/>
        <v>20</v>
      </c>
      <c r="L103">
        <f t="shared" si="3"/>
        <v>8.9285714285714281E-3</v>
      </c>
    </row>
    <row r="104" spans="1:12" x14ac:dyDescent="0.25">
      <c r="A104">
        <v>1734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1734</v>
      </c>
      <c r="B106" t="s">
        <v>18</v>
      </c>
      <c r="C106" t="s">
        <v>74</v>
      </c>
      <c r="D106" t="s">
        <v>35</v>
      </c>
      <c r="H106">
        <v>82551</v>
      </c>
      <c r="I106" t="s">
        <v>164</v>
      </c>
      <c r="J106">
        <f t="shared" si="2"/>
        <v>82551</v>
      </c>
      <c r="L106">
        <f t="shared" si="3"/>
        <v>36.853124999999999</v>
      </c>
    </row>
    <row r="107" spans="1:12" x14ac:dyDescent="0.25">
      <c r="A107">
        <v>1734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1734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1734</v>
      </c>
      <c r="B109" t="s">
        <v>19</v>
      </c>
      <c r="C109" t="s">
        <v>74</v>
      </c>
      <c r="D109" t="s">
        <v>35</v>
      </c>
      <c r="F109">
        <v>5</v>
      </c>
      <c r="G109">
        <v>1</v>
      </c>
      <c r="H109">
        <v>26</v>
      </c>
      <c r="J109">
        <f t="shared" si="2"/>
        <v>614</v>
      </c>
      <c r="L109">
        <f t="shared" si="3"/>
        <v>0.27410714285714288</v>
      </c>
    </row>
    <row r="110" spans="1:12" x14ac:dyDescent="0.25">
      <c r="A110">
        <v>1734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1734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1734</v>
      </c>
      <c r="B112" t="s">
        <v>54</v>
      </c>
      <c r="C112" t="s">
        <v>74</v>
      </c>
      <c r="D112" t="s">
        <v>35</v>
      </c>
      <c r="H112">
        <v>99</v>
      </c>
      <c r="J112">
        <f t="shared" si="2"/>
        <v>99</v>
      </c>
      <c r="L112">
        <f t="shared" si="3"/>
        <v>4.4196428571428574E-2</v>
      </c>
    </row>
    <row r="113" spans="1:12" x14ac:dyDescent="0.25">
      <c r="A113">
        <v>1734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1734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1734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1734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1734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1734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1734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1734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1734</v>
      </c>
      <c r="B121" t="s">
        <v>62</v>
      </c>
      <c r="C121" t="s">
        <v>74</v>
      </c>
      <c r="D121" t="s">
        <v>35</v>
      </c>
      <c r="E121">
        <v>220</v>
      </c>
      <c r="F121">
        <v>5</v>
      </c>
      <c r="G121">
        <v>3</v>
      </c>
      <c r="H121">
        <v>25</v>
      </c>
      <c r="J121">
        <f t="shared" si="2"/>
        <v>493469</v>
      </c>
      <c r="L121">
        <f t="shared" si="3"/>
        <v>220.29866071428572</v>
      </c>
    </row>
    <row r="122" spans="1:12" x14ac:dyDescent="0.25">
      <c r="A122">
        <v>1734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1734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1734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1734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1734</v>
      </c>
      <c r="B126" t="s">
        <v>64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1734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31"/>
  <sheetViews>
    <sheetView topLeftCell="A82" workbookViewId="0">
      <selection activeCell="H41" sqref="H41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1734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1734</v>
      </c>
      <c r="B3" t="s">
        <v>57</v>
      </c>
      <c r="C3" t="s">
        <v>100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5" x14ac:dyDescent="0.25">
      <c r="A4">
        <v>1734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1734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1734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1734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1734</v>
      </c>
      <c r="B8" t="s">
        <v>101</v>
      </c>
      <c r="C8" t="s">
        <v>100</v>
      </c>
      <c r="D8" t="s">
        <v>33</v>
      </c>
      <c r="H8">
        <v>429</v>
      </c>
      <c r="J8">
        <f t="shared" si="0"/>
        <v>429</v>
      </c>
      <c r="L8">
        <f t="shared" si="1"/>
        <v>0.19151785714285716</v>
      </c>
    </row>
    <row r="9" spans="1:15" x14ac:dyDescent="0.25">
      <c r="A9">
        <v>1734</v>
      </c>
      <c r="B9" t="s">
        <v>43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1734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1734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1734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1734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1734</v>
      </c>
      <c r="B14" t="s">
        <v>6</v>
      </c>
      <c r="C14" t="s">
        <v>100</v>
      </c>
      <c r="D14" t="s">
        <v>33</v>
      </c>
      <c r="F14">
        <v>1934</v>
      </c>
      <c r="G14">
        <v>3</v>
      </c>
      <c r="H14">
        <v>6</v>
      </c>
      <c r="J14">
        <f t="shared" si="0"/>
        <v>216698</v>
      </c>
      <c r="L14">
        <f t="shared" si="1"/>
        <v>96.740178571428572</v>
      </c>
    </row>
    <row r="15" spans="1:15" x14ac:dyDescent="0.25">
      <c r="A15">
        <v>1734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1734</v>
      </c>
      <c r="B16" t="s">
        <v>60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1734</v>
      </c>
      <c r="B17" t="s">
        <v>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1734</v>
      </c>
      <c r="B18" t="s">
        <v>37</v>
      </c>
      <c r="C18" t="s">
        <v>100</v>
      </c>
      <c r="D18" t="s">
        <v>33</v>
      </c>
      <c r="H18">
        <v>800</v>
      </c>
      <c r="J18">
        <f t="shared" si="0"/>
        <v>800</v>
      </c>
      <c r="L18">
        <f t="shared" si="1"/>
        <v>0.35714285714285715</v>
      </c>
    </row>
    <row r="19" spans="1:12" x14ac:dyDescent="0.25">
      <c r="A19">
        <v>1734</v>
      </c>
      <c r="B19" t="s">
        <v>8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1734</v>
      </c>
      <c r="B20" t="s">
        <v>40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1734</v>
      </c>
      <c r="B21" t="s">
        <v>77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1734</v>
      </c>
      <c r="B22" t="s">
        <v>117</v>
      </c>
      <c r="C22" t="s">
        <v>100</v>
      </c>
      <c r="D22" t="s">
        <v>33</v>
      </c>
      <c r="F22">
        <v>15</v>
      </c>
      <c r="J22">
        <f t="shared" si="0"/>
        <v>1680</v>
      </c>
      <c r="L22">
        <f t="shared" si="1"/>
        <v>0.75</v>
      </c>
    </row>
    <row r="23" spans="1:12" x14ac:dyDescent="0.25">
      <c r="A23">
        <v>1734</v>
      </c>
      <c r="B23" t="s">
        <v>78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1734</v>
      </c>
      <c r="B24" t="s">
        <v>46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1734</v>
      </c>
      <c r="B25" t="s">
        <v>9</v>
      </c>
      <c r="C25" t="s">
        <v>100</v>
      </c>
      <c r="D25" t="s">
        <v>33</v>
      </c>
      <c r="H25">
        <f>3*200</f>
        <v>600</v>
      </c>
      <c r="I25" t="s">
        <v>146</v>
      </c>
      <c r="J25">
        <f t="shared" si="0"/>
        <v>600</v>
      </c>
      <c r="L25">
        <f t="shared" si="1"/>
        <v>0.26785714285714285</v>
      </c>
    </row>
    <row r="26" spans="1:12" x14ac:dyDescent="0.25">
      <c r="A26">
        <v>1734</v>
      </c>
      <c r="B26" t="s">
        <v>10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1734</v>
      </c>
      <c r="B27" t="s">
        <v>11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1734</v>
      </c>
      <c r="B28" t="s">
        <v>39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1734</v>
      </c>
      <c r="B29" t="s">
        <v>79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1734</v>
      </c>
      <c r="B30" t="s">
        <v>122</v>
      </c>
      <c r="C30" t="s">
        <v>100</v>
      </c>
      <c r="D30" t="s">
        <v>33</v>
      </c>
      <c r="H30">
        <v>1200</v>
      </c>
      <c r="J30">
        <f t="shared" si="0"/>
        <v>1200</v>
      </c>
      <c r="L30">
        <f t="shared" si="1"/>
        <v>0.5357142857142857</v>
      </c>
    </row>
    <row r="31" spans="1:12" x14ac:dyDescent="0.25">
      <c r="A31">
        <v>1734</v>
      </c>
      <c r="B31" t="s">
        <v>103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1734</v>
      </c>
      <c r="B32" t="s">
        <v>44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1734</v>
      </c>
      <c r="B33" t="s">
        <v>97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1734</v>
      </c>
      <c r="B34" t="s">
        <v>12</v>
      </c>
      <c r="C34" t="s">
        <v>100</v>
      </c>
      <c r="D34" t="s">
        <v>33</v>
      </c>
      <c r="H34">
        <v>3110</v>
      </c>
      <c r="J34">
        <f t="shared" si="0"/>
        <v>3110</v>
      </c>
      <c r="L34">
        <f t="shared" si="1"/>
        <v>1.3883928571428572</v>
      </c>
    </row>
    <row r="35" spans="1:12" x14ac:dyDescent="0.25">
      <c r="A35">
        <v>1734</v>
      </c>
      <c r="B35" t="s">
        <v>82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1734</v>
      </c>
      <c r="B36" t="s">
        <v>34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1734</v>
      </c>
      <c r="B37" t="s">
        <v>13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1734</v>
      </c>
      <c r="B38" t="s">
        <v>14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1734</v>
      </c>
      <c r="B39" t="s">
        <v>23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1734</v>
      </c>
      <c r="B40" t="s">
        <v>27</v>
      </c>
      <c r="C40" t="s">
        <v>100</v>
      </c>
      <c r="D40" t="s">
        <v>33</v>
      </c>
      <c r="H40">
        <v>860</v>
      </c>
      <c r="I40" t="s">
        <v>145</v>
      </c>
      <c r="J40">
        <f t="shared" si="0"/>
        <v>860</v>
      </c>
      <c r="L40">
        <f t="shared" si="1"/>
        <v>0.38392857142857145</v>
      </c>
    </row>
    <row r="41" spans="1:12" x14ac:dyDescent="0.25">
      <c r="A41">
        <v>1734</v>
      </c>
      <c r="B41" t="s">
        <v>15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1734</v>
      </c>
      <c r="B42" t="s">
        <v>42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1734</v>
      </c>
      <c r="B43" t="s">
        <v>83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1734</v>
      </c>
      <c r="B44" t="s">
        <v>47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1734</v>
      </c>
      <c r="B45" t="s">
        <v>16</v>
      </c>
      <c r="C45" t="s">
        <v>100</v>
      </c>
      <c r="D45" t="s">
        <v>33</v>
      </c>
      <c r="H45">
        <v>2100</v>
      </c>
      <c r="J45">
        <f t="shared" si="0"/>
        <v>2100</v>
      </c>
      <c r="L45">
        <f t="shared" si="1"/>
        <v>0.9375</v>
      </c>
    </row>
    <row r="46" spans="1:12" x14ac:dyDescent="0.25">
      <c r="A46">
        <v>1734</v>
      </c>
      <c r="B46" t="s">
        <v>17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1734</v>
      </c>
      <c r="B47" t="s">
        <v>18</v>
      </c>
      <c r="C47" t="s">
        <v>100</v>
      </c>
      <c r="D47" t="s">
        <v>33</v>
      </c>
      <c r="H47">
        <v>200</v>
      </c>
      <c r="I47" t="s">
        <v>144</v>
      </c>
      <c r="J47">
        <f t="shared" si="0"/>
        <v>200</v>
      </c>
      <c r="L47">
        <f t="shared" si="1"/>
        <v>8.9285714285714288E-2</v>
      </c>
    </row>
    <row r="48" spans="1:12" x14ac:dyDescent="0.25">
      <c r="A48">
        <v>1734</v>
      </c>
      <c r="B48" t="s">
        <v>26</v>
      </c>
      <c r="C48" t="s">
        <v>100</v>
      </c>
      <c r="D48" t="s">
        <v>33</v>
      </c>
      <c r="H48">
        <v>80</v>
      </c>
      <c r="J48">
        <f t="shared" si="0"/>
        <v>80</v>
      </c>
      <c r="L48">
        <f t="shared" si="1"/>
        <v>3.5714285714285712E-2</v>
      </c>
    </row>
    <row r="49" spans="1:12" x14ac:dyDescent="0.25">
      <c r="A49">
        <v>1734</v>
      </c>
      <c r="B49" t="s">
        <v>84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1734</v>
      </c>
      <c r="B50" t="s">
        <v>19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1734</v>
      </c>
      <c r="B51" t="s">
        <v>45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1734</v>
      </c>
      <c r="B52" t="s">
        <v>85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1734</v>
      </c>
      <c r="B53" t="s">
        <v>54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1734</v>
      </c>
      <c r="B54" t="s">
        <v>95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1734</v>
      </c>
      <c r="B55" t="s">
        <v>20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1734</v>
      </c>
      <c r="B56" t="s">
        <v>21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1734</v>
      </c>
      <c r="B57" t="s">
        <v>90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1734</v>
      </c>
      <c r="B58" t="s">
        <v>22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1734</v>
      </c>
      <c r="B59" t="s">
        <v>61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1734</v>
      </c>
      <c r="B60" t="s">
        <v>98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1734</v>
      </c>
      <c r="B61" t="s">
        <v>87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1734</v>
      </c>
      <c r="B62" t="s">
        <v>62</v>
      </c>
      <c r="C62" t="s">
        <v>100</v>
      </c>
      <c r="D62" t="s">
        <v>33</v>
      </c>
      <c r="E62">
        <v>30</v>
      </c>
      <c r="J62">
        <f t="shared" si="0"/>
        <v>67200</v>
      </c>
      <c r="L62">
        <f t="shared" si="1"/>
        <v>30</v>
      </c>
    </row>
    <row r="63" spans="1:12" x14ac:dyDescent="0.25">
      <c r="A63">
        <v>1734</v>
      </c>
      <c r="B63" t="s">
        <v>88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1734</v>
      </c>
      <c r="B64" t="s">
        <v>63</v>
      </c>
      <c r="C64" t="s">
        <v>100</v>
      </c>
      <c r="D64" t="s">
        <v>33</v>
      </c>
      <c r="E64">
        <v>250</v>
      </c>
      <c r="J64">
        <f t="shared" si="0"/>
        <v>560000</v>
      </c>
      <c r="L64">
        <f t="shared" si="1"/>
        <v>250</v>
      </c>
    </row>
    <row r="65" spans="1:12" x14ac:dyDescent="0.25">
      <c r="A65">
        <v>1734</v>
      </c>
      <c r="B65" t="s">
        <v>89</v>
      </c>
      <c r="C65" t="s">
        <v>100</v>
      </c>
      <c r="D65" t="s">
        <v>33</v>
      </c>
      <c r="E65">
        <v>10</v>
      </c>
      <c r="J65">
        <f t="shared" si="0"/>
        <v>22400</v>
      </c>
      <c r="L65">
        <f t="shared" si="1"/>
        <v>10</v>
      </c>
    </row>
    <row r="66" spans="1:12" x14ac:dyDescent="0.25">
      <c r="A66">
        <v>1734</v>
      </c>
      <c r="B66" t="s">
        <v>70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1734</v>
      </c>
      <c r="B67" t="s">
        <v>64</v>
      </c>
      <c r="C67" t="s">
        <v>100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1734</v>
      </c>
      <c r="B68" t="s">
        <v>65</v>
      </c>
      <c r="C68" t="s">
        <v>100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1734</v>
      </c>
      <c r="B69" t="s">
        <v>55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1734</v>
      </c>
      <c r="B70" t="s">
        <v>57</v>
      </c>
      <c r="C70" t="s">
        <v>100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1734</v>
      </c>
      <c r="B71" t="s">
        <v>36</v>
      </c>
      <c r="C71" t="s">
        <v>100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1734</v>
      </c>
      <c r="B72" t="s">
        <v>4</v>
      </c>
      <c r="C72" t="s">
        <v>100</v>
      </c>
      <c r="D72" t="s">
        <v>35</v>
      </c>
      <c r="J72">
        <f t="shared" ref="J72:J131" si="2">(E72*2240)+(F72*112)+(G72*28)+H72</f>
        <v>0</v>
      </c>
      <c r="L72">
        <f t="shared" ref="L72:L131" si="3">J72/2240</f>
        <v>0</v>
      </c>
    </row>
    <row r="73" spans="1:12" x14ac:dyDescent="0.25">
      <c r="A73">
        <v>1734</v>
      </c>
      <c r="B73" t="s">
        <v>58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1734</v>
      </c>
      <c r="B74" t="s">
        <v>69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1734</v>
      </c>
      <c r="B75" t="s">
        <v>43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1734</v>
      </c>
      <c r="B76" t="s">
        <v>76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1734</v>
      </c>
      <c r="B77" t="s">
        <v>5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1734</v>
      </c>
      <c r="B78" t="s">
        <v>59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1734</v>
      </c>
      <c r="B79" t="s">
        <v>6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1734</v>
      </c>
      <c r="B80" t="s">
        <v>60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1734</v>
      </c>
      <c r="B81" t="s">
        <v>7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1734</v>
      </c>
      <c r="B82" t="s">
        <v>37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1734</v>
      </c>
      <c r="B83" t="s">
        <v>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1734</v>
      </c>
      <c r="B84" t="s">
        <v>40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1734</v>
      </c>
      <c r="B85" t="s">
        <v>77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1734</v>
      </c>
      <c r="B86" t="s">
        <v>78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1734</v>
      </c>
      <c r="B87" t="s">
        <v>46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1734</v>
      </c>
      <c r="B88" t="s">
        <v>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1734</v>
      </c>
      <c r="B89" t="s">
        <v>10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1734</v>
      </c>
      <c r="B90" t="s">
        <v>11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1734</v>
      </c>
      <c r="B91" t="s">
        <v>39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1734</v>
      </c>
      <c r="B92" t="s">
        <v>79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1734</v>
      </c>
      <c r="B93" t="s">
        <v>103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1734</v>
      </c>
      <c r="B94" t="s">
        <v>44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1734</v>
      </c>
      <c r="B95" t="s">
        <v>97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1734</v>
      </c>
      <c r="B96" t="s">
        <v>12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1734</v>
      </c>
      <c r="B97" t="s">
        <v>82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1734</v>
      </c>
      <c r="B98" t="s">
        <v>34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1734</v>
      </c>
      <c r="B99" t="s">
        <v>13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1734</v>
      </c>
      <c r="B100" t="s">
        <v>14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1734</v>
      </c>
      <c r="B101" t="s">
        <v>23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1734</v>
      </c>
      <c r="B102" t="s">
        <v>27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1734</v>
      </c>
      <c r="B103" t="s">
        <v>15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1734</v>
      </c>
      <c r="B104" t="s">
        <v>93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1734</v>
      </c>
      <c r="B105" t="s">
        <v>42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1734</v>
      </c>
      <c r="B106" t="s">
        <v>83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1734</v>
      </c>
      <c r="B107" t="s">
        <v>47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1734</v>
      </c>
      <c r="B108" t="s">
        <v>16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1734</v>
      </c>
      <c r="B109" t="s">
        <v>17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1734</v>
      </c>
      <c r="B110" t="s">
        <v>18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1734</v>
      </c>
      <c r="B111" t="s">
        <v>26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1734</v>
      </c>
      <c r="B112" t="s">
        <v>84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1734</v>
      </c>
      <c r="B113" t="s">
        <v>19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1734</v>
      </c>
      <c r="B114" t="s">
        <v>45</v>
      </c>
      <c r="C114" t="s">
        <v>100</v>
      </c>
      <c r="D114" t="s">
        <v>35</v>
      </c>
      <c r="H114">
        <v>212</v>
      </c>
      <c r="J114">
        <f t="shared" si="2"/>
        <v>212</v>
      </c>
      <c r="L114">
        <f t="shared" si="3"/>
        <v>9.464285714285714E-2</v>
      </c>
    </row>
    <row r="115" spans="1:12" x14ac:dyDescent="0.25">
      <c r="A115">
        <v>1734</v>
      </c>
      <c r="B115" t="s">
        <v>85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1734</v>
      </c>
      <c r="B116" t="s">
        <v>54</v>
      </c>
      <c r="C116" t="s">
        <v>100</v>
      </c>
      <c r="D116" t="s">
        <v>35</v>
      </c>
      <c r="H116">
        <v>92</v>
      </c>
      <c r="J116">
        <f t="shared" si="2"/>
        <v>92</v>
      </c>
      <c r="L116">
        <f t="shared" si="3"/>
        <v>4.1071428571428571E-2</v>
      </c>
    </row>
    <row r="117" spans="1:12" x14ac:dyDescent="0.25">
      <c r="A117">
        <v>1734</v>
      </c>
      <c r="B117" t="s">
        <v>95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1734</v>
      </c>
      <c r="B118" t="s">
        <v>20</v>
      </c>
      <c r="C118" t="s">
        <v>100</v>
      </c>
      <c r="D118" t="s">
        <v>35</v>
      </c>
      <c r="H118">
        <v>6</v>
      </c>
      <c r="J118">
        <f t="shared" si="2"/>
        <v>6</v>
      </c>
      <c r="L118">
        <f t="shared" si="3"/>
        <v>2.6785714285714286E-3</v>
      </c>
    </row>
    <row r="119" spans="1:12" x14ac:dyDescent="0.25">
      <c r="A119">
        <v>1734</v>
      </c>
      <c r="B119" t="s">
        <v>21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1734</v>
      </c>
      <c r="B120" t="s">
        <v>22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1734</v>
      </c>
      <c r="B121" t="s">
        <v>61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1734</v>
      </c>
      <c r="B122" t="s">
        <v>91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1734</v>
      </c>
      <c r="B123" t="s">
        <v>98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1734</v>
      </c>
      <c r="B124" t="s">
        <v>87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1734</v>
      </c>
      <c r="B125" t="s">
        <v>62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1734</v>
      </c>
      <c r="B126" t="s">
        <v>88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1734</v>
      </c>
      <c r="B127" t="s">
        <v>63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1734</v>
      </c>
      <c r="B128" t="s">
        <v>89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1734</v>
      </c>
      <c r="B129" t="s">
        <v>70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1734</v>
      </c>
      <c r="B130" t="s">
        <v>64</v>
      </c>
      <c r="C130" t="s">
        <v>100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1734</v>
      </c>
      <c r="B131" t="s">
        <v>65</v>
      </c>
      <c r="C131" t="s">
        <v>100</v>
      </c>
      <c r="D131" t="s">
        <v>35</v>
      </c>
      <c r="J131">
        <f t="shared" si="2"/>
        <v>0</v>
      </c>
      <c r="L131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2025-04-30T01:01:34Z</dcterms:modified>
</cp:coreProperties>
</file>