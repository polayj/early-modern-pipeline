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19" documentId="8_{5DCFC01D-A7BF-4E9D-87C0-8B2F25AE3706}" xr6:coauthVersionLast="47" xr6:coauthVersionMax="47" xr10:uidLastSave="{A50BD3E3-457E-462C-ACA7-45434C95AF28}"/>
  <bookViews>
    <workbookView xWindow="-120" yWindow="-120" windowWidth="29040" windowHeight="15840" firstSheet="1" activeTab="1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Barbados!$A$1:$N$57</definedName>
    <definedName name="_xlnm._FilterDatabase" localSheetId="5" hidden="1">Jamaica!$A$1:$O$66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8" l="1"/>
  <c r="L126" i="8"/>
  <c r="J126" i="8"/>
  <c r="H84" i="7"/>
  <c r="H85" i="6"/>
  <c r="H91" i="5"/>
  <c r="H69" i="3"/>
  <c r="H87" i="2"/>
  <c r="L119" i="2"/>
  <c r="J119" i="2"/>
  <c r="J73" i="2"/>
  <c r="L73" i="2" s="1"/>
  <c r="J17" i="11"/>
  <c r="L17" i="11" s="1"/>
  <c r="J8" i="11"/>
  <c r="L8" i="11" s="1"/>
  <c r="H23" i="8"/>
  <c r="J23" i="8" s="1"/>
  <c r="L23" i="8" s="1"/>
  <c r="J43" i="8"/>
  <c r="L43" i="8" s="1"/>
  <c r="J7" i="8"/>
  <c r="L7" i="8" s="1"/>
  <c r="H22" i="7"/>
  <c r="J42" i="7"/>
  <c r="L42" i="7" s="1"/>
  <c r="H22" i="6"/>
  <c r="L42" i="6"/>
  <c r="J42" i="6"/>
  <c r="J54" i="6"/>
  <c r="L54" i="6" s="1"/>
  <c r="H25" i="5"/>
  <c r="J46" i="5"/>
  <c r="L46" i="5" s="1"/>
  <c r="J49" i="5"/>
  <c r="L49" i="5" s="1"/>
  <c r="J44" i="5"/>
  <c r="L44" i="5" s="1"/>
  <c r="J9" i="5"/>
  <c r="L9" i="5" s="1"/>
  <c r="J7" i="5"/>
  <c r="L7" i="5" s="1"/>
  <c r="H20" i="3"/>
  <c r="J37" i="3"/>
  <c r="L37" i="3" s="1"/>
  <c r="J27" i="3"/>
  <c r="L27" i="3" s="1"/>
  <c r="J14" i="3"/>
  <c r="L14" i="3" s="1"/>
  <c r="J7" i="3"/>
  <c r="L7" i="3" s="1"/>
  <c r="H23" i="2"/>
  <c r="J44" i="2"/>
  <c r="L44" i="2" s="1"/>
  <c r="J123" i="5"/>
  <c r="L123" i="5" s="1"/>
  <c r="J77" i="5"/>
  <c r="L77" i="5" s="1"/>
  <c r="J86" i="3"/>
  <c r="L86" i="3" s="1"/>
  <c r="J120" i="2"/>
  <c r="L120" i="2" s="1"/>
  <c r="J56" i="11"/>
  <c r="L56" i="11" s="1"/>
  <c r="J11" i="11"/>
  <c r="L11" i="11" s="1"/>
  <c r="J59" i="5"/>
  <c r="L59" i="5" s="1"/>
  <c r="J10" i="5"/>
  <c r="L10" i="5" s="1"/>
  <c r="J14" i="4"/>
  <c r="L14" i="4" s="1"/>
  <c r="J16" i="4"/>
  <c r="L16" i="4" s="1"/>
  <c r="J12" i="4"/>
  <c r="L12" i="4" s="1"/>
  <c r="J9" i="4"/>
  <c r="L9" i="4" s="1"/>
  <c r="J6" i="4"/>
  <c r="L6" i="4" s="1"/>
  <c r="J24" i="3"/>
  <c r="L24" i="3" s="1"/>
  <c r="J29" i="2"/>
  <c r="L29" i="2" s="1"/>
  <c r="J8" i="2"/>
  <c r="L8" i="2" s="1"/>
  <c r="C23" i="1"/>
  <c r="C24" i="1"/>
  <c r="B23" i="1"/>
  <c r="B24" i="1"/>
  <c r="J130" i="11"/>
  <c r="L130" i="11" s="1"/>
  <c r="J129" i="11"/>
  <c r="L129" i="11" s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5" i="11"/>
  <c r="L55" i="11" s="1"/>
  <c r="J54" i="11"/>
  <c r="L54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6" i="11"/>
  <c r="L16" i="11" s="1"/>
  <c r="J15" i="11"/>
  <c r="L15" i="11" s="1"/>
  <c r="J14" i="11"/>
  <c r="L14" i="11" s="1"/>
  <c r="J13" i="11"/>
  <c r="L13" i="11" s="1"/>
  <c r="J12" i="11"/>
  <c r="L12" i="11" s="1"/>
  <c r="J10" i="11"/>
  <c r="L10" i="11" s="1"/>
  <c r="J9" i="11"/>
  <c r="L9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9" i="8"/>
  <c r="L129" i="8" s="1"/>
  <c r="J128" i="8"/>
  <c r="L128" i="8" s="1"/>
  <c r="J127" i="8"/>
  <c r="L127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6" i="8"/>
  <c r="L6" i="8" s="1"/>
  <c r="J5" i="8"/>
  <c r="L5" i="8" s="1"/>
  <c r="L4" i="8"/>
  <c r="J4" i="8"/>
  <c r="J3" i="8"/>
  <c r="L3" i="8" s="1"/>
  <c r="J2" i="8"/>
  <c r="L2" i="8" s="1"/>
  <c r="J127" i="7"/>
  <c r="L127" i="7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J112" i="7"/>
  <c r="L112" i="7" s="1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J104" i="7"/>
  <c r="L104" i="7" s="1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J20" i="7"/>
  <c r="L20" i="7" s="1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8" i="6"/>
  <c r="L128" i="6" s="1"/>
  <c r="J127" i="6"/>
  <c r="L127" i="6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J108" i="6"/>
  <c r="L108" i="6" s="1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J87" i="6"/>
  <c r="L87" i="6" s="1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J76" i="6"/>
  <c r="L76" i="6" s="1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L65" i="6"/>
  <c r="J65" i="6"/>
  <c r="J64" i="6"/>
  <c r="L64" i="6" s="1"/>
  <c r="J63" i="6"/>
  <c r="L63" i="6" s="1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J44" i="6"/>
  <c r="L44" i="6" s="1"/>
  <c r="J43" i="6"/>
  <c r="L43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2" i="2"/>
  <c r="L132" i="2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18" i="2"/>
  <c r="L118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5" i="3"/>
  <c r="L15" i="3" s="1"/>
  <c r="J16" i="3"/>
  <c r="L16" i="3" s="1"/>
  <c r="J17" i="3"/>
  <c r="L17" i="3" s="1"/>
  <c r="J18" i="3"/>
  <c r="L18" i="3" s="1"/>
  <c r="J19" i="3"/>
  <c r="L19" i="3" s="1"/>
  <c r="J20" i="3"/>
  <c r="L20" i="3" s="1"/>
  <c r="J21" i="3"/>
  <c r="L21" i="3" s="1"/>
  <c r="J22" i="3"/>
  <c r="L22" i="3" s="1"/>
  <c r="J23" i="3"/>
  <c r="L23" i="3" s="1"/>
  <c r="J25" i="3"/>
  <c r="L25" i="3" s="1"/>
  <c r="J26" i="3"/>
  <c r="L26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L85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0" i="3"/>
  <c r="L100" i="3" s="1"/>
  <c r="J101" i="3"/>
  <c r="L101" i="3" s="1"/>
  <c r="J102" i="3"/>
  <c r="L102" i="3" s="1"/>
  <c r="J103" i="3"/>
  <c r="L103" i="3" s="1"/>
  <c r="J3" i="4"/>
  <c r="L3" i="4" s="1"/>
  <c r="J4" i="4"/>
  <c r="L4" i="4" s="1"/>
  <c r="J5" i="4"/>
  <c r="L5" i="4" s="1"/>
  <c r="J7" i="4"/>
  <c r="L7" i="4" s="1"/>
  <c r="J8" i="4"/>
  <c r="L8" i="4" s="1"/>
  <c r="J10" i="4"/>
  <c r="L10" i="4" s="1"/>
  <c r="J11" i="4"/>
  <c r="L11" i="4" s="1"/>
  <c r="J13" i="4"/>
  <c r="L13" i="4" s="1"/>
  <c r="J15" i="4"/>
  <c r="L15" i="4" s="1"/>
  <c r="J17" i="4"/>
  <c r="L17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3" i="5"/>
  <c r="L3" i="5" s="1"/>
  <c r="J4" i="5"/>
  <c r="L4" i="5" s="1"/>
  <c r="J5" i="5"/>
  <c r="L5" i="5" s="1"/>
  <c r="J6" i="5"/>
  <c r="L6" i="5" s="1"/>
  <c r="J8" i="5"/>
  <c r="L8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5" i="5"/>
  <c r="L45" i="5" s="1"/>
  <c r="J47" i="5"/>
  <c r="L47" i="5" s="1"/>
  <c r="J48" i="5"/>
  <c r="L48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6" i="5"/>
  <c r="L56" i="5" s="1"/>
  <c r="J57" i="5"/>
  <c r="L57" i="5" s="1"/>
  <c r="J58" i="5"/>
  <c r="L58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4" i="5"/>
  <c r="L74" i="5" s="1"/>
  <c r="J75" i="5"/>
  <c r="L75" i="5" s="1"/>
  <c r="J76" i="5"/>
  <c r="L76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0" i="5"/>
  <c r="L120" i="5" s="1"/>
  <c r="J121" i="5"/>
  <c r="L121" i="5" s="1"/>
  <c r="J122" i="5"/>
  <c r="L122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J133" i="5"/>
  <c r="L133" i="5" s="1"/>
  <c r="J134" i="5"/>
  <c r="L134" i="5" s="1"/>
  <c r="J135" i="5"/>
  <c r="L135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13" i="1" l="1"/>
  <c r="D5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<sst xmlns="http://schemas.openxmlformats.org/spreadsheetml/2006/main" count="3534" uniqueCount="170">
  <si>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</si>
  <si>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</si>
  <si>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</si>
  <si>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</si>
  <si>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</si>
  <si>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</si>
  <si>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</si>
  <si>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</si>
  <si>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</si>
  <si>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</si>
  <si>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</si>
  <si>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</si>
  <si>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</si>
  <si>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</si>
  <si>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</si>
  <si>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</si>
  <si>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</si>
  <si>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</si>
  <si>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</si>
  <si>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</si>
  <si>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</si>
  <si>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</si>
  <si>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</si>
  <si>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</si>
  <si>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</si>
  <si>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</si>
  <si>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</si>
  <si>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</si>
  <si>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</si>
  <si>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</si>
  <si>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</si>
  <si>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</si>
  <si>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</si>
  <si>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</si>
  <si>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</si>
  <si>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</si>
  <si>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</si>
  <si>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</si>
  <si>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</si>
  <si>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</si>
  <si>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</si>
  <si>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</si>
  <si>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</si>
  <si>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</si>
  <si>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</si>
  <si>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</si>
  <si>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</si>
  <si>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</si>
  <si>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</si>
  <si>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</si>
  <si>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</si>
  <si>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</si>
  <si>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</si>
  <si>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</si>
  <si>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</si>
  <si>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</si>
  <si>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</si>
  <si>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</si>
  <si>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</si>
  <si>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</si>
  <si>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</si>
  <si>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</si>
  <si>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</si>
  <si>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</si>
  <si>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</si>
  <si>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</si>
  <si>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</si>
  <si>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</si>
  <si>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</si>
  <si>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</si>
  <si>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</si>
  <si>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</si>
  <si>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</si>
  <si>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</si>
  <si>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</si>
  <si>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</si>
  <si>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</si>
  <si>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</si>
  <si>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</si>
  <si>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</si>
  <si>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</si>
  <si>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</si>
  <si>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</si>
  <si>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</si>
  <si>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</si>
  <si>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</si>
  <si>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</si>
  <si>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</si>
  <si>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</si>
  <si>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</si>
  <si>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</si>
  <si>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</si>
  <si>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</si>
  <si>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</si>
  <si>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</si>
  <si>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</si>
  <si>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</si>
  <si>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</si>
  <si>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</si>
  <si>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</si>
  <si>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</si>
  <si>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</si>
  <si>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</si>
  <si>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</si>
  <si>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</si>
  <si>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</si>
  <si>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</si>
  <si>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22g</t>
  </si>
  <si>
    <t>5.25g</t>
  </si>
  <si>
    <t>37798g</t>
  </si>
  <si>
    <t>98t 18g</t>
  </si>
  <si>
    <t>Wood, Camwood</t>
  </si>
  <si>
    <t>323bags</t>
  </si>
  <si>
    <t>Balsam Capavia</t>
  </si>
  <si>
    <t>Castoreum</t>
  </si>
  <si>
    <t>Jollop</t>
  </si>
  <si>
    <t>39g</t>
  </si>
  <si>
    <t>11955g</t>
  </si>
  <si>
    <t>166t 2h 11g</t>
  </si>
  <si>
    <t>Port</t>
  </si>
  <si>
    <t>13t 2h 40g</t>
  </si>
  <si>
    <t>122.25bags</t>
  </si>
  <si>
    <t>Archelia</t>
  </si>
  <si>
    <t>Balsam Artificial</t>
  </si>
  <si>
    <t>Pig Iron</t>
  </si>
  <si>
    <t>546g</t>
  </si>
  <si>
    <t>20g</t>
  </si>
  <si>
    <t>Saffron</t>
  </si>
  <si>
    <t>214615g</t>
  </si>
  <si>
    <t>12g</t>
  </si>
  <si>
    <t>15t 3h 56g</t>
  </si>
  <si>
    <t>299.25bags</t>
  </si>
  <si>
    <t>15175g</t>
  </si>
  <si>
    <t>Vinegar</t>
  </si>
  <si>
    <t>30g</t>
  </si>
  <si>
    <t>23t 2h 32g</t>
  </si>
  <si>
    <t>50g</t>
  </si>
  <si>
    <t>67.25bags</t>
  </si>
  <si>
    <t>5g</t>
  </si>
  <si>
    <t>463g</t>
  </si>
  <si>
    <t>26t 2h 48g</t>
  </si>
  <si>
    <t>9t 3h 4g</t>
  </si>
  <si>
    <t>38bags</t>
  </si>
  <si>
    <t>8.5g</t>
  </si>
  <si>
    <t>6866g</t>
  </si>
  <si>
    <t>142t 2h 25g</t>
  </si>
  <si>
    <t>3t 2h 13g</t>
  </si>
  <si>
    <t>275bags</t>
  </si>
  <si>
    <t>296.5g</t>
  </si>
  <si>
    <t>3t 27g</t>
  </si>
  <si>
    <t>22670g</t>
  </si>
  <si>
    <t>5t 1h 30g</t>
  </si>
  <si>
    <t>1146.2bags</t>
  </si>
  <si>
    <t>14027g</t>
  </si>
  <si>
    <t>31t 2h 2g</t>
  </si>
  <si>
    <t>452.5bags</t>
  </si>
  <si>
    <t>200g</t>
  </si>
  <si>
    <t>3.5g</t>
  </si>
  <si>
    <t>68040g</t>
  </si>
  <si>
    <t>15t 2h 37g</t>
  </si>
  <si>
    <t>1223bags</t>
  </si>
  <si>
    <t>2351g</t>
  </si>
  <si>
    <t>388bags</t>
  </si>
  <si>
    <t>492g</t>
  </si>
  <si>
    <t xml:space="preserve">22t </t>
  </si>
  <si>
    <t>148bags</t>
  </si>
  <si>
    <t>2769g</t>
  </si>
  <si>
    <t>3h 37g</t>
  </si>
  <si>
    <t>Wood, Marble</t>
  </si>
  <si>
    <t>1601bags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</si>
</sst>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workbookViewId="0">
      <selection activeCell="B2" sqref="B2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3.0357142857142856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3.0357142857142856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0.86071428571428577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1.4071428571428573</v>
      </c>
      <c r="D3">
        <f t="shared" ref="D3:D31" si="0">B3+C3</f>
        <v>2.2678571428571432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25693.657589285718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10452.749553571428</v>
      </c>
      <c r="D4">
        <f t="shared" si="0"/>
        <v>36146.407142857148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62.208482142857143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3.7183035714285717</v>
      </c>
      <c r="D6">
        <f t="shared" si="0"/>
        <v>65.926785714285714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100.42410714285714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442.74107142857144</v>
      </c>
      <c r="D7">
        <f t="shared" si="0"/>
        <v>543.16517857142856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79.68883928571428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107.00669642857142</v>
      </c>
      <c r="D8">
        <f t="shared" si="0"/>
        <v>186.69553571428571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17.127678571428572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17.97589285714286</v>
      </c>
      <c r="D9">
        <f t="shared" si="0"/>
        <v>35.103571428571428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23.867410714285715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1.3379464285714286</v>
      </c>
      <c r="D10">
        <f t="shared" si="0"/>
        <v>25.205357142857142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355.90312499999999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89.058928571428567</v>
      </c>
      <c r="D11">
        <f t="shared" si="0"/>
        <v>444.96205357142856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2.5363839285714285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0.89308035714285716</v>
      </c>
      <c r="D12">
        <f t="shared" si="0"/>
        <v>3.4294642857142854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1.8749999999999999E-2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0.74687499999999996</v>
      </c>
      <c r="D13">
        <f t="shared" si="0"/>
        <v>0.765625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108.64330357142858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57.296875</v>
      </c>
      <c r="D14">
        <f t="shared" si="0"/>
        <v>165.94017857142859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13.997321428571428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0</v>
      </c>
      <c r="D15">
        <f t="shared" si="0"/>
        <v>13.997321428571428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1282.3314732142858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494.07991071428569</v>
      </c>
      <c r="D16">
        <f t="shared" si="0"/>
        <v>1776.4113839285715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0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2.1236607142857142</v>
      </c>
      <c r="D17">
        <f t="shared" si="0"/>
        <v>2.1236607142857142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1.2665178571428573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0.21651785714285715</v>
      </c>
      <c r="D18">
        <f t="shared" si="0"/>
        <v>1.4830357142857145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32.837053571428569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1.327232142857143</v>
      </c>
      <c r="D19">
        <f t="shared" si="0"/>
        <v>34.164285714285711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1.0450892857142857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0.36562499999999998</v>
      </c>
      <c r="D20">
        <f t="shared" si="0"/>
        <v>1.4107142857142856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0.82633928571428572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0</v>
      </c>
      <c r="D25">
        <f t="shared" si="0"/>
        <v>0.82633928571428572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536.32566964285718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88.366294642857142</v>
      </c>
      <c r="D26">
        <f t="shared" si="0"/>
        <v>624.69196428571433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0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0</v>
      </c>
      <c r="D27">
        <f t="shared" si="0"/>
        <v>0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288.45357142857142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284.95937500000002</v>
      </c>
      <c r="D28">
        <f t="shared" si="0"/>
        <v>573.41294642857144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124.5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73.945982142857147</v>
      </c>
      <c r="D29">
        <f t="shared" si="0"/>
        <v>198.44598214285713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0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49.782589285714288</v>
      </c>
      <c r="D30">
        <f t="shared" si="0"/>
        <v>49.782589285714288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0.25</v>
      </c>
      <c r="D31">
        <f t="shared" si="0"/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2"/>
  <sheetViews>
    <sheetView topLeftCell="A81" workbookViewId="0">
      <selection activeCell="H111" sqref="H111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1744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1744</v>
      </c>
      <c r="B3" t="s">
        <v>57</v>
      </c>
      <c r="C3" t="s">
        <v>53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5" x14ac:dyDescent="0.25">
      <c r="A4">
        <v>1744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1744</v>
      </c>
      <c r="B5" t="s">
        <v>4</v>
      </c>
      <c r="C5" t="s">
        <v>53</v>
      </c>
      <c r="D5" t="s">
        <v>33</v>
      </c>
      <c r="H5">
        <v>3800</v>
      </c>
      <c r="J5">
        <f t="shared" si="0"/>
        <v>3800</v>
      </c>
      <c r="L5">
        <f t="shared" si="1"/>
        <v>1.6964285714285714</v>
      </c>
    </row>
    <row r="6" spans="1:15" x14ac:dyDescent="0.25">
      <c r="A6">
        <v>1744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1744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1744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1744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1744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1744</v>
      </c>
      <c r="B11" t="s">
        <v>5</v>
      </c>
      <c r="C11" t="s">
        <v>53</v>
      </c>
      <c r="D11" t="s">
        <v>33</v>
      </c>
      <c r="F11">
        <v>17</v>
      </c>
      <c r="H11">
        <v>24</v>
      </c>
      <c r="J11">
        <f t="shared" si="0"/>
        <v>1928</v>
      </c>
      <c r="L11">
        <f t="shared" si="1"/>
        <v>0.86071428571428577</v>
      </c>
    </row>
    <row r="12" spans="1:15" x14ac:dyDescent="0.25">
      <c r="A12">
        <v>1744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1744</v>
      </c>
      <c r="B13" t="s">
        <v>6</v>
      </c>
      <c r="C13" t="s">
        <v>53</v>
      </c>
      <c r="D13" t="s">
        <v>33</v>
      </c>
      <c r="F13">
        <v>97758</v>
      </c>
      <c r="G13">
        <v>3</v>
      </c>
      <c r="H13">
        <v>5</v>
      </c>
      <c r="J13">
        <f t="shared" si="0"/>
        <v>10948985</v>
      </c>
      <c r="L13">
        <f t="shared" si="1"/>
        <v>4887.9397321428569</v>
      </c>
    </row>
    <row r="14" spans="1:15" x14ac:dyDescent="0.25">
      <c r="A14">
        <v>1744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1744</v>
      </c>
      <c r="B15" t="s">
        <v>60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1744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1744</v>
      </c>
      <c r="B17" t="s">
        <v>37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1744</v>
      </c>
      <c r="B18" t="s">
        <v>8</v>
      </c>
      <c r="C18" t="s">
        <v>53</v>
      </c>
      <c r="D18" t="s">
        <v>33</v>
      </c>
      <c r="F18">
        <v>35</v>
      </c>
      <c r="J18">
        <f t="shared" si="0"/>
        <v>3920</v>
      </c>
      <c r="L18">
        <f t="shared" si="1"/>
        <v>1.75</v>
      </c>
    </row>
    <row r="19" spans="1:12" x14ac:dyDescent="0.25">
      <c r="A19">
        <v>1744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1744</v>
      </c>
      <c r="B20" t="s">
        <v>77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1744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1744</v>
      </c>
      <c r="B22" t="s">
        <v>46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1744</v>
      </c>
      <c r="B23" t="s">
        <v>9</v>
      </c>
      <c r="C23" t="s">
        <v>53</v>
      </c>
      <c r="D23" t="s">
        <v>33</v>
      </c>
      <c r="H23">
        <f>323*200</f>
        <v>64600</v>
      </c>
      <c r="I23" t="s">
        <v>112</v>
      </c>
      <c r="J23">
        <f t="shared" si="0"/>
        <v>64600</v>
      </c>
      <c r="L23">
        <f t="shared" si="1"/>
        <v>28.839285714285715</v>
      </c>
    </row>
    <row r="24" spans="1:12" x14ac:dyDescent="0.25">
      <c r="A24">
        <v>1744</v>
      </c>
      <c r="B24" t="s">
        <v>10</v>
      </c>
      <c r="C24" t="s">
        <v>53</v>
      </c>
      <c r="D24" t="s">
        <v>33</v>
      </c>
      <c r="F24">
        <v>204</v>
      </c>
      <c r="G24">
        <v>1</v>
      </c>
      <c r="H24">
        <v>24</v>
      </c>
      <c r="J24">
        <f t="shared" si="0"/>
        <v>22900</v>
      </c>
      <c r="L24">
        <f t="shared" si="1"/>
        <v>10.223214285714286</v>
      </c>
    </row>
    <row r="25" spans="1:12" x14ac:dyDescent="0.25">
      <c r="A25">
        <v>1744</v>
      </c>
      <c r="B25" t="s">
        <v>11</v>
      </c>
      <c r="C25" t="s">
        <v>53</v>
      </c>
      <c r="D25" t="s">
        <v>33</v>
      </c>
      <c r="F25">
        <v>170</v>
      </c>
      <c r="G25">
        <v>2</v>
      </c>
      <c r="H25">
        <v>24</v>
      </c>
      <c r="J25">
        <f t="shared" si="0"/>
        <v>19120</v>
      </c>
      <c r="L25">
        <f t="shared" si="1"/>
        <v>8.5357142857142865</v>
      </c>
    </row>
    <row r="26" spans="1:12" x14ac:dyDescent="0.25">
      <c r="A26">
        <v>1744</v>
      </c>
      <c r="B26" t="s">
        <v>39</v>
      </c>
      <c r="C26" t="s">
        <v>53</v>
      </c>
      <c r="D26" t="s">
        <v>33</v>
      </c>
      <c r="H26">
        <v>56</v>
      </c>
      <c r="J26">
        <f t="shared" si="0"/>
        <v>56</v>
      </c>
      <c r="L26">
        <f t="shared" si="1"/>
        <v>2.5000000000000001E-2</v>
      </c>
    </row>
    <row r="27" spans="1:12" x14ac:dyDescent="0.25">
      <c r="A27">
        <v>1744</v>
      </c>
      <c r="B27" t="s">
        <v>79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1744</v>
      </c>
      <c r="B28" t="s">
        <v>103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1744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1744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1744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1744</v>
      </c>
      <c r="B32" t="s">
        <v>12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1744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1744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1744</v>
      </c>
      <c r="B35" t="s">
        <v>13</v>
      </c>
      <c r="C35" t="s">
        <v>53</v>
      </c>
      <c r="D35" t="s">
        <v>33</v>
      </c>
      <c r="E35">
        <v>66</v>
      </c>
      <c r="J35">
        <f t="shared" si="0"/>
        <v>147840</v>
      </c>
      <c r="L35">
        <f t="shared" si="1"/>
        <v>66</v>
      </c>
    </row>
    <row r="36" spans="1:12" x14ac:dyDescent="0.25">
      <c r="A36">
        <v>1744</v>
      </c>
      <c r="B36" t="s">
        <v>14</v>
      </c>
      <c r="C36" t="s">
        <v>53</v>
      </c>
      <c r="D36" t="s">
        <v>33</v>
      </c>
      <c r="H36">
        <v>220</v>
      </c>
      <c r="I36" t="s">
        <v>107</v>
      </c>
      <c r="J36">
        <f t="shared" si="0"/>
        <v>220</v>
      </c>
      <c r="L36">
        <f t="shared" si="1"/>
        <v>9.8214285714285712E-2</v>
      </c>
    </row>
    <row r="37" spans="1:12" x14ac:dyDescent="0.25">
      <c r="A37">
        <v>1744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1744</v>
      </c>
      <c r="B38" t="s">
        <v>27</v>
      </c>
      <c r="C38" t="s">
        <v>53</v>
      </c>
      <c r="D38" t="s">
        <v>33</v>
      </c>
      <c r="H38">
        <v>247203.5</v>
      </c>
      <c r="I38" t="s">
        <v>110</v>
      </c>
      <c r="J38">
        <f t="shared" si="0"/>
        <v>247203.5</v>
      </c>
      <c r="L38">
        <f t="shared" si="1"/>
        <v>110.35870535714285</v>
      </c>
    </row>
    <row r="39" spans="1:12" x14ac:dyDescent="0.25">
      <c r="A39">
        <v>1744</v>
      </c>
      <c r="B39" t="s">
        <v>15</v>
      </c>
      <c r="C39" t="s">
        <v>53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1744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1744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1744</v>
      </c>
      <c r="B42" t="s">
        <v>47</v>
      </c>
      <c r="C42" t="s">
        <v>53</v>
      </c>
      <c r="D42" t="s">
        <v>33</v>
      </c>
      <c r="H42">
        <v>52.5</v>
      </c>
      <c r="I42" t="s">
        <v>108</v>
      </c>
      <c r="J42">
        <f t="shared" si="0"/>
        <v>52.5</v>
      </c>
      <c r="L42">
        <f t="shared" si="1"/>
        <v>2.34375E-2</v>
      </c>
    </row>
    <row r="43" spans="1:12" x14ac:dyDescent="0.25">
      <c r="A43">
        <v>1744</v>
      </c>
      <c r="B43" t="s">
        <v>16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1744</v>
      </c>
      <c r="B44" t="s">
        <v>106</v>
      </c>
      <c r="C44" t="s">
        <v>53</v>
      </c>
      <c r="D44" t="s">
        <v>33</v>
      </c>
      <c r="F44">
        <v>8</v>
      </c>
      <c r="G44">
        <v>1</v>
      </c>
      <c r="J44">
        <f t="shared" si="0"/>
        <v>924</v>
      </c>
      <c r="L44">
        <f t="shared" si="1"/>
        <v>0.41249999999999998</v>
      </c>
    </row>
    <row r="45" spans="1:12" x14ac:dyDescent="0.25">
      <c r="A45">
        <v>1744</v>
      </c>
      <c r="B45" t="s">
        <v>17</v>
      </c>
      <c r="C45" t="s">
        <v>53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1744</v>
      </c>
      <c r="B46" t="s">
        <v>18</v>
      </c>
      <c r="C46" t="s">
        <v>53</v>
      </c>
      <c r="D46" t="s">
        <v>33</v>
      </c>
      <c r="H46">
        <v>378077</v>
      </c>
      <c r="I46" t="s">
        <v>109</v>
      </c>
      <c r="J46">
        <f t="shared" si="0"/>
        <v>378077</v>
      </c>
      <c r="L46">
        <f t="shared" si="1"/>
        <v>168.78437500000001</v>
      </c>
    </row>
    <row r="47" spans="1:12" x14ac:dyDescent="0.25">
      <c r="A47">
        <v>1744</v>
      </c>
      <c r="B47" t="s">
        <v>26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1744</v>
      </c>
      <c r="B48" t="s">
        <v>84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1744</v>
      </c>
      <c r="B49" t="s">
        <v>19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1744</v>
      </c>
      <c r="B50" t="s">
        <v>45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1744</v>
      </c>
      <c r="B51" t="s">
        <v>85</v>
      </c>
      <c r="C51" t="s">
        <v>53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1744</v>
      </c>
      <c r="B52" t="s">
        <v>54</v>
      </c>
      <c r="C52" t="s">
        <v>53</v>
      </c>
      <c r="D52" t="s">
        <v>33</v>
      </c>
      <c r="H52">
        <v>778</v>
      </c>
      <c r="J52">
        <f t="shared" si="0"/>
        <v>778</v>
      </c>
      <c r="L52">
        <f t="shared" si="1"/>
        <v>0.34732142857142856</v>
      </c>
    </row>
    <row r="53" spans="1:12" x14ac:dyDescent="0.25">
      <c r="A53">
        <v>1744</v>
      </c>
      <c r="B53" t="s">
        <v>95</v>
      </c>
      <c r="C53" t="s">
        <v>53</v>
      </c>
      <c r="D53" t="s">
        <v>33</v>
      </c>
      <c r="H53">
        <v>336</v>
      </c>
      <c r="J53">
        <f t="shared" si="0"/>
        <v>336</v>
      </c>
      <c r="L53">
        <f t="shared" si="1"/>
        <v>0.15</v>
      </c>
    </row>
    <row r="54" spans="1:12" x14ac:dyDescent="0.25">
      <c r="A54">
        <v>1744</v>
      </c>
      <c r="B54" t="s">
        <v>20</v>
      </c>
      <c r="C54" t="s">
        <v>53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1744</v>
      </c>
      <c r="B55" t="s">
        <v>21</v>
      </c>
      <c r="C55" t="s">
        <v>53</v>
      </c>
      <c r="D55" t="s">
        <v>33</v>
      </c>
      <c r="H55">
        <v>32</v>
      </c>
      <c r="J55">
        <f t="shared" si="0"/>
        <v>32</v>
      </c>
      <c r="L55">
        <f t="shared" si="1"/>
        <v>1.4285714285714285E-2</v>
      </c>
    </row>
    <row r="56" spans="1:12" x14ac:dyDescent="0.25">
      <c r="A56">
        <v>1744</v>
      </c>
      <c r="B56" t="s">
        <v>22</v>
      </c>
      <c r="C56" t="s">
        <v>53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1744</v>
      </c>
      <c r="B57" t="s">
        <v>61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1744</v>
      </c>
      <c r="B58" t="s">
        <v>111</v>
      </c>
      <c r="C58" t="s">
        <v>53</v>
      </c>
      <c r="D58" t="s">
        <v>33</v>
      </c>
      <c r="F58">
        <v>745</v>
      </c>
      <c r="H58">
        <v>25</v>
      </c>
      <c r="J58">
        <f t="shared" si="0"/>
        <v>83465</v>
      </c>
      <c r="L58">
        <f t="shared" si="1"/>
        <v>37.261160714285715</v>
      </c>
    </row>
    <row r="59" spans="1:12" x14ac:dyDescent="0.25">
      <c r="A59">
        <v>1744</v>
      </c>
      <c r="B59" t="s">
        <v>87</v>
      </c>
      <c r="C59" t="s">
        <v>53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1744</v>
      </c>
      <c r="B60" t="s">
        <v>62</v>
      </c>
      <c r="C60" t="s">
        <v>53</v>
      </c>
      <c r="D60" t="s">
        <v>33</v>
      </c>
      <c r="E60">
        <v>17</v>
      </c>
      <c r="F60">
        <v>5</v>
      </c>
      <c r="J60">
        <f t="shared" si="0"/>
        <v>38640</v>
      </c>
      <c r="L60">
        <f t="shared" si="1"/>
        <v>17.25</v>
      </c>
    </row>
    <row r="61" spans="1:12" x14ac:dyDescent="0.25">
      <c r="A61">
        <v>1744</v>
      </c>
      <c r="B61" t="s">
        <v>88</v>
      </c>
      <c r="C61" t="s">
        <v>53</v>
      </c>
      <c r="D61" t="s">
        <v>33</v>
      </c>
      <c r="E61">
        <v>10</v>
      </c>
      <c r="J61">
        <f t="shared" si="0"/>
        <v>22400</v>
      </c>
      <c r="L61">
        <f t="shared" si="1"/>
        <v>10</v>
      </c>
    </row>
    <row r="62" spans="1:12" x14ac:dyDescent="0.25">
      <c r="A62">
        <v>1744</v>
      </c>
      <c r="B62" t="s">
        <v>63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1744</v>
      </c>
      <c r="B63" t="s">
        <v>89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1744</v>
      </c>
      <c r="B64" t="s">
        <v>70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1744</v>
      </c>
      <c r="B65" t="s">
        <v>64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1744</v>
      </c>
      <c r="B66" t="s">
        <v>65</v>
      </c>
      <c r="C66" t="s">
        <v>53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1744</v>
      </c>
      <c r="B67" t="s">
        <v>55</v>
      </c>
      <c r="C67" t="s">
        <v>53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1744</v>
      </c>
      <c r="B68" t="s">
        <v>57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1744</v>
      </c>
      <c r="B69" t="s">
        <v>36</v>
      </c>
      <c r="C69" t="s">
        <v>53</v>
      </c>
      <c r="D69" t="s">
        <v>35</v>
      </c>
      <c r="H69">
        <v>30</v>
      </c>
      <c r="J69">
        <f t="shared" si="0"/>
        <v>30</v>
      </c>
      <c r="L69">
        <f t="shared" si="1"/>
        <v>1.3392857142857142E-2</v>
      </c>
    </row>
    <row r="70" spans="1:12" x14ac:dyDescent="0.25">
      <c r="A70">
        <v>1744</v>
      </c>
      <c r="B70" t="s">
        <v>4</v>
      </c>
      <c r="C70" t="s">
        <v>53</v>
      </c>
      <c r="D70" t="s">
        <v>35</v>
      </c>
      <c r="J70">
        <f t="shared" ref="J70:J132" si="2">(E70*2240)+(F70*112)+(G70*28)+H70</f>
        <v>0</v>
      </c>
      <c r="L70">
        <f t="shared" ref="L70:L132" si="3">J70/2240</f>
        <v>0</v>
      </c>
    </row>
    <row r="71" spans="1:12" x14ac:dyDescent="0.25">
      <c r="A71">
        <v>1744</v>
      </c>
      <c r="B71" t="s">
        <v>58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1744</v>
      </c>
      <c r="B72" t="s">
        <v>69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1744</v>
      </c>
      <c r="B73" t="s">
        <v>101</v>
      </c>
      <c r="C73" t="s">
        <v>53</v>
      </c>
      <c r="D73" t="s">
        <v>35</v>
      </c>
      <c r="H73">
        <v>40</v>
      </c>
      <c r="J73">
        <f t="shared" si="2"/>
        <v>40</v>
      </c>
      <c r="L73">
        <f t="shared" si="3"/>
        <v>1.7857142857142856E-2</v>
      </c>
    </row>
    <row r="74" spans="1:12" x14ac:dyDescent="0.25">
      <c r="A74">
        <v>1744</v>
      </c>
      <c r="B74" t="s">
        <v>43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1744</v>
      </c>
      <c r="B75" t="s">
        <v>76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1744</v>
      </c>
      <c r="B76" t="s">
        <v>5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1744</v>
      </c>
      <c r="B77" t="s">
        <v>59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1744</v>
      </c>
      <c r="B78" t="s">
        <v>6</v>
      </c>
      <c r="C78" t="s">
        <v>53</v>
      </c>
      <c r="D78" t="s">
        <v>35</v>
      </c>
      <c r="F78">
        <v>30029</v>
      </c>
      <c r="H78">
        <v>4</v>
      </c>
      <c r="J78">
        <f t="shared" si="2"/>
        <v>3363252</v>
      </c>
      <c r="L78">
        <f t="shared" si="3"/>
        <v>1501.4517857142857</v>
      </c>
    </row>
    <row r="79" spans="1:12" x14ac:dyDescent="0.25">
      <c r="A79">
        <v>1744</v>
      </c>
      <c r="B79" t="s">
        <v>60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1744</v>
      </c>
      <c r="B80" t="s">
        <v>7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1744</v>
      </c>
      <c r="B81" t="s">
        <v>37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1744</v>
      </c>
      <c r="B82" t="s">
        <v>8</v>
      </c>
      <c r="C82" t="s">
        <v>53</v>
      </c>
      <c r="D82" t="s">
        <v>35</v>
      </c>
      <c r="F82">
        <v>2</v>
      </c>
      <c r="J82">
        <f t="shared" si="2"/>
        <v>224</v>
      </c>
      <c r="L82">
        <f t="shared" si="3"/>
        <v>0.1</v>
      </c>
    </row>
    <row r="83" spans="1:12" x14ac:dyDescent="0.25">
      <c r="A83">
        <v>1744</v>
      </c>
      <c r="B83" t="s">
        <v>40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1744</v>
      </c>
      <c r="B84" t="s">
        <v>77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1744</v>
      </c>
      <c r="B85" t="s">
        <v>78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1744</v>
      </c>
      <c r="B86" t="s">
        <v>46</v>
      </c>
      <c r="C86" t="s">
        <v>53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1744</v>
      </c>
      <c r="B87" t="s">
        <v>9</v>
      </c>
      <c r="C87" t="s">
        <v>53</v>
      </c>
      <c r="D87" t="s">
        <v>35</v>
      </c>
      <c r="H87">
        <f>1146.2*200</f>
        <v>229240</v>
      </c>
      <c r="I87" t="s">
        <v>152</v>
      </c>
      <c r="J87">
        <f t="shared" si="2"/>
        <v>229240</v>
      </c>
      <c r="L87">
        <f t="shared" si="3"/>
        <v>102.33928571428571</v>
      </c>
    </row>
    <row r="88" spans="1:12" x14ac:dyDescent="0.25">
      <c r="A88">
        <v>1744</v>
      </c>
      <c r="B88" t="s">
        <v>10</v>
      </c>
      <c r="C88" t="s">
        <v>53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1744</v>
      </c>
      <c r="B89" t="s">
        <v>11</v>
      </c>
      <c r="C89" t="s">
        <v>53</v>
      </c>
      <c r="D89" t="s">
        <v>35</v>
      </c>
      <c r="F89">
        <v>56</v>
      </c>
      <c r="G89">
        <v>2</v>
      </c>
      <c r="H89">
        <v>23</v>
      </c>
      <c r="J89">
        <f t="shared" si="2"/>
        <v>6351</v>
      </c>
      <c r="L89">
        <f t="shared" si="3"/>
        <v>2.8352678571428571</v>
      </c>
    </row>
    <row r="90" spans="1:12" x14ac:dyDescent="0.25">
      <c r="A90">
        <v>1744</v>
      </c>
      <c r="B90" t="s">
        <v>39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1744</v>
      </c>
      <c r="B91" t="s">
        <v>79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1744</v>
      </c>
      <c r="B92" t="s">
        <v>103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1744</v>
      </c>
      <c r="B93" t="s">
        <v>44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1744</v>
      </c>
      <c r="B94" t="s">
        <v>97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1744</v>
      </c>
      <c r="B95" t="s">
        <v>12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1744</v>
      </c>
      <c r="B96" t="s">
        <v>82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1744</v>
      </c>
      <c r="B97" t="s">
        <v>34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1744</v>
      </c>
      <c r="B98" t="s">
        <v>13</v>
      </c>
      <c r="C98" t="s">
        <v>53</v>
      </c>
      <c r="D98" t="s">
        <v>35</v>
      </c>
      <c r="E98">
        <v>10</v>
      </c>
      <c r="J98">
        <f t="shared" si="2"/>
        <v>22400</v>
      </c>
      <c r="L98">
        <f t="shared" si="3"/>
        <v>10</v>
      </c>
    </row>
    <row r="99" spans="1:12" x14ac:dyDescent="0.25">
      <c r="A99">
        <v>1744</v>
      </c>
      <c r="B99" t="s">
        <v>14</v>
      </c>
      <c r="C99" t="s">
        <v>53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1744</v>
      </c>
      <c r="B100" t="s">
        <v>23</v>
      </c>
      <c r="C100" t="s">
        <v>53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1744</v>
      </c>
      <c r="B101" t="s">
        <v>27</v>
      </c>
      <c r="C101" t="s">
        <v>53</v>
      </c>
      <c r="D101" t="s">
        <v>35</v>
      </c>
      <c r="H101">
        <v>13533.5</v>
      </c>
      <c r="I101" t="s">
        <v>151</v>
      </c>
      <c r="J101">
        <f t="shared" si="2"/>
        <v>13533.5</v>
      </c>
      <c r="L101">
        <f t="shared" si="3"/>
        <v>6.0417410714285715</v>
      </c>
    </row>
    <row r="102" spans="1:12" x14ac:dyDescent="0.25">
      <c r="A102">
        <v>1744</v>
      </c>
      <c r="B102" t="s">
        <v>15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1744</v>
      </c>
      <c r="B103" t="s">
        <v>93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1744</v>
      </c>
      <c r="B104" t="s">
        <v>42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1744</v>
      </c>
      <c r="B105" t="s">
        <v>83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1744</v>
      </c>
      <c r="B106" t="s">
        <v>47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1744</v>
      </c>
      <c r="B107" t="s">
        <v>16</v>
      </c>
      <c r="C107" t="s">
        <v>53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1744</v>
      </c>
      <c r="B108" t="s">
        <v>17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1744</v>
      </c>
      <c r="B109" t="s">
        <v>18</v>
      </c>
      <c r="C109" t="s">
        <v>53</v>
      </c>
      <c r="D109" t="s">
        <v>35</v>
      </c>
      <c r="H109">
        <v>226758</v>
      </c>
      <c r="I109" t="s">
        <v>150</v>
      </c>
      <c r="J109">
        <f t="shared" si="2"/>
        <v>226758</v>
      </c>
      <c r="L109">
        <f t="shared" si="3"/>
        <v>101.23125</v>
      </c>
    </row>
    <row r="110" spans="1:12" x14ac:dyDescent="0.25">
      <c r="A110">
        <v>1744</v>
      </c>
      <c r="B110" t="s">
        <v>26</v>
      </c>
      <c r="C110" t="s">
        <v>53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1744</v>
      </c>
      <c r="B111" t="s">
        <v>84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1744</v>
      </c>
      <c r="B112" t="s">
        <v>19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1744</v>
      </c>
      <c r="B113" t="s">
        <v>45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1744</v>
      </c>
      <c r="B114" t="s">
        <v>85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1744</v>
      </c>
      <c r="B115" t="s">
        <v>54</v>
      </c>
      <c r="C115" t="s">
        <v>53</v>
      </c>
      <c r="D115" t="s">
        <v>35</v>
      </c>
      <c r="H115">
        <v>34</v>
      </c>
      <c r="J115">
        <f t="shared" si="2"/>
        <v>34</v>
      </c>
      <c r="L115">
        <f t="shared" si="3"/>
        <v>1.5178571428571428E-2</v>
      </c>
    </row>
    <row r="116" spans="1:12" x14ac:dyDescent="0.25">
      <c r="A116">
        <v>1744</v>
      </c>
      <c r="B116" t="s">
        <v>95</v>
      </c>
      <c r="C116" t="s">
        <v>53</v>
      </c>
      <c r="D116" t="s">
        <v>35</v>
      </c>
      <c r="H116">
        <v>114</v>
      </c>
      <c r="J116">
        <f t="shared" si="2"/>
        <v>114</v>
      </c>
      <c r="L116">
        <f t="shared" si="3"/>
        <v>5.0892857142857142E-2</v>
      </c>
    </row>
    <row r="117" spans="1:12" x14ac:dyDescent="0.25">
      <c r="A117">
        <v>1744</v>
      </c>
      <c r="B117" t="s">
        <v>20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1744</v>
      </c>
      <c r="B118" t="s">
        <v>21</v>
      </c>
      <c r="C118" t="s">
        <v>53</v>
      </c>
      <c r="D118" t="s">
        <v>35</v>
      </c>
      <c r="H118">
        <v>494</v>
      </c>
      <c r="J118">
        <f t="shared" si="2"/>
        <v>494</v>
      </c>
      <c r="L118">
        <f t="shared" si="3"/>
        <v>0.22053571428571428</v>
      </c>
    </row>
    <row r="119" spans="1:12" x14ac:dyDescent="0.25">
      <c r="A119">
        <v>1744</v>
      </c>
      <c r="B119" t="s">
        <v>90</v>
      </c>
      <c r="C119" t="s">
        <v>53</v>
      </c>
      <c r="D119" t="s">
        <v>35</v>
      </c>
      <c r="F119">
        <v>40</v>
      </c>
      <c r="J119">
        <f t="shared" si="2"/>
        <v>4480</v>
      </c>
      <c r="L119">
        <f t="shared" si="3"/>
        <v>2</v>
      </c>
    </row>
    <row r="120" spans="1:12" x14ac:dyDescent="0.25">
      <c r="A120">
        <v>1744</v>
      </c>
      <c r="B120" t="s">
        <v>105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1744</v>
      </c>
      <c r="B121" t="s">
        <v>22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1744</v>
      </c>
      <c r="B122" t="s">
        <v>61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1744</v>
      </c>
      <c r="B123" t="s">
        <v>91</v>
      </c>
      <c r="C123" t="s">
        <v>53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1744</v>
      </c>
      <c r="B124" t="s">
        <v>98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1744</v>
      </c>
      <c r="B125" t="s">
        <v>87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1744</v>
      </c>
      <c r="B126" t="s">
        <v>62</v>
      </c>
      <c r="C126" t="s">
        <v>53</v>
      </c>
      <c r="D126" t="s">
        <v>35</v>
      </c>
      <c r="E126">
        <v>42</v>
      </c>
      <c r="F126">
        <v>2</v>
      </c>
      <c r="G126">
        <v>1</v>
      </c>
      <c r="H126">
        <v>23</v>
      </c>
      <c r="J126">
        <f t="shared" si="2"/>
        <v>94355</v>
      </c>
      <c r="L126">
        <f t="shared" si="3"/>
        <v>42.122767857142854</v>
      </c>
    </row>
    <row r="127" spans="1:12" x14ac:dyDescent="0.25">
      <c r="A127">
        <v>1744</v>
      </c>
      <c r="B127" t="s">
        <v>88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1744</v>
      </c>
      <c r="B128" t="s">
        <v>63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1744</v>
      </c>
      <c r="B129" t="s">
        <v>89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1744</v>
      </c>
      <c r="B130" t="s">
        <v>70</v>
      </c>
      <c r="C130" t="s">
        <v>53</v>
      </c>
      <c r="D130" t="s">
        <v>35</v>
      </c>
      <c r="J130">
        <f t="shared" si="2"/>
        <v>0</v>
      </c>
      <c r="L130">
        <f t="shared" si="3"/>
        <v>0</v>
      </c>
    </row>
    <row r="131" spans="1:12" x14ac:dyDescent="0.25">
      <c r="A131">
        <v>1744</v>
      </c>
      <c r="B131" t="s">
        <v>64</v>
      </c>
      <c r="C131" t="s">
        <v>53</v>
      </c>
      <c r="D131" t="s">
        <v>35</v>
      </c>
      <c r="J131">
        <f t="shared" si="2"/>
        <v>0</v>
      </c>
      <c r="L131">
        <f t="shared" si="3"/>
        <v>0</v>
      </c>
    </row>
    <row r="132" spans="1:12" x14ac:dyDescent="0.25">
      <c r="A132">
        <v>1744</v>
      </c>
      <c r="B132" t="s">
        <v>65</v>
      </c>
      <c r="C132" t="s">
        <v>53</v>
      </c>
      <c r="D132" t="s">
        <v>35</v>
      </c>
      <c r="J132">
        <f t="shared" si="2"/>
        <v>0</v>
      </c>
      <c r="L132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3"/>
  <sheetViews>
    <sheetView topLeftCell="A78" workbookViewId="0">
      <selection activeCell="H89" sqref="H8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1744</v>
      </c>
      <c r="B2" t="s">
        <v>55</v>
      </c>
      <c r="C2" t="s">
        <v>56</v>
      </c>
      <c r="D2" t="s">
        <v>33</v>
      </c>
      <c r="J2">
        <f t="shared" ref="J2:J70" si="0">(E2*2240)+(F2*112)+(G2*28)+H2</f>
        <v>0</v>
      </c>
      <c r="L2">
        <f t="shared" ref="L2:L70" si="1">J2/2240</f>
        <v>0</v>
      </c>
    </row>
    <row r="3" spans="1:12" x14ac:dyDescent="0.25">
      <c r="A3">
        <v>1744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1744</v>
      </c>
      <c r="B4" t="s">
        <v>36</v>
      </c>
      <c r="C4" t="s">
        <v>56</v>
      </c>
      <c r="D4" t="s">
        <v>33</v>
      </c>
      <c r="H4">
        <v>14542</v>
      </c>
      <c r="J4">
        <f t="shared" si="0"/>
        <v>14542</v>
      </c>
      <c r="L4">
        <f t="shared" si="1"/>
        <v>6.4919642857142854</v>
      </c>
    </row>
    <row r="5" spans="1:12" x14ac:dyDescent="0.25">
      <c r="A5">
        <v>1744</v>
      </c>
      <c r="B5" t="s">
        <v>4</v>
      </c>
      <c r="C5" t="s">
        <v>56</v>
      </c>
      <c r="D5" t="s">
        <v>33</v>
      </c>
      <c r="H5">
        <v>3000</v>
      </c>
      <c r="J5">
        <f t="shared" si="0"/>
        <v>3000</v>
      </c>
      <c r="L5">
        <f t="shared" si="1"/>
        <v>1.3392857142857142</v>
      </c>
    </row>
    <row r="6" spans="1:12" x14ac:dyDescent="0.25">
      <c r="A6">
        <v>1744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1744</v>
      </c>
      <c r="B7" t="s">
        <v>113</v>
      </c>
      <c r="C7" t="s">
        <v>56</v>
      </c>
      <c r="D7" t="s">
        <v>33</v>
      </c>
      <c r="H7">
        <v>30</v>
      </c>
      <c r="J7">
        <f t="shared" si="0"/>
        <v>30</v>
      </c>
      <c r="L7">
        <f t="shared" si="1"/>
        <v>1.3392857142857142E-2</v>
      </c>
    </row>
    <row r="8" spans="1:12" x14ac:dyDescent="0.25">
      <c r="A8">
        <v>1744</v>
      </c>
      <c r="B8" t="s">
        <v>92</v>
      </c>
      <c r="C8" t="s">
        <v>56</v>
      </c>
      <c r="D8" t="s">
        <v>33</v>
      </c>
      <c r="H8">
        <v>849</v>
      </c>
      <c r="J8">
        <f t="shared" si="0"/>
        <v>849</v>
      </c>
      <c r="L8">
        <f t="shared" si="1"/>
        <v>0.37901785714285713</v>
      </c>
    </row>
    <row r="9" spans="1:12" x14ac:dyDescent="0.25">
      <c r="A9">
        <v>1744</v>
      </c>
      <c r="B9" t="s">
        <v>43</v>
      </c>
      <c r="C9" t="s">
        <v>56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1744</v>
      </c>
      <c r="B10" t="s">
        <v>5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1744</v>
      </c>
      <c r="B11" t="s">
        <v>59</v>
      </c>
      <c r="C11" t="s">
        <v>56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1744</v>
      </c>
      <c r="B12" t="s">
        <v>6</v>
      </c>
      <c r="C12" t="s">
        <v>56</v>
      </c>
      <c r="D12" t="s">
        <v>33</v>
      </c>
      <c r="F12">
        <v>31229</v>
      </c>
      <c r="H12">
        <v>25</v>
      </c>
      <c r="J12">
        <f t="shared" si="0"/>
        <v>3497673</v>
      </c>
      <c r="L12">
        <f t="shared" si="1"/>
        <v>1561.4611607142858</v>
      </c>
    </row>
    <row r="13" spans="1:12" x14ac:dyDescent="0.25">
      <c r="A13">
        <v>1744</v>
      </c>
      <c r="B13" t="s">
        <v>60</v>
      </c>
      <c r="C13" t="s">
        <v>56</v>
      </c>
      <c r="D13" t="s">
        <v>33</v>
      </c>
      <c r="H13">
        <v>429</v>
      </c>
      <c r="J13">
        <f t="shared" si="0"/>
        <v>429</v>
      </c>
      <c r="L13">
        <f t="shared" si="1"/>
        <v>0.19151785714285716</v>
      </c>
    </row>
    <row r="14" spans="1:12" x14ac:dyDescent="0.25">
      <c r="A14">
        <v>1744</v>
      </c>
      <c r="B14" t="s">
        <v>114</v>
      </c>
      <c r="C14" t="s">
        <v>56</v>
      </c>
      <c r="D14" t="s">
        <v>33</v>
      </c>
      <c r="H14">
        <v>248</v>
      </c>
      <c r="J14">
        <f t="shared" si="0"/>
        <v>248</v>
      </c>
      <c r="L14">
        <f t="shared" si="1"/>
        <v>0.11071428571428571</v>
      </c>
    </row>
    <row r="15" spans="1:12" x14ac:dyDescent="0.25">
      <c r="A15">
        <v>1744</v>
      </c>
      <c r="B15" t="s">
        <v>7</v>
      </c>
      <c r="C15" t="s">
        <v>56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1744</v>
      </c>
      <c r="B16" t="s">
        <v>37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1744</v>
      </c>
      <c r="B17" t="s">
        <v>8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1744</v>
      </c>
      <c r="B18" t="s">
        <v>40</v>
      </c>
      <c r="C18" t="s">
        <v>56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1744</v>
      </c>
      <c r="B19" t="s">
        <v>78</v>
      </c>
      <c r="C19" t="s">
        <v>56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1744</v>
      </c>
      <c r="B20" t="s">
        <v>9</v>
      </c>
      <c r="C20" t="s">
        <v>56</v>
      </c>
      <c r="D20" t="s">
        <v>33</v>
      </c>
      <c r="H20">
        <f>122.25*200</f>
        <v>24450</v>
      </c>
      <c r="I20" t="s">
        <v>121</v>
      </c>
      <c r="J20">
        <f t="shared" si="0"/>
        <v>24450</v>
      </c>
      <c r="L20">
        <f t="shared" si="1"/>
        <v>10.915178571428571</v>
      </c>
    </row>
    <row r="21" spans="1:12" x14ac:dyDescent="0.25">
      <c r="A21">
        <v>1744</v>
      </c>
      <c r="B21" t="s">
        <v>10</v>
      </c>
      <c r="C21" t="s">
        <v>56</v>
      </c>
      <c r="D21" t="s">
        <v>33</v>
      </c>
      <c r="F21">
        <v>662</v>
      </c>
      <c r="H21">
        <v>7</v>
      </c>
      <c r="J21">
        <f t="shared" si="0"/>
        <v>74151</v>
      </c>
      <c r="L21">
        <f t="shared" si="1"/>
        <v>33.103124999999999</v>
      </c>
    </row>
    <row r="22" spans="1:12" x14ac:dyDescent="0.25">
      <c r="A22">
        <v>1744</v>
      </c>
      <c r="B22" t="s">
        <v>11</v>
      </c>
      <c r="C22" t="s">
        <v>56</v>
      </c>
      <c r="D22" t="s">
        <v>33</v>
      </c>
      <c r="F22">
        <v>69</v>
      </c>
      <c r="H22">
        <v>10</v>
      </c>
      <c r="J22">
        <f t="shared" si="0"/>
        <v>7738</v>
      </c>
      <c r="L22">
        <f t="shared" si="1"/>
        <v>3.4544642857142858</v>
      </c>
    </row>
    <row r="23" spans="1:12" x14ac:dyDescent="0.25">
      <c r="A23">
        <v>1744</v>
      </c>
      <c r="B23" t="s">
        <v>39</v>
      </c>
      <c r="C23" t="s">
        <v>56</v>
      </c>
      <c r="D23" t="s">
        <v>33</v>
      </c>
      <c r="H23">
        <v>245</v>
      </c>
      <c r="J23">
        <f t="shared" si="0"/>
        <v>245</v>
      </c>
      <c r="L23">
        <f t="shared" si="1"/>
        <v>0.109375</v>
      </c>
    </row>
    <row r="24" spans="1:12" x14ac:dyDescent="0.25">
      <c r="A24">
        <v>1744</v>
      </c>
      <c r="B24" t="s">
        <v>102</v>
      </c>
      <c r="C24" t="s">
        <v>56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1744</v>
      </c>
      <c r="B25" t="s">
        <v>44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1744</v>
      </c>
      <c r="B26" t="s">
        <v>12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1744</v>
      </c>
      <c r="B27" t="s">
        <v>115</v>
      </c>
      <c r="C27" t="s">
        <v>56</v>
      </c>
      <c r="D27" t="s">
        <v>33</v>
      </c>
      <c r="H27">
        <v>2194</v>
      </c>
      <c r="J27">
        <f t="shared" si="0"/>
        <v>2194</v>
      </c>
      <c r="L27">
        <f t="shared" si="1"/>
        <v>0.97946428571428568</v>
      </c>
    </row>
    <row r="28" spans="1:12" x14ac:dyDescent="0.25">
      <c r="A28">
        <v>1744</v>
      </c>
      <c r="B28" t="s">
        <v>34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1744</v>
      </c>
      <c r="B29" t="s">
        <v>13</v>
      </c>
      <c r="C29" t="s">
        <v>56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1744</v>
      </c>
      <c r="B30" t="s">
        <v>14</v>
      </c>
      <c r="C30" t="s">
        <v>56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1744</v>
      </c>
      <c r="B31" t="s">
        <v>23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1744</v>
      </c>
      <c r="B32" t="s">
        <v>27</v>
      </c>
      <c r="C32" t="s">
        <v>56</v>
      </c>
      <c r="D32" t="s">
        <v>33</v>
      </c>
      <c r="H32">
        <v>419798</v>
      </c>
      <c r="I32" t="s">
        <v>118</v>
      </c>
      <c r="J32">
        <f t="shared" si="0"/>
        <v>419798</v>
      </c>
      <c r="L32">
        <f t="shared" si="1"/>
        <v>187.40982142857143</v>
      </c>
    </row>
    <row r="33" spans="1:12" x14ac:dyDescent="0.25">
      <c r="A33">
        <v>1744</v>
      </c>
      <c r="B33" t="s">
        <v>15</v>
      </c>
      <c r="C33" t="s">
        <v>56</v>
      </c>
      <c r="D33" t="s">
        <v>33</v>
      </c>
      <c r="G33">
        <v>1</v>
      </c>
      <c r="H33">
        <v>14</v>
      </c>
      <c r="J33">
        <f t="shared" si="0"/>
        <v>42</v>
      </c>
      <c r="L33">
        <f t="shared" si="1"/>
        <v>1.8749999999999999E-2</v>
      </c>
    </row>
    <row r="34" spans="1:12" x14ac:dyDescent="0.25">
      <c r="A34">
        <v>1744</v>
      </c>
      <c r="B34" t="s">
        <v>42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1744</v>
      </c>
      <c r="B35" t="s">
        <v>47</v>
      </c>
      <c r="C35" t="s">
        <v>56</v>
      </c>
      <c r="D35" t="s">
        <v>33</v>
      </c>
      <c r="H35">
        <v>390</v>
      </c>
      <c r="I35" t="s">
        <v>116</v>
      </c>
      <c r="J35">
        <f t="shared" si="0"/>
        <v>390</v>
      </c>
      <c r="L35">
        <f t="shared" si="1"/>
        <v>0.17410714285714285</v>
      </c>
    </row>
    <row r="36" spans="1:12" x14ac:dyDescent="0.25">
      <c r="A36">
        <v>1744</v>
      </c>
      <c r="B36" t="s">
        <v>16</v>
      </c>
      <c r="C36" t="s">
        <v>56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1744</v>
      </c>
      <c r="B37" t="s">
        <v>119</v>
      </c>
      <c r="C37" t="s">
        <v>56</v>
      </c>
      <c r="D37" t="s">
        <v>33</v>
      </c>
      <c r="H37">
        <v>34429</v>
      </c>
      <c r="I37" t="s">
        <v>120</v>
      </c>
      <c r="J37">
        <f t="shared" si="0"/>
        <v>34429</v>
      </c>
      <c r="L37">
        <f t="shared" si="1"/>
        <v>15.370089285714286</v>
      </c>
    </row>
    <row r="38" spans="1:12" x14ac:dyDescent="0.25">
      <c r="A38">
        <v>1744</v>
      </c>
      <c r="B38" t="s">
        <v>17</v>
      </c>
      <c r="C38" t="s">
        <v>56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1744</v>
      </c>
      <c r="B39" t="s">
        <v>18</v>
      </c>
      <c r="C39" t="s">
        <v>56</v>
      </c>
      <c r="D39" t="s">
        <v>33</v>
      </c>
      <c r="H39">
        <v>119580.5</v>
      </c>
      <c r="I39" t="s">
        <v>117</v>
      </c>
      <c r="J39">
        <f t="shared" si="0"/>
        <v>119580.5</v>
      </c>
      <c r="L39">
        <f t="shared" si="1"/>
        <v>53.384151785714288</v>
      </c>
    </row>
    <row r="40" spans="1:12" x14ac:dyDescent="0.25">
      <c r="A40">
        <v>1744</v>
      </c>
      <c r="B40" t="s">
        <v>26</v>
      </c>
      <c r="C40" t="s">
        <v>56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1744</v>
      </c>
      <c r="B41" t="s">
        <v>19</v>
      </c>
      <c r="C41" t="s">
        <v>56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1744</v>
      </c>
      <c r="B42" t="s">
        <v>45</v>
      </c>
      <c r="C42" t="s">
        <v>56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1744</v>
      </c>
      <c r="B43" t="s">
        <v>54</v>
      </c>
      <c r="C43" t="s">
        <v>56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1744</v>
      </c>
      <c r="B44" t="s">
        <v>95</v>
      </c>
      <c r="C44" t="s">
        <v>56</v>
      </c>
      <c r="D44" t="s">
        <v>33</v>
      </c>
      <c r="H44">
        <v>4514</v>
      </c>
      <c r="J44">
        <f t="shared" si="0"/>
        <v>4514</v>
      </c>
      <c r="L44">
        <f t="shared" si="1"/>
        <v>2.0151785714285713</v>
      </c>
    </row>
    <row r="45" spans="1:12" x14ac:dyDescent="0.25">
      <c r="A45">
        <v>1744</v>
      </c>
      <c r="B45" t="s">
        <v>20</v>
      </c>
      <c r="C45" t="s">
        <v>56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1744</v>
      </c>
      <c r="B46" t="s">
        <v>21</v>
      </c>
      <c r="C46" t="s">
        <v>56</v>
      </c>
      <c r="D46" t="s">
        <v>33</v>
      </c>
      <c r="H46">
        <v>15</v>
      </c>
      <c r="J46">
        <f t="shared" si="0"/>
        <v>15</v>
      </c>
      <c r="L46">
        <f t="shared" si="1"/>
        <v>6.6964285714285711E-3</v>
      </c>
    </row>
    <row r="47" spans="1:12" x14ac:dyDescent="0.25">
      <c r="A47">
        <v>1744</v>
      </c>
      <c r="B47" t="s">
        <v>22</v>
      </c>
      <c r="C47" t="s">
        <v>56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1744</v>
      </c>
      <c r="B48" t="s">
        <v>61</v>
      </c>
      <c r="C48" t="s">
        <v>56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1744</v>
      </c>
      <c r="B49" t="s">
        <v>62</v>
      </c>
      <c r="C49" t="s">
        <v>56</v>
      </c>
      <c r="D49" t="s">
        <v>33</v>
      </c>
      <c r="E49">
        <v>12</v>
      </c>
      <c r="F49">
        <v>17</v>
      </c>
      <c r="G49">
        <v>1</v>
      </c>
      <c r="H49">
        <v>24</v>
      </c>
      <c r="J49">
        <f t="shared" si="0"/>
        <v>28836</v>
      </c>
      <c r="L49">
        <f t="shared" si="1"/>
        <v>12.873214285714285</v>
      </c>
    </row>
    <row r="50" spans="1:12" x14ac:dyDescent="0.25">
      <c r="A50">
        <v>1744</v>
      </c>
      <c r="B50" t="s">
        <v>63</v>
      </c>
      <c r="C50" t="s">
        <v>56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1744</v>
      </c>
      <c r="B51" t="s">
        <v>70</v>
      </c>
      <c r="C51" t="s">
        <v>56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1744</v>
      </c>
      <c r="B52" t="s">
        <v>64</v>
      </c>
      <c r="C52" t="s">
        <v>56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1744</v>
      </c>
      <c r="B53" t="s">
        <v>65</v>
      </c>
      <c r="C53" t="s">
        <v>56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1744</v>
      </c>
      <c r="B54" t="s">
        <v>55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1744</v>
      </c>
      <c r="B55" t="s">
        <v>57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1744</v>
      </c>
      <c r="B56" t="s">
        <v>36</v>
      </c>
      <c r="C56" t="s">
        <v>56</v>
      </c>
      <c r="D56" t="s">
        <v>35</v>
      </c>
      <c r="H56">
        <v>260</v>
      </c>
      <c r="J56">
        <f t="shared" si="0"/>
        <v>260</v>
      </c>
      <c r="L56">
        <f t="shared" si="1"/>
        <v>0.11607142857142858</v>
      </c>
    </row>
    <row r="57" spans="1:12" x14ac:dyDescent="0.25">
      <c r="A57">
        <v>1744</v>
      </c>
      <c r="B57" t="s">
        <v>4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1744</v>
      </c>
      <c r="B58" t="s">
        <v>58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1744</v>
      </c>
      <c r="B59" t="s">
        <v>92</v>
      </c>
      <c r="C59" t="s">
        <v>56</v>
      </c>
      <c r="D59" t="s">
        <v>35</v>
      </c>
      <c r="H59">
        <v>68</v>
      </c>
      <c r="J59">
        <f t="shared" si="0"/>
        <v>68</v>
      </c>
      <c r="L59">
        <f t="shared" si="1"/>
        <v>3.0357142857142857E-2</v>
      </c>
    </row>
    <row r="60" spans="1:12" x14ac:dyDescent="0.25">
      <c r="A60">
        <v>1744</v>
      </c>
      <c r="B60" t="s">
        <v>43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1744</v>
      </c>
      <c r="B61" t="s">
        <v>5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1744</v>
      </c>
      <c r="B62" t="s">
        <v>59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1744</v>
      </c>
      <c r="B63" t="s">
        <v>6</v>
      </c>
      <c r="C63" t="s">
        <v>56</v>
      </c>
      <c r="D63" t="s">
        <v>35</v>
      </c>
      <c r="F63">
        <v>22692</v>
      </c>
      <c r="H63">
        <v>4</v>
      </c>
      <c r="J63">
        <f t="shared" si="0"/>
        <v>2541508</v>
      </c>
      <c r="L63">
        <f t="shared" si="1"/>
        <v>1134.6017857142858</v>
      </c>
    </row>
    <row r="64" spans="1:12" x14ac:dyDescent="0.25">
      <c r="A64">
        <v>1744</v>
      </c>
      <c r="B64" t="s">
        <v>60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1744</v>
      </c>
      <c r="B65" t="s">
        <v>38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1744</v>
      </c>
      <c r="B66" t="s">
        <v>37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1744</v>
      </c>
      <c r="B67" t="s">
        <v>8</v>
      </c>
      <c r="C67" t="s">
        <v>56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1744</v>
      </c>
      <c r="B68" t="s">
        <v>40</v>
      </c>
      <c r="C68" t="s">
        <v>56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1744</v>
      </c>
      <c r="B69" t="s">
        <v>9</v>
      </c>
      <c r="C69" t="s">
        <v>56</v>
      </c>
      <c r="D69" t="s">
        <v>35</v>
      </c>
      <c r="H69">
        <f>452.5*200</f>
        <v>90500</v>
      </c>
      <c r="I69" t="s">
        <v>155</v>
      </c>
      <c r="J69">
        <f t="shared" si="0"/>
        <v>90500</v>
      </c>
      <c r="L69">
        <f t="shared" si="1"/>
        <v>40.401785714285715</v>
      </c>
    </row>
    <row r="70" spans="1:12" x14ac:dyDescent="0.25">
      <c r="A70">
        <v>1744</v>
      </c>
      <c r="B70" t="s">
        <v>10</v>
      </c>
      <c r="C70" t="s">
        <v>56</v>
      </c>
      <c r="D70" t="s">
        <v>35</v>
      </c>
      <c r="F70">
        <v>321</v>
      </c>
      <c r="G70">
        <v>3</v>
      </c>
      <c r="H70">
        <v>15</v>
      </c>
      <c r="J70">
        <f t="shared" si="0"/>
        <v>36051</v>
      </c>
      <c r="L70">
        <f t="shared" si="1"/>
        <v>16.094196428571429</v>
      </c>
    </row>
    <row r="71" spans="1:12" x14ac:dyDescent="0.25">
      <c r="A71">
        <v>1744</v>
      </c>
      <c r="B71" t="s">
        <v>11</v>
      </c>
      <c r="C71" t="s">
        <v>56</v>
      </c>
      <c r="D71" t="s">
        <v>35</v>
      </c>
      <c r="F71">
        <v>106</v>
      </c>
      <c r="G71">
        <v>2</v>
      </c>
      <c r="H71">
        <v>21</v>
      </c>
      <c r="J71">
        <f t="shared" ref="J71:J103" si="2">(E71*2240)+(F71*112)+(G71*28)+H71</f>
        <v>11949</v>
      </c>
      <c r="L71">
        <f t="shared" ref="L71:L103" si="3">J71/2240</f>
        <v>5.3343749999999996</v>
      </c>
    </row>
    <row r="72" spans="1:12" x14ac:dyDescent="0.25">
      <c r="A72">
        <v>1744</v>
      </c>
      <c r="B72" t="s">
        <v>39</v>
      </c>
      <c r="C72" t="s">
        <v>56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1744</v>
      </c>
      <c r="B73" t="s">
        <v>79</v>
      </c>
      <c r="C73" t="s">
        <v>56</v>
      </c>
      <c r="D73" t="s">
        <v>35</v>
      </c>
      <c r="H73">
        <v>108</v>
      </c>
      <c r="J73">
        <f t="shared" si="2"/>
        <v>108</v>
      </c>
      <c r="L73">
        <f t="shared" si="3"/>
        <v>4.8214285714285716E-2</v>
      </c>
    </row>
    <row r="74" spans="1:12" x14ac:dyDescent="0.25">
      <c r="A74">
        <v>1744</v>
      </c>
      <c r="B74" t="s">
        <v>44</v>
      </c>
      <c r="C74" t="s">
        <v>56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1744</v>
      </c>
      <c r="B75" t="s">
        <v>12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1744</v>
      </c>
      <c r="B76" t="s">
        <v>34</v>
      </c>
      <c r="C76" t="s">
        <v>56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1744</v>
      </c>
      <c r="B77" t="s">
        <v>13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1744</v>
      </c>
      <c r="B78" t="s">
        <v>14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1744</v>
      </c>
      <c r="B79" t="s">
        <v>23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1744</v>
      </c>
      <c r="B80" t="s">
        <v>27</v>
      </c>
      <c r="C80" t="s">
        <v>56</v>
      </c>
      <c r="D80" t="s">
        <v>35</v>
      </c>
      <c r="H80">
        <v>79420.5</v>
      </c>
      <c r="I80" t="s">
        <v>154</v>
      </c>
      <c r="J80">
        <f t="shared" si="2"/>
        <v>79420.5</v>
      </c>
      <c r="L80">
        <f t="shared" si="3"/>
        <v>35.455580357142857</v>
      </c>
    </row>
    <row r="81" spans="1:12" x14ac:dyDescent="0.25">
      <c r="A81">
        <v>1744</v>
      </c>
      <c r="B81" t="s">
        <v>15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1744</v>
      </c>
      <c r="B82" t="s">
        <v>93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1744</v>
      </c>
      <c r="B83" t="s">
        <v>42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1744</v>
      </c>
      <c r="B84" t="s">
        <v>47</v>
      </c>
      <c r="C84" t="s">
        <v>56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1744</v>
      </c>
      <c r="B85" t="s">
        <v>16</v>
      </c>
      <c r="C85" t="s">
        <v>56</v>
      </c>
      <c r="D85" t="s">
        <v>35</v>
      </c>
      <c r="H85">
        <v>56</v>
      </c>
      <c r="J85">
        <f t="shared" si="2"/>
        <v>56</v>
      </c>
      <c r="L85">
        <f t="shared" si="3"/>
        <v>2.5000000000000001E-2</v>
      </c>
    </row>
    <row r="86" spans="1:12" x14ac:dyDescent="0.25">
      <c r="A86">
        <v>1744</v>
      </c>
      <c r="B86" t="s">
        <v>106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1744</v>
      </c>
      <c r="B87" t="s">
        <v>17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1744</v>
      </c>
      <c r="B88" t="s">
        <v>18</v>
      </c>
      <c r="C88" t="s">
        <v>56</v>
      </c>
      <c r="D88" t="s">
        <v>35</v>
      </c>
      <c r="H88">
        <v>140306</v>
      </c>
      <c r="I88" t="s">
        <v>153</v>
      </c>
      <c r="J88">
        <f t="shared" si="2"/>
        <v>140306</v>
      </c>
      <c r="L88">
        <f t="shared" si="3"/>
        <v>62.636607142857144</v>
      </c>
    </row>
    <row r="89" spans="1:12" x14ac:dyDescent="0.25">
      <c r="A89">
        <v>1744</v>
      </c>
      <c r="B89" t="s">
        <v>26</v>
      </c>
      <c r="C89" t="s">
        <v>56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1744</v>
      </c>
      <c r="B90" t="s">
        <v>19</v>
      </c>
      <c r="C90" t="s">
        <v>56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1744</v>
      </c>
      <c r="B91" t="s">
        <v>45</v>
      </c>
      <c r="C91" t="s">
        <v>56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1744</v>
      </c>
      <c r="B92" t="s">
        <v>54</v>
      </c>
      <c r="C92" t="s">
        <v>56</v>
      </c>
      <c r="D92" t="s">
        <v>35</v>
      </c>
      <c r="H92">
        <v>44</v>
      </c>
      <c r="J92">
        <f t="shared" si="2"/>
        <v>44</v>
      </c>
      <c r="L92">
        <f t="shared" si="3"/>
        <v>1.9642857142857142E-2</v>
      </c>
    </row>
    <row r="93" spans="1:12" x14ac:dyDescent="0.25">
      <c r="A93">
        <v>1744</v>
      </c>
      <c r="B93" t="s">
        <v>95</v>
      </c>
      <c r="C93" t="s">
        <v>56</v>
      </c>
      <c r="D93" t="s">
        <v>35</v>
      </c>
      <c r="H93">
        <v>890</v>
      </c>
      <c r="J93">
        <f t="shared" si="2"/>
        <v>890</v>
      </c>
      <c r="L93">
        <f t="shared" si="3"/>
        <v>0.39732142857142855</v>
      </c>
    </row>
    <row r="94" spans="1:12" x14ac:dyDescent="0.25">
      <c r="A94">
        <v>1744</v>
      </c>
      <c r="B94" t="s">
        <v>20</v>
      </c>
      <c r="C94" t="s">
        <v>56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1744</v>
      </c>
      <c r="B95" t="s">
        <v>21</v>
      </c>
      <c r="C95" t="s">
        <v>56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1744</v>
      </c>
      <c r="B96" t="s">
        <v>22</v>
      </c>
      <c r="C96" t="s">
        <v>56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1744</v>
      </c>
      <c r="B97" t="s">
        <v>61</v>
      </c>
      <c r="C97" t="s">
        <v>56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1744</v>
      </c>
      <c r="B98" t="s">
        <v>62</v>
      </c>
      <c r="C98" t="s">
        <v>56</v>
      </c>
      <c r="D98" t="s">
        <v>35</v>
      </c>
      <c r="E98">
        <v>119</v>
      </c>
      <c r="F98">
        <v>8</v>
      </c>
      <c r="G98">
        <v>3</v>
      </c>
      <c r="H98">
        <v>15</v>
      </c>
      <c r="J98">
        <f t="shared" si="2"/>
        <v>267555</v>
      </c>
      <c r="L98">
        <f t="shared" si="3"/>
        <v>119.44419642857143</v>
      </c>
    </row>
    <row r="99" spans="1:12" x14ac:dyDescent="0.25">
      <c r="A99">
        <v>1744</v>
      </c>
      <c r="B99" t="s">
        <v>63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1744</v>
      </c>
      <c r="B100" t="s">
        <v>89</v>
      </c>
      <c r="C100" t="s">
        <v>56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1744</v>
      </c>
      <c r="B101" t="s">
        <v>70</v>
      </c>
      <c r="C101" t="s">
        <v>56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1744</v>
      </c>
      <c r="B102" t="s">
        <v>64</v>
      </c>
      <c r="C102" t="s">
        <v>56</v>
      </c>
      <c r="D102" t="s">
        <v>35</v>
      </c>
      <c r="E102">
        <v>42</v>
      </c>
      <c r="F102">
        <v>11</v>
      </c>
      <c r="G102">
        <v>1</v>
      </c>
      <c r="H102">
        <v>2</v>
      </c>
      <c r="J102">
        <f t="shared" si="2"/>
        <v>95342</v>
      </c>
      <c r="L102">
        <f t="shared" si="3"/>
        <v>42.563392857142858</v>
      </c>
    </row>
    <row r="103" spans="1:12" x14ac:dyDescent="0.25">
      <c r="A103">
        <v>1744</v>
      </c>
      <c r="B103" t="s">
        <v>65</v>
      </c>
      <c r="C103" t="s">
        <v>56</v>
      </c>
      <c r="D103" t="s">
        <v>35</v>
      </c>
      <c r="J103">
        <f t="shared" si="2"/>
        <v>0</v>
      </c>
      <c r="L103">
        <f t="shared" si="3"/>
        <v>0</v>
      </c>
    </row>
  </sheetData>
  <autoFilter ref="A1:N57" xr:uid="{AAD1F908-12B8-4B3A-A65D-184CD229ACD4}">
    <sortState xmlns:xlrd2="http://schemas.microsoft.com/office/spreadsheetml/2017/richdata2" ref="A2:N57">
      <sortCondition ref="B1:B5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8"/>
  <sheetViews>
    <sheetView workbookViewId="0">
      <selection activeCell="A2" sqref="A2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66</v>
      </c>
      <c r="C2" t="s">
        <v>67</v>
      </c>
      <c r="D2" t="s">
        <v>33</v>
      </c>
      <c r="J2">
        <f t="shared" ref="J2:J28" si="0">(E2*2240)+(F2*112)+(G2*28)+H2</f>
        <v>0</v>
      </c>
      <c r="L2">
        <f t="shared" ref="L2:L28" si="1">J2/2240</f>
        <v>0</v>
      </c>
    </row>
    <row r="3" spans="1:12" x14ac:dyDescent="0.25">
      <c r="B3" t="s">
        <v>6</v>
      </c>
      <c r="C3" t="s">
        <v>67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12</v>
      </c>
      <c r="C7" t="s">
        <v>67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27</v>
      </c>
      <c r="C8" t="s">
        <v>67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B9" t="s">
        <v>15</v>
      </c>
      <c r="C9" t="s">
        <v>67</v>
      </c>
      <c r="D9" t="s">
        <v>33</v>
      </c>
      <c r="J9">
        <f t="shared" si="0"/>
        <v>0</v>
      </c>
      <c r="K9" s="1"/>
      <c r="L9">
        <f t="shared" si="1"/>
        <v>0</v>
      </c>
    </row>
    <row r="10" spans="1:12" x14ac:dyDescent="0.25">
      <c r="B10" t="s">
        <v>17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B11" t="s">
        <v>18</v>
      </c>
      <c r="C11" t="s">
        <v>67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19</v>
      </c>
      <c r="C12" t="s">
        <v>67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21</v>
      </c>
      <c r="C13" t="s">
        <v>67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90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61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62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63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6</v>
      </c>
      <c r="C18" t="s">
        <v>67</v>
      </c>
      <c r="D18" t="s">
        <v>35</v>
      </c>
      <c r="J18">
        <f t="shared" si="0"/>
        <v>0</v>
      </c>
      <c r="L18">
        <f t="shared" si="1"/>
        <v>0</v>
      </c>
    </row>
    <row r="19" spans="2:12" x14ac:dyDescent="0.25">
      <c r="B19" t="s">
        <v>12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2:12" x14ac:dyDescent="0.25">
      <c r="B20" t="s">
        <v>41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2:12" x14ac:dyDescent="0.25">
      <c r="B21" t="s">
        <v>27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2:12" x14ac:dyDescent="0.25">
      <c r="B22" t="s">
        <v>17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2:12" x14ac:dyDescent="0.25">
      <c r="B23" t="s">
        <v>19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2:12" x14ac:dyDescent="0.25">
      <c r="B24" t="s">
        <v>54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2:12" x14ac:dyDescent="0.25">
      <c r="B25" t="s">
        <v>9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2:12" x14ac:dyDescent="0.25">
      <c r="B26" t="s">
        <v>8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2:12" x14ac:dyDescent="0.25">
      <c r="B27" t="s">
        <v>61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2:12" x14ac:dyDescent="0.25">
      <c r="B28" t="s">
        <v>63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5"/>
  <sheetViews>
    <sheetView topLeftCell="A114" zoomScaleNormal="100" workbookViewId="0">
      <selection activeCell="H114" sqref="H11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1744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1744</v>
      </c>
      <c r="B3" t="s">
        <v>57</v>
      </c>
      <c r="C3" t="s">
        <v>68</v>
      </c>
      <c r="D3" t="s">
        <v>33</v>
      </c>
      <c r="J3">
        <f t="shared" ref="J3:J73" si="0">(E3*2240)+(F3*112)+(G3*28)+H3</f>
        <v>0</v>
      </c>
      <c r="L3">
        <f t="shared" ref="L3:L73" si="1">J3/2240</f>
        <v>0</v>
      </c>
    </row>
    <row r="4" spans="1:12" x14ac:dyDescent="0.25">
      <c r="A4">
        <v>1744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1744</v>
      </c>
      <c r="B5" t="s">
        <v>4</v>
      </c>
      <c r="C5" t="s">
        <v>68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1744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1744</v>
      </c>
      <c r="B7" t="s">
        <v>122</v>
      </c>
      <c r="C7" t="s">
        <v>68</v>
      </c>
      <c r="D7" t="s">
        <v>33</v>
      </c>
      <c r="F7">
        <v>7</v>
      </c>
      <c r="J7">
        <f t="shared" si="0"/>
        <v>784</v>
      </c>
      <c r="L7">
        <f t="shared" si="1"/>
        <v>0.35</v>
      </c>
    </row>
    <row r="8" spans="1:12" x14ac:dyDescent="0.25">
      <c r="A8">
        <v>1744</v>
      </c>
      <c r="B8" t="s">
        <v>69</v>
      </c>
      <c r="C8" t="s">
        <v>68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1744</v>
      </c>
      <c r="B9" t="s">
        <v>123</v>
      </c>
      <c r="C9" t="s">
        <v>68</v>
      </c>
      <c r="D9" t="s">
        <v>33</v>
      </c>
      <c r="H9">
        <v>206</v>
      </c>
      <c r="J9">
        <f t="shared" si="0"/>
        <v>206</v>
      </c>
      <c r="L9">
        <f t="shared" si="1"/>
        <v>9.1964285714285721E-2</v>
      </c>
    </row>
    <row r="10" spans="1:12" x14ac:dyDescent="0.25">
      <c r="A10">
        <v>1744</v>
      </c>
      <c r="B10" t="s">
        <v>101</v>
      </c>
      <c r="C10" t="s">
        <v>68</v>
      </c>
      <c r="D10" t="s">
        <v>33</v>
      </c>
      <c r="H10">
        <v>263</v>
      </c>
      <c r="J10">
        <f t="shared" si="0"/>
        <v>263</v>
      </c>
      <c r="L10">
        <f t="shared" si="1"/>
        <v>0.11741071428571428</v>
      </c>
    </row>
    <row r="11" spans="1:12" x14ac:dyDescent="0.25">
      <c r="A11">
        <v>1744</v>
      </c>
      <c r="B11" t="s">
        <v>43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1744</v>
      </c>
      <c r="B12" t="s">
        <v>76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1744</v>
      </c>
      <c r="B13" t="s">
        <v>5</v>
      </c>
      <c r="C13" t="s">
        <v>68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1744</v>
      </c>
      <c r="B14" t="s">
        <v>59</v>
      </c>
      <c r="C14" t="s">
        <v>68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1744</v>
      </c>
      <c r="B15" t="s">
        <v>6</v>
      </c>
      <c r="C15" t="s">
        <v>68</v>
      </c>
      <c r="D15" t="s">
        <v>33</v>
      </c>
      <c r="F15">
        <v>209666</v>
      </c>
      <c r="G15">
        <v>3</v>
      </c>
      <c r="H15">
        <v>10</v>
      </c>
      <c r="J15">
        <f t="shared" si="0"/>
        <v>23482686</v>
      </c>
      <c r="L15">
        <f t="shared" si="1"/>
        <v>10483.341964285713</v>
      </c>
    </row>
    <row r="16" spans="1:12" x14ac:dyDescent="0.25">
      <c r="A16">
        <v>1744</v>
      </c>
      <c r="B16" t="s">
        <v>96</v>
      </c>
      <c r="C16" t="s">
        <v>68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1744</v>
      </c>
      <c r="B17" t="s">
        <v>60</v>
      </c>
      <c r="C17" t="s">
        <v>68</v>
      </c>
      <c r="D17" t="s">
        <v>33</v>
      </c>
      <c r="H17">
        <v>364</v>
      </c>
      <c r="J17">
        <f t="shared" si="0"/>
        <v>364</v>
      </c>
      <c r="L17">
        <f t="shared" si="1"/>
        <v>0.16250000000000001</v>
      </c>
    </row>
    <row r="18" spans="1:12" x14ac:dyDescent="0.25">
      <c r="A18">
        <v>1744</v>
      </c>
      <c r="B18" t="s">
        <v>7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1744</v>
      </c>
      <c r="B19" t="s">
        <v>37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1744</v>
      </c>
      <c r="B20" t="s">
        <v>8</v>
      </c>
      <c r="C20" t="s">
        <v>68</v>
      </c>
      <c r="D20" t="s">
        <v>33</v>
      </c>
      <c r="F20">
        <v>226</v>
      </c>
      <c r="H20">
        <v>16</v>
      </c>
      <c r="J20">
        <f t="shared" si="0"/>
        <v>25328</v>
      </c>
      <c r="L20">
        <f t="shared" si="1"/>
        <v>11.307142857142857</v>
      </c>
    </row>
    <row r="21" spans="1:12" x14ac:dyDescent="0.25">
      <c r="A21">
        <v>1744</v>
      </c>
      <c r="B21" t="s">
        <v>40</v>
      </c>
      <c r="C21" t="s">
        <v>68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1744</v>
      </c>
      <c r="B22" t="s">
        <v>77</v>
      </c>
      <c r="C22" t="s">
        <v>68</v>
      </c>
      <c r="D22" t="s">
        <v>33</v>
      </c>
      <c r="F22">
        <v>546</v>
      </c>
      <c r="G22">
        <v>2</v>
      </c>
      <c r="H22">
        <v>27</v>
      </c>
      <c r="J22">
        <f t="shared" si="0"/>
        <v>61235</v>
      </c>
      <c r="L22">
        <f t="shared" si="1"/>
        <v>27.337053571428573</v>
      </c>
    </row>
    <row r="23" spans="1:12" x14ac:dyDescent="0.25">
      <c r="A23">
        <v>1744</v>
      </c>
      <c r="B23" t="s">
        <v>78</v>
      </c>
      <c r="C23" t="s">
        <v>68</v>
      </c>
      <c r="D23" t="s">
        <v>33</v>
      </c>
      <c r="H23">
        <v>47432</v>
      </c>
      <c r="J23">
        <f t="shared" si="0"/>
        <v>47432</v>
      </c>
      <c r="L23">
        <f t="shared" si="1"/>
        <v>21.175000000000001</v>
      </c>
    </row>
    <row r="24" spans="1:12" x14ac:dyDescent="0.25">
      <c r="A24">
        <v>1744</v>
      </c>
      <c r="B24" t="s">
        <v>46</v>
      </c>
      <c r="C24" t="s">
        <v>68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1744</v>
      </c>
      <c r="B25" t="s">
        <v>9</v>
      </c>
      <c r="C25" t="s">
        <v>68</v>
      </c>
      <c r="D25" t="s">
        <v>33</v>
      </c>
      <c r="H25">
        <f>299.25*200</f>
        <v>59850</v>
      </c>
      <c r="I25" t="s">
        <v>131</v>
      </c>
      <c r="J25">
        <f t="shared" si="0"/>
        <v>59850</v>
      </c>
      <c r="L25">
        <f t="shared" si="1"/>
        <v>26.71875</v>
      </c>
    </row>
    <row r="26" spans="1:12" x14ac:dyDescent="0.25">
      <c r="A26">
        <v>1744</v>
      </c>
      <c r="B26" t="s">
        <v>10</v>
      </c>
      <c r="C26" t="s">
        <v>68</v>
      </c>
      <c r="D26" t="s">
        <v>33</v>
      </c>
      <c r="F26">
        <v>727</v>
      </c>
      <c r="G26">
        <v>1</v>
      </c>
      <c r="J26">
        <f t="shared" si="0"/>
        <v>81452</v>
      </c>
      <c r="L26">
        <f t="shared" si="1"/>
        <v>36.362499999999997</v>
      </c>
    </row>
    <row r="27" spans="1:12" x14ac:dyDescent="0.25">
      <c r="A27">
        <v>1744</v>
      </c>
      <c r="B27" t="s">
        <v>11</v>
      </c>
      <c r="C27" t="s">
        <v>68</v>
      </c>
      <c r="D27" t="s">
        <v>33</v>
      </c>
      <c r="F27">
        <v>38</v>
      </c>
      <c r="G27">
        <v>1</v>
      </c>
      <c r="H27">
        <v>14</v>
      </c>
      <c r="J27">
        <f t="shared" si="0"/>
        <v>4298</v>
      </c>
      <c r="L27">
        <f t="shared" si="1"/>
        <v>1.91875</v>
      </c>
    </row>
    <row r="28" spans="1:12" x14ac:dyDescent="0.25">
      <c r="A28">
        <v>1744</v>
      </c>
      <c r="B28" t="s">
        <v>39</v>
      </c>
      <c r="C28" t="s">
        <v>68</v>
      </c>
      <c r="D28" t="s">
        <v>33</v>
      </c>
      <c r="H28">
        <v>304</v>
      </c>
      <c r="J28">
        <f t="shared" si="0"/>
        <v>304</v>
      </c>
      <c r="L28">
        <f t="shared" si="1"/>
        <v>0.1357142857142857</v>
      </c>
    </row>
    <row r="29" spans="1:12" x14ac:dyDescent="0.25">
      <c r="A29">
        <v>1744</v>
      </c>
      <c r="B29" t="s">
        <v>79</v>
      </c>
      <c r="C29" t="s">
        <v>68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1744</v>
      </c>
      <c r="B30" t="s">
        <v>103</v>
      </c>
      <c r="C30" t="s">
        <v>68</v>
      </c>
      <c r="D30" t="s">
        <v>33</v>
      </c>
      <c r="H30">
        <v>1575</v>
      </c>
      <c r="J30">
        <f t="shared" si="0"/>
        <v>1575</v>
      </c>
      <c r="L30">
        <f t="shared" si="1"/>
        <v>0.703125</v>
      </c>
    </row>
    <row r="31" spans="1:12" x14ac:dyDescent="0.25">
      <c r="A31">
        <v>1744</v>
      </c>
      <c r="B31" t="s">
        <v>44</v>
      </c>
      <c r="C31" t="s">
        <v>68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1744</v>
      </c>
      <c r="B32" t="s">
        <v>97</v>
      </c>
      <c r="C32" t="s">
        <v>68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1744</v>
      </c>
      <c r="B33" t="s">
        <v>12</v>
      </c>
      <c r="C33" t="s">
        <v>68</v>
      </c>
      <c r="D33" t="s">
        <v>33</v>
      </c>
      <c r="H33">
        <v>49721</v>
      </c>
      <c r="J33">
        <f t="shared" si="0"/>
        <v>49721</v>
      </c>
      <c r="L33">
        <f t="shared" si="1"/>
        <v>22.196874999999999</v>
      </c>
    </row>
    <row r="34" spans="1:12" x14ac:dyDescent="0.25">
      <c r="A34">
        <v>1744</v>
      </c>
      <c r="B34" t="s">
        <v>82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1744</v>
      </c>
      <c r="B35" t="s">
        <v>34</v>
      </c>
      <c r="C35" t="s">
        <v>68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1744</v>
      </c>
      <c r="B36" t="s">
        <v>13</v>
      </c>
      <c r="C36" t="s">
        <v>68</v>
      </c>
      <c r="D36" t="s">
        <v>33</v>
      </c>
      <c r="E36">
        <v>156</v>
      </c>
      <c r="F36">
        <v>18</v>
      </c>
      <c r="H36">
        <v>7</v>
      </c>
      <c r="J36">
        <f t="shared" si="0"/>
        <v>351463</v>
      </c>
      <c r="L36">
        <f t="shared" si="1"/>
        <v>156.90312499999999</v>
      </c>
    </row>
    <row r="37" spans="1:12" x14ac:dyDescent="0.25">
      <c r="A37">
        <v>1744</v>
      </c>
      <c r="B37" t="s">
        <v>14</v>
      </c>
      <c r="C37" t="s">
        <v>68</v>
      </c>
      <c r="D37" t="s">
        <v>33</v>
      </c>
      <c r="H37">
        <v>5461.5</v>
      </c>
      <c r="I37" t="s">
        <v>125</v>
      </c>
      <c r="J37">
        <f t="shared" si="0"/>
        <v>5461.5</v>
      </c>
      <c r="L37">
        <f t="shared" si="1"/>
        <v>2.4381696428571429</v>
      </c>
    </row>
    <row r="38" spans="1:12" x14ac:dyDescent="0.25">
      <c r="A38">
        <v>1744</v>
      </c>
      <c r="B38" t="s">
        <v>23</v>
      </c>
      <c r="C38" t="s">
        <v>68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1744</v>
      </c>
      <c r="B39" t="s">
        <v>27</v>
      </c>
      <c r="C39" t="s">
        <v>68</v>
      </c>
      <c r="D39" t="s">
        <v>33</v>
      </c>
      <c r="H39">
        <v>40260.5</v>
      </c>
      <c r="I39" t="s">
        <v>130</v>
      </c>
      <c r="J39">
        <f t="shared" si="0"/>
        <v>40260.5</v>
      </c>
      <c r="L39">
        <f t="shared" si="1"/>
        <v>17.973437499999999</v>
      </c>
    </row>
    <row r="40" spans="1:12" x14ac:dyDescent="0.25">
      <c r="A40">
        <v>1744</v>
      </c>
      <c r="B40" t="s">
        <v>15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1744</v>
      </c>
      <c r="B41" t="s">
        <v>42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1744</v>
      </c>
      <c r="B42" t="s">
        <v>83</v>
      </c>
      <c r="C42" t="s">
        <v>68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1744</v>
      </c>
      <c r="B43" t="s">
        <v>47</v>
      </c>
      <c r="C43" t="s">
        <v>68</v>
      </c>
      <c r="D43" t="s">
        <v>33</v>
      </c>
      <c r="H43">
        <v>200</v>
      </c>
      <c r="I43" t="s">
        <v>126</v>
      </c>
      <c r="J43">
        <f t="shared" si="0"/>
        <v>200</v>
      </c>
      <c r="L43">
        <f t="shared" si="1"/>
        <v>8.9285714285714288E-2</v>
      </c>
    </row>
    <row r="44" spans="1:12" x14ac:dyDescent="0.25">
      <c r="A44">
        <v>1744</v>
      </c>
      <c r="B44" t="s">
        <v>124</v>
      </c>
      <c r="C44" t="s">
        <v>68</v>
      </c>
      <c r="D44" t="s">
        <v>33</v>
      </c>
      <c r="E44">
        <v>16</v>
      </c>
      <c r="J44">
        <f t="shared" si="0"/>
        <v>35840</v>
      </c>
      <c r="L44">
        <f t="shared" si="1"/>
        <v>16</v>
      </c>
    </row>
    <row r="45" spans="1:12" x14ac:dyDescent="0.25">
      <c r="A45">
        <v>1744</v>
      </c>
      <c r="B45" t="s">
        <v>16</v>
      </c>
      <c r="C45" t="s">
        <v>68</v>
      </c>
      <c r="D45" t="s">
        <v>33</v>
      </c>
      <c r="H45">
        <v>240901</v>
      </c>
      <c r="J45">
        <f t="shared" si="0"/>
        <v>240901</v>
      </c>
      <c r="L45">
        <f t="shared" si="1"/>
        <v>107.54508928571428</v>
      </c>
    </row>
    <row r="46" spans="1:12" x14ac:dyDescent="0.25">
      <c r="A46">
        <v>1744</v>
      </c>
      <c r="B46" t="s">
        <v>119</v>
      </c>
      <c r="C46" t="s">
        <v>68</v>
      </c>
      <c r="D46" t="s">
        <v>33</v>
      </c>
      <c r="H46">
        <v>120</v>
      </c>
      <c r="I46" t="s">
        <v>129</v>
      </c>
      <c r="J46">
        <f t="shared" si="0"/>
        <v>120</v>
      </c>
      <c r="L46">
        <f t="shared" si="1"/>
        <v>5.3571428571428568E-2</v>
      </c>
    </row>
    <row r="47" spans="1:12" x14ac:dyDescent="0.25">
      <c r="A47">
        <v>1744</v>
      </c>
      <c r="B47" t="s">
        <v>17</v>
      </c>
      <c r="C47" t="s">
        <v>68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1744</v>
      </c>
      <c r="B48" t="s">
        <v>18</v>
      </c>
      <c r="C48" t="s">
        <v>68</v>
      </c>
      <c r="D48" t="s">
        <v>33</v>
      </c>
      <c r="H48">
        <v>2146701.5</v>
      </c>
      <c r="I48" t="s">
        <v>128</v>
      </c>
      <c r="J48">
        <f t="shared" si="0"/>
        <v>2146701.5</v>
      </c>
      <c r="L48">
        <f t="shared" si="1"/>
        <v>958.34888392857147</v>
      </c>
    </row>
    <row r="49" spans="1:12" x14ac:dyDescent="0.25">
      <c r="A49">
        <v>1744</v>
      </c>
      <c r="B49" t="s">
        <v>127</v>
      </c>
      <c r="C49" t="s">
        <v>68</v>
      </c>
      <c r="D49" t="s">
        <v>33</v>
      </c>
      <c r="H49">
        <v>3</v>
      </c>
      <c r="J49">
        <f t="shared" si="0"/>
        <v>3</v>
      </c>
      <c r="L49">
        <f t="shared" si="1"/>
        <v>1.3392857142857143E-3</v>
      </c>
    </row>
    <row r="50" spans="1:12" x14ac:dyDescent="0.25">
      <c r="A50">
        <v>1744</v>
      </c>
      <c r="B50" t="s">
        <v>26</v>
      </c>
      <c r="C50" t="s">
        <v>68</v>
      </c>
      <c r="D50" t="s">
        <v>33</v>
      </c>
      <c r="H50">
        <v>1851</v>
      </c>
      <c r="J50">
        <f t="shared" si="0"/>
        <v>1851</v>
      </c>
      <c r="L50">
        <f t="shared" si="1"/>
        <v>0.82633928571428572</v>
      </c>
    </row>
    <row r="51" spans="1:12" x14ac:dyDescent="0.25">
      <c r="A51">
        <v>1744</v>
      </c>
      <c r="B51" t="s">
        <v>84</v>
      </c>
      <c r="C51" t="s">
        <v>68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1744</v>
      </c>
      <c r="B52" t="s">
        <v>19</v>
      </c>
      <c r="C52" t="s">
        <v>68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1744</v>
      </c>
      <c r="B53" t="s">
        <v>45</v>
      </c>
      <c r="C53" t="s">
        <v>68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1744</v>
      </c>
      <c r="B54" t="s">
        <v>85</v>
      </c>
      <c r="C54" t="s">
        <v>68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1744</v>
      </c>
      <c r="B55" t="s">
        <v>54</v>
      </c>
      <c r="C55" t="s">
        <v>68</v>
      </c>
      <c r="D55" t="s">
        <v>33</v>
      </c>
      <c r="H55">
        <v>1547</v>
      </c>
      <c r="J55">
        <f t="shared" si="0"/>
        <v>1547</v>
      </c>
      <c r="L55">
        <f t="shared" si="1"/>
        <v>0.69062500000000004</v>
      </c>
    </row>
    <row r="56" spans="1:12" x14ac:dyDescent="0.25">
      <c r="A56">
        <v>1744</v>
      </c>
      <c r="B56" t="s">
        <v>95</v>
      </c>
      <c r="C56" t="s">
        <v>68</v>
      </c>
      <c r="D56" t="s">
        <v>33</v>
      </c>
      <c r="H56">
        <v>1425</v>
      </c>
      <c r="J56">
        <f t="shared" si="0"/>
        <v>1425</v>
      </c>
      <c r="L56">
        <f t="shared" si="1"/>
        <v>0.6361607142857143</v>
      </c>
    </row>
    <row r="57" spans="1:12" x14ac:dyDescent="0.25">
      <c r="A57">
        <v>1744</v>
      </c>
      <c r="B57" t="s">
        <v>20</v>
      </c>
      <c r="C57" t="s">
        <v>68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1744</v>
      </c>
      <c r="B58" t="s">
        <v>21</v>
      </c>
      <c r="C58" t="s">
        <v>68</v>
      </c>
      <c r="D58" t="s">
        <v>33</v>
      </c>
      <c r="H58">
        <v>2294</v>
      </c>
      <c r="J58">
        <f t="shared" si="0"/>
        <v>2294</v>
      </c>
      <c r="L58">
        <f t="shared" si="1"/>
        <v>1.0241071428571429</v>
      </c>
    </row>
    <row r="59" spans="1:12" x14ac:dyDescent="0.25">
      <c r="A59">
        <v>1744</v>
      </c>
      <c r="B59" t="s">
        <v>90</v>
      </c>
      <c r="C59" t="s">
        <v>68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1744</v>
      </c>
      <c r="B60" t="s">
        <v>22</v>
      </c>
      <c r="C60" t="s">
        <v>68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1744</v>
      </c>
      <c r="B61" t="s">
        <v>61</v>
      </c>
      <c r="C61" t="s">
        <v>68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1744</v>
      </c>
      <c r="B62" t="s">
        <v>98</v>
      </c>
      <c r="C62" t="s">
        <v>68</v>
      </c>
      <c r="D62" t="s">
        <v>33</v>
      </c>
      <c r="E62">
        <v>37</v>
      </c>
      <c r="J62">
        <f t="shared" si="0"/>
        <v>82880</v>
      </c>
      <c r="L62">
        <f t="shared" si="1"/>
        <v>37</v>
      </c>
    </row>
    <row r="63" spans="1:12" x14ac:dyDescent="0.25">
      <c r="A63">
        <v>1744</v>
      </c>
      <c r="B63" t="s">
        <v>87</v>
      </c>
      <c r="C63" t="s">
        <v>68</v>
      </c>
      <c r="D63" t="s">
        <v>33</v>
      </c>
      <c r="E63">
        <v>59</v>
      </c>
      <c r="F63">
        <v>18</v>
      </c>
      <c r="J63">
        <f t="shared" si="0"/>
        <v>134176</v>
      </c>
      <c r="L63">
        <f t="shared" si="1"/>
        <v>59.9</v>
      </c>
    </row>
    <row r="64" spans="1:12" x14ac:dyDescent="0.25">
      <c r="A64">
        <v>1744</v>
      </c>
      <c r="B64" t="s">
        <v>62</v>
      </c>
      <c r="C64" t="s">
        <v>68</v>
      </c>
      <c r="D64" t="s">
        <v>33</v>
      </c>
      <c r="E64">
        <v>225</v>
      </c>
      <c r="F64">
        <v>7</v>
      </c>
      <c r="G64">
        <v>1</v>
      </c>
      <c r="H64">
        <v>12</v>
      </c>
      <c r="J64">
        <f t="shared" si="0"/>
        <v>504824</v>
      </c>
      <c r="L64">
        <f t="shared" si="1"/>
        <v>225.36785714285713</v>
      </c>
    </row>
    <row r="65" spans="1:12" x14ac:dyDescent="0.25">
      <c r="A65">
        <v>1744</v>
      </c>
      <c r="B65" t="s">
        <v>88</v>
      </c>
      <c r="C65" t="s">
        <v>68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1744</v>
      </c>
      <c r="B66" t="s">
        <v>63</v>
      </c>
      <c r="C66" t="s">
        <v>68</v>
      </c>
      <c r="D66" t="s">
        <v>33</v>
      </c>
      <c r="E66">
        <v>119</v>
      </c>
      <c r="F66">
        <v>10</v>
      </c>
      <c r="J66">
        <f t="shared" si="0"/>
        <v>267680</v>
      </c>
      <c r="L66">
        <f t="shared" si="1"/>
        <v>119.5</v>
      </c>
    </row>
    <row r="67" spans="1:12" x14ac:dyDescent="0.25">
      <c r="A67">
        <v>1744</v>
      </c>
      <c r="B67" t="s">
        <v>89</v>
      </c>
      <c r="C67" t="s">
        <v>68</v>
      </c>
      <c r="D67" t="s">
        <v>33</v>
      </c>
      <c r="E67">
        <v>810</v>
      </c>
      <c r="G67">
        <v>6000</v>
      </c>
      <c r="J67">
        <f t="shared" si="0"/>
        <v>1982400</v>
      </c>
      <c r="L67">
        <f t="shared" si="1"/>
        <v>885</v>
      </c>
    </row>
    <row r="68" spans="1:12" x14ac:dyDescent="0.25">
      <c r="A68">
        <v>1744</v>
      </c>
      <c r="B68" t="s">
        <v>70</v>
      </c>
      <c r="C68" t="s">
        <v>68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>
        <v>1744</v>
      </c>
      <c r="B69" t="s">
        <v>64</v>
      </c>
      <c r="C69" t="s">
        <v>68</v>
      </c>
      <c r="D69" t="s">
        <v>33</v>
      </c>
      <c r="J69">
        <f t="shared" si="0"/>
        <v>0</v>
      </c>
      <c r="L69">
        <f t="shared" si="1"/>
        <v>0</v>
      </c>
    </row>
    <row r="70" spans="1:12" x14ac:dyDescent="0.25">
      <c r="A70">
        <v>1744</v>
      </c>
      <c r="B70" t="s">
        <v>65</v>
      </c>
      <c r="C70" t="s">
        <v>68</v>
      </c>
      <c r="D70" t="s">
        <v>33</v>
      </c>
      <c r="J70">
        <f t="shared" si="0"/>
        <v>0</v>
      </c>
      <c r="L70">
        <f t="shared" si="1"/>
        <v>0</v>
      </c>
    </row>
    <row r="71" spans="1:12" x14ac:dyDescent="0.25">
      <c r="A71">
        <v>1744</v>
      </c>
      <c r="B71" t="s">
        <v>55</v>
      </c>
      <c r="C71" t="s">
        <v>68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1744</v>
      </c>
      <c r="B72" t="s">
        <v>57</v>
      </c>
      <c r="C72" t="s">
        <v>68</v>
      </c>
      <c r="D72" t="s">
        <v>35</v>
      </c>
      <c r="J72">
        <f t="shared" si="0"/>
        <v>0</v>
      </c>
      <c r="L72">
        <f t="shared" si="1"/>
        <v>0</v>
      </c>
    </row>
    <row r="73" spans="1:12" x14ac:dyDescent="0.25">
      <c r="A73">
        <v>1744</v>
      </c>
      <c r="B73" t="s">
        <v>36</v>
      </c>
      <c r="C73" t="s">
        <v>68</v>
      </c>
      <c r="D73" t="s">
        <v>35</v>
      </c>
      <c r="J73">
        <f t="shared" si="0"/>
        <v>0</v>
      </c>
      <c r="L73">
        <f t="shared" si="1"/>
        <v>0</v>
      </c>
    </row>
    <row r="74" spans="1:12" x14ac:dyDescent="0.25">
      <c r="A74">
        <v>1744</v>
      </c>
      <c r="B74" t="s">
        <v>4</v>
      </c>
      <c r="C74" t="s">
        <v>68</v>
      </c>
      <c r="D74" t="s">
        <v>35</v>
      </c>
      <c r="J74">
        <f t="shared" ref="J74:J135" si="2">(E74*2240)+(F74*112)+(G74*28)+H74</f>
        <v>0</v>
      </c>
      <c r="L74">
        <f t="shared" ref="L74:L135" si="3">J74/2240</f>
        <v>0</v>
      </c>
    </row>
    <row r="75" spans="1:12" x14ac:dyDescent="0.25">
      <c r="A75">
        <v>1744</v>
      </c>
      <c r="B75" t="s">
        <v>58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1744</v>
      </c>
      <c r="B76" t="s">
        <v>69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1744</v>
      </c>
      <c r="B77" t="s">
        <v>101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1744</v>
      </c>
      <c r="B78" t="s">
        <v>43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1744</v>
      </c>
      <c r="B79" t="s">
        <v>76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1744</v>
      </c>
      <c r="B80" t="s">
        <v>5</v>
      </c>
      <c r="C80" t="s">
        <v>68</v>
      </c>
      <c r="D80" t="s">
        <v>35</v>
      </c>
      <c r="F80">
        <v>28</v>
      </c>
      <c r="H80">
        <v>16</v>
      </c>
      <c r="J80">
        <f t="shared" si="2"/>
        <v>3152</v>
      </c>
      <c r="L80">
        <f t="shared" si="3"/>
        <v>1.4071428571428573</v>
      </c>
    </row>
    <row r="81" spans="1:12" x14ac:dyDescent="0.25">
      <c r="A81">
        <v>1744</v>
      </c>
      <c r="B81" t="s">
        <v>59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1744</v>
      </c>
      <c r="B82" t="s">
        <v>6</v>
      </c>
      <c r="C82" t="s">
        <v>68</v>
      </c>
      <c r="D82" t="s">
        <v>35</v>
      </c>
      <c r="F82">
        <v>116933</v>
      </c>
      <c r="G82">
        <v>2</v>
      </c>
      <c r="H82">
        <v>14</v>
      </c>
      <c r="J82">
        <f t="shared" si="2"/>
        <v>13096566</v>
      </c>
      <c r="L82">
        <f t="shared" si="3"/>
        <v>5846.6812499999996</v>
      </c>
    </row>
    <row r="83" spans="1:12" x14ac:dyDescent="0.25">
      <c r="A83">
        <v>1744</v>
      </c>
      <c r="B83" t="s">
        <v>60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1744</v>
      </c>
      <c r="B84" t="s">
        <v>38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1744</v>
      </c>
      <c r="B85" t="s">
        <v>37</v>
      </c>
      <c r="C85" t="s">
        <v>68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1744</v>
      </c>
      <c r="B86" t="s">
        <v>8</v>
      </c>
      <c r="C86" t="s">
        <v>68</v>
      </c>
      <c r="D86" t="s">
        <v>35</v>
      </c>
      <c r="F86">
        <v>15</v>
      </c>
      <c r="G86">
        <v>3</v>
      </c>
      <c r="H86">
        <v>13</v>
      </c>
      <c r="J86">
        <f t="shared" si="2"/>
        <v>1777</v>
      </c>
      <c r="L86">
        <f t="shared" si="3"/>
        <v>0.79330357142857144</v>
      </c>
    </row>
    <row r="87" spans="1:12" x14ac:dyDescent="0.25">
      <c r="A87">
        <v>1744</v>
      </c>
      <c r="B87" t="s">
        <v>40</v>
      </c>
      <c r="C87" t="s">
        <v>68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1744</v>
      </c>
      <c r="B88" t="s">
        <v>77</v>
      </c>
      <c r="C88" t="s">
        <v>68</v>
      </c>
      <c r="D88" t="s">
        <v>35</v>
      </c>
      <c r="F88">
        <v>20</v>
      </c>
      <c r="J88">
        <f t="shared" si="2"/>
        <v>2240</v>
      </c>
      <c r="L88">
        <f t="shared" si="3"/>
        <v>1</v>
      </c>
    </row>
    <row r="89" spans="1:12" x14ac:dyDescent="0.25">
      <c r="A89">
        <v>1744</v>
      </c>
      <c r="B89" t="s">
        <v>78</v>
      </c>
      <c r="C89" t="s">
        <v>68</v>
      </c>
      <c r="D89" t="s">
        <v>35</v>
      </c>
      <c r="H89">
        <v>48</v>
      </c>
      <c r="J89">
        <f t="shared" si="2"/>
        <v>48</v>
      </c>
      <c r="L89">
        <f t="shared" si="3"/>
        <v>2.1428571428571429E-2</v>
      </c>
    </row>
    <row r="90" spans="1:12" x14ac:dyDescent="0.25">
      <c r="A90">
        <v>1744</v>
      </c>
      <c r="B90" t="s">
        <v>46</v>
      </c>
      <c r="C90" t="s">
        <v>68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1744</v>
      </c>
      <c r="B91" t="s">
        <v>9</v>
      </c>
      <c r="C91" t="s">
        <v>68</v>
      </c>
      <c r="D91" t="s">
        <v>35</v>
      </c>
      <c r="H91">
        <f>1223*200</f>
        <v>244600</v>
      </c>
      <c r="I91" t="s">
        <v>160</v>
      </c>
      <c r="J91">
        <f t="shared" si="2"/>
        <v>244600</v>
      </c>
      <c r="L91">
        <f t="shared" si="3"/>
        <v>109.19642857142857</v>
      </c>
    </row>
    <row r="92" spans="1:12" x14ac:dyDescent="0.25">
      <c r="A92">
        <v>1744</v>
      </c>
      <c r="B92" t="s">
        <v>10</v>
      </c>
      <c r="C92" t="s">
        <v>68</v>
      </c>
      <c r="D92" t="s">
        <v>35</v>
      </c>
      <c r="F92">
        <v>1818</v>
      </c>
      <c r="G92">
        <v>1</v>
      </c>
      <c r="J92">
        <f t="shared" si="2"/>
        <v>203644</v>
      </c>
      <c r="L92">
        <f t="shared" si="3"/>
        <v>90.912499999999994</v>
      </c>
    </row>
    <row r="93" spans="1:12" x14ac:dyDescent="0.25">
      <c r="A93">
        <v>1744</v>
      </c>
      <c r="B93" t="s">
        <v>11</v>
      </c>
      <c r="C93" t="s">
        <v>68</v>
      </c>
      <c r="D93" t="s">
        <v>35</v>
      </c>
      <c r="F93">
        <v>128</v>
      </c>
      <c r="G93">
        <v>3</v>
      </c>
      <c r="H93">
        <v>21</v>
      </c>
      <c r="J93">
        <f t="shared" si="2"/>
        <v>14441</v>
      </c>
      <c r="L93">
        <f t="shared" si="3"/>
        <v>6.4468750000000004</v>
      </c>
    </row>
    <row r="94" spans="1:12" x14ac:dyDescent="0.25">
      <c r="A94">
        <v>1744</v>
      </c>
      <c r="B94" t="s">
        <v>39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1744</v>
      </c>
      <c r="B95" t="s">
        <v>79</v>
      </c>
      <c r="C95" t="s">
        <v>68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1744</v>
      </c>
      <c r="B96" t="s">
        <v>103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1744</v>
      </c>
      <c r="B97" t="s">
        <v>44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1744</v>
      </c>
      <c r="B98" t="s">
        <v>97</v>
      </c>
      <c r="C98" t="s">
        <v>68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1744</v>
      </c>
      <c r="B99" t="s">
        <v>12</v>
      </c>
      <c r="C99" t="s">
        <v>68</v>
      </c>
      <c r="D99" t="s">
        <v>35</v>
      </c>
      <c r="H99">
        <v>2806</v>
      </c>
      <c r="J99">
        <f t="shared" si="2"/>
        <v>2806</v>
      </c>
      <c r="L99">
        <f t="shared" si="3"/>
        <v>1.2526785714285715</v>
      </c>
    </row>
    <row r="100" spans="1:12" x14ac:dyDescent="0.25">
      <c r="A100">
        <v>1744</v>
      </c>
      <c r="B100" t="s">
        <v>82</v>
      </c>
      <c r="C100" t="s">
        <v>68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1744</v>
      </c>
      <c r="B101" t="s">
        <v>34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1744</v>
      </c>
      <c r="B102" t="s">
        <v>13</v>
      </c>
      <c r="C102" t="s">
        <v>68</v>
      </c>
      <c r="D102" t="s">
        <v>35</v>
      </c>
      <c r="E102">
        <v>34</v>
      </c>
      <c r="F102">
        <v>16</v>
      </c>
      <c r="G102">
        <v>1</v>
      </c>
      <c r="J102">
        <f t="shared" si="2"/>
        <v>77980</v>
      </c>
      <c r="L102">
        <f t="shared" si="3"/>
        <v>34.8125</v>
      </c>
    </row>
    <row r="103" spans="1:12" x14ac:dyDescent="0.25">
      <c r="A103">
        <v>1744</v>
      </c>
      <c r="B103" t="s">
        <v>14</v>
      </c>
      <c r="C103" t="s">
        <v>68</v>
      </c>
      <c r="D103" t="s">
        <v>35</v>
      </c>
      <c r="H103">
        <v>2000.5</v>
      </c>
      <c r="I103" t="s">
        <v>156</v>
      </c>
      <c r="J103">
        <f t="shared" si="2"/>
        <v>2000.5</v>
      </c>
      <c r="L103">
        <f t="shared" si="3"/>
        <v>0.89308035714285716</v>
      </c>
    </row>
    <row r="104" spans="1:12" x14ac:dyDescent="0.25">
      <c r="A104">
        <v>1744</v>
      </c>
      <c r="B104" t="s">
        <v>23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1744</v>
      </c>
      <c r="B105" t="s">
        <v>27</v>
      </c>
      <c r="C105" t="s">
        <v>68</v>
      </c>
      <c r="D105" t="s">
        <v>35</v>
      </c>
      <c r="H105">
        <v>39440</v>
      </c>
      <c r="I105" t="s">
        <v>159</v>
      </c>
      <c r="J105">
        <f t="shared" si="2"/>
        <v>39440</v>
      </c>
      <c r="L105">
        <f t="shared" si="3"/>
        <v>17.607142857142858</v>
      </c>
    </row>
    <row r="106" spans="1:12" x14ac:dyDescent="0.25">
      <c r="A106">
        <v>1744</v>
      </c>
      <c r="B106" t="s">
        <v>15</v>
      </c>
      <c r="C106" t="s">
        <v>68</v>
      </c>
      <c r="D106" t="s">
        <v>35</v>
      </c>
      <c r="F106">
        <v>14</v>
      </c>
      <c r="G106">
        <v>3</v>
      </c>
      <c r="H106">
        <v>21</v>
      </c>
      <c r="J106">
        <f t="shared" si="2"/>
        <v>1673</v>
      </c>
      <c r="L106">
        <f t="shared" si="3"/>
        <v>0.74687499999999996</v>
      </c>
    </row>
    <row r="107" spans="1:12" x14ac:dyDescent="0.25">
      <c r="A107">
        <v>1744</v>
      </c>
      <c r="B107" t="s">
        <v>93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1744</v>
      </c>
      <c r="B108" t="s">
        <v>42</v>
      </c>
      <c r="C108" t="s">
        <v>68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1744</v>
      </c>
      <c r="B109" t="s">
        <v>83</v>
      </c>
      <c r="C109" t="s">
        <v>68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1744</v>
      </c>
      <c r="B110" t="s">
        <v>47</v>
      </c>
      <c r="C110" t="s">
        <v>68</v>
      </c>
      <c r="D110" t="s">
        <v>35</v>
      </c>
      <c r="H110">
        <v>35</v>
      </c>
      <c r="I110" t="s">
        <v>157</v>
      </c>
      <c r="J110">
        <f t="shared" si="2"/>
        <v>35</v>
      </c>
      <c r="L110">
        <f t="shared" si="3"/>
        <v>1.5625E-2</v>
      </c>
    </row>
    <row r="111" spans="1:12" x14ac:dyDescent="0.25">
      <c r="A111">
        <v>1744</v>
      </c>
      <c r="B111" t="s">
        <v>16</v>
      </c>
      <c r="C111" t="s">
        <v>68</v>
      </c>
      <c r="D111" t="s">
        <v>35</v>
      </c>
      <c r="H111">
        <v>125829</v>
      </c>
      <c r="J111">
        <f t="shared" si="2"/>
        <v>125829</v>
      </c>
      <c r="L111">
        <f t="shared" si="3"/>
        <v>56.173660714285717</v>
      </c>
    </row>
    <row r="112" spans="1:12" x14ac:dyDescent="0.25">
      <c r="A112">
        <v>1744</v>
      </c>
      <c r="B112" t="s">
        <v>17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1744</v>
      </c>
      <c r="B113" t="s">
        <v>18</v>
      </c>
      <c r="C113" t="s">
        <v>68</v>
      </c>
      <c r="D113" t="s">
        <v>35</v>
      </c>
      <c r="H113">
        <v>680575</v>
      </c>
      <c r="I113" t="s">
        <v>158</v>
      </c>
      <c r="J113">
        <f t="shared" si="2"/>
        <v>680575</v>
      </c>
      <c r="L113">
        <f t="shared" si="3"/>
        <v>303.828125</v>
      </c>
    </row>
    <row r="114" spans="1:12" x14ac:dyDescent="0.25">
      <c r="A114">
        <v>1744</v>
      </c>
      <c r="B114" t="s">
        <v>26</v>
      </c>
      <c r="C114" t="s">
        <v>68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1744</v>
      </c>
      <c r="B115" t="s">
        <v>84</v>
      </c>
      <c r="C115" t="s">
        <v>68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1744</v>
      </c>
      <c r="B116" t="s">
        <v>19</v>
      </c>
      <c r="C116" t="s">
        <v>68</v>
      </c>
      <c r="D116" t="s">
        <v>35</v>
      </c>
      <c r="F116">
        <v>33</v>
      </c>
      <c r="G116">
        <v>2</v>
      </c>
      <c r="H116">
        <v>13</v>
      </c>
      <c r="J116">
        <f t="shared" si="2"/>
        <v>3765</v>
      </c>
      <c r="L116">
        <f t="shared" si="3"/>
        <v>1.6808035714285714</v>
      </c>
    </row>
    <row r="117" spans="1:12" x14ac:dyDescent="0.25">
      <c r="A117">
        <v>1744</v>
      </c>
      <c r="B117" t="s">
        <v>45</v>
      </c>
      <c r="C117" t="s">
        <v>68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1744</v>
      </c>
      <c r="B118" t="s">
        <v>85</v>
      </c>
      <c r="C118" t="s">
        <v>68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1744</v>
      </c>
      <c r="B119" t="s">
        <v>54</v>
      </c>
      <c r="C119" t="s">
        <v>68</v>
      </c>
      <c r="D119" t="s">
        <v>35</v>
      </c>
      <c r="H119">
        <v>407</v>
      </c>
      <c r="J119">
        <f t="shared" si="2"/>
        <v>407</v>
      </c>
      <c r="L119">
        <f t="shared" si="3"/>
        <v>0.18169642857142856</v>
      </c>
    </row>
    <row r="120" spans="1:12" x14ac:dyDescent="0.25">
      <c r="A120">
        <v>1744</v>
      </c>
      <c r="B120" t="s">
        <v>95</v>
      </c>
      <c r="C120" t="s">
        <v>68</v>
      </c>
      <c r="D120" t="s">
        <v>35</v>
      </c>
      <c r="H120">
        <v>77</v>
      </c>
      <c r="J120">
        <f t="shared" si="2"/>
        <v>77</v>
      </c>
      <c r="L120">
        <f t="shared" si="3"/>
        <v>3.4375000000000003E-2</v>
      </c>
    </row>
    <row r="121" spans="1:12" x14ac:dyDescent="0.25">
      <c r="A121">
        <v>1744</v>
      </c>
      <c r="B121" t="s">
        <v>20</v>
      </c>
      <c r="C121" t="s">
        <v>68</v>
      </c>
      <c r="D121" t="s">
        <v>35</v>
      </c>
      <c r="H121">
        <v>2600</v>
      </c>
      <c r="J121">
        <f t="shared" si="2"/>
        <v>2600</v>
      </c>
      <c r="L121">
        <f t="shared" si="3"/>
        <v>1.1607142857142858</v>
      </c>
    </row>
    <row r="122" spans="1:12" x14ac:dyDescent="0.25">
      <c r="A122">
        <v>1744</v>
      </c>
      <c r="B122" t="s">
        <v>21</v>
      </c>
      <c r="C122" t="s">
        <v>68</v>
      </c>
      <c r="D122" t="s">
        <v>35</v>
      </c>
      <c r="H122">
        <v>275</v>
      </c>
      <c r="J122">
        <f t="shared" si="2"/>
        <v>275</v>
      </c>
      <c r="L122">
        <f t="shared" si="3"/>
        <v>0.12276785714285714</v>
      </c>
    </row>
    <row r="123" spans="1:12" x14ac:dyDescent="0.25">
      <c r="A123">
        <v>1744</v>
      </c>
      <c r="B123" t="s">
        <v>90</v>
      </c>
      <c r="C123" t="s">
        <v>68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1744</v>
      </c>
      <c r="B124" t="s">
        <v>22</v>
      </c>
      <c r="C124" t="s">
        <v>68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1744</v>
      </c>
      <c r="B125" t="s">
        <v>61</v>
      </c>
      <c r="C125" t="s">
        <v>68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1744</v>
      </c>
      <c r="B126" t="s">
        <v>91</v>
      </c>
      <c r="C126" t="s">
        <v>68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1744</v>
      </c>
      <c r="B127" t="s">
        <v>98</v>
      </c>
      <c r="C127" t="s">
        <v>68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1744</v>
      </c>
      <c r="B128" t="s">
        <v>87</v>
      </c>
      <c r="C128" t="s">
        <v>68</v>
      </c>
      <c r="D128" t="s">
        <v>35</v>
      </c>
      <c r="E128">
        <v>32</v>
      </c>
      <c r="F128">
        <v>4</v>
      </c>
      <c r="G128">
        <v>2</v>
      </c>
      <c r="H128">
        <v>15</v>
      </c>
      <c r="J128">
        <f t="shared" si="2"/>
        <v>72199</v>
      </c>
      <c r="L128">
        <f t="shared" si="3"/>
        <v>32.231696428571432</v>
      </c>
    </row>
    <row r="129" spans="1:12" x14ac:dyDescent="0.25">
      <c r="A129">
        <v>1744</v>
      </c>
      <c r="B129" t="s">
        <v>62</v>
      </c>
      <c r="C129" t="s">
        <v>68</v>
      </c>
      <c r="D129" t="s">
        <v>35</v>
      </c>
      <c r="E129">
        <v>103</v>
      </c>
      <c r="F129">
        <v>7</v>
      </c>
      <c r="G129">
        <v>3</v>
      </c>
      <c r="H129">
        <v>11</v>
      </c>
      <c r="J129">
        <f t="shared" si="2"/>
        <v>231599</v>
      </c>
      <c r="L129">
        <f t="shared" si="3"/>
        <v>103.39241071428572</v>
      </c>
    </row>
    <row r="130" spans="1:12" x14ac:dyDescent="0.25">
      <c r="A130">
        <v>1744</v>
      </c>
      <c r="B130" t="s">
        <v>88</v>
      </c>
      <c r="C130" t="s">
        <v>68</v>
      </c>
      <c r="D130" t="s">
        <v>35</v>
      </c>
      <c r="J130">
        <f t="shared" si="2"/>
        <v>0</v>
      </c>
      <c r="L130">
        <f t="shared" si="3"/>
        <v>0</v>
      </c>
    </row>
    <row r="131" spans="1:12" x14ac:dyDescent="0.25">
      <c r="A131">
        <v>1744</v>
      </c>
      <c r="B131" t="s">
        <v>63</v>
      </c>
      <c r="C131" t="s">
        <v>68</v>
      </c>
      <c r="D131" t="s">
        <v>35</v>
      </c>
      <c r="E131">
        <v>73</v>
      </c>
      <c r="F131">
        <v>18</v>
      </c>
      <c r="G131">
        <v>3</v>
      </c>
      <c r="H131">
        <v>19</v>
      </c>
      <c r="J131">
        <f t="shared" si="2"/>
        <v>165639</v>
      </c>
      <c r="L131">
        <f t="shared" si="3"/>
        <v>73.945982142857147</v>
      </c>
    </row>
    <row r="132" spans="1:12" x14ac:dyDescent="0.25">
      <c r="A132">
        <v>1744</v>
      </c>
      <c r="B132" t="s">
        <v>89</v>
      </c>
      <c r="C132" t="s">
        <v>68</v>
      </c>
      <c r="D132" t="s">
        <v>35</v>
      </c>
      <c r="E132">
        <v>130</v>
      </c>
      <c r="F132">
        <v>16</v>
      </c>
      <c r="J132">
        <f t="shared" si="2"/>
        <v>292992</v>
      </c>
      <c r="L132">
        <f t="shared" si="3"/>
        <v>130.80000000000001</v>
      </c>
    </row>
    <row r="133" spans="1:12" x14ac:dyDescent="0.25">
      <c r="A133">
        <v>1744</v>
      </c>
      <c r="B133" t="s">
        <v>70</v>
      </c>
      <c r="C133" t="s">
        <v>68</v>
      </c>
      <c r="D133" t="s">
        <v>35</v>
      </c>
      <c r="J133">
        <f t="shared" si="2"/>
        <v>0</v>
      </c>
      <c r="L133">
        <f t="shared" si="3"/>
        <v>0</v>
      </c>
    </row>
    <row r="134" spans="1:12" x14ac:dyDescent="0.25">
      <c r="A134">
        <v>1744</v>
      </c>
      <c r="B134" t="s">
        <v>64</v>
      </c>
      <c r="C134" t="s">
        <v>68</v>
      </c>
      <c r="D134" t="s">
        <v>35</v>
      </c>
      <c r="F134">
        <v>24</v>
      </c>
      <c r="G134">
        <v>1</v>
      </c>
      <c r="H134">
        <v>15</v>
      </c>
      <c r="J134">
        <f t="shared" si="2"/>
        <v>2731</v>
      </c>
      <c r="L134">
        <f t="shared" si="3"/>
        <v>1.2191964285714285</v>
      </c>
    </row>
    <row r="135" spans="1:12" x14ac:dyDescent="0.25">
      <c r="A135">
        <v>1744</v>
      </c>
      <c r="B135" t="s">
        <v>65</v>
      </c>
      <c r="C135" t="s">
        <v>68</v>
      </c>
      <c r="D135" t="s">
        <v>35</v>
      </c>
      <c r="F135">
        <v>5</v>
      </c>
      <c r="J135">
        <f t="shared" si="2"/>
        <v>560</v>
      </c>
      <c r="L135">
        <f t="shared" si="3"/>
        <v>0.25</v>
      </c>
    </row>
  </sheetData>
  <autoFilter ref="A1:O66" xr:uid="{8C2F7725-5A61-4A1B-A740-CC887BCB0E68}">
    <sortState xmlns:xlrd2="http://schemas.microsoft.com/office/spreadsheetml/2017/richdata2" ref="A2:O66">
      <sortCondition ref="B1:B6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8"/>
  <sheetViews>
    <sheetView topLeftCell="A86" workbookViewId="0">
      <selection activeCell="H108" sqref="H10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1744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1744</v>
      </c>
      <c r="B3" t="s">
        <v>57</v>
      </c>
      <c r="C3" t="s">
        <v>72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1744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1744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1744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1744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1744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1744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1744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1744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1744</v>
      </c>
      <c r="B12" t="s">
        <v>6</v>
      </c>
      <c r="C12" t="s">
        <v>72</v>
      </c>
      <c r="D12" t="s">
        <v>33</v>
      </c>
      <c r="F12">
        <v>35314</v>
      </c>
      <c r="G12">
        <v>1</v>
      </c>
      <c r="H12">
        <v>8</v>
      </c>
      <c r="J12">
        <f t="shared" si="0"/>
        <v>3955204</v>
      </c>
      <c r="L12">
        <f t="shared" si="1"/>
        <v>1765.7160714285715</v>
      </c>
    </row>
    <row r="13" spans="1:15" x14ac:dyDescent="0.25">
      <c r="A13">
        <v>1744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1744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1744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1744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1744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1744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1744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1744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1744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1744</v>
      </c>
      <c r="B22" t="s">
        <v>9</v>
      </c>
      <c r="C22" t="s">
        <v>72</v>
      </c>
      <c r="D22" t="s">
        <v>33</v>
      </c>
      <c r="H22">
        <f>67.25*200</f>
        <v>13450</v>
      </c>
      <c r="I22" t="s">
        <v>137</v>
      </c>
      <c r="J22">
        <f t="shared" si="0"/>
        <v>13450</v>
      </c>
      <c r="L22">
        <f t="shared" si="1"/>
        <v>6.0044642857142856</v>
      </c>
    </row>
    <row r="23" spans="1:12" x14ac:dyDescent="0.25">
      <c r="A23">
        <v>1744</v>
      </c>
      <c r="B23" t="s">
        <v>10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1744</v>
      </c>
      <c r="B24" t="s">
        <v>11</v>
      </c>
      <c r="C24" t="s">
        <v>72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1744</v>
      </c>
      <c r="B25" t="s">
        <v>39</v>
      </c>
      <c r="C25" t="s">
        <v>72</v>
      </c>
      <c r="D25" t="s">
        <v>33</v>
      </c>
      <c r="H25">
        <v>2</v>
      </c>
      <c r="J25">
        <f t="shared" si="0"/>
        <v>2</v>
      </c>
      <c r="L25">
        <f t="shared" si="1"/>
        <v>8.9285714285714283E-4</v>
      </c>
    </row>
    <row r="26" spans="1:12" x14ac:dyDescent="0.25">
      <c r="A26">
        <v>1744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1744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1744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1744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1744</v>
      </c>
      <c r="B30" t="s">
        <v>12</v>
      </c>
      <c r="C30" t="s">
        <v>72</v>
      </c>
      <c r="D30" t="s">
        <v>33</v>
      </c>
      <c r="H30">
        <v>2240</v>
      </c>
      <c r="J30">
        <f t="shared" si="0"/>
        <v>2240</v>
      </c>
      <c r="L30">
        <f t="shared" si="1"/>
        <v>1</v>
      </c>
    </row>
    <row r="31" spans="1:12" x14ac:dyDescent="0.25">
      <c r="A31">
        <v>1744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1744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1744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1744</v>
      </c>
      <c r="B34" t="s">
        <v>14</v>
      </c>
      <c r="C34" t="s">
        <v>72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1744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1744</v>
      </c>
      <c r="B36" t="s">
        <v>27</v>
      </c>
      <c r="C36" t="s">
        <v>72</v>
      </c>
      <c r="D36" t="s">
        <v>33</v>
      </c>
      <c r="H36">
        <v>59555.5</v>
      </c>
      <c r="I36" t="s">
        <v>135</v>
      </c>
      <c r="J36">
        <f t="shared" si="0"/>
        <v>59555.5</v>
      </c>
      <c r="L36">
        <f t="shared" si="1"/>
        <v>26.587276785714284</v>
      </c>
    </row>
    <row r="37" spans="1:12" x14ac:dyDescent="0.25">
      <c r="A37">
        <v>1744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1744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1744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1744</v>
      </c>
      <c r="B40" t="s">
        <v>47</v>
      </c>
      <c r="C40" t="s">
        <v>72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1744</v>
      </c>
      <c r="B41" t="s">
        <v>16</v>
      </c>
      <c r="C41" t="s">
        <v>72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1744</v>
      </c>
      <c r="B42" t="s">
        <v>119</v>
      </c>
      <c r="C42" t="s">
        <v>72</v>
      </c>
      <c r="D42" t="s">
        <v>33</v>
      </c>
      <c r="H42">
        <v>500</v>
      </c>
      <c r="I42" t="s">
        <v>136</v>
      </c>
      <c r="J42">
        <f t="shared" si="0"/>
        <v>500</v>
      </c>
      <c r="L42">
        <f t="shared" si="1"/>
        <v>0.22321428571428573</v>
      </c>
    </row>
    <row r="43" spans="1:12" x14ac:dyDescent="0.25">
      <c r="A43">
        <v>1744</v>
      </c>
      <c r="B43" t="s">
        <v>17</v>
      </c>
      <c r="C43" t="s">
        <v>72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1744</v>
      </c>
      <c r="B44" t="s">
        <v>18</v>
      </c>
      <c r="C44" t="s">
        <v>72</v>
      </c>
      <c r="D44" t="s">
        <v>33</v>
      </c>
      <c r="H44">
        <v>151789</v>
      </c>
      <c r="I44" t="s">
        <v>132</v>
      </c>
      <c r="J44">
        <f t="shared" si="0"/>
        <v>151789</v>
      </c>
      <c r="L44">
        <f t="shared" si="1"/>
        <v>67.762946428571425</v>
      </c>
    </row>
    <row r="45" spans="1:12" x14ac:dyDescent="0.25">
      <c r="A45">
        <v>1744</v>
      </c>
      <c r="B45" t="s">
        <v>26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1744</v>
      </c>
      <c r="B46" t="s">
        <v>84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1744</v>
      </c>
      <c r="B47" t="s">
        <v>19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1744</v>
      </c>
      <c r="B48" t="s">
        <v>45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1744</v>
      </c>
      <c r="B49" t="s">
        <v>85</v>
      </c>
      <c r="C49" t="s">
        <v>72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1744</v>
      </c>
      <c r="B50" t="s">
        <v>54</v>
      </c>
      <c r="C50" t="s">
        <v>72</v>
      </c>
      <c r="D50" t="s">
        <v>33</v>
      </c>
      <c r="H50">
        <v>123</v>
      </c>
      <c r="J50">
        <f t="shared" si="0"/>
        <v>123</v>
      </c>
      <c r="L50">
        <f t="shared" si="1"/>
        <v>5.4910714285714285E-2</v>
      </c>
    </row>
    <row r="51" spans="1:12" x14ac:dyDescent="0.25">
      <c r="A51">
        <v>1744</v>
      </c>
      <c r="B51" t="s">
        <v>95</v>
      </c>
      <c r="C51" t="s">
        <v>72</v>
      </c>
      <c r="D51" t="s">
        <v>33</v>
      </c>
      <c r="H51">
        <v>8</v>
      </c>
      <c r="J51">
        <f t="shared" si="0"/>
        <v>8</v>
      </c>
      <c r="L51">
        <f t="shared" si="1"/>
        <v>3.5714285714285713E-3</v>
      </c>
    </row>
    <row r="52" spans="1:12" x14ac:dyDescent="0.25">
      <c r="A52">
        <v>1744</v>
      </c>
      <c r="B52" t="s">
        <v>20</v>
      </c>
      <c r="C52" t="s">
        <v>72</v>
      </c>
      <c r="D52" t="s">
        <v>33</v>
      </c>
      <c r="H52">
        <v>73182</v>
      </c>
      <c r="J52">
        <f t="shared" si="0"/>
        <v>73182</v>
      </c>
      <c r="L52">
        <f t="shared" si="1"/>
        <v>32.670535714285712</v>
      </c>
    </row>
    <row r="53" spans="1:12" x14ac:dyDescent="0.25">
      <c r="A53">
        <v>1744</v>
      </c>
      <c r="B53" t="s">
        <v>21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1744</v>
      </c>
      <c r="B54" t="s">
        <v>133</v>
      </c>
      <c r="C54" t="s">
        <v>72</v>
      </c>
      <c r="D54" t="s">
        <v>33</v>
      </c>
      <c r="H54">
        <v>300</v>
      </c>
      <c r="I54" t="s">
        <v>134</v>
      </c>
      <c r="J54">
        <f t="shared" si="0"/>
        <v>300</v>
      </c>
      <c r="L54">
        <f t="shared" si="1"/>
        <v>0.13392857142857142</v>
      </c>
    </row>
    <row r="55" spans="1:12" x14ac:dyDescent="0.25">
      <c r="A55">
        <v>1744</v>
      </c>
      <c r="B55" t="s">
        <v>22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1744</v>
      </c>
      <c r="B56" t="s">
        <v>61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1744</v>
      </c>
      <c r="B57" t="s">
        <v>99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1744</v>
      </c>
      <c r="B58" t="s">
        <v>87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1744</v>
      </c>
      <c r="B59" t="s">
        <v>62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1744</v>
      </c>
      <c r="B60" t="s">
        <v>88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1744</v>
      </c>
      <c r="B61" t="s">
        <v>63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1744</v>
      </c>
      <c r="B62" t="s">
        <v>89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1744</v>
      </c>
      <c r="B63" t="s">
        <v>70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1744</v>
      </c>
      <c r="B64" t="s">
        <v>64</v>
      </c>
      <c r="C64" t="s">
        <v>72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1744</v>
      </c>
      <c r="B65" t="s">
        <v>65</v>
      </c>
      <c r="C65" t="s">
        <v>72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1744</v>
      </c>
      <c r="B66" t="s">
        <v>55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1744</v>
      </c>
      <c r="B67" t="s">
        <v>57</v>
      </c>
      <c r="C67" t="s">
        <v>72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1744</v>
      </c>
      <c r="B68" t="s">
        <v>36</v>
      </c>
      <c r="C68" t="s">
        <v>72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1744</v>
      </c>
      <c r="B69" t="s">
        <v>4</v>
      </c>
      <c r="C69" t="s">
        <v>72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1744</v>
      </c>
      <c r="B70" t="s">
        <v>58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1744</v>
      </c>
      <c r="B71" t="s">
        <v>69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1744</v>
      </c>
      <c r="B72" t="s">
        <v>43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1744</v>
      </c>
      <c r="B73" t="s">
        <v>76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1744</v>
      </c>
      <c r="B74" t="s">
        <v>5</v>
      </c>
      <c r="C74" t="s">
        <v>72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1744</v>
      </c>
      <c r="B75" t="s">
        <v>59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1744</v>
      </c>
      <c r="B76" t="s">
        <v>6</v>
      </c>
      <c r="C76" t="s">
        <v>72</v>
      </c>
      <c r="D76" t="s">
        <v>35</v>
      </c>
      <c r="F76">
        <v>3398</v>
      </c>
      <c r="G76">
        <v>1</v>
      </c>
      <c r="H76">
        <v>24</v>
      </c>
      <c r="J76">
        <f t="shared" si="2"/>
        <v>380628</v>
      </c>
      <c r="L76">
        <f t="shared" si="3"/>
        <v>169.92321428571429</v>
      </c>
    </row>
    <row r="77" spans="1:12" x14ac:dyDescent="0.25">
      <c r="A77">
        <v>1744</v>
      </c>
      <c r="B77" t="s">
        <v>60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1744</v>
      </c>
      <c r="B78" t="s">
        <v>7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1744</v>
      </c>
      <c r="B79" t="s">
        <v>37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1744</v>
      </c>
      <c r="B80" t="s">
        <v>8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1744</v>
      </c>
      <c r="B81" t="s">
        <v>40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1744</v>
      </c>
      <c r="B82" t="s">
        <v>77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1744</v>
      </c>
      <c r="B83" t="s">
        <v>78</v>
      </c>
      <c r="C83" t="s">
        <v>72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1744</v>
      </c>
      <c r="B84" t="s">
        <v>46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1744</v>
      </c>
      <c r="B85" t="s">
        <v>9</v>
      </c>
      <c r="C85" t="s">
        <v>72</v>
      </c>
      <c r="D85" t="s">
        <v>35</v>
      </c>
      <c r="H85">
        <f>388*200</f>
        <v>77600</v>
      </c>
      <c r="I85" t="s">
        <v>162</v>
      </c>
      <c r="J85">
        <f t="shared" si="2"/>
        <v>77600</v>
      </c>
      <c r="L85">
        <f t="shared" si="3"/>
        <v>34.642857142857146</v>
      </c>
    </row>
    <row r="86" spans="1:12" x14ac:dyDescent="0.25">
      <c r="A86">
        <v>1744</v>
      </c>
      <c r="B86" t="s">
        <v>10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1744</v>
      </c>
      <c r="B87" t="s">
        <v>11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1744</v>
      </c>
      <c r="B88" t="s">
        <v>39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1744</v>
      </c>
      <c r="B89" t="s">
        <v>79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1744</v>
      </c>
      <c r="B90" t="s">
        <v>103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1744</v>
      </c>
      <c r="B91" t="s">
        <v>44</v>
      </c>
      <c r="C91" t="s">
        <v>72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1744</v>
      </c>
      <c r="B92" t="s">
        <v>97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1744</v>
      </c>
      <c r="B93" t="s">
        <v>12</v>
      </c>
      <c r="C93" t="s">
        <v>72</v>
      </c>
      <c r="D93" t="s">
        <v>35</v>
      </c>
      <c r="H93">
        <v>62</v>
      </c>
      <c r="J93">
        <f t="shared" si="2"/>
        <v>62</v>
      </c>
      <c r="L93">
        <f t="shared" si="3"/>
        <v>2.7678571428571427E-2</v>
      </c>
    </row>
    <row r="94" spans="1:12" x14ac:dyDescent="0.25">
      <c r="A94">
        <v>1744</v>
      </c>
      <c r="B94" t="s">
        <v>82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1744</v>
      </c>
      <c r="B95" t="s">
        <v>34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1744</v>
      </c>
      <c r="B96" t="s">
        <v>13</v>
      </c>
      <c r="C96" t="s">
        <v>72</v>
      </c>
      <c r="D96" t="s">
        <v>35</v>
      </c>
      <c r="E96">
        <v>10</v>
      </c>
      <c r="J96">
        <f t="shared" si="2"/>
        <v>22400</v>
      </c>
      <c r="L96">
        <f t="shared" si="3"/>
        <v>10</v>
      </c>
    </row>
    <row r="97" spans="1:12" x14ac:dyDescent="0.25">
      <c r="A97">
        <v>1744</v>
      </c>
      <c r="B97" t="s">
        <v>14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1744</v>
      </c>
      <c r="B98" t="s">
        <v>23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1744</v>
      </c>
      <c r="B99" t="s">
        <v>27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1744</v>
      </c>
      <c r="B100" t="s">
        <v>15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1744</v>
      </c>
      <c r="B101" t="s">
        <v>93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1744</v>
      </c>
      <c r="B102" t="s">
        <v>42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1744</v>
      </c>
      <c r="B103" t="s">
        <v>83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1744</v>
      </c>
      <c r="B104" t="s">
        <v>47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1744</v>
      </c>
      <c r="B105" t="s">
        <v>16</v>
      </c>
      <c r="C105" t="s">
        <v>72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1744</v>
      </c>
      <c r="B106" t="s">
        <v>17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1744</v>
      </c>
      <c r="B107" t="s">
        <v>18</v>
      </c>
      <c r="C107" t="s">
        <v>72</v>
      </c>
      <c r="D107" t="s">
        <v>35</v>
      </c>
      <c r="H107">
        <v>23516</v>
      </c>
      <c r="I107" t="s">
        <v>161</v>
      </c>
      <c r="J107">
        <f t="shared" si="2"/>
        <v>23516</v>
      </c>
      <c r="L107">
        <f t="shared" si="3"/>
        <v>10.498214285714285</v>
      </c>
    </row>
    <row r="108" spans="1:12" x14ac:dyDescent="0.25">
      <c r="A108">
        <v>1744</v>
      </c>
      <c r="B108" t="s">
        <v>26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1744</v>
      </c>
      <c r="B109" t="s">
        <v>84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1744</v>
      </c>
      <c r="B110" t="s">
        <v>19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1744</v>
      </c>
      <c r="B111" t="s">
        <v>45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1744</v>
      </c>
      <c r="B112" t="s">
        <v>85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1744</v>
      </c>
      <c r="B113" t="s">
        <v>54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1744</v>
      </c>
      <c r="B114" t="s">
        <v>95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1744</v>
      </c>
      <c r="B115" t="s">
        <v>20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1744</v>
      </c>
      <c r="B116" t="s">
        <v>21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1744</v>
      </c>
      <c r="B117" t="s">
        <v>22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1744</v>
      </c>
      <c r="B118" t="s">
        <v>61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1744</v>
      </c>
      <c r="B119" t="s">
        <v>91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1744</v>
      </c>
      <c r="B120" t="s">
        <v>98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1744</v>
      </c>
      <c r="B121" t="s">
        <v>87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1744</v>
      </c>
      <c r="B122" t="s">
        <v>62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1744</v>
      </c>
      <c r="B123" t="s">
        <v>88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1744</v>
      </c>
      <c r="B124" t="s">
        <v>63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1744</v>
      </c>
      <c r="B125" t="s">
        <v>89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1744</v>
      </c>
      <c r="B126" t="s">
        <v>70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1744</v>
      </c>
      <c r="B127" t="s">
        <v>64</v>
      </c>
      <c r="C127" t="s">
        <v>72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1744</v>
      </c>
      <c r="B128" t="s">
        <v>65</v>
      </c>
      <c r="C128" t="s">
        <v>72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7"/>
  <sheetViews>
    <sheetView topLeftCell="A84" workbookViewId="0">
      <selection activeCell="H107" sqref="H10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1744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1744</v>
      </c>
      <c r="B3" t="s">
        <v>57</v>
      </c>
      <c r="C3" t="s">
        <v>73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1744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1744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1744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1744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1744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1744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1744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1744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1744</v>
      </c>
      <c r="B12" t="s">
        <v>6</v>
      </c>
      <c r="C12" t="s">
        <v>73</v>
      </c>
      <c r="D12" t="s">
        <v>33</v>
      </c>
      <c r="F12">
        <v>27420</v>
      </c>
      <c r="G12">
        <v>2</v>
      </c>
      <c r="H12">
        <v>22</v>
      </c>
      <c r="J12">
        <f t="shared" si="0"/>
        <v>3071118</v>
      </c>
      <c r="L12">
        <f t="shared" si="1"/>
        <v>1371.0348214285714</v>
      </c>
    </row>
    <row r="13" spans="1:15" x14ac:dyDescent="0.25">
      <c r="A13">
        <v>1744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1744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1744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1744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1744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1744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1744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1744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1744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1744</v>
      </c>
      <c r="B22" t="s">
        <v>9</v>
      </c>
      <c r="C22" t="s">
        <v>73</v>
      </c>
      <c r="D22" t="s">
        <v>33</v>
      </c>
      <c r="H22">
        <f>38*200</f>
        <v>7600</v>
      </c>
      <c r="I22" t="s">
        <v>142</v>
      </c>
      <c r="J22">
        <f t="shared" si="0"/>
        <v>7600</v>
      </c>
      <c r="L22">
        <f t="shared" si="1"/>
        <v>3.3928571428571428</v>
      </c>
    </row>
    <row r="23" spans="1:12" x14ac:dyDescent="0.25">
      <c r="A23">
        <v>1744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1744</v>
      </c>
      <c r="B24" t="s">
        <v>11</v>
      </c>
      <c r="C24" t="s">
        <v>73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1744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1744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1744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1744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1744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1744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1744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1744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1744</v>
      </c>
      <c r="B33" t="s">
        <v>13</v>
      </c>
      <c r="C33" t="s">
        <v>73</v>
      </c>
      <c r="D33" t="s">
        <v>33</v>
      </c>
      <c r="E33">
        <v>7</v>
      </c>
      <c r="J33">
        <f t="shared" si="0"/>
        <v>15680</v>
      </c>
      <c r="L33">
        <f t="shared" si="1"/>
        <v>7</v>
      </c>
    </row>
    <row r="34" spans="1:12" x14ac:dyDescent="0.25">
      <c r="A34">
        <v>1744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1744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1744</v>
      </c>
      <c r="B36" t="s">
        <v>27</v>
      </c>
      <c r="C36" t="s">
        <v>73</v>
      </c>
      <c r="D36" t="s">
        <v>33</v>
      </c>
      <c r="H36">
        <v>67277.5</v>
      </c>
      <c r="I36" t="s">
        <v>140</v>
      </c>
      <c r="J36">
        <f t="shared" si="0"/>
        <v>67277.5</v>
      </c>
      <c r="L36">
        <f t="shared" si="1"/>
        <v>30.034598214285715</v>
      </c>
    </row>
    <row r="37" spans="1:12" x14ac:dyDescent="0.25">
      <c r="A37">
        <v>1744</v>
      </c>
      <c r="B37" t="s">
        <v>15</v>
      </c>
      <c r="C37" t="s">
        <v>73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1744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1744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1744</v>
      </c>
      <c r="B40" t="s">
        <v>47</v>
      </c>
      <c r="C40" t="s">
        <v>73</v>
      </c>
      <c r="D40" t="s">
        <v>33</v>
      </c>
      <c r="H40">
        <v>50</v>
      </c>
      <c r="I40" t="s">
        <v>138</v>
      </c>
      <c r="J40">
        <f t="shared" si="0"/>
        <v>50</v>
      </c>
      <c r="L40">
        <f t="shared" si="1"/>
        <v>2.2321428571428572E-2</v>
      </c>
    </row>
    <row r="41" spans="1:12" x14ac:dyDescent="0.25">
      <c r="A41">
        <v>1744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1744</v>
      </c>
      <c r="B42" t="s">
        <v>119</v>
      </c>
      <c r="C42" t="s">
        <v>73</v>
      </c>
      <c r="D42" t="s">
        <v>33</v>
      </c>
      <c r="H42">
        <v>24616.5</v>
      </c>
      <c r="I42" t="s">
        <v>141</v>
      </c>
      <c r="J42">
        <f t="shared" si="0"/>
        <v>24616.5</v>
      </c>
      <c r="L42">
        <f t="shared" si="1"/>
        <v>10.989508928571428</v>
      </c>
    </row>
    <row r="43" spans="1:12" x14ac:dyDescent="0.25">
      <c r="A43">
        <v>1744</v>
      </c>
      <c r="B43" t="s">
        <v>17</v>
      </c>
      <c r="C43" t="s">
        <v>73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1744</v>
      </c>
      <c r="B44" t="s">
        <v>18</v>
      </c>
      <c r="C44" t="s">
        <v>73</v>
      </c>
      <c r="D44" t="s">
        <v>33</v>
      </c>
      <c r="H44">
        <v>4631</v>
      </c>
      <c r="I44" t="s">
        <v>139</v>
      </c>
      <c r="J44">
        <f t="shared" si="0"/>
        <v>4631</v>
      </c>
      <c r="L44">
        <f t="shared" si="1"/>
        <v>2.0674107142857143</v>
      </c>
    </row>
    <row r="45" spans="1:12" x14ac:dyDescent="0.25">
      <c r="A45">
        <v>1744</v>
      </c>
      <c r="B45" t="s">
        <v>26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1744</v>
      </c>
      <c r="B46" t="s">
        <v>84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1744</v>
      </c>
      <c r="B47" t="s">
        <v>19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1744</v>
      </c>
      <c r="B48" t="s">
        <v>45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1744</v>
      </c>
      <c r="B49" t="s">
        <v>85</v>
      </c>
      <c r="C49" t="s">
        <v>73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1744</v>
      </c>
      <c r="B50" t="s">
        <v>54</v>
      </c>
      <c r="C50" t="s">
        <v>73</v>
      </c>
      <c r="D50" t="s">
        <v>33</v>
      </c>
      <c r="H50">
        <v>126</v>
      </c>
      <c r="J50">
        <f t="shared" si="0"/>
        <v>126</v>
      </c>
      <c r="L50">
        <f t="shared" si="1"/>
        <v>5.6250000000000001E-2</v>
      </c>
    </row>
    <row r="51" spans="1:12" x14ac:dyDescent="0.25">
      <c r="A51">
        <v>1744</v>
      </c>
      <c r="B51" t="s">
        <v>95</v>
      </c>
      <c r="C51" t="s">
        <v>73</v>
      </c>
      <c r="D51" t="s">
        <v>33</v>
      </c>
      <c r="H51">
        <v>64</v>
      </c>
      <c r="J51">
        <f t="shared" si="0"/>
        <v>64</v>
      </c>
      <c r="L51">
        <f t="shared" si="1"/>
        <v>2.8571428571428571E-2</v>
      </c>
    </row>
    <row r="52" spans="1:12" x14ac:dyDescent="0.25">
      <c r="A52">
        <v>1744</v>
      </c>
      <c r="B52" t="s">
        <v>20</v>
      </c>
      <c r="C52" t="s">
        <v>73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1744</v>
      </c>
      <c r="B53" t="s">
        <v>21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1744</v>
      </c>
      <c r="B54" t="s">
        <v>22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1744</v>
      </c>
      <c r="B55" t="s">
        <v>61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1744</v>
      </c>
      <c r="B56" t="s">
        <v>99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1744</v>
      </c>
      <c r="B57" t="s">
        <v>87</v>
      </c>
      <c r="C57" t="s">
        <v>73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1744</v>
      </c>
      <c r="B58" t="s">
        <v>62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1744</v>
      </c>
      <c r="B59" t="s">
        <v>88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1744</v>
      </c>
      <c r="B60" t="s">
        <v>63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1744</v>
      </c>
      <c r="B61" t="s">
        <v>89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1744</v>
      </c>
      <c r="B62" t="s">
        <v>70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1744</v>
      </c>
      <c r="B63" t="s">
        <v>64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1744</v>
      </c>
      <c r="B64" t="s">
        <v>65</v>
      </c>
      <c r="C64" t="s">
        <v>73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1744</v>
      </c>
      <c r="B65" t="s">
        <v>55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1744</v>
      </c>
      <c r="B66" t="s">
        <v>57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1744</v>
      </c>
      <c r="B67" t="s">
        <v>36</v>
      </c>
      <c r="C67" t="s">
        <v>73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1744</v>
      </c>
      <c r="B68" t="s">
        <v>4</v>
      </c>
      <c r="C68" t="s">
        <v>73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1744</v>
      </c>
      <c r="B69" t="s">
        <v>58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1744</v>
      </c>
      <c r="B70" t="s">
        <v>69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1744</v>
      </c>
      <c r="B71" t="s">
        <v>43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1744</v>
      </c>
      <c r="B72" t="s">
        <v>76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1744</v>
      </c>
      <c r="B73" t="s">
        <v>5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1744</v>
      </c>
      <c r="B74" t="s">
        <v>59</v>
      </c>
      <c r="C74" t="s">
        <v>73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1744</v>
      </c>
      <c r="B75" t="s">
        <v>6</v>
      </c>
      <c r="C75" t="s">
        <v>73</v>
      </c>
      <c r="D75" t="s">
        <v>35</v>
      </c>
      <c r="F75">
        <v>7127</v>
      </c>
      <c r="G75">
        <v>1</v>
      </c>
      <c r="H75">
        <v>16</v>
      </c>
      <c r="J75">
        <f t="shared" si="2"/>
        <v>798268</v>
      </c>
      <c r="L75">
        <f t="shared" si="3"/>
        <v>356.36964285714288</v>
      </c>
    </row>
    <row r="76" spans="1:12" x14ac:dyDescent="0.25">
      <c r="A76">
        <v>1744</v>
      </c>
      <c r="B76" t="s">
        <v>60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1744</v>
      </c>
      <c r="B77" t="s">
        <v>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1744</v>
      </c>
      <c r="B78" t="s">
        <v>37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1744</v>
      </c>
      <c r="B79" t="s">
        <v>8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1744</v>
      </c>
      <c r="B80" t="s">
        <v>40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1744</v>
      </c>
      <c r="B81" t="s">
        <v>77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1744</v>
      </c>
      <c r="B82" t="s">
        <v>78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1744</v>
      </c>
      <c r="B83" t="s">
        <v>46</v>
      </c>
      <c r="C83" t="s">
        <v>73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1744</v>
      </c>
      <c r="B84" t="s">
        <v>9</v>
      </c>
      <c r="C84" t="s">
        <v>73</v>
      </c>
      <c r="D84" t="s">
        <v>35</v>
      </c>
      <c r="H84">
        <f>148*200</f>
        <v>29600</v>
      </c>
      <c r="I84" t="s">
        <v>165</v>
      </c>
      <c r="J84">
        <f t="shared" si="2"/>
        <v>29600</v>
      </c>
      <c r="L84">
        <f t="shared" si="3"/>
        <v>13.214285714285714</v>
      </c>
    </row>
    <row r="85" spans="1:12" x14ac:dyDescent="0.25">
      <c r="A85">
        <v>1744</v>
      </c>
      <c r="B85" t="s">
        <v>10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1744</v>
      </c>
      <c r="B86" t="s">
        <v>11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1744</v>
      </c>
      <c r="B87" t="s">
        <v>39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1744</v>
      </c>
      <c r="B88" t="s">
        <v>79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1744</v>
      </c>
      <c r="B89" t="s">
        <v>103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1744</v>
      </c>
      <c r="B90" t="s">
        <v>44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1744</v>
      </c>
      <c r="B91" t="s">
        <v>97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1744</v>
      </c>
      <c r="B92" t="s">
        <v>12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1744</v>
      </c>
      <c r="B93" t="s">
        <v>82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1744</v>
      </c>
      <c r="B94" t="s">
        <v>34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1744</v>
      </c>
      <c r="B95" t="s">
        <v>13</v>
      </c>
      <c r="C95" t="s">
        <v>73</v>
      </c>
      <c r="D95" t="s">
        <v>35</v>
      </c>
      <c r="E95">
        <v>14</v>
      </c>
      <c r="J95">
        <f t="shared" si="2"/>
        <v>31360</v>
      </c>
      <c r="L95">
        <f t="shared" si="3"/>
        <v>14</v>
      </c>
    </row>
    <row r="96" spans="1:12" x14ac:dyDescent="0.25">
      <c r="A96">
        <v>1744</v>
      </c>
      <c r="B96" t="s">
        <v>14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1744</v>
      </c>
      <c r="B97" t="s">
        <v>23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1744</v>
      </c>
      <c r="B98" t="s">
        <v>27</v>
      </c>
      <c r="C98" t="s">
        <v>73</v>
      </c>
      <c r="D98" t="s">
        <v>35</v>
      </c>
      <c r="H98">
        <v>55454</v>
      </c>
      <c r="I98" t="s">
        <v>164</v>
      </c>
      <c r="J98">
        <f t="shared" si="2"/>
        <v>55454</v>
      </c>
      <c r="L98">
        <f t="shared" si="3"/>
        <v>24.756250000000001</v>
      </c>
    </row>
    <row r="99" spans="1:12" x14ac:dyDescent="0.25">
      <c r="A99">
        <v>1744</v>
      </c>
      <c r="B99" t="s">
        <v>15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1744</v>
      </c>
      <c r="B100" t="s">
        <v>93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1744</v>
      </c>
      <c r="B101" t="s">
        <v>42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1744</v>
      </c>
      <c r="B102" t="s">
        <v>83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1744</v>
      </c>
      <c r="B103" t="s">
        <v>47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1744</v>
      </c>
      <c r="B104" t="s">
        <v>16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1744</v>
      </c>
      <c r="B105" t="s">
        <v>17</v>
      </c>
      <c r="C105" t="s">
        <v>73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1744</v>
      </c>
      <c r="B106" t="s">
        <v>18</v>
      </c>
      <c r="C106" t="s">
        <v>73</v>
      </c>
      <c r="D106" t="s">
        <v>35</v>
      </c>
      <c r="H106">
        <v>4921</v>
      </c>
      <c r="I106" t="s">
        <v>163</v>
      </c>
      <c r="J106">
        <f t="shared" si="2"/>
        <v>4921</v>
      </c>
      <c r="L106">
        <f t="shared" si="3"/>
        <v>2.1968749999999999</v>
      </c>
    </row>
    <row r="107" spans="1:12" x14ac:dyDescent="0.25">
      <c r="A107">
        <v>1744</v>
      </c>
      <c r="B107" t="s">
        <v>26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1744</v>
      </c>
      <c r="B108" t="s">
        <v>84</v>
      </c>
      <c r="C108" t="s">
        <v>73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1744</v>
      </c>
      <c r="B109" t="s">
        <v>19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1744</v>
      </c>
      <c r="B110" t="s">
        <v>45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1744</v>
      </c>
      <c r="B111" t="s">
        <v>85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1744</v>
      </c>
      <c r="B112" t="s">
        <v>54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1744</v>
      </c>
      <c r="B113" t="s">
        <v>95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1744</v>
      </c>
      <c r="B114" t="s">
        <v>20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1744</v>
      </c>
      <c r="B115" t="s">
        <v>21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1744</v>
      </c>
      <c r="B116" t="s">
        <v>22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1744</v>
      </c>
      <c r="B117" t="s">
        <v>61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1744</v>
      </c>
      <c r="B118" t="s">
        <v>91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1744</v>
      </c>
      <c r="B119" t="s">
        <v>98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1744</v>
      </c>
      <c r="B120" t="s">
        <v>87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1744</v>
      </c>
      <c r="B121" t="s">
        <v>62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1744</v>
      </c>
      <c r="B122" t="s">
        <v>88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1744</v>
      </c>
      <c r="B123" t="s">
        <v>63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1744</v>
      </c>
      <c r="B124" t="s">
        <v>89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1744</v>
      </c>
      <c r="B125" t="s">
        <v>70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1744</v>
      </c>
      <c r="B126" t="s">
        <v>64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1744</v>
      </c>
      <c r="B127" t="s">
        <v>65</v>
      </c>
      <c r="C127" t="s">
        <v>73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9"/>
  <sheetViews>
    <sheetView topLeftCell="A121" workbookViewId="0">
      <selection activeCell="H108" sqref="H10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1744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1744</v>
      </c>
      <c r="B3" t="s">
        <v>57</v>
      </c>
      <c r="C3" t="s">
        <v>74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1744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1744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1744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1744</v>
      </c>
      <c r="B7" t="s">
        <v>122</v>
      </c>
      <c r="C7" t="s">
        <v>74</v>
      </c>
      <c r="D7" t="s">
        <v>33</v>
      </c>
      <c r="F7">
        <v>3</v>
      </c>
      <c r="J7">
        <f t="shared" si="0"/>
        <v>336</v>
      </c>
      <c r="L7">
        <f t="shared" si="1"/>
        <v>0.15</v>
      </c>
    </row>
    <row r="8" spans="1:15" x14ac:dyDescent="0.25">
      <c r="A8">
        <v>1744</v>
      </c>
      <c r="B8" t="s">
        <v>69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1744</v>
      </c>
      <c r="B9" t="s">
        <v>43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1744</v>
      </c>
      <c r="B10" t="s">
        <v>76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1744</v>
      </c>
      <c r="B11" t="s">
        <v>5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1744</v>
      </c>
      <c r="B12" t="s">
        <v>59</v>
      </c>
      <c r="C12" t="s">
        <v>74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1744</v>
      </c>
      <c r="B13" t="s">
        <v>6</v>
      </c>
      <c r="C13" t="s">
        <v>74</v>
      </c>
      <c r="D13" t="s">
        <v>33</v>
      </c>
      <c r="F13">
        <v>112311</v>
      </c>
      <c r="G13">
        <v>3</v>
      </c>
      <c r="H13">
        <v>3</v>
      </c>
      <c r="J13">
        <f t="shared" si="0"/>
        <v>12578919</v>
      </c>
      <c r="L13">
        <f t="shared" si="1"/>
        <v>5615.5888392857141</v>
      </c>
    </row>
    <row r="14" spans="1:15" x14ac:dyDescent="0.25">
      <c r="A14">
        <v>1744</v>
      </c>
      <c r="B14" t="s">
        <v>96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1744</v>
      </c>
      <c r="B15" t="s">
        <v>60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1744</v>
      </c>
      <c r="B16" t="s">
        <v>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1744</v>
      </c>
      <c r="B17" t="s">
        <v>37</v>
      </c>
      <c r="C17" t="s">
        <v>74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1744</v>
      </c>
      <c r="B18" t="s">
        <v>8</v>
      </c>
      <c r="C18" t="s">
        <v>74</v>
      </c>
      <c r="D18" t="s">
        <v>33</v>
      </c>
      <c r="F18">
        <v>983</v>
      </c>
      <c r="H18">
        <v>3</v>
      </c>
      <c r="J18">
        <f t="shared" si="0"/>
        <v>110099</v>
      </c>
      <c r="L18">
        <f t="shared" si="1"/>
        <v>49.151339285714286</v>
      </c>
    </row>
    <row r="19" spans="1:12" x14ac:dyDescent="0.25">
      <c r="A19">
        <v>1744</v>
      </c>
      <c r="B19" t="s">
        <v>40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1744</v>
      </c>
      <c r="B20" t="s">
        <v>77</v>
      </c>
      <c r="C20" t="s">
        <v>74</v>
      </c>
      <c r="D20" t="s">
        <v>33</v>
      </c>
      <c r="F20">
        <v>6</v>
      </c>
      <c r="H20">
        <v>20</v>
      </c>
      <c r="J20">
        <f t="shared" si="0"/>
        <v>692</v>
      </c>
      <c r="L20">
        <f t="shared" si="1"/>
        <v>0.30892857142857144</v>
      </c>
    </row>
    <row r="21" spans="1:12" x14ac:dyDescent="0.25">
      <c r="A21">
        <v>1744</v>
      </c>
      <c r="B21" t="s">
        <v>78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1744</v>
      </c>
      <c r="B22" t="s">
        <v>46</v>
      </c>
      <c r="C22" t="s">
        <v>74</v>
      </c>
      <c r="D22" t="s">
        <v>33</v>
      </c>
      <c r="H22">
        <v>1862</v>
      </c>
      <c r="J22">
        <f t="shared" si="0"/>
        <v>1862</v>
      </c>
      <c r="L22">
        <f t="shared" si="1"/>
        <v>0.83125000000000004</v>
      </c>
    </row>
    <row r="23" spans="1:12" x14ac:dyDescent="0.25">
      <c r="A23">
        <v>1744</v>
      </c>
      <c r="B23" t="s">
        <v>9</v>
      </c>
      <c r="C23" t="s">
        <v>74</v>
      </c>
      <c r="D23" t="s">
        <v>33</v>
      </c>
      <c r="H23">
        <f>275*200</f>
        <v>55000</v>
      </c>
      <c r="I23" t="s">
        <v>147</v>
      </c>
      <c r="J23">
        <f t="shared" si="0"/>
        <v>55000</v>
      </c>
      <c r="L23">
        <f t="shared" si="1"/>
        <v>24.553571428571427</v>
      </c>
    </row>
    <row r="24" spans="1:12" x14ac:dyDescent="0.25">
      <c r="A24">
        <v>1744</v>
      </c>
      <c r="B24" t="s">
        <v>10</v>
      </c>
      <c r="C24" t="s">
        <v>74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1744</v>
      </c>
      <c r="B25" t="s">
        <v>11</v>
      </c>
      <c r="C25" t="s">
        <v>74</v>
      </c>
      <c r="D25" t="s">
        <v>33</v>
      </c>
      <c r="F25">
        <v>64</v>
      </c>
      <c r="G25">
        <v>1</v>
      </c>
      <c r="H25">
        <v>14</v>
      </c>
      <c r="J25">
        <f t="shared" si="0"/>
        <v>7210</v>
      </c>
      <c r="L25">
        <f t="shared" si="1"/>
        <v>3.21875</v>
      </c>
    </row>
    <row r="26" spans="1:12" x14ac:dyDescent="0.25">
      <c r="A26">
        <v>1744</v>
      </c>
      <c r="B26" t="s">
        <v>39</v>
      </c>
      <c r="C26" t="s">
        <v>74</v>
      </c>
      <c r="D26" t="s">
        <v>33</v>
      </c>
      <c r="H26">
        <v>4</v>
      </c>
      <c r="J26">
        <f t="shared" si="0"/>
        <v>4</v>
      </c>
      <c r="L26">
        <f t="shared" si="1"/>
        <v>1.7857142857142857E-3</v>
      </c>
    </row>
    <row r="27" spans="1:12" x14ac:dyDescent="0.25">
      <c r="A27">
        <v>1744</v>
      </c>
      <c r="B27" t="s">
        <v>79</v>
      </c>
      <c r="C27" t="s">
        <v>74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1744</v>
      </c>
      <c r="B28" t="s">
        <v>103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1744</v>
      </c>
      <c r="B29" t="s">
        <v>44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1744</v>
      </c>
      <c r="B30" t="s">
        <v>97</v>
      </c>
      <c r="C30" t="s">
        <v>74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1744</v>
      </c>
      <c r="B31" t="s">
        <v>12</v>
      </c>
      <c r="C31" t="s">
        <v>74</v>
      </c>
      <c r="D31" t="s">
        <v>33</v>
      </c>
      <c r="H31">
        <v>1373</v>
      </c>
      <c r="J31">
        <f t="shared" si="0"/>
        <v>1373</v>
      </c>
      <c r="L31">
        <f t="shared" si="1"/>
        <v>0.61294642857142856</v>
      </c>
    </row>
    <row r="32" spans="1:12" x14ac:dyDescent="0.25">
      <c r="A32">
        <v>1744</v>
      </c>
      <c r="B32" t="s">
        <v>82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1744</v>
      </c>
      <c r="B33" t="s">
        <v>34</v>
      </c>
      <c r="C33" t="s">
        <v>74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1744</v>
      </c>
      <c r="B34" t="s">
        <v>13</v>
      </c>
      <c r="C34" t="s">
        <v>74</v>
      </c>
      <c r="D34" t="s">
        <v>33</v>
      </c>
      <c r="E34">
        <v>126</v>
      </c>
      <c r="J34">
        <f t="shared" si="0"/>
        <v>282240</v>
      </c>
      <c r="L34">
        <f t="shared" si="1"/>
        <v>126</v>
      </c>
    </row>
    <row r="35" spans="1:12" x14ac:dyDescent="0.25">
      <c r="A35">
        <v>1744</v>
      </c>
      <c r="B35" t="s">
        <v>14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1744</v>
      </c>
      <c r="B36" t="s">
        <v>23</v>
      </c>
      <c r="C36" t="s">
        <v>74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1744</v>
      </c>
      <c r="B37" t="s">
        <v>27</v>
      </c>
      <c r="C37" t="s">
        <v>74</v>
      </c>
      <c r="D37" t="s">
        <v>33</v>
      </c>
      <c r="H37">
        <v>359442.5</v>
      </c>
      <c r="I37" t="s">
        <v>145</v>
      </c>
      <c r="J37">
        <f t="shared" si="0"/>
        <v>359442.5</v>
      </c>
      <c r="L37">
        <f t="shared" si="1"/>
        <v>160.46540178571428</v>
      </c>
    </row>
    <row r="38" spans="1:12" x14ac:dyDescent="0.25">
      <c r="A38">
        <v>1744</v>
      </c>
      <c r="B38" t="s">
        <v>15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1744</v>
      </c>
      <c r="B39" t="s">
        <v>42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1744</v>
      </c>
      <c r="B40" t="s">
        <v>83</v>
      </c>
      <c r="C40" t="s">
        <v>74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1744</v>
      </c>
      <c r="B41" t="s">
        <v>47</v>
      </c>
      <c r="C41" t="s">
        <v>74</v>
      </c>
      <c r="D41" t="s">
        <v>33</v>
      </c>
      <c r="H41">
        <v>85</v>
      </c>
      <c r="I41" t="s">
        <v>143</v>
      </c>
      <c r="J41">
        <f t="shared" si="0"/>
        <v>85</v>
      </c>
      <c r="L41">
        <f t="shared" si="1"/>
        <v>3.7946428571428568E-2</v>
      </c>
    </row>
    <row r="42" spans="1:12" x14ac:dyDescent="0.25">
      <c r="A42">
        <v>1744</v>
      </c>
      <c r="B42" t="s">
        <v>16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1744</v>
      </c>
      <c r="B43" t="s">
        <v>119</v>
      </c>
      <c r="C43" t="s">
        <v>74</v>
      </c>
      <c r="D43" t="s">
        <v>33</v>
      </c>
      <c r="H43">
        <v>8952.5</v>
      </c>
      <c r="I43" t="s">
        <v>146</v>
      </c>
      <c r="J43">
        <f t="shared" si="0"/>
        <v>8952.5</v>
      </c>
      <c r="L43">
        <f t="shared" si="1"/>
        <v>3.9966517857142856</v>
      </c>
    </row>
    <row r="44" spans="1:12" x14ac:dyDescent="0.25">
      <c r="A44">
        <v>1744</v>
      </c>
      <c r="B44" t="s">
        <v>17</v>
      </c>
      <c r="C44" t="s">
        <v>74</v>
      </c>
      <c r="D44" t="s">
        <v>33</v>
      </c>
      <c r="F44">
        <v>279</v>
      </c>
      <c r="G44">
        <v>3</v>
      </c>
      <c r="H44">
        <v>22</v>
      </c>
      <c r="J44">
        <f t="shared" si="0"/>
        <v>31354</v>
      </c>
      <c r="L44">
        <f t="shared" si="1"/>
        <v>13.997321428571428</v>
      </c>
    </row>
    <row r="45" spans="1:12" x14ac:dyDescent="0.25">
      <c r="A45">
        <v>1744</v>
      </c>
      <c r="B45" t="s">
        <v>18</v>
      </c>
      <c r="C45" t="s">
        <v>74</v>
      </c>
      <c r="D45" t="s">
        <v>33</v>
      </c>
      <c r="H45">
        <v>68677.5</v>
      </c>
      <c r="I45" t="s">
        <v>144</v>
      </c>
      <c r="J45">
        <f t="shared" si="0"/>
        <v>68677.5</v>
      </c>
      <c r="L45">
        <f t="shared" si="1"/>
        <v>30.659598214285715</v>
      </c>
    </row>
    <row r="46" spans="1:12" x14ac:dyDescent="0.25">
      <c r="A46">
        <v>1744</v>
      </c>
      <c r="B46" t="s">
        <v>26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1744</v>
      </c>
      <c r="B47" t="s">
        <v>84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1744</v>
      </c>
      <c r="B48" t="s">
        <v>19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1744</v>
      </c>
      <c r="B49" t="s">
        <v>45</v>
      </c>
      <c r="C49" t="s">
        <v>74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1744</v>
      </c>
      <c r="B50" t="s">
        <v>85</v>
      </c>
      <c r="C50" t="s">
        <v>74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1744</v>
      </c>
      <c r="B51" t="s">
        <v>54</v>
      </c>
      <c r="C51" t="s">
        <v>74</v>
      </c>
      <c r="D51" t="s">
        <v>33</v>
      </c>
      <c r="H51">
        <v>263</v>
      </c>
      <c r="J51">
        <f t="shared" si="0"/>
        <v>263</v>
      </c>
      <c r="L51">
        <f t="shared" si="1"/>
        <v>0.11741071428571428</v>
      </c>
    </row>
    <row r="52" spans="1:12" x14ac:dyDescent="0.25">
      <c r="A52">
        <v>1744</v>
      </c>
      <c r="B52" t="s">
        <v>95</v>
      </c>
      <c r="C52" t="s">
        <v>74</v>
      </c>
      <c r="D52" t="s">
        <v>33</v>
      </c>
      <c r="H52">
        <v>535</v>
      </c>
      <c r="J52">
        <f t="shared" si="0"/>
        <v>535</v>
      </c>
      <c r="L52">
        <f t="shared" si="1"/>
        <v>0.23883928571428573</v>
      </c>
    </row>
    <row r="53" spans="1:12" x14ac:dyDescent="0.25">
      <c r="A53">
        <v>1744</v>
      </c>
      <c r="B53" t="s">
        <v>20</v>
      </c>
      <c r="C53" t="s">
        <v>74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1744</v>
      </c>
      <c r="B54" t="s">
        <v>21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1744</v>
      </c>
      <c r="B55" t="s">
        <v>22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1744</v>
      </c>
      <c r="B56" t="s">
        <v>61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1744</v>
      </c>
      <c r="B57" t="s">
        <v>99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1744</v>
      </c>
      <c r="B58" t="s">
        <v>87</v>
      </c>
      <c r="C58" t="s">
        <v>74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1744</v>
      </c>
      <c r="B59" t="s">
        <v>62</v>
      </c>
      <c r="C59" t="s">
        <v>74</v>
      </c>
      <c r="D59" t="s">
        <v>33</v>
      </c>
      <c r="E59">
        <v>32</v>
      </c>
      <c r="F59">
        <v>19</v>
      </c>
      <c r="G59">
        <v>1</v>
      </c>
      <c r="J59">
        <f t="shared" si="0"/>
        <v>73836</v>
      </c>
      <c r="L59">
        <f t="shared" si="1"/>
        <v>32.962499999999999</v>
      </c>
    </row>
    <row r="60" spans="1:12" x14ac:dyDescent="0.25">
      <c r="A60">
        <v>1744</v>
      </c>
      <c r="B60" t="s">
        <v>88</v>
      </c>
      <c r="C60" t="s">
        <v>74</v>
      </c>
      <c r="D60" t="s">
        <v>33</v>
      </c>
      <c r="E60">
        <v>1</v>
      </c>
      <c r="J60">
        <f t="shared" si="0"/>
        <v>2240</v>
      </c>
      <c r="L60">
        <f t="shared" si="1"/>
        <v>1</v>
      </c>
    </row>
    <row r="61" spans="1:12" x14ac:dyDescent="0.25">
      <c r="A61">
        <v>1744</v>
      </c>
      <c r="B61" t="s">
        <v>63</v>
      </c>
      <c r="C61" t="s">
        <v>74</v>
      </c>
      <c r="D61" t="s">
        <v>33</v>
      </c>
      <c r="E61">
        <v>5</v>
      </c>
      <c r="J61">
        <f t="shared" si="0"/>
        <v>11200</v>
      </c>
      <c r="L61">
        <f t="shared" si="1"/>
        <v>5</v>
      </c>
    </row>
    <row r="62" spans="1:12" x14ac:dyDescent="0.25">
      <c r="A62">
        <v>1744</v>
      </c>
      <c r="B62" t="s">
        <v>89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1744</v>
      </c>
      <c r="B63" t="s">
        <v>70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1744</v>
      </c>
      <c r="B64" t="s">
        <v>64</v>
      </c>
      <c r="C64" t="s">
        <v>74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1744</v>
      </c>
      <c r="B65" t="s">
        <v>65</v>
      </c>
      <c r="C65" t="s">
        <v>74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1744</v>
      </c>
      <c r="B66" t="s">
        <v>55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1744</v>
      </c>
      <c r="B67" t="s">
        <v>57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1744</v>
      </c>
      <c r="B68" t="s">
        <v>36</v>
      </c>
      <c r="C68" t="s">
        <v>74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1744</v>
      </c>
      <c r="B69" t="s">
        <v>4</v>
      </c>
      <c r="C69" t="s">
        <v>74</v>
      </c>
      <c r="D69" t="s">
        <v>35</v>
      </c>
      <c r="J69">
        <f t="shared" ref="J69:J129" si="2">(E69*2240)+(F69*112)+(G69*28)+H69</f>
        <v>0</v>
      </c>
      <c r="L69">
        <f t="shared" ref="L69:L129" si="3">J69/2240</f>
        <v>0</v>
      </c>
    </row>
    <row r="70" spans="1:12" x14ac:dyDescent="0.25">
      <c r="A70">
        <v>1744</v>
      </c>
      <c r="B70" t="s">
        <v>58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1744</v>
      </c>
      <c r="B71" t="s">
        <v>69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1744</v>
      </c>
      <c r="B72" t="s">
        <v>43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1744</v>
      </c>
      <c r="B73" t="s">
        <v>76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1744</v>
      </c>
      <c r="B74" t="s">
        <v>5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1744</v>
      </c>
      <c r="B75" t="s">
        <v>59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1744</v>
      </c>
      <c r="B76" t="s">
        <v>6</v>
      </c>
      <c r="C76" t="s">
        <v>74</v>
      </c>
      <c r="D76" t="s">
        <v>35</v>
      </c>
      <c r="F76">
        <v>28702</v>
      </c>
      <c r="G76">
        <v>3</v>
      </c>
      <c r="H76">
        <v>21</v>
      </c>
      <c r="J76">
        <f t="shared" si="2"/>
        <v>3214729</v>
      </c>
      <c r="L76">
        <f t="shared" si="3"/>
        <v>1435.1468749999999</v>
      </c>
    </row>
    <row r="77" spans="1:12" x14ac:dyDescent="0.25">
      <c r="A77">
        <v>1744</v>
      </c>
      <c r="B77" t="s">
        <v>60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1744</v>
      </c>
      <c r="B78" t="s">
        <v>7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1744</v>
      </c>
      <c r="B79" t="s">
        <v>37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1744</v>
      </c>
      <c r="B80" t="s">
        <v>8</v>
      </c>
      <c r="C80" t="s">
        <v>74</v>
      </c>
      <c r="D80" t="s">
        <v>35</v>
      </c>
      <c r="F80">
        <v>56</v>
      </c>
      <c r="G80">
        <v>2</v>
      </c>
      <c r="J80">
        <f t="shared" si="2"/>
        <v>6328</v>
      </c>
      <c r="L80">
        <f t="shared" si="3"/>
        <v>2.8250000000000002</v>
      </c>
    </row>
    <row r="81" spans="1:12" x14ac:dyDescent="0.25">
      <c r="A81">
        <v>1744</v>
      </c>
      <c r="B81" t="s">
        <v>40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1744</v>
      </c>
      <c r="B82" t="s">
        <v>77</v>
      </c>
      <c r="C82" t="s">
        <v>74</v>
      </c>
      <c r="D82" t="s">
        <v>35</v>
      </c>
      <c r="G82">
        <v>2</v>
      </c>
      <c r="J82">
        <f t="shared" si="2"/>
        <v>56</v>
      </c>
      <c r="L82">
        <f t="shared" si="3"/>
        <v>2.5000000000000001E-2</v>
      </c>
    </row>
    <row r="83" spans="1:12" x14ac:dyDescent="0.25">
      <c r="A83">
        <v>1744</v>
      </c>
      <c r="B83" t="s">
        <v>78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1744</v>
      </c>
      <c r="B84" t="s">
        <v>46</v>
      </c>
      <c r="C84" t="s">
        <v>74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1744</v>
      </c>
      <c r="B85" t="s">
        <v>9</v>
      </c>
      <c r="C85" t="s">
        <v>74</v>
      </c>
      <c r="D85" t="s">
        <v>35</v>
      </c>
      <c r="H85">
        <f>1601*200</f>
        <v>320200</v>
      </c>
      <c r="I85" t="s">
        <v>169</v>
      </c>
      <c r="J85">
        <f t="shared" si="2"/>
        <v>320200</v>
      </c>
      <c r="L85">
        <f t="shared" si="3"/>
        <v>142.94642857142858</v>
      </c>
    </row>
    <row r="86" spans="1:12" x14ac:dyDescent="0.25">
      <c r="A86">
        <v>1744</v>
      </c>
      <c r="B86" t="s">
        <v>10</v>
      </c>
      <c r="C86" t="s">
        <v>74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1744</v>
      </c>
      <c r="B87" t="s">
        <v>11</v>
      </c>
      <c r="C87" t="s">
        <v>74</v>
      </c>
      <c r="D87" t="s">
        <v>35</v>
      </c>
      <c r="F87">
        <v>67</v>
      </c>
      <c r="H87">
        <v>21</v>
      </c>
      <c r="J87">
        <f t="shared" si="2"/>
        <v>7525</v>
      </c>
      <c r="L87">
        <f t="shared" si="3"/>
        <v>3.359375</v>
      </c>
    </row>
    <row r="88" spans="1:12" x14ac:dyDescent="0.25">
      <c r="A88">
        <v>1744</v>
      </c>
      <c r="B88" t="s">
        <v>39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1744</v>
      </c>
      <c r="B89" t="s">
        <v>79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1744</v>
      </c>
      <c r="B90" t="s">
        <v>103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1744</v>
      </c>
      <c r="B91" t="s">
        <v>44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1744</v>
      </c>
      <c r="B92" t="s">
        <v>97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1744</v>
      </c>
      <c r="B93" t="s">
        <v>12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1744</v>
      </c>
      <c r="B94" t="s">
        <v>82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1744</v>
      </c>
      <c r="B95" t="s">
        <v>34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1744</v>
      </c>
      <c r="B96" t="s">
        <v>13</v>
      </c>
      <c r="C96" t="s">
        <v>74</v>
      </c>
      <c r="D96" t="s">
        <v>35</v>
      </c>
      <c r="E96">
        <v>20</v>
      </c>
      <c r="F96">
        <v>4</v>
      </c>
      <c r="G96">
        <v>3</v>
      </c>
      <c r="H96">
        <v>20</v>
      </c>
      <c r="J96">
        <f t="shared" si="2"/>
        <v>45352</v>
      </c>
      <c r="L96">
        <f t="shared" si="3"/>
        <v>20.24642857142857</v>
      </c>
    </row>
    <row r="97" spans="1:12" x14ac:dyDescent="0.25">
      <c r="A97">
        <v>1744</v>
      </c>
      <c r="B97" t="s">
        <v>14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1744</v>
      </c>
      <c r="B98" t="s">
        <v>23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1744</v>
      </c>
      <c r="B99" t="s">
        <v>27</v>
      </c>
      <c r="C99" t="s">
        <v>74</v>
      </c>
      <c r="D99" t="s">
        <v>35</v>
      </c>
      <c r="H99">
        <v>2260.5</v>
      </c>
      <c r="I99" t="s">
        <v>167</v>
      </c>
      <c r="J99">
        <f t="shared" si="2"/>
        <v>2260.5</v>
      </c>
      <c r="L99">
        <f t="shared" si="3"/>
        <v>1.0091517857142858</v>
      </c>
    </row>
    <row r="100" spans="1:12" x14ac:dyDescent="0.25">
      <c r="A100">
        <v>1744</v>
      </c>
      <c r="B100" t="s">
        <v>15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1744</v>
      </c>
      <c r="B101" t="s">
        <v>93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1744</v>
      </c>
      <c r="B102" t="s">
        <v>42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1744</v>
      </c>
      <c r="B103" t="s">
        <v>83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1744</v>
      </c>
      <c r="B104" t="s">
        <v>47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1744</v>
      </c>
      <c r="B105" t="s">
        <v>16</v>
      </c>
      <c r="C105" t="s">
        <v>74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1744</v>
      </c>
      <c r="B106" t="s">
        <v>17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1744</v>
      </c>
      <c r="B107" t="s">
        <v>18</v>
      </c>
      <c r="C107" t="s">
        <v>74</v>
      </c>
      <c r="D107" t="s">
        <v>35</v>
      </c>
      <c r="H107">
        <v>27697</v>
      </c>
      <c r="I107" t="s">
        <v>166</v>
      </c>
      <c r="J107">
        <f t="shared" si="2"/>
        <v>27697</v>
      </c>
      <c r="L107">
        <f t="shared" si="3"/>
        <v>12.364732142857143</v>
      </c>
    </row>
    <row r="108" spans="1:12" x14ac:dyDescent="0.25">
      <c r="A108">
        <v>1744</v>
      </c>
      <c r="B108" t="s">
        <v>26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1744</v>
      </c>
      <c r="B109" t="s">
        <v>84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1744</v>
      </c>
      <c r="B110" t="s">
        <v>19</v>
      </c>
      <c r="C110" t="s">
        <v>74</v>
      </c>
      <c r="D110" t="s">
        <v>35</v>
      </c>
      <c r="F110">
        <v>8</v>
      </c>
      <c r="G110">
        <v>3</v>
      </c>
      <c r="H110">
        <v>12</v>
      </c>
      <c r="J110">
        <f t="shared" si="2"/>
        <v>992</v>
      </c>
      <c r="L110">
        <f t="shared" si="3"/>
        <v>0.44285714285714284</v>
      </c>
    </row>
    <row r="111" spans="1:12" x14ac:dyDescent="0.25">
      <c r="A111">
        <v>1744</v>
      </c>
      <c r="B111" t="s">
        <v>45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1744</v>
      </c>
      <c r="B112" t="s">
        <v>85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1744</v>
      </c>
      <c r="B113" t="s">
        <v>54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1744</v>
      </c>
      <c r="B114" t="s">
        <v>95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1744</v>
      </c>
      <c r="B115" t="s">
        <v>20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1744</v>
      </c>
      <c r="B116" t="s">
        <v>21</v>
      </c>
      <c r="C116" t="s">
        <v>74</v>
      </c>
      <c r="D116" t="s">
        <v>35</v>
      </c>
      <c r="H116">
        <v>50</v>
      </c>
      <c r="J116">
        <f t="shared" si="2"/>
        <v>50</v>
      </c>
      <c r="L116">
        <f t="shared" si="3"/>
        <v>2.2321428571428572E-2</v>
      </c>
    </row>
    <row r="117" spans="1:12" x14ac:dyDescent="0.25">
      <c r="A117">
        <v>1744</v>
      </c>
      <c r="B117" t="s">
        <v>22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1744</v>
      </c>
      <c r="B118" t="s">
        <v>61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1744</v>
      </c>
      <c r="B119" t="s">
        <v>91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1744</v>
      </c>
      <c r="B120" t="s">
        <v>98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1744</v>
      </c>
      <c r="B121" t="s">
        <v>87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1744</v>
      </c>
      <c r="B122" t="s">
        <v>62</v>
      </c>
      <c r="C122" t="s">
        <v>74</v>
      </c>
      <c r="D122" t="s">
        <v>35</v>
      </c>
      <c r="E122">
        <v>20</v>
      </c>
      <c r="J122">
        <f t="shared" si="2"/>
        <v>44800</v>
      </c>
      <c r="L122">
        <f t="shared" si="3"/>
        <v>20</v>
      </c>
    </row>
    <row r="123" spans="1:12" x14ac:dyDescent="0.25">
      <c r="A123">
        <v>1744</v>
      </c>
      <c r="B123" t="s">
        <v>88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1744</v>
      </c>
      <c r="B124" t="s">
        <v>63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1744</v>
      </c>
      <c r="B125" t="s">
        <v>89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1744</v>
      </c>
      <c r="B126" t="s">
        <v>168</v>
      </c>
      <c r="C126" t="s">
        <v>74</v>
      </c>
      <c r="D126" t="s">
        <v>35</v>
      </c>
      <c r="E126">
        <v>1</v>
      </c>
      <c r="J126">
        <f t="shared" si="2"/>
        <v>2240</v>
      </c>
      <c r="L126">
        <f t="shared" si="3"/>
        <v>1</v>
      </c>
    </row>
    <row r="127" spans="1:12" x14ac:dyDescent="0.25">
      <c r="A127">
        <v>1744</v>
      </c>
      <c r="B127" t="s">
        <v>70</v>
      </c>
      <c r="C127" t="s">
        <v>74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1744</v>
      </c>
      <c r="B128" t="s">
        <v>64</v>
      </c>
      <c r="C128" t="s">
        <v>74</v>
      </c>
      <c r="D128" t="s">
        <v>35</v>
      </c>
      <c r="E128">
        <v>6</v>
      </c>
      <c r="J128">
        <f t="shared" si="2"/>
        <v>13440</v>
      </c>
      <c r="L128">
        <f t="shared" si="3"/>
        <v>6</v>
      </c>
    </row>
    <row r="129" spans="1:12" x14ac:dyDescent="0.25">
      <c r="A129">
        <v>1744</v>
      </c>
      <c r="B129" t="s">
        <v>65</v>
      </c>
      <c r="C129" t="s">
        <v>74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30"/>
  <sheetViews>
    <sheetView tabSelected="1" topLeftCell="A13" workbookViewId="0">
      <selection activeCell="H47" sqref="H4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1744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1744</v>
      </c>
      <c r="B3" t="s">
        <v>57</v>
      </c>
      <c r="C3" t="s">
        <v>100</v>
      </c>
      <c r="D3" t="s">
        <v>33</v>
      </c>
      <c r="J3">
        <f t="shared" ref="J3:J70" si="0">(E3*2240)+(F3*112)+(G3*28)+H3</f>
        <v>0</v>
      </c>
      <c r="L3">
        <f t="shared" ref="L3:L70" si="1">J3/2240</f>
        <v>0</v>
      </c>
    </row>
    <row r="4" spans="1:15" x14ac:dyDescent="0.25">
      <c r="A4">
        <v>1744</v>
      </c>
      <c r="B4" t="s">
        <v>36</v>
      </c>
      <c r="C4" t="s">
        <v>100</v>
      </c>
      <c r="D4" t="s">
        <v>33</v>
      </c>
      <c r="H4">
        <v>3500</v>
      </c>
      <c r="J4">
        <f t="shared" si="0"/>
        <v>3500</v>
      </c>
      <c r="L4">
        <f t="shared" si="1"/>
        <v>1.5625</v>
      </c>
    </row>
    <row r="5" spans="1:15" x14ac:dyDescent="0.25">
      <c r="A5">
        <v>1744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1744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1744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1744</v>
      </c>
      <c r="B8" t="s">
        <v>123</v>
      </c>
      <c r="C8" t="s">
        <v>100</v>
      </c>
      <c r="D8" t="s">
        <v>33</v>
      </c>
      <c r="H8">
        <v>50</v>
      </c>
      <c r="J8">
        <f t="shared" si="0"/>
        <v>50</v>
      </c>
      <c r="L8">
        <f t="shared" si="1"/>
        <v>2.2321428571428572E-2</v>
      </c>
    </row>
    <row r="9" spans="1:15" x14ac:dyDescent="0.25">
      <c r="A9">
        <v>1744</v>
      </c>
      <c r="B9" t="s">
        <v>43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1744</v>
      </c>
      <c r="B10" t="s">
        <v>76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1744</v>
      </c>
      <c r="B11" t="s">
        <v>104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1744</v>
      </c>
      <c r="B12" t="s">
        <v>5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1744</v>
      </c>
      <c r="B13" t="s">
        <v>59</v>
      </c>
      <c r="C13" t="s">
        <v>100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1744</v>
      </c>
      <c r="B14" t="s">
        <v>6</v>
      </c>
      <c r="C14" t="s">
        <v>100</v>
      </c>
      <c r="D14" t="s">
        <v>33</v>
      </c>
      <c r="F14">
        <v>171</v>
      </c>
      <c r="G14">
        <v>2</v>
      </c>
      <c r="J14">
        <f t="shared" si="0"/>
        <v>19208</v>
      </c>
      <c r="L14">
        <f t="shared" si="1"/>
        <v>8.5749999999999993</v>
      </c>
    </row>
    <row r="15" spans="1:15" x14ac:dyDescent="0.25">
      <c r="A15">
        <v>1744</v>
      </c>
      <c r="B15" t="s">
        <v>96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1744</v>
      </c>
      <c r="B16" t="s">
        <v>60</v>
      </c>
      <c r="C16" t="s">
        <v>100</v>
      </c>
      <c r="D16" t="s">
        <v>33</v>
      </c>
      <c r="H16">
        <v>240</v>
      </c>
      <c r="J16">
        <f t="shared" si="0"/>
        <v>240</v>
      </c>
      <c r="L16">
        <f t="shared" si="1"/>
        <v>0.10714285714285714</v>
      </c>
    </row>
    <row r="17" spans="1:12" x14ac:dyDescent="0.25">
      <c r="A17">
        <v>1744</v>
      </c>
      <c r="B17" t="s">
        <v>114</v>
      </c>
      <c r="C17" t="s">
        <v>100</v>
      </c>
      <c r="D17" t="s">
        <v>33</v>
      </c>
      <c r="H17">
        <v>500</v>
      </c>
      <c r="J17">
        <f t="shared" si="0"/>
        <v>500</v>
      </c>
      <c r="L17">
        <f t="shared" si="1"/>
        <v>0.22321428571428573</v>
      </c>
    </row>
    <row r="18" spans="1:12" x14ac:dyDescent="0.25">
      <c r="A18">
        <v>1744</v>
      </c>
      <c r="B18" t="s">
        <v>7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1744</v>
      </c>
      <c r="B19" t="s">
        <v>37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1744</v>
      </c>
      <c r="B20" t="s">
        <v>8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1744</v>
      </c>
      <c r="B21" t="s">
        <v>40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1744</v>
      </c>
      <c r="B22" t="s">
        <v>77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1744</v>
      </c>
      <c r="B23" t="s">
        <v>78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1744</v>
      </c>
      <c r="B24" t="s">
        <v>46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1744</v>
      </c>
      <c r="B25" t="s">
        <v>9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1744</v>
      </c>
      <c r="B26" t="s">
        <v>10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1744</v>
      </c>
      <c r="B27" t="s">
        <v>11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1744</v>
      </c>
      <c r="B28" t="s">
        <v>39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1744</v>
      </c>
      <c r="B29" t="s">
        <v>79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1744</v>
      </c>
      <c r="B30" t="s">
        <v>103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1744</v>
      </c>
      <c r="B31" t="s">
        <v>44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1744</v>
      </c>
      <c r="B32" t="s">
        <v>97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1744</v>
      </c>
      <c r="B33" t="s">
        <v>12</v>
      </c>
      <c r="C33" t="s">
        <v>100</v>
      </c>
      <c r="D33" t="s">
        <v>33</v>
      </c>
      <c r="H33">
        <v>129</v>
      </c>
      <c r="J33">
        <f t="shared" si="0"/>
        <v>129</v>
      </c>
      <c r="L33">
        <f t="shared" si="1"/>
        <v>5.7589285714285711E-2</v>
      </c>
    </row>
    <row r="34" spans="1:12" x14ac:dyDescent="0.25">
      <c r="A34">
        <v>1744</v>
      </c>
      <c r="B34" t="s">
        <v>115</v>
      </c>
      <c r="C34" t="s">
        <v>100</v>
      </c>
      <c r="D34" t="s">
        <v>33</v>
      </c>
      <c r="H34">
        <v>1000</v>
      </c>
      <c r="J34">
        <f t="shared" si="0"/>
        <v>1000</v>
      </c>
      <c r="L34">
        <f t="shared" si="1"/>
        <v>0.44642857142857145</v>
      </c>
    </row>
    <row r="35" spans="1:12" x14ac:dyDescent="0.25">
      <c r="A35">
        <v>1744</v>
      </c>
      <c r="B35" t="s">
        <v>34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1744</v>
      </c>
      <c r="B36" t="s">
        <v>13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1744</v>
      </c>
      <c r="B37" t="s">
        <v>14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1744</v>
      </c>
      <c r="B38" t="s">
        <v>23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1744</v>
      </c>
      <c r="B39" t="s">
        <v>27</v>
      </c>
      <c r="C39" t="s">
        <v>100</v>
      </c>
      <c r="D39" t="s">
        <v>33</v>
      </c>
      <c r="H39">
        <v>7832</v>
      </c>
      <c r="I39" t="s">
        <v>149</v>
      </c>
      <c r="J39">
        <f t="shared" si="0"/>
        <v>7832</v>
      </c>
      <c r="L39">
        <f t="shared" si="1"/>
        <v>3.4964285714285714</v>
      </c>
    </row>
    <row r="40" spans="1:12" x14ac:dyDescent="0.25">
      <c r="A40">
        <v>1744</v>
      </c>
      <c r="B40" t="s">
        <v>15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1744</v>
      </c>
      <c r="B41" t="s">
        <v>42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1744</v>
      </c>
      <c r="B42" t="s">
        <v>83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1744</v>
      </c>
      <c r="B43" t="s">
        <v>47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1744</v>
      </c>
      <c r="B44" t="s">
        <v>16</v>
      </c>
      <c r="C44" t="s">
        <v>100</v>
      </c>
      <c r="D44" t="s">
        <v>33</v>
      </c>
      <c r="H44">
        <v>2460</v>
      </c>
      <c r="J44">
        <f t="shared" si="0"/>
        <v>2460</v>
      </c>
      <c r="L44">
        <f t="shared" si="1"/>
        <v>1.0982142857142858</v>
      </c>
    </row>
    <row r="45" spans="1:12" x14ac:dyDescent="0.25">
      <c r="A45">
        <v>1744</v>
      </c>
      <c r="B45" t="s">
        <v>17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1744</v>
      </c>
      <c r="B46" t="s">
        <v>18</v>
      </c>
      <c r="C46" t="s">
        <v>100</v>
      </c>
      <c r="D46" t="s">
        <v>33</v>
      </c>
      <c r="H46">
        <v>2966</v>
      </c>
      <c r="I46" t="s">
        <v>148</v>
      </c>
      <c r="J46">
        <f t="shared" si="0"/>
        <v>2966</v>
      </c>
      <c r="L46">
        <f t="shared" si="1"/>
        <v>1.3241071428571429</v>
      </c>
    </row>
    <row r="47" spans="1:12" x14ac:dyDescent="0.25">
      <c r="A47">
        <v>1744</v>
      </c>
      <c r="B47" t="s">
        <v>26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1744</v>
      </c>
      <c r="B48" t="s">
        <v>84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1744</v>
      </c>
      <c r="B49" t="s">
        <v>19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1744</v>
      </c>
      <c r="B50" t="s">
        <v>45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1744</v>
      </c>
      <c r="B51" t="s">
        <v>85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1744</v>
      </c>
      <c r="B52" t="s">
        <v>54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1744</v>
      </c>
      <c r="B53" t="s">
        <v>95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1744</v>
      </c>
      <c r="B54" t="s">
        <v>20</v>
      </c>
      <c r="C54" t="s">
        <v>100</v>
      </c>
      <c r="D54" t="s">
        <v>33</v>
      </c>
      <c r="H54">
        <v>373</v>
      </c>
      <c r="J54">
        <f t="shared" si="0"/>
        <v>373</v>
      </c>
      <c r="L54">
        <f t="shared" si="1"/>
        <v>0.16651785714285713</v>
      </c>
    </row>
    <row r="55" spans="1:12" x14ac:dyDescent="0.25">
      <c r="A55">
        <v>1744</v>
      </c>
      <c r="B55" t="s">
        <v>21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1744</v>
      </c>
      <c r="B56" t="s">
        <v>90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1744</v>
      </c>
      <c r="B57" t="s">
        <v>22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1744</v>
      </c>
      <c r="B58" t="s">
        <v>61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1744</v>
      </c>
      <c r="B59" t="s">
        <v>98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1744</v>
      </c>
      <c r="B60" t="s">
        <v>87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1744</v>
      </c>
      <c r="B61" t="s">
        <v>62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1744</v>
      </c>
      <c r="B62" t="s">
        <v>88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1744</v>
      </c>
      <c r="B63" t="s">
        <v>63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1744</v>
      </c>
      <c r="B64" t="s">
        <v>89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1744</v>
      </c>
      <c r="B65" t="s">
        <v>70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1744</v>
      </c>
      <c r="B66" t="s">
        <v>64</v>
      </c>
      <c r="C66" t="s">
        <v>100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1744</v>
      </c>
      <c r="B67" t="s">
        <v>65</v>
      </c>
      <c r="C67" t="s">
        <v>100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1744</v>
      </c>
      <c r="B68" t="s">
        <v>55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1744</v>
      </c>
      <c r="B69" t="s">
        <v>57</v>
      </c>
      <c r="C69" t="s">
        <v>100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1744</v>
      </c>
      <c r="B70" t="s">
        <v>36</v>
      </c>
      <c r="C70" t="s">
        <v>100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1744</v>
      </c>
      <c r="B71" t="s">
        <v>4</v>
      </c>
      <c r="C71" t="s">
        <v>100</v>
      </c>
      <c r="D71" t="s">
        <v>35</v>
      </c>
      <c r="J71">
        <f t="shared" ref="J71:J130" si="2">(E71*2240)+(F71*112)+(G71*28)+H71</f>
        <v>0</v>
      </c>
      <c r="L71">
        <f t="shared" ref="L71:L130" si="3">J71/2240</f>
        <v>0</v>
      </c>
    </row>
    <row r="72" spans="1:12" x14ac:dyDescent="0.25">
      <c r="A72">
        <v>1744</v>
      </c>
      <c r="B72" t="s">
        <v>58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1744</v>
      </c>
      <c r="B73" t="s">
        <v>69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1744</v>
      </c>
      <c r="B74" t="s">
        <v>43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1744</v>
      </c>
      <c r="B75" t="s">
        <v>76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1744</v>
      </c>
      <c r="B76" t="s">
        <v>5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1744</v>
      </c>
      <c r="B77" t="s">
        <v>59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1744</v>
      </c>
      <c r="B78" t="s">
        <v>6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1744</v>
      </c>
      <c r="B79" t="s">
        <v>60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1744</v>
      </c>
      <c r="B80" t="s">
        <v>7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1744</v>
      </c>
      <c r="B81" t="s">
        <v>37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1744</v>
      </c>
      <c r="B82" t="s">
        <v>8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1744</v>
      </c>
      <c r="B83" t="s">
        <v>40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1744</v>
      </c>
      <c r="B84" t="s">
        <v>77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1744</v>
      </c>
      <c r="B85" t="s">
        <v>78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1744</v>
      </c>
      <c r="B86" t="s">
        <v>46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1744</v>
      </c>
      <c r="B87" t="s">
        <v>9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1744</v>
      </c>
      <c r="B88" t="s">
        <v>10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1744</v>
      </c>
      <c r="B89" t="s">
        <v>11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1744</v>
      </c>
      <c r="B90" t="s">
        <v>39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1744</v>
      </c>
      <c r="B91" t="s">
        <v>79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1744</v>
      </c>
      <c r="B92" t="s">
        <v>103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1744</v>
      </c>
      <c r="B93" t="s">
        <v>44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1744</v>
      </c>
      <c r="B94" t="s">
        <v>97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1744</v>
      </c>
      <c r="B95" t="s">
        <v>12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1744</v>
      </c>
      <c r="B96" t="s">
        <v>82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1744</v>
      </c>
      <c r="B97" t="s">
        <v>34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1744</v>
      </c>
      <c r="B98" t="s">
        <v>13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1744</v>
      </c>
      <c r="B99" t="s">
        <v>14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1744</v>
      </c>
      <c r="B100" t="s">
        <v>23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1744</v>
      </c>
      <c r="B101" t="s">
        <v>27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1744</v>
      </c>
      <c r="B102" t="s">
        <v>15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1744</v>
      </c>
      <c r="B103" t="s">
        <v>93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1744</v>
      </c>
      <c r="B104" t="s">
        <v>42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1744</v>
      </c>
      <c r="B105" t="s">
        <v>83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1744</v>
      </c>
      <c r="B106" t="s">
        <v>47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1744</v>
      </c>
      <c r="B107" t="s">
        <v>16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1744</v>
      </c>
      <c r="B108" t="s">
        <v>17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1744</v>
      </c>
      <c r="B109" t="s">
        <v>18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1744</v>
      </c>
      <c r="B110" t="s">
        <v>26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1744</v>
      </c>
      <c r="B111" t="s">
        <v>84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1744</v>
      </c>
      <c r="B112" t="s">
        <v>19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1744</v>
      </c>
      <c r="B113" t="s">
        <v>45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1744</v>
      </c>
      <c r="B114" t="s">
        <v>85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1744</v>
      </c>
      <c r="B115" t="s">
        <v>54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1744</v>
      </c>
      <c r="B116" t="s">
        <v>95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1744</v>
      </c>
      <c r="B117" t="s">
        <v>20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1744</v>
      </c>
      <c r="B118" t="s">
        <v>21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1744</v>
      </c>
      <c r="B119" t="s">
        <v>22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1744</v>
      </c>
      <c r="B120" t="s">
        <v>61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1744</v>
      </c>
      <c r="B121" t="s">
        <v>91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1744</v>
      </c>
      <c r="B122" t="s">
        <v>98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1744</v>
      </c>
      <c r="B123" t="s">
        <v>87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1744</v>
      </c>
      <c r="B124" t="s">
        <v>62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1744</v>
      </c>
      <c r="B125" t="s">
        <v>88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1744</v>
      </c>
      <c r="B126" t="s">
        <v>63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1744</v>
      </c>
      <c r="B127" t="s">
        <v>89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1744</v>
      </c>
      <c r="B128" t="s">
        <v>70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1744</v>
      </c>
      <c r="B129" t="s">
        <v>64</v>
      </c>
      <c r="C129" t="s">
        <v>100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1744</v>
      </c>
      <c r="B130" t="s">
        <v>65</v>
      </c>
      <c r="C130" t="s">
        <v>100</v>
      </c>
      <c r="D130" t="s">
        <v>35</v>
      </c>
      <c r="J130">
        <f t="shared" si="2"/>
        <v>0</v>
      </c>
      <c r="L130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2025-04-30T19:30:40Z</dcterms:modified>
</cp:coreProperties>
</file>