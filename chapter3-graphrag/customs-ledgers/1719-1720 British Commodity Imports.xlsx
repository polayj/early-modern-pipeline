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732" documentId="8_{934BB835-A27D-4934-A400-9694D41892E0}" xr6:coauthVersionLast="47" xr6:coauthVersionMax="47" xr10:uidLastSave="{29163896-B87C-444C-B2F6-E4A106DAF7FB}"/>
  <bookViews>
    <workbookView xWindow="-120" yWindow="-120" windowWidth="29040" windowHeight="15840" xr2:uid="{A9AB6255-FFC3-4BA2-A4C8-A2A9711B6F5F}"/>
  </bookViews>
  <sheets>
    <sheet name="Master Goods Sheet" sheetId="12" r:id="rId1"/>
    <sheet name="Africa" sheetId="1" r:id="rId2"/>
    <sheet name="Canaries" sheetId="2" r:id="rId3"/>
    <sheet name="Antigua" sheetId="3" r:id="rId4"/>
    <sheet name="Barbados" sheetId="4" r:id="rId5"/>
    <sheet name="Bermuda" sheetId="5" r:id="rId6"/>
    <sheet name="Carolina" sheetId="6" r:id="rId7"/>
    <sheet name="Jamaica" sheetId="7" r:id="rId8"/>
    <sheet name="Mountserat" sheetId="8" r:id="rId9"/>
    <sheet name="Nevis" sheetId="9" r:id="rId10"/>
    <sheet name="StKitts" sheetId="10" r:id="rId11"/>
    <sheet name="NewEngland" sheetId="11" r:id="rId12"/>
    <sheet name="GeneralWI" sheetId="15" r:id="rId13"/>
  </sheets>
  <definedNames>
    <definedName name="_xlnm._FilterDatabase" localSheetId="3" hidden="1">Antigua!$A$1:$O$44</definedName>
    <definedName name="_xlnm._FilterDatabase" localSheetId="4" hidden="1">Barbados!$A$1:$P$71</definedName>
    <definedName name="_xlnm._FilterDatabase" localSheetId="12" hidden="1">GeneralWI!$A$1:$L$59</definedName>
    <definedName name="_xlnm._FilterDatabase" localSheetId="7" hidden="1">Jamaica!$B$1:$Q$60</definedName>
    <definedName name="_xlnm._FilterDatabase" localSheetId="8" hidden="1">Mountserat!$A$1:$Q$31</definedName>
    <definedName name="_xlnm._FilterDatabase" localSheetId="9" hidden="1">Nevis!$A$1:$P$35</definedName>
    <definedName name="_xlnm._FilterDatabase" localSheetId="10" hidden="1">StKitts!$A$1:$L$29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5" l="1"/>
  <c r="H6" i="10"/>
  <c r="H6" i="9"/>
  <c r="H6" i="8"/>
  <c r="H11" i="7"/>
  <c r="H10" i="4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L22" i="10" s="1"/>
  <c r="J23" i="10"/>
  <c r="L23" i="10" s="1"/>
  <c r="J24" i="10"/>
  <c r="J25" i="10"/>
  <c r="J26" i="10"/>
  <c r="J27" i="10"/>
  <c r="J28" i="10"/>
  <c r="L28" i="10" s="1"/>
  <c r="J29" i="10"/>
  <c r="L29" i="10" s="1"/>
  <c r="J2" i="10"/>
  <c r="L13" i="6"/>
  <c r="L14" i="6"/>
  <c r="L15" i="6"/>
  <c r="J13" i="6"/>
  <c r="J14" i="6"/>
  <c r="C3" i="12"/>
  <c r="C4" i="12"/>
  <c r="C5" i="12"/>
  <c r="C7" i="12"/>
  <c r="C27" i="12"/>
  <c r="C28" i="12"/>
  <c r="B3" i="12"/>
  <c r="B5" i="12"/>
  <c r="B7" i="12"/>
  <c r="B28" i="12"/>
  <c r="B29" i="12"/>
  <c r="L31" i="9"/>
  <c r="J31" i="9"/>
  <c r="J29" i="9"/>
  <c r="L29" i="9" s="1"/>
  <c r="L25" i="10"/>
  <c r="L26" i="10"/>
  <c r="L24" i="10"/>
  <c r="L27" i="10"/>
  <c r="L15" i="10"/>
  <c r="L12" i="10"/>
  <c r="L20" i="10"/>
  <c r="L11" i="10"/>
  <c r="L19" i="10"/>
  <c r="J30" i="8"/>
  <c r="L30" i="8" s="1"/>
  <c r="J31" i="8"/>
  <c r="L31" i="8" s="1"/>
  <c r="J29" i="8"/>
  <c r="L29" i="8" s="1"/>
  <c r="H45" i="7"/>
  <c r="J35" i="7"/>
  <c r="L35" i="7" s="1"/>
  <c r="H14" i="7"/>
  <c r="J31" i="7"/>
  <c r="J4" i="7"/>
  <c r="J5" i="7"/>
  <c r="L5" i="7" s="1"/>
  <c r="J6" i="7"/>
  <c r="L6" i="7" s="1"/>
  <c r="J59" i="15"/>
  <c r="L59" i="15" s="1"/>
  <c r="J58" i="15"/>
  <c r="L58" i="15" s="1"/>
  <c r="J56" i="15"/>
  <c r="L56" i="15" s="1"/>
  <c r="J57" i="15"/>
  <c r="L57" i="15" s="1"/>
  <c r="J55" i="15"/>
  <c r="L55" i="15" s="1"/>
  <c r="J54" i="15"/>
  <c r="L54" i="15" s="1"/>
  <c r="J52" i="15"/>
  <c r="L52" i="15" s="1"/>
  <c r="J51" i="15"/>
  <c r="L51" i="15" s="1"/>
  <c r="J50" i="15"/>
  <c r="L50" i="15" s="1"/>
  <c r="J48" i="15"/>
  <c r="L48" i="15" s="1"/>
  <c r="J47" i="15"/>
  <c r="L47" i="15" s="1"/>
  <c r="J53" i="15"/>
  <c r="L53" i="15" s="1"/>
  <c r="J46" i="15"/>
  <c r="L46" i="15" s="1"/>
  <c r="J45" i="15"/>
  <c r="L45" i="15" s="1"/>
  <c r="J44" i="15"/>
  <c r="L44" i="15" s="1"/>
  <c r="J43" i="15"/>
  <c r="L43" i="15" s="1"/>
  <c r="J42" i="15"/>
  <c r="L42" i="15" s="1"/>
  <c r="J41" i="15"/>
  <c r="L41" i="15" s="1"/>
  <c r="J38" i="15"/>
  <c r="L38" i="15" s="1"/>
  <c r="J39" i="15"/>
  <c r="L39" i="15" s="1"/>
  <c r="J37" i="15"/>
  <c r="L37" i="15" s="1"/>
  <c r="J49" i="15"/>
  <c r="L49" i="15" s="1"/>
  <c r="J36" i="15"/>
  <c r="L36" i="15" s="1"/>
  <c r="J40" i="15"/>
  <c r="L40" i="15" s="1"/>
  <c r="J34" i="15"/>
  <c r="L34" i="15" s="1"/>
  <c r="J33" i="15"/>
  <c r="L33" i="15" s="1"/>
  <c r="J32" i="15"/>
  <c r="L32" i="15" s="1"/>
  <c r="J31" i="15"/>
  <c r="L31" i="15" s="1"/>
  <c r="J30" i="15"/>
  <c r="L30" i="15" s="1"/>
  <c r="J29" i="15"/>
  <c r="L29" i="15" s="1"/>
  <c r="J28" i="15"/>
  <c r="L28" i="15" s="1"/>
  <c r="J27" i="15"/>
  <c r="L27" i="15" s="1"/>
  <c r="J26" i="15"/>
  <c r="L26" i="15" s="1"/>
  <c r="J25" i="15"/>
  <c r="L25" i="15" s="1"/>
  <c r="J24" i="15"/>
  <c r="L24" i="15" s="1"/>
  <c r="J23" i="15"/>
  <c r="L23" i="15" s="1"/>
  <c r="J22" i="15"/>
  <c r="L22" i="15" s="1"/>
  <c r="J21" i="15"/>
  <c r="L21" i="15" s="1"/>
  <c r="J20" i="15"/>
  <c r="L20" i="15" s="1"/>
  <c r="J19" i="15"/>
  <c r="L19" i="15" s="1"/>
  <c r="J18" i="15"/>
  <c r="L18" i="15" s="1"/>
  <c r="J17" i="15"/>
  <c r="L17" i="15" s="1"/>
  <c r="J16" i="15"/>
  <c r="L16" i="15" s="1"/>
  <c r="J15" i="15"/>
  <c r="L15" i="15" s="1"/>
  <c r="J14" i="15"/>
  <c r="L14" i="15" s="1"/>
  <c r="J13" i="15"/>
  <c r="L13" i="15" s="1"/>
  <c r="J35" i="15"/>
  <c r="L35" i="15" s="1"/>
  <c r="J12" i="15"/>
  <c r="L12" i="15" s="1"/>
  <c r="J11" i="15"/>
  <c r="L11" i="15" s="1"/>
  <c r="J10" i="15"/>
  <c r="L10" i="15" s="1"/>
  <c r="J9" i="15"/>
  <c r="L9" i="15" s="1"/>
  <c r="J8" i="15"/>
  <c r="L8" i="15" s="1"/>
  <c r="J7" i="15"/>
  <c r="L7" i="15" s="1"/>
  <c r="J5" i="15"/>
  <c r="L5" i="15" s="1"/>
  <c r="J4" i="15"/>
  <c r="L4" i="15" s="1"/>
  <c r="J3" i="15"/>
  <c r="L3" i="15" s="1"/>
  <c r="J2" i="15"/>
  <c r="L2" i="15" s="1"/>
  <c r="J8" i="5"/>
  <c r="L8" i="5" s="1"/>
  <c r="J9" i="5"/>
  <c r="L9" i="5" s="1"/>
  <c r="J10" i="5"/>
  <c r="L10" i="5" s="1"/>
  <c r="J11" i="5"/>
  <c r="L11" i="5" s="1"/>
  <c r="J63" i="4"/>
  <c r="L63" i="4" s="1"/>
  <c r="J49" i="4"/>
  <c r="L49" i="4" s="1"/>
  <c r="J59" i="4"/>
  <c r="L59" i="4" s="1"/>
  <c r="J39" i="4"/>
  <c r="L39" i="4" s="1"/>
  <c r="J50" i="4"/>
  <c r="L50" i="4" s="1"/>
  <c r="J67" i="4"/>
  <c r="L67" i="4" s="1"/>
  <c r="J52" i="4"/>
  <c r="L52" i="4" s="1"/>
  <c r="J66" i="4"/>
  <c r="L66" i="4" s="1"/>
  <c r="J65" i="4"/>
  <c r="L65" i="4" s="1"/>
  <c r="J64" i="4"/>
  <c r="L64" i="4" s="1"/>
  <c r="J62" i="4"/>
  <c r="L62" i="4" s="1"/>
  <c r="J61" i="4"/>
  <c r="L61" i="4" s="1"/>
  <c r="J71" i="4"/>
  <c r="L71" i="4" s="1"/>
  <c r="J58" i="4"/>
  <c r="L58" i="4" s="1"/>
  <c r="J57" i="4"/>
  <c r="L57" i="4" s="1"/>
  <c r="J56" i="4"/>
  <c r="L56" i="4" s="1"/>
  <c r="J55" i="4"/>
  <c r="L55" i="4" s="1"/>
  <c r="J60" i="4"/>
  <c r="L60" i="4" s="1"/>
  <c r="J70" i="4"/>
  <c r="L70" i="4" s="1"/>
  <c r="J54" i="4"/>
  <c r="L54" i="4" s="1"/>
  <c r="C26" i="12" s="1"/>
  <c r="J53" i="4"/>
  <c r="L53" i="4" s="1"/>
  <c r="J51" i="4"/>
  <c r="L51" i="4" s="1"/>
  <c r="J47" i="4"/>
  <c r="L47" i="4" s="1"/>
  <c r="J46" i="4"/>
  <c r="L46" i="4" s="1"/>
  <c r="J45" i="4"/>
  <c r="L45" i="4" s="1"/>
  <c r="J44" i="4"/>
  <c r="L44" i="4" s="1"/>
  <c r="J43" i="4"/>
  <c r="L43" i="4" s="1"/>
  <c r="J48" i="4"/>
  <c r="L48" i="4" s="1"/>
  <c r="J69" i="4"/>
  <c r="L69" i="4" s="1"/>
  <c r="J41" i="4"/>
  <c r="L41" i="4" s="1"/>
  <c r="J42" i="4"/>
  <c r="L42" i="4" s="1"/>
  <c r="C9" i="12" s="1"/>
  <c r="J40" i="4"/>
  <c r="L40" i="4" s="1"/>
  <c r="J68" i="4"/>
  <c r="L68" i="4" s="1"/>
  <c r="J37" i="4"/>
  <c r="L37" i="4" s="1"/>
  <c r="J38" i="4"/>
  <c r="L38" i="4" s="1"/>
  <c r="J25" i="4"/>
  <c r="L25" i="4" s="1"/>
  <c r="J20" i="4"/>
  <c r="L20" i="4" s="1"/>
  <c r="J21" i="4"/>
  <c r="L21" i="4" s="1"/>
  <c r="J22" i="4"/>
  <c r="L22" i="4" s="1"/>
  <c r="J23" i="4"/>
  <c r="L23" i="4" s="1"/>
  <c r="J36" i="4"/>
  <c r="L36" i="4" s="1"/>
  <c r="J26" i="4"/>
  <c r="L26" i="4" s="1"/>
  <c r="J27" i="4"/>
  <c r="L27" i="4" s="1"/>
  <c r="J29" i="4"/>
  <c r="L29" i="4" s="1"/>
  <c r="J30" i="4"/>
  <c r="L30" i="4" s="1"/>
  <c r="J31" i="4"/>
  <c r="L31" i="4" s="1"/>
  <c r="J17" i="4"/>
  <c r="L17" i="4" s="1"/>
  <c r="J32" i="4"/>
  <c r="L32" i="4" s="1"/>
  <c r="J25" i="3"/>
  <c r="L25" i="3" s="1"/>
  <c r="J26" i="3"/>
  <c r="L26" i="3" s="1"/>
  <c r="J15" i="3"/>
  <c r="L15" i="3" s="1"/>
  <c r="J37" i="3"/>
  <c r="J12" i="3"/>
  <c r="J5" i="3"/>
  <c r="J16" i="3"/>
  <c r="L16" i="3" s="1"/>
  <c r="J17" i="3"/>
  <c r="L17" i="3" s="1"/>
  <c r="J21" i="3"/>
  <c r="L21" i="3" s="1"/>
  <c r="J23" i="3"/>
  <c r="L23" i="3" s="1"/>
  <c r="J24" i="3"/>
  <c r="L24" i="3" s="1"/>
  <c r="J2" i="3"/>
  <c r="L2" i="3" s="1"/>
  <c r="C2" i="12" l="1"/>
  <c r="L21" i="10"/>
  <c r="L17" i="10"/>
  <c r="L18" i="10"/>
  <c r="L3" i="10"/>
  <c r="L14" i="10"/>
  <c r="L16" i="10"/>
  <c r="L10" i="10"/>
  <c r="L2" i="10"/>
  <c r="L13" i="10"/>
  <c r="L4" i="10"/>
  <c r="L9" i="10"/>
  <c r="L6" i="10"/>
  <c r="L5" i="10"/>
  <c r="L7" i="10"/>
  <c r="J7" i="8"/>
  <c r="L7" i="8" s="1"/>
  <c r="J34" i="7"/>
  <c r="L34" i="7" s="1"/>
  <c r="J20" i="7"/>
  <c r="L20" i="7" s="1"/>
  <c r="J21" i="7"/>
  <c r="L21" i="7" s="1"/>
  <c r="J22" i="7"/>
  <c r="L22" i="7" s="1"/>
  <c r="J23" i="7"/>
  <c r="L23" i="7" s="1"/>
  <c r="B30" i="12" s="1"/>
  <c r="J24" i="7"/>
  <c r="L24" i="7" s="1"/>
  <c r="J25" i="7"/>
  <c r="L25" i="7" s="1"/>
  <c r="J26" i="7"/>
  <c r="L26" i="7" s="1"/>
  <c r="J27" i="7"/>
  <c r="L27" i="7" s="1"/>
  <c r="J28" i="7"/>
  <c r="L28" i="7" s="1"/>
  <c r="J7" i="7"/>
  <c r="L7" i="7" s="1"/>
  <c r="J8" i="7"/>
  <c r="L8" i="7" s="1"/>
  <c r="J9" i="7"/>
  <c r="L9" i="7" s="1"/>
  <c r="J10" i="7"/>
  <c r="L10" i="7" s="1"/>
  <c r="J11" i="7"/>
  <c r="L11" i="7" s="1"/>
  <c r="J36" i="7"/>
  <c r="L36" i="7" s="1"/>
  <c r="J12" i="7"/>
  <c r="L12" i="7" s="1"/>
  <c r="J13" i="7"/>
  <c r="L13" i="7" s="1"/>
  <c r="J32" i="7"/>
  <c r="L32" i="7" s="1"/>
  <c r="J14" i="7"/>
  <c r="L14" i="7" s="1"/>
  <c r="J15" i="7"/>
  <c r="L15" i="7" s="1"/>
  <c r="J16" i="7"/>
  <c r="L16" i="7" s="1"/>
  <c r="J17" i="7"/>
  <c r="L17" i="7" s="1"/>
  <c r="J33" i="7"/>
  <c r="L33" i="7" s="1"/>
  <c r="J18" i="7"/>
  <c r="L18" i="7" s="1"/>
  <c r="J19" i="7"/>
  <c r="L19" i="7" s="1"/>
  <c r="J29" i="7"/>
  <c r="L29" i="7" s="1"/>
  <c r="J30" i="7"/>
  <c r="L30" i="7" s="1"/>
  <c r="J41" i="7"/>
  <c r="L41" i="7" s="1"/>
  <c r="J37" i="7"/>
  <c r="L37" i="7" s="1"/>
  <c r="J48" i="7"/>
  <c r="L48" i="7" s="1"/>
  <c r="J38" i="7"/>
  <c r="L38" i="7" s="1"/>
  <c r="C8" i="12" s="1"/>
  <c r="J40" i="7"/>
  <c r="L40" i="7" s="1"/>
  <c r="J39" i="7"/>
  <c r="L39" i="7" s="1"/>
  <c r="J42" i="7"/>
  <c r="L42" i="7" s="1"/>
  <c r="J43" i="7"/>
  <c r="L43" i="7" s="1"/>
  <c r="J44" i="7"/>
  <c r="L44" i="7" s="1"/>
  <c r="J59" i="7"/>
  <c r="L59" i="7" s="1"/>
  <c r="J34" i="4"/>
  <c r="L34" i="4" s="1"/>
  <c r="J13" i="4"/>
  <c r="L13" i="4" s="1"/>
  <c r="J8" i="4"/>
  <c r="L8" i="4" s="1"/>
  <c r="J9" i="4"/>
  <c r="L9" i="4" s="1"/>
  <c r="J10" i="4"/>
  <c r="L10" i="4" s="1"/>
  <c r="J11" i="4"/>
  <c r="L11" i="4" s="1"/>
  <c r="J12" i="4"/>
  <c r="L12" i="4" s="1"/>
  <c r="J16" i="4"/>
  <c r="L16" i="4" s="1"/>
  <c r="J18" i="4"/>
  <c r="L18" i="4" s="1"/>
  <c r="J19" i="4"/>
  <c r="L19" i="4" s="1"/>
  <c r="B26" i="12" s="1"/>
  <c r="J35" i="4"/>
  <c r="L35" i="4" s="1"/>
  <c r="J15" i="4"/>
  <c r="L15" i="4" s="1"/>
  <c r="J4" i="4"/>
  <c r="L4" i="4" s="1"/>
  <c r="J24" i="4"/>
  <c r="L24" i="4" s="1"/>
  <c r="J14" i="4"/>
  <c r="L14" i="4" s="1"/>
  <c r="J28" i="4"/>
  <c r="L28" i="4" s="1"/>
  <c r="J7" i="4"/>
  <c r="L7" i="4" s="1"/>
  <c r="B9" i="12" s="1"/>
  <c r="J32" i="11" l="1"/>
  <c r="J33" i="11"/>
  <c r="J34" i="11"/>
  <c r="H24" i="11"/>
  <c r="J24" i="11" s="1"/>
  <c r="H25" i="11"/>
  <c r="J25" i="11" s="1"/>
  <c r="H26" i="11"/>
  <c r="J26" i="11" s="1"/>
  <c r="H27" i="11"/>
  <c r="J27" i="11" s="1"/>
  <c r="H28" i="11"/>
  <c r="J28" i="11" s="1"/>
  <c r="H29" i="11"/>
  <c r="J29" i="11" s="1"/>
  <c r="H30" i="11"/>
  <c r="J30" i="11" s="1"/>
  <c r="H31" i="11"/>
  <c r="J31" i="11" s="1"/>
  <c r="H32" i="11"/>
  <c r="H33" i="11"/>
  <c r="H34" i="11"/>
  <c r="J17" i="11"/>
  <c r="J18" i="11"/>
  <c r="J19" i="11"/>
  <c r="H3" i="11"/>
  <c r="J3" i="11" s="1"/>
  <c r="H4" i="11"/>
  <c r="J4" i="11" s="1"/>
  <c r="H5" i="11"/>
  <c r="J5" i="11" s="1"/>
  <c r="H6" i="11"/>
  <c r="J6" i="11" s="1"/>
  <c r="H7" i="11"/>
  <c r="J7" i="11" s="1"/>
  <c r="H8" i="11"/>
  <c r="J8" i="11" s="1"/>
  <c r="H9" i="11"/>
  <c r="J9" i="11" s="1"/>
  <c r="H10" i="11"/>
  <c r="J10" i="11" s="1"/>
  <c r="H11" i="11"/>
  <c r="J11" i="11" s="1"/>
  <c r="H12" i="11"/>
  <c r="J12" i="11" s="1"/>
  <c r="H13" i="11"/>
  <c r="J13" i="11" s="1"/>
  <c r="H14" i="11"/>
  <c r="J14" i="11" s="1"/>
  <c r="H15" i="11"/>
  <c r="J15" i="11" s="1"/>
  <c r="H16" i="11"/>
  <c r="J16" i="11" s="1"/>
  <c r="H17" i="11"/>
  <c r="H18" i="11"/>
  <c r="H19" i="11"/>
  <c r="H20" i="11"/>
  <c r="J20" i="11" s="1"/>
  <c r="H21" i="11"/>
  <c r="J21" i="11" s="1"/>
  <c r="H22" i="11"/>
  <c r="J22" i="11" s="1"/>
  <c r="H23" i="11"/>
  <c r="J23" i="11" s="1"/>
  <c r="L26" i="9"/>
  <c r="L25" i="9"/>
  <c r="J26" i="9"/>
  <c r="J25" i="9"/>
  <c r="J27" i="9"/>
  <c r="L27" i="9" s="1"/>
  <c r="J28" i="9"/>
  <c r="L28" i="9" s="1"/>
  <c r="J30" i="9"/>
  <c r="L30" i="9" s="1"/>
  <c r="J22" i="9"/>
  <c r="L22" i="9" s="1"/>
  <c r="J33" i="9"/>
  <c r="L33" i="9" s="1"/>
  <c r="J24" i="9"/>
  <c r="L24" i="9" s="1"/>
  <c r="J23" i="9"/>
  <c r="L23" i="9" s="1"/>
  <c r="J34" i="9"/>
  <c r="L34" i="9" s="1"/>
  <c r="J35" i="9"/>
  <c r="L35" i="9" s="1"/>
  <c r="J32" i="9"/>
  <c r="L32" i="9" s="1"/>
  <c r="J12" i="8"/>
  <c r="L12" i="8" s="1"/>
  <c r="J13" i="8"/>
  <c r="L13" i="8" s="1"/>
  <c r="J2" i="8"/>
  <c r="L2" i="8" s="1"/>
  <c r="J19" i="8"/>
  <c r="L19" i="8" s="1"/>
  <c r="J9" i="8"/>
  <c r="L9" i="8" s="1"/>
  <c r="J16" i="8"/>
  <c r="L16" i="8" s="1"/>
  <c r="J17" i="8"/>
  <c r="L17" i="8" s="1"/>
  <c r="J6" i="8"/>
  <c r="L6" i="8" s="1"/>
  <c r="J3" i="8"/>
  <c r="L3" i="8" s="1"/>
  <c r="J4" i="8"/>
  <c r="L4" i="8" s="1"/>
  <c r="J11" i="8"/>
  <c r="L11" i="8" s="1"/>
  <c r="J14" i="8"/>
  <c r="L14" i="8" s="1"/>
  <c r="B18" i="12" s="1"/>
  <c r="J15" i="8"/>
  <c r="L15" i="8" s="1"/>
  <c r="J18" i="8"/>
  <c r="L18" i="8" s="1"/>
  <c r="J24" i="8"/>
  <c r="L24" i="8" s="1"/>
  <c r="J25" i="8"/>
  <c r="L25" i="8" s="1"/>
  <c r="J20" i="8"/>
  <c r="L20" i="8" s="1"/>
  <c r="J26" i="8"/>
  <c r="L26" i="8" s="1"/>
  <c r="J28" i="8"/>
  <c r="L28" i="8" s="1"/>
  <c r="J23" i="8"/>
  <c r="L23" i="8" s="1"/>
  <c r="J21" i="8"/>
  <c r="L21" i="8" s="1"/>
  <c r="J22" i="8"/>
  <c r="L22" i="8" s="1"/>
  <c r="J27" i="8"/>
  <c r="L27" i="8" s="1"/>
  <c r="J45" i="7"/>
  <c r="L45" i="7" s="1"/>
  <c r="J46" i="7"/>
  <c r="L46" i="7" s="1"/>
  <c r="J52" i="7"/>
  <c r="L52" i="7" s="1"/>
  <c r="C30" i="12" s="1"/>
  <c r="J47" i="7"/>
  <c r="L47" i="7" s="1"/>
  <c r="J60" i="7"/>
  <c r="L60" i="7" s="1"/>
  <c r="J49" i="7"/>
  <c r="L49" i="7" s="1"/>
  <c r="J50" i="7"/>
  <c r="L50" i="7" s="1"/>
  <c r="J51" i="7"/>
  <c r="L51" i="7" s="1"/>
  <c r="J53" i="7"/>
  <c r="L53" i="7" s="1"/>
  <c r="J54" i="7"/>
  <c r="L54" i="7" s="1"/>
  <c r="J56" i="7"/>
  <c r="L56" i="7" s="1"/>
  <c r="J55" i="7"/>
  <c r="L55" i="7" s="1"/>
  <c r="C29" i="12" s="1"/>
  <c r="J57" i="7"/>
  <c r="L57" i="7" s="1"/>
  <c r="J58" i="7"/>
  <c r="L58" i="7" s="1"/>
  <c r="J21" i="6"/>
  <c r="L21" i="6" s="1"/>
  <c r="J22" i="6"/>
  <c r="L22" i="6" s="1"/>
  <c r="J23" i="6"/>
  <c r="L23" i="6" s="1"/>
  <c r="J10" i="6"/>
  <c r="L10" i="6" s="1"/>
  <c r="J11" i="6"/>
  <c r="L11" i="6" s="1"/>
  <c r="J12" i="6"/>
  <c r="L12" i="6" s="1"/>
  <c r="J15" i="6"/>
  <c r="J7" i="5"/>
  <c r="L7" i="5" s="1"/>
  <c r="J6" i="5"/>
  <c r="L6" i="5" s="1"/>
  <c r="J2" i="5"/>
  <c r="L2" i="5" s="1"/>
  <c r="J3" i="5"/>
  <c r="L3" i="5" s="1"/>
  <c r="J33" i="3"/>
  <c r="L33" i="3" s="1"/>
  <c r="J31" i="3"/>
  <c r="L31" i="3" s="1"/>
  <c r="L37" i="3"/>
  <c r="J36" i="3"/>
  <c r="L36" i="3" s="1"/>
  <c r="J27" i="3"/>
  <c r="L27" i="3" s="1"/>
  <c r="J43" i="3"/>
  <c r="L43" i="3" s="1"/>
  <c r="C25" i="12" s="1"/>
  <c r="J38" i="3"/>
  <c r="L38" i="3" s="1"/>
  <c r="J32" i="3"/>
  <c r="L32" i="3" s="1"/>
  <c r="J39" i="3"/>
  <c r="L39" i="3" s="1"/>
  <c r="J40" i="3"/>
  <c r="L40" i="3" s="1"/>
  <c r="J41" i="3"/>
  <c r="L41" i="3" s="1"/>
  <c r="J35" i="3"/>
  <c r="L35" i="3" s="1"/>
  <c r="C31" i="12" s="1"/>
  <c r="J44" i="3"/>
  <c r="L44" i="3" s="1"/>
  <c r="J30" i="3"/>
  <c r="L30" i="3" s="1"/>
  <c r="J29" i="3"/>
  <c r="L29" i="3" s="1"/>
  <c r="J28" i="3"/>
  <c r="L28" i="3" s="1"/>
  <c r="J34" i="3"/>
  <c r="L34" i="3" s="1"/>
  <c r="J42" i="3"/>
  <c r="L42" i="3" s="1"/>
  <c r="C20" i="12" l="1"/>
  <c r="C15" i="12"/>
  <c r="C17" i="12"/>
  <c r="C12" i="12"/>
  <c r="C18" i="12"/>
  <c r="C23" i="12"/>
  <c r="C24" i="12"/>
  <c r="C16" i="12"/>
  <c r="C10" i="12"/>
  <c r="J12" i="9"/>
  <c r="L12" i="9" s="1"/>
  <c r="J8" i="9"/>
  <c r="L8" i="9" s="1"/>
  <c r="J10" i="9"/>
  <c r="L10" i="9" s="1"/>
  <c r="J9" i="9"/>
  <c r="L9" i="9" s="1"/>
  <c r="J15" i="9"/>
  <c r="L15" i="9" s="1"/>
  <c r="J16" i="9"/>
  <c r="L16" i="9" s="1"/>
  <c r="J18" i="9"/>
  <c r="L18" i="9" s="1"/>
  <c r="J6" i="9"/>
  <c r="L6" i="9" s="1"/>
  <c r="J4" i="9"/>
  <c r="L4" i="9" s="1"/>
  <c r="J3" i="9"/>
  <c r="L3" i="9" s="1"/>
  <c r="J14" i="9"/>
  <c r="L14" i="9" s="1"/>
  <c r="B20" i="12" s="1"/>
  <c r="J19" i="9"/>
  <c r="L19" i="9" s="1"/>
  <c r="J13" i="9"/>
  <c r="L13" i="9" s="1"/>
  <c r="J11" i="9"/>
  <c r="L11" i="9" s="1"/>
  <c r="J20" i="9"/>
  <c r="L20" i="9" s="1"/>
  <c r="J5" i="9"/>
  <c r="L5" i="9" s="1"/>
  <c r="J17" i="9"/>
  <c r="L17" i="9" s="1"/>
  <c r="B27" i="12" s="1"/>
  <c r="J2" i="9"/>
  <c r="J21" i="9"/>
  <c r="J7" i="9"/>
  <c r="J5" i="8"/>
  <c r="L5" i="8" s="1"/>
  <c r="J3" i="7"/>
  <c r="L3" i="7" s="1"/>
  <c r="B4" i="12" s="1"/>
  <c r="L31" i="7"/>
  <c r="L4" i="7"/>
  <c r="J7" i="6"/>
  <c r="L7" i="6" s="1"/>
  <c r="J8" i="6"/>
  <c r="L8" i="6" s="1"/>
  <c r="J9" i="6"/>
  <c r="L9" i="6" s="1"/>
  <c r="J16" i="6"/>
  <c r="L16" i="6" s="1"/>
  <c r="C13" i="12" s="1"/>
  <c r="J17" i="6"/>
  <c r="L17" i="6" s="1"/>
  <c r="C14" i="12" s="1"/>
  <c r="J18" i="6"/>
  <c r="L18" i="6" s="1"/>
  <c r="C19" i="12" s="1"/>
  <c r="J19" i="6"/>
  <c r="L19" i="6" s="1"/>
  <c r="C6" i="12" s="1"/>
  <c r="J20" i="6"/>
  <c r="L20" i="6" s="1"/>
  <c r="C11" i="12" s="1"/>
  <c r="J2" i="4"/>
  <c r="L2" i="4" s="1"/>
  <c r="J33" i="4"/>
  <c r="L33" i="4" s="1"/>
  <c r="J5" i="4"/>
  <c r="L5" i="4" s="1"/>
  <c r="J6" i="4"/>
  <c r="L6" i="4" s="1"/>
  <c r="J3" i="6"/>
  <c r="L3" i="6" s="1"/>
  <c r="J10" i="3"/>
  <c r="J11" i="3"/>
  <c r="J18" i="3"/>
  <c r="J19" i="3"/>
  <c r="J20" i="3"/>
  <c r="J13" i="3"/>
  <c r="J6" i="3"/>
  <c r="J4" i="3"/>
  <c r="B24" i="12" l="1"/>
  <c r="D4" i="12"/>
  <c r="D30" i="12"/>
  <c r="D28" i="12"/>
  <c r="D9" i="12"/>
  <c r="D7" i="12"/>
  <c r="D5" i="12"/>
  <c r="D29" i="12"/>
  <c r="J4" i="6"/>
  <c r="L4" i="6" s="1"/>
  <c r="B19" i="12" s="1"/>
  <c r="J5" i="6"/>
  <c r="L5" i="6" s="1"/>
  <c r="J6" i="6"/>
  <c r="L6" i="6" s="1"/>
  <c r="H2" i="11"/>
  <c r="J2" i="11" s="1"/>
  <c r="J10" i="8"/>
  <c r="L10" i="8" s="1"/>
  <c r="J9" i="3"/>
  <c r="L9" i="3" s="1"/>
  <c r="B14" i="12" s="1"/>
  <c r="L10" i="3"/>
  <c r="L11" i="3"/>
  <c r="B15" i="12" s="1"/>
  <c r="D3" i="12"/>
  <c r="L8" i="10"/>
  <c r="L21" i="9"/>
  <c r="L2" i="9"/>
  <c r="L7" i="9"/>
  <c r="J8" i="8"/>
  <c r="L8" i="8" s="1"/>
  <c r="J2" i="7"/>
  <c r="L2" i="7" s="1"/>
  <c r="J2" i="6"/>
  <c r="L2" i="6" s="1"/>
  <c r="J5" i="5"/>
  <c r="L5" i="5" s="1"/>
  <c r="C22" i="12" s="1"/>
  <c r="J4" i="5"/>
  <c r="L4" i="5" s="1"/>
  <c r="C21" i="12" s="1"/>
  <c r="D26" i="12"/>
  <c r="J3" i="4"/>
  <c r="L3" i="4" s="1"/>
  <c r="B2" i="12" s="1"/>
  <c r="L5" i="3"/>
  <c r="B10" i="12" s="1"/>
  <c r="L12" i="3"/>
  <c r="B16" i="12" s="1"/>
  <c r="L4" i="3"/>
  <c r="B8" i="12" s="1"/>
  <c r="L6" i="3"/>
  <c r="B11" i="12" s="1"/>
  <c r="L13" i="3"/>
  <c r="B31" i="12" s="1"/>
  <c r="L20" i="3"/>
  <c r="B23" i="12" s="1"/>
  <c r="L19" i="3"/>
  <c r="B22" i="12" s="1"/>
  <c r="L18" i="3"/>
  <c r="B21" i="12" s="1"/>
  <c r="J22" i="3"/>
  <c r="L22" i="3" s="1"/>
  <c r="J3" i="3"/>
  <c r="L3" i="3" s="1"/>
  <c r="B6" i="12" s="1"/>
  <c r="J14" i="3"/>
  <c r="L14" i="3" s="1"/>
  <c r="B17" i="12" s="1"/>
  <c r="J7" i="3"/>
  <c r="L7" i="3" s="1"/>
  <c r="B12" i="12" s="1"/>
  <c r="J8" i="3"/>
  <c r="L8" i="3" s="1"/>
  <c r="B25" i="12" l="1"/>
  <c r="B13" i="12"/>
  <c r="D27" i="12"/>
  <c r="D2" i="12"/>
  <c r="D31" i="12"/>
  <c r="D8" i="12"/>
  <c r="N8" i="3"/>
  <c r="O8" i="3"/>
  <c r="D23" i="12" l="1"/>
  <c r="D14" i="12"/>
  <c r="D19" i="12"/>
  <c r="D13" i="12"/>
  <c r="D15" i="12"/>
  <c r="D21" i="12"/>
  <c r="D12" i="12"/>
  <c r="D10" i="12"/>
  <c r="D11" i="12"/>
  <c r="D22" i="12"/>
  <c r="D16" i="12"/>
  <c r="D17" i="12"/>
  <c r="D25" i="12"/>
  <c r="D24" i="12"/>
  <c r="D18" i="12"/>
  <c r="D6" i="12"/>
  <c r="D20" i="12"/>
</calcChain>
</file>

<file path=xl/sharedStrings.xml><?xml version="1.0" encoding="utf-8"?>
<sst xmlns="http://schemas.openxmlformats.org/spreadsheetml/2006/main" count="1309" uniqueCount="126">
  <si>
    <t>Items</t>
  </si>
  <si>
    <t>Import Location</t>
  </si>
  <si>
    <t>1700 Ton</t>
  </si>
  <si>
    <t>1700 hh</t>
  </si>
  <si>
    <t>1700 quarter</t>
  </si>
  <si>
    <t>1700 Stone/lb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</si>
  <si>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</si>
  <si>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</si>
  <si>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</si>
  <si>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</si>
  <si>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</si>
  <si>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</si>
  <si>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</si>
  <si>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Chocolate</t>
  </si>
  <si>
    <t>1700 lb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</si>
  <si>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</si>
  <si>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</si>
  <si>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</si>
  <si>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</si>
  <si>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</si>
  <si>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</si>
  <si>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</si>
  <si>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</si>
  <si>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</si>
  <si>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</si>
  <si>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</si>
  <si>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</si>
  <si>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</si>
  <si>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</si>
  <si>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</si>
  <si>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</si>
  <si>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</si>
  <si>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Pimento</t>
  </si>
  <si>
    <t>Total Not Sugar</t>
  </si>
  <si>
    <t>Total Sugar</t>
  </si>
  <si>
    <t>Lignum Vitae</t>
  </si>
  <si>
    <t>Succands</t>
  </si>
  <si>
    <t>Pickles</t>
  </si>
  <si>
    <t>Snuff</t>
  </si>
  <si>
    <t>Lemon Water</t>
  </si>
  <si>
    <t>Cocoa Nuts</t>
  </si>
  <si>
    <t>Bayberries</t>
  </si>
  <si>
    <t>Not Sugar</t>
  </si>
  <si>
    <t>Sugar</t>
  </si>
  <si>
    <t>Tea</t>
  </si>
  <si>
    <t>Item</t>
  </si>
  <si>
    <t>Total London</t>
  </si>
  <si>
    <t>Total Outports</t>
  </si>
  <si>
    <t>Total</t>
  </si>
  <si>
    <t>Bees Wax</t>
  </si>
  <si>
    <t>Brandy</t>
  </si>
  <si>
    <t>Cascarilla</t>
  </si>
  <si>
    <t>Muscavado Sugar</t>
  </si>
  <si>
    <t>Sasparilla</t>
  </si>
  <si>
    <t>Aloes Epatica</t>
  </si>
  <si>
    <t>ton</t>
  </si>
  <si>
    <t>hh</t>
  </si>
  <si>
    <t>quarter</t>
  </si>
  <si>
    <t>lb</t>
  </si>
  <si>
    <t>Green Ginger</t>
  </si>
  <si>
    <t>Hemp</t>
  </si>
  <si>
    <t>Barrel Staves</t>
  </si>
  <si>
    <t>Cocoa Paste</t>
  </si>
  <si>
    <t>Braziletto Wood</t>
  </si>
  <si>
    <t>Logwood</t>
  </si>
  <si>
    <t>Fustick Wood</t>
  </si>
  <si>
    <t>Wool Vigonia</t>
  </si>
  <si>
    <t>Jamaica Roots</t>
  </si>
  <si>
    <t>Cocoa Wood</t>
  </si>
  <si>
    <t>Cortex Winteranus</t>
  </si>
  <si>
    <t>Turpentine Common</t>
  </si>
  <si>
    <t>Cocoa</t>
  </si>
  <si>
    <t>Hops</t>
  </si>
  <si>
    <t>Cocheneal</t>
  </si>
  <si>
    <t>107g</t>
  </si>
  <si>
    <t>10872g</t>
  </si>
  <si>
    <t>62g</t>
  </si>
  <si>
    <t>1175g</t>
  </si>
  <si>
    <t>1044g</t>
  </si>
  <si>
    <t>2560N</t>
  </si>
  <si>
    <t>521 Bags</t>
  </si>
  <si>
    <t>4901g</t>
  </si>
  <si>
    <t>21439.5g</t>
  </si>
  <si>
    <t>1323g</t>
  </si>
  <si>
    <t>952g</t>
  </si>
  <si>
    <t>28 bags</t>
  </si>
  <si>
    <t>102g</t>
  </si>
  <si>
    <t>1965 Bags</t>
  </si>
  <si>
    <t>8306g</t>
  </si>
  <si>
    <t>25853g</t>
  </si>
  <si>
    <t>11946g</t>
  </si>
  <si>
    <t>3290g</t>
  </si>
  <si>
    <t>47 Bags</t>
  </si>
  <si>
    <t>1071g</t>
  </si>
  <si>
    <t>185g</t>
  </si>
  <si>
    <t>210g</t>
  </si>
  <si>
    <t>69 Bags</t>
  </si>
  <si>
    <t>490g</t>
  </si>
  <si>
    <t>320g</t>
  </si>
  <si>
    <t>290 Bags</t>
  </si>
  <si>
    <t>30 g</t>
  </si>
  <si>
    <t>2211 g</t>
  </si>
  <si>
    <t>Tortoise Shells</t>
  </si>
  <si>
    <t>Swedish Iron</t>
  </si>
  <si>
    <t>14.5g</t>
  </si>
  <si>
    <t>YEAR</t>
  </si>
  <si>
    <t>COMMODITY_NAME</t>
  </si>
  <si>
    <t>FROM_LOCATION</t>
  </si>
  <si>
    <t>TO_LOCATION</t>
  </si>
  <si>
    <t>Antigua</t>
  </si>
  <si>
    <t>Barbados</t>
  </si>
  <si>
    <t>WEIGHT</t>
  </si>
  <si>
    <t>Bermuda</t>
  </si>
  <si>
    <t>Carolina</t>
  </si>
  <si>
    <t>Wood, Braziletto</t>
  </si>
  <si>
    <t>Wood, Fustick</t>
  </si>
  <si>
    <t>Wood, Nicaragua</t>
  </si>
  <si>
    <t>Wood, Redwood</t>
  </si>
  <si>
    <t>Wood, Logwood</t>
  </si>
  <si>
    <t>Jamaica</t>
  </si>
  <si>
    <t>Wood, Fustick Wood</t>
  </si>
  <si>
    <t>Wood, Sweetwood</t>
  </si>
  <si>
    <t>Mountserat</t>
  </si>
  <si>
    <t>Nevis</t>
  </si>
  <si>
    <t>StKitts</t>
  </si>
  <si>
    <t>GeneralWI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</si>
</sst>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dimension ref="A1:D31"/>
  <sheetViews>
    <sheetView tabSelected="1" workbookViewId="0">
      <selection activeCell="D11" sqref="D1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t="s">
        <v>26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SUMIFS(NewEngland!$J:$J, NewEngland!$A:$A, $A2, NewEngland!$B:$B, "London") + SUMIFS(StKitts!$L:$L, StKitts!$B:$B, $A2, StKitts!$D:$D, "London") + SUMIFS(GeneralWI!$L:$L, GeneralWI!$B:$B, $A2, GeneralWI!$D:$D, "London")</f>
        <v>6.4245535714285715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SUMIFS(NewEngland!$J:$J, NewEngland!$A:$A, $A2, NewEngland!$B:$B, "Out Ports") + SUMIFS(StKitts!$L:$L, StKitts!$B:$B, $A2, StKitts!$D:$D, "Out Ports") + SUMIFS(GeneralWI!$L:$L, GeneralWI!$B:$B, $A2, GeneralWI!$D:$D, "Out Ports")</f>
        <v>0.21116071428571428</v>
      </c>
      <c r="D2">
        <f>ROUND((B2+C2),2)</f>
        <v>6.64</v>
      </c>
    </row>
    <row r="3" spans="1:4" x14ac:dyDescent="0.25">
      <c r="A3" t="s">
        <v>31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SUMIFS(NewEngland!$J:$J, NewEngland!$A:$A, $A3, NewEngland!$B:$B, "London") + SUMIFS(StKitts!$L:$L, StKitts!$B:$B, $A3, StKitts!$D:$D, "London") + SUMIFS(GeneralWI!$L:$L, GeneralWI!$B:$B, $A3, GeneralWI!$D:$D,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SUMIFS(NewEngland!$J:$J, NewEngland!$A:$A, $A3, NewEngland!$B:$B, "Out Ports") + SUMIFS(StKitts!$L:$L, StKitts!$B:$B, $A3, StKitts!$D:$D, "Out Ports") + SUMIFS(GeneralWI!$L:$L, GeneralWI!$B:$B, $A3, GeneralWI!$D:$D, "Out Ports")</f>
        <v>0</v>
      </c>
      <c r="D3">
        <f t="shared" ref="D3:D31" si="0">ROUND((B3+C3),2)</f>
        <v>0</v>
      </c>
    </row>
    <row r="4" spans="1:4" x14ac:dyDescent="0.25">
      <c r="A4" t="s">
        <v>49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SUMIFS(NewEngland!$J:$J, NewEngland!$A:$A, $A4, NewEngland!$B:$B, "London") + SUMIFS(StKitts!$L:$L, StKitts!$B:$B, $A4, StKitts!$D:$D, "London") + SUMIFS(GeneralWI!$L:$L, GeneralWI!$B:$B, $A4, GeneralWI!$D:$D, "London")</f>
        <v>0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SUMIFS(NewEngland!$J:$J, NewEngland!$A:$A, $A4, NewEngland!$B:$B, "Out Ports") + SUMIFS(StKitts!$L:$L, StKitts!$B:$B, $A4, StKitts!$D:$D, "Out Ports") + SUMIFS(GeneralWI!$L:$L, GeneralWI!$B:$B, $A4, GeneralWI!$D:$D, "Out Ports")</f>
        <v>0</v>
      </c>
      <c r="D4">
        <f t="shared" si="0"/>
        <v>0</v>
      </c>
    </row>
    <row r="5" spans="1:4" x14ac:dyDescent="0.25">
      <c r="A5" t="s">
        <v>50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SUMIFS(NewEngland!$J:$J, NewEngland!$A:$A, $A5, NewEngland!$B:$B, "London") + SUMIFS(StKitts!$L:$L, StKitts!$B:$B, $A5, StKitts!$D:$D, "London") + SUMIFS(GeneralWI!$L:$L, GeneralWI!$B:$B, $A5, GeneralWI!$D:$D,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SUMIFS(NewEngland!$J:$J, NewEngland!$A:$A, $A5, NewEngland!$B:$B, "Out Ports") + SUMIFS(StKitts!$L:$L, StKitts!$B:$B, $A5, StKitts!$D:$D, "Out Ports") + SUMIFS(GeneralWI!$L:$L, GeneralWI!$B:$B, $A5, GeneralWI!$D:$D, "Out Ports")</f>
        <v>0</v>
      </c>
      <c r="D5">
        <f t="shared" si="0"/>
        <v>0</v>
      </c>
    </row>
    <row r="6" spans="1:4" x14ac:dyDescent="0.25">
      <c r="A6" t="s">
        <v>17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SUMIFS(NewEngland!$J:$J, NewEngland!$A:$A, $A6, NewEngland!$B:$B, "London") + SUMIFS(StKitts!$L:$L, StKitts!$B:$B, $A6, StKitts!$D:$D, "London") + SUMIFS(GeneralWI!$L:$L, GeneralWI!$B:$B, $A6, GeneralWI!$D:$D, "London")</f>
        <v>27283.554464285713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SUMIFS(NewEngland!$J:$J, NewEngland!$A:$A, $A6, NewEngland!$B:$B, "Out Ports") + SUMIFS(StKitts!$L:$L, StKitts!$B:$B, $A6, StKitts!$D:$D, "Out Ports") + SUMIFS(GeneralWI!$L:$L, GeneralWI!$B:$B, $A6, GeneralWI!$D:$D, "Out Ports")</f>
        <v>7702.0477678571424</v>
      </c>
      <c r="D6">
        <f t="shared" si="0"/>
        <v>34985.599999999999</v>
      </c>
    </row>
    <row r="7" spans="1:4" x14ac:dyDescent="0.25">
      <c r="A7" t="s">
        <v>51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SUMIFS(NewEngland!$J:$J, NewEngland!$A:$A, $A7, NewEngland!$B:$B, "London") + SUMIFS(StKitts!$L:$L, StKitts!$B:$B, $A7, StKitts!$D:$D, "London") + SUMIFS(GeneralWI!$L:$L, GeneralWI!$B:$B, $A7, GeneralWI!$D:$D, "London")</f>
        <v>1.3151785714285715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SUMIFS(NewEngland!$J:$J, NewEngland!$A:$A, $A7, NewEngland!$B:$B, "Out Ports") + SUMIFS(StKitts!$L:$L, StKitts!$B:$B, $A7, StKitts!$D:$D, "Out Ports") + SUMIFS(GeneralWI!$L:$L, GeneralWI!$B:$B, $A7, GeneralWI!$D:$D, "Out Ports")</f>
        <v>0</v>
      </c>
      <c r="D7">
        <f t="shared" si="0"/>
        <v>1.32</v>
      </c>
    </row>
    <row r="8" spans="1:4" x14ac:dyDescent="0.25">
      <c r="A8" t="s">
        <v>13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SUMIFS(NewEngland!$J:$J, NewEngland!$A:$A, $A8, NewEngland!$B:$B, "London") + SUMIFS(StKitts!$L:$L, StKitts!$B:$B, $A8, StKitts!$D:$D, "London") + SUMIFS(GeneralWI!$L:$L, GeneralWI!$B:$B, $A8, GeneralWI!$D:$D, "London")</f>
        <v>2.4107142857142855E-2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SUMIFS(NewEngland!$J:$J, NewEngland!$A:$A, $A8, NewEngland!$B:$B, "Out Ports") + SUMIFS(StKitts!$L:$L, StKitts!$B:$B, $A8, StKitts!$D:$D, "Out Ports") + SUMIFS(GeneralWI!$L:$L, GeneralWI!$B:$B, $A8, GeneralWI!$D:$D, "Out Ports")</f>
        <v>2.5000000000000001E-2</v>
      </c>
      <c r="D8">
        <f t="shared" si="0"/>
        <v>0.05</v>
      </c>
    </row>
    <row r="9" spans="1:4" x14ac:dyDescent="0.25">
      <c r="A9" t="s">
        <v>73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SUMIFS(NewEngland!$J:$J, NewEngland!$A:$A, $A9, NewEngland!$B:$B, "London") + SUMIFS(StKitts!$L:$L, StKitts!$B:$B, $A9, StKitts!$D:$D, "London") + SUMIFS(GeneralWI!$L:$L, GeneralWI!$B:$B, $A9, GeneralWI!$D:$D, "London")</f>
        <v>0.17098214285714286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SUMIFS(NewEngland!$J:$J, NewEngland!$A:$A, $A9, NewEngland!$B:$B, "Out Ports") + SUMIFS(StKitts!$L:$L, StKitts!$B:$B, $A9, StKitts!$D:$D, "Out Ports") + SUMIFS(GeneralWI!$L:$L, GeneralWI!$B:$B, $A9, GeneralWI!$D:$D, "Out Ports")</f>
        <v>0</v>
      </c>
      <c r="D9">
        <f t="shared" si="0"/>
        <v>0.17</v>
      </c>
    </row>
    <row r="10" spans="1:4" x14ac:dyDescent="0.25">
      <c r="A10" t="s">
        <v>40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SUMIFS(NewEngland!$J:$J, NewEngland!$A:$A, $A10, NewEngland!$B:$B, "London") + SUMIFS(StKitts!$L:$L, StKitts!$B:$B, $A10, StKitts!$D:$D, "London") + SUMIFS(GeneralWI!$L:$L, GeneralWI!$B:$B, $A10, GeneralWI!$D:$D, "London")</f>
        <v>14.854464285714286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SUMIFS(NewEngland!$J:$J, NewEngland!$A:$A, $A10, NewEngland!$B:$B, "Out Ports") + SUMIFS(StKitts!$L:$L, StKitts!$B:$B, $A10, StKitts!$D:$D, "Out Ports") + SUMIFS(GeneralWI!$L:$L, GeneralWI!$B:$B, $A10, GeneralWI!$D:$D, "Out Ports")</f>
        <v>3.7633928571428568</v>
      </c>
      <c r="D10">
        <f t="shared" si="0"/>
        <v>18.62</v>
      </c>
    </row>
    <row r="11" spans="1:4" x14ac:dyDescent="0.25">
      <c r="A11" t="s">
        <v>10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SUMIFS(NewEngland!$J:$J, NewEngland!$A:$A, $A11, NewEngland!$B:$B, "London") + SUMIFS(StKitts!$L:$L, StKitts!$B:$B, $A11, StKitts!$D:$D, "London") + SUMIFS(GeneralWI!$L:$L, GeneralWI!$B:$B, $A11, GeneralWI!$D:$D, "London")</f>
        <v>360.44642857142856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SUMIFS(NewEngland!$J:$J, NewEngland!$A:$A, $A11, NewEngland!$B:$B, "Out Ports") + SUMIFS(StKitts!$L:$L, StKitts!$B:$B, $A11, StKitts!$D:$D, "Out Ports") + SUMIFS(GeneralWI!$L:$L, GeneralWI!$B:$B, $A11, GeneralWI!$D:$D, "Out Ports")</f>
        <v>317.49642857142851</v>
      </c>
      <c r="D11">
        <f t="shared" si="0"/>
        <v>677.94</v>
      </c>
    </row>
    <row r="12" spans="1:4" x14ac:dyDescent="0.25">
      <c r="A12" t="s">
        <v>15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SUMIFS(NewEngland!$J:$J, NewEngland!$A:$A, $A12, NewEngland!$B:$B, "London") + SUMIFS(StKitts!$L:$L, StKitts!$B:$B, $A12, StKitts!$D:$D, "London") + SUMIFS(GeneralWI!$L:$L, GeneralWI!$B:$B, $A12, GeneralWI!$D:$D, "London")</f>
        <v>1018.805357142857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SUMIFS(NewEngland!$J:$J, NewEngland!$A:$A, $A12, NewEngland!$B:$B, "Out Ports") + SUMIFS(StKitts!$L:$L, StKitts!$B:$B, $A12, StKitts!$D:$D, "Out Ports") + SUMIFS(GeneralWI!$L:$L, GeneralWI!$B:$B, $A12, GeneralWI!$D:$D, "Out Ports")</f>
        <v>226.59866071428573</v>
      </c>
      <c r="D12">
        <f t="shared" si="0"/>
        <v>1245.4000000000001</v>
      </c>
    </row>
    <row r="13" spans="1:4" x14ac:dyDescent="0.25">
      <c r="A13" t="s">
        <v>25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SUMIFS(NewEngland!$J:$J, NewEngland!$A:$A, $A13, NewEngland!$B:$B, "London") + SUMIFS(StKitts!$L:$L, StKitts!$B:$B, $A13, StKitts!$D:$D, "London") + SUMIFS(GeneralWI!$L:$L, GeneralWI!$B:$B, $A13, GeneralWI!$D:$D, "London")</f>
        <v>47.051785714285707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SUMIFS(NewEngland!$J:$J, NewEngland!$A:$A, $A13, NewEngland!$B:$B, "Out Ports") + SUMIFS(StKitts!$L:$L, StKitts!$B:$B, $A13, StKitts!$D:$D, "Out Ports") + SUMIFS(GeneralWI!$L:$L, GeneralWI!$B:$B, $A13, GeneralWI!$D:$D, "Out Ports")</f>
        <v>14.426785714285714</v>
      </c>
      <c r="D13">
        <f t="shared" si="0"/>
        <v>61.48</v>
      </c>
    </row>
    <row r="14" spans="1:4" x14ac:dyDescent="0.25">
      <c r="A14" t="s">
        <v>9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SUMIFS(NewEngland!$J:$J, NewEngland!$A:$A, $A14, NewEngland!$B:$B, "London") + SUMIFS(StKitts!$L:$L, StKitts!$B:$B, $A14, StKitts!$D:$D, "London") + SUMIFS(GeneralWI!$L:$L, GeneralWI!$B:$B, $A14, GeneralWI!$D:$D, "London")</f>
        <v>74.423660714285703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SUMIFS(NewEngland!$J:$J, NewEngland!$A:$A, $A14, NewEngland!$B:$B, "Out Ports") + SUMIFS(StKitts!$L:$L, StKitts!$B:$B, $A14, StKitts!$D:$D, "Out Ports") + SUMIFS(GeneralWI!$L:$L, GeneralWI!$B:$B, $A14, GeneralWI!$D:$D, "Out Ports")</f>
        <v>37.400892857142857</v>
      </c>
      <c r="D14">
        <f t="shared" si="0"/>
        <v>111.82</v>
      </c>
    </row>
    <row r="15" spans="1:4" x14ac:dyDescent="0.25">
      <c r="A15" t="s">
        <v>35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SUMIFS(NewEngland!$J:$J, NewEngland!$A:$A, $A15, NewEngland!$B:$B, "London") + SUMIFS(StKitts!$L:$L, StKitts!$B:$B, $A15, StKitts!$D:$D, "London") + SUMIFS(GeneralWI!$L:$L, GeneralWI!$B:$B, $A15, GeneralWI!$D:$D, "London")</f>
        <v>8.3638392857142865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SUMIFS(NewEngland!$J:$J, NewEngland!$A:$A, $A15, NewEngland!$B:$B, "Out Ports") + SUMIFS(StKitts!$L:$L, StKitts!$B:$B, $A15, StKitts!$D:$D, "Out Ports") + SUMIFS(GeneralWI!$L:$L, GeneralWI!$B:$B, $A15, GeneralWI!$D:$D, "Out Ports")</f>
        <v>26.732589285714283</v>
      </c>
      <c r="D15">
        <f t="shared" si="0"/>
        <v>35.1</v>
      </c>
    </row>
    <row r="16" spans="1:4" x14ac:dyDescent="0.25">
      <c r="A16" t="s">
        <v>21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SUMIFS(NewEngland!$J:$J, NewEngland!$A:$A, $A16, NewEngland!$B:$B, "London") + SUMIFS(StKitts!$L:$L, StKitts!$B:$B, $A16, StKitts!$D:$D, "London") + SUMIFS(GeneralWI!$L:$L, GeneralWI!$B:$B, $A16, GeneralWI!$D:$D, "London")</f>
        <v>60.118303571428577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SUMIFS(NewEngland!$J:$J, NewEngland!$A:$A, $A16, NewEngland!$B:$B, "Out Ports") + SUMIFS(StKitts!$L:$L, StKitts!$B:$B, $A16, StKitts!$D:$D, "Out Ports") + SUMIFS(GeneralWI!$L:$L, GeneralWI!$B:$B, $A16, GeneralWI!$D:$D, "Out Ports")</f>
        <v>65.912499999999994</v>
      </c>
      <c r="D16">
        <f t="shared" si="0"/>
        <v>126.03</v>
      </c>
    </row>
    <row r="17" spans="1:4" x14ac:dyDescent="0.25">
      <c r="A17" t="s">
        <v>16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SUMIFS(NewEngland!$J:$J, NewEngland!$A:$A, $A17, NewEngland!$B:$B, "London") + SUMIFS(StKitts!$L:$L, StKitts!$B:$B, $A17, StKitts!$D:$D, "London") + SUMIFS(GeneralWI!$L:$L, GeneralWI!$B:$B, $A17, GeneralWI!$D:$D, "London")</f>
        <v>0.13125000000000001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SUMIFS(NewEngland!$J:$J, NewEngland!$A:$A, $A17, NewEngland!$B:$B, "Out Ports") + SUMIFS(StKitts!$L:$L, StKitts!$B:$B, $A17, StKitts!$D:$D, "Out Ports") + SUMIFS(GeneralWI!$L:$L, GeneralWI!$B:$B, $A17, GeneralWI!$D:$D, "Out Ports")</f>
        <v>5.5</v>
      </c>
      <c r="D17">
        <f t="shared" si="0"/>
        <v>5.63</v>
      </c>
    </row>
    <row r="18" spans="1:4" x14ac:dyDescent="0.25">
      <c r="A18" t="s">
        <v>32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SUMIFS(NewEngland!$J:$J, NewEngland!$A:$A, $A18, NewEngland!$B:$B, "London") + SUMIFS(StKitts!$L:$L, StKitts!$B:$B, $A18, StKitts!$D:$D, "London") + SUMIFS(GeneralWI!$L:$L, GeneralWI!$B:$B, $A18, GeneralWI!$D:$D, "London")</f>
        <v>82.841071428571439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SUMIFS(NewEngland!$J:$J, NewEngland!$A:$A, $A18, NewEngland!$B:$B, "Out Ports") + SUMIFS(StKitts!$L:$L, StKitts!$B:$B, $A18, StKitts!$D:$D, "Out Ports") + SUMIFS(GeneralWI!$L:$L, GeneralWI!$B:$B, $A18, GeneralWI!$D:$D, "Out Ports")</f>
        <v>56.354910714285715</v>
      </c>
      <c r="D18">
        <f t="shared" si="0"/>
        <v>139.19999999999999</v>
      </c>
    </row>
    <row r="19" spans="1:4" x14ac:dyDescent="0.25">
      <c r="A19" t="s">
        <v>27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SUMIFS(NewEngland!$J:$J, NewEngland!$A:$A, $A19, NewEngland!$B:$B, "London") + SUMIFS(StKitts!$L:$L, StKitts!$B:$B, $A19, StKitts!$D:$D, "London") + SUMIFS(GeneralWI!$L:$L, GeneralWI!$B:$B, $A19, GeneralWI!$D:$D, "London")</f>
        <v>1443.628125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SUMIFS(NewEngland!$J:$J, NewEngland!$A:$A, $A19, NewEngland!$B:$B, "Out Ports") + SUMIFS(StKitts!$L:$L, StKitts!$B:$B, $A19, StKitts!$D:$D, "Out Ports") + SUMIFS(GeneralWI!$L:$L, GeneralWI!$B:$B, $A19, GeneralWI!$D:$D, "Out Ports")</f>
        <v>9.7125000000000004</v>
      </c>
      <c r="D19">
        <f t="shared" si="0"/>
        <v>1453.34</v>
      </c>
    </row>
    <row r="20" spans="1:4" x14ac:dyDescent="0.25">
      <c r="A20" t="s">
        <v>22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SUMIFS(NewEngland!$J:$J, NewEngland!$A:$A, $A20, NewEngland!$B:$B, "London") + SUMIFS(StKitts!$L:$L, StKitts!$B:$B, $A20, StKitts!$D:$D, "London") + SUMIFS(GeneralWI!$L:$L, GeneralWI!$B:$B, $A20, GeneralWI!$D:$D, "London")</f>
        <v>279.52098214285712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SUMIFS(NewEngland!$J:$J, NewEngland!$A:$A, $A20, NewEngland!$B:$B, "Out Ports") + SUMIFS(StKitts!$L:$L, StKitts!$B:$B, $A20, StKitts!$D:$D, "Out Ports") + SUMIFS(GeneralWI!$L:$L, GeneralWI!$B:$B, $A20, GeneralWI!$D:$D, "Out Ports")</f>
        <v>26.270089285714285</v>
      </c>
      <c r="D20">
        <f t="shared" si="0"/>
        <v>305.79000000000002</v>
      </c>
    </row>
    <row r="21" spans="1:4" x14ac:dyDescent="0.25">
      <c r="A21" t="s">
        <v>24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SUMIFS(NewEngland!$J:$J, NewEngland!$A:$A, $A21, NewEngland!$B:$B, "London") + SUMIFS(StKitts!$L:$L, StKitts!$B:$B, $A21, StKitts!$D:$D, "London") + SUMIFS(GeneralWI!$L:$L, GeneralWI!$B:$B, $A21, GeneralWI!$D:$D, "London")</f>
        <v>20.006249999999998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SUMIFS(NewEngland!$J:$J, NewEngland!$A:$A, $A21, NewEngland!$B:$B, "Out Ports") + SUMIFS(StKitts!$L:$L, StKitts!$B:$B, $A21, StKitts!$D:$D, "Out Ports") + SUMIFS(GeneralWI!$L:$L, GeneralWI!$B:$B, $A21, GeneralWI!$D:$D, "Out Ports")</f>
        <v>2.4714285714285715</v>
      </c>
      <c r="D21">
        <f t="shared" si="0"/>
        <v>22.48</v>
      </c>
    </row>
    <row r="22" spans="1:4" x14ac:dyDescent="0.25">
      <c r="A22" t="s">
        <v>36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SUMIFS(NewEngland!$J:$J, NewEngland!$A:$A, $A22, NewEngland!$B:$B, "London") + SUMIFS(StKitts!$L:$L, StKitts!$B:$B, $A22, StKitts!$D:$D, "London") + SUMIFS(GeneralWI!$L:$L, GeneralWI!$B:$B, $A22, GeneralWI!$D:$D, "London")</f>
        <v>1.4116071428571428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SUMIFS(NewEngland!$J:$J, NewEngland!$A:$A, $A22, NewEngland!$B:$B, "Out Ports") + SUMIFS(StKitts!$L:$L, StKitts!$B:$B, $A22, StKitts!$D:$D, "Out Ports") + SUMIFS(GeneralWI!$L:$L, GeneralWI!$B:$B, $A22, GeneralWI!$D:$D, "Out Ports")</f>
        <v>0.10044642857142856</v>
      </c>
      <c r="D22">
        <f t="shared" si="0"/>
        <v>1.51</v>
      </c>
    </row>
    <row r="23" spans="1:4" x14ac:dyDescent="0.25">
      <c r="A23" t="s">
        <v>20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SUMIFS(NewEngland!$J:$J, NewEngland!$A:$A, $A23, NewEngland!$B:$B, "London") + SUMIFS(StKitts!$L:$L, StKitts!$B:$B, $A23, StKitts!$D:$D, "London") + SUMIFS(GeneralWI!$L:$L, GeneralWI!$B:$B, $A23, GeneralWI!$D:$D, "London")</f>
        <v>1.9781249999999999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SUMIFS(NewEngland!$J:$J, NewEngland!$A:$A, $A23, NewEngland!$B:$B, "Out Ports") + SUMIFS(StKitts!$L:$L, StKitts!$B:$B, $A23, StKitts!$D:$D, "Out Ports") + SUMIFS(GeneralWI!$L:$L, GeneralWI!$B:$B, $A23, GeneralWI!$D:$D, "Out Ports")</f>
        <v>2.6785714285714284</v>
      </c>
      <c r="D23">
        <f t="shared" si="0"/>
        <v>4.66</v>
      </c>
    </row>
    <row r="24" spans="1:4" x14ac:dyDescent="0.25">
      <c r="A24" t="s">
        <v>23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SUMIFS(NewEngland!$J:$J, NewEngland!$A:$A, $A24, NewEngland!$B:$B, "London") + SUMIFS(StKitts!$L:$L, StKitts!$B:$B, $A24, StKitts!$D:$D, "London") + SUMIFS(GeneralWI!$L:$L, GeneralWI!$B:$B, $A24, GeneralWI!$D:$D, "London")</f>
        <v>2.0339285714285715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SUMIFS(NewEngland!$J:$J, NewEngland!$A:$A, $A24, NewEngland!$B:$B, "Out Ports") + SUMIFS(StKitts!$L:$L, StKitts!$B:$B, $A24, StKitts!$D:$D, "Out Ports") + SUMIFS(GeneralWI!$L:$L, GeneralWI!$B:$B, $A24, GeneralWI!$D:$D, "Out Ports")</f>
        <v>0.6517857142857143</v>
      </c>
      <c r="D24">
        <f t="shared" si="0"/>
        <v>2.69</v>
      </c>
    </row>
    <row r="25" spans="1:4" x14ac:dyDescent="0.25">
      <c r="A25" t="s">
        <v>18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SUMIFS(NewEngland!$J:$J, NewEngland!$A:$A, $A25, NewEngland!$B:$B, "London") + SUMIFS(StKitts!$L:$L, StKitts!$B:$B, $A25, StKitts!$D:$D, "London") + SUMIFS(GeneralWI!$L:$L, GeneralWI!$B:$B, $A25, GeneralWI!$D:$D, "London")</f>
        <v>0.9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SUMIFS(NewEngland!$J:$J, NewEngland!$A:$A, $A25, NewEngland!$B:$B, "Out Ports") + SUMIFS(StKitts!$L:$L, StKitts!$B:$B, $A25, StKitts!$D:$D, "Out Ports") + SUMIFS(GeneralWI!$L:$L, GeneralWI!$B:$B, $A25, GeneralWI!$D:$D, "Out Ports")</f>
        <v>0</v>
      </c>
      <c r="D25">
        <f t="shared" si="0"/>
        <v>0.9</v>
      </c>
    </row>
    <row r="26" spans="1:4" x14ac:dyDescent="0.25">
      <c r="A26" t="s">
        <v>30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SUMIFS(NewEngland!$J:$J, NewEngland!$A:$A, $A26, NewEngland!$B:$B, "London") + SUMIFS(StKitts!$L:$L, StKitts!$B:$B, $A26, StKitts!$D:$D, "London") + SUMIFS(GeneralWI!$L:$L, GeneralWI!$B:$B, $A26, GeneralWI!$D:$D, "London")</f>
        <v>0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SUMIFS(NewEngland!$J:$J, NewEngland!$A:$A, $A26, NewEngland!$B:$B, "Out Ports") + SUMIFS(StKitts!$L:$L, StKitts!$B:$B, $A26, StKitts!$D:$D, "Out Ports") + SUMIFS(GeneralWI!$L:$L, GeneralWI!$B:$B, $A26, GeneralWI!$D:$D, "Out Ports")</f>
        <v>0</v>
      </c>
      <c r="D26">
        <f t="shared" si="0"/>
        <v>0</v>
      </c>
    </row>
    <row r="27" spans="1:4" x14ac:dyDescent="0.25">
      <c r="A27" t="s">
        <v>28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SUMIFS(NewEngland!$J:$J, NewEngland!$A:$A, $A27, NewEngland!$B:$B, "London") + SUMIFS(StKitts!$L:$L, StKitts!$B:$B, $A27, StKitts!$D:$D, "London") + SUMIFS(GeneralWI!$L:$L, GeneralWI!$B:$B, $A27, GeneralWI!$D:$D,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SUMIFS(NewEngland!$J:$J, NewEngland!$A:$A, $A27, NewEngland!$B:$B, "Out Ports") + SUMIFS(StKitts!$L:$L, StKitts!$B:$B, $A27, StKitts!$D:$D, "Out Ports") + SUMIFS(GeneralWI!$L:$L, GeneralWI!$B:$B, $A27, GeneralWI!$D:$D, "Out Ports")</f>
        <v>0</v>
      </c>
      <c r="D27">
        <f t="shared" si="0"/>
        <v>0</v>
      </c>
    </row>
    <row r="28" spans="1:4" x14ac:dyDescent="0.25">
      <c r="A28" t="s">
        <v>52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SUMIFS(NewEngland!$J:$J, NewEngland!$A:$A, $A28, NewEngland!$B:$B, "London") + SUMIFS(StKitts!$L:$L, StKitts!$B:$B, $A28, StKitts!$D:$D, "London") + SUMIFS(GeneralWI!$L:$L, GeneralWI!$B:$B, $A28, GeneralWI!$D:$D, "London")</f>
        <v>0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SUMIFS(NewEngland!$J:$J, NewEngland!$A:$A, $A28, NewEngland!$B:$B, "Out Ports") + SUMIFS(StKitts!$L:$L, StKitts!$B:$B, $A28, StKitts!$D:$D, "Out Ports") + SUMIFS(GeneralWI!$L:$L, GeneralWI!$B:$B, $A28, GeneralWI!$D:$D, "Out Ports")</f>
        <v>0</v>
      </c>
      <c r="D28">
        <f t="shared" si="0"/>
        <v>0</v>
      </c>
    </row>
    <row r="29" spans="1:4" x14ac:dyDescent="0.25">
      <c r="A29" t="s">
        <v>44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SUMIFS(NewEngland!$J:$J, NewEngland!$A:$A, $A29, NewEngland!$B:$B, "London") + SUMIFS(StKitts!$L:$L, StKitts!$B:$B, $A29, StKitts!$D:$D, "London") + SUMIFS(GeneralWI!$L:$L, GeneralWI!$B:$B, $A29, GeneralWI!$D:$D,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SUMIFS(NewEngland!$J:$J, NewEngland!$A:$A, $A29, NewEngland!$B:$B, "Out Ports") + SUMIFS(StKitts!$L:$L, StKitts!$B:$B, $A29, StKitts!$D:$D, "Out Ports") + SUMIFS(GeneralWI!$L:$L, GeneralWI!$B:$B, $A29, GeneralWI!$D:$D, "Out Ports")</f>
        <v>0</v>
      </c>
      <c r="D29">
        <f t="shared" si="0"/>
        <v>0</v>
      </c>
    </row>
    <row r="30" spans="1:4" x14ac:dyDescent="0.25">
      <c r="A30" t="s">
        <v>53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SUMIFS(NewEngland!$J:$J, NewEngland!$A:$A, $A30, NewEngland!$B:$B, "London") + SUMIFS(StKitts!$L:$L, StKitts!$B:$B, $A30, StKitts!$D:$D, "London") + SUMIFS(GeneralWI!$L:$L, GeneralWI!$B:$B, $A30, GeneralWI!$D:$D, "London")</f>
        <v>21.748214285714287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SUMIFS(NewEngland!$J:$J, NewEngland!$A:$A, $A30, NewEngland!$B:$B, "Out Ports") + SUMIFS(StKitts!$L:$L, StKitts!$B:$B, $A30, StKitts!$D:$D, "Out Ports") + SUMIFS(GeneralWI!$L:$L, GeneralWI!$B:$B, $A30, GeneralWI!$D:$D, "Out Ports")</f>
        <v>0.98124999999999996</v>
      </c>
      <c r="D30">
        <f t="shared" si="0"/>
        <v>22.73</v>
      </c>
    </row>
    <row r="31" spans="1:4" x14ac:dyDescent="0.25">
      <c r="A31" t="s">
        <v>29</v>
      </c>
      <c r="B31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SUMIFS(NewEngland!$J:$J, NewEngland!$A:$A, $A31, NewEngland!$B:$B, "London") + SUMIFS(StKitts!$L:$L, StKitts!$B:$B, $A31, StKitts!$D:$D, "London") + SUMIFS(GeneralWI!$L:$L, GeneralWI!$B:$B, $A31, GeneralWI!$D:$D, "London")</f>
        <v>69.877678571428575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SUMIFS(NewEngland!$J:$J, NewEngland!$A:$A, $A31, NewEngland!$B:$B, "Out Ports") + SUMIFS(StKitts!$L:$L, StKitts!$B:$B, $A31, StKitts!$D:$D, "Out Ports") + SUMIFS(GeneralWI!$L:$L, GeneralWI!$B:$B, $A31, GeneralWI!$D:$D, "Out Ports")</f>
        <v>5.4973214285714285</v>
      </c>
      <c r="D31">
        <f t="shared" si="0"/>
        <v>75.38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19CC-ED12-4EDC-B6A1-87517C728FBE}">
  <dimension ref="A1:I1"/>
  <sheetViews>
    <sheetView workbookViewId="0">
      <selection activeCell="A11" sqref="A2:F11"/>
    </sheetView>
  </sheetViews>
  <sheetFormatPr defaultRowHeight="15" x14ac:dyDescent="0.25"/>
  <cols>
    <col min="1" max="2" width="13.85546875" customWidth="1"/>
    <col min="5" max="5" width="12.140625" customWidth="1"/>
    <col min="6" max="6" width="1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4E2-0DF8-4904-877B-B0432FE13C0E}">
  <dimension ref="A1:I1"/>
  <sheetViews>
    <sheetView workbookViewId="0">
      <selection activeCell="B53" sqref="B53"/>
    </sheetView>
  </sheetViews>
  <sheetFormatPr defaultRowHeight="15" x14ac:dyDescent="0.25"/>
  <cols>
    <col min="1" max="1" width="15.42578125" customWidth="1"/>
    <col min="2" max="2" width="13.140625" customWidth="1"/>
    <col min="5" max="5" width="10.85546875" customWidth="1"/>
    <col min="6" max="6" width="14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O44"/>
  <sheetViews>
    <sheetView workbookViewId="0">
      <selection activeCell="J41" sqref="J41"/>
    </sheetView>
  </sheetViews>
  <sheetFormatPr defaultRowHeight="15" x14ac:dyDescent="0.25"/>
  <cols>
    <col min="2" max="3" width="17.5703125" customWidth="1"/>
    <col min="4" max="4" width="11.140625" customWidth="1"/>
    <col min="5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  <c r="N1" t="s">
        <v>42</v>
      </c>
      <c r="O1" s="1" t="s">
        <v>43</v>
      </c>
    </row>
    <row r="2" spans="1:15" x14ac:dyDescent="0.25">
      <c r="A2">
        <v>1720</v>
      </c>
      <c r="B2" t="s">
        <v>26</v>
      </c>
      <c r="C2" t="s">
        <v>109</v>
      </c>
      <c r="D2" t="s">
        <v>8</v>
      </c>
      <c r="H2">
        <v>13048</v>
      </c>
      <c r="J2">
        <f t="shared" ref="J2:J44" si="0">(E2*2240)+(F2*112)+(G2*28)+H2</f>
        <v>13048</v>
      </c>
      <c r="L2">
        <f t="shared" ref="L2:L44" si="1">J2/2240</f>
        <v>5.8250000000000002</v>
      </c>
    </row>
    <row r="3" spans="1:15" x14ac:dyDescent="0.25">
      <c r="A3">
        <v>1720</v>
      </c>
      <c r="B3" t="s">
        <v>17</v>
      </c>
      <c r="C3" t="s">
        <v>109</v>
      </c>
      <c r="D3" t="s">
        <v>8</v>
      </c>
      <c r="F3">
        <v>90791</v>
      </c>
      <c r="G3">
        <v>1</v>
      </c>
      <c r="H3">
        <v>1</v>
      </c>
      <c r="J3">
        <f t="shared" si="0"/>
        <v>10168621</v>
      </c>
      <c r="L3">
        <f t="shared" si="1"/>
        <v>4539.5629464285712</v>
      </c>
    </row>
    <row r="4" spans="1:15" x14ac:dyDescent="0.25">
      <c r="A4">
        <v>1720</v>
      </c>
      <c r="B4" t="s">
        <v>13</v>
      </c>
      <c r="C4" t="s">
        <v>109</v>
      </c>
      <c r="D4" t="s">
        <v>8</v>
      </c>
      <c r="H4">
        <v>40</v>
      </c>
      <c r="J4">
        <f t="shared" si="0"/>
        <v>40</v>
      </c>
      <c r="L4">
        <f t="shared" si="1"/>
        <v>1.7857142857142856E-2</v>
      </c>
    </row>
    <row r="5" spans="1:15" x14ac:dyDescent="0.25">
      <c r="A5">
        <v>1720</v>
      </c>
      <c r="B5" t="s">
        <v>40</v>
      </c>
      <c r="C5" t="s">
        <v>109</v>
      </c>
      <c r="D5" t="s">
        <v>8</v>
      </c>
      <c r="F5">
        <v>32</v>
      </c>
      <c r="G5">
        <v>4</v>
      </c>
      <c r="H5">
        <v>10</v>
      </c>
      <c r="J5">
        <f t="shared" si="0"/>
        <v>3706</v>
      </c>
      <c r="L5">
        <f t="shared" si="1"/>
        <v>1.6544642857142857</v>
      </c>
    </row>
    <row r="6" spans="1:15" x14ac:dyDescent="0.25">
      <c r="A6">
        <v>1720</v>
      </c>
      <c r="B6" t="s">
        <v>10</v>
      </c>
      <c r="C6" t="s">
        <v>109</v>
      </c>
      <c r="D6" t="s">
        <v>8</v>
      </c>
      <c r="H6">
        <v>223400</v>
      </c>
      <c r="J6">
        <f t="shared" si="0"/>
        <v>223400</v>
      </c>
      <c r="L6">
        <f t="shared" si="1"/>
        <v>99.732142857142861</v>
      </c>
    </row>
    <row r="7" spans="1:15" x14ac:dyDescent="0.25">
      <c r="A7">
        <v>1720</v>
      </c>
      <c r="B7" t="s">
        <v>15</v>
      </c>
      <c r="C7" t="s">
        <v>109</v>
      </c>
      <c r="D7" t="s">
        <v>8</v>
      </c>
      <c r="F7">
        <v>899</v>
      </c>
      <c r="G7">
        <v>1</v>
      </c>
      <c r="H7">
        <v>9</v>
      </c>
      <c r="J7">
        <f t="shared" si="0"/>
        <v>100725</v>
      </c>
      <c r="L7">
        <f t="shared" si="1"/>
        <v>44.966517857142854</v>
      </c>
    </row>
    <row r="8" spans="1:15" x14ac:dyDescent="0.25">
      <c r="A8">
        <v>1720</v>
      </c>
      <c r="B8" t="s">
        <v>25</v>
      </c>
      <c r="C8" t="s">
        <v>109</v>
      </c>
      <c r="D8" t="s">
        <v>8</v>
      </c>
      <c r="F8">
        <v>9</v>
      </c>
      <c r="G8">
        <v>2</v>
      </c>
      <c r="H8">
        <v>7</v>
      </c>
      <c r="J8">
        <f t="shared" si="0"/>
        <v>1071</v>
      </c>
      <c r="L8">
        <f t="shared" si="1"/>
        <v>0.47812500000000002</v>
      </c>
      <c r="N8">
        <f>L8+L10+L14+L16+L17+L18+L19+L22+L24+L33+L34+L35+L41+L42+L43+L45+L46+L50</f>
        <v>69.969642857142858</v>
      </c>
      <c r="O8">
        <f>L11+L12+L13+L36+L37+L38</f>
        <v>17.650000000000002</v>
      </c>
    </row>
    <row r="9" spans="1:15" x14ac:dyDescent="0.25">
      <c r="A9">
        <v>1720</v>
      </c>
      <c r="B9" t="s">
        <v>9</v>
      </c>
      <c r="C9" t="s">
        <v>109</v>
      </c>
      <c r="D9" t="s">
        <v>8</v>
      </c>
      <c r="J9">
        <f t="shared" si="0"/>
        <v>0</v>
      </c>
      <c r="L9">
        <f t="shared" si="1"/>
        <v>0</v>
      </c>
    </row>
    <row r="10" spans="1:15" x14ac:dyDescent="0.25">
      <c r="A10">
        <v>1720</v>
      </c>
      <c r="B10" t="s">
        <v>39</v>
      </c>
      <c r="C10" t="s">
        <v>109</v>
      </c>
      <c r="D10" t="s">
        <v>8</v>
      </c>
      <c r="J10">
        <f t="shared" si="0"/>
        <v>0</v>
      </c>
      <c r="L10">
        <f t="shared" si="1"/>
        <v>0</v>
      </c>
    </row>
    <row r="11" spans="1:15" x14ac:dyDescent="0.25">
      <c r="A11">
        <v>1720</v>
      </c>
      <c r="B11" t="s">
        <v>35</v>
      </c>
      <c r="C11" t="s">
        <v>109</v>
      </c>
      <c r="D11" t="s">
        <v>8</v>
      </c>
      <c r="F11">
        <v>24</v>
      </c>
      <c r="H11">
        <v>17</v>
      </c>
      <c r="J11">
        <f t="shared" si="0"/>
        <v>2705</v>
      </c>
      <c r="L11">
        <f t="shared" si="1"/>
        <v>1.2075892857142858</v>
      </c>
    </row>
    <row r="12" spans="1:15" x14ac:dyDescent="0.25">
      <c r="A12">
        <v>1720</v>
      </c>
      <c r="B12" t="s">
        <v>21</v>
      </c>
      <c r="C12" t="s">
        <v>109</v>
      </c>
      <c r="D12" t="s">
        <v>8</v>
      </c>
      <c r="H12">
        <v>1070</v>
      </c>
      <c r="I12" t="s">
        <v>74</v>
      </c>
      <c r="J12">
        <f t="shared" si="0"/>
        <v>1070</v>
      </c>
      <c r="L12">
        <f t="shared" si="1"/>
        <v>0.47767857142857145</v>
      </c>
    </row>
    <row r="13" spans="1:15" x14ac:dyDescent="0.25">
      <c r="A13">
        <v>1720</v>
      </c>
      <c r="B13" t="s">
        <v>29</v>
      </c>
      <c r="C13" t="s">
        <v>109</v>
      </c>
      <c r="D13" t="s">
        <v>8</v>
      </c>
      <c r="H13">
        <v>16824</v>
      </c>
      <c r="I13" s="2">
        <v>0.25189814814814815</v>
      </c>
      <c r="J13">
        <f t="shared" si="0"/>
        <v>16824</v>
      </c>
      <c r="L13">
        <f t="shared" si="1"/>
        <v>7.5107142857142861</v>
      </c>
    </row>
    <row r="14" spans="1:15" x14ac:dyDescent="0.25">
      <c r="A14">
        <v>1720</v>
      </c>
      <c r="B14" t="s">
        <v>16</v>
      </c>
      <c r="C14" t="s">
        <v>109</v>
      </c>
      <c r="D14" t="s">
        <v>8</v>
      </c>
      <c r="J14">
        <f t="shared" si="0"/>
        <v>0</v>
      </c>
      <c r="L14">
        <f t="shared" si="1"/>
        <v>0</v>
      </c>
    </row>
    <row r="15" spans="1:15" x14ac:dyDescent="0.25">
      <c r="A15">
        <v>1720</v>
      </c>
      <c r="B15" t="s">
        <v>37</v>
      </c>
      <c r="C15" t="s">
        <v>109</v>
      </c>
      <c r="D15" t="s">
        <v>8</v>
      </c>
      <c r="F15">
        <v>1</v>
      </c>
      <c r="G15">
        <v>9</v>
      </c>
      <c r="J15">
        <f t="shared" si="0"/>
        <v>364</v>
      </c>
      <c r="L15">
        <f t="shared" si="1"/>
        <v>0.16250000000000001</v>
      </c>
    </row>
    <row r="16" spans="1:15" x14ac:dyDescent="0.25">
      <c r="A16">
        <v>1720</v>
      </c>
      <c r="B16" t="s">
        <v>27</v>
      </c>
      <c r="C16" t="s">
        <v>109</v>
      </c>
      <c r="D16" t="s">
        <v>8</v>
      </c>
      <c r="F16">
        <v>126</v>
      </c>
      <c r="G16">
        <v>3</v>
      </c>
      <c r="J16">
        <f t="shared" si="0"/>
        <v>14196</v>
      </c>
      <c r="L16">
        <f t="shared" si="1"/>
        <v>6.3375000000000004</v>
      </c>
    </row>
    <row r="17" spans="1:12" x14ac:dyDescent="0.25">
      <c r="A17">
        <v>1720</v>
      </c>
      <c r="B17" t="s">
        <v>22</v>
      </c>
      <c r="C17" t="s">
        <v>109</v>
      </c>
      <c r="D17" t="s">
        <v>8</v>
      </c>
      <c r="H17">
        <v>109726</v>
      </c>
      <c r="I17" t="s">
        <v>75</v>
      </c>
      <c r="J17">
        <f t="shared" si="0"/>
        <v>109726</v>
      </c>
      <c r="L17">
        <f t="shared" si="1"/>
        <v>48.984821428571429</v>
      </c>
    </row>
    <row r="18" spans="1:12" x14ac:dyDescent="0.25">
      <c r="A18">
        <v>1720</v>
      </c>
      <c r="B18" t="s">
        <v>24</v>
      </c>
      <c r="C18" t="s">
        <v>109</v>
      </c>
      <c r="D18" t="s">
        <v>8</v>
      </c>
      <c r="F18">
        <v>39</v>
      </c>
      <c r="G18">
        <v>2</v>
      </c>
      <c r="H18">
        <v>4</v>
      </c>
      <c r="J18">
        <f t="shared" si="0"/>
        <v>4428</v>
      </c>
      <c r="L18">
        <f t="shared" si="1"/>
        <v>1.9767857142857144</v>
      </c>
    </row>
    <row r="19" spans="1:12" x14ac:dyDescent="0.25">
      <c r="A19">
        <v>1720</v>
      </c>
      <c r="B19" t="s">
        <v>36</v>
      </c>
      <c r="C19" t="s">
        <v>109</v>
      </c>
      <c r="D19" t="s">
        <v>8</v>
      </c>
      <c r="H19">
        <v>230</v>
      </c>
      <c r="J19">
        <f t="shared" si="0"/>
        <v>230</v>
      </c>
      <c r="L19">
        <f t="shared" si="1"/>
        <v>0.10267857142857142</v>
      </c>
    </row>
    <row r="20" spans="1:12" x14ac:dyDescent="0.25">
      <c r="A20">
        <v>1720</v>
      </c>
      <c r="B20" t="s">
        <v>20</v>
      </c>
      <c r="C20" t="s">
        <v>109</v>
      </c>
      <c r="D20" t="s">
        <v>8</v>
      </c>
      <c r="H20">
        <v>34</v>
      </c>
      <c r="J20">
        <f t="shared" si="0"/>
        <v>34</v>
      </c>
      <c r="L20">
        <f t="shared" si="1"/>
        <v>1.5178571428571428E-2</v>
      </c>
    </row>
    <row r="21" spans="1:12" x14ac:dyDescent="0.25">
      <c r="A21">
        <v>1720</v>
      </c>
      <c r="B21" t="s">
        <v>23</v>
      </c>
      <c r="C21" t="s">
        <v>109</v>
      </c>
      <c r="D21" t="s">
        <v>8</v>
      </c>
      <c r="H21">
        <v>147</v>
      </c>
      <c r="J21">
        <f t="shared" si="0"/>
        <v>147</v>
      </c>
      <c r="L21">
        <f t="shared" si="1"/>
        <v>6.5625000000000003E-2</v>
      </c>
    </row>
    <row r="22" spans="1:12" x14ac:dyDescent="0.25">
      <c r="A22">
        <v>1720</v>
      </c>
      <c r="B22" t="s">
        <v>18</v>
      </c>
      <c r="C22" t="s">
        <v>109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1720</v>
      </c>
      <c r="B23" t="s">
        <v>115</v>
      </c>
      <c r="C23" t="s">
        <v>109</v>
      </c>
      <c r="D23" t="s">
        <v>8</v>
      </c>
      <c r="E23">
        <v>11</v>
      </c>
      <c r="F23">
        <v>19</v>
      </c>
      <c r="H23">
        <v>4</v>
      </c>
      <c r="J23">
        <f t="shared" si="0"/>
        <v>26772</v>
      </c>
      <c r="L23">
        <f t="shared" si="1"/>
        <v>11.951785714285714</v>
      </c>
    </row>
    <row r="24" spans="1:12" x14ac:dyDescent="0.25">
      <c r="A24">
        <v>1720</v>
      </c>
      <c r="B24" t="s">
        <v>117</v>
      </c>
      <c r="C24" t="s">
        <v>109</v>
      </c>
      <c r="D24" t="s">
        <v>8</v>
      </c>
      <c r="F24">
        <v>7</v>
      </c>
      <c r="J24">
        <f t="shared" si="0"/>
        <v>784</v>
      </c>
      <c r="L24">
        <f t="shared" si="1"/>
        <v>0.35</v>
      </c>
    </row>
    <row r="25" spans="1:12" x14ac:dyDescent="0.25">
      <c r="A25">
        <v>1720</v>
      </c>
      <c r="B25" t="s">
        <v>121</v>
      </c>
      <c r="C25" t="s">
        <v>109</v>
      </c>
      <c r="D25" t="s">
        <v>8</v>
      </c>
      <c r="F25">
        <v>14</v>
      </c>
      <c r="G25">
        <v>3</v>
      </c>
      <c r="J25">
        <f t="shared" si="0"/>
        <v>1652</v>
      </c>
      <c r="L25">
        <f t="shared" si="1"/>
        <v>0.73750000000000004</v>
      </c>
    </row>
    <row r="26" spans="1:12" x14ac:dyDescent="0.25">
      <c r="A26">
        <v>1720</v>
      </c>
      <c r="B26" t="s">
        <v>26</v>
      </c>
      <c r="C26" t="s">
        <v>109</v>
      </c>
      <c r="D26" t="s">
        <v>12</v>
      </c>
      <c r="H26">
        <v>473</v>
      </c>
      <c r="J26">
        <f t="shared" si="0"/>
        <v>473</v>
      </c>
      <c r="L26">
        <f t="shared" si="1"/>
        <v>0.21116071428571428</v>
      </c>
    </row>
    <row r="27" spans="1:12" x14ac:dyDescent="0.25">
      <c r="A27">
        <v>1720</v>
      </c>
      <c r="B27" t="s">
        <v>17</v>
      </c>
      <c r="C27" t="s">
        <v>109</v>
      </c>
      <c r="D27" t="s">
        <v>12</v>
      </c>
      <c r="F27">
        <v>22405</v>
      </c>
      <c r="G27">
        <v>3</v>
      </c>
      <c r="H27">
        <v>21</v>
      </c>
      <c r="J27">
        <f t="shared" si="0"/>
        <v>2509465</v>
      </c>
      <c r="L27">
        <f t="shared" si="1"/>
        <v>1120.296875</v>
      </c>
    </row>
    <row r="28" spans="1:12" x14ac:dyDescent="0.25">
      <c r="A28">
        <v>1720</v>
      </c>
      <c r="B28" t="s">
        <v>71</v>
      </c>
      <c r="C28" t="s">
        <v>109</v>
      </c>
      <c r="D28" t="s">
        <v>12</v>
      </c>
      <c r="J28">
        <f t="shared" si="0"/>
        <v>0</v>
      </c>
      <c r="L28">
        <f t="shared" si="1"/>
        <v>0</v>
      </c>
    </row>
    <row r="29" spans="1:12" x14ac:dyDescent="0.25">
      <c r="A29">
        <v>1720</v>
      </c>
      <c r="B29" t="s">
        <v>40</v>
      </c>
      <c r="C29" t="s">
        <v>109</v>
      </c>
      <c r="D29" t="s">
        <v>12</v>
      </c>
      <c r="G29">
        <v>1</v>
      </c>
      <c r="H29">
        <v>7</v>
      </c>
      <c r="J29">
        <f t="shared" si="0"/>
        <v>35</v>
      </c>
      <c r="L29">
        <f t="shared" si="1"/>
        <v>1.5625E-2</v>
      </c>
    </row>
    <row r="30" spans="1:12" x14ac:dyDescent="0.25">
      <c r="A30">
        <v>1720</v>
      </c>
      <c r="B30" t="s">
        <v>10</v>
      </c>
      <c r="C30" t="s">
        <v>109</v>
      </c>
      <c r="D30" t="s">
        <v>12</v>
      </c>
      <c r="H30">
        <v>183640</v>
      </c>
      <c r="J30">
        <f t="shared" si="0"/>
        <v>183640</v>
      </c>
      <c r="L30">
        <f t="shared" si="1"/>
        <v>81.982142857142861</v>
      </c>
    </row>
    <row r="31" spans="1:12" x14ac:dyDescent="0.25">
      <c r="A31">
        <v>1720</v>
      </c>
      <c r="B31" t="s">
        <v>15</v>
      </c>
      <c r="C31" t="s">
        <v>109</v>
      </c>
      <c r="D31" t="s">
        <v>12</v>
      </c>
      <c r="F31">
        <v>138</v>
      </c>
      <c r="G31">
        <v>1</v>
      </c>
      <c r="H31">
        <v>1</v>
      </c>
      <c r="J31">
        <f t="shared" si="0"/>
        <v>15485</v>
      </c>
      <c r="L31">
        <f t="shared" si="1"/>
        <v>6.9129464285714288</v>
      </c>
    </row>
    <row r="32" spans="1:12" x14ac:dyDescent="0.25">
      <c r="A32">
        <v>1720</v>
      </c>
      <c r="B32" t="s">
        <v>9</v>
      </c>
      <c r="C32" t="s">
        <v>109</v>
      </c>
      <c r="D32" t="s">
        <v>12</v>
      </c>
      <c r="H32">
        <v>737</v>
      </c>
      <c r="J32">
        <f t="shared" si="0"/>
        <v>737</v>
      </c>
      <c r="L32">
        <f t="shared" si="1"/>
        <v>0.32901785714285714</v>
      </c>
    </row>
    <row r="33" spans="1:12" x14ac:dyDescent="0.25">
      <c r="A33">
        <v>1720</v>
      </c>
      <c r="B33" t="s">
        <v>35</v>
      </c>
      <c r="C33" t="s">
        <v>109</v>
      </c>
      <c r="D33" t="s">
        <v>12</v>
      </c>
      <c r="F33">
        <v>123</v>
      </c>
      <c r="G33">
        <v>1</v>
      </c>
      <c r="H33">
        <v>8</v>
      </c>
      <c r="J33">
        <f t="shared" si="0"/>
        <v>13812</v>
      </c>
      <c r="L33">
        <f t="shared" si="1"/>
        <v>6.1660714285714286</v>
      </c>
    </row>
    <row r="34" spans="1:12" x14ac:dyDescent="0.25">
      <c r="A34">
        <v>1720</v>
      </c>
      <c r="B34" t="s">
        <v>21</v>
      </c>
      <c r="C34" t="s">
        <v>109</v>
      </c>
      <c r="D34" t="s">
        <v>12</v>
      </c>
      <c r="H34">
        <v>11859</v>
      </c>
      <c r="I34" t="s">
        <v>77</v>
      </c>
      <c r="J34">
        <f t="shared" si="0"/>
        <v>11859</v>
      </c>
      <c r="L34">
        <f t="shared" si="1"/>
        <v>5.2941964285714285</v>
      </c>
    </row>
    <row r="35" spans="1:12" x14ac:dyDescent="0.25">
      <c r="A35">
        <v>1720</v>
      </c>
      <c r="B35" t="s">
        <v>29</v>
      </c>
      <c r="C35" t="s">
        <v>109</v>
      </c>
      <c r="D35" t="s">
        <v>12</v>
      </c>
      <c r="H35">
        <v>626</v>
      </c>
      <c r="I35" t="s">
        <v>76</v>
      </c>
      <c r="J35">
        <f t="shared" si="0"/>
        <v>626</v>
      </c>
      <c r="L35">
        <f t="shared" si="1"/>
        <v>0.27946428571428572</v>
      </c>
    </row>
    <row r="36" spans="1:12" x14ac:dyDescent="0.25">
      <c r="A36">
        <v>1720</v>
      </c>
      <c r="B36" t="s">
        <v>16</v>
      </c>
      <c r="C36" t="s">
        <v>109</v>
      </c>
      <c r="D36" t="s">
        <v>12</v>
      </c>
      <c r="F36">
        <v>75</v>
      </c>
      <c r="J36">
        <f t="shared" si="0"/>
        <v>8400</v>
      </c>
      <c r="L36">
        <f t="shared" si="1"/>
        <v>3.75</v>
      </c>
    </row>
    <row r="37" spans="1:12" x14ac:dyDescent="0.25">
      <c r="A37">
        <v>1720</v>
      </c>
      <c r="B37" t="s">
        <v>27</v>
      </c>
      <c r="C37" t="s">
        <v>109</v>
      </c>
      <c r="D37" t="s">
        <v>12</v>
      </c>
      <c r="J37">
        <f t="shared" si="0"/>
        <v>0</v>
      </c>
      <c r="L37">
        <f t="shared" si="1"/>
        <v>0</v>
      </c>
    </row>
    <row r="38" spans="1:12" x14ac:dyDescent="0.25">
      <c r="A38">
        <v>1720</v>
      </c>
      <c r="B38" t="s">
        <v>22</v>
      </c>
      <c r="C38" t="s">
        <v>109</v>
      </c>
      <c r="D38" t="s">
        <v>12</v>
      </c>
      <c r="H38">
        <v>10537</v>
      </c>
      <c r="I38" t="s">
        <v>78</v>
      </c>
      <c r="J38">
        <f t="shared" si="0"/>
        <v>10537</v>
      </c>
      <c r="L38">
        <f t="shared" si="1"/>
        <v>4.7040178571428575</v>
      </c>
    </row>
    <row r="39" spans="1:12" x14ac:dyDescent="0.25">
      <c r="A39">
        <v>1720</v>
      </c>
      <c r="B39" t="s">
        <v>24</v>
      </c>
      <c r="C39" t="s">
        <v>109</v>
      </c>
      <c r="D39" t="s">
        <v>12</v>
      </c>
      <c r="F39">
        <v>5</v>
      </c>
      <c r="H39">
        <v>25</v>
      </c>
      <c r="J39">
        <f t="shared" si="0"/>
        <v>585</v>
      </c>
      <c r="L39">
        <f t="shared" si="1"/>
        <v>0.2611607142857143</v>
      </c>
    </row>
    <row r="40" spans="1:12" x14ac:dyDescent="0.25">
      <c r="A40">
        <v>1720</v>
      </c>
      <c r="B40" t="s">
        <v>36</v>
      </c>
      <c r="C40" t="s">
        <v>109</v>
      </c>
      <c r="D40" t="s">
        <v>12</v>
      </c>
      <c r="H40">
        <v>20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1720</v>
      </c>
      <c r="B41" t="s">
        <v>20</v>
      </c>
      <c r="C41" t="s">
        <v>109</v>
      </c>
      <c r="D41" t="s">
        <v>12</v>
      </c>
      <c r="J41">
        <f t="shared" si="0"/>
        <v>0</v>
      </c>
      <c r="L41">
        <f t="shared" si="1"/>
        <v>0</v>
      </c>
    </row>
    <row r="42" spans="1:12" x14ac:dyDescent="0.25">
      <c r="A42">
        <v>1720</v>
      </c>
      <c r="B42" t="s">
        <v>23</v>
      </c>
      <c r="C42" t="s">
        <v>109</v>
      </c>
      <c r="D42" t="s">
        <v>12</v>
      </c>
      <c r="J42">
        <f t="shared" si="0"/>
        <v>0</v>
      </c>
      <c r="L42">
        <f t="shared" si="1"/>
        <v>0</v>
      </c>
    </row>
    <row r="43" spans="1:12" x14ac:dyDescent="0.25">
      <c r="A43">
        <v>1720</v>
      </c>
      <c r="B43" t="s">
        <v>18</v>
      </c>
      <c r="C43" t="s">
        <v>109</v>
      </c>
      <c r="D43" t="s">
        <v>12</v>
      </c>
      <c r="J43">
        <f t="shared" si="0"/>
        <v>0</v>
      </c>
      <c r="L43">
        <f t="shared" si="1"/>
        <v>0</v>
      </c>
    </row>
    <row r="44" spans="1:12" x14ac:dyDescent="0.25">
      <c r="A44">
        <v>1720</v>
      </c>
      <c r="B44" t="s">
        <v>115</v>
      </c>
      <c r="C44" t="s">
        <v>109</v>
      </c>
      <c r="D44" t="s">
        <v>12</v>
      </c>
      <c r="E44">
        <v>1</v>
      </c>
      <c r="F44">
        <v>3</v>
      </c>
      <c r="G44">
        <v>1</v>
      </c>
      <c r="H44">
        <v>19</v>
      </c>
      <c r="J44">
        <f t="shared" si="0"/>
        <v>2623</v>
      </c>
      <c r="L44">
        <f t="shared" si="1"/>
        <v>1.1709821428571427</v>
      </c>
    </row>
  </sheetData>
  <autoFilter ref="A1:O44" xr:uid="{693D6FA2-B6A0-4711-A44A-6CA286BF1E63}">
    <sortState xmlns:xlrd2="http://schemas.microsoft.com/office/spreadsheetml/2017/richdata2" ref="A2:O44">
      <sortCondition ref="D1:D4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71"/>
  <sheetViews>
    <sheetView workbookViewId="0">
      <selection activeCell="H10" sqref="H1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54</v>
      </c>
      <c r="C2" t="s">
        <v>110</v>
      </c>
      <c r="D2" t="s">
        <v>8</v>
      </c>
      <c r="H2">
        <v>4985</v>
      </c>
      <c r="J2">
        <f t="shared" ref="J2:J33" si="0">(E2*2240)+(F2*112)+(G2*28)+H2</f>
        <v>4985</v>
      </c>
      <c r="L2">
        <f t="shared" ref="L2:L33" si="1">J2/2240</f>
        <v>2.2254464285714284</v>
      </c>
    </row>
    <row r="3" spans="1:12" x14ac:dyDescent="0.25">
      <c r="A3">
        <v>1720</v>
      </c>
      <c r="B3" t="s">
        <v>26</v>
      </c>
      <c r="C3" t="s">
        <v>110</v>
      </c>
      <c r="D3" t="s">
        <v>8</v>
      </c>
      <c r="J3">
        <f t="shared" si="0"/>
        <v>0</v>
      </c>
      <c r="L3">
        <f t="shared" si="1"/>
        <v>0</v>
      </c>
    </row>
    <row r="4" spans="1:12" x14ac:dyDescent="0.25">
      <c r="A4">
        <v>1720</v>
      </c>
      <c r="B4" t="s">
        <v>61</v>
      </c>
      <c r="C4" t="s">
        <v>110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1720</v>
      </c>
      <c r="B5" t="s">
        <v>17</v>
      </c>
      <c r="C5" t="s">
        <v>110</v>
      </c>
      <c r="D5" t="s">
        <v>8</v>
      </c>
      <c r="F5">
        <v>180588</v>
      </c>
      <c r="G5">
        <v>1</v>
      </c>
      <c r="H5">
        <v>24</v>
      </c>
      <c r="J5">
        <f t="shared" si="0"/>
        <v>20225908</v>
      </c>
      <c r="L5">
        <f t="shared" si="1"/>
        <v>9029.4232142857145</v>
      </c>
    </row>
    <row r="6" spans="1:12" x14ac:dyDescent="0.25">
      <c r="A6">
        <v>1720</v>
      </c>
      <c r="B6" t="s">
        <v>13</v>
      </c>
      <c r="C6" t="s">
        <v>110</v>
      </c>
      <c r="D6" t="s">
        <v>8</v>
      </c>
      <c r="H6">
        <v>14</v>
      </c>
      <c r="J6">
        <f t="shared" si="0"/>
        <v>14</v>
      </c>
      <c r="L6">
        <f t="shared" si="1"/>
        <v>6.2500000000000003E-3</v>
      </c>
    </row>
    <row r="7" spans="1:12" x14ac:dyDescent="0.25">
      <c r="A7">
        <v>1720</v>
      </c>
      <c r="B7" t="s">
        <v>73</v>
      </c>
      <c r="C7" t="s">
        <v>110</v>
      </c>
      <c r="D7" t="s">
        <v>8</v>
      </c>
      <c r="J7">
        <f t="shared" si="0"/>
        <v>0</v>
      </c>
      <c r="L7">
        <f t="shared" si="1"/>
        <v>0</v>
      </c>
    </row>
    <row r="8" spans="1:12" x14ac:dyDescent="0.25">
      <c r="A8">
        <v>1720</v>
      </c>
      <c r="B8" t="s">
        <v>40</v>
      </c>
      <c r="C8" t="s">
        <v>110</v>
      </c>
      <c r="D8" t="s">
        <v>8</v>
      </c>
      <c r="F8">
        <v>156</v>
      </c>
      <c r="G8">
        <v>2</v>
      </c>
      <c r="H8">
        <v>13</v>
      </c>
      <c r="J8">
        <f t="shared" si="0"/>
        <v>17541</v>
      </c>
      <c r="L8">
        <f t="shared" si="1"/>
        <v>7.8308035714285715</v>
      </c>
    </row>
    <row r="9" spans="1:12" x14ac:dyDescent="0.25">
      <c r="A9">
        <v>1720</v>
      </c>
      <c r="B9" t="s">
        <v>62</v>
      </c>
      <c r="C9" t="s">
        <v>110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1720</v>
      </c>
      <c r="B10" t="s">
        <v>10</v>
      </c>
      <c r="C10" t="s">
        <v>110</v>
      </c>
      <c r="D10" t="s">
        <v>8</v>
      </c>
      <c r="H10">
        <f>521*200</f>
        <v>104200</v>
      </c>
      <c r="I10" t="s">
        <v>80</v>
      </c>
      <c r="J10">
        <f t="shared" si="0"/>
        <v>104200</v>
      </c>
      <c r="L10">
        <f t="shared" si="1"/>
        <v>46.517857142857146</v>
      </c>
    </row>
    <row r="11" spans="1:12" x14ac:dyDescent="0.25">
      <c r="A11">
        <v>1720</v>
      </c>
      <c r="B11" t="s">
        <v>15</v>
      </c>
      <c r="C11" t="s">
        <v>110</v>
      </c>
      <c r="D11" t="s">
        <v>8</v>
      </c>
      <c r="F11">
        <v>6163</v>
      </c>
      <c r="G11">
        <v>2</v>
      </c>
      <c r="H11">
        <v>14</v>
      </c>
      <c r="J11">
        <f t="shared" si="0"/>
        <v>690326</v>
      </c>
      <c r="L11">
        <f t="shared" si="1"/>
        <v>308.18124999999998</v>
      </c>
    </row>
    <row r="12" spans="1:12" x14ac:dyDescent="0.25">
      <c r="A12">
        <v>1720</v>
      </c>
      <c r="B12" t="s">
        <v>25</v>
      </c>
      <c r="C12" t="s">
        <v>110</v>
      </c>
      <c r="D12" t="s">
        <v>8</v>
      </c>
      <c r="F12">
        <v>328</v>
      </c>
      <c r="G12">
        <v>2</v>
      </c>
      <c r="H12">
        <v>20</v>
      </c>
      <c r="J12">
        <f t="shared" si="0"/>
        <v>36812</v>
      </c>
      <c r="L12">
        <f t="shared" si="1"/>
        <v>16.43392857142857</v>
      </c>
    </row>
    <row r="13" spans="1:12" x14ac:dyDescent="0.25">
      <c r="A13">
        <v>1720</v>
      </c>
      <c r="B13" t="s">
        <v>59</v>
      </c>
      <c r="C13" t="s">
        <v>110</v>
      </c>
      <c r="D13" t="s">
        <v>8</v>
      </c>
      <c r="H13">
        <v>434</v>
      </c>
      <c r="J13">
        <f t="shared" si="0"/>
        <v>434</v>
      </c>
      <c r="L13">
        <f t="shared" si="1"/>
        <v>0.19375000000000001</v>
      </c>
    </row>
    <row r="14" spans="1:12" x14ac:dyDescent="0.25">
      <c r="A14">
        <v>1720</v>
      </c>
      <c r="B14" t="s">
        <v>60</v>
      </c>
      <c r="C14" t="s">
        <v>110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1720</v>
      </c>
      <c r="B15" t="s">
        <v>9</v>
      </c>
      <c r="C15" t="s">
        <v>110</v>
      </c>
      <c r="D15" t="s">
        <v>8</v>
      </c>
      <c r="H15">
        <v>2306</v>
      </c>
      <c r="J15">
        <f t="shared" si="0"/>
        <v>2306</v>
      </c>
      <c r="L15">
        <f t="shared" si="1"/>
        <v>1.0294642857142857</v>
      </c>
    </row>
    <row r="16" spans="1:12" x14ac:dyDescent="0.25">
      <c r="A16">
        <v>1720</v>
      </c>
      <c r="B16" t="s">
        <v>39</v>
      </c>
      <c r="C16" t="s">
        <v>110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1720</v>
      </c>
      <c r="B17" t="s">
        <v>35</v>
      </c>
      <c r="C17" t="s">
        <v>110</v>
      </c>
      <c r="D17" t="s">
        <v>8</v>
      </c>
      <c r="E17">
        <v>1</v>
      </c>
      <c r="F17">
        <v>2</v>
      </c>
      <c r="G17">
        <v>2</v>
      </c>
      <c r="H17">
        <v>14</v>
      </c>
      <c r="J17">
        <f t="shared" si="0"/>
        <v>2534</v>
      </c>
      <c r="L17">
        <f t="shared" si="1"/>
        <v>1.1312500000000001</v>
      </c>
    </row>
    <row r="18" spans="1:12" x14ac:dyDescent="0.25">
      <c r="A18">
        <v>1720</v>
      </c>
      <c r="B18" t="s">
        <v>21</v>
      </c>
      <c r="C18" t="s">
        <v>110</v>
      </c>
      <c r="D18" t="s">
        <v>8</v>
      </c>
      <c r="H18">
        <v>49463</v>
      </c>
      <c r="I18" t="s">
        <v>81</v>
      </c>
      <c r="J18">
        <f t="shared" si="0"/>
        <v>49463</v>
      </c>
      <c r="L18">
        <f t="shared" si="1"/>
        <v>22.08169642857143</v>
      </c>
    </row>
    <row r="19" spans="1:12" x14ac:dyDescent="0.25">
      <c r="A19">
        <v>1720</v>
      </c>
      <c r="B19" t="s">
        <v>30</v>
      </c>
      <c r="C19" t="s">
        <v>110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1720</v>
      </c>
      <c r="B20" t="s">
        <v>29</v>
      </c>
      <c r="C20" t="s">
        <v>110</v>
      </c>
      <c r="D20" t="s">
        <v>8</v>
      </c>
      <c r="H20">
        <v>92357</v>
      </c>
      <c r="I20" s="3">
        <v>1.5008796296296296</v>
      </c>
      <c r="J20">
        <f t="shared" si="0"/>
        <v>92357</v>
      </c>
      <c r="L20">
        <f t="shared" si="1"/>
        <v>41.230803571428574</v>
      </c>
    </row>
    <row r="21" spans="1:12" x14ac:dyDescent="0.25">
      <c r="A21">
        <v>1720</v>
      </c>
      <c r="B21" t="s">
        <v>16</v>
      </c>
      <c r="C21" t="s">
        <v>110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1720</v>
      </c>
      <c r="B22" t="s">
        <v>19</v>
      </c>
      <c r="C22" t="s">
        <v>110</v>
      </c>
      <c r="D22" t="s">
        <v>8</v>
      </c>
      <c r="I22" t="s">
        <v>79</v>
      </c>
      <c r="J22">
        <f t="shared" si="0"/>
        <v>0</v>
      </c>
      <c r="L22">
        <f t="shared" si="1"/>
        <v>0</v>
      </c>
    </row>
    <row r="23" spans="1:12" x14ac:dyDescent="0.25">
      <c r="A23">
        <v>1720</v>
      </c>
      <c r="B23" t="s">
        <v>37</v>
      </c>
      <c r="C23" t="s">
        <v>110</v>
      </c>
      <c r="D23" t="s">
        <v>8</v>
      </c>
      <c r="F23">
        <v>24</v>
      </c>
      <c r="G23">
        <v>4</v>
      </c>
      <c r="J23">
        <f t="shared" si="0"/>
        <v>2800</v>
      </c>
      <c r="L23">
        <f t="shared" si="1"/>
        <v>1.25</v>
      </c>
    </row>
    <row r="24" spans="1:12" x14ac:dyDescent="0.25">
      <c r="A24">
        <v>1720</v>
      </c>
      <c r="B24" t="s">
        <v>32</v>
      </c>
      <c r="C24" t="s">
        <v>110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1720</v>
      </c>
      <c r="B25" t="s">
        <v>27</v>
      </c>
      <c r="C25" t="s">
        <v>110</v>
      </c>
      <c r="D25" t="s">
        <v>8</v>
      </c>
      <c r="F25">
        <v>776</v>
      </c>
      <c r="G25">
        <v>2</v>
      </c>
      <c r="H25">
        <v>25</v>
      </c>
      <c r="J25">
        <f t="shared" si="0"/>
        <v>86993</v>
      </c>
      <c r="L25">
        <f t="shared" si="1"/>
        <v>38.836160714285711</v>
      </c>
    </row>
    <row r="26" spans="1:12" x14ac:dyDescent="0.25">
      <c r="A26">
        <v>1720</v>
      </c>
      <c r="B26" t="s">
        <v>22</v>
      </c>
      <c r="C26" t="s">
        <v>110</v>
      </c>
      <c r="D26" t="s">
        <v>8</v>
      </c>
      <c r="H26">
        <v>216380</v>
      </c>
      <c r="I26" t="s">
        <v>82</v>
      </c>
      <c r="J26">
        <f t="shared" si="0"/>
        <v>216380</v>
      </c>
      <c r="L26">
        <f t="shared" si="1"/>
        <v>96.598214285714292</v>
      </c>
    </row>
    <row r="27" spans="1:12" x14ac:dyDescent="0.25">
      <c r="A27">
        <v>1720</v>
      </c>
      <c r="B27" t="s">
        <v>24</v>
      </c>
      <c r="C27" t="s">
        <v>110</v>
      </c>
      <c r="D27" t="s">
        <v>8</v>
      </c>
      <c r="F27">
        <v>183</v>
      </c>
      <c r="G27">
        <v>3</v>
      </c>
      <c r="J27">
        <f t="shared" si="0"/>
        <v>20580</v>
      </c>
      <c r="L27">
        <f t="shared" si="1"/>
        <v>9.1875</v>
      </c>
    </row>
    <row r="28" spans="1:12" x14ac:dyDescent="0.25">
      <c r="A28">
        <v>1720</v>
      </c>
      <c r="B28" t="s">
        <v>38</v>
      </c>
      <c r="C28" t="s">
        <v>110</v>
      </c>
      <c r="D28" t="s">
        <v>8</v>
      </c>
      <c r="H28">
        <v>100</v>
      </c>
      <c r="J28">
        <f t="shared" si="0"/>
        <v>100</v>
      </c>
      <c r="L28">
        <f t="shared" si="1"/>
        <v>4.4642857142857144E-2</v>
      </c>
    </row>
    <row r="29" spans="1:12" x14ac:dyDescent="0.25">
      <c r="A29">
        <v>1720</v>
      </c>
      <c r="B29" t="s">
        <v>36</v>
      </c>
      <c r="C29" t="s">
        <v>110</v>
      </c>
      <c r="D29" t="s">
        <v>8</v>
      </c>
      <c r="H29">
        <v>1426</v>
      </c>
      <c r="J29">
        <f t="shared" si="0"/>
        <v>1426</v>
      </c>
      <c r="L29">
        <f t="shared" si="1"/>
        <v>0.63660714285714282</v>
      </c>
    </row>
    <row r="30" spans="1:12" x14ac:dyDescent="0.25">
      <c r="A30">
        <v>1720</v>
      </c>
      <c r="B30" t="s">
        <v>20</v>
      </c>
      <c r="C30" t="s">
        <v>110</v>
      </c>
      <c r="D30" t="s">
        <v>8</v>
      </c>
      <c r="H30">
        <v>4345</v>
      </c>
      <c r="J30">
        <f t="shared" si="0"/>
        <v>4345</v>
      </c>
      <c r="L30">
        <f t="shared" si="1"/>
        <v>1.9397321428571428</v>
      </c>
    </row>
    <row r="31" spans="1:12" x14ac:dyDescent="0.25">
      <c r="A31">
        <v>1720</v>
      </c>
      <c r="B31" t="s">
        <v>23</v>
      </c>
      <c r="C31" t="s">
        <v>110</v>
      </c>
      <c r="D31" t="s">
        <v>8</v>
      </c>
      <c r="H31">
        <v>195</v>
      </c>
      <c r="J31">
        <f t="shared" si="0"/>
        <v>195</v>
      </c>
      <c r="L31">
        <f t="shared" si="1"/>
        <v>8.7053571428571425E-2</v>
      </c>
    </row>
    <row r="32" spans="1:12" x14ac:dyDescent="0.25">
      <c r="A32">
        <v>1720</v>
      </c>
      <c r="B32" t="s">
        <v>18</v>
      </c>
      <c r="C32" t="s">
        <v>110</v>
      </c>
      <c r="D32" t="s">
        <v>8</v>
      </c>
      <c r="F32">
        <v>18</v>
      </c>
      <c r="J32">
        <f t="shared" si="0"/>
        <v>2016</v>
      </c>
      <c r="L32">
        <f t="shared" si="1"/>
        <v>0.9</v>
      </c>
    </row>
    <row r="33" spans="1:12" x14ac:dyDescent="0.25">
      <c r="A33">
        <v>1720</v>
      </c>
      <c r="B33" t="s">
        <v>114</v>
      </c>
      <c r="C33" t="s">
        <v>110</v>
      </c>
      <c r="D33" t="s">
        <v>8</v>
      </c>
      <c r="E33">
        <v>41</v>
      </c>
      <c r="F33">
        <v>2</v>
      </c>
      <c r="G33">
        <v>3</v>
      </c>
      <c r="H33">
        <v>17</v>
      </c>
      <c r="J33">
        <f t="shared" si="0"/>
        <v>92165</v>
      </c>
      <c r="L33">
        <f t="shared" si="1"/>
        <v>41.145089285714285</v>
      </c>
    </row>
    <row r="34" spans="1:12" x14ac:dyDescent="0.25">
      <c r="A34">
        <v>1720</v>
      </c>
      <c r="B34" t="s">
        <v>120</v>
      </c>
      <c r="C34" t="s">
        <v>110</v>
      </c>
      <c r="D34" t="s">
        <v>8</v>
      </c>
      <c r="E34">
        <v>96</v>
      </c>
      <c r="F34">
        <v>18</v>
      </c>
      <c r="G34">
        <v>2</v>
      </c>
      <c r="H34">
        <v>12</v>
      </c>
      <c r="J34">
        <f t="shared" ref="J34:J65" si="2">(E34*2240)+(F34*112)+(G34*28)+H34</f>
        <v>217124</v>
      </c>
      <c r="L34">
        <f t="shared" ref="L34:L65" si="3">J34/2240</f>
        <v>96.930357142857147</v>
      </c>
    </row>
    <row r="35" spans="1:12" x14ac:dyDescent="0.25">
      <c r="A35">
        <v>1720</v>
      </c>
      <c r="B35" t="s">
        <v>118</v>
      </c>
      <c r="C35" t="s">
        <v>110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1720</v>
      </c>
      <c r="B36" t="s">
        <v>117</v>
      </c>
      <c r="C36" t="s">
        <v>110</v>
      </c>
      <c r="D36" t="s">
        <v>8</v>
      </c>
      <c r="E36">
        <v>12</v>
      </c>
      <c r="F36">
        <v>11</v>
      </c>
      <c r="H36">
        <v>20</v>
      </c>
      <c r="J36">
        <f t="shared" si="2"/>
        <v>28132</v>
      </c>
      <c r="L36">
        <f t="shared" si="3"/>
        <v>12.558928571428572</v>
      </c>
    </row>
    <row r="37" spans="1:12" x14ac:dyDescent="0.25">
      <c r="A37">
        <v>1720</v>
      </c>
      <c r="B37" t="s">
        <v>54</v>
      </c>
      <c r="C37" t="s">
        <v>110</v>
      </c>
      <c r="D37" t="s">
        <v>12</v>
      </c>
      <c r="H37">
        <v>1443</v>
      </c>
      <c r="J37">
        <f t="shared" si="2"/>
        <v>1443</v>
      </c>
      <c r="L37">
        <f t="shared" si="3"/>
        <v>0.64419642857142856</v>
      </c>
    </row>
    <row r="38" spans="1:12" x14ac:dyDescent="0.25">
      <c r="A38">
        <v>1720</v>
      </c>
      <c r="B38" t="s">
        <v>26</v>
      </c>
      <c r="C38" t="s">
        <v>110</v>
      </c>
      <c r="D38" t="s">
        <v>12</v>
      </c>
      <c r="J38">
        <f t="shared" si="2"/>
        <v>0</v>
      </c>
      <c r="L38">
        <f t="shared" si="3"/>
        <v>0</v>
      </c>
    </row>
    <row r="39" spans="1:12" x14ac:dyDescent="0.25">
      <c r="A39">
        <v>1720</v>
      </c>
      <c r="B39" t="s">
        <v>61</v>
      </c>
      <c r="C39" t="s">
        <v>110</v>
      </c>
      <c r="D39" t="s">
        <v>12</v>
      </c>
      <c r="J39">
        <f t="shared" si="2"/>
        <v>0</v>
      </c>
      <c r="L39">
        <f t="shared" si="3"/>
        <v>0</v>
      </c>
    </row>
    <row r="40" spans="1:12" x14ac:dyDescent="0.25">
      <c r="A40">
        <v>1720</v>
      </c>
      <c r="B40" t="s">
        <v>17</v>
      </c>
      <c r="C40" t="s">
        <v>110</v>
      </c>
      <c r="D40" t="s">
        <v>12</v>
      </c>
      <c r="F40">
        <v>25551</v>
      </c>
      <c r="G40">
        <v>1</v>
      </c>
      <c r="H40">
        <v>21</v>
      </c>
      <c r="J40">
        <f t="shared" si="2"/>
        <v>2861761</v>
      </c>
      <c r="L40">
        <f t="shared" si="3"/>
        <v>1277.5718750000001</v>
      </c>
    </row>
    <row r="41" spans="1:12" x14ac:dyDescent="0.25">
      <c r="A41">
        <v>1720</v>
      </c>
      <c r="B41" t="s">
        <v>13</v>
      </c>
      <c r="C41" t="s">
        <v>110</v>
      </c>
      <c r="D41" t="s">
        <v>12</v>
      </c>
      <c r="H41">
        <v>56</v>
      </c>
      <c r="J41">
        <f t="shared" si="2"/>
        <v>56</v>
      </c>
      <c r="L41">
        <f t="shared" si="3"/>
        <v>2.5000000000000001E-2</v>
      </c>
    </row>
    <row r="42" spans="1:12" x14ac:dyDescent="0.25">
      <c r="A42">
        <v>1720</v>
      </c>
      <c r="B42" t="s">
        <v>73</v>
      </c>
      <c r="C42" t="s">
        <v>110</v>
      </c>
      <c r="D42" t="s">
        <v>12</v>
      </c>
      <c r="J42">
        <f t="shared" si="2"/>
        <v>0</v>
      </c>
      <c r="L42">
        <f t="shared" si="3"/>
        <v>0</v>
      </c>
    </row>
    <row r="43" spans="1:12" x14ac:dyDescent="0.25">
      <c r="A43">
        <v>1720</v>
      </c>
      <c r="B43" t="s">
        <v>40</v>
      </c>
      <c r="C43" t="s">
        <v>110</v>
      </c>
      <c r="D43" t="s">
        <v>12</v>
      </c>
      <c r="G43">
        <v>2</v>
      </c>
      <c r="H43">
        <v>27</v>
      </c>
      <c r="J43">
        <f t="shared" si="2"/>
        <v>83</v>
      </c>
      <c r="L43">
        <f t="shared" si="3"/>
        <v>3.7053571428571429E-2</v>
      </c>
    </row>
    <row r="44" spans="1:12" x14ac:dyDescent="0.25">
      <c r="A44">
        <v>1720</v>
      </c>
      <c r="B44" t="s">
        <v>62</v>
      </c>
      <c r="C44" t="s">
        <v>110</v>
      </c>
      <c r="D44" t="s">
        <v>12</v>
      </c>
      <c r="J44">
        <f t="shared" si="2"/>
        <v>0</v>
      </c>
      <c r="L44">
        <f t="shared" si="3"/>
        <v>0</v>
      </c>
    </row>
    <row r="45" spans="1:12" x14ac:dyDescent="0.25">
      <c r="A45">
        <v>1720</v>
      </c>
      <c r="B45" t="s">
        <v>10</v>
      </c>
      <c r="C45" t="s">
        <v>110</v>
      </c>
      <c r="D45" t="s">
        <v>12</v>
      </c>
      <c r="H45">
        <v>103421</v>
      </c>
      <c r="J45">
        <f t="shared" si="2"/>
        <v>103421</v>
      </c>
      <c r="L45">
        <f t="shared" si="3"/>
        <v>46.170089285714283</v>
      </c>
    </row>
    <row r="46" spans="1:12" x14ac:dyDescent="0.25">
      <c r="A46">
        <v>1720</v>
      </c>
      <c r="B46" t="s">
        <v>15</v>
      </c>
      <c r="C46" t="s">
        <v>110</v>
      </c>
      <c r="D46" t="s">
        <v>12</v>
      </c>
      <c r="F46">
        <v>541</v>
      </c>
      <c r="H46">
        <v>7</v>
      </c>
      <c r="J46">
        <f t="shared" si="2"/>
        <v>60599</v>
      </c>
      <c r="L46">
        <f t="shared" si="3"/>
        <v>27.053125000000001</v>
      </c>
    </row>
    <row r="47" spans="1:12" x14ac:dyDescent="0.25">
      <c r="A47">
        <v>1720</v>
      </c>
      <c r="B47" t="s">
        <v>25</v>
      </c>
      <c r="C47" t="s">
        <v>110</v>
      </c>
      <c r="D47" t="s">
        <v>12</v>
      </c>
      <c r="F47">
        <v>92</v>
      </c>
      <c r="G47">
        <v>1</v>
      </c>
      <c r="H47">
        <v>4</v>
      </c>
      <c r="J47">
        <f t="shared" si="2"/>
        <v>10336</v>
      </c>
      <c r="L47">
        <f t="shared" si="3"/>
        <v>4.6142857142857139</v>
      </c>
    </row>
    <row r="48" spans="1:12" x14ac:dyDescent="0.25">
      <c r="A48">
        <v>1720</v>
      </c>
      <c r="B48" t="s">
        <v>59</v>
      </c>
      <c r="C48" t="s">
        <v>110</v>
      </c>
      <c r="D48" t="s">
        <v>12</v>
      </c>
      <c r="J48">
        <f t="shared" si="2"/>
        <v>0</v>
      </c>
      <c r="L48">
        <f t="shared" si="3"/>
        <v>0</v>
      </c>
    </row>
    <row r="49" spans="1:12" x14ac:dyDescent="0.25">
      <c r="A49">
        <v>1720</v>
      </c>
      <c r="B49" t="s">
        <v>60</v>
      </c>
      <c r="C49" t="s">
        <v>110</v>
      </c>
      <c r="D49" t="s">
        <v>12</v>
      </c>
      <c r="J49">
        <f t="shared" si="2"/>
        <v>0</v>
      </c>
      <c r="L49">
        <f t="shared" si="3"/>
        <v>0</v>
      </c>
    </row>
    <row r="50" spans="1:12" x14ac:dyDescent="0.25">
      <c r="A50">
        <v>1720</v>
      </c>
      <c r="B50" t="s">
        <v>9</v>
      </c>
      <c r="C50" t="s">
        <v>110</v>
      </c>
      <c r="D50" t="s">
        <v>12</v>
      </c>
      <c r="H50">
        <v>7946</v>
      </c>
      <c r="J50">
        <f t="shared" si="2"/>
        <v>7946</v>
      </c>
      <c r="L50">
        <f t="shared" si="3"/>
        <v>3.5473214285714287</v>
      </c>
    </row>
    <row r="51" spans="1:12" x14ac:dyDescent="0.25">
      <c r="A51">
        <v>1720</v>
      </c>
      <c r="B51" t="s">
        <v>39</v>
      </c>
      <c r="C51" t="s">
        <v>110</v>
      </c>
      <c r="D51" t="s">
        <v>12</v>
      </c>
      <c r="J51">
        <f t="shared" si="2"/>
        <v>0</v>
      </c>
      <c r="L51">
        <f t="shared" si="3"/>
        <v>0</v>
      </c>
    </row>
    <row r="52" spans="1:12" x14ac:dyDescent="0.25">
      <c r="A52">
        <v>1720</v>
      </c>
      <c r="B52" t="s">
        <v>35</v>
      </c>
      <c r="C52" t="s">
        <v>110</v>
      </c>
      <c r="D52" t="s">
        <v>12</v>
      </c>
      <c r="E52">
        <v>4</v>
      </c>
      <c r="J52">
        <f t="shared" si="2"/>
        <v>8960</v>
      </c>
      <c r="L52">
        <f t="shared" si="3"/>
        <v>4</v>
      </c>
    </row>
    <row r="53" spans="1:12" x14ac:dyDescent="0.25">
      <c r="A53">
        <v>1720</v>
      </c>
      <c r="B53" t="s">
        <v>21</v>
      </c>
      <c r="C53" t="s">
        <v>110</v>
      </c>
      <c r="D53" t="s">
        <v>12</v>
      </c>
      <c r="H53">
        <v>13352</v>
      </c>
      <c r="I53" t="s">
        <v>83</v>
      </c>
      <c r="J53">
        <f t="shared" si="2"/>
        <v>13352</v>
      </c>
      <c r="L53">
        <f t="shared" si="3"/>
        <v>5.9607142857142854</v>
      </c>
    </row>
    <row r="54" spans="1:12" x14ac:dyDescent="0.25">
      <c r="A54">
        <v>1720</v>
      </c>
      <c r="B54" t="s">
        <v>30</v>
      </c>
      <c r="C54" t="s">
        <v>110</v>
      </c>
      <c r="D54" t="s">
        <v>12</v>
      </c>
      <c r="J54">
        <f t="shared" si="2"/>
        <v>0</v>
      </c>
      <c r="L54">
        <f t="shared" si="3"/>
        <v>0</v>
      </c>
    </row>
    <row r="55" spans="1:12" x14ac:dyDescent="0.25">
      <c r="A55">
        <v>1720</v>
      </c>
      <c r="B55" t="s">
        <v>29</v>
      </c>
      <c r="C55" t="s">
        <v>110</v>
      </c>
      <c r="D55" t="s">
        <v>12</v>
      </c>
      <c r="H55">
        <v>10456</v>
      </c>
      <c r="I55" s="3">
        <v>0.16699074074074075</v>
      </c>
      <c r="J55">
        <f t="shared" si="2"/>
        <v>10456</v>
      </c>
      <c r="L55">
        <f t="shared" si="3"/>
        <v>4.6678571428571427</v>
      </c>
    </row>
    <row r="56" spans="1:12" x14ac:dyDescent="0.25">
      <c r="A56">
        <v>1720</v>
      </c>
      <c r="B56" t="s">
        <v>16</v>
      </c>
      <c r="C56" t="s">
        <v>110</v>
      </c>
      <c r="D56" t="s">
        <v>12</v>
      </c>
      <c r="F56">
        <v>35</v>
      </c>
      <c r="J56">
        <f t="shared" si="2"/>
        <v>3920</v>
      </c>
      <c r="L56">
        <f t="shared" si="3"/>
        <v>1.75</v>
      </c>
    </row>
    <row r="57" spans="1:12" x14ac:dyDescent="0.25">
      <c r="A57">
        <v>1720</v>
      </c>
      <c r="B57" t="s">
        <v>19</v>
      </c>
      <c r="C57" t="s">
        <v>110</v>
      </c>
      <c r="D57" t="s">
        <v>12</v>
      </c>
      <c r="J57">
        <f t="shared" si="2"/>
        <v>0</v>
      </c>
      <c r="L57">
        <f t="shared" si="3"/>
        <v>0</v>
      </c>
    </row>
    <row r="58" spans="1:12" x14ac:dyDescent="0.25">
      <c r="A58">
        <v>1720</v>
      </c>
      <c r="B58" t="s">
        <v>37</v>
      </c>
      <c r="C58" t="s">
        <v>110</v>
      </c>
      <c r="D58" t="s">
        <v>12</v>
      </c>
      <c r="J58">
        <f t="shared" si="2"/>
        <v>0</v>
      </c>
      <c r="L58">
        <f t="shared" si="3"/>
        <v>0</v>
      </c>
    </row>
    <row r="59" spans="1:12" x14ac:dyDescent="0.25">
      <c r="A59">
        <v>1720</v>
      </c>
      <c r="B59" t="s">
        <v>32</v>
      </c>
      <c r="C59" t="s">
        <v>110</v>
      </c>
      <c r="D59" t="s">
        <v>12</v>
      </c>
      <c r="H59">
        <v>1120</v>
      </c>
      <c r="J59">
        <f t="shared" si="2"/>
        <v>1120</v>
      </c>
      <c r="L59">
        <f t="shared" si="3"/>
        <v>0.5</v>
      </c>
    </row>
    <row r="60" spans="1:12" x14ac:dyDescent="0.25">
      <c r="A60">
        <v>1720</v>
      </c>
      <c r="B60" t="s">
        <v>27</v>
      </c>
      <c r="C60" t="s">
        <v>110</v>
      </c>
      <c r="D60" t="s">
        <v>12</v>
      </c>
      <c r="F60">
        <v>75</v>
      </c>
      <c r="G60">
        <v>2</v>
      </c>
      <c r="H60">
        <v>6</v>
      </c>
      <c r="J60">
        <f t="shared" si="2"/>
        <v>8462</v>
      </c>
      <c r="L60">
        <f t="shared" si="3"/>
        <v>3.7776785714285714</v>
      </c>
    </row>
    <row r="61" spans="1:12" x14ac:dyDescent="0.25">
      <c r="A61">
        <v>1720</v>
      </c>
      <c r="B61" t="s">
        <v>22</v>
      </c>
      <c r="C61" t="s">
        <v>110</v>
      </c>
      <c r="D61" t="s">
        <v>12</v>
      </c>
      <c r="H61">
        <v>9608</v>
      </c>
      <c r="I61" t="s">
        <v>84</v>
      </c>
      <c r="J61">
        <f t="shared" si="2"/>
        <v>9608</v>
      </c>
      <c r="L61">
        <f t="shared" si="3"/>
        <v>4.2892857142857146</v>
      </c>
    </row>
    <row r="62" spans="1:12" x14ac:dyDescent="0.25">
      <c r="A62">
        <v>1720</v>
      </c>
      <c r="B62" t="s">
        <v>24</v>
      </c>
      <c r="C62" t="s">
        <v>110</v>
      </c>
      <c r="D62" t="s">
        <v>12</v>
      </c>
      <c r="F62">
        <v>9</v>
      </c>
      <c r="H62">
        <v>4</v>
      </c>
      <c r="J62">
        <f t="shared" si="2"/>
        <v>1012</v>
      </c>
      <c r="L62">
        <f t="shared" si="3"/>
        <v>0.45178571428571429</v>
      </c>
    </row>
    <row r="63" spans="1:12" x14ac:dyDescent="0.25">
      <c r="A63">
        <v>1720</v>
      </c>
      <c r="B63" t="s">
        <v>38</v>
      </c>
      <c r="C63" t="s">
        <v>110</v>
      </c>
      <c r="D63" t="s">
        <v>12</v>
      </c>
      <c r="J63">
        <f t="shared" si="2"/>
        <v>0</v>
      </c>
      <c r="L63">
        <f t="shared" si="3"/>
        <v>0</v>
      </c>
    </row>
    <row r="64" spans="1:12" x14ac:dyDescent="0.25">
      <c r="A64">
        <v>1720</v>
      </c>
      <c r="B64" t="s">
        <v>36</v>
      </c>
      <c r="C64" t="s">
        <v>110</v>
      </c>
      <c r="D64" t="s">
        <v>12</v>
      </c>
      <c r="H64">
        <v>153</v>
      </c>
      <c r="J64">
        <f t="shared" si="2"/>
        <v>153</v>
      </c>
      <c r="L64">
        <f t="shared" si="3"/>
        <v>6.8303571428571422E-2</v>
      </c>
    </row>
    <row r="65" spans="1:12" x14ac:dyDescent="0.25">
      <c r="A65">
        <v>1720</v>
      </c>
      <c r="B65" t="s">
        <v>20</v>
      </c>
      <c r="C65" t="s">
        <v>110</v>
      </c>
      <c r="D65" t="s">
        <v>12</v>
      </c>
      <c r="H65">
        <v>6000</v>
      </c>
      <c r="J65">
        <f t="shared" si="2"/>
        <v>6000</v>
      </c>
      <c r="L65">
        <f t="shared" si="3"/>
        <v>2.6785714285714284</v>
      </c>
    </row>
    <row r="66" spans="1:12" x14ac:dyDescent="0.25">
      <c r="A66">
        <v>1720</v>
      </c>
      <c r="B66" t="s">
        <v>23</v>
      </c>
      <c r="C66" t="s">
        <v>110</v>
      </c>
      <c r="D66" t="s">
        <v>12</v>
      </c>
      <c r="H66">
        <v>450</v>
      </c>
      <c r="J66">
        <f t="shared" ref="J66:J71" si="4">(E66*2240)+(F66*112)+(G66*28)+H66</f>
        <v>450</v>
      </c>
      <c r="L66">
        <f t="shared" ref="L66:L71" si="5">J66/2240</f>
        <v>0.20089285714285715</v>
      </c>
    </row>
    <row r="67" spans="1:12" x14ac:dyDescent="0.25">
      <c r="A67">
        <v>1720</v>
      </c>
      <c r="B67" t="s">
        <v>18</v>
      </c>
      <c r="C67" t="s">
        <v>110</v>
      </c>
      <c r="D67" t="s">
        <v>12</v>
      </c>
      <c r="J67">
        <f t="shared" si="4"/>
        <v>0</v>
      </c>
      <c r="L67">
        <f t="shared" si="5"/>
        <v>0</v>
      </c>
    </row>
    <row r="68" spans="1:12" x14ac:dyDescent="0.25">
      <c r="A68">
        <v>1720</v>
      </c>
      <c r="B68" t="s">
        <v>114</v>
      </c>
      <c r="C68" t="s">
        <v>110</v>
      </c>
      <c r="D68" t="s">
        <v>12</v>
      </c>
      <c r="J68">
        <f t="shared" si="4"/>
        <v>0</v>
      </c>
      <c r="L68">
        <f t="shared" si="5"/>
        <v>0</v>
      </c>
    </row>
    <row r="69" spans="1:12" x14ac:dyDescent="0.25">
      <c r="A69">
        <v>1720</v>
      </c>
      <c r="B69" t="s">
        <v>120</v>
      </c>
      <c r="C69" t="s">
        <v>110</v>
      </c>
      <c r="D69" t="s">
        <v>12</v>
      </c>
      <c r="E69">
        <v>69</v>
      </c>
      <c r="F69">
        <v>17</v>
      </c>
      <c r="G69">
        <v>2</v>
      </c>
      <c r="H69">
        <v>5</v>
      </c>
      <c r="J69">
        <f t="shared" si="4"/>
        <v>156525</v>
      </c>
      <c r="L69">
        <f t="shared" si="5"/>
        <v>69.877232142857139</v>
      </c>
    </row>
    <row r="70" spans="1:12" x14ac:dyDescent="0.25">
      <c r="A70">
        <v>1720</v>
      </c>
      <c r="B70" t="s">
        <v>118</v>
      </c>
      <c r="C70" t="s">
        <v>110</v>
      </c>
      <c r="D70" t="s">
        <v>12</v>
      </c>
      <c r="J70">
        <f t="shared" si="4"/>
        <v>0</v>
      </c>
      <c r="L70">
        <f t="shared" si="5"/>
        <v>0</v>
      </c>
    </row>
    <row r="71" spans="1:12" x14ac:dyDescent="0.25">
      <c r="A71">
        <v>1720</v>
      </c>
      <c r="B71" t="s">
        <v>117</v>
      </c>
      <c r="C71" t="s">
        <v>110</v>
      </c>
      <c r="D71" t="s">
        <v>12</v>
      </c>
      <c r="E71">
        <v>3</v>
      </c>
      <c r="F71">
        <v>5</v>
      </c>
      <c r="G71">
        <v>2</v>
      </c>
      <c r="H71">
        <v>20</v>
      </c>
      <c r="J71">
        <f t="shared" si="4"/>
        <v>7356</v>
      </c>
      <c r="L71">
        <f t="shared" si="5"/>
        <v>3.2839285714285715</v>
      </c>
    </row>
  </sheetData>
  <autoFilter ref="A1:P71" xr:uid="{AAD1F908-12B8-4B3A-A65D-184CD229ACD4}">
    <sortState xmlns:xlrd2="http://schemas.microsoft.com/office/spreadsheetml/2017/richdata2" ref="A2:P71">
      <sortCondition ref="D1:D7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11"/>
  <sheetViews>
    <sheetView workbookViewId="0">
      <selection activeCell="J7" sqref="J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9</v>
      </c>
      <c r="C2" t="s">
        <v>112</v>
      </c>
      <c r="D2" t="s">
        <v>12</v>
      </c>
      <c r="H2">
        <v>229</v>
      </c>
      <c r="J2">
        <f t="shared" ref="J2:J3" si="0">(E2*2240)+(F2*112)+(G2*28)+H2</f>
        <v>229</v>
      </c>
      <c r="K2" s="1"/>
      <c r="L2">
        <f t="shared" ref="L2:L3" si="1">J2/2240</f>
        <v>0.10223214285714285</v>
      </c>
    </row>
    <row r="3" spans="1:12" x14ac:dyDescent="0.25">
      <c r="A3">
        <v>1720</v>
      </c>
      <c r="B3" t="s">
        <v>118</v>
      </c>
      <c r="C3" t="s">
        <v>112</v>
      </c>
      <c r="D3" t="s">
        <v>12</v>
      </c>
      <c r="J3">
        <f t="shared" si="0"/>
        <v>0</v>
      </c>
      <c r="K3" s="1"/>
      <c r="L3">
        <f t="shared" si="1"/>
        <v>0</v>
      </c>
    </row>
    <row r="4" spans="1:12" x14ac:dyDescent="0.25">
      <c r="A4">
        <v>1720</v>
      </c>
      <c r="B4" t="s">
        <v>24</v>
      </c>
      <c r="C4" t="s">
        <v>112</v>
      </c>
      <c r="D4" t="s">
        <v>12</v>
      </c>
      <c r="G4">
        <v>3</v>
      </c>
      <c r="H4">
        <v>22</v>
      </c>
      <c r="J4">
        <f>(E4*2240)+(F4*112)+(G4*28)+H4</f>
        <v>106</v>
      </c>
      <c r="L4">
        <f>J4/2240</f>
        <v>4.732142857142857E-2</v>
      </c>
    </row>
    <row r="5" spans="1:12" x14ac:dyDescent="0.25">
      <c r="A5">
        <v>1720</v>
      </c>
      <c r="B5" t="s">
        <v>36</v>
      </c>
      <c r="C5" t="s">
        <v>112</v>
      </c>
      <c r="D5" t="s">
        <v>12</v>
      </c>
      <c r="J5">
        <f t="shared" ref="J5:J11" si="2">(E5*2240)+(F5*112)+(G5*28)+H5</f>
        <v>0</v>
      </c>
      <c r="L5">
        <f t="shared" ref="L5:L11" si="3">J5/2240</f>
        <v>0</v>
      </c>
    </row>
    <row r="6" spans="1:12" x14ac:dyDescent="0.25">
      <c r="A6">
        <v>1720</v>
      </c>
      <c r="B6" t="s">
        <v>10</v>
      </c>
      <c r="C6" t="s">
        <v>112</v>
      </c>
      <c r="D6" t="s">
        <v>12</v>
      </c>
      <c r="J6">
        <f t="shared" si="2"/>
        <v>0</v>
      </c>
      <c r="L6">
        <f t="shared" si="3"/>
        <v>0</v>
      </c>
    </row>
    <row r="7" spans="1:12" x14ac:dyDescent="0.25">
      <c r="A7">
        <v>1720</v>
      </c>
      <c r="B7" t="s">
        <v>40</v>
      </c>
      <c r="C7" t="s">
        <v>112</v>
      </c>
      <c r="D7" t="s">
        <v>12</v>
      </c>
      <c r="F7">
        <v>1</v>
      </c>
      <c r="H7">
        <v>10</v>
      </c>
      <c r="J7">
        <f t="shared" si="2"/>
        <v>122</v>
      </c>
      <c r="L7">
        <f t="shared" si="3"/>
        <v>5.4464285714285715E-2</v>
      </c>
    </row>
    <row r="8" spans="1:12" x14ac:dyDescent="0.25">
      <c r="A8">
        <v>1720</v>
      </c>
      <c r="B8" t="s">
        <v>27</v>
      </c>
      <c r="C8" t="s">
        <v>112</v>
      </c>
      <c r="D8" t="s">
        <v>12</v>
      </c>
      <c r="F8">
        <v>118</v>
      </c>
      <c r="G8">
        <v>2</v>
      </c>
      <c r="H8">
        <v>22</v>
      </c>
      <c r="J8">
        <f t="shared" si="2"/>
        <v>13294</v>
      </c>
      <c r="L8">
        <f t="shared" si="3"/>
        <v>5.9348214285714285</v>
      </c>
    </row>
    <row r="9" spans="1:12" x14ac:dyDescent="0.25">
      <c r="A9">
        <v>1720</v>
      </c>
      <c r="B9" t="s">
        <v>17</v>
      </c>
      <c r="C9" t="s">
        <v>112</v>
      </c>
      <c r="D9" t="s">
        <v>12</v>
      </c>
      <c r="F9">
        <v>100</v>
      </c>
      <c r="J9">
        <f t="shared" si="2"/>
        <v>11200</v>
      </c>
      <c r="L9">
        <f t="shared" si="3"/>
        <v>5</v>
      </c>
    </row>
    <row r="10" spans="1:12" x14ac:dyDescent="0.25">
      <c r="A10">
        <v>1720</v>
      </c>
      <c r="B10" t="s">
        <v>114</v>
      </c>
      <c r="C10" t="s">
        <v>112</v>
      </c>
      <c r="D10" t="s">
        <v>12</v>
      </c>
      <c r="E10">
        <v>19</v>
      </c>
      <c r="F10">
        <v>13</v>
      </c>
      <c r="H10">
        <v>20</v>
      </c>
      <c r="J10">
        <f t="shared" si="2"/>
        <v>44036</v>
      </c>
      <c r="L10">
        <f t="shared" si="3"/>
        <v>19.658928571428572</v>
      </c>
    </row>
    <row r="11" spans="1:12" x14ac:dyDescent="0.25">
      <c r="A11">
        <v>1720</v>
      </c>
      <c r="B11" t="s">
        <v>10</v>
      </c>
      <c r="C11" t="s">
        <v>112</v>
      </c>
      <c r="D11" t="s">
        <v>12</v>
      </c>
      <c r="H11">
        <v>500</v>
      </c>
      <c r="J11">
        <f t="shared" si="2"/>
        <v>500</v>
      </c>
      <c r="L11">
        <f t="shared" si="3"/>
        <v>0.22321428571428573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23"/>
  <sheetViews>
    <sheetView workbookViewId="0">
      <selection activeCell="J8" sqref="J8"/>
    </sheetView>
  </sheetViews>
  <sheetFormatPr defaultRowHeight="15" x14ac:dyDescent="0.25"/>
  <cols>
    <col min="2" max="3" width="13.8554687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25</v>
      </c>
      <c r="C2" t="s">
        <v>113</v>
      </c>
      <c r="D2" t="s">
        <v>8</v>
      </c>
      <c r="F2">
        <v>73</v>
      </c>
      <c r="H2">
        <v>13</v>
      </c>
      <c r="J2">
        <f>(E2*2240)+(F2*112)+(G2*28)+H2</f>
        <v>8189</v>
      </c>
      <c r="L2">
        <f>J2/2240</f>
        <v>3.6558035714285713</v>
      </c>
    </row>
    <row r="3" spans="1:12" x14ac:dyDescent="0.25">
      <c r="A3">
        <v>1720</v>
      </c>
      <c r="B3" t="s">
        <v>15</v>
      </c>
      <c r="C3" t="s">
        <v>113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1720</v>
      </c>
      <c r="B4" t="s">
        <v>27</v>
      </c>
      <c r="C4" t="s">
        <v>113</v>
      </c>
      <c r="D4" t="s">
        <v>8</v>
      </c>
      <c r="F4">
        <v>27951</v>
      </c>
      <c r="G4">
        <v>2</v>
      </c>
      <c r="H4">
        <v>17</v>
      </c>
      <c r="J4">
        <f>(E4*2240)+(F4*112)+(G4*28)+H4</f>
        <v>3130585</v>
      </c>
      <c r="L4">
        <f t="shared" ref="L4:L9" si="0">J4/2240</f>
        <v>1397.5825892857142</v>
      </c>
    </row>
    <row r="5" spans="1:12" x14ac:dyDescent="0.25">
      <c r="A5">
        <v>1720</v>
      </c>
      <c r="B5" t="s">
        <v>20</v>
      </c>
      <c r="C5" t="s">
        <v>113</v>
      </c>
      <c r="D5" t="s">
        <v>8</v>
      </c>
      <c r="J5">
        <f t="shared" ref="J5:J9" si="1">(E5*2240)+(F5*112)+(G5*28)+H5</f>
        <v>0</v>
      </c>
      <c r="L5">
        <f t="shared" si="0"/>
        <v>0</v>
      </c>
    </row>
    <row r="6" spans="1:12" x14ac:dyDescent="0.25">
      <c r="A6">
        <v>1720</v>
      </c>
      <c r="B6" t="s">
        <v>13</v>
      </c>
      <c r="C6" t="s">
        <v>113</v>
      </c>
      <c r="D6" t="s">
        <v>8</v>
      </c>
      <c r="J6">
        <f t="shared" si="1"/>
        <v>0</v>
      </c>
      <c r="L6">
        <f t="shared" si="0"/>
        <v>0</v>
      </c>
    </row>
    <row r="7" spans="1:12" x14ac:dyDescent="0.25">
      <c r="A7">
        <v>1720</v>
      </c>
      <c r="B7" t="s">
        <v>17</v>
      </c>
      <c r="C7" t="s">
        <v>113</v>
      </c>
      <c r="D7" t="s">
        <v>8</v>
      </c>
      <c r="F7">
        <v>82</v>
      </c>
      <c r="G7">
        <v>1</v>
      </c>
      <c r="J7">
        <f t="shared" si="1"/>
        <v>9212</v>
      </c>
      <c r="L7">
        <f t="shared" si="0"/>
        <v>4.1124999999999998</v>
      </c>
    </row>
    <row r="8" spans="1:12" x14ac:dyDescent="0.25">
      <c r="A8">
        <v>1720</v>
      </c>
      <c r="B8" t="s">
        <v>40</v>
      </c>
      <c r="C8" t="s">
        <v>113</v>
      </c>
      <c r="D8" t="s">
        <v>8</v>
      </c>
      <c r="J8">
        <f t="shared" si="1"/>
        <v>0</v>
      </c>
      <c r="L8">
        <f t="shared" si="0"/>
        <v>0</v>
      </c>
    </row>
    <row r="9" spans="1:12" x14ac:dyDescent="0.25">
      <c r="A9">
        <v>1720</v>
      </c>
      <c r="B9" t="s">
        <v>23</v>
      </c>
      <c r="C9" t="s">
        <v>113</v>
      </c>
      <c r="D9" t="s">
        <v>8</v>
      </c>
      <c r="J9">
        <f t="shared" si="1"/>
        <v>0</v>
      </c>
      <c r="L9">
        <f t="shared" si="0"/>
        <v>0</v>
      </c>
    </row>
    <row r="10" spans="1:12" x14ac:dyDescent="0.25">
      <c r="A10">
        <v>1720</v>
      </c>
      <c r="B10" t="s">
        <v>49</v>
      </c>
      <c r="C10" t="s">
        <v>113</v>
      </c>
      <c r="D10" t="s">
        <v>8</v>
      </c>
      <c r="J10">
        <f>(E10*2240)+(F10*112)+(G10*28)+H10</f>
        <v>0</v>
      </c>
      <c r="L10">
        <f>J10/2240</f>
        <v>0</v>
      </c>
    </row>
    <row r="11" spans="1:12" x14ac:dyDescent="0.25">
      <c r="A11">
        <v>1720</v>
      </c>
      <c r="B11" t="s">
        <v>63</v>
      </c>
      <c r="C11" t="s">
        <v>113</v>
      </c>
      <c r="D11" t="s">
        <v>8</v>
      </c>
      <c r="J11">
        <f>(E11*2240)+(F11*112)+(G11*28)+H11</f>
        <v>0</v>
      </c>
      <c r="L11">
        <f>J11/2240</f>
        <v>0</v>
      </c>
    </row>
    <row r="12" spans="1:12" x14ac:dyDescent="0.25">
      <c r="A12">
        <v>1720</v>
      </c>
      <c r="B12" t="s">
        <v>64</v>
      </c>
      <c r="C12" t="s">
        <v>113</v>
      </c>
      <c r="D12" t="s">
        <v>8</v>
      </c>
      <c r="J12">
        <f>(E12*2240)+(F12*112)+(G12*28)+H12</f>
        <v>0</v>
      </c>
      <c r="L12">
        <f>J12/2240</f>
        <v>0</v>
      </c>
    </row>
    <row r="13" spans="1:12" x14ac:dyDescent="0.25">
      <c r="A13">
        <v>1720</v>
      </c>
      <c r="B13" t="s">
        <v>35</v>
      </c>
      <c r="C13" t="s">
        <v>113</v>
      </c>
      <c r="D13" t="s">
        <v>8</v>
      </c>
      <c r="J13">
        <f t="shared" ref="J13:J14" si="2">(E13*2240)+(F13*112)+(G13*28)+H13</f>
        <v>0</v>
      </c>
      <c r="L13">
        <f t="shared" ref="L13:L15" si="3">J13/2240</f>
        <v>0</v>
      </c>
    </row>
    <row r="14" spans="1:12" x14ac:dyDescent="0.25">
      <c r="A14">
        <v>1720</v>
      </c>
      <c r="B14" t="s">
        <v>22</v>
      </c>
      <c r="C14" t="s">
        <v>113</v>
      </c>
      <c r="D14" t="s">
        <v>8</v>
      </c>
      <c r="J14">
        <f t="shared" si="2"/>
        <v>0</v>
      </c>
      <c r="L14">
        <f t="shared" si="3"/>
        <v>0</v>
      </c>
    </row>
    <row r="15" spans="1:12" x14ac:dyDescent="0.25">
      <c r="A15">
        <v>1720</v>
      </c>
      <c r="B15" t="s">
        <v>69</v>
      </c>
      <c r="C15" t="s">
        <v>113</v>
      </c>
      <c r="D15" t="s">
        <v>12</v>
      </c>
      <c r="J15">
        <f t="shared" ref="J15:J23" si="4">(E15*2240)+(F15*112)+(G15*28)+H15</f>
        <v>0</v>
      </c>
      <c r="L15">
        <f t="shared" si="3"/>
        <v>0</v>
      </c>
    </row>
    <row r="16" spans="1:12" x14ac:dyDescent="0.25">
      <c r="A16">
        <v>1720</v>
      </c>
      <c r="B16" t="s">
        <v>25</v>
      </c>
      <c r="C16" t="s">
        <v>113</v>
      </c>
      <c r="D16" t="s">
        <v>12</v>
      </c>
      <c r="J16">
        <f t="shared" si="4"/>
        <v>0</v>
      </c>
      <c r="L16">
        <f t="shared" ref="L16:L23" si="5">J16/2240</f>
        <v>0</v>
      </c>
    </row>
    <row r="17" spans="1:12" x14ac:dyDescent="0.25">
      <c r="A17">
        <v>1720</v>
      </c>
      <c r="B17" t="s">
        <v>9</v>
      </c>
      <c r="C17" t="s">
        <v>113</v>
      </c>
      <c r="D17" t="s">
        <v>12</v>
      </c>
      <c r="J17">
        <f t="shared" si="4"/>
        <v>0</v>
      </c>
      <c r="L17">
        <f t="shared" si="5"/>
        <v>0</v>
      </c>
    </row>
    <row r="18" spans="1:12" x14ac:dyDescent="0.25">
      <c r="A18">
        <v>1720</v>
      </c>
      <c r="B18" t="s">
        <v>27</v>
      </c>
      <c r="C18" t="s">
        <v>113</v>
      </c>
      <c r="D18" t="s">
        <v>12</v>
      </c>
      <c r="J18">
        <f t="shared" si="4"/>
        <v>0</v>
      </c>
      <c r="L18">
        <f t="shared" si="5"/>
        <v>0</v>
      </c>
    </row>
    <row r="19" spans="1:12" x14ac:dyDescent="0.25">
      <c r="A19">
        <v>1720</v>
      </c>
      <c r="B19" t="s">
        <v>17</v>
      </c>
      <c r="C19" t="s">
        <v>113</v>
      </c>
      <c r="D19" t="s">
        <v>12</v>
      </c>
      <c r="J19">
        <f t="shared" si="4"/>
        <v>0</v>
      </c>
      <c r="L19">
        <f t="shared" si="5"/>
        <v>0</v>
      </c>
    </row>
    <row r="20" spans="1:12" x14ac:dyDescent="0.25">
      <c r="A20">
        <v>1720</v>
      </c>
      <c r="B20" t="s">
        <v>10</v>
      </c>
      <c r="C20" t="s">
        <v>113</v>
      </c>
      <c r="D20" t="s">
        <v>12</v>
      </c>
      <c r="J20">
        <f t="shared" si="4"/>
        <v>0</v>
      </c>
      <c r="L20">
        <f t="shared" si="5"/>
        <v>0</v>
      </c>
    </row>
    <row r="21" spans="1:12" x14ac:dyDescent="0.25">
      <c r="A21">
        <v>1720</v>
      </c>
      <c r="B21" t="s">
        <v>71</v>
      </c>
      <c r="C21" t="s">
        <v>113</v>
      </c>
      <c r="D21" t="s">
        <v>12</v>
      </c>
      <c r="J21">
        <f t="shared" si="4"/>
        <v>0</v>
      </c>
      <c r="L21">
        <f t="shared" si="5"/>
        <v>0</v>
      </c>
    </row>
    <row r="22" spans="1:12" x14ac:dyDescent="0.25">
      <c r="A22">
        <v>1720</v>
      </c>
      <c r="B22" t="s">
        <v>40</v>
      </c>
      <c r="C22" t="s">
        <v>113</v>
      </c>
      <c r="D22" t="s">
        <v>12</v>
      </c>
      <c r="J22">
        <f t="shared" si="4"/>
        <v>0</v>
      </c>
      <c r="L22">
        <f t="shared" si="5"/>
        <v>0</v>
      </c>
    </row>
    <row r="23" spans="1:12" x14ac:dyDescent="0.25">
      <c r="A23">
        <v>1720</v>
      </c>
      <c r="B23" t="s">
        <v>21</v>
      </c>
      <c r="C23" t="s">
        <v>113</v>
      </c>
      <c r="D23" t="s">
        <v>12</v>
      </c>
      <c r="J23">
        <f t="shared" si="4"/>
        <v>0</v>
      </c>
      <c r="L23">
        <f t="shared" si="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Q60"/>
  <sheetViews>
    <sheetView zoomScaleNormal="100" workbookViewId="0">
      <selection activeCell="H11" sqref="H11"/>
    </sheetView>
  </sheetViews>
  <sheetFormatPr defaultRowHeight="15" x14ac:dyDescent="0.25"/>
  <cols>
    <col min="2" max="3" width="18.42578125" customWidth="1"/>
    <col min="4" max="4" width="18.5703125" customWidth="1"/>
    <col min="9" max="9" width="10.7109375" customWidth="1"/>
  </cols>
  <sheetData>
    <row r="1" spans="1:17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  <c r="O1" t="s">
        <v>33</v>
      </c>
      <c r="Q1" t="s">
        <v>34</v>
      </c>
    </row>
    <row r="2" spans="1:17" x14ac:dyDescent="0.25">
      <c r="A2">
        <v>1720</v>
      </c>
      <c r="B2" t="s">
        <v>26</v>
      </c>
      <c r="C2" t="s">
        <v>119</v>
      </c>
      <c r="D2" t="s">
        <v>8</v>
      </c>
      <c r="H2">
        <v>1343</v>
      </c>
      <c r="J2">
        <f t="shared" ref="J2:J33" si="0">(E2*2240)+(F2*112)+(G2*28)+H2</f>
        <v>1343</v>
      </c>
      <c r="L2">
        <f t="shared" ref="L2:L33" si="1">J2/2240</f>
        <v>0.59955357142857146</v>
      </c>
    </row>
    <row r="3" spans="1:17" x14ac:dyDescent="0.25">
      <c r="A3">
        <v>1720</v>
      </c>
      <c r="B3" t="s">
        <v>49</v>
      </c>
      <c r="C3" t="s">
        <v>119</v>
      </c>
      <c r="D3" t="s">
        <v>8</v>
      </c>
      <c r="J3">
        <f t="shared" si="0"/>
        <v>0</v>
      </c>
      <c r="L3">
        <f t="shared" si="1"/>
        <v>0</v>
      </c>
    </row>
    <row r="4" spans="1:17" x14ac:dyDescent="0.25">
      <c r="A4">
        <v>1720</v>
      </c>
      <c r="B4" t="s">
        <v>17</v>
      </c>
      <c r="C4" t="s">
        <v>119</v>
      </c>
      <c r="D4" t="s">
        <v>8</v>
      </c>
      <c r="F4">
        <v>143675</v>
      </c>
      <c r="G4">
        <v>2</v>
      </c>
      <c r="H4">
        <v>18</v>
      </c>
      <c r="J4">
        <f t="shared" si="0"/>
        <v>16091674</v>
      </c>
      <c r="L4">
        <f t="shared" si="1"/>
        <v>7183.7830357142857</v>
      </c>
    </row>
    <row r="5" spans="1:17" x14ac:dyDescent="0.25">
      <c r="A5">
        <v>1720</v>
      </c>
      <c r="B5" t="s">
        <v>51</v>
      </c>
      <c r="C5" t="s">
        <v>119</v>
      </c>
      <c r="D5" t="s">
        <v>8</v>
      </c>
      <c r="H5">
        <v>2946</v>
      </c>
      <c r="J5">
        <f t="shared" si="0"/>
        <v>2946</v>
      </c>
      <c r="L5">
        <f t="shared" si="1"/>
        <v>1.3151785714285715</v>
      </c>
    </row>
    <row r="6" spans="1:17" x14ac:dyDescent="0.25">
      <c r="A6">
        <v>1720</v>
      </c>
      <c r="B6" t="s">
        <v>13</v>
      </c>
      <c r="C6" t="s">
        <v>119</v>
      </c>
      <c r="D6" t="s">
        <v>8</v>
      </c>
      <c r="J6">
        <f t="shared" si="0"/>
        <v>0</v>
      </c>
      <c r="L6">
        <f t="shared" si="1"/>
        <v>0</v>
      </c>
    </row>
    <row r="7" spans="1:17" x14ac:dyDescent="0.25">
      <c r="A7">
        <v>1720</v>
      </c>
      <c r="B7" t="s">
        <v>73</v>
      </c>
      <c r="C7" t="s">
        <v>119</v>
      </c>
      <c r="D7" t="s">
        <v>8</v>
      </c>
      <c r="H7">
        <v>383</v>
      </c>
      <c r="J7">
        <f t="shared" si="0"/>
        <v>383</v>
      </c>
      <c r="L7">
        <f t="shared" si="1"/>
        <v>0.17098214285714286</v>
      </c>
    </row>
    <row r="8" spans="1:17" x14ac:dyDescent="0.25">
      <c r="A8">
        <v>1720</v>
      </c>
      <c r="B8" t="s">
        <v>40</v>
      </c>
      <c r="C8" t="s">
        <v>119</v>
      </c>
      <c r="D8" t="s">
        <v>8</v>
      </c>
      <c r="F8">
        <v>102</v>
      </c>
      <c r="G8">
        <v>2</v>
      </c>
      <c r="H8">
        <v>16</v>
      </c>
      <c r="J8">
        <f t="shared" si="0"/>
        <v>11496</v>
      </c>
      <c r="L8">
        <f t="shared" si="1"/>
        <v>5.1321428571428571</v>
      </c>
    </row>
    <row r="9" spans="1:17" x14ac:dyDescent="0.25">
      <c r="A9">
        <v>1720</v>
      </c>
      <c r="B9" t="s">
        <v>62</v>
      </c>
      <c r="C9" t="s">
        <v>119</v>
      </c>
      <c r="D9" t="s">
        <v>8</v>
      </c>
      <c r="J9">
        <f t="shared" si="0"/>
        <v>0</v>
      </c>
      <c r="L9">
        <f t="shared" si="1"/>
        <v>0</v>
      </c>
    </row>
    <row r="10" spans="1:17" x14ac:dyDescent="0.25">
      <c r="A10">
        <v>1720</v>
      </c>
      <c r="B10" t="s">
        <v>68</v>
      </c>
      <c r="C10" t="s">
        <v>119</v>
      </c>
      <c r="D10" t="s">
        <v>8</v>
      </c>
      <c r="J10">
        <f t="shared" si="0"/>
        <v>0</v>
      </c>
      <c r="L10">
        <f t="shared" si="1"/>
        <v>0</v>
      </c>
    </row>
    <row r="11" spans="1:17" x14ac:dyDescent="0.25">
      <c r="A11">
        <v>1720</v>
      </c>
      <c r="B11" t="s">
        <v>10</v>
      </c>
      <c r="C11" t="s">
        <v>119</v>
      </c>
      <c r="D11" t="s">
        <v>8</v>
      </c>
      <c r="H11">
        <f>1965*200</f>
        <v>393000</v>
      </c>
      <c r="I11" t="s">
        <v>87</v>
      </c>
      <c r="J11">
        <f t="shared" si="0"/>
        <v>393000</v>
      </c>
      <c r="L11">
        <f t="shared" si="1"/>
        <v>175.44642857142858</v>
      </c>
    </row>
    <row r="12" spans="1:17" x14ac:dyDescent="0.25">
      <c r="A12">
        <v>1720</v>
      </c>
      <c r="B12" t="s">
        <v>15</v>
      </c>
      <c r="C12" t="s">
        <v>119</v>
      </c>
      <c r="D12" t="s">
        <v>8</v>
      </c>
      <c r="F12">
        <v>12705</v>
      </c>
      <c r="G12">
        <v>1</v>
      </c>
      <c r="H12">
        <v>10</v>
      </c>
      <c r="J12">
        <f t="shared" si="0"/>
        <v>1422998</v>
      </c>
      <c r="L12">
        <f t="shared" si="1"/>
        <v>635.26696428571427</v>
      </c>
    </row>
    <row r="13" spans="1:17" x14ac:dyDescent="0.25">
      <c r="A13">
        <v>1720</v>
      </c>
      <c r="B13" t="s">
        <v>25</v>
      </c>
      <c r="C13" t="s">
        <v>119</v>
      </c>
      <c r="D13" t="s">
        <v>8</v>
      </c>
      <c r="F13">
        <v>503</v>
      </c>
      <c r="G13">
        <v>2</v>
      </c>
      <c r="H13">
        <v>10</v>
      </c>
      <c r="J13">
        <f t="shared" si="0"/>
        <v>56402</v>
      </c>
      <c r="L13">
        <f t="shared" si="1"/>
        <v>25.179464285714285</v>
      </c>
    </row>
    <row r="14" spans="1:17" x14ac:dyDescent="0.25">
      <c r="A14">
        <v>1720</v>
      </c>
      <c r="B14" t="s">
        <v>9</v>
      </c>
      <c r="C14" t="s">
        <v>119</v>
      </c>
      <c r="D14" t="s">
        <v>8</v>
      </c>
      <c r="H14">
        <f>60277+91641</f>
        <v>151918</v>
      </c>
      <c r="J14">
        <f t="shared" si="0"/>
        <v>151918</v>
      </c>
      <c r="L14">
        <f t="shared" si="1"/>
        <v>67.820535714285711</v>
      </c>
    </row>
    <row r="15" spans="1:17" x14ac:dyDescent="0.25">
      <c r="A15">
        <v>1720</v>
      </c>
      <c r="B15" t="s">
        <v>67</v>
      </c>
      <c r="C15" t="s">
        <v>119</v>
      </c>
      <c r="D15" t="s">
        <v>8</v>
      </c>
      <c r="J15">
        <f t="shared" si="0"/>
        <v>0</v>
      </c>
      <c r="L15">
        <f t="shared" si="1"/>
        <v>0</v>
      </c>
    </row>
    <row r="16" spans="1:17" x14ac:dyDescent="0.25">
      <c r="A16">
        <v>1720</v>
      </c>
      <c r="B16" t="s">
        <v>35</v>
      </c>
      <c r="C16" t="s">
        <v>119</v>
      </c>
      <c r="D16" t="s">
        <v>8</v>
      </c>
      <c r="F16">
        <v>17</v>
      </c>
      <c r="G16">
        <v>3</v>
      </c>
      <c r="J16">
        <f t="shared" si="0"/>
        <v>1988</v>
      </c>
      <c r="L16">
        <f t="shared" si="1"/>
        <v>0.88749999999999996</v>
      </c>
    </row>
    <row r="17" spans="1:12" x14ac:dyDescent="0.25">
      <c r="A17">
        <v>1720</v>
      </c>
      <c r="B17" t="s">
        <v>21</v>
      </c>
      <c r="C17" t="s">
        <v>119</v>
      </c>
      <c r="D17" t="s">
        <v>8</v>
      </c>
      <c r="H17">
        <v>83829</v>
      </c>
      <c r="I17" t="s">
        <v>88</v>
      </c>
      <c r="J17">
        <f t="shared" si="0"/>
        <v>83829</v>
      </c>
      <c r="L17">
        <f t="shared" si="1"/>
        <v>37.423660714285717</v>
      </c>
    </row>
    <row r="18" spans="1:12" x14ac:dyDescent="0.25">
      <c r="A18">
        <v>1720</v>
      </c>
      <c r="B18" t="s">
        <v>29</v>
      </c>
      <c r="C18" t="s">
        <v>119</v>
      </c>
      <c r="D18" t="s">
        <v>8</v>
      </c>
      <c r="H18">
        <v>36384</v>
      </c>
      <c r="I18" s="2">
        <v>0.5841898148148148</v>
      </c>
      <c r="J18">
        <f t="shared" si="0"/>
        <v>36384</v>
      </c>
      <c r="L18">
        <f t="shared" si="1"/>
        <v>16.242857142857144</v>
      </c>
    </row>
    <row r="19" spans="1:12" x14ac:dyDescent="0.25">
      <c r="A19">
        <v>1720</v>
      </c>
      <c r="B19" t="s">
        <v>16</v>
      </c>
      <c r="C19" t="s">
        <v>119</v>
      </c>
      <c r="D19" t="s">
        <v>8</v>
      </c>
      <c r="F19">
        <v>2</v>
      </c>
      <c r="G19">
        <v>2</v>
      </c>
      <c r="H19">
        <v>14</v>
      </c>
      <c r="J19">
        <f t="shared" si="0"/>
        <v>294</v>
      </c>
      <c r="L19">
        <f t="shared" si="1"/>
        <v>0.13125000000000001</v>
      </c>
    </row>
    <row r="20" spans="1:12" x14ac:dyDescent="0.25">
      <c r="A20">
        <v>1720</v>
      </c>
      <c r="B20" t="s">
        <v>32</v>
      </c>
      <c r="C20" t="s">
        <v>119</v>
      </c>
      <c r="D20" t="s">
        <v>8</v>
      </c>
      <c r="H20">
        <v>182964</v>
      </c>
      <c r="J20">
        <f t="shared" si="0"/>
        <v>182964</v>
      </c>
      <c r="L20">
        <f t="shared" si="1"/>
        <v>81.680357142857147</v>
      </c>
    </row>
    <row r="21" spans="1:12" x14ac:dyDescent="0.25">
      <c r="A21">
        <v>1720</v>
      </c>
      <c r="B21" t="s">
        <v>27</v>
      </c>
      <c r="C21" t="s">
        <v>119</v>
      </c>
      <c r="D21" t="s">
        <v>8</v>
      </c>
      <c r="F21">
        <v>3</v>
      </c>
      <c r="G21">
        <v>1</v>
      </c>
      <c r="H21">
        <v>14</v>
      </c>
      <c r="J21">
        <f t="shared" si="0"/>
        <v>378</v>
      </c>
      <c r="L21">
        <f t="shared" si="1"/>
        <v>0.16875000000000001</v>
      </c>
    </row>
    <row r="22" spans="1:12" x14ac:dyDescent="0.25">
      <c r="A22">
        <v>1720</v>
      </c>
      <c r="B22" t="s">
        <v>22</v>
      </c>
      <c r="C22" t="s">
        <v>119</v>
      </c>
      <c r="D22" t="s">
        <v>8</v>
      </c>
      <c r="H22">
        <v>260923</v>
      </c>
      <c r="I22" t="s">
        <v>89</v>
      </c>
      <c r="J22">
        <f t="shared" si="0"/>
        <v>260923</v>
      </c>
      <c r="L22">
        <f t="shared" si="1"/>
        <v>116.48348214285714</v>
      </c>
    </row>
    <row r="23" spans="1:12" x14ac:dyDescent="0.25">
      <c r="A23">
        <v>1720</v>
      </c>
      <c r="B23" t="s">
        <v>53</v>
      </c>
      <c r="C23" t="s">
        <v>119</v>
      </c>
      <c r="D23" t="s">
        <v>8</v>
      </c>
      <c r="H23">
        <v>48716</v>
      </c>
      <c r="J23">
        <f t="shared" si="0"/>
        <v>48716</v>
      </c>
      <c r="L23">
        <f t="shared" si="1"/>
        <v>21.748214285714287</v>
      </c>
    </row>
    <row r="24" spans="1:12" x14ac:dyDescent="0.25">
      <c r="A24">
        <v>1720</v>
      </c>
      <c r="B24" t="s">
        <v>24</v>
      </c>
      <c r="C24" t="s">
        <v>119</v>
      </c>
      <c r="D24" t="s">
        <v>8</v>
      </c>
      <c r="F24">
        <v>130</v>
      </c>
      <c r="G24">
        <v>1</v>
      </c>
      <c r="H24">
        <v>3</v>
      </c>
      <c r="J24">
        <f t="shared" si="0"/>
        <v>14591</v>
      </c>
      <c r="L24">
        <f t="shared" si="1"/>
        <v>6.5138392857142859</v>
      </c>
    </row>
    <row r="25" spans="1:12" x14ac:dyDescent="0.25">
      <c r="A25">
        <v>1720</v>
      </c>
      <c r="B25" t="s">
        <v>38</v>
      </c>
      <c r="C25" t="s">
        <v>119</v>
      </c>
      <c r="D25" t="s">
        <v>8</v>
      </c>
      <c r="H25">
        <v>3</v>
      </c>
      <c r="J25">
        <f t="shared" si="0"/>
        <v>3</v>
      </c>
      <c r="L25">
        <f t="shared" si="1"/>
        <v>1.3392857142857143E-3</v>
      </c>
    </row>
    <row r="26" spans="1:12" x14ac:dyDescent="0.25">
      <c r="A26">
        <v>1720</v>
      </c>
      <c r="B26" t="s">
        <v>36</v>
      </c>
      <c r="C26" t="s">
        <v>119</v>
      </c>
      <c r="D26" t="s">
        <v>8</v>
      </c>
      <c r="H26">
        <v>1311</v>
      </c>
      <c r="J26">
        <f t="shared" si="0"/>
        <v>1311</v>
      </c>
      <c r="L26">
        <f t="shared" si="1"/>
        <v>0.58526785714285712</v>
      </c>
    </row>
    <row r="27" spans="1:12" x14ac:dyDescent="0.25">
      <c r="A27">
        <v>1720</v>
      </c>
      <c r="B27" t="s">
        <v>28</v>
      </c>
      <c r="C27" t="s">
        <v>119</v>
      </c>
      <c r="D27" t="s">
        <v>8</v>
      </c>
      <c r="J27">
        <f t="shared" si="0"/>
        <v>0</v>
      </c>
      <c r="L27">
        <f t="shared" si="1"/>
        <v>0</v>
      </c>
    </row>
    <row r="28" spans="1:12" x14ac:dyDescent="0.25">
      <c r="A28">
        <v>1720</v>
      </c>
      <c r="B28" t="s">
        <v>20</v>
      </c>
      <c r="C28" t="s">
        <v>119</v>
      </c>
      <c r="D28" t="s">
        <v>8</v>
      </c>
      <c r="H28">
        <v>52</v>
      </c>
      <c r="J28">
        <f t="shared" si="0"/>
        <v>52</v>
      </c>
      <c r="L28">
        <f t="shared" si="1"/>
        <v>2.3214285714285715E-2</v>
      </c>
    </row>
    <row r="29" spans="1:12" x14ac:dyDescent="0.25">
      <c r="A29">
        <v>1720</v>
      </c>
      <c r="B29" t="s">
        <v>23</v>
      </c>
      <c r="C29" t="s">
        <v>119</v>
      </c>
      <c r="D29" t="s">
        <v>8</v>
      </c>
      <c r="H29">
        <v>4202</v>
      </c>
      <c r="J29">
        <f t="shared" si="0"/>
        <v>4202</v>
      </c>
      <c r="L29">
        <f t="shared" si="1"/>
        <v>1.8758928571428573</v>
      </c>
    </row>
    <row r="30" spans="1:12" x14ac:dyDescent="0.25">
      <c r="A30">
        <v>1720</v>
      </c>
      <c r="B30" t="s">
        <v>18</v>
      </c>
      <c r="C30" t="s">
        <v>119</v>
      </c>
      <c r="D30" t="s">
        <v>8</v>
      </c>
      <c r="J30">
        <f t="shared" si="0"/>
        <v>0</v>
      </c>
      <c r="L30">
        <f t="shared" si="1"/>
        <v>0</v>
      </c>
    </row>
    <row r="31" spans="1:12" x14ac:dyDescent="0.25">
      <c r="A31">
        <v>1720</v>
      </c>
      <c r="B31" t="s">
        <v>114</v>
      </c>
      <c r="C31" t="s">
        <v>119</v>
      </c>
      <c r="D31" t="s">
        <v>8</v>
      </c>
      <c r="E31">
        <v>9</v>
      </c>
      <c r="F31">
        <v>5</v>
      </c>
      <c r="H31">
        <v>22</v>
      </c>
      <c r="J31">
        <f t="shared" si="0"/>
        <v>20742</v>
      </c>
      <c r="L31">
        <f t="shared" si="1"/>
        <v>9.2598214285714278</v>
      </c>
    </row>
    <row r="32" spans="1:12" x14ac:dyDescent="0.25">
      <c r="A32">
        <v>1720</v>
      </c>
      <c r="B32" t="s">
        <v>115</v>
      </c>
      <c r="C32" t="s">
        <v>119</v>
      </c>
      <c r="D32" t="s">
        <v>8</v>
      </c>
      <c r="E32">
        <v>157</v>
      </c>
      <c r="F32">
        <v>6</v>
      </c>
      <c r="H32">
        <v>6</v>
      </c>
      <c r="J32">
        <f t="shared" si="0"/>
        <v>352358</v>
      </c>
      <c r="L32">
        <f t="shared" si="1"/>
        <v>157.30267857142857</v>
      </c>
    </row>
    <row r="33" spans="1:12" x14ac:dyDescent="0.25">
      <c r="A33">
        <v>1720</v>
      </c>
      <c r="B33" t="s">
        <v>118</v>
      </c>
      <c r="C33" t="s">
        <v>119</v>
      </c>
      <c r="D33" t="s">
        <v>8</v>
      </c>
      <c r="E33">
        <v>237</v>
      </c>
      <c r="F33">
        <v>6</v>
      </c>
      <c r="G33">
        <v>3</v>
      </c>
      <c r="H33">
        <v>6</v>
      </c>
      <c r="J33">
        <f t="shared" si="0"/>
        <v>531642</v>
      </c>
      <c r="L33">
        <f t="shared" si="1"/>
        <v>237.34017857142857</v>
      </c>
    </row>
    <row r="34" spans="1:12" x14ac:dyDescent="0.25">
      <c r="A34">
        <v>1720</v>
      </c>
      <c r="B34" t="s">
        <v>116</v>
      </c>
      <c r="C34" t="s">
        <v>119</v>
      </c>
      <c r="D34" t="s">
        <v>8</v>
      </c>
      <c r="E34">
        <v>54</v>
      </c>
      <c r="F34">
        <v>5</v>
      </c>
      <c r="G34">
        <v>1</v>
      </c>
      <c r="H34">
        <v>10</v>
      </c>
      <c r="J34">
        <f t="shared" ref="J34:J60" si="2">(E34*2240)+(F34*112)+(G34*28)+H34</f>
        <v>121558</v>
      </c>
      <c r="L34">
        <f t="shared" ref="L34:L60" si="3">J34/2240</f>
        <v>54.266964285714288</v>
      </c>
    </row>
    <row r="35" spans="1:12" x14ac:dyDescent="0.25">
      <c r="A35">
        <v>1720</v>
      </c>
      <c r="B35" t="s">
        <v>117</v>
      </c>
      <c r="C35" t="s">
        <v>119</v>
      </c>
      <c r="D35" t="s">
        <v>8</v>
      </c>
      <c r="E35">
        <v>38</v>
      </c>
      <c r="F35">
        <v>5</v>
      </c>
      <c r="J35">
        <f t="shared" si="2"/>
        <v>85680</v>
      </c>
      <c r="L35">
        <f t="shared" si="3"/>
        <v>38.25</v>
      </c>
    </row>
    <row r="36" spans="1:12" x14ac:dyDescent="0.25">
      <c r="A36">
        <v>1720</v>
      </c>
      <c r="B36" t="s">
        <v>66</v>
      </c>
      <c r="C36" t="s">
        <v>119</v>
      </c>
      <c r="D36" t="s">
        <v>8</v>
      </c>
      <c r="J36">
        <f t="shared" si="2"/>
        <v>0</v>
      </c>
      <c r="L36">
        <f t="shared" si="3"/>
        <v>0</v>
      </c>
    </row>
    <row r="37" spans="1:12" x14ac:dyDescent="0.25">
      <c r="A37">
        <v>1720</v>
      </c>
      <c r="B37" t="s">
        <v>17</v>
      </c>
      <c r="C37" t="s">
        <v>119</v>
      </c>
      <c r="D37" t="s">
        <v>12</v>
      </c>
      <c r="F37">
        <v>65899</v>
      </c>
      <c r="G37">
        <v>3</v>
      </c>
      <c r="H37">
        <v>27</v>
      </c>
      <c r="J37">
        <f t="shared" si="2"/>
        <v>7380799</v>
      </c>
      <c r="L37">
        <f t="shared" si="3"/>
        <v>3294.9995535714284</v>
      </c>
    </row>
    <row r="38" spans="1:12" x14ac:dyDescent="0.25">
      <c r="A38">
        <v>1720</v>
      </c>
      <c r="B38" t="s">
        <v>13</v>
      </c>
      <c r="C38" t="s">
        <v>119</v>
      </c>
      <c r="D38" t="s">
        <v>12</v>
      </c>
      <c r="J38">
        <f t="shared" si="2"/>
        <v>0</v>
      </c>
      <c r="L38">
        <f t="shared" si="3"/>
        <v>0</v>
      </c>
    </row>
    <row r="39" spans="1:12" x14ac:dyDescent="0.25">
      <c r="A39">
        <v>1720</v>
      </c>
      <c r="B39" t="s">
        <v>40</v>
      </c>
      <c r="C39" t="s">
        <v>119</v>
      </c>
      <c r="D39" t="s">
        <v>12</v>
      </c>
      <c r="F39">
        <v>28</v>
      </c>
      <c r="G39">
        <v>1</v>
      </c>
      <c r="H39">
        <v>14</v>
      </c>
      <c r="J39">
        <f t="shared" si="2"/>
        <v>3178</v>
      </c>
      <c r="L39">
        <f t="shared" si="3"/>
        <v>1.41875</v>
      </c>
    </row>
    <row r="40" spans="1:12" x14ac:dyDescent="0.25">
      <c r="A40">
        <v>1720</v>
      </c>
      <c r="B40" t="s">
        <v>68</v>
      </c>
      <c r="C40" t="s">
        <v>119</v>
      </c>
      <c r="D40" t="s">
        <v>12</v>
      </c>
      <c r="J40">
        <f t="shared" si="2"/>
        <v>0</v>
      </c>
      <c r="L40">
        <f t="shared" si="3"/>
        <v>0</v>
      </c>
    </row>
    <row r="41" spans="1:12" x14ac:dyDescent="0.25">
      <c r="A41">
        <v>1720</v>
      </c>
      <c r="B41" t="s">
        <v>69</v>
      </c>
      <c r="C41" t="s">
        <v>119</v>
      </c>
      <c r="D41" t="s">
        <v>12</v>
      </c>
      <c r="J41">
        <f t="shared" si="2"/>
        <v>0</v>
      </c>
      <c r="L41">
        <f t="shared" si="3"/>
        <v>0</v>
      </c>
    </row>
    <row r="42" spans="1:12" x14ac:dyDescent="0.25">
      <c r="A42">
        <v>1720</v>
      </c>
      <c r="B42" t="s">
        <v>10</v>
      </c>
      <c r="C42" t="s">
        <v>119</v>
      </c>
      <c r="D42" t="s">
        <v>12</v>
      </c>
      <c r="F42">
        <v>2795</v>
      </c>
      <c r="H42">
        <v>27</v>
      </c>
      <c r="J42">
        <f t="shared" si="2"/>
        <v>313067</v>
      </c>
      <c r="L42">
        <f t="shared" si="3"/>
        <v>139.76205357142857</v>
      </c>
    </row>
    <row r="43" spans="1:12" x14ac:dyDescent="0.25">
      <c r="A43">
        <v>1720</v>
      </c>
      <c r="B43" t="s">
        <v>15</v>
      </c>
      <c r="C43" t="s">
        <v>119</v>
      </c>
      <c r="D43" t="s">
        <v>12</v>
      </c>
      <c r="F43">
        <v>3852</v>
      </c>
      <c r="G43">
        <v>2</v>
      </c>
      <c r="H43">
        <v>17</v>
      </c>
      <c r="J43">
        <f t="shared" si="2"/>
        <v>431497</v>
      </c>
      <c r="L43">
        <f t="shared" si="3"/>
        <v>192.63258928571429</v>
      </c>
    </row>
    <row r="44" spans="1:12" x14ac:dyDescent="0.25">
      <c r="A44">
        <v>1720</v>
      </c>
      <c r="B44" t="s">
        <v>25</v>
      </c>
      <c r="C44" t="s">
        <v>119</v>
      </c>
      <c r="D44" t="s">
        <v>12</v>
      </c>
      <c r="F44">
        <v>167</v>
      </c>
      <c r="G44">
        <v>1</v>
      </c>
      <c r="H44">
        <v>5</v>
      </c>
      <c r="J44">
        <f t="shared" si="2"/>
        <v>18737</v>
      </c>
      <c r="L44">
        <f t="shared" si="3"/>
        <v>8.3647321428571431</v>
      </c>
    </row>
    <row r="45" spans="1:12" x14ac:dyDescent="0.25">
      <c r="A45">
        <v>1720</v>
      </c>
      <c r="B45" t="s">
        <v>9</v>
      </c>
      <c r="C45" t="s">
        <v>119</v>
      </c>
      <c r="D45" t="s">
        <v>12</v>
      </c>
      <c r="H45">
        <f>21259+50790</f>
        <v>72049</v>
      </c>
      <c r="J45">
        <f t="shared" si="2"/>
        <v>72049</v>
      </c>
      <c r="L45">
        <f t="shared" si="3"/>
        <v>32.16473214285714</v>
      </c>
    </row>
    <row r="46" spans="1:12" x14ac:dyDescent="0.25">
      <c r="A46">
        <v>1720</v>
      </c>
      <c r="B46" t="s">
        <v>35</v>
      </c>
      <c r="C46" t="s">
        <v>119</v>
      </c>
      <c r="D46" t="s">
        <v>12</v>
      </c>
      <c r="E46">
        <v>16</v>
      </c>
      <c r="F46">
        <v>11</v>
      </c>
      <c r="G46">
        <v>1</v>
      </c>
      <c r="H46">
        <v>9</v>
      </c>
      <c r="J46">
        <f t="shared" si="2"/>
        <v>37109</v>
      </c>
      <c r="L46">
        <f t="shared" si="3"/>
        <v>16.566517857142856</v>
      </c>
    </row>
    <row r="47" spans="1:12" x14ac:dyDescent="0.25">
      <c r="A47">
        <v>1720</v>
      </c>
      <c r="B47" t="s">
        <v>21</v>
      </c>
      <c r="C47" t="s">
        <v>119</v>
      </c>
      <c r="D47" t="s">
        <v>12</v>
      </c>
      <c r="H47">
        <v>120566</v>
      </c>
      <c r="I47" t="s">
        <v>90</v>
      </c>
      <c r="J47">
        <f t="shared" si="2"/>
        <v>120566</v>
      </c>
      <c r="L47">
        <f t="shared" si="3"/>
        <v>53.824107142857144</v>
      </c>
    </row>
    <row r="48" spans="1:12" x14ac:dyDescent="0.25">
      <c r="A48">
        <v>1720</v>
      </c>
      <c r="B48" t="s">
        <v>16</v>
      </c>
      <c r="C48" t="s">
        <v>119</v>
      </c>
      <c r="D48" t="s">
        <v>12</v>
      </c>
      <c r="J48">
        <f t="shared" si="2"/>
        <v>0</v>
      </c>
      <c r="L48">
        <f t="shared" si="3"/>
        <v>0</v>
      </c>
    </row>
    <row r="49" spans="1:12" x14ac:dyDescent="0.25">
      <c r="A49">
        <v>1720</v>
      </c>
      <c r="B49" t="s">
        <v>32</v>
      </c>
      <c r="C49" t="s">
        <v>119</v>
      </c>
      <c r="D49" t="s">
        <v>12</v>
      </c>
      <c r="H49">
        <v>125115</v>
      </c>
      <c r="J49">
        <f t="shared" si="2"/>
        <v>125115</v>
      </c>
      <c r="L49">
        <f t="shared" si="3"/>
        <v>55.854910714285715</v>
      </c>
    </row>
    <row r="50" spans="1:12" x14ac:dyDescent="0.25">
      <c r="A50">
        <v>1720</v>
      </c>
      <c r="B50" t="s">
        <v>27</v>
      </c>
      <c r="C50" t="s">
        <v>119</v>
      </c>
      <c r="D50" t="s">
        <v>12</v>
      </c>
      <c r="J50">
        <f t="shared" si="2"/>
        <v>0</v>
      </c>
      <c r="L50">
        <f t="shared" si="3"/>
        <v>0</v>
      </c>
    </row>
    <row r="51" spans="1:12" x14ac:dyDescent="0.25">
      <c r="A51">
        <v>1720</v>
      </c>
      <c r="B51" t="s">
        <v>22</v>
      </c>
      <c r="C51" t="s">
        <v>119</v>
      </c>
      <c r="D51" t="s">
        <v>12</v>
      </c>
      <c r="H51">
        <v>33205</v>
      </c>
      <c r="I51" t="s">
        <v>91</v>
      </c>
      <c r="J51">
        <f t="shared" si="2"/>
        <v>33205</v>
      </c>
      <c r="L51">
        <f t="shared" si="3"/>
        <v>14.823660714285714</v>
      </c>
    </row>
    <row r="52" spans="1:12" x14ac:dyDescent="0.25">
      <c r="A52">
        <v>1720</v>
      </c>
      <c r="B52" t="s">
        <v>53</v>
      </c>
      <c r="C52" t="s">
        <v>119</v>
      </c>
      <c r="D52" t="s">
        <v>12</v>
      </c>
      <c r="H52">
        <v>2198</v>
      </c>
      <c r="J52">
        <f t="shared" si="2"/>
        <v>2198</v>
      </c>
      <c r="L52">
        <f t="shared" si="3"/>
        <v>0.98124999999999996</v>
      </c>
    </row>
    <row r="53" spans="1:12" x14ac:dyDescent="0.25">
      <c r="A53">
        <v>1720</v>
      </c>
      <c r="B53" t="s">
        <v>24</v>
      </c>
      <c r="C53" t="s">
        <v>119</v>
      </c>
      <c r="D53" t="s">
        <v>12</v>
      </c>
      <c r="F53">
        <v>16</v>
      </c>
      <c r="G53">
        <v>1</v>
      </c>
      <c r="H53">
        <v>15</v>
      </c>
      <c r="J53">
        <f t="shared" si="2"/>
        <v>1835</v>
      </c>
      <c r="L53">
        <f t="shared" si="3"/>
        <v>0.8191964285714286</v>
      </c>
    </row>
    <row r="54" spans="1:12" x14ac:dyDescent="0.25">
      <c r="A54">
        <v>1720</v>
      </c>
      <c r="B54" t="s">
        <v>36</v>
      </c>
      <c r="C54" t="s">
        <v>119</v>
      </c>
      <c r="D54" t="s">
        <v>12</v>
      </c>
      <c r="H54">
        <v>41</v>
      </c>
      <c r="J54">
        <f t="shared" si="2"/>
        <v>41</v>
      </c>
      <c r="L54">
        <f t="shared" si="3"/>
        <v>1.8303571428571429E-2</v>
      </c>
    </row>
    <row r="55" spans="1:12" x14ac:dyDescent="0.25">
      <c r="A55">
        <v>1720</v>
      </c>
      <c r="B55" t="s">
        <v>44</v>
      </c>
      <c r="C55" t="s">
        <v>119</v>
      </c>
      <c r="D55" t="s">
        <v>12</v>
      </c>
      <c r="J55">
        <f t="shared" si="2"/>
        <v>0</v>
      </c>
      <c r="L55">
        <f t="shared" si="3"/>
        <v>0</v>
      </c>
    </row>
    <row r="56" spans="1:12" x14ac:dyDescent="0.25">
      <c r="A56">
        <v>1720</v>
      </c>
      <c r="B56" t="s">
        <v>20</v>
      </c>
      <c r="C56" t="s">
        <v>119</v>
      </c>
      <c r="D56" t="s">
        <v>12</v>
      </c>
      <c r="J56">
        <f t="shared" si="2"/>
        <v>0</v>
      </c>
      <c r="L56">
        <f t="shared" si="3"/>
        <v>0</v>
      </c>
    </row>
    <row r="57" spans="1:12" x14ac:dyDescent="0.25">
      <c r="A57">
        <v>1720</v>
      </c>
      <c r="B57" t="s">
        <v>23</v>
      </c>
      <c r="C57" t="s">
        <v>119</v>
      </c>
      <c r="D57" t="s">
        <v>12</v>
      </c>
      <c r="H57">
        <v>1010</v>
      </c>
      <c r="J57">
        <f t="shared" si="2"/>
        <v>1010</v>
      </c>
      <c r="L57">
        <f t="shared" si="3"/>
        <v>0.45089285714285715</v>
      </c>
    </row>
    <row r="58" spans="1:12" x14ac:dyDescent="0.25">
      <c r="A58">
        <v>1720</v>
      </c>
      <c r="B58" t="s">
        <v>18</v>
      </c>
      <c r="C58" t="s">
        <v>119</v>
      </c>
      <c r="D58" t="s">
        <v>12</v>
      </c>
      <c r="J58">
        <f t="shared" si="2"/>
        <v>0</v>
      </c>
      <c r="L58">
        <f t="shared" si="3"/>
        <v>0</v>
      </c>
    </row>
    <row r="59" spans="1:12" x14ac:dyDescent="0.25">
      <c r="A59">
        <v>1720</v>
      </c>
      <c r="B59" t="s">
        <v>115</v>
      </c>
      <c r="C59" t="s">
        <v>119</v>
      </c>
      <c r="D59" t="s">
        <v>12</v>
      </c>
      <c r="E59">
        <v>164</v>
      </c>
      <c r="F59">
        <v>18</v>
      </c>
      <c r="G59">
        <v>0</v>
      </c>
      <c r="H59">
        <v>12</v>
      </c>
      <c r="J59">
        <f t="shared" si="2"/>
        <v>369388</v>
      </c>
      <c r="L59">
        <f t="shared" si="3"/>
        <v>164.90535714285716</v>
      </c>
    </row>
    <row r="60" spans="1:12" x14ac:dyDescent="0.25">
      <c r="A60">
        <v>1720</v>
      </c>
      <c r="B60" t="s">
        <v>118</v>
      </c>
      <c r="C60" t="s">
        <v>119</v>
      </c>
      <c r="D60" t="s">
        <v>12</v>
      </c>
      <c r="J60">
        <f t="shared" si="2"/>
        <v>0</v>
      </c>
      <c r="L60">
        <f t="shared" si="3"/>
        <v>0</v>
      </c>
    </row>
  </sheetData>
  <autoFilter ref="B1:Q60" xr:uid="{8C2F7725-5A61-4A1B-A740-CC887BCB0E68}">
    <sortState xmlns:xlrd2="http://schemas.microsoft.com/office/spreadsheetml/2017/richdata2" ref="B2:Q60">
      <sortCondition ref="D1:D6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31"/>
  <sheetViews>
    <sheetView workbookViewId="0">
      <selection activeCell="H6" sqref="H6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17</v>
      </c>
      <c r="C2" t="s">
        <v>122</v>
      </c>
      <c r="D2" t="s">
        <v>8</v>
      </c>
      <c r="F2">
        <v>16363</v>
      </c>
      <c r="G2">
        <v>3</v>
      </c>
      <c r="H2">
        <v>9</v>
      </c>
      <c r="J2">
        <f t="shared" ref="J2:J31" si="0">(E2*2240)+(F2*112)+(G2*28)+H2</f>
        <v>1832749</v>
      </c>
      <c r="L2">
        <f t="shared" ref="L2:L31" si="1">J2/2240</f>
        <v>818.19151785714291</v>
      </c>
    </row>
    <row r="3" spans="1:12" x14ac:dyDescent="0.25">
      <c r="A3">
        <v>1720</v>
      </c>
      <c r="B3" t="s">
        <v>13</v>
      </c>
      <c r="C3" t="s">
        <v>122</v>
      </c>
      <c r="D3" t="s">
        <v>8</v>
      </c>
      <c r="J3">
        <f t="shared" si="0"/>
        <v>0</v>
      </c>
      <c r="L3">
        <f t="shared" si="1"/>
        <v>0</v>
      </c>
    </row>
    <row r="4" spans="1:12" x14ac:dyDescent="0.25">
      <c r="A4">
        <v>1720</v>
      </c>
      <c r="B4" t="s">
        <v>40</v>
      </c>
      <c r="C4" t="s">
        <v>122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1720</v>
      </c>
      <c r="B5" t="s">
        <v>69</v>
      </c>
      <c r="C5" t="s">
        <v>122</v>
      </c>
      <c r="D5" t="s">
        <v>8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1720</v>
      </c>
      <c r="B6" t="s">
        <v>10</v>
      </c>
      <c r="C6" t="s">
        <v>122</v>
      </c>
      <c r="D6" t="s">
        <v>8</v>
      </c>
      <c r="H6">
        <f>47*200</f>
        <v>9400</v>
      </c>
      <c r="I6" t="s">
        <v>92</v>
      </c>
      <c r="J6">
        <f t="shared" si="0"/>
        <v>9400</v>
      </c>
      <c r="L6">
        <f t="shared" si="1"/>
        <v>4.1964285714285712</v>
      </c>
    </row>
    <row r="7" spans="1:12" x14ac:dyDescent="0.25">
      <c r="A7">
        <v>1720</v>
      </c>
      <c r="B7" t="s">
        <v>15</v>
      </c>
      <c r="C7" t="s">
        <v>122</v>
      </c>
      <c r="D7" t="s">
        <v>8</v>
      </c>
      <c r="J7">
        <f t="shared" si="0"/>
        <v>0</v>
      </c>
      <c r="L7">
        <f t="shared" si="1"/>
        <v>0</v>
      </c>
    </row>
    <row r="8" spans="1:12" x14ac:dyDescent="0.25">
      <c r="A8">
        <v>1720</v>
      </c>
      <c r="B8" t="s">
        <v>11</v>
      </c>
      <c r="C8" t="s">
        <v>122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1720</v>
      </c>
      <c r="B9" t="s">
        <v>9</v>
      </c>
      <c r="C9" t="s">
        <v>122</v>
      </c>
      <c r="D9" t="s">
        <v>8</v>
      </c>
      <c r="H9">
        <v>7841</v>
      </c>
      <c r="J9">
        <f t="shared" si="0"/>
        <v>7841</v>
      </c>
      <c r="L9">
        <f t="shared" si="1"/>
        <v>3.5004464285714287</v>
      </c>
    </row>
    <row r="10" spans="1:12" x14ac:dyDescent="0.25">
      <c r="A10">
        <v>1720</v>
      </c>
      <c r="B10" t="s">
        <v>35</v>
      </c>
      <c r="C10" t="s">
        <v>122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1720</v>
      </c>
      <c r="B11" t="s">
        <v>21</v>
      </c>
      <c r="C11" t="s">
        <v>122</v>
      </c>
      <c r="D11" t="s">
        <v>8</v>
      </c>
      <c r="J11">
        <f t="shared" si="0"/>
        <v>0</v>
      </c>
      <c r="L11">
        <f t="shared" si="1"/>
        <v>0</v>
      </c>
    </row>
    <row r="12" spans="1:12" x14ac:dyDescent="0.25">
      <c r="A12">
        <v>1720</v>
      </c>
      <c r="B12" t="s">
        <v>29</v>
      </c>
      <c r="C12" t="s">
        <v>122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1720</v>
      </c>
      <c r="B13" t="s">
        <v>16</v>
      </c>
      <c r="C13" t="s">
        <v>122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1720</v>
      </c>
      <c r="B14" t="s">
        <v>32</v>
      </c>
      <c r="C14" t="s">
        <v>122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1720</v>
      </c>
      <c r="B15" t="s">
        <v>22</v>
      </c>
      <c r="C15" t="s">
        <v>122</v>
      </c>
      <c r="D15" t="s">
        <v>8</v>
      </c>
      <c r="H15">
        <v>10809</v>
      </c>
      <c r="I15" t="s">
        <v>93</v>
      </c>
      <c r="J15">
        <f t="shared" si="0"/>
        <v>10809</v>
      </c>
      <c r="L15">
        <f t="shared" si="1"/>
        <v>4.8254464285714285</v>
      </c>
    </row>
    <row r="16" spans="1:12" x14ac:dyDescent="0.25">
      <c r="A16">
        <v>1720</v>
      </c>
      <c r="B16" t="s">
        <v>24</v>
      </c>
      <c r="C16" t="s">
        <v>122</v>
      </c>
      <c r="D16" t="s">
        <v>8</v>
      </c>
      <c r="F16">
        <v>10</v>
      </c>
      <c r="H16">
        <v>27</v>
      </c>
      <c r="J16">
        <f t="shared" si="0"/>
        <v>1147</v>
      </c>
      <c r="L16">
        <f t="shared" si="1"/>
        <v>0.51205357142857144</v>
      </c>
    </row>
    <row r="17" spans="1:12" x14ac:dyDescent="0.25">
      <c r="A17">
        <v>1720</v>
      </c>
      <c r="B17" t="s">
        <v>36</v>
      </c>
      <c r="C17" t="s">
        <v>122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1720</v>
      </c>
      <c r="B18" t="s">
        <v>23</v>
      </c>
      <c r="C18" t="s">
        <v>122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1720</v>
      </c>
      <c r="B19" t="s">
        <v>18</v>
      </c>
      <c r="C19" t="s">
        <v>122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1720</v>
      </c>
      <c r="B20" t="s">
        <v>17</v>
      </c>
      <c r="C20" t="s">
        <v>122</v>
      </c>
      <c r="D20" t="s">
        <v>12</v>
      </c>
      <c r="F20">
        <v>10257</v>
      </c>
      <c r="G20">
        <v>3</v>
      </c>
      <c r="H20">
        <v>19</v>
      </c>
      <c r="J20">
        <f t="shared" si="0"/>
        <v>1148887</v>
      </c>
      <c r="L20">
        <f t="shared" si="1"/>
        <v>512.89598214285718</v>
      </c>
    </row>
    <row r="21" spans="1:12" x14ac:dyDescent="0.25">
      <c r="A21">
        <v>1720</v>
      </c>
      <c r="B21" t="s">
        <v>71</v>
      </c>
      <c r="C21" t="s">
        <v>122</v>
      </c>
      <c r="D21" t="s">
        <v>12</v>
      </c>
      <c r="J21">
        <f t="shared" si="0"/>
        <v>0</v>
      </c>
      <c r="L21">
        <f t="shared" si="1"/>
        <v>0</v>
      </c>
    </row>
    <row r="22" spans="1:12" x14ac:dyDescent="0.25">
      <c r="A22">
        <v>1720</v>
      </c>
      <c r="B22" t="s">
        <v>40</v>
      </c>
      <c r="C22" t="s">
        <v>122</v>
      </c>
      <c r="D22" t="s">
        <v>12</v>
      </c>
      <c r="J22">
        <f t="shared" si="0"/>
        <v>0</v>
      </c>
      <c r="L22">
        <f t="shared" si="1"/>
        <v>0</v>
      </c>
    </row>
    <row r="23" spans="1:12" x14ac:dyDescent="0.25">
      <c r="A23">
        <v>1720</v>
      </c>
      <c r="B23" t="s">
        <v>10</v>
      </c>
      <c r="C23" t="s">
        <v>122</v>
      </c>
      <c r="D23" t="s">
        <v>12</v>
      </c>
      <c r="H23">
        <v>8832</v>
      </c>
      <c r="J23">
        <f t="shared" si="0"/>
        <v>8832</v>
      </c>
      <c r="L23">
        <f t="shared" si="1"/>
        <v>3.9428571428571431</v>
      </c>
    </row>
    <row r="24" spans="1:12" x14ac:dyDescent="0.25">
      <c r="A24">
        <v>1720</v>
      </c>
      <c r="B24" t="s">
        <v>15</v>
      </c>
      <c r="C24" t="s">
        <v>122</v>
      </c>
      <c r="D24" t="s">
        <v>12</v>
      </c>
      <c r="J24">
        <f t="shared" si="0"/>
        <v>0</v>
      </c>
      <c r="L24">
        <f t="shared" si="1"/>
        <v>0</v>
      </c>
    </row>
    <row r="25" spans="1:12" x14ac:dyDescent="0.25">
      <c r="A25">
        <v>1720</v>
      </c>
      <c r="B25" t="s">
        <v>11</v>
      </c>
      <c r="C25" t="s">
        <v>122</v>
      </c>
      <c r="D25" t="s">
        <v>12</v>
      </c>
      <c r="F25">
        <v>7</v>
      </c>
      <c r="H25">
        <v>24</v>
      </c>
      <c r="J25">
        <f t="shared" si="0"/>
        <v>808</v>
      </c>
      <c r="L25">
        <f t="shared" si="1"/>
        <v>0.36071428571428571</v>
      </c>
    </row>
    <row r="26" spans="1:12" x14ac:dyDescent="0.25">
      <c r="A26">
        <v>1720</v>
      </c>
      <c r="B26" t="s">
        <v>9</v>
      </c>
      <c r="C26" t="s">
        <v>122</v>
      </c>
      <c r="D26" t="s">
        <v>12</v>
      </c>
      <c r="H26">
        <v>1766</v>
      </c>
      <c r="J26">
        <f t="shared" si="0"/>
        <v>1766</v>
      </c>
      <c r="L26">
        <f t="shared" si="1"/>
        <v>0.78839285714285712</v>
      </c>
    </row>
    <row r="27" spans="1:12" x14ac:dyDescent="0.25">
      <c r="A27">
        <v>1720</v>
      </c>
      <c r="B27" t="s">
        <v>21</v>
      </c>
      <c r="C27" t="s">
        <v>122</v>
      </c>
      <c r="D27" t="s">
        <v>12</v>
      </c>
      <c r="H27">
        <v>1867</v>
      </c>
      <c r="I27" t="s">
        <v>94</v>
      </c>
      <c r="J27">
        <f t="shared" si="0"/>
        <v>1867</v>
      </c>
      <c r="L27">
        <f t="shared" si="1"/>
        <v>0.83348214285714284</v>
      </c>
    </row>
    <row r="28" spans="1:12" x14ac:dyDescent="0.25">
      <c r="A28">
        <v>1720</v>
      </c>
      <c r="B28" t="s">
        <v>32</v>
      </c>
      <c r="C28" t="s">
        <v>122</v>
      </c>
      <c r="D28" t="s">
        <v>12</v>
      </c>
      <c r="J28">
        <f t="shared" si="0"/>
        <v>0</v>
      </c>
      <c r="L28">
        <f t="shared" si="1"/>
        <v>0</v>
      </c>
    </row>
    <row r="29" spans="1:12" x14ac:dyDescent="0.25">
      <c r="A29">
        <v>1720</v>
      </c>
      <c r="B29" t="s">
        <v>22</v>
      </c>
      <c r="C29" t="s">
        <v>122</v>
      </c>
      <c r="D29" t="s">
        <v>12</v>
      </c>
      <c r="H29">
        <v>2119</v>
      </c>
      <c r="I29" t="s">
        <v>95</v>
      </c>
      <c r="J29">
        <f t="shared" si="0"/>
        <v>2119</v>
      </c>
      <c r="L29">
        <f t="shared" si="1"/>
        <v>0.94598214285714288</v>
      </c>
    </row>
    <row r="30" spans="1:12" x14ac:dyDescent="0.25">
      <c r="A30">
        <v>1720</v>
      </c>
      <c r="B30" t="s">
        <v>24</v>
      </c>
      <c r="C30" t="s">
        <v>122</v>
      </c>
      <c r="D30" t="s">
        <v>12</v>
      </c>
      <c r="F30">
        <v>2</v>
      </c>
      <c r="G30">
        <v>3</v>
      </c>
      <c r="H30">
        <v>20</v>
      </c>
      <c r="J30">
        <f t="shared" si="0"/>
        <v>328</v>
      </c>
      <c r="L30">
        <f t="shared" si="1"/>
        <v>0.14642857142857144</v>
      </c>
    </row>
    <row r="31" spans="1:12" x14ac:dyDescent="0.25">
      <c r="A31">
        <v>1720</v>
      </c>
      <c r="B31" t="s">
        <v>117</v>
      </c>
      <c r="C31" t="s">
        <v>122</v>
      </c>
      <c r="D31" t="s">
        <v>12</v>
      </c>
      <c r="E31">
        <v>4</v>
      </c>
      <c r="F31">
        <v>10</v>
      </c>
      <c r="J31">
        <f t="shared" si="0"/>
        <v>10080</v>
      </c>
      <c r="L31">
        <f t="shared" si="1"/>
        <v>4.5</v>
      </c>
    </row>
  </sheetData>
  <autoFilter ref="A1:Q31" xr:uid="{782A6339-1E58-4188-80A6-B4580F70757D}">
    <sortState xmlns:xlrd2="http://schemas.microsoft.com/office/spreadsheetml/2017/richdata2" ref="A2:Q31">
      <sortCondition ref="D1:D3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L35"/>
  <sheetViews>
    <sheetView workbookViewId="0">
      <selection activeCell="H7" sqref="H7"/>
    </sheetView>
  </sheetViews>
  <sheetFormatPr defaultRowHeight="15" x14ac:dyDescent="0.25"/>
  <cols>
    <col min="2" max="3" width="15.8554687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17</v>
      </c>
      <c r="C2" t="s">
        <v>123</v>
      </c>
      <c r="D2" t="s">
        <v>8</v>
      </c>
      <c r="F2">
        <v>37372</v>
      </c>
      <c r="G2">
        <v>2</v>
      </c>
      <c r="H2">
        <v>13</v>
      </c>
      <c r="J2">
        <f t="shared" ref="J2:J35" si="0">(E2*2240)+(F2*112)+(G2*28)+(H2)</f>
        <v>4185733</v>
      </c>
      <c r="L2">
        <f t="shared" ref="L2:L35" si="1">J2/2240</f>
        <v>1868.6308035714285</v>
      </c>
    </row>
    <row r="3" spans="1:12" x14ac:dyDescent="0.25">
      <c r="A3">
        <v>1720</v>
      </c>
      <c r="B3" t="s">
        <v>13</v>
      </c>
      <c r="C3" t="s">
        <v>123</v>
      </c>
      <c r="D3" t="s">
        <v>8</v>
      </c>
      <c r="J3">
        <f t="shared" si="0"/>
        <v>0</v>
      </c>
      <c r="L3">
        <f t="shared" si="1"/>
        <v>0</v>
      </c>
    </row>
    <row r="4" spans="1:12" x14ac:dyDescent="0.25">
      <c r="A4">
        <v>1720</v>
      </c>
      <c r="B4" t="s">
        <v>40</v>
      </c>
      <c r="C4" t="s">
        <v>123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1720</v>
      </c>
      <c r="B5" t="s">
        <v>69</v>
      </c>
      <c r="C5" t="s">
        <v>123</v>
      </c>
      <c r="D5" t="s">
        <v>8</v>
      </c>
      <c r="J5">
        <f t="shared" si="0"/>
        <v>0</v>
      </c>
      <c r="L5">
        <f t="shared" si="1"/>
        <v>0</v>
      </c>
    </row>
    <row r="6" spans="1:12" x14ac:dyDescent="0.25">
      <c r="A6">
        <v>1720</v>
      </c>
      <c r="B6" t="s">
        <v>10</v>
      </c>
      <c r="C6" t="s">
        <v>123</v>
      </c>
      <c r="D6" t="s">
        <v>8</v>
      </c>
      <c r="H6">
        <f>69*200</f>
        <v>13800</v>
      </c>
      <c r="I6" t="s">
        <v>96</v>
      </c>
      <c r="J6">
        <f t="shared" si="0"/>
        <v>13800</v>
      </c>
      <c r="L6">
        <f t="shared" si="1"/>
        <v>6.1607142857142856</v>
      </c>
    </row>
    <row r="7" spans="1:12" x14ac:dyDescent="0.25">
      <c r="A7">
        <v>1720</v>
      </c>
      <c r="B7" t="s">
        <v>25</v>
      </c>
      <c r="C7" t="s">
        <v>123</v>
      </c>
      <c r="D7" t="s">
        <v>8</v>
      </c>
      <c r="F7">
        <v>13</v>
      </c>
      <c r="G7">
        <v>3</v>
      </c>
      <c r="J7">
        <f t="shared" si="0"/>
        <v>1540</v>
      </c>
      <c r="L7">
        <f t="shared" si="1"/>
        <v>0.6875</v>
      </c>
    </row>
    <row r="8" spans="1:12" x14ac:dyDescent="0.25">
      <c r="A8">
        <v>1720</v>
      </c>
      <c r="B8" t="s">
        <v>9</v>
      </c>
      <c r="C8" t="s">
        <v>123</v>
      </c>
      <c r="D8" t="s">
        <v>8</v>
      </c>
      <c r="H8">
        <v>236</v>
      </c>
      <c r="J8">
        <f t="shared" si="0"/>
        <v>236</v>
      </c>
      <c r="L8">
        <f t="shared" si="1"/>
        <v>0.10535714285714286</v>
      </c>
    </row>
    <row r="9" spans="1:12" x14ac:dyDescent="0.25">
      <c r="A9">
        <v>1720</v>
      </c>
      <c r="B9" t="s">
        <v>35</v>
      </c>
      <c r="C9" t="s">
        <v>123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1720</v>
      </c>
      <c r="B10" t="s">
        <v>21</v>
      </c>
      <c r="C10" t="s">
        <v>123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1720</v>
      </c>
      <c r="B11" t="s">
        <v>29</v>
      </c>
      <c r="C11" t="s">
        <v>123</v>
      </c>
      <c r="D11" t="s">
        <v>8</v>
      </c>
      <c r="H11">
        <v>4007</v>
      </c>
      <c r="I11" s="2">
        <v>4.327546296296296E-2</v>
      </c>
      <c r="J11">
        <f t="shared" si="0"/>
        <v>4007</v>
      </c>
      <c r="L11">
        <f t="shared" si="1"/>
        <v>1.7888392857142856</v>
      </c>
    </row>
    <row r="12" spans="1:12" x14ac:dyDescent="0.25">
      <c r="A12">
        <v>1720</v>
      </c>
      <c r="B12" t="s">
        <v>16</v>
      </c>
      <c r="C12" t="s">
        <v>123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1720</v>
      </c>
      <c r="B13" t="s">
        <v>37</v>
      </c>
      <c r="C13" t="s">
        <v>123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1720</v>
      </c>
      <c r="B14" t="s">
        <v>22</v>
      </c>
      <c r="C14" t="s">
        <v>123</v>
      </c>
      <c r="D14" t="s">
        <v>8</v>
      </c>
      <c r="H14">
        <v>4945</v>
      </c>
      <c r="I14" t="s">
        <v>97</v>
      </c>
      <c r="J14">
        <f t="shared" si="0"/>
        <v>4945</v>
      </c>
      <c r="L14">
        <f t="shared" si="1"/>
        <v>2.2075892857142856</v>
      </c>
    </row>
    <row r="15" spans="1:12" x14ac:dyDescent="0.25">
      <c r="A15">
        <v>1720</v>
      </c>
      <c r="B15" t="s">
        <v>24</v>
      </c>
      <c r="C15" t="s">
        <v>123</v>
      </c>
      <c r="D15" t="s">
        <v>8</v>
      </c>
      <c r="F15">
        <v>16</v>
      </c>
      <c r="H15">
        <v>21</v>
      </c>
      <c r="J15">
        <f t="shared" si="0"/>
        <v>1813</v>
      </c>
      <c r="L15">
        <f t="shared" si="1"/>
        <v>0.80937499999999996</v>
      </c>
    </row>
    <row r="16" spans="1:12" x14ac:dyDescent="0.25">
      <c r="A16">
        <v>1720</v>
      </c>
      <c r="B16" t="s">
        <v>36</v>
      </c>
      <c r="C16" t="s">
        <v>123</v>
      </c>
      <c r="D16" t="s">
        <v>8</v>
      </c>
      <c r="H16">
        <v>9</v>
      </c>
      <c r="J16">
        <f t="shared" si="0"/>
        <v>9</v>
      </c>
      <c r="L16">
        <f t="shared" si="1"/>
        <v>4.0178571428571425E-3</v>
      </c>
    </row>
    <row r="17" spans="1:12" x14ac:dyDescent="0.25">
      <c r="A17">
        <v>1720</v>
      </c>
      <c r="B17" t="s">
        <v>28</v>
      </c>
      <c r="C17" t="s">
        <v>123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1720</v>
      </c>
      <c r="B18" t="s">
        <v>20</v>
      </c>
      <c r="C18" t="s">
        <v>123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1720</v>
      </c>
      <c r="B19" t="s">
        <v>23</v>
      </c>
      <c r="C19" t="s">
        <v>123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1720</v>
      </c>
      <c r="B20" t="s">
        <v>23</v>
      </c>
      <c r="C20" t="s">
        <v>123</v>
      </c>
      <c r="D20" t="s">
        <v>8</v>
      </c>
      <c r="H20">
        <v>12</v>
      </c>
      <c r="J20">
        <f t="shared" si="0"/>
        <v>12</v>
      </c>
      <c r="L20">
        <f t="shared" si="1"/>
        <v>5.3571428571428572E-3</v>
      </c>
    </row>
    <row r="21" spans="1:12" x14ac:dyDescent="0.25">
      <c r="A21">
        <v>1720</v>
      </c>
      <c r="B21" t="s">
        <v>18</v>
      </c>
      <c r="C21" t="s">
        <v>123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1720</v>
      </c>
      <c r="B22" t="s">
        <v>17</v>
      </c>
      <c r="C22" t="s">
        <v>123</v>
      </c>
      <c r="D22" t="s">
        <v>12</v>
      </c>
      <c r="F22">
        <v>11633</v>
      </c>
      <c r="G22">
        <v>2</v>
      </c>
      <c r="H22">
        <v>27</v>
      </c>
      <c r="J22">
        <f t="shared" si="0"/>
        <v>1302979</v>
      </c>
      <c r="L22">
        <f t="shared" si="1"/>
        <v>581.68705357142858</v>
      </c>
    </row>
    <row r="23" spans="1:12" x14ac:dyDescent="0.25">
      <c r="A23">
        <v>1720</v>
      </c>
      <c r="B23" t="s">
        <v>40</v>
      </c>
      <c r="C23" t="s">
        <v>123</v>
      </c>
      <c r="D23" t="s">
        <v>12</v>
      </c>
      <c r="F23">
        <v>44</v>
      </c>
      <c r="G23">
        <v>3</v>
      </c>
      <c r="J23">
        <f t="shared" si="0"/>
        <v>5012</v>
      </c>
      <c r="L23">
        <f t="shared" si="1"/>
        <v>2.2374999999999998</v>
      </c>
    </row>
    <row r="24" spans="1:12" x14ac:dyDescent="0.25">
      <c r="A24">
        <v>1720</v>
      </c>
      <c r="B24" t="s">
        <v>10</v>
      </c>
      <c r="C24" t="s">
        <v>123</v>
      </c>
      <c r="D24" t="s">
        <v>12</v>
      </c>
      <c r="H24">
        <v>28020</v>
      </c>
      <c r="J24">
        <f t="shared" si="0"/>
        <v>28020</v>
      </c>
      <c r="L24">
        <f t="shared" si="1"/>
        <v>12.508928571428571</v>
      </c>
    </row>
    <row r="25" spans="1:12" x14ac:dyDescent="0.25">
      <c r="A25">
        <v>1720</v>
      </c>
      <c r="B25" t="s">
        <v>25</v>
      </c>
      <c r="C25" t="s">
        <v>123</v>
      </c>
      <c r="D25" t="s">
        <v>12</v>
      </c>
      <c r="F25">
        <v>10</v>
      </c>
      <c r="G25">
        <v>1</v>
      </c>
      <c r="H25">
        <v>13</v>
      </c>
      <c r="J25">
        <f t="shared" si="0"/>
        <v>1161</v>
      </c>
      <c r="L25">
        <f t="shared" si="1"/>
        <v>0.51830357142857142</v>
      </c>
    </row>
    <row r="26" spans="1:12" x14ac:dyDescent="0.25">
      <c r="A26">
        <v>1720</v>
      </c>
      <c r="B26" t="s">
        <v>9</v>
      </c>
      <c r="C26" t="s">
        <v>123</v>
      </c>
      <c r="D26" t="s">
        <v>12</v>
      </c>
      <c r="H26">
        <v>28</v>
      </c>
      <c r="J26">
        <f t="shared" si="0"/>
        <v>28</v>
      </c>
      <c r="L26">
        <f t="shared" si="1"/>
        <v>1.2500000000000001E-2</v>
      </c>
    </row>
    <row r="27" spans="1:12" x14ac:dyDescent="0.25">
      <c r="A27">
        <v>1720</v>
      </c>
      <c r="B27" t="s">
        <v>35</v>
      </c>
      <c r="C27" t="s">
        <v>123</v>
      </c>
      <c r="D27" t="s">
        <v>12</v>
      </c>
      <c r="J27">
        <f t="shared" si="0"/>
        <v>0</v>
      </c>
      <c r="L27">
        <f t="shared" si="1"/>
        <v>0</v>
      </c>
    </row>
    <row r="28" spans="1:12" x14ac:dyDescent="0.25">
      <c r="A28">
        <v>1720</v>
      </c>
      <c r="B28" t="s">
        <v>21</v>
      </c>
      <c r="C28" t="s">
        <v>123</v>
      </c>
      <c r="D28" t="s">
        <v>12</v>
      </c>
      <c r="J28">
        <f t="shared" si="0"/>
        <v>0</v>
      </c>
      <c r="L28">
        <f t="shared" si="1"/>
        <v>0</v>
      </c>
    </row>
    <row r="29" spans="1:12" x14ac:dyDescent="0.25">
      <c r="A29">
        <v>1720</v>
      </c>
      <c r="B29" t="s">
        <v>29</v>
      </c>
      <c r="C29" t="s">
        <v>123</v>
      </c>
      <c r="D29" t="s">
        <v>12</v>
      </c>
      <c r="H29">
        <v>1232</v>
      </c>
      <c r="I29" s="2">
        <v>1.3773148148148147E-3</v>
      </c>
      <c r="J29">
        <f t="shared" si="0"/>
        <v>1232</v>
      </c>
      <c r="L29">
        <f t="shared" si="1"/>
        <v>0.55000000000000004</v>
      </c>
    </row>
    <row r="30" spans="1:12" x14ac:dyDescent="0.25">
      <c r="A30">
        <v>1720</v>
      </c>
      <c r="B30" t="s">
        <v>16</v>
      </c>
      <c r="C30" t="s">
        <v>123</v>
      </c>
      <c r="D30" t="s">
        <v>12</v>
      </c>
      <c r="J30">
        <f t="shared" si="0"/>
        <v>0</v>
      </c>
      <c r="L30">
        <f t="shared" si="1"/>
        <v>0</v>
      </c>
    </row>
    <row r="31" spans="1:12" x14ac:dyDescent="0.25">
      <c r="A31">
        <v>1720</v>
      </c>
      <c r="B31" t="s">
        <v>117</v>
      </c>
      <c r="C31" t="s">
        <v>123</v>
      </c>
      <c r="D31" t="s">
        <v>12</v>
      </c>
      <c r="E31">
        <v>3</v>
      </c>
      <c r="F31">
        <v>7</v>
      </c>
      <c r="H31">
        <v>17</v>
      </c>
      <c r="J31">
        <f t="shared" si="0"/>
        <v>7521</v>
      </c>
      <c r="L31">
        <f t="shared" si="1"/>
        <v>3.3575892857142855</v>
      </c>
    </row>
    <row r="32" spans="1:12" x14ac:dyDescent="0.25">
      <c r="A32">
        <v>1720</v>
      </c>
      <c r="B32" t="s">
        <v>22</v>
      </c>
      <c r="C32" t="s">
        <v>123</v>
      </c>
      <c r="D32" t="s">
        <v>12</v>
      </c>
      <c r="H32">
        <v>3230</v>
      </c>
      <c r="I32" t="s">
        <v>98</v>
      </c>
      <c r="J32">
        <f t="shared" si="0"/>
        <v>3230</v>
      </c>
      <c r="L32">
        <f t="shared" si="1"/>
        <v>1.4419642857142858</v>
      </c>
    </row>
    <row r="33" spans="1:12" x14ac:dyDescent="0.25">
      <c r="A33">
        <v>1720</v>
      </c>
      <c r="B33" t="s">
        <v>24</v>
      </c>
      <c r="C33" t="s">
        <v>123</v>
      </c>
      <c r="D33" t="s">
        <v>12</v>
      </c>
      <c r="F33">
        <v>12</v>
      </c>
      <c r="H33">
        <v>14</v>
      </c>
      <c r="J33">
        <f t="shared" si="0"/>
        <v>1358</v>
      </c>
      <c r="L33">
        <f t="shared" si="1"/>
        <v>0.60624999999999996</v>
      </c>
    </row>
    <row r="34" spans="1:12" x14ac:dyDescent="0.25">
      <c r="A34">
        <v>1720</v>
      </c>
      <c r="B34" t="s">
        <v>36</v>
      </c>
      <c r="C34" t="s">
        <v>123</v>
      </c>
      <c r="D34" t="s">
        <v>12</v>
      </c>
      <c r="H34">
        <v>11</v>
      </c>
      <c r="J34">
        <f t="shared" si="0"/>
        <v>11</v>
      </c>
      <c r="L34">
        <f t="shared" si="1"/>
        <v>4.9107142857142856E-3</v>
      </c>
    </row>
    <row r="35" spans="1:12" x14ac:dyDescent="0.25">
      <c r="A35">
        <v>1720</v>
      </c>
      <c r="B35" t="s">
        <v>23</v>
      </c>
      <c r="C35" t="s">
        <v>123</v>
      </c>
      <c r="D35" t="s">
        <v>12</v>
      </c>
      <c r="J35">
        <f t="shared" si="0"/>
        <v>0</v>
      </c>
      <c r="L35">
        <f t="shared" si="1"/>
        <v>0</v>
      </c>
    </row>
  </sheetData>
  <autoFilter ref="A1:P35" xr:uid="{DF3C4C2D-B143-49EB-AE6F-B3BFFAC00D68}">
    <sortState xmlns:xlrd2="http://schemas.microsoft.com/office/spreadsheetml/2017/richdata2" ref="A2:P35">
      <sortCondition ref="D1:D3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29"/>
  <sheetViews>
    <sheetView workbookViewId="0">
      <selection activeCell="H7" sqref="H7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26</v>
      </c>
      <c r="C2" t="s">
        <v>124</v>
      </c>
      <c r="D2" t="s">
        <v>8</v>
      </c>
      <c r="J2">
        <f>(E2*2240)+(F2*112)+(G2*28)+(H2)</f>
        <v>0</v>
      </c>
      <c r="L2">
        <f t="shared" ref="L2:L29" si="0">J2/2240</f>
        <v>0</v>
      </c>
    </row>
    <row r="3" spans="1:12" x14ac:dyDescent="0.25">
      <c r="A3">
        <v>1720</v>
      </c>
      <c r="B3" t="s">
        <v>49</v>
      </c>
      <c r="C3" t="s">
        <v>124</v>
      </c>
      <c r="D3" t="s">
        <v>8</v>
      </c>
      <c r="J3">
        <f t="shared" ref="J3:J29" si="1">(E3*2240)+(F3*112)+(G3*28)+(H3)</f>
        <v>0</v>
      </c>
      <c r="L3">
        <f t="shared" si="0"/>
        <v>0</v>
      </c>
    </row>
    <row r="4" spans="1:12" x14ac:dyDescent="0.25">
      <c r="A4">
        <v>1720</v>
      </c>
      <c r="B4" t="s">
        <v>17</v>
      </c>
      <c r="C4" t="s">
        <v>124</v>
      </c>
      <c r="D4" t="s">
        <v>8</v>
      </c>
      <c r="F4">
        <v>73742</v>
      </c>
      <c r="G4">
        <v>1</v>
      </c>
      <c r="H4">
        <v>15</v>
      </c>
      <c r="J4">
        <f t="shared" si="1"/>
        <v>8259147</v>
      </c>
      <c r="L4">
        <f t="shared" si="0"/>
        <v>3687.1191964285713</v>
      </c>
    </row>
    <row r="5" spans="1:12" x14ac:dyDescent="0.25">
      <c r="A5">
        <v>1720</v>
      </c>
      <c r="B5" t="s">
        <v>40</v>
      </c>
      <c r="C5" t="s">
        <v>124</v>
      </c>
      <c r="D5" t="s">
        <v>8</v>
      </c>
      <c r="F5">
        <v>4</v>
      </c>
      <c r="G5">
        <v>2</v>
      </c>
      <c r="H5">
        <v>27</v>
      </c>
      <c r="J5">
        <f t="shared" si="1"/>
        <v>531</v>
      </c>
      <c r="L5">
        <f t="shared" si="0"/>
        <v>0.23705357142857142</v>
      </c>
    </row>
    <row r="6" spans="1:12" x14ac:dyDescent="0.25">
      <c r="A6">
        <v>1720</v>
      </c>
      <c r="B6" t="s">
        <v>10</v>
      </c>
      <c r="C6" t="s">
        <v>124</v>
      </c>
      <c r="D6" t="s">
        <v>8</v>
      </c>
      <c r="H6">
        <f>290*200</f>
        <v>58000</v>
      </c>
      <c r="I6" t="s">
        <v>99</v>
      </c>
      <c r="J6">
        <f t="shared" si="1"/>
        <v>58000</v>
      </c>
      <c r="L6">
        <f t="shared" si="0"/>
        <v>25.892857142857142</v>
      </c>
    </row>
    <row r="7" spans="1:12" x14ac:dyDescent="0.25">
      <c r="A7">
        <v>1720</v>
      </c>
      <c r="B7" t="s">
        <v>15</v>
      </c>
      <c r="C7" t="s">
        <v>124</v>
      </c>
      <c r="D7" t="s">
        <v>8</v>
      </c>
      <c r="F7">
        <v>4</v>
      </c>
      <c r="G7">
        <v>3</v>
      </c>
      <c r="H7">
        <v>7</v>
      </c>
      <c r="J7">
        <f t="shared" si="1"/>
        <v>539</v>
      </c>
      <c r="L7">
        <f t="shared" si="0"/>
        <v>0.24062500000000001</v>
      </c>
    </row>
    <row r="8" spans="1:12" x14ac:dyDescent="0.25">
      <c r="A8">
        <v>1720</v>
      </c>
      <c r="B8" t="s">
        <v>25</v>
      </c>
      <c r="C8" t="s">
        <v>124</v>
      </c>
      <c r="D8" t="s">
        <v>8</v>
      </c>
      <c r="F8">
        <v>12</v>
      </c>
      <c r="H8">
        <v>17</v>
      </c>
      <c r="J8">
        <f t="shared" si="1"/>
        <v>1361</v>
      </c>
      <c r="L8">
        <f t="shared" si="0"/>
        <v>0.60758928571428572</v>
      </c>
    </row>
    <row r="9" spans="1:12" x14ac:dyDescent="0.25">
      <c r="A9">
        <v>1720</v>
      </c>
      <c r="B9" t="s">
        <v>9</v>
      </c>
      <c r="C9" t="s">
        <v>124</v>
      </c>
      <c r="D9" t="s">
        <v>8</v>
      </c>
      <c r="H9">
        <v>1408</v>
      </c>
      <c r="J9">
        <f t="shared" si="1"/>
        <v>1408</v>
      </c>
      <c r="L9">
        <f t="shared" si="0"/>
        <v>0.62857142857142856</v>
      </c>
    </row>
    <row r="10" spans="1:12" x14ac:dyDescent="0.25">
      <c r="A10">
        <v>1720</v>
      </c>
      <c r="B10" t="s">
        <v>35</v>
      </c>
      <c r="C10" t="s">
        <v>124</v>
      </c>
      <c r="D10" t="s">
        <v>8</v>
      </c>
      <c r="E10">
        <v>5</v>
      </c>
      <c r="F10">
        <v>2</v>
      </c>
      <c r="G10">
        <v>3</v>
      </c>
      <c r="J10">
        <f t="shared" si="1"/>
        <v>11508</v>
      </c>
      <c r="L10">
        <f t="shared" si="0"/>
        <v>5.1375000000000002</v>
      </c>
    </row>
    <row r="11" spans="1:12" x14ac:dyDescent="0.25">
      <c r="A11">
        <v>1720</v>
      </c>
      <c r="B11" t="s">
        <v>21</v>
      </c>
      <c r="C11" t="s">
        <v>124</v>
      </c>
      <c r="D11" t="s">
        <v>8</v>
      </c>
      <c r="H11">
        <v>303</v>
      </c>
      <c r="I11" t="s">
        <v>100</v>
      </c>
      <c r="J11">
        <f t="shared" si="1"/>
        <v>303</v>
      </c>
      <c r="L11">
        <f t="shared" si="0"/>
        <v>0.13526785714285713</v>
      </c>
    </row>
    <row r="12" spans="1:12" x14ac:dyDescent="0.25">
      <c r="A12">
        <v>1720</v>
      </c>
      <c r="B12" t="s">
        <v>29</v>
      </c>
      <c r="C12" t="s">
        <v>124</v>
      </c>
      <c r="D12" t="s">
        <v>8</v>
      </c>
      <c r="H12">
        <v>6954</v>
      </c>
      <c r="I12" s="2">
        <v>8.5405092592592588E-2</v>
      </c>
      <c r="J12">
        <f t="shared" si="1"/>
        <v>6954</v>
      </c>
      <c r="L12">
        <f t="shared" si="0"/>
        <v>3.1044642857142857</v>
      </c>
    </row>
    <row r="13" spans="1:12" x14ac:dyDescent="0.25">
      <c r="A13">
        <v>1720</v>
      </c>
      <c r="B13" t="s">
        <v>16</v>
      </c>
      <c r="C13" t="s">
        <v>124</v>
      </c>
      <c r="D13" t="s">
        <v>8</v>
      </c>
      <c r="J13">
        <f t="shared" si="1"/>
        <v>0</v>
      </c>
      <c r="L13">
        <f t="shared" si="0"/>
        <v>0</v>
      </c>
    </row>
    <row r="14" spans="1:12" x14ac:dyDescent="0.25">
      <c r="A14">
        <v>1720</v>
      </c>
      <c r="B14" t="s">
        <v>32</v>
      </c>
      <c r="C14" t="s">
        <v>124</v>
      </c>
      <c r="D14" t="s">
        <v>8</v>
      </c>
      <c r="J14">
        <f t="shared" si="1"/>
        <v>0</v>
      </c>
      <c r="L14">
        <f t="shared" si="0"/>
        <v>0</v>
      </c>
    </row>
    <row r="15" spans="1:12" x14ac:dyDescent="0.25">
      <c r="A15">
        <v>1720</v>
      </c>
      <c r="B15" t="s">
        <v>27</v>
      </c>
      <c r="C15" t="s">
        <v>124</v>
      </c>
      <c r="D15" t="s">
        <v>8</v>
      </c>
      <c r="F15">
        <v>14</v>
      </c>
      <c r="H15">
        <v>7</v>
      </c>
      <c r="J15">
        <f t="shared" si="1"/>
        <v>1575</v>
      </c>
      <c r="L15">
        <f t="shared" si="0"/>
        <v>0.703125</v>
      </c>
    </row>
    <row r="16" spans="1:12" x14ac:dyDescent="0.25">
      <c r="A16">
        <v>1720</v>
      </c>
      <c r="B16" t="s">
        <v>22</v>
      </c>
      <c r="C16" t="s">
        <v>124</v>
      </c>
      <c r="D16" t="s">
        <v>8</v>
      </c>
      <c r="H16">
        <v>22315</v>
      </c>
      <c r="I16" t="s">
        <v>101</v>
      </c>
      <c r="J16">
        <f t="shared" si="1"/>
        <v>22315</v>
      </c>
      <c r="L16">
        <f t="shared" si="0"/>
        <v>9.9620535714285712</v>
      </c>
    </row>
    <row r="17" spans="1:12" x14ac:dyDescent="0.25">
      <c r="A17">
        <v>1720</v>
      </c>
      <c r="B17" t="s">
        <v>24</v>
      </c>
      <c r="C17" t="s">
        <v>124</v>
      </c>
      <c r="D17" t="s">
        <v>8</v>
      </c>
      <c r="F17">
        <v>20</v>
      </c>
      <c r="H17">
        <v>15</v>
      </c>
      <c r="J17">
        <f t="shared" si="1"/>
        <v>2255</v>
      </c>
      <c r="L17">
        <f t="shared" si="0"/>
        <v>1.0066964285714286</v>
      </c>
    </row>
    <row r="18" spans="1:12" x14ac:dyDescent="0.25">
      <c r="A18">
        <v>1720</v>
      </c>
      <c r="B18" t="s">
        <v>36</v>
      </c>
      <c r="C18" t="s">
        <v>124</v>
      </c>
      <c r="D18" t="s">
        <v>8</v>
      </c>
      <c r="H18">
        <v>186</v>
      </c>
      <c r="J18">
        <f t="shared" si="1"/>
        <v>186</v>
      </c>
      <c r="L18">
        <f t="shared" si="0"/>
        <v>8.3035714285714282E-2</v>
      </c>
    </row>
    <row r="19" spans="1:12" x14ac:dyDescent="0.25">
      <c r="A19">
        <v>1720</v>
      </c>
      <c r="B19" t="s">
        <v>102</v>
      </c>
      <c r="C19" t="s">
        <v>124</v>
      </c>
      <c r="D19" t="s">
        <v>8</v>
      </c>
      <c r="H19">
        <v>16</v>
      </c>
      <c r="J19">
        <f t="shared" si="1"/>
        <v>16</v>
      </c>
      <c r="L19">
        <f t="shared" si="0"/>
        <v>7.1428571428571426E-3</v>
      </c>
    </row>
    <row r="20" spans="1:12" x14ac:dyDescent="0.25">
      <c r="A20">
        <v>1720</v>
      </c>
      <c r="B20" t="s">
        <v>115</v>
      </c>
      <c r="C20" t="s">
        <v>124</v>
      </c>
      <c r="D20" t="s">
        <v>8</v>
      </c>
      <c r="E20">
        <v>25</v>
      </c>
      <c r="F20">
        <v>5</v>
      </c>
      <c r="G20">
        <v>2</v>
      </c>
      <c r="J20">
        <f t="shared" si="1"/>
        <v>56616</v>
      </c>
      <c r="L20">
        <f t="shared" si="0"/>
        <v>25.274999999999999</v>
      </c>
    </row>
    <row r="21" spans="1:12" x14ac:dyDescent="0.25">
      <c r="A21">
        <v>1720</v>
      </c>
      <c r="B21" t="s">
        <v>118</v>
      </c>
      <c r="C21" t="s">
        <v>124</v>
      </c>
      <c r="D21" t="s">
        <v>8</v>
      </c>
      <c r="J21">
        <f t="shared" si="1"/>
        <v>0</v>
      </c>
      <c r="L21">
        <f t="shared" si="0"/>
        <v>0</v>
      </c>
    </row>
    <row r="22" spans="1:12" x14ac:dyDescent="0.25">
      <c r="A22">
        <v>1720</v>
      </c>
      <c r="B22" t="s">
        <v>117</v>
      </c>
      <c r="C22" t="s">
        <v>124</v>
      </c>
      <c r="D22" t="s">
        <v>8</v>
      </c>
      <c r="E22">
        <v>9</v>
      </c>
      <c r="F22">
        <v>19</v>
      </c>
      <c r="J22">
        <f t="shared" si="1"/>
        <v>22288</v>
      </c>
      <c r="L22">
        <f t="shared" si="0"/>
        <v>9.9499999999999993</v>
      </c>
    </row>
    <row r="23" spans="1:12" x14ac:dyDescent="0.25">
      <c r="A23">
        <v>1720</v>
      </c>
      <c r="B23" t="s">
        <v>17</v>
      </c>
      <c r="C23" t="s">
        <v>124</v>
      </c>
      <c r="D23" t="s">
        <v>12</v>
      </c>
      <c r="F23">
        <v>18191</v>
      </c>
      <c r="G23">
        <v>3</v>
      </c>
      <c r="H23">
        <v>20</v>
      </c>
      <c r="J23">
        <f t="shared" si="1"/>
        <v>2037496</v>
      </c>
      <c r="L23">
        <f t="shared" si="0"/>
        <v>909.59642857142853</v>
      </c>
    </row>
    <row r="24" spans="1:12" x14ac:dyDescent="0.25">
      <c r="A24">
        <v>1720</v>
      </c>
      <c r="B24" t="s">
        <v>10</v>
      </c>
      <c r="C24" t="s">
        <v>124</v>
      </c>
      <c r="D24" t="s">
        <v>12</v>
      </c>
      <c r="H24">
        <v>73712</v>
      </c>
      <c r="J24">
        <f t="shared" si="1"/>
        <v>73712</v>
      </c>
      <c r="L24">
        <f t="shared" si="0"/>
        <v>32.907142857142858</v>
      </c>
    </row>
    <row r="25" spans="1:12" x14ac:dyDescent="0.25">
      <c r="A25">
        <v>1720</v>
      </c>
      <c r="B25" t="s">
        <v>25</v>
      </c>
      <c r="C25" t="s">
        <v>124</v>
      </c>
      <c r="D25" t="s">
        <v>12</v>
      </c>
      <c r="F25">
        <v>18</v>
      </c>
      <c r="G25">
        <v>2</v>
      </c>
      <c r="H25">
        <v>10</v>
      </c>
      <c r="J25">
        <f t="shared" si="1"/>
        <v>2082</v>
      </c>
      <c r="L25">
        <f t="shared" si="0"/>
        <v>0.92946428571428574</v>
      </c>
    </row>
    <row r="26" spans="1:12" x14ac:dyDescent="0.25">
      <c r="A26">
        <v>1720</v>
      </c>
      <c r="B26" t="s">
        <v>9</v>
      </c>
      <c r="C26" t="s">
        <v>124</v>
      </c>
      <c r="D26" t="s">
        <v>12</v>
      </c>
      <c r="H26">
        <v>1023</v>
      </c>
      <c r="J26">
        <f t="shared" si="1"/>
        <v>1023</v>
      </c>
      <c r="L26">
        <f t="shared" si="0"/>
        <v>0.45669642857142856</v>
      </c>
    </row>
    <row r="27" spans="1:12" x14ac:dyDescent="0.25">
      <c r="A27">
        <v>1720</v>
      </c>
      <c r="B27" t="s">
        <v>22</v>
      </c>
      <c r="C27" t="s">
        <v>124</v>
      </c>
      <c r="D27" t="s">
        <v>12</v>
      </c>
      <c r="H27">
        <v>146</v>
      </c>
      <c r="I27" t="s">
        <v>104</v>
      </c>
      <c r="J27">
        <f t="shared" si="1"/>
        <v>146</v>
      </c>
      <c r="L27">
        <f t="shared" si="0"/>
        <v>6.5178571428571433E-2</v>
      </c>
    </row>
    <row r="28" spans="1:12" x14ac:dyDescent="0.25">
      <c r="A28">
        <v>1720</v>
      </c>
      <c r="B28" t="s">
        <v>24</v>
      </c>
      <c r="C28" t="s">
        <v>124</v>
      </c>
      <c r="D28" t="s">
        <v>12</v>
      </c>
      <c r="F28">
        <v>2</v>
      </c>
      <c r="G28">
        <v>3</v>
      </c>
      <c r="H28">
        <v>4</v>
      </c>
      <c r="J28">
        <f t="shared" si="1"/>
        <v>312</v>
      </c>
      <c r="L28">
        <f t="shared" si="0"/>
        <v>0.13928571428571429</v>
      </c>
    </row>
    <row r="29" spans="1:12" x14ac:dyDescent="0.25">
      <c r="A29">
        <v>1720</v>
      </c>
      <c r="B29" t="s">
        <v>103</v>
      </c>
      <c r="C29" t="s">
        <v>124</v>
      </c>
      <c r="D29" t="s">
        <v>12</v>
      </c>
      <c r="E29">
        <v>2</v>
      </c>
      <c r="J29">
        <f t="shared" si="1"/>
        <v>4480</v>
      </c>
      <c r="L29">
        <f t="shared" si="0"/>
        <v>2</v>
      </c>
    </row>
  </sheetData>
  <autoFilter ref="A1:L29" xr:uid="{7ECBE782-642A-4A69-B3C3-AA33FAF53666}">
    <sortState xmlns:xlrd2="http://schemas.microsoft.com/office/spreadsheetml/2017/richdata2" ref="A2:L29">
      <sortCondition ref="D1:D29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J34"/>
  <sheetViews>
    <sheetView workbookViewId="0">
      <selection activeCell="G25" sqref="C3:G25"/>
    </sheetView>
  </sheetViews>
  <sheetFormatPr defaultRowHeight="15" x14ac:dyDescent="0.25"/>
  <cols>
    <col min="1" max="1" width="15" customWidth="1"/>
  </cols>
  <sheetData>
    <row r="1" spans="1:10" x14ac:dyDescent="0.2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/>
      <c r="H1" s="1" t="s">
        <v>6</v>
      </c>
      <c r="I1" s="1"/>
      <c r="J1" s="1" t="s">
        <v>7</v>
      </c>
    </row>
    <row r="2" spans="1:10" x14ac:dyDescent="0.25">
      <c r="A2" t="s">
        <v>35</v>
      </c>
      <c r="B2" t="s">
        <v>8</v>
      </c>
      <c r="H2">
        <f t="shared" ref="H2:H34" si="0">(C2*2240)+(D2*112)+(E2*28)+F2</f>
        <v>0</v>
      </c>
      <c r="I2" s="1"/>
      <c r="J2">
        <f t="shared" ref="J2:J34" si="1">H2/2240</f>
        <v>0</v>
      </c>
    </row>
    <row r="3" spans="1:10" x14ac:dyDescent="0.25">
      <c r="A3" t="s">
        <v>63</v>
      </c>
      <c r="B3" t="s">
        <v>8</v>
      </c>
      <c r="H3">
        <f t="shared" si="0"/>
        <v>0</v>
      </c>
      <c r="I3" s="1"/>
      <c r="J3">
        <f t="shared" si="1"/>
        <v>0</v>
      </c>
    </row>
    <row r="4" spans="1:10" x14ac:dyDescent="0.25">
      <c r="A4" t="s">
        <v>65</v>
      </c>
      <c r="B4" t="s">
        <v>8</v>
      </c>
      <c r="H4">
        <f t="shared" si="0"/>
        <v>0</v>
      </c>
      <c r="I4" s="1"/>
      <c r="J4">
        <f t="shared" si="1"/>
        <v>0</v>
      </c>
    </row>
    <row r="5" spans="1:10" x14ac:dyDescent="0.25">
      <c r="A5" t="s">
        <v>64</v>
      </c>
      <c r="B5" t="s">
        <v>8</v>
      </c>
      <c r="H5">
        <f t="shared" si="0"/>
        <v>0</v>
      </c>
      <c r="I5" s="1"/>
      <c r="J5">
        <f t="shared" si="1"/>
        <v>0</v>
      </c>
    </row>
    <row r="6" spans="1:10" x14ac:dyDescent="0.25">
      <c r="A6" t="s">
        <v>69</v>
      </c>
      <c r="B6" t="s">
        <v>8</v>
      </c>
      <c r="H6">
        <f t="shared" si="0"/>
        <v>0</v>
      </c>
      <c r="I6" s="1"/>
      <c r="J6">
        <f t="shared" si="1"/>
        <v>0</v>
      </c>
    </row>
    <row r="7" spans="1:10" x14ac:dyDescent="0.25">
      <c r="A7" t="s">
        <v>70</v>
      </c>
      <c r="B7" t="s">
        <v>8</v>
      </c>
      <c r="H7">
        <f t="shared" si="0"/>
        <v>0</v>
      </c>
      <c r="I7" s="1"/>
      <c r="J7">
        <f t="shared" si="1"/>
        <v>0</v>
      </c>
    </row>
    <row r="8" spans="1:10" x14ac:dyDescent="0.25">
      <c r="A8" t="s">
        <v>15</v>
      </c>
      <c r="B8" t="s">
        <v>8</v>
      </c>
      <c r="H8">
        <f t="shared" si="0"/>
        <v>0</v>
      </c>
      <c r="I8" s="1"/>
      <c r="J8">
        <f t="shared" si="1"/>
        <v>0</v>
      </c>
    </row>
    <row r="9" spans="1:10" x14ac:dyDescent="0.25">
      <c r="A9" t="s">
        <v>16</v>
      </c>
      <c r="B9" t="s">
        <v>8</v>
      </c>
      <c r="H9">
        <f t="shared" si="0"/>
        <v>0</v>
      </c>
      <c r="J9">
        <f t="shared" si="1"/>
        <v>0</v>
      </c>
    </row>
    <row r="10" spans="1:10" x14ac:dyDescent="0.25">
      <c r="A10" t="s">
        <v>17</v>
      </c>
      <c r="B10" t="s">
        <v>8</v>
      </c>
      <c r="H10">
        <f t="shared" si="0"/>
        <v>0</v>
      </c>
      <c r="J10">
        <f t="shared" si="1"/>
        <v>0</v>
      </c>
    </row>
    <row r="11" spans="1:10" x14ac:dyDescent="0.25">
      <c r="A11" t="s">
        <v>18</v>
      </c>
      <c r="B11" t="s">
        <v>8</v>
      </c>
      <c r="H11">
        <f t="shared" si="0"/>
        <v>0</v>
      </c>
      <c r="J11">
        <f t="shared" si="1"/>
        <v>0</v>
      </c>
    </row>
    <row r="12" spans="1:10" x14ac:dyDescent="0.25">
      <c r="A12" t="s">
        <v>27</v>
      </c>
      <c r="B12" t="s">
        <v>8</v>
      </c>
      <c r="H12">
        <f t="shared" si="0"/>
        <v>0</v>
      </c>
      <c r="J12">
        <f t="shared" si="1"/>
        <v>0</v>
      </c>
    </row>
    <row r="13" spans="1:10" x14ac:dyDescent="0.25">
      <c r="A13" t="s">
        <v>24</v>
      </c>
      <c r="B13" t="s">
        <v>8</v>
      </c>
      <c r="H13">
        <f t="shared" si="0"/>
        <v>0</v>
      </c>
      <c r="J13">
        <f t="shared" si="1"/>
        <v>0</v>
      </c>
    </row>
    <row r="14" spans="1:10" x14ac:dyDescent="0.25">
      <c r="A14" t="s">
        <v>9</v>
      </c>
      <c r="B14" t="s">
        <v>8</v>
      </c>
      <c r="H14">
        <f t="shared" si="0"/>
        <v>0</v>
      </c>
      <c r="J14">
        <f t="shared" si="1"/>
        <v>0</v>
      </c>
    </row>
    <row r="15" spans="1:10" x14ac:dyDescent="0.25">
      <c r="A15" t="s">
        <v>20</v>
      </c>
      <c r="B15" t="s">
        <v>8</v>
      </c>
      <c r="H15">
        <f t="shared" si="0"/>
        <v>0</v>
      </c>
      <c r="J15">
        <f t="shared" si="1"/>
        <v>0</v>
      </c>
    </row>
    <row r="16" spans="1:10" x14ac:dyDescent="0.25">
      <c r="A16" t="s">
        <v>10</v>
      </c>
      <c r="B16" t="s">
        <v>8</v>
      </c>
      <c r="H16">
        <f t="shared" si="0"/>
        <v>0</v>
      </c>
      <c r="J16">
        <f t="shared" si="1"/>
        <v>0</v>
      </c>
    </row>
    <row r="17" spans="1:10" x14ac:dyDescent="0.25">
      <c r="A17" t="s">
        <v>41</v>
      </c>
      <c r="B17" t="s">
        <v>8</v>
      </c>
      <c r="H17">
        <f t="shared" si="0"/>
        <v>0</v>
      </c>
      <c r="J17">
        <f t="shared" si="1"/>
        <v>0</v>
      </c>
    </row>
    <row r="18" spans="1:10" x14ac:dyDescent="0.25">
      <c r="A18" t="s">
        <v>31</v>
      </c>
      <c r="B18" t="s">
        <v>8</v>
      </c>
      <c r="H18">
        <f t="shared" si="0"/>
        <v>0</v>
      </c>
      <c r="J18">
        <f t="shared" si="1"/>
        <v>0</v>
      </c>
    </row>
    <row r="19" spans="1:10" x14ac:dyDescent="0.25">
      <c r="A19" t="s">
        <v>23</v>
      </c>
      <c r="B19" t="s">
        <v>8</v>
      </c>
      <c r="H19">
        <f t="shared" si="0"/>
        <v>0</v>
      </c>
      <c r="J19">
        <f t="shared" si="1"/>
        <v>0</v>
      </c>
    </row>
    <row r="20" spans="1:10" x14ac:dyDescent="0.25">
      <c r="A20" t="s">
        <v>40</v>
      </c>
      <c r="B20" t="s">
        <v>8</v>
      </c>
      <c r="H20">
        <f t="shared" si="0"/>
        <v>0</v>
      </c>
      <c r="J20">
        <f t="shared" si="1"/>
        <v>0</v>
      </c>
    </row>
    <row r="21" spans="1:10" x14ac:dyDescent="0.25">
      <c r="A21" t="s">
        <v>22</v>
      </c>
      <c r="B21" t="s">
        <v>8</v>
      </c>
      <c r="H21">
        <f t="shared" si="0"/>
        <v>0</v>
      </c>
      <c r="J21">
        <f t="shared" si="1"/>
        <v>0</v>
      </c>
    </row>
    <row r="22" spans="1:10" x14ac:dyDescent="0.25">
      <c r="A22" t="s">
        <v>21</v>
      </c>
      <c r="B22" t="s">
        <v>8</v>
      </c>
      <c r="H22">
        <f t="shared" si="0"/>
        <v>0</v>
      </c>
      <c r="J22">
        <f t="shared" si="1"/>
        <v>0</v>
      </c>
    </row>
    <row r="23" spans="1:10" x14ac:dyDescent="0.25">
      <c r="A23" t="s">
        <v>29</v>
      </c>
      <c r="B23" t="s">
        <v>8</v>
      </c>
      <c r="H23">
        <f t="shared" si="0"/>
        <v>0</v>
      </c>
      <c r="J23">
        <f t="shared" si="1"/>
        <v>0</v>
      </c>
    </row>
    <row r="24" spans="1:10" x14ac:dyDescent="0.25">
      <c r="A24" t="s">
        <v>35</v>
      </c>
      <c r="B24" t="s">
        <v>12</v>
      </c>
      <c r="H24">
        <f t="shared" si="0"/>
        <v>0</v>
      </c>
      <c r="J24">
        <f t="shared" si="1"/>
        <v>0</v>
      </c>
    </row>
    <row r="25" spans="1:10" x14ac:dyDescent="0.25">
      <c r="A25" t="s">
        <v>15</v>
      </c>
      <c r="B25" t="s">
        <v>12</v>
      </c>
      <c r="H25">
        <f t="shared" si="0"/>
        <v>0</v>
      </c>
      <c r="J25">
        <f t="shared" si="1"/>
        <v>0</v>
      </c>
    </row>
    <row r="26" spans="1:10" x14ac:dyDescent="0.25">
      <c r="A26" t="s">
        <v>16</v>
      </c>
      <c r="B26" t="s">
        <v>12</v>
      </c>
      <c r="H26">
        <f t="shared" si="0"/>
        <v>0</v>
      </c>
      <c r="J26">
        <f t="shared" si="1"/>
        <v>0</v>
      </c>
    </row>
    <row r="27" spans="1:10" x14ac:dyDescent="0.25">
      <c r="A27" t="s">
        <v>17</v>
      </c>
      <c r="B27" t="s">
        <v>12</v>
      </c>
      <c r="H27">
        <f t="shared" si="0"/>
        <v>0</v>
      </c>
      <c r="J27">
        <f t="shared" si="1"/>
        <v>0</v>
      </c>
    </row>
    <row r="28" spans="1:10" x14ac:dyDescent="0.25">
      <c r="A28" t="s">
        <v>27</v>
      </c>
      <c r="B28" t="s">
        <v>12</v>
      </c>
      <c r="H28">
        <f t="shared" si="0"/>
        <v>0</v>
      </c>
      <c r="J28">
        <f t="shared" si="1"/>
        <v>0</v>
      </c>
    </row>
    <row r="29" spans="1:10" x14ac:dyDescent="0.25">
      <c r="A29" t="s">
        <v>20</v>
      </c>
      <c r="B29" t="s">
        <v>12</v>
      </c>
      <c r="H29">
        <f t="shared" si="0"/>
        <v>0</v>
      </c>
      <c r="J29">
        <f t="shared" si="1"/>
        <v>0</v>
      </c>
    </row>
    <row r="30" spans="1:10" x14ac:dyDescent="0.25">
      <c r="A30" t="s">
        <v>72</v>
      </c>
      <c r="B30" t="s">
        <v>12</v>
      </c>
      <c r="H30">
        <f t="shared" si="0"/>
        <v>0</v>
      </c>
      <c r="J30">
        <f t="shared" si="1"/>
        <v>0</v>
      </c>
    </row>
    <row r="31" spans="1:10" x14ac:dyDescent="0.25">
      <c r="A31" t="s">
        <v>63</v>
      </c>
      <c r="B31" t="s">
        <v>12</v>
      </c>
      <c r="H31">
        <f t="shared" si="0"/>
        <v>0</v>
      </c>
      <c r="J31">
        <f t="shared" si="1"/>
        <v>0</v>
      </c>
    </row>
    <row r="32" spans="1:10" x14ac:dyDescent="0.25">
      <c r="A32" t="s">
        <v>65</v>
      </c>
      <c r="B32" t="s">
        <v>12</v>
      </c>
      <c r="H32">
        <f t="shared" si="0"/>
        <v>0</v>
      </c>
      <c r="J32">
        <f t="shared" si="1"/>
        <v>0</v>
      </c>
    </row>
    <row r="33" spans="1:10" x14ac:dyDescent="0.25">
      <c r="A33" t="s">
        <v>64</v>
      </c>
      <c r="B33" t="s">
        <v>12</v>
      </c>
      <c r="H33">
        <f t="shared" si="0"/>
        <v>0</v>
      </c>
      <c r="J33">
        <f t="shared" si="1"/>
        <v>0</v>
      </c>
    </row>
    <row r="34" spans="1:10" x14ac:dyDescent="0.25">
      <c r="A34" t="s">
        <v>22</v>
      </c>
      <c r="B34" t="s">
        <v>12</v>
      </c>
      <c r="H34">
        <f t="shared" si="0"/>
        <v>0</v>
      </c>
      <c r="J3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0E8F-5346-4F95-B863-68538DF564B4}">
  <dimension ref="A1:L59"/>
  <sheetViews>
    <sheetView zoomScaleNormal="100" workbookViewId="0">
      <selection activeCell="H13" sqref="H13"/>
    </sheetView>
  </sheetViews>
  <sheetFormatPr defaultRowHeight="15" x14ac:dyDescent="0.25"/>
  <cols>
    <col min="2" max="3" width="14.14062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55</v>
      </c>
      <c r="F1" s="1" t="s">
        <v>56</v>
      </c>
      <c r="G1" s="1" t="s">
        <v>57</v>
      </c>
      <c r="H1" s="1" t="s">
        <v>58</v>
      </c>
      <c r="I1" s="1"/>
      <c r="J1" s="1" t="s">
        <v>6</v>
      </c>
      <c r="K1" s="1"/>
      <c r="L1" s="1" t="s">
        <v>111</v>
      </c>
    </row>
    <row r="2" spans="1:12" x14ac:dyDescent="0.25">
      <c r="A2">
        <v>1720</v>
      </c>
      <c r="B2" t="s">
        <v>26</v>
      </c>
      <c r="C2" t="s">
        <v>125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1720</v>
      </c>
      <c r="B3" t="s">
        <v>49</v>
      </c>
      <c r="C3" t="s">
        <v>125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1720</v>
      </c>
      <c r="B4" t="s">
        <v>114</v>
      </c>
      <c r="C4" t="s">
        <v>125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1720</v>
      </c>
      <c r="B5" t="s">
        <v>17</v>
      </c>
      <c r="C5" t="s">
        <v>125</v>
      </c>
      <c r="D5" t="s">
        <v>8</v>
      </c>
      <c r="F5">
        <v>3054</v>
      </c>
      <c r="G5">
        <v>2</v>
      </c>
      <c r="H5">
        <v>14</v>
      </c>
      <c r="J5">
        <f>(E5*2240)+(F5*112)+(G5*28)+H5</f>
        <v>342118</v>
      </c>
      <c r="L5">
        <f>J5/2240</f>
        <v>152.73124999999999</v>
      </c>
    </row>
    <row r="6" spans="1:12" x14ac:dyDescent="0.25">
      <c r="A6">
        <v>1720</v>
      </c>
      <c r="B6" t="s">
        <v>51</v>
      </c>
      <c r="C6" t="s">
        <v>125</v>
      </c>
      <c r="D6" t="s">
        <v>8</v>
      </c>
    </row>
    <row r="7" spans="1:12" x14ac:dyDescent="0.25">
      <c r="A7">
        <v>1720</v>
      </c>
      <c r="B7" t="s">
        <v>13</v>
      </c>
      <c r="C7" t="s">
        <v>125</v>
      </c>
      <c r="D7" t="s">
        <v>8</v>
      </c>
      <c r="J7">
        <f t="shared" ref="J7:J38" si="0">(E7*2240)+(F7*112)+(G7*28)+H7</f>
        <v>0</v>
      </c>
      <c r="L7">
        <f t="shared" ref="L7:L38" si="1">J7/2240</f>
        <v>0</v>
      </c>
    </row>
    <row r="8" spans="1:12" x14ac:dyDescent="0.25">
      <c r="A8">
        <v>1720</v>
      </c>
      <c r="B8" t="s">
        <v>73</v>
      </c>
      <c r="C8" t="s">
        <v>125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1720</v>
      </c>
      <c r="B9" t="s">
        <v>40</v>
      </c>
      <c r="C9" t="s">
        <v>125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1720</v>
      </c>
      <c r="B10" t="s">
        <v>62</v>
      </c>
      <c r="C10" t="s">
        <v>125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1720</v>
      </c>
      <c r="B11" t="s">
        <v>68</v>
      </c>
      <c r="C11" t="s">
        <v>125</v>
      </c>
      <c r="D11" t="s">
        <v>8</v>
      </c>
      <c r="J11">
        <f t="shared" si="0"/>
        <v>0</v>
      </c>
      <c r="L11">
        <f t="shared" si="1"/>
        <v>0</v>
      </c>
    </row>
    <row r="12" spans="1:12" x14ac:dyDescent="0.25">
      <c r="A12">
        <v>1720</v>
      </c>
      <c r="B12" t="s">
        <v>10</v>
      </c>
      <c r="C12" t="s">
        <v>125</v>
      </c>
      <c r="D12" t="s">
        <v>8</v>
      </c>
      <c r="H12">
        <f>28*200</f>
        <v>5600</v>
      </c>
      <c r="I12" t="s">
        <v>85</v>
      </c>
      <c r="J12">
        <f t="shared" si="0"/>
        <v>5600</v>
      </c>
      <c r="L12">
        <f t="shared" si="1"/>
        <v>2.5</v>
      </c>
    </row>
    <row r="13" spans="1:12" x14ac:dyDescent="0.25">
      <c r="A13">
        <v>1720</v>
      </c>
      <c r="B13" t="s">
        <v>15</v>
      </c>
      <c r="C13" t="s">
        <v>125</v>
      </c>
      <c r="D13" t="s">
        <v>8</v>
      </c>
      <c r="F13">
        <v>603</v>
      </c>
      <c r="J13">
        <f t="shared" si="0"/>
        <v>67536</v>
      </c>
      <c r="L13">
        <f t="shared" si="1"/>
        <v>30.15</v>
      </c>
    </row>
    <row r="14" spans="1:12" x14ac:dyDescent="0.25">
      <c r="A14">
        <v>1720</v>
      </c>
      <c r="B14" t="s">
        <v>25</v>
      </c>
      <c r="C14" t="s">
        <v>125</v>
      </c>
      <c r="D14" t="s">
        <v>8</v>
      </c>
      <c r="H14">
        <v>21</v>
      </c>
      <c r="J14">
        <f t="shared" si="0"/>
        <v>21</v>
      </c>
      <c r="L14">
        <f t="shared" si="1"/>
        <v>9.3749999999999997E-3</v>
      </c>
    </row>
    <row r="15" spans="1:12" x14ac:dyDescent="0.25">
      <c r="A15">
        <v>1720</v>
      </c>
      <c r="B15" t="s">
        <v>115</v>
      </c>
      <c r="C15" t="s">
        <v>125</v>
      </c>
      <c r="D15" t="s">
        <v>8</v>
      </c>
      <c r="J15">
        <f t="shared" si="0"/>
        <v>0</v>
      </c>
      <c r="L15">
        <f t="shared" si="1"/>
        <v>0</v>
      </c>
    </row>
    <row r="16" spans="1:12" x14ac:dyDescent="0.25">
      <c r="A16">
        <v>1720</v>
      </c>
      <c r="B16" t="s">
        <v>9</v>
      </c>
      <c r="C16" t="s">
        <v>125</v>
      </c>
      <c r="D16" t="s">
        <v>8</v>
      </c>
      <c r="H16">
        <v>3000</v>
      </c>
      <c r="J16">
        <f t="shared" si="0"/>
        <v>3000</v>
      </c>
      <c r="L16">
        <f t="shared" si="1"/>
        <v>1.3392857142857142</v>
      </c>
    </row>
    <row r="17" spans="1:12" x14ac:dyDescent="0.25">
      <c r="A17">
        <v>1720</v>
      </c>
      <c r="B17" t="s">
        <v>67</v>
      </c>
      <c r="C17" t="s">
        <v>125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1720</v>
      </c>
      <c r="B18" t="s">
        <v>35</v>
      </c>
      <c r="C18" t="s">
        <v>125</v>
      </c>
      <c r="D18" t="s">
        <v>8</v>
      </c>
      <c r="J18">
        <f t="shared" si="0"/>
        <v>0</v>
      </c>
      <c r="L18">
        <f t="shared" si="1"/>
        <v>0</v>
      </c>
    </row>
    <row r="19" spans="1:12" x14ac:dyDescent="0.25">
      <c r="A19">
        <v>1720</v>
      </c>
      <c r="B19" t="s">
        <v>21</v>
      </c>
      <c r="C19" t="s">
        <v>125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1720</v>
      </c>
      <c r="B20" t="s">
        <v>118</v>
      </c>
      <c r="C20" t="s">
        <v>125</v>
      </c>
      <c r="D20" t="s">
        <v>8</v>
      </c>
      <c r="J20">
        <f t="shared" si="0"/>
        <v>0</v>
      </c>
      <c r="L20">
        <f t="shared" si="1"/>
        <v>0</v>
      </c>
    </row>
    <row r="21" spans="1:12" x14ac:dyDescent="0.25">
      <c r="A21">
        <v>1720</v>
      </c>
      <c r="B21" t="s">
        <v>29</v>
      </c>
      <c r="C21" t="s">
        <v>125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1720</v>
      </c>
      <c r="B22" t="s">
        <v>16</v>
      </c>
      <c r="C22" t="s">
        <v>125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1720</v>
      </c>
      <c r="B23" t="s">
        <v>116</v>
      </c>
      <c r="C23" t="s">
        <v>125</v>
      </c>
      <c r="D23" t="s">
        <v>8</v>
      </c>
      <c r="J23">
        <f t="shared" si="0"/>
        <v>0</v>
      </c>
      <c r="L23">
        <f t="shared" si="1"/>
        <v>0</v>
      </c>
    </row>
    <row r="24" spans="1:12" x14ac:dyDescent="0.25">
      <c r="A24">
        <v>1720</v>
      </c>
      <c r="B24" t="s">
        <v>32</v>
      </c>
      <c r="C24" t="s">
        <v>125</v>
      </c>
      <c r="D24" t="s">
        <v>8</v>
      </c>
      <c r="H24">
        <v>2600</v>
      </c>
      <c r="J24">
        <f t="shared" si="0"/>
        <v>2600</v>
      </c>
      <c r="L24">
        <f t="shared" si="1"/>
        <v>1.1607142857142858</v>
      </c>
    </row>
    <row r="25" spans="1:12" x14ac:dyDescent="0.25">
      <c r="A25">
        <v>1720</v>
      </c>
      <c r="B25" t="s">
        <v>27</v>
      </c>
      <c r="C25" t="s">
        <v>125</v>
      </c>
      <c r="D25" t="s">
        <v>8</v>
      </c>
      <c r="J25">
        <f t="shared" si="0"/>
        <v>0</v>
      </c>
      <c r="L25">
        <f t="shared" si="1"/>
        <v>0</v>
      </c>
    </row>
    <row r="26" spans="1:12" x14ac:dyDescent="0.25">
      <c r="A26">
        <v>1720</v>
      </c>
      <c r="B26" t="s">
        <v>22</v>
      </c>
      <c r="C26" t="s">
        <v>125</v>
      </c>
      <c r="D26" t="s">
        <v>8</v>
      </c>
      <c r="H26">
        <v>1029</v>
      </c>
      <c r="I26" t="s">
        <v>86</v>
      </c>
      <c r="J26">
        <f t="shared" si="0"/>
        <v>1029</v>
      </c>
      <c r="L26">
        <f t="shared" si="1"/>
        <v>0.45937499999999998</v>
      </c>
    </row>
    <row r="27" spans="1:12" x14ac:dyDescent="0.25">
      <c r="A27">
        <v>1720</v>
      </c>
      <c r="B27" t="s">
        <v>53</v>
      </c>
      <c r="C27" t="s">
        <v>125</v>
      </c>
      <c r="D27" t="s">
        <v>8</v>
      </c>
      <c r="J27">
        <f t="shared" si="0"/>
        <v>0</v>
      </c>
      <c r="L27">
        <f t="shared" si="1"/>
        <v>0</v>
      </c>
    </row>
    <row r="28" spans="1:12" x14ac:dyDescent="0.25">
      <c r="A28">
        <v>1720</v>
      </c>
      <c r="B28" t="s">
        <v>24</v>
      </c>
      <c r="C28" t="s">
        <v>125</v>
      </c>
      <c r="D28" t="s">
        <v>8</v>
      </c>
      <c r="J28">
        <f t="shared" si="0"/>
        <v>0</v>
      </c>
      <c r="L28">
        <f t="shared" si="1"/>
        <v>0</v>
      </c>
    </row>
    <row r="29" spans="1:12" x14ac:dyDescent="0.25">
      <c r="A29">
        <v>1720</v>
      </c>
      <c r="B29" t="s">
        <v>38</v>
      </c>
      <c r="C29" t="s">
        <v>125</v>
      </c>
      <c r="D29" t="s">
        <v>8</v>
      </c>
      <c r="J29">
        <f t="shared" si="0"/>
        <v>0</v>
      </c>
      <c r="L29">
        <f t="shared" si="1"/>
        <v>0</v>
      </c>
    </row>
    <row r="30" spans="1:12" x14ac:dyDescent="0.25">
      <c r="A30">
        <v>1720</v>
      </c>
      <c r="B30" t="s">
        <v>36</v>
      </c>
      <c r="C30" t="s">
        <v>125</v>
      </c>
      <c r="D30" t="s">
        <v>8</v>
      </c>
      <c r="J30">
        <f t="shared" si="0"/>
        <v>0</v>
      </c>
      <c r="L30">
        <f t="shared" si="1"/>
        <v>0</v>
      </c>
    </row>
    <row r="31" spans="1:12" x14ac:dyDescent="0.25">
      <c r="A31">
        <v>1720</v>
      </c>
      <c r="B31" t="s">
        <v>28</v>
      </c>
      <c r="C31" t="s">
        <v>125</v>
      </c>
      <c r="D31" t="s">
        <v>8</v>
      </c>
      <c r="J31">
        <f t="shared" si="0"/>
        <v>0</v>
      </c>
      <c r="L31">
        <f t="shared" si="1"/>
        <v>0</v>
      </c>
    </row>
    <row r="32" spans="1:12" x14ac:dyDescent="0.25">
      <c r="A32">
        <v>1720</v>
      </c>
      <c r="B32" t="s">
        <v>20</v>
      </c>
      <c r="C32" t="s">
        <v>125</v>
      </c>
      <c r="D32" t="s">
        <v>8</v>
      </c>
      <c r="J32">
        <f t="shared" si="0"/>
        <v>0</v>
      </c>
      <c r="L32">
        <f t="shared" si="1"/>
        <v>0</v>
      </c>
    </row>
    <row r="33" spans="1:12" x14ac:dyDescent="0.25">
      <c r="A33">
        <v>1720</v>
      </c>
      <c r="B33" t="s">
        <v>23</v>
      </c>
      <c r="C33" t="s">
        <v>125</v>
      </c>
      <c r="D33" t="s">
        <v>8</v>
      </c>
      <c r="J33">
        <f t="shared" si="0"/>
        <v>0</v>
      </c>
      <c r="L33">
        <f t="shared" si="1"/>
        <v>0</v>
      </c>
    </row>
    <row r="34" spans="1:12" x14ac:dyDescent="0.25">
      <c r="A34">
        <v>1720</v>
      </c>
      <c r="B34" t="s">
        <v>18</v>
      </c>
      <c r="C34" t="s">
        <v>125</v>
      </c>
      <c r="D34" t="s">
        <v>8</v>
      </c>
      <c r="J34">
        <f t="shared" si="0"/>
        <v>0</v>
      </c>
      <c r="L34">
        <f t="shared" si="1"/>
        <v>0</v>
      </c>
    </row>
    <row r="35" spans="1:12" x14ac:dyDescent="0.25">
      <c r="A35">
        <v>1720</v>
      </c>
      <c r="B35" t="s">
        <v>66</v>
      </c>
      <c r="C35" t="s">
        <v>125</v>
      </c>
      <c r="D35" t="s">
        <v>8</v>
      </c>
      <c r="J35">
        <f t="shared" si="0"/>
        <v>0</v>
      </c>
      <c r="L35">
        <f t="shared" si="1"/>
        <v>0</v>
      </c>
    </row>
    <row r="36" spans="1:12" x14ac:dyDescent="0.25">
      <c r="A36">
        <v>1720</v>
      </c>
      <c r="B36" t="s">
        <v>17</v>
      </c>
      <c r="C36" t="s">
        <v>125</v>
      </c>
      <c r="D36" t="s">
        <v>12</v>
      </c>
      <c r="J36">
        <f t="shared" si="0"/>
        <v>0</v>
      </c>
      <c r="L36">
        <f t="shared" si="1"/>
        <v>0</v>
      </c>
    </row>
    <row r="37" spans="1:12" x14ac:dyDescent="0.25">
      <c r="A37">
        <v>1720</v>
      </c>
      <c r="B37" t="s">
        <v>13</v>
      </c>
      <c r="C37" t="s">
        <v>125</v>
      </c>
      <c r="D37" t="s">
        <v>12</v>
      </c>
      <c r="J37">
        <f t="shared" si="0"/>
        <v>0</v>
      </c>
      <c r="L37">
        <f t="shared" si="1"/>
        <v>0</v>
      </c>
    </row>
    <row r="38" spans="1:12" x14ac:dyDescent="0.25">
      <c r="A38">
        <v>1720</v>
      </c>
      <c r="B38" t="s">
        <v>40</v>
      </c>
      <c r="C38" t="s">
        <v>125</v>
      </c>
      <c r="D38" t="s">
        <v>12</v>
      </c>
      <c r="J38">
        <f t="shared" si="0"/>
        <v>0</v>
      </c>
      <c r="L38">
        <f t="shared" si="1"/>
        <v>0</v>
      </c>
    </row>
    <row r="39" spans="1:12" x14ac:dyDescent="0.25">
      <c r="A39">
        <v>1720</v>
      </c>
      <c r="B39" t="s">
        <v>68</v>
      </c>
      <c r="C39" t="s">
        <v>125</v>
      </c>
      <c r="D39" t="s">
        <v>12</v>
      </c>
      <c r="J39">
        <f t="shared" ref="J39:J59" si="2">(E39*2240)+(F39*112)+(G39*28)+H39</f>
        <v>0</v>
      </c>
      <c r="L39">
        <f t="shared" ref="L39:L59" si="3">J39/2240</f>
        <v>0</v>
      </c>
    </row>
    <row r="40" spans="1:12" x14ac:dyDescent="0.25">
      <c r="A40">
        <v>1720</v>
      </c>
      <c r="B40" t="s">
        <v>69</v>
      </c>
      <c r="C40" t="s">
        <v>125</v>
      </c>
      <c r="D40" t="s">
        <v>12</v>
      </c>
      <c r="J40">
        <f t="shared" si="2"/>
        <v>0</v>
      </c>
      <c r="L40">
        <f t="shared" si="3"/>
        <v>0</v>
      </c>
    </row>
    <row r="41" spans="1:12" x14ac:dyDescent="0.25">
      <c r="A41">
        <v>1720</v>
      </c>
      <c r="B41" t="s">
        <v>10</v>
      </c>
      <c r="C41" t="s">
        <v>125</v>
      </c>
      <c r="D41" t="s">
        <v>12</v>
      </c>
      <c r="J41">
        <f t="shared" si="2"/>
        <v>0</v>
      </c>
      <c r="L41">
        <f t="shared" si="3"/>
        <v>0</v>
      </c>
    </row>
    <row r="42" spans="1:12" x14ac:dyDescent="0.25">
      <c r="A42">
        <v>1720</v>
      </c>
      <c r="B42" t="s">
        <v>15</v>
      </c>
      <c r="C42" t="s">
        <v>125</v>
      </c>
      <c r="D42" t="s">
        <v>12</v>
      </c>
      <c r="J42">
        <f t="shared" si="2"/>
        <v>0</v>
      </c>
      <c r="L42">
        <f t="shared" si="3"/>
        <v>0</v>
      </c>
    </row>
    <row r="43" spans="1:12" x14ac:dyDescent="0.25">
      <c r="A43">
        <v>1720</v>
      </c>
      <c r="B43" t="s">
        <v>25</v>
      </c>
      <c r="C43" t="s">
        <v>125</v>
      </c>
      <c r="D43" t="s">
        <v>12</v>
      </c>
      <c r="J43">
        <f t="shared" si="2"/>
        <v>0</v>
      </c>
      <c r="L43">
        <f t="shared" si="3"/>
        <v>0</v>
      </c>
    </row>
    <row r="44" spans="1:12" x14ac:dyDescent="0.25">
      <c r="A44">
        <v>1720</v>
      </c>
      <c r="B44" t="s">
        <v>115</v>
      </c>
      <c r="C44" t="s">
        <v>125</v>
      </c>
      <c r="D44" t="s">
        <v>12</v>
      </c>
      <c r="J44">
        <f t="shared" si="2"/>
        <v>0</v>
      </c>
      <c r="L44">
        <f t="shared" si="3"/>
        <v>0</v>
      </c>
    </row>
    <row r="45" spans="1:12" x14ac:dyDescent="0.25">
      <c r="A45">
        <v>1720</v>
      </c>
      <c r="B45" t="s">
        <v>9</v>
      </c>
      <c r="C45" t="s">
        <v>125</v>
      </c>
      <c r="D45" t="s">
        <v>12</v>
      </c>
      <c r="J45">
        <f t="shared" si="2"/>
        <v>0</v>
      </c>
      <c r="L45">
        <f t="shared" si="3"/>
        <v>0</v>
      </c>
    </row>
    <row r="46" spans="1:12" x14ac:dyDescent="0.25">
      <c r="A46">
        <v>1720</v>
      </c>
      <c r="B46" t="s">
        <v>35</v>
      </c>
      <c r="C46" t="s">
        <v>125</v>
      </c>
      <c r="D46" t="s">
        <v>12</v>
      </c>
      <c r="J46">
        <f t="shared" si="2"/>
        <v>0</v>
      </c>
      <c r="L46">
        <f t="shared" si="3"/>
        <v>0</v>
      </c>
    </row>
    <row r="47" spans="1:12" x14ac:dyDescent="0.25">
      <c r="A47">
        <v>1720</v>
      </c>
      <c r="B47" t="s">
        <v>21</v>
      </c>
      <c r="C47" t="s">
        <v>125</v>
      </c>
      <c r="D47" t="s">
        <v>12</v>
      </c>
      <c r="J47">
        <f t="shared" si="2"/>
        <v>0</v>
      </c>
      <c r="L47">
        <f t="shared" si="3"/>
        <v>0</v>
      </c>
    </row>
    <row r="48" spans="1:12" x14ac:dyDescent="0.25">
      <c r="A48">
        <v>1720</v>
      </c>
      <c r="B48" t="s">
        <v>118</v>
      </c>
      <c r="C48" t="s">
        <v>125</v>
      </c>
      <c r="D48" t="s">
        <v>12</v>
      </c>
      <c r="J48">
        <f t="shared" si="2"/>
        <v>0</v>
      </c>
      <c r="L48">
        <f t="shared" si="3"/>
        <v>0</v>
      </c>
    </row>
    <row r="49" spans="1:12" x14ac:dyDescent="0.25">
      <c r="A49">
        <v>1720</v>
      </c>
      <c r="B49" t="s">
        <v>16</v>
      </c>
      <c r="C49" t="s">
        <v>125</v>
      </c>
      <c r="D49" t="s">
        <v>12</v>
      </c>
      <c r="J49">
        <f t="shared" si="2"/>
        <v>0</v>
      </c>
      <c r="L49">
        <f t="shared" si="3"/>
        <v>0</v>
      </c>
    </row>
    <row r="50" spans="1:12" x14ac:dyDescent="0.25">
      <c r="A50">
        <v>1720</v>
      </c>
      <c r="B50" t="s">
        <v>32</v>
      </c>
      <c r="C50" t="s">
        <v>125</v>
      </c>
      <c r="D50" t="s">
        <v>12</v>
      </c>
      <c r="J50">
        <f t="shared" si="2"/>
        <v>0</v>
      </c>
      <c r="L50">
        <f t="shared" si="3"/>
        <v>0</v>
      </c>
    </row>
    <row r="51" spans="1:12" x14ac:dyDescent="0.25">
      <c r="A51">
        <v>1720</v>
      </c>
      <c r="B51" t="s">
        <v>27</v>
      </c>
      <c r="C51" t="s">
        <v>125</v>
      </c>
      <c r="D51" t="s">
        <v>12</v>
      </c>
      <c r="J51">
        <f t="shared" si="2"/>
        <v>0</v>
      </c>
      <c r="L51">
        <f t="shared" si="3"/>
        <v>0</v>
      </c>
    </row>
    <row r="52" spans="1:12" x14ac:dyDescent="0.25">
      <c r="A52">
        <v>1720</v>
      </c>
      <c r="B52" t="s">
        <v>22</v>
      </c>
      <c r="C52" t="s">
        <v>125</v>
      </c>
      <c r="D52" t="s">
        <v>12</v>
      </c>
      <c r="J52">
        <f t="shared" si="2"/>
        <v>0</v>
      </c>
      <c r="L52">
        <f t="shared" si="3"/>
        <v>0</v>
      </c>
    </row>
    <row r="53" spans="1:12" x14ac:dyDescent="0.25">
      <c r="A53">
        <v>1720</v>
      </c>
      <c r="B53" t="s">
        <v>53</v>
      </c>
      <c r="C53" t="s">
        <v>125</v>
      </c>
      <c r="D53" t="s">
        <v>12</v>
      </c>
      <c r="J53">
        <f t="shared" si="2"/>
        <v>0</v>
      </c>
      <c r="L53">
        <f t="shared" si="3"/>
        <v>0</v>
      </c>
    </row>
    <row r="54" spans="1:12" x14ac:dyDescent="0.25">
      <c r="A54">
        <v>1720</v>
      </c>
      <c r="B54" t="s">
        <v>38</v>
      </c>
      <c r="C54" t="s">
        <v>125</v>
      </c>
      <c r="D54" t="s">
        <v>12</v>
      </c>
      <c r="J54">
        <f t="shared" si="2"/>
        <v>0</v>
      </c>
      <c r="L54">
        <f t="shared" si="3"/>
        <v>0</v>
      </c>
    </row>
    <row r="55" spans="1:12" x14ac:dyDescent="0.25">
      <c r="A55">
        <v>1720</v>
      </c>
      <c r="B55" t="s">
        <v>36</v>
      </c>
      <c r="C55" t="s">
        <v>125</v>
      </c>
      <c r="D55" t="s">
        <v>12</v>
      </c>
      <c r="J55">
        <f t="shared" si="2"/>
        <v>0</v>
      </c>
      <c r="L55">
        <f t="shared" si="3"/>
        <v>0</v>
      </c>
    </row>
    <row r="56" spans="1:12" x14ac:dyDescent="0.25">
      <c r="A56">
        <v>1720</v>
      </c>
      <c r="B56" t="s">
        <v>44</v>
      </c>
      <c r="C56" t="s">
        <v>125</v>
      </c>
      <c r="D56" t="s">
        <v>12</v>
      </c>
      <c r="J56">
        <f t="shared" si="2"/>
        <v>0</v>
      </c>
      <c r="L56">
        <f t="shared" si="3"/>
        <v>0</v>
      </c>
    </row>
    <row r="57" spans="1:12" x14ac:dyDescent="0.25">
      <c r="A57">
        <v>1720</v>
      </c>
      <c r="B57" t="s">
        <v>20</v>
      </c>
      <c r="C57" t="s">
        <v>125</v>
      </c>
      <c r="D57" t="s">
        <v>12</v>
      </c>
      <c r="J57">
        <f t="shared" si="2"/>
        <v>0</v>
      </c>
      <c r="L57">
        <f t="shared" si="3"/>
        <v>0</v>
      </c>
    </row>
    <row r="58" spans="1:12" x14ac:dyDescent="0.25">
      <c r="A58">
        <v>1720</v>
      </c>
      <c r="B58" t="s">
        <v>23</v>
      </c>
      <c r="C58" t="s">
        <v>125</v>
      </c>
      <c r="D58" t="s">
        <v>12</v>
      </c>
      <c r="J58">
        <f t="shared" si="2"/>
        <v>0</v>
      </c>
      <c r="L58">
        <f t="shared" si="3"/>
        <v>0</v>
      </c>
    </row>
    <row r="59" spans="1:12" x14ac:dyDescent="0.25">
      <c r="A59">
        <v>1720</v>
      </c>
      <c r="B59" t="s">
        <v>18</v>
      </c>
      <c r="C59" t="s">
        <v>125</v>
      </c>
      <c r="D59" t="s">
        <v>12</v>
      </c>
      <c r="J59">
        <f t="shared" si="2"/>
        <v>0</v>
      </c>
      <c r="L59">
        <f t="shared" si="3"/>
        <v>0</v>
      </c>
    </row>
  </sheetData>
  <autoFilter ref="A1:L59" xr:uid="{9A860E8F-5346-4F95-B863-68538DF564B4}">
    <sortState xmlns:xlrd2="http://schemas.microsoft.com/office/spreadsheetml/2017/richdata2" ref="A2:L59">
      <sortCondition ref="D1:D5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5" ma:contentTypeDescription="Create a new document." ma:contentTypeScope="" ma:versionID="07c0f84483775e373f357f2adcc1cf84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5224a29abe99a8735341e5c803699515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C65BEE-AFAD-4486-BC86-A9D2CFD29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CA378A-7AB7-4602-9369-63FA5431E7C3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cefc4363-6422-4cdd-96f6-49f865293ff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546137A-94A7-4885-9D59-43EC3E390E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 Goods Sheet</vt:lpstr>
      <vt:lpstr>Africa</vt:lpstr>
      <vt:lpstr>Canaries</vt:lpstr>
      <vt:lpstr>Antigua</vt:lpstr>
      <vt:lpstr>Barbados</vt:lpstr>
      <vt:lpstr>Bermuda</vt:lpstr>
      <vt:lpstr>Carolina</vt:lpstr>
      <vt:lpstr>Jamaica</vt:lpstr>
      <vt:lpstr>Mountserat</vt:lpstr>
      <vt:lpstr>Nevis</vt:lpstr>
      <vt:lpstr>StKitts</vt:lpstr>
      <vt:lpstr>NewEngland</vt:lpstr>
      <vt:lpstr>GeneralWI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2025-04-29T19:02:23Z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