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628" documentId="8_{E0572D34-0B89-4764-87F8-7BB4F20A7B7E}" xr6:coauthVersionLast="47" xr6:coauthVersionMax="47" xr10:uidLastSave="{CB30E314-29FE-4999-A94B-62677B22B6EB}"/>
  <bookViews>
    <workbookView xWindow="-120" yWindow="-12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</sheets>
  <definedNames>
    <definedName name="_xlnm._FilterDatabase" localSheetId="3" hidden="1">Barbados!$A$1:$N$53</definedName>
    <definedName name="_xlnm._FilterDatabase" localSheetId="5" hidden="1">Jamaica!$A$1:$O$61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8" l="1"/>
  <c r="H18" i="7"/>
  <c r="H19" i="6"/>
  <c r="H18" i="3"/>
  <c r="H9" i="2"/>
  <c r="L66" i="8" l="1"/>
  <c r="L67" i="8"/>
  <c r="L68" i="8"/>
  <c r="J66" i="8"/>
  <c r="J67" i="8"/>
  <c r="J68" i="8"/>
  <c r="J69" i="8"/>
  <c r="L69" i="8" s="1"/>
  <c r="J70" i="8"/>
  <c r="L70" i="8" s="1"/>
  <c r="L68" i="6"/>
  <c r="J68" i="6"/>
  <c r="H114" i="5"/>
  <c r="I95" i="5"/>
  <c r="H103" i="5"/>
  <c r="L118" i="5"/>
  <c r="J118" i="5"/>
  <c r="H92" i="5"/>
  <c r="L79" i="5"/>
  <c r="L80" i="5"/>
  <c r="L82" i="5"/>
  <c r="L85" i="5"/>
  <c r="L86" i="5"/>
  <c r="L87" i="5"/>
  <c r="L88" i="5"/>
  <c r="L89" i="5"/>
  <c r="L90" i="5"/>
  <c r="L91" i="5"/>
  <c r="L96" i="5"/>
  <c r="L97" i="5"/>
  <c r="L104" i="5"/>
  <c r="L106" i="5"/>
  <c r="L108" i="5"/>
  <c r="L116" i="5"/>
  <c r="J77" i="5"/>
  <c r="L77" i="5" s="1"/>
  <c r="J78" i="5"/>
  <c r="L78" i="5" s="1"/>
  <c r="J79" i="5"/>
  <c r="J80" i="5"/>
  <c r="J81" i="5"/>
  <c r="L81" i="5" s="1"/>
  <c r="J82" i="5"/>
  <c r="J83" i="5"/>
  <c r="L83" i="5" s="1"/>
  <c r="J84" i="5"/>
  <c r="L84" i="5" s="1"/>
  <c r="J85" i="5"/>
  <c r="J86" i="5"/>
  <c r="J87" i="5"/>
  <c r="J88" i="5"/>
  <c r="J89" i="5"/>
  <c r="J90" i="5"/>
  <c r="J91" i="5"/>
  <c r="J92" i="5"/>
  <c r="L92" i="5" s="1"/>
  <c r="J93" i="5"/>
  <c r="L93" i="5" s="1"/>
  <c r="J94" i="5"/>
  <c r="L94" i="5" s="1"/>
  <c r="J95" i="5"/>
  <c r="L95" i="5" s="1"/>
  <c r="J96" i="5"/>
  <c r="J97" i="5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J105" i="5"/>
  <c r="L105" i="5" s="1"/>
  <c r="J106" i="5"/>
  <c r="J107" i="5"/>
  <c r="L107" i="5" s="1"/>
  <c r="J108" i="5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J117" i="5"/>
  <c r="L117" i="5" s="1"/>
  <c r="J119" i="5"/>
  <c r="L119" i="5" s="1"/>
  <c r="J120" i="5"/>
  <c r="L120" i="5" s="1"/>
  <c r="J121" i="5"/>
  <c r="L121" i="5" s="1"/>
  <c r="J122" i="5"/>
  <c r="L122" i="5" s="1"/>
  <c r="J123" i="5"/>
  <c r="L123" i="5" s="1"/>
  <c r="J124" i="5"/>
  <c r="L124" i="5" s="1"/>
  <c r="J125" i="5"/>
  <c r="L125" i="5" s="1"/>
  <c r="J126" i="5"/>
  <c r="L126" i="5" s="1"/>
  <c r="F78" i="5"/>
  <c r="L16" i="4"/>
  <c r="L17" i="4"/>
  <c r="J16" i="4"/>
  <c r="J13" i="4"/>
  <c r="L13" i="4" s="1"/>
  <c r="J14" i="4"/>
  <c r="L14" i="4" s="1"/>
  <c r="J15" i="4"/>
  <c r="L15" i="4" s="1"/>
  <c r="J17" i="4"/>
  <c r="J18" i="4"/>
  <c r="L18" i="4" s="1"/>
  <c r="J19" i="4"/>
  <c r="L19" i="4" s="1"/>
  <c r="J20" i="4"/>
  <c r="L20" i="4" s="1"/>
  <c r="J21" i="4"/>
  <c r="L21" i="4" s="1"/>
  <c r="J22" i="4"/>
  <c r="L67" i="3"/>
  <c r="L68" i="3"/>
  <c r="L69" i="3"/>
  <c r="L70" i="3"/>
  <c r="L71" i="3"/>
  <c r="L72" i="3"/>
  <c r="L74" i="3"/>
  <c r="L77" i="3"/>
  <c r="L78" i="3"/>
  <c r="L79" i="3"/>
  <c r="L80" i="3"/>
  <c r="L83" i="3"/>
  <c r="L85" i="3"/>
  <c r="L87" i="3"/>
  <c r="L90" i="3"/>
  <c r="L91" i="3"/>
  <c r="L95" i="3"/>
  <c r="L97" i="3"/>
  <c r="J66" i="3"/>
  <c r="L66" i="3" s="1"/>
  <c r="J67" i="3"/>
  <c r="J68" i="3"/>
  <c r="J69" i="3"/>
  <c r="J70" i="3"/>
  <c r="J71" i="3"/>
  <c r="J72" i="3"/>
  <c r="J73" i="3"/>
  <c r="L73" i="3" s="1"/>
  <c r="J74" i="3"/>
  <c r="J75" i="3"/>
  <c r="L75" i="3" s="1"/>
  <c r="J76" i="3"/>
  <c r="L76" i="3" s="1"/>
  <c r="J77" i="3"/>
  <c r="J78" i="3"/>
  <c r="J79" i="3"/>
  <c r="J80" i="3"/>
  <c r="J81" i="3"/>
  <c r="L81" i="3" s="1"/>
  <c r="J82" i="3"/>
  <c r="L82" i="3" s="1"/>
  <c r="J83" i="3"/>
  <c r="J84" i="3"/>
  <c r="L84" i="3" s="1"/>
  <c r="J85" i="3"/>
  <c r="J86" i="3"/>
  <c r="L86" i="3" s="1"/>
  <c r="J87" i="3"/>
  <c r="J88" i="3"/>
  <c r="L88" i="3" s="1"/>
  <c r="J89" i="3"/>
  <c r="L89" i="3" s="1"/>
  <c r="J90" i="3"/>
  <c r="J91" i="3"/>
  <c r="J92" i="3"/>
  <c r="L92" i="3" s="1"/>
  <c r="J93" i="3"/>
  <c r="L93" i="3" s="1"/>
  <c r="J94" i="3"/>
  <c r="L94" i="3" s="1"/>
  <c r="J95" i="3"/>
  <c r="J96" i="3"/>
  <c r="L96" i="3" s="1"/>
  <c r="J97" i="3"/>
  <c r="L3" i="2"/>
  <c r="L4" i="2"/>
  <c r="L5" i="2"/>
  <c r="L6" i="2"/>
  <c r="L7" i="2"/>
  <c r="L8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4" i="2"/>
  <c r="L35" i="2"/>
  <c r="L39" i="2"/>
  <c r="L40" i="2"/>
  <c r="L42" i="2"/>
  <c r="L43" i="2"/>
  <c r="L45" i="2"/>
  <c r="L46" i="2"/>
  <c r="L47" i="2"/>
  <c r="L48" i="2"/>
  <c r="L51" i="2"/>
  <c r="L52" i="2"/>
  <c r="L53" i="2"/>
  <c r="L54" i="2"/>
  <c r="L55" i="2"/>
  <c r="L56" i="2"/>
  <c r="L57" i="2"/>
  <c r="L59" i="2"/>
  <c r="J3" i="2"/>
  <c r="J4" i="2"/>
  <c r="J5" i="2"/>
  <c r="J6" i="2"/>
  <c r="J7" i="2"/>
  <c r="J8" i="2"/>
  <c r="J9" i="2"/>
  <c r="L9" i="2" s="1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L33" i="2" s="1"/>
  <c r="J34" i="2"/>
  <c r="J35" i="2"/>
  <c r="J36" i="2"/>
  <c r="L36" i="2" s="1"/>
  <c r="J37" i="2"/>
  <c r="L37" i="2" s="1"/>
  <c r="J38" i="2"/>
  <c r="L38" i="2" s="1"/>
  <c r="J39" i="2"/>
  <c r="J40" i="2"/>
  <c r="J41" i="2"/>
  <c r="L41" i="2" s="1"/>
  <c r="J42" i="2"/>
  <c r="J43" i="2"/>
  <c r="J44" i="2"/>
  <c r="L44" i="2" s="1"/>
  <c r="J45" i="2"/>
  <c r="J46" i="2"/>
  <c r="J47" i="2"/>
  <c r="J48" i="2"/>
  <c r="J49" i="2"/>
  <c r="L49" i="2" s="1"/>
  <c r="J50" i="2"/>
  <c r="L50" i="2" s="1"/>
  <c r="J51" i="2"/>
  <c r="J52" i="2"/>
  <c r="J53" i="2"/>
  <c r="J54" i="2"/>
  <c r="J55" i="2"/>
  <c r="J56" i="2"/>
  <c r="J57" i="2"/>
  <c r="J58" i="2"/>
  <c r="L58" i="2" s="1"/>
  <c r="J59" i="2"/>
  <c r="F15" i="8"/>
  <c r="L41" i="6"/>
  <c r="J40" i="6"/>
  <c r="L40" i="6" s="1"/>
  <c r="H47" i="5"/>
  <c r="I43" i="5"/>
  <c r="H41" i="5"/>
  <c r="H20" i="5"/>
  <c r="J20" i="5" s="1"/>
  <c r="L20" i="5" s="1"/>
  <c r="H13" i="5"/>
  <c r="J13" i="5" s="1"/>
  <c r="L13" i="5" s="1"/>
  <c r="J55" i="5"/>
  <c r="L55" i="5" s="1"/>
  <c r="H30" i="5"/>
  <c r="L27" i="5"/>
  <c r="J14" i="5"/>
  <c r="L14" i="5" s="1"/>
  <c r="J15" i="5"/>
  <c r="L15" i="5" s="1"/>
  <c r="J16" i="5"/>
  <c r="L16" i="5" s="1"/>
  <c r="J18" i="5"/>
  <c r="L18" i="5" s="1"/>
  <c r="J19" i="5"/>
  <c r="L19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J28" i="5"/>
  <c r="L28" i="5" s="1"/>
  <c r="J29" i="5"/>
  <c r="L29" i="5" s="1"/>
  <c r="J30" i="5"/>
  <c r="L30" i="5" s="1"/>
  <c r="J31" i="5"/>
  <c r="J32" i="5"/>
  <c r="F17" i="5"/>
  <c r="J17" i="5" s="1"/>
  <c r="L17" i="5" s="1"/>
  <c r="J7" i="4"/>
  <c r="L7" i="4" s="1"/>
  <c r="J10" i="4"/>
  <c r="L10" i="4" s="1"/>
  <c r="J3" i="4"/>
  <c r="L3" i="4" s="1"/>
  <c r="J4" i="4"/>
  <c r="L4" i="4" s="1"/>
  <c r="J5" i="4"/>
  <c r="L5" i="4" s="1"/>
  <c r="J6" i="4"/>
  <c r="L6" i="4" s="1"/>
  <c r="J8" i="4"/>
  <c r="L8" i="4" s="1"/>
  <c r="J9" i="4"/>
  <c r="L9" i="4" s="1"/>
  <c r="J11" i="4"/>
  <c r="L11" i="4" s="1"/>
  <c r="L16" i="3"/>
  <c r="L17" i="3"/>
  <c r="J16" i="3"/>
  <c r="J17" i="3"/>
  <c r="J18" i="3"/>
  <c r="I21" i="2"/>
  <c r="J70" i="10"/>
  <c r="L70" i="10" s="1"/>
  <c r="J69" i="10"/>
  <c r="L69" i="10" s="1"/>
  <c r="J68" i="10"/>
  <c r="L68" i="10" s="1"/>
  <c r="J67" i="10"/>
  <c r="L67" i="10" s="1"/>
  <c r="J66" i="10"/>
  <c r="L66" i="10" s="1"/>
  <c r="J65" i="10"/>
  <c r="L65" i="10" s="1"/>
  <c r="J64" i="10"/>
  <c r="L64" i="10" s="1"/>
  <c r="J63" i="10"/>
  <c r="L63" i="10" s="1"/>
  <c r="J62" i="10"/>
  <c r="L62" i="10" s="1"/>
  <c r="J61" i="10"/>
  <c r="L61" i="10" s="1"/>
  <c r="J60" i="10"/>
  <c r="L60" i="10" s="1"/>
  <c r="J59" i="10"/>
  <c r="L59" i="10" s="1"/>
  <c r="J58" i="10"/>
  <c r="L58" i="10" s="1"/>
  <c r="J57" i="10"/>
  <c r="L57" i="10" s="1"/>
  <c r="J56" i="10"/>
  <c r="L56" i="10" s="1"/>
  <c r="J55" i="10"/>
  <c r="L55" i="10" s="1"/>
  <c r="J54" i="10"/>
  <c r="L54" i="10" s="1"/>
  <c r="J53" i="10"/>
  <c r="L53" i="10" s="1"/>
  <c r="J52" i="10"/>
  <c r="L52" i="10" s="1"/>
  <c r="L51" i="10"/>
  <c r="J51" i="10"/>
  <c r="J50" i="10"/>
  <c r="L50" i="10" s="1"/>
  <c r="J49" i="10"/>
  <c r="L49" i="10" s="1"/>
  <c r="J48" i="10"/>
  <c r="L48" i="10" s="1"/>
  <c r="J47" i="10"/>
  <c r="L47" i="10" s="1"/>
  <c r="J46" i="10"/>
  <c r="L46" i="10" s="1"/>
  <c r="J45" i="10"/>
  <c r="L45" i="10" s="1"/>
  <c r="J44" i="10"/>
  <c r="L44" i="10" s="1"/>
  <c r="J43" i="10"/>
  <c r="L43" i="10" s="1"/>
  <c r="J42" i="10"/>
  <c r="L42" i="10" s="1"/>
  <c r="J41" i="10"/>
  <c r="L41" i="10" s="1"/>
  <c r="J40" i="10"/>
  <c r="L40" i="10" s="1"/>
  <c r="J39" i="10"/>
  <c r="L39" i="10" s="1"/>
  <c r="J38" i="10"/>
  <c r="L38" i="10" s="1"/>
  <c r="J37" i="10"/>
  <c r="L37" i="10" s="1"/>
  <c r="J36" i="10"/>
  <c r="L36" i="10" s="1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J28" i="10"/>
  <c r="L28" i="10" s="1"/>
  <c r="J27" i="10"/>
  <c r="L27" i="10" s="1"/>
  <c r="J26" i="10"/>
  <c r="L26" i="10" s="1"/>
  <c r="J25" i="10"/>
  <c r="L25" i="10" s="1"/>
  <c r="J24" i="10"/>
  <c r="L24" i="10" s="1"/>
  <c r="J23" i="10"/>
  <c r="L23" i="10" s="1"/>
  <c r="J22" i="10"/>
  <c r="L22" i="10" s="1"/>
  <c r="J21" i="10"/>
  <c r="L21" i="10" s="1"/>
  <c r="J20" i="10"/>
  <c r="L20" i="10" s="1"/>
  <c r="L19" i="10"/>
  <c r="J19" i="10"/>
  <c r="J18" i="10"/>
  <c r="L18" i="10" s="1"/>
  <c r="J17" i="10"/>
  <c r="L17" i="10" s="1"/>
  <c r="J16" i="10"/>
  <c r="L16" i="10" s="1"/>
  <c r="J15" i="10"/>
  <c r="L15" i="10" s="1"/>
  <c r="J14" i="10"/>
  <c r="L14" i="10" s="1"/>
  <c r="J13" i="10"/>
  <c r="L13" i="10" s="1"/>
  <c r="J12" i="10"/>
  <c r="L12" i="10" s="1"/>
  <c r="J11" i="10"/>
  <c r="L11" i="10" s="1"/>
  <c r="J10" i="10"/>
  <c r="L10" i="10" s="1"/>
  <c r="J9" i="10"/>
  <c r="L9" i="10" s="1"/>
  <c r="J8" i="10"/>
  <c r="L8" i="10" s="1"/>
  <c r="J7" i="10"/>
  <c r="L7" i="10" s="1"/>
  <c r="J6" i="10"/>
  <c r="L6" i="10" s="1"/>
  <c r="J5" i="10"/>
  <c r="L5" i="10" s="1"/>
  <c r="J4" i="10"/>
  <c r="L4" i="10" s="1"/>
  <c r="J3" i="10"/>
  <c r="L3" i="10" s="1"/>
  <c r="J2" i="10"/>
  <c r="L2" i="10" s="1"/>
  <c r="C14" i="1" l="1"/>
  <c r="C19" i="1"/>
  <c r="C22" i="1"/>
  <c r="C23" i="1"/>
  <c r="C24" i="1"/>
  <c r="C25" i="1"/>
  <c r="C30" i="1"/>
  <c r="C31" i="1"/>
  <c r="B23" i="1"/>
  <c r="B24" i="1"/>
  <c r="D23" i="1" l="1"/>
  <c r="D24" i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C9" i="1" s="1"/>
  <c r="J55" i="8"/>
  <c r="L55" i="8" s="1"/>
  <c r="J54" i="8"/>
  <c r="L54" i="8" s="1"/>
  <c r="C7" i="1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L28" i="8"/>
  <c r="J28" i="8"/>
  <c r="J27" i="8"/>
  <c r="L27" i="8" s="1"/>
  <c r="J26" i="8"/>
  <c r="L26" i="8" s="1"/>
  <c r="J25" i="8"/>
  <c r="L25" i="8" s="1"/>
  <c r="J24" i="8"/>
  <c r="L24" i="8" s="1"/>
  <c r="B10" i="1" s="1"/>
  <c r="J23" i="8"/>
  <c r="L23" i="8" s="1"/>
  <c r="J22" i="8"/>
  <c r="L22" i="8" s="1"/>
  <c r="J21" i="8"/>
  <c r="L21" i="8" s="1"/>
  <c r="J20" i="8"/>
  <c r="L20" i="8" s="1"/>
  <c r="J19" i="8"/>
  <c r="L19" i="8" s="1"/>
  <c r="J18" i="8"/>
  <c r="L18" i="8" s="1"/>
  <c r="J17" i="8"/>
  <c r="L17" i="8" s="1"/>
  <c r="L16" i="8"/>
  <c r="J16" i="8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J4" i="8"/>
  <c r="L4" i="8" s="1"/>
  <c r="J3" i="8"/>
  <c r="L3" i="8" s="1"/>
  <c r="J2" i="8"/>
  <c r="L2" i="8" s="1"/>
  <c r="J65" i="7"/>
  <c r="L65" i="7" s="1"/>
  <c r="J64" i="7"/>
  <c r="L64" i="7" s="1"/>
  <c r="J63" i="7"/>
  <c r="L63" i="7" s="1"/>
  <c r="J62" i="7"/>
  <c r="L62" i="7" s="1"/>
  <c r="J61" i="7"/>
  <c r="L61" i="7" s="1"/>
  <c r="J60" i="7"/>
  <c r="L60" i="7" s="1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L39" i="7"/>
  <c r="J39" i="7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J20" i="7"/>
  <c r="L20" i="7" s="1"/>
  <c r="J19" i="7"/>
  <c r="L19" i="7" s="1"/>
  <c r="J18" i="7"/>
  <c r="L18" i="7" s="1"/>
  <c r="J17" i="7"/>
  <c r="L17" i="7" s="1"/>
  <c r="J16" i="7"/>
  <c r="L16" i="7" s="1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67" i="6"/>
  <c r="L67" i="6" s="1"/>
  <c r="C28" i="1" s="1"/>
  <c r="J66" i="6"/>
  <c r="L66" i="6" s="1"/>
  <c r="C21" i="1" s="1"/>
  <c r="J65" i="6"/>
  <c r="L65" i="6" s="1"/>
  <c r="C20" i="1" s="1"/>
  <c r="J64" i="6"/>
  <c r="L64" i="6" s="1"/>
  <c r="J63" i="6"/>
  <c r="L63" i="6" s="1"/>
  <c r="J62" i="6"/>
  <c r="L62" i="6" s="1"/>
  <c r="C16" i="1" s="1"/>
  <c r="J61" i="6"/>
  <c r="L61" i="6" s="1"/>
  <c r="C15" i="1" s="1"/>
  <c r="J60" i="6"/>
  <c r="L60" i="6" s="1"/>
  <c r="C13" i="1" s="1"/>
  <c r="J59" i="6"/>
  <c r="L59" i="6" s="1"/>
  <c r="C26" i="1" s="1"/>
  <c r="J58" i="6"/>
  <c r="L58" i="6" s="1"/>
  <c r="C12" i="1" s="1"/>
  <c r="J57" i="6"/>
  <c r="L57" i="6" s="1"/>
  <c r="J56" i="6"/>
  <c r="L56" i="6" s="1"/>
  <c r="J55" i="6"/>
  <c r="L55" i="6" s="1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J44" i="6"/>
  <c r="L44" i="6" s="1"/>
  <c r="J43" i="6"/>
  <c r="L43" i="6" s="1"/>
  <c r="J42" i="6"/>
  <c r="L42" i="6" s="1"/>
  <c r="J41" i="6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J23" i="6"/>
  <c r="L23" i="6" s="1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76" i="5"/>
  <c r="L76" i="5" s="1"/>
  <c r="J75" i="5"/>
  <c r="L75" i="5" s="1"/>
  <c r="J74" i="5"/>
  <c r="L74" i="5" s="1"/>
  <c r="J73" i="5"/>
  <c r="L73" i="5" s="1"/>
  <c r="J72" i="5"/>
  <c r="L72" i="5" s="1"/>
  <c r="J71" i="5"/>
  <c r="L71" i="5" s="1"/>
  <c r="J70" i="5"/>
  <c r="L70" i="5" s="1"/>
  <c r="J69" i="5"/>
  <c r="L69" i="5" s="1"/>
  <c r="J68" i="5"/>
  <c r="L68" i="5" s="1"/>
  <c r="J67" i="5"/>
  <c r="L67" i="5" s="1"/>
  <c r="J66" i="5"/>
  <c r="L66" i="5" s="1"/>
  <c r="J65" i="5"/>
  <c r="L65" i="5" s="1"/>
  <c r="J64" i="5"/>
  <c r="L64" i="5" s="1"/>
  <c r="J63" i="5"/>
  <c r="L63" i="5" s="1"/>
  <c r="J62" i="5"/>
  <c r="L62" i="5" s="1"/>
  <c r="J61" i="5"/>
  <c r="L61" i="5" s="1"/>
  <c r="J60" i="5"/>
  <c r="L60" i="5" s="1"/>
  <c r="J59" i="5"/>
  <c r="L59" i="5" s="1"/>
  <c r="J58" i="5"/>
  <c r="L58" i="5" s="1"/>
  <c r="J57" i="5"/>
  <c r="L57" i="5" s="1"/>
  <c r="J56" i="5"/>
  <c r="L56" i="5" s="1"/>
  <c r="J54" i="5"/>
  <c r="L54" i="5" s="1"/>
  <c r="J53" i="5"/>
  <c r="L53" i="5" s="1"/>
  <c r="J52" i="5"/>
  <c r="L52" i="5" s="1"/>
  <c r="J51" i="5"/>
  <c r="L51" i="5" s="1"/>
  <c r="J50" i="5"/>
  <c r="L50" i="5" s="1"/>
  <c r="J49" i="5"/>
  <c r="L49" i="5" s="1"/>
  <c r="J48" i="5"/>
  <c r="L48" i="5" s="1"/>
  <c r="J47" i="5"/>
  <c r="L47" i="5" s="1"/>
  <c r="J46" i="5"/>
  <c r="L46" i="5" s="1"/>
  <c r="J45" i="5"/>
  <c r="L45" i="5" s="1"/>
  <c r="J44" i="5"/>
  <c r="L44" i="5" s="1"/>
  <c r="J43" i="5"/>
  <c r="L43" i="5" s="1"/>
  <c r="B16" i="1" s="1"/>
  <c r="J42" i="5"/>
  <c r="L42" i="5" s="1"/>
  <c r="B15" i="1" s="1"/>
  <c r="J41" i="5"/>
  <c r="L41" i="5" s="1"/>
  <c r="J40" i="5"/>
  <c r="L40" i="5" s="1"/>
  <c r="J39" i="5"/>
  <c r="L39" i="5" s="1"/>
  <c r="J38" i="5"/>
  <c r="L38" i="5" s="1"/>
  <c r="J37" i="5"/>
  <c r="L37" i="5" s="1"/>
  <c r="B13" i="1" s="1"/>
  <c r="J36" i="5"/>
  <c r="L36" i="5" s="1"/>
  <c r="J35" i="5"/>
  <c r="L35" i="5" s="1"/>
  <c r="J34" i="5"/>
  <c r="L34" i="5" s="1"/>
  <c r="J33" i="5"/>
  <c r="L33" i="5" s="1"/>
  <c r="L32" i="5"/>
  <c r="L31" i="5"/>
  <c r="J12" i="5"/>
  <c r="L12" i="5" s="1"/>
  <c r="J11" i="5"/>
  <c r="L11" i="5" s="1"/>
  <c r="J10" i="5"/>
  <c r="L10" i="5" s="1"/>
  <c r="J9" i="5"/>
  <c r="L9" i="5" s="1"/>
  <c r="J8" i="5"/>
  <c r="L8" i="5" s="1"/>
  <c r="J7" i="5"/>
  <c r="L7" i="5" s="1"/>
  <c r="J6" i="5"/>
  <c r="L6" i="5" s="1"/>
  <c r="J5" i="5"/>
  <c r="L5" i="5" s="1"/>
  <c r="J4" i="5"/>
  <c r="L4" i="5" s="1"/>
  <c r="J3" i="5"/>
  <c r="L3" i="5" s="1"/>
  <c r="J2" i="5"/>
  <c r="L2" i="5" s="1"/>
  <c r="J23" i="4"/>
  <c r="L23" i="4" s="1"/>
  <c r="C29" i="1" s="1"/>
  <c r="L22" i="4"/>
  <c r="C27" i="1" s="1"/>
  <c r="C18" i="1"/>
  <c r="J12" i="4"/>
  <c r="L12" i="4" s="1"/>
  <c r="J2" i="4"/>
  <c r="L2" i="4" s="1"/>
  <c r="J65" i="3"/>
  <c r="L65" i="3" s="1"/>
  <c r="J64" i="3"/>
  <c r="L64" i="3" s="1"/>
  <c r="J63" i="3"/>
  <c r="L63" i="3" s="1"/>
  <c r="J62" i="3"/>
  <c r="L62" i="3" s="1"/>
  <c r="C6" i="1" s="1"/>
  <c r="J61" i="3"/>
  <c r="L61" i="3" s="1"/>
  <c r="J60" i="3"/>
  <c r="L60" i="3" s="1"/>
  <c r="J59" i="3"/>
  <c r="L59" i="3" s="1"/>
  <c r="J58" i="3"/>
  <c r="L58" i="3" s="1"/>
  <c r="J57" i="3"/>
  <c r="L57" i="3" s="1"/>
  <c r="J56" i="3"/>
  <c r="L56" i="3" s="1"/>
  <c r="J55" i="3"/>
  <c r="L55" i="3" s="1"/>
  <c r="J54" i="3"/>
  <c r="L54" i="3" s="1"/>
  <c r="J53" i="3"/>
  <c r="L53" i="3" s="1"/>
  <c r="J52" i="3"/>
  <c r="L52" i="3" s="1"/>
  <c r="C2" i="1" s="1"/>
  <c r="J51" i="3"/>
  <c r="L51" i="3" s="1"/>
  <c r="J50" i="3"/>
  <c r="L50" i="3" s="1"/>
  <c r="J49" i="3"/>
  <c r="L49" i="3" s="1"/>
  <c r="J48" i="3"/>
  <c r="L48" i="3" s="1"/>
  <c r="B31" i="1" s="1"/>
  <c r="D31" i="1" s="1"/>
  <c r="J47" i="3"/>
  <c r="L47" i="3" s="1"/>
  <c r="J46" i="3"/>
  <c r="L46" i="3" s="1"/>
  <c r="J45" i="3"/>
  <c r="L45" i="3" s="1"/>
  <c r="J44" i="3"/>
  <c r="L44" i="3" s="1"/>
  <c r="J43" i="3"/>
  <c r="L43" i="3" s="1"/>
  <c r="J42" i="3"/>
  <c r="L42" i="3" s="1"/>
  <c r="J41" i="3"/>
  <c r="L41" i="3" s="1"/>
  <c r="J40" i="3"/>
  <c r="L40" i="3" s="1"/>
  <c r="J39" i="3"/>
  <c r="L39" i="3" s="1"/>
  <c r="J38" i="3"/>
  <c r="L38" i="3" s="1"/>
  <c r="J37" i="3"/>
  <c r="L37" i="3" s="1"/>
  <c r="J36" i="3"/>
  <c r="L36" i="3" s="1"/>
  <c r="J35" i="3"/>
  <c r="L35" i="3" s="1"/>
  <c r="J34" i="3"/>
  <c r="L34" i="3" s="1"/>
  <c r="J33" i="3"/>
  <c r="L33" i="3" s="1"/>
  <c r="J32" i="3"/>
  <c r="L32" i="3" s="1"/>
  <c r="J31" i="3"/>
  <c r="L31" i="3" s="1"/>
  <c r="J30" i="3"/>
  <c r="L30" i="3" s="1"/>
  <c r="J29" i="3"/>
  <c r="L29" i="3" s="1"/>
  <c r="J28" i="3"/>
  <c r="L28" i="3" s="1"/>
  <c r="J27" i="3"/>
  <c r="L27" i="3" s="1"/>
  <c r="J26" i="3"/>
  <c r="L26" i="3" s="1"/>
  <c r="J25" i="3"/>
  <c r="L25" i="3" s="1"/>
  <c r="J24" i="3"/>
  <c r="L24" i="3" s="1"/>
  <c r="J23" i="3"/>
  <c r="L23" i="3" s="1"/>
  <c r="J22" i="3"/>
  <c r="L22" i="3" s="1"/>
  <c r="J21" i="3"/>
  <c r="L21" i="3" s="1"/>
  <c r="J20" i="3"/>
  <c r="L20" i="3" s="1"/>
  <c r="J19" i="3"/>
  <c r="L19" i="3" s="1"/>
  <c r="L18" i="3"/>
  <c r="J15" i="3"/>
  <c r="L15" i="3" s="1"/>
  <c r="J14" i="3"/>
  <c r="L14" i="3" s="1"/>
  <c r="J13" i="3"/>
  <c r="L13" i="3" s="1"/>
  <c r="J12" i="3"/>
  <c r="L12" i="3" s="1"/>
  <c r="J11" i="3"/>
  <c r="L11" i="3" s="1"/>
  <c r="J10" i="3"/>
  <c r="L10" i="3" s="1"/>
  <c r="J9" i="3"/>
  <c r="L9" i="3" s="1"/>
  <c r="J8" i="3"/>
  <c r="L8" i="3" s="1"/>
  <c r="J7" i="3"/>
  <c r="L7" i="3" s="1"/>
  <c r="J6" i="3"/>
  <c r="L6" i="3" s="1"/>
  <c r="J5" i="3"/>
  <c r="L5" i="3" s="1"/>
  <c r="J4" i="3"/>
  <c r="L4" i="3" s="1"/>
  <c r="J3" i="3"/>
  <c r="L3" i="3" s="1"/>
  <c r="J2" i="3"/>
  <c r="L2" i="3" s="1"/>
  <c r="C11" i="1"/>
  <c r="C8" i="1"/>
  <c r="C3" i="1"/>
  <c r="B19" i="1"/>
  <c r="D19" i="1" s="1"/>
  <c r="B18" i="1"/>
  <c r="B11" i="1"/>
  <c r="B5" i="1"/>
  <c r="J2" i="2"/>
  <c r="L2" i="2" s="1"/>
  <c r="C5" i="1" l="1"/>
  <c r="D5" i="1" s="1"/>
  <c r="B17" i="1"/>
  <c r="D16" i="1"/>
  <c r="C17" i="1"/>
  <c r="D15" i="1"/>
  <c r="B22" i="1"/>
  <c r="D22" i="1" s="1"/>
  <c r="D13" i="1"/>
  <c r="B27" i="1"/>
  <c r="D27" i="1" s="1"/>
  <c r="B3" i="1"/>
  <c r="D3" i="1" s="1"/>
  <c r="B26" i="1"/>
  <c r="D26" i="1" s="1"/>
  <c r="B29" i="1"/>
  <c r="D29" i="1" s="1"/>
  <c r="B14" i="1"/>
  <c r="D14" i="1" s="1"/>
  <c r="B30" i="1"/>
  <c r="D30" i="1" s="1"/>
  <c r="B25" i="1"/>
  <c r="D25" i="1" s="1"/>
  <c r="B20" i="1"/>
  <c r="D20" i="1" s="1"/>
  <c r="B6" i="1"/>
  <c r="D6" i="1" s="1"/>
  <c r="B2" i="1"/>
  <c r="D2" i="1" s="1"/>
  <c r="D18" i="1"/>
  <c r="C10" i="1"/>
  <c r="D10" i="1" s="1"/>
  <c r="B8" i="1"/>
  <c r="D8" i="1" s="1"/>
  <c r="B7" i="1"/>
  <c r="D7" i="1" s="1"/>
  <c r="B12" i="1"/>
  <c r="D12" i="1" s="1"/>
  <c r="B4" i="1"/>
  <c r="B9" i="1"/>
  <c r="D9" i="1" s="1"/>
  <c r="B21" i="1"/>
  <c r="D21" i="1" s="1"/>
  <c r="B28" i="1"/>
  <c r="D28" i="1" s="1"/>
  <c r="D11" i="1"/>
  <c r="C4" i="1"/>
  <c r="D17" i="1" l="1"/>
  <c r="D4" i="1"/>
</calcChain>
</file>

<file path=xl/sharedStrings.xml><?xml version="1.0" encoding="utf-8"?>
<sst xmlns="http://schemas.openxmlformats.org/spreadsheetml/2006/main" count="2142" uniqueCount="143">
  <si>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</si>
  <si>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</si>
  <si>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</si>
  <si>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</si>
  <si>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</si>
  <si>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</si>
  <si>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</si>
  <si>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</si>
  <si>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</si>
  <si>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</si>
  <si>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</si>
  <si>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</si>
  <si>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</si>
  <si>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</si>
  <si>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</si>
  <si>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</si>
  <si>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</si>
  <si>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</si>
  <si>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</si>
  <si>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</si>
  <si>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</si>
  <si>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</si>
  <si>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</si>
  <si>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</si>
  <si>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</si>
  <si>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</si>
  <si>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</si>
  <si>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</si>
  <si>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</si>
  <si>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</si>
  <si>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</si>
  <si>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</si>
  <si>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</si>
  <si>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</si>
  <si>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</si>
  <si>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</si>
  <si>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Fustic</t>
  </si>
  <si>
    <t>Cocoa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</si>
  <si>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</si>
  <si>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</si>
  <si>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</si>
  <si>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</si>
  <si>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</si>
  <si>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</si>
  <si>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</si>
  <si>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</si>
  <si>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</si>
  <si>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</si>
  <si>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</si>
  <si>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</si>
  <si>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</si>
  <si>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</si>
  <si>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</si>
  <si>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</si>
  <si>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</si>
  <si>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</si>
  <si>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</si>
  <si>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</si>
  <si>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</si>
  <si>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</si>
  <si>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</si>
  <si>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</si>
  <si>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</si>
  <si>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</si>
  <si>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</si>
  <si>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</si>
  <si>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</si>
  <si>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</si>
  <si>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</si>
  <si>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</si>
  <si>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</si>
  <si>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</si>
  <si>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Sarsparila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</si>
  <si>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</si>
  <si>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</si>
  <si>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</si>
  <si>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</si>
  <si>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</si>
  <si>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</si>
  <si>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</si>
  <si>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</si>
  <si>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</si>
  <si>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</si>
  <si>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Gum Guiacum</t>
  </si>
  <si>
    <t>Indigo, Plantation</t>
  </si>
  <si>
    <t>Indigo, Spanish</t>
  </si>
  <si>
    <t>Jallop?</t>
  </si>
  <si>
    <t>Orchelia</t>
  </si>
  <si>
    <t>Saunders Yellow</t>
  </si>
  <si>
    <t>Smalts</t>
  </si>
  <si>
    <t>Wood, Ebony</t>
  </si>
  <si>
    <t>Wood, Iron</t>
  </si>
  <si>
    <t>Wood, Mahogany</t>
  </si>
  <si>
    <t>Train Oyl</t>
  </si>
  <si>
    <t>Turpentine</t>
  </si>
  <si>
    <t>Wood, Cam</t>
  </si>
  <si>
    <t>Barbados T…</t>
  </si>
  <si>
    <t>Old Pewter</t>
  </si>
  <si>
    <t>Copper Ore</t>
  </si>
  <si>
    <t>Port</t>
  </si>
  <si>
    <t>Tortola</t>
  </si>
  <si>
    <t>3g</t>
  </si>
  <si>
    <t>13g</t>
  </si>
  <si>
    <t>28t 3h 2g</t>
  </si>
  <si>
    <t>71.5g</t>
  </si>
  <si>
    <t>13t 1h 38g</t>
  </si>
  <si>
    <t>635bags</t>
  </si>
  <si>
    <t>4581g</t>
  </si>
  <si>
    <t>23325.5g</t>
  </si>
  <si>
    <t>194g</t>
  </si>
  <si>
    <t>14g</t>
  </si>
  <si>
    <t>Cascarilla</t>
  </si>
  <si>
    <t>Hypococania</t>
  </si>
  <si>
    <t>57g</t>
  </si>
  <si>
    <t>30g</t>
  </si>
  <si>
    <t>27t 32g</t>
  </si>
  <si>
    <t>Wood, Cocus</t>
  </si>
  <si>
    <t>Tamarinds</t>
  </si>
  <si>
    <t>526g</t>
  </si>
  <si>
    <t>426.5g</t>
  </si>
  <si>
    <t>239g</t>
  </si>
  <si>
    <t>39bags</t>
  </si>
  <si>
    <t>506g</t>
  </si>
  <si>
    <t>4t 2h 27g</t>
  </si>
  <si>
    <t>9bags</t>
  </si>
  <si>
    <t>45g</t>
  </si>
  <si>
    <t>19g</t>
  </si>
  <si>
    <t>1283g</t>
  </si>
  <si>
    <t>7t 36g</t>
  </si>
  <si>
    <t>377bags</t>
  </si>
  <si>
    <t>.5g</t>
  </si>
  <si>
    <t>18g</t>
  </si>
  <si>
    <t>1659g</t>
  </si>
  <si>
    <t>1367.75g</t>
  </si>
  <si>
    <t>1t 19g</t>
  </si>
  <si>
    <t>1t 41g</t>
  </si>
  <si>
    <t>5t 61g</t>
  </si>
  <si>
    <t>10260g</t>
  </si>
  <si>
    <t>1h</t>
  </si>
  <si>
    <t>123g</t>
  </si>
  <si>
    <t>48.25g</t>
  </si>
  <si>
    <t>429.5g</t>
  </si>
  <si>
    <t>2h 36g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</si>
</sst>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/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</f>
        <v>0.05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</f>
        <v>0</v>
      </c>
      <c r="D2">
        <f>B2+C2</f>
        <v>0.05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</f>
        <v>0.13794642857142855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</f>
        <v>2.3558035714285714</v>
      </c>
      <c r="D3">
        <f t="shared" ref="D3:D31" si="0">B3+C3</f>
        <v>2.4937499999999999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</f>
        <v>30911.245535714286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</f>
        <v>11439.823660714286</v>
      </c>
      <c r="D4">
        <f t="shared" si="0"/>
        <v>42351.069196428572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</f>
        <v>120.4464285714286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</f>
        <v>12.948214285714286</v>
      </c>
      <c r="D6">
        <f t="shared" si="0"/>
        <v>133.39464285714288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</f>
        <v>116.80357142857144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</f>
        <v>276.61830357142861</v>
      </c>
      <c r="D7">
        <f t="shared" si="0"/>
        <v>393.42187500000006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</f>
        <v>519.09821428571433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</f>
        <v>358.40446428571425</v>
      </c>
      <c r="D8">
        <f t="shared" si="0"/>
        <v>877.50267857142853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</f>
        <v>22.312499999999996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</f>
        <v>26.979464285714286</v>
      </c>
      <c r="D9">
        <f t="shared" si="0"/>
        <v>49.291964285714286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</f>
        <v>81.922767857142858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</f>
        <v>3.9616071428571429</v>
      </c>
      <c r="D10">
        <f t="shared" si="0"/>
        <v>85.884375000000006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</f>
        <v>1.0477678571428573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</f>
        <v>57.229464285714286</v>
      </c>
      <c r="D11">
        <f t="shared" si="0"/>
        <v>58.277232142857144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</f>
        <v>23.273660714285715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</f>
        <v>13.46517857142857</v>
      </c>
      <c r="D12">
        <f t="shared" si="0"/>
        <v>36.738839285714285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</f>
        <v>1.8125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</f>
        <v>0.12946428571428573</v>
      </c>
      <c r="D13">
        <f t="shared" si="0"/>
        <v>1.9419642857142858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</f>
        <v>69.771428571428572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</f>
        <v>54.215625000000003</v>
      </c>
      <c r="D14">
        <f t="shared" si="0"/>
        <v>123.98705357142858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</f>
        <v>19.783482142857146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</f>
        <v>5.1169642857142854</v>
      </c>
      <c r="D15">
        <f t="shared" si="0"/>
        <v>24.900446428571431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</f>
        <v>430.63035714285712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</f>
        <v>54.605133928571426</v>
      </c>
      <c r="D16">
        <f t="shared" si="0"/>
        <v>485.23549107142856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</f>
        <v>14.091071428571428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</f>
        <v>1.4830357142857145</v>
      </c>
      <c r="D17">
        <f t="shared" si="0"/>
        <v>15.574107142857143</v>
      </c>
    </row>
    <row r="18" spans="1:4" x14ac:dyDescent="0.25">
      <c r="A18" t="s">
        <v>56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</f>
        <v>2.7133928571428574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</f>
        <v>7.723214285714286E-2</v>
      </c>
      <c r="D18">
        <f t="shared" si="0"/>
        <v>2.7906250000000004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</f>
        <v>1.1839285714285714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</f>
        <v>2.5071428571428571</v>
      </c>
      <c r="D19">
        <f t="shared" si="0"/>
        <v>3.6910714285714286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</f>
        <v>1.0495535714285715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</f>
        <v>0.53616071428571421</v>
      </c>
      <c r="D20">
        <f t="shared" si="0"/>
        <v>1.5857142857142859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</f>
        <v>0</v>
      </c>
      <c r="D21">
        <f t="shared" si="0"/>
        <v>0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</f>
        <v>0.22008928571428571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</f>
        <v>0</v>
      </c>
      <c r="D25">
        <f t="shared" si="0"/>
        <v>0.22008928571428571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</f>
        <v>92.319196428571431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</f>
        <v>9.2491071428571434</v>
      </c>
      <c r="D26">
        <f t="shared" si="0"/>
        <v>101.56830357142857</v>
      </c>
    </row>
    <row r="27" spans="1:4" x14ac:dyDescent="0.25">
      <c r="A27" t="s">
        <v>63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</f>
        <v>34.700000000000003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</f>
        <v>5.1205357142857144</v>
      </c>
      <c r="D27">
        <f t="shared" si="0"/>
        <v>39.820535714285718</v>
      </c>
    </row>
    <row r="28" spans="1:4" x14ac:dyDescent="0.25">
      <c r="A28" t="s">
        <v>64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</f>
        <v>1195.3660714285713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</f>
        <v>770.98348214285716</v>
      </c>
      <c r="D28">
        <f t="shared" si="0"/>
        <v>1966.3495535714285</v>
      </c>
    </row>
    <row r="29" spans="1:4" x14ac:dyDescent="0.25">
      <c r="A29" t="s">
        <v>65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</f>
        <v>774.05624999999998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</f>
        <v>579.86428571428576</v>
      </c>
      <c r="D29">
        <f t="shared" si="0"/>
        <v>1353.9205357142857</v>
      </c>
    </row>
    <row r="30" spans="1:4" x14ac:dyDescent="0.25">
      <c r="A30" t="s">
        <v>66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</f>
        <v>37.36785714285714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</f>
        <v>49.162053571428572</v>
      </c>
      <c r="D30">
        <f t="shared" si="0"/>
        <v>86.529910714285705</v>
      </c>
    </row>
    <row r="31" spans="1:4" x14ac:dyDescent="0.25">
      <c r="A31" t="s">
        <v>67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</f>
        <v>41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</f>
        <v>0</v>
      </c>
      <c r="D31">
        <f t="shared" si="0"/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F12" sqref="F1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B2" t="s">
        <v>57</v>
      </c>
      <c r="C2" t="s">
        <v>78</v>
      </c>
      <c r="D2" t="s">
        <v>33</v>
      </c>
    </row>
    <row r="3" spans="1:12" x14ac:dyDescent="0.25">
      <c r="B3" t="s">
        <v>59</v>
      </c>
      <c r="C3" t="s">
        <v>78</v>
      </c>
      <c r="D3" t="s">
        <v>33</v>
      </c>
    </row>
    <row r="4" spans="1:12" x14ac:dyDescent="0.25">
      <c r="B4" t="s">
        <v>38</v>
      </c>
      <c r="C4" t="s">
        <v>78</v>
      </c>
      <c r="D4" t="s">
        <v>33</v>
      </c>
    </row>
    <row r="5" spans="1:12" x14ac:dyDescent="0.25">
      <c r="B5" t="s">
        <v>4</v>
      </c>
      <c r="C5" t="s">
        <v>78</v>
      </c>
      <c r="D5" t="s">
        <v>33</v>
      </c>
    </row>
    <row r="6" spans="1:12" x14ac:dyDescent="0.25">
      <c r="B6" t="s">
        <v>60</v>
      </c>
      <c r="C6" t="s">
        <v>78</v>
      </c>
      <c r="D6" t="s">
        <v>33</v>
      </c>
    </row>
    <row r="7" spans="1:12" x14ac:dyDescent="0.25">
      <c r="B7" t="s">
        <v>71</v>
      </c>
      <c r="C7" t="s">
        <v>78</v>
      </c>
      <c r="D7" t="s">
        <v>33</v>
      </c>
    </row>
    <row r="8" spans="1:12" x14ac:dyDescent="0.25">
      <c r="B8" t="s">
        <v>45</v>
      </c>
      <c r="C8" t="s">
        <v>78</v>
      </c>
      <c r="D8" t="s">
        <v>33</v>
      </c>
    </row>
    <row r="9" spans="1:12" x14ac:dyDescent="0.25">
      <c r="B9" t="s">
        <v>79</v>
      </c>
      <c r="C9" t="s">
        <v>78</v>
      </c>
      <c r="D9" t="s">
        <v>33</v>
      </c>
    </row>
    <row r="10" spans="1:12" x14ac:dyDescent="0.25">
      <c r="B10" t="s">
        <v>5</v>
      </c>
      <c r="C10" t="s">
        <v>78</v>
      </c>
      <c r="D10" t="s">
        <v>33</v>
      </c>
    </row>
    <row r="11" spans="1:12" x14ac:dyDescent="0.25">
      <c r="B11" t="s">
        <v>61</v>
      </c>
      <c r="C11" t="s">
        <v>78</v>
      </c>
      <c r="D11" t="s">
        <v>33</v>
      </c>
    </row>
    <row r="12" spans="1:12" x14ac:dyDescent="0.25">
      <c r="B12" t="s">
        <v>6</v>
      </c>
      <c r="C12" t="s">
        <v>78</v>
      </c>
      <c r="D12" t="s">
        <v>33</v>
      </c>
    </row>
    <row r="13" spans="1:12" x14ac:dyDescent="0.25">
      <c r="B13" t="s">
        <v>62</v>
      </c>
      <c r="C13" t="s">
        <v>78</v>
      </c>
      <c r="D13" t="s">
        <v>33</v>
      </c>
    </row>
    <row r="14" spans="1:12" x14ac:dyDescent="0.25">
      <c r="B14" t="s">
        <v>40</v>
      </c>
      <c r="C14" t="s">
        <v>78</v>
      </c>
      <c r="D14" t="s">
        <v>33</v>
      </c>
    </row>
    <row r="15" spans="1:12" x14ac:dyDescent="0.25">
      <c r="B15" t="s">
        <v>39</v>
      </c>
      <c r="C15" t="s">
        <v>78</v>
      </c>
      <c r="D15" t="s">
        <v>33</v>
      </c>
    </row>
    <row r="16" spans="1:12" x14ac:dyDescent="0.25">
      <c r="B16" t="s">
        <v>8</v>
      </c>
      <c r="C16" t="s">
        <v>78</v>
      </c>
      <c r="D16" t="s">
        <v>33</v>
      </c>
    </row>
    <row r="17" spans="2:4" x14ac:dyDescent="0.25">
      <c r="B17" t="s">
        <v>42</v>
      </c>
      <c r="C17" t="s">
        <v>78</v>
      </c>
      <c r="D17" t="s">
        <v>33</v>
      </c>
    </row>
    <row r="18" spans="2:4" x14ac:dyDescent="0.25">
      <c r="B18" t="s">
        <v>80</v>
      </c>
      <c r="C18" t="s">
        <v>78</v>
      </c>
      <c r="D18" t="s">
        <v>33</v>
      </c>
    </row>
    <row r="19" spans="2:4" x14ac:dyDescent="0.25">
      <c r="B19" t="s">
        <v>81</v>
      </c>
      <c r="C19" t="s">
        <v>78</v>
      </c>
      <c r="D19" t="s">
        <v>33</v>
      </c>
    </row>
    <row r="20" spans="2:4" x14ac:dyDescent="0.25">
      <c r="B20" t="s">
        <v>48</v>
      </c>
      <c r="C20" t="s">
        <v>78</v>
      </c>
      <c r="D20" t="s">
        <v>33</v>
      </c>
    </row>
    <row r="21" spans="2:4" x14ac:dyDescent="0.25">
      <c r="B21" t="s">
        <v>9</v>
      </c>
      <c r="C21" t="s">
        <v>78</v>
      </c>
      <c r="D21" t="s">
        <v>33</v>
      </c>
    </row>
    <row r="22" spans="2:4" x14ac:dyDescent="0.25">
      <c r="B22" t="s">
        <v>10</v>
      </c>
      <c r="C22" t="s">
        <v>78</v>
      </c>
      <c r="D22" t="s">
        <v>33</v>
      </c>
    </row>
    <row r="23" spans="2:4" x14ac:dyDescent="0.25">
      <c r="B23" t="s">
        <v>11</v>
      </c>
      <c r="C23" t="s">
        <v>78</v>
      </c>
      <c r="D23" t="s">
        <v>33</v>
      </c>
    </row>
    <row r="24" spans="2:4" x14ac:dyDescent="0.25">
      <c r="B24" t="s">
        <v>41</v>
      </c>
      <c r="C24" t="s">
        <v>78</v>
      </c>
      <c r="D24" t="s">
        <v>33</v>
      </c>
    </row>
    <row r="25" spans="2:4" x14ac:dyDescent="0.25">
      <c r="B25" t="s">
        <v>82</v>
      </c>
      <c r="C25" t="s">
        <v>78</v>
      </c>
      <c r="D25" t="s">
        <v>33</v>
      </c>
    </row>
    <row r="26" spans="2:4" x14ac:dyDescent="0.25">
      <c r="B26" t="s">
        <v>83</v>
      </c>
      <c r="C26" t="s">
        <v>78</v>
      </c>
      <c r="D26" t="s">
        <v>33</v>
      </c>
    </row>
    <row r="27" spans="2:4" x14ac:dyDescent="0.25">
      <c r="B27" t="s">
        <v>46</v>
      </c>
      <c r="C27" t="s">
        <v>78</v>
      </c>
      <c r="D27" t="s">
        <v>33</v>
      </c>
    </row>
    <row r="28" spans="2:4" x14ac:dyDescent="0.25">
      <c r="B28" t="s">
        <v>84</v>
      </c>
      <c r="C28" t="s">
        <v>78</v>
      </c>
      <c r="D28" t="s">
        <v>33</v>
      </c>
    </row>
    <row r="29" spans="2:4" x14ac:dyDescent="0.25">
      <c r="B29" t="s">
        <v>85</v>
      </c>
      <c r="C29" t="s">
        <v>78</v>
      </c>
      <c r="D29" t="s">
        <v>33</v>
      </c>
    </row>
    <row r="30" spans="2:4" x14ac:dyDescent="0.25">
      <c r="B30" t="s">
        <v>86</v>
      </c>
      <c r="C30" t="s">
        <v>78</v>
      </c>
      <c r="D30" t="s">
        <v>33</v>
      </c>
    </row>
    <row r="31" spans="2:4" x14ac:dyDescent="0.25">
      <c r="B31" t="s">
        <v>34</v>
      </c>
      <c r="C31" t="s">
        <v>78</v>
      </c>
      <c r="D31" t="s">
        <v>33</v>
      </c>
    </row>
    <row r="32" spans="2:4" x14ac:dyDescent="0.25">
      <c r="B32" t="s">
        <v>13</v>
      </c>
      <c r="C32" t="s">
        <v>78</v>
      </c>
      <c r="D32" t="s">
        <v>33</v>
      </c>
    </row>
    <row r="33" spans="2:4" x14ac:dyDescent="0.25">
      <c r="B33" t="s">
        <v>14</v>
      </c>
      <c r="C33" t="s">
        <v>78</v>
      </c>
      <c r="D33" t="s">
        <v>33</v>
      </c>
    </row>
    <row r="34" spans="2:4" x14ac:dyDescent="0.25">
      <c r="B34" t="s">
        <v>23</v>
      </c>
      <c r="C34" t="s">
        <v>78</v>
      </c>
      <c r="D34" t="s">
        <v>33</v>
      </c>
    </row>
    <row r="35" spans="2:4" x14ac:dyDescent="0.25">
      <c r="B35" t="s">
        <v>27</v>
      </c>
      <c r="C35" t="s">
        <v>78</v>
      </c>
      <c r="D35" t="s">
        <v>33</v>
      </c>
    </row>
    <row r="36" spans="2:4" x14ac:dyDescent="0.25">
      <c r="B36" t="s">
        <v>15</v>
      </c>
      <c r="C36" t="s">
        <v>78</v>
      </c>
      <c r="D36" t="s">
        <v>33</v>
      </c>
    </row>
    <row r="37" spans="2:4" x14ac:dyDescent="0.25">
      <c r="B37" t="s">
        <v>44</v>
      </c>
      <c r="C37" t="s">
        <v>78</v>
      </c>
      <c r="D37" t="s">
        <v>33</v>
      </c>
    </row>
    <row r="38" spans="2:4" x14ac:dyDescent="0.25">
      <c r="B38" t="s">
        <v>87</v>
      </c>
      <c r="C38" t="s">
        <v>78</v>
      </c>
      <c r="D38" t="s">
        <v>33</v>
      </c>
    </row>
    <row r="39" spans="2:4" x14ac:dyDescent="0.25">
      <c r="B39" t="s">
        <v>49</v>
      </c>
      <c r="C39" t="s">
        <v>78</v>
      </c>
      <c r="D39" t="s">
        <v>33</v>
      </c>
    </row>
    <row r="40" spans="2:4" x14ac:dyDescent="0.25">
      <c r="B40" t="s">
        <v>16</v>
      </c>
      <c r="C40" t="s">
        <v>78</v>
      </c>
      <c r="D40" t="s">
        <v>33</v>
      </c>
    </row>
    <row r="41" spans="2:4" x14ac:dyDescent="0.25">
      <c r="B41" t="s">
        <v>17</v>
      </c>
      <c r="C41" t="s">
        <v>78</v>
      </c>
      <c r="D41" t="s">
        <v>33</v>
      </c>
    </row>
    <row r="42" spans="2:4" x14ac:dyDescent="0.25">
      <c r="B42" t="s">
        <v>18</v>
      </c>
      <c r="C42" t="s">
        <v>78</v>
      </c>
      <c r="D42" t="s">
        <v>33</v>
      </c>
    </row>
    <row r="43" spans="2:4" x14ac:dyDescent="0.25">
      <c r="B43" t="s">
        <v>26</v>
      </c>
      <c r="C43" t="s">
        <v>78</v>
      </c>
      <c r="D43" t="s">
        <v>33</v>
      </c>
    </row>
    <row r="44" spans="2:4" x14ac:dyDescent="0.25">
      <c r="B44" t="s">
        <v>88</v>
      </c>
      <c r="C44" t="s">
        <v>78</v>
      </c>
      <c r="D44" t="s">
        <v>33</v>
      </c>
    </row>
    <row r="45" spans="2:4" x14ac:dyDescent="0.25">
      <c r="B45" t="s">
        <v>19</v>
      </c>
      <c r="C45" t="s">
        <v>78</v>
      </c>
      <c r="D45" t="s">
        <v>33</v>
      </c>
    </row>
    <row r="46" spans="2:4" x14ac:dyDescent="0.25">
      <c r="B46" t="s">
        <v>47</v>
      </c>
      <c r="C46" t="s">
        <v>78</v>
      </c>
      <c r="D46" t="s">
        <v>33</v>
      </c>
    </row>
    <row r="47" spans="2:4" x14ac:dyDescent="0.25">
      <c r="B47" t="s">
        <v>89</v>
      </c>
      <c r="C47" t="s">
        <v>78</v>
      </c>
      <c r="D47" t="s">
        <v>33</v>
      </c>
    </row>
    <row r="48" spans="2:4" x14ac:dyDescent="0.25">
      <c r="B48" t="s">
        <v>56</v>
      </c>
      <c r="C48" t="s">
        <v>78</v>
      </c>
      <c r="D48" t="s">
        <v>33</v>
      </c>
    </row>
    <row r="49" spans="2:4" x14ac:dyDescent="0.25">
      <c r="B49" t="s">
        <v>117</v>
      </c>
      <c r="C49" t="s">
        <v>78</v>
      </c>
      <c r="D49" t="s">
        <v>33</v>
      </c>
    </row>
    <row r="50" spans="2:4" x14ac:dyDescent="0.25">
      <c r="B50" t="s">
        <v>20</v>
      </c>
      <c r="C50" t="s">
        <v>78</v>
      </c>
      <c r="D50" t="s">
        <v>33</v>
      </c>
    </row>
    <row r="51" spans="2:4" x14ac:dyDescent="0.25">
      <c r="B51" t="s">
        <v>21</v>
      </c>
      <c r="C51" t="s">
        <v>78</v>
      </c>
      <c r="D51" t="s">
        <v>33</v>
      </c>
    </row>
    <row r="52" spans="2:4" x14ac:dyDescent="0.25">
      <c r="B52" t="s">
        <v>22</v>
      </c>
      <c r="C52" t="s">
        <v>78</v>
      </c>
      <c r="D52" t="s">
        <v>33</v>
      </c>
    </row>
    <row r="53" spans="2:4" x14ac:dyDescent="0.25">
      <c r="B53" t="s">
        <v>63</v>
      </c>
      <c r="C53" t="s">
        <v>78</v>
      </c>
      <c r="D53" t="s">
        <v>33</v>
      </c>
    </row>
    <row r="54" spans="2:4" x14ac:dyDescent="0.25">
      <c r="B54" t="s">
        <v>90</v>
      </c>
      <c r="C54" t="s">
        <v>78</v>
      </c>
      <c r="D54" t="s">
        <v>33</v>
      </c>
    </row>
    <row r="55" spans="2:4" x14ac:dyDescent="0.25">
      <c r="B55" t="s">
        <v>64</v>
      </c>
      <c r="C55" t="s">
        <v>78</v>
      </c>
      <c r="D55" t="s">
        <v>33</v>
      </c>
    </row>
    <row r="56" spans="2:4" x14ac:dyDescent="0.25">
      <c r="B56" t="s">
        <v>91</v>
      </c>
      <c r="C56" t="s">
        <v>78</v>
      </c>
      <c r="D56" t="s">
        <v>33</v>
      </c>
    </row>
    <row r="57" spans="2:4" x14ac:dyDescent="0.25">
      <c r="B57" t="s">
        <v>65</v>
      </c>
      <c r="C57" t="s">
        <v>78</v>
      </c>
      <c r="D57" t="s">
        <v>33</v>
      </c>
    </row>
    <row r="58" spans="2:4" x14ac:dyDescent="0.25">
      <c r="B58" t="s">
        <v>92</v>
      </c>
      <c r="C58" t="s">
        <v>78</v>
      </c>
      <c r="D58" t="s">
        <v>33</v>
      </c>
    </row>
    <row r="59" spans="2:4" x14ac:dyDescent="0.25">
      <c r="B59" t="s">
        <v>73</v>
      </c>
      <c r="C59" t="s">
        <v>78</v>
      </c>
      <c r="D59" t="s">
        <v>33</v>
      </c>
    </row>
    <row r="60" spans="2:4" x14ac:dyDescent="0.25">
      <c r="B60" t="s">
        <v>66</v>
      </c>
      <c r="C60" t="s">
        <v>78</v>
      </c>
      <c r="D60" t="s">
        <v>33</v>
      </c>
    </row>
    <row r="61" spans="2:4" x14ac:dyDescent="0.25">
      <c r="B61" t="s">
        <v>67</v>
      </c>
      <c r="C61" t="s">
        <v>78</v>
      </c>
      <c r="D61" t="s">
        <v>33</v>
      </c>
    </row>
    <row r="62" spans="2:4" x14ac:dyDescent="0.25">
      <c r="B62" t="s">
        <v>4</v>
      </c>
      <c r="C62" t="s">
        <v>78</v>
      </c>
      <c r="D62" t="s">
        <v>35</v>
      </c>
    </row>
    <row r="63" spans="2:4" x14ac:dyDescent="0.25">
      <c r="B63" t="s">
        <v>6</v>
      </c>
      <c r="C63" t="s">
        <v>78</v>
      </c>
      <c r="D63" t="s">
        <v>35</v>
      </c>
    </row>
    <row r="64" spans="2:4" x14ac:dyDescent="0.25">
      <c r="B64" t="s">
        <v>62</v>
      </c>
      <c r="C64" t="s">
        <v>78</v>
      </c>
      <c r="D64" t="s">
        <v>35</v>
      </c>
    </row>
    <row r="65" spans="2:4" x14ac:dyDescent="0.25">
      <c r="B65" t="s">
        <v>7</v>
      </c>
      <c r="C65" t="s">
        <v>78</v>
      </c>
      <c r="D65" t="s">
        <v>35</v>
      </c>
    </row>
    <row r="66" spans="2:4" x14ac:dyDescent="0.25">
      <c r="B66" t="s">
        <v>8</v>
      </c>
      <c r="C66" t="s">
        <v>78</v>
      </c>
      <c r="D66" t="s">
        <v>35</v>
      </c>
    </row>
    <row r="67" spans="2:4" x14ac:dyDescent="0.25">
      <c r="B67" t="s">
        <v>9</v>
      </c>
      <c r="C67" t="s">
        <v>78</v>
      </c>
      <c r="D67" t="s">
        <v>35</v>
      </c>
    </row>
    <row r="68" spans="2:4" x14ac:dyDescent="0.25">
      <c r="B68" t="s">
        <v>10</v>
      </c>
      <c r="C68" t="s">
        <v>78</v>
      </c>
      <c r="D68" t="s">
        <v>35</v>
      </c>
    </row>
    <row r="69" spans="2:4" x14ac:dyDescent="0.25">
      <c r="B69" t="s">
        <v>11</v>
      </c>
      <c r="C69" t="s">
        <v>78</v>
      </c>
      <c r="D69" t="s">
        <v>35</v>
      </c>
    </row>
    <row r="70" spans="2:4" x14ac:dyDescent="0.25">
      <c r="B70" t="s">
        <v>12</v>
      </c>
      <c r="C70" t="s">
        <v>78</v>
      </c>
      <c r="D70" t="s">
        <v>35</v>
      </c>
    </row>
    <row r="71" spans="2:4" x14ac:dyDescent="0.25">
      <c r="B71" t="s">
        <v>13</v>
      </c>
      <c r="C71" t="s">
        <v>78</v>
      </c>
      <c r="D71" t="s">
        <v>35</v>
      </c>
    </row>
    <row r="72" spans="2:4" x14ac:dyDescent="0.25">
      <c r="B72" t="s">
        <v>14</v>
      </c>
      <c r="C72" t="s">
        <v>78</v>
      </c>
      <c r="D72" t="s">
        <v>35</v>
      </c>
    </row>
    <row r="73" spans="2:4" x14ac:dyDescent="0.25">
      <c r="B73" t="s">
        <v>27</v>
      </c>
      <c r="C73" t="s">
        <v>78</v>
      </c>
      <c r="D73" t="s">
        <v>35</v>
      </c>
    </row>
    <row r="74" spans="2:4" x14ac:dyDescent="0.25">
      <c r="B74" t="s">
        <v>15</v>
      </c>
      <c r="C74" t="s">
        <v>78</v>
      </c>
      <c r="D74" t="s">
        <v>35</v>
      </c>
    </row>
    <row r="75" spans="2:4" x14ac:dyDescent="0.25">
      <c r="B75" t="s">
        <v>16</v>
      </c>
      <c r="C75" t="s">
        <v>78</v>
      </c>
      <c r="D75" t="s">
        <v>35</v>
      </c>
    </row>
    <row r="76" spans="2:4" x14ac:dyDescent="0.25">
      <c r="B76" t="s">
        <v>17</v>
      </c>
      <c r="C76" t="s">
        <v>78</v>
      </c>
      <c r="D76" t="s">
        <v>35</v>
      </c>
    </row>
    <row r="77" spans="2:4" x14ac:dyDescent="0.25">
      <c r="B77" t="s">
        <v>18</v>
      </c>
      <c r="C77" t="s">
        <v>78</v>
      </c>
      <c r="D77" t="s">
        <v>35</v>
      </c>
    </row>
    <row r="78" spans="2:4" x14ac:dyDescent="0.25">
      <c r="B78" t="s">
        <v>19</v>
      </c>
      <c r="C78" t="s">
        <v>78</v>
      </c>
      <c r="D78" t="s">
        <v>35</v>
      </c>
    </row>
    <row r="79" spans="2:4" x14ac:dyDescent="0.25">
      <c r="B79" t="s">
        <v>47</v>
      </c>
      <c r="C79" t="s">
        <v>78</v>
      </c>
      <c r="D79" t="s">
        <v>35</v>
      </c>
    </row>
    <row r="80" spans="2:4" x14ac:dyDescent="0.25">
      <c r="B80" t="s">
        <v>56</v>
      </c>
      <c r="C80" t="s">
        <v>78</v>
      </c>
      <c r="D80" t="s">
        <v>35</v>
      </c>
    </row>
    <row r="81" spans="2:4" x14ac:dyDescent="0.25">
      <c r="B81" t="s">
        <v>74</v>
      </c>
      <c r="C81" t="s">
        <v>78</v>
      </c>
      <c r="D81" t="s">
        <v>35</v>
      </c>
    </row>
    <row r="82" spans="2:4" x14ac:dyDescent="0.25">
      <c r="B82" t="s">
        <v>21</v>
      </c>
      <c r="C82" t="s">
        <v>78</v>
      </c>
      <c r="D82" t="s">
        <v>35</v>
      </c>
    </row>
    <row r="83" spans="2:4" x14ac:dyDescent="0.25">
      <c r="B83" t="s">
        <v>22</v>
      </c>
      <c r="C83" t="s">
        <v>78</v>
      </c>
      <c r="D83" t="s">
        <v>35</v>
      </c>
    </row>
    <row r="84" spans="2:4" x14ac:dyDescent="0.25">
      <c r="B84" t="s">
        <v>63</v>
      </c>
      <c r="C84" t="s">
        <v>78</v>
      </c>
      <c r="D84" t="s">
        <v>35</v>
      </c>
    </row>
    <row r="85" spans="2:4" x14ac:dyDescent="0.25">
      <c r="B85" t="s">
        <v>64</v>
      </c>
      <c r="C85" t="s">
        <v>78</v>
      </c>
      <c r="D85" t="s">
        <v>35</v>
      </c>
    </row>
    <row r="86" spans="2:4" x14ac:dyDescent="0.25">
      <c r="B86" t="s">
        <v>65</v>
      </c>
      <c r="C86" t="s">
        <v>78</v>
      </c>
      <c r="D86" t="s">
        <v>35</v>
      </c>
    </row>
    <row r="87" spans="2:4" x14ac:dyDescent="0.25">
      <c r="B87" t="s">
        <v>73</v>
      </c>
      <c r="C87" t="s">
        <v>78</v>
      </c>
      <c r="D87" t="s">
        <v>35</v>
      </c>
    </row>
    <row r="88" spans="2:4" x14ac:dyDescent="0.25">
      <c r="B88" t="s">
        <v>66</v>
      </c>
      <c r="C88" t="s">
        <v>78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59"/>
  <sheetViews>
    <sheetView workbookViewId="0">
      <selection activeCell="H36" sqref="H36"/>
    </sheetView>
  </sheetViews>
  <sheetFormatPr defaultRowHeight="15" x14ac:dyDescent="0.25"/>
  <cols>
    <col min="1" max="1" width="10.85546875" customWidth="1"/>
    <col min="2" max="3" width="17.5703125" customWidth="1"/>
    <col min="4" max="4" width="11.28515625" customWidth="1"/>
    <col min="5" max="5" width="11.7109375" customWidth="1"/>
    <col min="6" max="6" width="11.85546875" customWidth="1"/>
    <col min="7" max="7" width="11.140625" customWidth="1"/>
    <col min="8" max="9" width="18.42578125" customWidth="1"/>
  </cols>
  <sheetData>
    <row r="1" spans="1:15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  <c r="O1" s="1"/>
    </row>
    <row r="2" spans="1:15" x14ac:dyDescent="0.25">
      <c r="A2">
        <v>1725</v>
      </c>
      <c r="B2" t="s">
        <v>38</v>
      </c>
      <c r="C2" t="s">
        <v>55</v>
      </c>
      <c r="D2" t="s">
        <v>33</v>
      </c>
      <c r="J2">
        <f t="shared" ref="J2:J59" si="0">(E2*2240)+(F2*112)+(G2*28)+H2</f>
        <v>0</v>
      </c>
      <c r="L2">
        <f t="shared" ref="L2:L59" si="1">J2/2240</f>
        <v>0</v>
      </c>
    </row>
    <row r="3" spans="1:15" x14ac:dyDescent="0.25">
      <c r="A3">
        <v>1725</v>
      </c>
      <c r="B3" t="s">
        <v>4</v>
      </c>
      <c r="C3" t="s">
        <v>55</v>
      </c>
      <c r="D3" t="s">
        <v>33</v>
      </c>
      <c r="J3">
        <f t="shared" si="0"/>
        <v>0</v>
      </c>
      <c r="L3">
        <f t="shared" si="1"/>
        <v>0</v>
      </c>
    </row>
    <row r="4" spans="1:15" x14ac:dyDescent="0.25">
      <c r="A4">
        <v>1725</v>
      </c>
      <c r="B4" t="s">
        <v>5</v>
      </c>
      <c r="C4" t="s">
        <v>55</v>
      </c>
      <c r="D4" t="s">
        <v>33</v>
      </c>
      <c r="F4">
        <v>2</v>
      </c>
      <c r="G4">
        <v>2</v>
      </c>
      <c r="H4">
        <v>21</v>
      </c>
      <c r="J4">
        <f t="shared" si="0"/>
        <v>301</v>
      </c>
      <c r="L4">
        <f t="shared" si="1"/>
        <v>0.13437499999999999</v>
      </c>
    </row>
    <row r="5" spans="1:15" x14ac:dyDescent="0.25">
      <c r="A5">
        <v>1725</v>
      </c>
      <c r="B5" t="s">
        <v>6</v>
      </c>
      <c r="C5" t="s">
        <v>55</v>
      </c>
      <c r="D5" t="s">
        <v>33</v>
      </c>
      <c r="F5">
        <v>123455</v>
      </c>
      <c r="H5">
        <v>3</v>
      </c>
      <c r="J5">
        <f t="shared" si="0"/>
        <v>13826963</v>
      </c>
      <c r="L5">
        <f t="shared" si="1"/>
        <v>6172.7513392857145</v>
      </c>
    </row>
    <row r="6" spans="1:15" x14ac:dyDescent="0.25">
      <c r="A6">
        <v>1725</v>
      </c>
      <c r="B6" t="s">
        <v>7</v>
      </c>
      <c r="C6" t="s">
        <v>55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1725</v>
      </c>
      <c r="B7" t="s">
        <v>8</v>
      </c>
      <c r="C7" t="s">
        <v>55</v>
      </c>
      <c r="D7" t="s">
        <v>33</v>
      </c>
      <c r="F7">
        <v>40</v>
      </c>
      <c r="G7">
        <v>1</v>
      </c>
      <c r="H7">
        <v>63</v>
      </c>
      <c r="J7">
        <f t="shared" si="0"/>
        <v>4571</v>
      </c>
      <c r="L7">
        <f t="shared" si="1"/>
        <v>2.0406249999999999</v>
      </c>
    </row>
    <row r="8" spans="1:15" x14ac:dyDescent="0.25">
      <c r="A8">
        <v>1725</v>
      </c>
      <c r="B8" t="s">
        <v>48</v>
      </c>
      <c r="C8" t="s">
        <v>55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1725</v>
      </c>
      <c r="B9" t="s">
        <v>9</v>
      </c>
      <c r="C9" t="s">
        <v>55</v>
      </c>
      <c r="D9" t="s">
        <v>33</v>
      </c>
      <c r="H9">
        <f>170*292</f>
        <v>49640</v>
      </c>
      <c r="I9">
        <v>292</v>
      </c>
      <c r="J9">
        <f t="shared" si="0"/>
        <v>49640</v>
      </c>
      <c r="L9">
        <f t="shared" si="1"/>
        <v>22.160714285714285</v>
      </c>
    </row>
    <row r="10" spans="1:15" x14ac:dyDescent="0.25">
      <c r="A10">
        <v>1725</v>
      </c>
      <c r="B10" t="s">
        <v>10</v>
      </c>
      <c r="C10" t="s">
        <v>55</v>
      </c>
      <c r="D10" t="s">
        <v>33</v>
      </c>
      <c r="F10">
        <v>1211</v>
      </c>
      <c r="H10">
        <v>5</v>
      </c>
      <c r="J10">
        <f t="shared" si="0"/>
        <v>135637</v>
      </c>
      <c r="L10">
        <f t="shared" si="1"/>
        <v>60.552232142857143</v>
      </c>
    </row>
    <row r="11" spans="1:15" x14ac:dyDescent="0.25">
      <c r="A11">
        <v>1725</v>
      </c>
      <c r="B11" t="s">
        <v>11</v>
      </c>
      <c r="C11" t="s">
        <v>55</v>
      </c>
      <c r="D11" t="s">
        <v>33</v>
      </c>
      <c r="F11">
        <v>55</v>
      </c>
      <c r="G11">
        <v>2</v>
      </c>
      <c r="H11">
        <v>24</v>
      </c>
      <c r="J11">
        <f t="shared" si="0"/>
        <v>6240</v>
      </c>
      <c r="L11">
        <f t="shared" si="1"/>
        <v>2.7857142857142856</v>
      </c>
    </row>
    <row r="12" spans="1:15" x14ac:dyDescent="0.25">
      <c r="A12">
        <v>1725</v>
      </c>
      <c r="B12" t="s">
        <v>41</v>
      </c>
      <c r="C12" t="s">
        <v>55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1725</v>
      </c>
      <c r="B13" t="s">
        <v>12</v>
      </c>
      <c r="C13" t="s">
        <v>55</v>
      </c>
      <c r="D13" t="s">
        <v>33</v>
      </c>
      <c r="H13">
        <v>12</v>
      </c>
      <c r="J13">
        <f t="shared" si="0"/>
        <v>12</v>
      </c>
      <c r="L13">
        <f t="shared" si="1"/>
        <v>5.3571428571428572E-3</v>
      </c>
    </row>
    <row r="14" spans="1:15" x14ac:dyDescent="0.25">
      <c r="A14">
        <v>1725</v>
      </c>
      <c r="B14" t="s">
        <v>34</v>
      </c>
      <c r="C14" t="s">
        <v>55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1725</v>
      </c>
      <c r="B15" t="s">
        <v>13</v>
      </c>
      <c r="C15" t="s">
        <v>55</v>
      </c>
      <c r="D15" t="s">
        <v>33</v>
      </c>
      <c r="H15">
        <v>7</v>
      </c>
      <c r="J15">
        <f t="shared" si="0"/>
        <v>7</v>
      </c>
      <c r="L15">
        <f t="shared" si="1"/>
        <v>3.1250000000000002E-3</v>
      </c>
    </row>
    <row r="16" spans="1:15" x14ac:dyDescent="0.25">
      <c r="A16">
        <v>1725</v>
      </c>
      <c r="B16" t="s">
        <v>14</v>
      </c>
      <c r="C16" t="s">
        <v>55</v>
      </c>
      <c r="D16" t="s">
        <v>33</v>
      </c>
      <c r="H16">
        <v>30</v>
      </c>
      <c r="I16" t="s">
        <v>101</v>
      </c>
      <c r="J16">
        <f t="shared" si="0"/>
        <v>30</v>
      </c>
      <c r="L16">
        <f t="shared" si="1"/>
        <v>1.3392857142857142E-2</v>
      </c>
    </row>
    <row r="17" spans="1:12" x14ac:dyDescent="0.25">
      <c r="A17">
        <v>1725</v>
      </c>
      <c r="B17" t="s">
        <v>27</v>
      </c>
      <c r="C17" t="s">
        <v>55</v>
      </c>
      <c r="D17" t="s">
        <v>33</v>
      </c>
      <c r="H17">
        <v>72489</v>
      </c>
      <c r="I17" t="s">
        <v>103</v>
      </c>
      <c r="J17">
        <f t="shared" si="0"/>
        <v>72489</v>
      </c>
      <c r="L17">
        <f t="shared" si="1"/>
        <v>32.361160714285717</v>
      </c>
    </row>
    <row r="18" spans="1:12" x14ac:dyDescent="0.25">
      <c r="A18">
        <v>1725</v>
      </c>
      <c r="B18" t="s">
        <v>15</v>
      </c>
      <c r="C18" t="s">
        <v>55</v>
      </c>
      <c r="D18" t="s">
        <v>33</v>
      </c>
      <c r="F18">
        <v>15</v>
      </c>
      <c r="G18">
        <v>2</v>
      </c>
      <c r="J18">
        <f t="shared" si="0"/>
        <v>1736</v>
      </c>
      <c r="L18">
        <f t="shared" si="1"/>
        <v>0.77500000000000002</v>
      </c>
    </row>
    <row r="19" spans="1:12" x14ac:dyDescent="0.25">
      <c r="A19">
        <v>1725</v>
      </c>
      <c r="B19" t="s">
        <v>49</v>
      </c>
      <c r="C19" t="s">
        <v>55</v>
      </c>
      <c r="D19" t="s">
        <v>33</v>
      </c>
      <c r="H19">
        <v>130</v>
      </c>
      <c r="I19" t="s">
        <v>102</v>
      </c>
      <c r="J19">
        <f t="shared" si="0"/>
        <v>130</v>
      </c>
      <c r="L19">
        <f t="shared" si="1"/>
        <v>5.8035714285714288E-2</v>
      </c>
    </row>
    <row r="20" spans="1:12" x14ac:dyDescent="0.25">
      <c r="A20">
        <v>1725</v>
      </c>
      <c r="B20" t="s">
        <v>17</v>
      </c>
      <c r="C20" t="s">
        <v>55</v>
      </c>
      <c r="D20" t="s">
        <v>33</v>
      </c>
      <c r="F20">
        <v>2</v>
      </c>
      <c r="J20">
        <f t="shared" si="0"/>
        <v>224</v>
      </c>
      <c r="L20">
        <f t="shared" si="1"/>
        <v>0.1</v>
      </c>
    </row>
    <row r="21" spans="1:12" x14ac:dyDescent="0.25">
      <c r="A21">
        <v>1725</v>
      </c>
      <c r="B21" t="s">
        <v>18</v>
      </c>
      <c r="C21" t="s">
        <v>55</v>
      </c>
      <c r="D21" t="s">
        <v>33</v>
      </c>
      <c r="H21">
        <v>111004</v>
      </c>
      <c r="I21">
        <f>10807.5+290</f>
        <v>11097.5</v>
      </c>
      <c r="J21">
        <f t="shared" si="0"/>
        <v>111004</v>
      </c>
      <c r="L21">
        <f t="shared" si="1"/>
        <v>49.55535714285714</v>
      </c>
    </row>
    <row r="22" spans="1:12" x14ac:dyDescent="0.25">
      <c r="A22">
        <v>1725</v>
      </c>
      <c r="B22" t="s">
        <v>19</v>
      </c>
      <c r="C22" t="s">
        <v>55</v>
      </c>
      <c r="D22" t="s">
        <v>33</v>
      </c>
      <c r="F22">
        <v>24</v>
      </c>
      <c r="G22">
        <v>1</v>
      </c>
      <c r="H22">
        <v>14</v>
      </c>
      <c r="J22">
        <f t="shared" si="0"/>
        <v>2730</v>
      </c>
      <c r="L22">
        <f t="shared" si="1"/>
        <v>1.21875</v>
      </c>
    </row>
    <row r="23" spans="1:12" x14ac:dyDescent="0.25">
      <c r="A23">
        <v>1725</v>
      </c>
      <c r="B23" t="s">
        <v>56</v>
      </c>
      <c r="C23" t="s">
        <v>55</v>
      </c>
      <c r="D23" t="s">
        <v>33</v>
      </c>
      <c r="H23">
        <v>873</v>
      </c>
      <c r="J23">
        <f t="shared" si="0"/>
        <v>873</v>
      </c>
      <c r="L23">
        <f t="shared" si="1"/>
        <v>0.38973214285714286</v>
      </c>
    </row>
    <row r="24" spans="1:12" x14ac:dyDescent="0.25">
      <c r="A24">
        <v>1725</v>
      </c>
      <c r="B24" t="s">
        <v>117</v>
      </c>
      <c r="C24" t="s">
        <v>55</v>
      </c>
      <c r="D24" t="s">
        <v>33</v>
      </c>
      <c r="H24">
        <v>34</v>
      </c>
      <c r="J24">
        <f t="shared" si="0"/>
        <v>34</v>
      </c>
      <c r="L24">
        <f t="shared" si="1"/>
        <v>1.5178571428571428E-2</v>
      </c>
    </row>
    <row r="25" spans="1:12" x14ac:dyDescent="0.25">
      <c r="A25">
        <v>1725</v>
      </c>
      <c r="B25" t="s">
        <v>20</v>
      </c>
      <c r="C25" t="s">
        <v>55</v>
      </c>
      <c r="D25" t="s">
        <v>33</v>
      </c>
      <c r="H25">
        <v>2652</v>
      </c>
      <c r="J25">
        <f t="shared" si="0"/>
        <v>2652</v>
      </c>
      <c r="L25">
        <f t="shared" si="1"/>
        <v>1.1839285714285714</v>
      </c>
    </row>
    <row r="26" spans="1:12" x14ac:dyDescent="0.25">
      <c r="A26">
        <v>1725</v>
      </c>
      <c r="B26" t="s">
        <v>21</v>
      </c>
      <c r="C26" t="s">
        <v>55</v>
      </c>
      <c r="D26" t="s">
        <v>33</v>
      </c>
      <c r="H26">
        <v>15</v>
      </c>
      <c r="J26">
        <f t="shared" si="0"/>
        <v>15</v>
      </c>
      <c r="L26">
        <f t="shared" si="1"/>
        <v>6.6964285714285711E-3</v>
      </c>
    </row>
    <row r="27" spans="1:12" x14ac:dyDescent="0.25">
      <c r="A27">
        <v>1725</v>
      </c>
      <c r="B27" t="s">
        <v>93</v>
      </c>
      <c r="C27" t="s">
        <v>55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1725</v>
      </c>
      <c r="B28" t="s">
        <v>22</v>
      </c>
      <c r="C28" t="s">
        <v>55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1725</v>
      </c>
      <c r="B29" t="s">
        <v>64</v>
      </c>
      <c r="C29" t="s">
        <v>55</v>
      </c>
      <c r="D29" t="s">
        <v>33</v>
      </c>
      <c r="E29">
        <v>37</v>
      </c>
      <c r="J29">
        <f t="shared" si="0"/>
        <v>82880</v>
      </c>
      <c r="L29">
        <f t="shared" si="1"/>
        <v>37</v>
      </c>
    </row>
    <row r="30" spans="1:12" x14ac:dyDescent="0.25">
      <c r="A30">
        <v>1725</v>
      </c>
      <c r="B30" t="s">
        <v>92</v>
      </c>
      <c r="C30" t="s">
        <v>55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1725</v>
      </c>
      <c r="B31" t="s">
        <v>66</v>
      </c>
      <c r="C31" t="s">
        <v>55</v>
      </c>
      <c r="D31" t="s">
        <v>33</v>
      </c>
      <c r="E31">
        <v>19</v>
      </c>
      <c r="G31">
        <v>3</v>
      </c>
      <c r="H31">
        <v>7</v>
      </c>
      <c r="J31">
        <f t="shared" si="0"/>
        <v>42651</v>
      </c>
      <c r="L31">
        <f t="shared" si="1"/>
        <v>19.040624999999999</v>
      </c>
    </row>
    <row r="32" spans="1:12" x14ac:dyDescent="0.25">
      <c r="A32">
        <v>1725</v>
      </c>
      <c r="B32" t="s">
        <v>5</v>
      </c>
      <c r="C32" t="s">
        <v>55</v>
      </c>
      <c r="D32" t="s">
        <v>35</v>
      </c>
      <c r="J32">
        <f t="shared" si="0"/>
        <v>0</v>
      </c>
      <c r="L32">
        <f t="shared" si="1"/>
        <v>0</v>
      </c>
    </row>
    <row r="33" spans="1:12" x14ac:dyDescent="0.25">
      <c r="A33">
        <v>1725</v>
      </c>
      <c r="B33" t="s">
        <v>6</v>
      </c>
      <c r="C33" t="s">
        <v>55</v>
      </c>
      <c r="D33" t="s">
        <v>35</v>
      </c>
      <c r="F33">
        <v>25966</v>
      </c>
      <c r="G33">
        <v>2</v>
      </c>
      <c r="H33">
        <v>2</v>
      </c>
      <c r="J33">
        <f t="shared" si="0"/>
        <v>2908250</v>
      </c>
      <c r="L33">
        <f t="shared" si="1"/>
        <v>1298.3258928571429</v>
      </c>
    </row>
    <row r="34" spans="1:12" x14ac:dyDescent="0.25">
      <c r="A34">
        <v>1725</v>
      </c>
      <c r="B34" t="s">
        <v>37</v>
      </c>
      <c r="C34" t="s">
        <v>55</v>
      </c>
      <c r="D34" t="s">
        <v>35</v>
      </c>
      <c r="J34">
        <f t="shared" si="0"/>
        <v>0</v>
      </c>
      <c r="L34">
        <f t="shared" si="1"/>
        <v>0</v>
      </c>
    </row>
    <row r="35" spans="1:12" x14ac:dyDescent="0.25">
      <c r="A35">
        <v>1725</v>
      </c>
      <c r="B35" t="s">
        <v>8</v>
      </c>
      <c r="C35" t="s">
        <v>55</v>
      </c>
      <c r="D35" t="s">
        <v>35</v>
      </c>
      <c r="J35">
        <f t="shared" si="0"/>
        <v>0</v>
      </c>
      <c r="L35">
        <f t="shared" si="1"/>
        <v>0</v>
      </c>
    </row>
    <row r="36" spans="1:12" x14ac:dyDescent="0.25">
      <c r="A36">
        <v>1725</v>
      </c>
      <c r="B36" t="s">
        <v>9</v>
      </c>
      <c r="C36" t="s">
        <v>55</v>
      </c>
      <c r="D36" t="s">
        <v>35</v>
      </c>
      <c r="F36">
        <v>856</v>
      </c>
      <c r="G36">
        <v>2</v>
      </c>
      <c r="H36">
        <v>24</v>
      </c>
      <c r="J36">
        <f t="shared" si="0"/>
        <v>95952</v>
      </c>
      <c r="L36">
        <f t="shared" si="1"/>
        <v>42.835714285714289</v>
      </c>
    </row>
    <row r="37" spans="1:12" x14ac:dyDescent="0.25">
      <c r="A37">
        <v>1725</v>
      </c>
      <c r="B37" t="s">
        <v>10</v>
      </c>
      <c r="C37" t="s">
        <v>55</v>
      </c>
      <c r="D37" t="s">
        <v>35</v>
      </c>
      <c r="F37">
        <v>681</v>
      </c>
      <c r="H37">
        <v>27</v>
      </c>
      <c r="J37">
        <f t="shared" si="0"/>
        <v>76299</v>
      </c>
      <c r="L37">
        <f t="shared" si="1"/>
        <v>34.062053571428571</v>
      </c>
    </row>
    <row r="38" spans="1:12" x14ac:dyDescent="0.25">
      <c r="A38">
        <v>1725</v>
      </c>
      <c r="B38" t="s">
        <v>11</v>
      </c>
      <c r="C38" t="s">
        <v>55</v>
      </c>
      <c r="D38" t="s">
        <v>35</v>
      </c>
      <c r="G38">
        <v>3</v>
      </c>
      <c r="J38">
        <f t="shared" si="0"/>
        <v>84</v>
      </c>
      <c r="L38">
        <f t="shared" si="1"/>
        <v>3.7499999999999999E-2</v>
      </c>
    </row>
    <row r="39" spans="1:12" x14ac:dyDescent="0.25">
      <c r="A39">
        <v>1725</v>
      </c>
      <c r="B39" t="s">
        <v>36</v>
      </c>
      <c r="C39" t="s">
        <v>55</v>
      </c>
      <c r="D39" t="s">
        <v>35</v>
      </c>
      <c r="J39">
        <f t="shared" si="0"/>
        <v>0</v>
      </c>
      <c r="L39">
        <f t="shared" si="1"/>
        <v>0</v>
      </c>
    </row>
    <row r="40" spans="1:12" x14ac:dyDescent="0.25">
      <c r="A40">
        <v>1725</v>
      </c>
      <c r="B40" t="s">
        <v>41</v>
      </c>
      <c r="C40" t="s">
        <v>55</v>
      </c>
      <c r="D40" t="s">
        <v>35</v>
      </c>
      <c r="J40">
        <f t="shared" si="0"/>
        <v>0</v>
      </c>
      <c r="L40">
        <f t="shared" si="1"/>
        <v>0</v>
      </c>
    </row>
    <row r="41" spans="1:12" x14ac:dyDescent="0.25">
      <c r="A41">
        <v>1725</v>
      </c>
      <c r="B41" t="s">
        <v>12</v>
      </c>
      <c r="C41" t="s">
        <v>55</v>
      </c>
      <c r="D41" t="s">
        <v>35</v>
      </c>
      <c r="H41">
        <v>330</v>
      </c>
      <c r="J41">
        <f t="shared" si="0"/>
        <v>330</v>
      </c>
      <c r="L41">
        <f t="shared" si="1"/>
        <v>0.14732142857142858</v>
      </c>
    </row>
    <row r="42" spans="1:12" x14ac:dyDescent="0.25">
      <c r="A42">
        <v>1725</v>
      </c>
      <c r="B42" t="s">
        <v>13</v>
      </c>
      <c r="C42" t="s">
        <v>55</v>
      </c>
      <c r="D42" t="s">
        <v>35</v>
      </c>
      <c r="F42">
        <v>367</v>
      </c>
      <c r="G42">
        <v>1</v>
      </c>
      <c r="H42">
        <v>18</v>
      </c>
      <c r="J42">
        <f t="shared" si="0"/>
        <v>41150</v>
      </c>
      <c r="L42">
        <f t="shared" si="1"/>
        <v>18.370535714285715</v>
      </c>
    </row>
    <row r="43" spans="1:12" x14ac:dyDescent="0.25">
      <c r="A43">
        <v>1725</v>
      </c>
      <c r="B43" t="s">
        <v>14</v>
      </c>
      <c r="C43" t="s">
        <v>55</v>
      </c>
      <c r="D43" t="s">
        <v>35</v>
      </c>
      <c r="J43">
        <f t="shared" si="0"/>
        <v>0</v>
      </c>
      <c r="L43">
        <f t="shared" si="1"/>
        <v>0</v>
      </c>
    </row>
    <row r="44" spans="1:12" x14ac:dyDescent="0.25">
      <c r="A44">
        <v>1725</v>
      </c>
      <c r="B44" t="s">
        <v>27</v>
      </c>
      <c r="C44" t="s">
        <v>55</v>
      </c>
      <c r="D44" t="s">
        <v>35</v>
      </c>
      <c r="H44">
        <v>180</v>
      </c>
      <c r="I44" t="s">
        <v>131</v>
      </c>
      <c r="J44">
        <f t="shared" si="0"/>
        <v>180</v>
      </c>
      <c r="L44">
        <f t="shared" si="1"/>
        <v>8.0357142857142863E-2</v>
      </c>
    </row>
    <row r="45" spans="1:12" x14ac:dyDescent="0.25">
      <c r="A45">
        <v>1725</v>
      </c>
      <c r="B45" t="s">
        <v>15</v>
      </c>
      <c r="C45" t="s">
        <v>55</v>
      </c>
      <c r="D45" t="s">
        <v>35</v>
      </c>
      <c r="J45">
        <f t="shared" si="0"/>
        <v>0</v>
      </c>
      <c r="L45">
        <f t="shared" si="1"/>
        <v>0</v>
      </c>
    </row>
    <row r="46" spans="1:12" x14ac:dyDescent="0.25">
      <c r="A46">
        <v>1725</v>
      </c>
      <c r="B46" t="s">
        <v>49</v>
      </c>
      <c r="C46" t="s">
        <v>55</v>
      </c>
      <c r="D46" t="s">
        <v>35</v>
      </c>
      <c r="H46">
        <v>5</v>
      </c>
      <c r="I46" t="s">
        <v>130</v>
      </c>
      <c r="J46">
        <f t="shared" si="0"/>
        <v>5</v>
      </c>
      <c r="L46">
        <f t="shared" si="1"/>
        <v>2.232142857142857E-3</v>
      </c>
    </row>
    <row r="47" spans="1:12" x14ac:dyDescent="0.25">
      <c r="A47">
        <v>1725</v>
      </c>
      <c r="B47" t="s">
        <v>17</v>
      </c>
      <c r="C47" t="s">
        <v>55</v>
      </c>
      <c r="D47" t="s">
        <v>35</v>
      </c>
      <c r="J47">
        <f t="shared" si="0"/>
        <v>0</v>
      </c>
      <c r="L47">
        <f t="shared" si="1"/>
        <v>0</v>
      </c>
    </row>
    <row r="48" spans="1:12" x14ac:dyDescent="0.25">
      <c r="A48">
        <v>1725</v>
      </c>
      <c r="B48" t="s">
        <v>18</v>
      </c>
      <c r="C48" t="s">
        <v>55</v>
      </c>
      <c r="D48" t="s">
        <v>35</v>
      </c>
      <c r="I48">
        <v>1827.25</v>
      </c>
      <c r="J48">
        <f t="shared" si="0"/>
        <v>0</v>
      </c>
      <c r="L48">
        <f t="shared" si="1"/>
        <v>0</v>
      </c>
    </row>
    <row r="49" spans="1:12" x14ac:dyDescent="0.25">
      <c r="A49">
        <v>1725</v>
      </c>
      <c r="B49" t="s">
        <v>19</v>
      </c>
      <c r="C49" t="s">
        <v>55</v>
      </c>
      <c r="D49" t="s">
        <v>35</v>
      </c>
      <c r="F49">
        <v>12</v>
      </c>
      <c r="G49">
        <v>1</v>
      </c>
      <c r="H49">
        <v>24</v>
      </c>
      <c r="J49">
        <f t="shared" si="0"/>
        <v>1396</v>
      </c>
      <c r="L49">
        <f t="shared" si="1"/>
        <v>0.62321428571428572</v>
      </c>
    </row>
    <row r="50" spans="1:12" x14ac:dyDescent="0.25">
      <c r="A50">
        <v>1725</v>
      </c>
      <c r="B50" t="s">
        <v>56</v>
      </c>
      <c r="C50" t="s">
        <v>55</v>
      </c>
      <c r="D50" t="s">
        <v>35</v>
      </c>
      <c r="H50">
        <v>7</v>
      </c>
      <c r="J50">
        <f t="shared" si="0"/>
        <v>7</v>
      </c>
      <c r="L50">
        <f t="shared" si="1"/>
        <v>3.1250000000000002E-3</v>
      </c>
    </row>
    <row r="51" spans="1:12" x14ac:dyDescent="0.25">
      <c r="A51">
        <v>1725</v>
      </c>
      <c r="B51" t="s">
        <v>117</v>
      </c>
      <c r="C51" t="s">
        <v>55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1725</v>
      </c>
      <c r="B52" t="s">
        <v>20</v>
      </c>
      <c r="C52" t="s">
        <v>55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1725</v>
      </c>
      <c r="B53" t="s">
        <v>21</v>
      </c>
      <c r="C53" t="s">
        <v>55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1725</v>
      </c>
      <c r="B54" t="s">
        <v>94</v>
      </c>
      <c r="C54" t="s">
        <v>55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1725</v>
      </c>
      <c r="B55" t="s">
        <v>22</v>
      </c>
      <c r="C55" t="s">
        <v>55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1725</v>
      </c>
      <c r="B56" t="s">
        <v>63</v>
      </c>
      <c r="C56" t="s">
        <v>55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1725</v>
      </c>
      <c r="B57" t="s">
        <v>95</v>
      </c>
      <c r="C57" t="s">
        <v>55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1725</v>
      </c>
      <c r="B58" t="s">
        <v>64</v>
      </c>
      <c r="C58" t="s">
        <v>55</v>
      </c>
      <c r="D58" t="s">
        <v>35</v>
      </c>
      <c r="E58">
        <v>26</v>
      </c>
      <c r="F58">
        <v>16</v>
      </c>
      <c r="G58">
        <v>2</v>
      </c>
      <c r="H58">
        <v>5</v>
      </c>
      <c r="J58">
        <f t="shared" si="0"/>
        <v>60093</v>
      </c>
      <c r="L58">
        <f t="shared" si="1"/>
        <v>26.827232142857142</v>
      </c>
    </row>
    <row r="59" spans="1:12" x14ac:dyDescent="0.25">
      <c r="A59">
        <v>1725</v>
      </c>
      <c r="B59" t="s">
        <v>65</v>
      </c>
      <c r="C59" t="s">
        <v>55</v>
      </c>
      <c r="D59" t="s">
        <v>35</v>
      </c>
      <c r="J59">
        <f t="shared" si="0"/>
        <v>0</v>
      </c>
      <c r="L59">
        <f t="shared" si="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97"/>
  <sheetViews>
    <sheetView workbookViewId="0">
      <selection activeCell="H19" sqref="H1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1725</v>
      </c>
      <c r="B2" t="s">
        <v>57</v>
      </c>
      <c r="C2" t="s">
        <v>58</v>
      </c>
      <c r="D2" t="s">
        <v>33</v>
      </c>
      <c r="J2">
        <f t="shared" ref="J2:J50" si="0">(E2*2240)+(F2*112)+(G2*28)+H2</f>
        <v>0</v>
      </c>
      <c r="L2">
        <f t="shared" ref="L2:L7" si="1">J2/2240</f>
        <v>0</v>
      </c>
    </row>
    <row r="3" spans="1:12" x14ac:dyDescent="0.25">
      <c r="A3">
        <v>1725</v>
      </c>
      <c r="B3" t="s">
        <v>59</v>
      </c>
      <c r="C3" t="s">
        <v>58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1725</v>
      </c>
      <c r="B4" t="s">
        <v>38</v>
      </c>
      <c r="C4" t="s">
        <v>58</v>
      </c>
      <c r="D4" t="s">
        <v>33</v>
      </c>
      <c r="H4">
        <v>16243</v>
      </c>
      <c r="J4">
        <f t="shared" si="0"/>
        <v>16243</v>
      </c>
      <c r="L4">
        <f t="shared" si="1"/>
        <v>7.2513392857142858</v>
      </c>
    </row>
    <row r="5" spans="1:12" x14ac:dyDescent="0.25">
      <c r="A5">
        <v>1725</v>
      </c>
      <c r="B5" t="s">
        <v>4</v>
      </c>
      <c r="C5" t="s">
        <v>58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1725</v>
      </c>
      <c r="B6" t="s">
        <v>60</v>
      </c>
      <c r="C6" t="s">
        <v>58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1725</v>
      </c>
      <c r="B7" t="s">
        <v>96</v>
      </c>
      <c r="C7" t="s">
        <v>58</v>
      </c>
      <c r="D7" t="s">
        <v>33</v>
      </c>
      <c r="H7">
        <v>1308</v>
      </c>
      <c r="J7">
        <f t="shared" si="0"/>
        <v>1308</v>
      </c>
      <c r="L7">
        <f t="shared" si="1"/>
        <v>0.58392857142857146</v>
      </c>
    </row>
    <row r="8" spans="1:12" x14ac:dyDescent="0.25">
      <c r="A8">
        <v>1725</v>
      </c>
      <c r="B8" t="s">
        <v>45</v>
      </c>
      <c r="C8" t="s">
        <v>58</v>
      </c>
      <c r="D8" t="s">
        <v>33</v>
      </c>
      <c r="J8">
        <f t="shared" si="0"/>
        <v>0</v>
      </c>
      <c r="L8">
        <f t="shared" ref="L8" si="2">J8/2240</f>
        <v>0</v>
      </c>
    </row>
    <row r="9" spans="1:12" x14ac:dyDescent="0.25">
      <c r="A9">
        <v>1725</v>
      </c>
      <c r="B9" t="s">
        <v>5</v>
      </c>
      <c r="C9" t="s">
        <v>58</v>
      </c>
      <c r="D9" t="s">
        <v>33</v>
      </c>
      <c r="J9">
        <f t="shared" si="0"/>
        <v>0</v>
      </c>
      <c r="L9">
        <f t="shared" ref="L9:L50" si="3">J9/2240</f>
        <v>0</v>
      </c>
    </row>
    <row r="10" spans="1:12" x14ac:dyDescent="0.25">
      <c r="A10">
        <v>1725</v>
      </c>
      <c r="B10" t="s">
        <v>61</v>
      </c>
      <c r="C10" t="s">
        <v>58</v>
      </c>
      <c r="D10" t="s">
        <v>33</v>
      </c>
      <c r="J10">
        <f t="shared" si="0"/>
        <v>0</v>
      </c>
      <c r="L10">
        <f t="shared" si="3"/>
        <v>0</v>
      </c>
    </row>
    <row r="11" spans="1:12" x14ac:dyDescent="0.25">
      <c r="A11">
        <v>1725</v>
      </c>
      <c r="B11" t="s">
        <v>6</v>
      </c>
      <c r="C11" t="s">
        <v>58</v>
      </c>
      <c r="D11" t="s">
        <v>33</v>
      </c>
      <c r="F11">
        <v>172842</v>
      </c>
      <c r="G11">
        <v>1</v>
      </c>
      <c r="H11">
        <v>1</v>
      </c>
      <c r="J11">
        <f t="shared" si="0"/>
        <v>19358333</v>
      </c>
      <c r="L11">
        <f t="shared" si="3"/>
        <v>8642.1129464285714</v>
      </c>
    </row>
    <row r="12" spans="1:12" x14ac:dyDescent="0.25">
      <c r="A12">
        <v>1725</v>
      </c>
      <c r="B12" t="s">
        <v>62</v>
      </c>
      <c r="C12" t="s">
        <v>58</v>
      </c>
      <c r="D12" t="s">
        <v>33</v>
      </c>
      <c r="H12">
        <v>6151</v>
      </c>
      <c r="J12">
        <f t="shared" si="0"/>
        <v>6151</v>
      </c>
      <c r="L12">
        <f t="shared" si="3"/>
        <v>2.7459821428571427</v>
      </c>
    </row>
    <row r="13" spans="1:12" x14ac:dyDescent="0.25">
      <c r="A13">
        <v>1725</v>
      </c>
      <c r="B13" t="s">
        <v>40</v>
      </c>
      <c r="C13" t="s">
        <v>58</v>
      </c>
      <c r="D13" t="s">
        <v>33</v>
      </c>
      <c r="J13">
        <f t="shared" si="0"/>
        <v>0</v>
      </c>
      <c r="L13">
        <f t="shared" si="3"/>
        <v>0</v>
      </c>
    </row>
    <row r="14" spans="1:12" x14ac:dyDescent="0.25">
      <c r="A14">
        <v>1725</v>
      </c>
      <c r="B14" t="s">
        <v>39</v>
      </c>
      <c r="C14" t="s">
        <v>58</v>
      </c>
      <c r="D14" t="s">
        <v>33</v>
      </c>
      <c r="J14">
        <f t="shared" si="0"/>
        <v>0</v>
      </c>
      <c r="L14">
        <f t="shared" si="3"/>
        <v>0</v>
      </c>
    </row>
    <row r="15" spans="1:12" x14ac:dyDescent="0.25">
      <c r="A15">
        <v>1725</v>
      </c>
      <c r="B15" t="s">
        <v>8</v>
      </c>
      <c r="C15" t="s">
        <v>58</v>
      </c>
      <c r="D15" t="s">
        <v>33</v>
      </c>
      <c r="F15">
        <v>1784</v>
      </c>
      <c r="G15">
        <v>4</v>
      </c>
      <c r="H15">
        <v>32</v>
      </c>
      <c r="J15">
        <f t="shared" si="0"/>
        <v>199952</v>
      </c>
      <c r="L15">
        <f t="shared" si="3"/>
        <v>89.26428571428572</v>
      </c>
    </row>
    <row r="16" spans="1:12" x14ac:dyDescent="0.25">
      <c r="A16">
        <v>1725</v>
      </c>
      <c r="B16" t="s">
        <v>42</v>
      </c>
      <c r="C16" t="s">
        <v>58</v>
      </c>
      <c r="D16" t="s">
        <v>33</v>
      </c>
      <c r="J16">
        <f t="shared" si="0"/>
        <v>0</v>
      </c>
      <c r="L16">
        <f t="shared" si="3"/>
        <v>0</v>
      </c>
    </row>
    <row r="17" spans="1:12" x14ac:dyDescent="0.25">
      <c r="A17">
        <v>1725</v>
      </c>
      <c r="B17" t="s">
        <v>81</v>
      </c>
      <c r="C17" t="s">
        <v>58</v>
      </c>
      <c r="D17" t="s">
        <v>33</v>
      </c>
      <c r="H17">
        <v>27</v>
      </c>
      <c r="J17">
        <f t="shared" si="0"/>
        <v>27</v>
      </c>
      <c r="L17">
        <f t="shared" si="3"/>
        <v>1.2053571428571429E-2</v>
      </c>
    </row>
    <row r="18" spans="1:12" x14ac:dyDescent="0.25">
      <c r="A18">
        <v>1725</v>
      </c>
      <c r="B18" t="s">
        <v>9</v>
      </c>
      <c r="C18" t="s">
        <v>58</v>
      </c>
      <c r="D18" t="s">
        <v>33</v>
      </c>
      <c r="H18">
        <f>200*635</f>
        <v>127000</v>
      </c>
      <c r="I18" t="s">
        <v>106</v>
      </c>
      <c r="J18">
        <f t="shared" si="0"/>
        <v>127000</v>
      </c>
      <c r="L18">
        <f t="shared" si="3"/>
        <v>56.696428571428569</v>
      </c>
    </row>
    <row r="19" spans="1:12" x14ac:dyDescent="0.25">
      <c r="A19">
        <v>1725</v>
      </c>
      <c r="B19" t="s">
        <v>10</v>
      </c>
      <c r="C19" t="s">
        <v>58</v>
      </c>
      <c r="D19" t="s">
        <v>33</v>
      </c>
      <c r="F19">
        <v>4043</v>
      </c>
      <c r="G19">
        <v>1</v>
      </c>
      <c r="H19">
        <v>26</v>
      </c>
      <c r="J19">
        <f t="shared" si="0"/>
        <v>452870</v>
      </c>
      <c r="L19">
        <f t="shared" si="3"/>
        <v>202.17410714285714</v>
      </c>
    </row>
    <row r="20" spans="1:12" x14ac:dyDescent="0.25">
      <c r="A20">
        <v>1725</v>
      </c>
      <c r="B20" t="s">
        <v>11</v>
      </c>
      <c r="C20" t="s">
        <v>58</v>
      </c>
      <c r="D20" t="s">
        <v>33</v>
      </c>
      <c r="F20">
        <v>247</v>
      </c>
      <c r="G20">
        <v>2</v>
      </c>
      <c r="H20">
        <v>7</v>
      </c>
      <c r="J20">
        <f t="shared" si="0"/>
        <v>27727</v>
      </c>
      <c r="L20">
        <f t="shared" si="3"/>
        <v>12.378125000000001</v>
      </c>
    </row>
    <row r="21" spans="1:12" x14ac:dyDescent="0.25">
      <c r="A21">
        <v>1725</v>
      </c>
      <c r="B21" t="s">
        <v>41</v>
      </c>
      <c r="C21" t="s">
        <v>58</v>
      </c>
      <c r="D21" t="s">
        <v>33</v>
      </c>
      <c r="H21">
        <v>1414</v>
      </c>
      <c r="J21">
        <f t="shared" si="0"/>
        <v>1414</v>
      </c>
      <c r="L21">
        <f t="shared" si="3"/>
        <v>0.63124999999999998</v>
      </c>
    </row>
    <row r="22" spans="1:12" x14ac:dyDescent="0.25">
      <c r="A22">
        <v>1725</v>
      </c>
      <c r="B22" t="s">
        <v>46</v>
      </c>
      <c r="C22" t="s">
        <v>58</v>
      </c>
      <c r="D22" t="s">
        <v>33</v>
      </c>
      <c r="J22">
        <f t="shared" si="0"/>
        <v>0</v>
      </c>
      <c r="L22">
        <f t="shared" si="3"/>
        <v>0</v>
      </c>
    </row>
    <row r="23" spans="1:12" x14ac:dyDescent="0.25">
      <c r="A23">
        <v>1725</v>
      </c>
      <c r="B23" t="s">
        <v>12</v>
      </c>
      <c r="C23" t="s">
        <v>58</v>
      </c>
      <c r="D23" t="s">
        <v>33</v>
      </c>
      <c r="H23">
        <v>840</v>
      </c>
      <c r="J23">
        <f t="shared" si="0"/>
        <v>840</v>
      </c>
      <c r="L23">
        <f t="shared" si="3"/>
        <v>0.375</v>
      </c>
    </row>
    <row r="24" spans="1:12" x14ac:dyDescent="0.25">
      <c r="A24">
        <v>1725</v>
      </c>
      <c r="B24" t="s">
        <v>34</v>
      </c>
      <c r="C24" t="s">
        <v>58</v>
      </c>
      <c r="D24" t="s">
        <v>33</v>
      </c>
      <c r="J24">
        <f t="shared" si="0"/>
        <v>0</v>
      </c>
      <c r="L24">
        <f t="shared" si="3"/>
        <v>0</v>
      </c>
    </row>
    <row r="25" spans="1:12" x14ac:dyDescent="0.25">
      <c r="A25">
        <v>1725</v>
      </c>
      <c r="B25" t="s">
        <v>13</v>
      </c>
      <c r="C25" t="s">
        <v>58</v>
      </c>
      <c r="D25" t="s">
        <v>33</v>
      </c>
      <c r="J25">
        <f t="shared" si="0"/>
        <v>0</v>
      </c>
      <c r="L25">
        <f t="shared" si="3"/>
        <v>0</v>
      </c>
    </row>
    <row r="26" spans="1:12" x14ac:dyDescent="0.25">
      <c r="A26">
        <v>1725</v>
      </c>
      <c r="B26" t="s">
        <v>14</v>
      </c>
      <c r="C26" t="s">
        <v>58</v>
      </c>
      <c r="D26" t="s">
        <v>33</v>
      </c>
      <c r="H26">
        <v>45822</v>
      </c>
      <c r="I26" t="s">
        <v>107</v>
      </c>
      <c r="J26">
        <f t="shared" si="0"/>
        <v>45822</v>
      </c>
      <c r="L26">
        <f t="shared" si="3"/>
        <v>20.456250000000001</v>
      </c>
    </row>
    <row r="27" spans="1:12" x14ac:dyDescent="0.25">
      <c r="A27">
        <v>1725</v>
      </c>
      <c r="B27" t="s">
        <v>23</v>
      </c>
      <c r="C27" t="s">
        <v>58</v>
      </c>
      <c r="D27" t="s">
        <v>33</v>
      </c>
      <c r="J27">
        <f t="shared" si="0"/>
        <v>0</v>
      </c>
      <c r="L27">
        <f t="shared" si="3"/>
        <v>0</v>
      </c>
    </row>
    <row r="28" spans="1:12" x14ac:dyDescent="0.25">
      <c r="A28">
        <v>1725</v>
      </c>
      <c r="B28" t="s">
        <v>27</v>
      </c>
      <c r="C28" t="s">
        <v>58</v>
      </c>
      <c r="D28" t="s">
        <v>33</v>
      </c>
      <c r="H28">
        <v>33779</v>
      </c>
      <c r="I28" t="s">
        <v>105</v>
      </c>
      <c r="J28">
        <f t="shared" si="0"/>
        <v>33779</v>
      </c>
      <c r="L28">
        <f t="shared" si="3"/>
        <v>15.079910714285715</v>
      </c>
    </row>
    <row r="29" spans="1:12" x14ac:dyDescent="0.25">
      <c r="A29">
        <v>1725</v>
      </c>
      <c r="B29" t="s">
        <v>15</v>
      </c>
      <c r="C29" t="s">
        <v>58</v>
      </c>
      <c r="D29" t="s">
        <v>33</v>
      </c>
      <c r="J29">
        <f t="shared" si="0"/>
        <v>0</v>
      </c>
      <c r="L29">
        <f t="shared" si="3"/>
        <v>0</v>
      </c>
    </row>
    <row r="30" spans="1:12" x14ac:dyDescent="0.25">
      <c r="A30">
        <v>1725</v>
      </c>
      <c r="B30" t="s">
        <v>44</v>
      </c>
      <c r="C30" t="s">
        <v>58</v>
      </c>
      <c r="D30" t="s">
        <v>33</v>
      </c>
      <c r="J30">
        <f t="shared" si="0"/>
        <v>0</v>
      </c>
      <c r="L30">
        <f t="shared" si="3"/>
        <v>0</v>
      </c>
    </row>
    <row r="31" spans="1:12" x14ac:dyDescent="0.25">
      <c r="A31">
        <v>1725</v>
      </c>
      <c r="B31" t="s">
        <v>49</v>
      </c>
      <c r="C31" t="s">
        <v>58</v>
      </c>
      <c r="D31" t="s">
        <v>33</v>
      </c>
      <c r="F31">
        <v>12</v>
      </c>
      <c r="G31">
        <v>7</v>
      </c>
      <c r="H31">
        <v>715</v>
      </c>
      <c r="I31" t="s">
        <v>104</v>
      </c>
      <c r="J31">
        <f t="shared" si="0"/>
        <v>2255</v>
      </c>
      <c r="L31">
        <f t="shared" si="3"/>
        <v>1.0066964285714286</v>
      </c>
    </row>
    <row r="32" spans="1:12" x14ac:dyDescent="0.25">
      <c r="A32">
        <v>1725</v>
      </c>
      <c r="B32" t="s">
        <v>16</v>
      </c>
      <c r="C32" t="s">
        <v>58</v>
      </c>
      <c r="D32" t="s">
        <v>33</v>
      </c>
      <c r="J32">
        <f t="shared" si="0"/>
        <v>0</v>
      </c>
      <c r="L32">
        <f t="shared" si="3"/>
        <v>0</v>
      </c>
    </row>
    <row r="33" spans="1:12" x14ac:dyDescent="0.25">
      <c r="A33">
        <v>1725</v>
      </c>
      <c r="B33" t="s">
        <v>17</v>
      </c>
      <c r="C33" t="s">
        <v>58</v>
      </c>
      <c r="D33" t="s">
        <v>33</v>
      </c>
      <c r="F33">
        <v>161</v>
      </c>
      <c r="J33">
        <f t="shared" si="0"/>
        <v>18032</v>
      </c>
      <c r="L33">
        <f t="shared" si="3"/>
        <v>8.0500000000000007</v>
      </c>
    </row>
    <row r="34" spans="1:12" x14ac:dyDescent="0.25">
      <c r="A34">
        <v>1725</v>
      </c>
      <c r="B34" t="s">
        <v>18</v>
      </c>
      <c r="C34" t="s">
        <v>58</v>
      </c>
      <c r="D34" t="s">
        <v>33</v>
      </c>
      <c r="H34">
        <v>233315</v>
      </c>
      <c r="I34" t="s">
        <v>108</v>
      </c>
      <c r="J34">
        <f t="shared" si="0"/>
        <v>233315</v>
      </c>
      <c r="L34">
        <f t="shared" si="3"/>
        <v>104.15848214285714</v>
      </c>
    </row>
    <row r="35" spans="1:12" x14ac:dyDescent="0.25">
      <c r="A35">
        <v>1725</v>
      </c>
      <c r="B35" t="s">
        <v>26</v>
      </c>
      <c r="C35" t="s">
        <v>58</v>
      </c>
      <c r="D35" t="s">
        <v>33</v>
      </c>
      <c r="J35">
        <f t="shared" si="0"/>
        <v>0</v>
      </c>
      <c r="L35">
        <f t="shared" si="3"/>
        <v>0</v>
      </c>
    </row>
    <row r="36" spans="1:12" x14ac:dyDescent="0.25">
      <c r="A36">
        <v>1725</v>
      </c>
      <c r="B36" t="s">
        <v>19</v>
      </c>
      <c r="C36" t="s">
        <v>58</v>
      </c>
      <c r="D36" t="s">
        <v>33</v>
      </c>
      <c r="F36">
        <v>126</v>
      </c>
      <c r="G36">
        <v>3</v>
      </c>
      <c r="H36">
        <v>25</v>
      </c>
      <c r="J36">
        <f t="shared" si="0"/>
        <v>14221</v>
      </c>
      <c r="L36">
        <f t="shared" si="3"/>
        <v>6.3486607142857139</v>
      </c>
    </row>
    <row r="37" spans="1:12" x14ac:dyDescent="0.25">
      <c r="A37">
        <v>1725</v>
      </c>
      <c r="B37" t="s">
        <v>47</v>
      </c>
      <c r="C37" t="s">
        <v>58</v>
      </c>
      <c r="D37" t="s">
        <v>33</v>
      </c>
      <c r="J37">
        <f t="shared" si="0"/>
        <v>0</v>
      </c>
      <c r="L37">
        <f t="shared" si="3"/>
        <v>0</v>
      </c>
    </row>
    <row r="38" spans="1:12" x14ac:dyDescent="0.25">
      <c r="A38">
        <v>1725</v>
      </c>
      <c r="B38" t="s">
        <v>56</v>
      </c>
      <c r="C38" t="s">
        <v>58</v>
      </c>
      <c r="D38" t="s">
        <v>33</v>
      </c>
      <c r="H38">
        <v>2453</v>
      </c>
      <c r="J38">
        <f t="shared" si="0"/>
        <v>2453</v>
      </c>
      <c r="L38">
        <f t="shared" si="3"/>
        <v>1.0950892857142858</v>
      </c>
    </row>
    <row r="39" spans="1:12" x14ac:dyDescent="0.25">
      <c r="A39">
        <v>1725</v>
      </c>
      <c r="B39" t="s">
        <v>117</v>
      </c>
      <c r="C39" t="s">
        <v>58</v>
      </c>
      <c r="D39" t="s">
        <v>33</v>
      </c>
      <c r="H39">
        <v>508</v>
      </c>
      <c r="J39">
        <f t="shared" si="0"/>
        <v>508</v>
      </c>
      <c r="L39">
        <f t="shared" si="3"/>
        <v>0.22678571428571428</v>
      </c>
    </row>
    <row r="40" spans="1:12" x14ac:dyDescent="0.25">
      <c r="A40">
        <v>1725</v>
      </c>
      <c r="B40" t="s">
        <v>20</v>
      </c>
      <c r="C40" t="s">
        <v>58</v>
      </c>
      <c r="D40" t="s">
        <v>33</v>
      </c>
      <c r="J40">
        <f t="shared" si="0"/>
        <v>0</v>
      </c>
      <c r="L40">
        <f t="shared" si="3"/>
        <v>0</v>
      </c>
    </row>
    <row r="41" spans="1:12" x14ac:dyDescent="0.25">
      <c r="A41">
        <v>1725</v>
      </c>
      <c r="B41" t="s">
        <v>21</v>
      </c>
      <c r="C41" t="s">
        <v>58</v>
      </c>
      <c r="D41" t="s">
        <v>33</v>
      </c>
      <c r="H41">
        <v>27</v>
      </c>
      <c r="J41">
        <f t="shared" si="0"/>
        <v>27</v>
      </c>
      <c r="L41">
        <f t="shared" si="3"/>
        <v>1.2053571428571429E-2</v>
      </c>
    </row>
    <row r="42" spans="1:12" x14ac:dyDescent="0.25">
      <c r="A42">
        <v>1725</v>
      </c>
      <c r="B42" t="s">
        <v>22</v>
      </c>
      <c r="C42" t="s">
        <v>58</v>
      </c>
      <c r="D42" t="s">
        <v>33</v>
      </c>
      <c r="J42">
        <f t="shared" si="0"/>
        <v>0</v>
      </c>
      <c r="L42">
        <f t="shared" si="3"/>
        <v>0</v>
      </c>
    </row>
    <row r="43" spans="1:12" x14ac:dyDescent="0.25">
      <c r="A43">
        <v>1725</v>
      </c>
      <c r="B43" t="s">
        <v>63</v>
      </c>
      <c r="C43" t="s">
        <v>58</v>
      </c>
      <c r="D43" t="s">
        <v>33</v>
      </c>
      <c r="J43">
        <f t="shared" si="0"/>
        <v>0</v>
      </c>
      <c r="L43">
        <f t="shared" si="3"/>
        <v>0</v>
      </c>
    </row>
    <row r="44" spans="1:12" x14ac:dyDescent="0.25">
      <c r="A44">
        <v>1725</v>
      </c>
      <c r="B44" t="s">
        <v>64</v>
      </c>
      <c r="C44" t="s">
        <v>58</v>
      </c>
      <c r="D44" t="s">
        <v>33</v>
      </c>
      <c r="E44">
        <v>345</v>
      </c>
      <c r="F44">
        <v>14</v>
      </c>
      <c r="H44">
        <v>18</v>
      </c>
      <c r="J44">
        <f t="shared" si="0"/>
        <v>774386</v>
      </c>
      <c r="L44">
        <f t="shared" si="3"/>
        <v>345.7080357142857</v>
      </c>
    </row>
    <row r="45" spans="1:12" x14ac:dyDescent="0.25">
      <c r="A45">
        <v>1725</v>
      </c>
      <c r="B45" t="s">
        <v>65</v>
      </c>
      <c r="C45" t="s">
        <v>58</v>
      </c>
      <c r="D45" t="s">
        <v>33</v>
      </c>
      <c r="E45">
        <v>36</v>
      </c>
      <c r="J45">
        <f t="shared" si="0"/>
        <v>80640</v>
      </c>
      <c r="L45">
        <f t="shared" si="3"/>
        <v>36</v>
      </c>
    </row>
    <row r="46" spans="1:12" x14ac:dyDescent="0.25">
      <c r="A46">
        <v>1725</v>
      </c>
      <c r="B46" t="s">
        <v>73</v>
      </c>
      <c r="C46" t="s">
        <v>58</v>
      </c>
      <c r="D46" t="s">
        <v>33</v>
      </c>
      <c r="J46">
        <f t="shared" si="0"/>
        <v>0</v>
      </c>
      <c r="L46">
        <f t="shared" si="3"/>
        <v>0</v>
      </c>
    </row>
    <row r="47" spans="1:12" x14ac:dyDescent="0.25">
      <c r="A47">
        <v>1725</v>
      </c>
      <c r="B47" t="s">
        <v>66</v>
      </c>
      <c r="C47" t="s">
        <v>58</v>
      </c>
      <c r="D47" t="s">
        <v>33</v>
      </c>
      <c r="J47">
        <f t="shared" si="0"/>
        <v>0</v>
      </c>
      <c r="L47">
        <f t="shared" si="3"/>
        <v>0</v>
      </c>
    </row>
    <row r="48" spans="1:12" x14ac:dyDescent="0.25">
      <c r="A48">
        <v>1725</v>
      </c>
      <c r="B48" t="s">
        <v>67</v>
      </c>
      <c r="C48" t="s">
        <v>58</v>
      </c>
      <c r="D48" t="s">
        <v>33</v>
      </c>
      <c r="J48">
        <f t="shared" si="0"/>
        <v>0</v>
      </c>
      <c r="L48">
        <f t="shared" si="3"/>
        <v>0</v>
      </c>
    </row>
    <row r="49" spans="1:12" x14ac:dyDescent="0.25">
      <c r="A49">
        <v>1725</v>
      </c>
      <c r="B49" t="s">
        <v>57</v>
      </c>
      <c r="C49" t="s">
        <v>58</v>
      </c>
      <c r="D49" t="s">
        <v>35</v>
      </c>
      <c r="J49">
        <f t="shared" si="0"/>
        <v>0</v>
      </c>
      <c r="L49">
        <f t="shared" si="3"/>
        <v>0</v>
      </c>
    </row>
    <row r="50" spans="1:12" x14ac:dyDescent="0.25">
      <c r="A50">
        <v>1725</v>
      </c>
      <c r="B50" t="s">
        <v>59</v>
      </c>
      <c r="C50" t="s">
        <v>58</v>
      </c>
      <c r="D50" t="s">
        <v>35</v>
      </c>
      <c r="J50">
        <f t="shared" si="0"/>
        <v>0</v>
      </c>
      <c r="L50">
        <f t="shared" si="3"/>
        <v>0</v>
      </c>
    </row>
    <row r="51" spans="1:12" x14ac:dyDescent="0.25">
      <c r="A51">
        <v>1725</v>
      </c>
      <c r="B51" t="s">
        <v>38</v>
      </c>
      <c r="C51" t="s">
        <v>58</v>
      </c>
      <c r="D51" t="s">
        <v>35</v>
      </c>
      <c r="H51">
        <v>3366</v>
      </c>
      <c r="J51">
        <f t="shared" ref="J51:J52" si="4">(E51*2240)+(F51*112)+(G51*28)+H51</f>
        <v>3366</v>
      </c>
      <c r="L51">
        <f t="shared" ref="L51:L52" si="5">J51/2240</f>
        <v>1.5026785714285715</v>
      </c>
    </row>
    <row r="52" spans="1:12" x14ac:dyDescent="0.25">
      <c r="A52">
        <v>1725</v>
      </c>
      <c r="B52" t="s">
        <v>4</v>
      </c>
      <c r="C52" t="s">
        <v>58</v>
      </c>
      <c r="D52" t="s">
        <v>35</v>
      </c>
      <c r="J52">
        <f t="shared" si="4"/>
        <v>0</v>
      </c>
      <c r="L52">
        <f t="shared" si="5"/>
        <v>0</v>
      </c>
    </row>
    <row r="53" spans="1:12" x14ac:dyDescent="0.25">
      <c r="A53">
        <v>1725</v>
      </c>
      <c r="B53" t="s">
        <v>60</v>
      </c>
      <c r="C53" t="s">
        <v>58</v>
      </c>
      <c r="D53" t="s">
        <v>35</v>
      </c>
      <c r="J53">
        <f t="shared" ref="J53:J63" si="6">(E53*2240)+(F53*112)+(G53*28)+H53</f>
        <v>0</v>
      </c>
      <c r="L53">
        <f t="shared" ref="L53:L63" si="7">J53/2240</f>
        <v>0</v>
      </c>
    </row>
    <row r="54" spans="1:12" x14ac:dyDescent="0.25">
      <c r="A54">
        <v>1725</v>
      </c>
      <c r="B54" t="s">
        <v>96</v>
      </c>
      <c r="C54" t="s">
        <v>58</v>
      </c>
      <c r="D54" t="s">
        <v>35</v>
      </c>
      <c r="H54">
        <v>20</v>
      </c>
      <c r="J54">
        <f t="shared" si="6"/>
        <v>20</v>
      </c>
      <c r="L54">
        <f t="shared" si="7"/>
        <v>8.9285714285714281E-3</v>
      </c>
    </row>
    <row r="55" spans="1:12" x14ac:dyDescent="0.25">
      <c r="A55">
        <v>1725</v>
      </c>
      <c r="B55" t="s">
        <v>45</v>
      </c>
      <c r="C55" t="s">
        <v>58</v>
      </c>
      <c r="D55" t="s">
        <v>35</v>
      </c>
      <c r="J55">
        <f t="shared" si="6"/>
        <v>0</v>
      </c>
      <c r="L55">
        <f t="shared" si="7"/>
        <v>0</v>
      </c>
    </row>
    <row r="56" spans="1:12" x14ac:dyDescent="0.25">
      <c r="A56">
        <v>1725</v>
      </c>
      <c r="B56" t="s">
        <v>5</v>
      </c>
      <c r="C56" t="s">
        <v>58</v>
      </c>
      <c r="D56" t="s">
        <v>35</v>
      </c>
      <c r="F56">
        <v>5</v>
      </c>
      <c r="H56">
        <v>13</v>
      </c>
      <c r="J56">
        <f t="shared" si="6"/>
        <v>573</v>
      </c>
      <c r="L56">
        <f t="shared" si="7"/>
        <v>0.25580357142857141</v>
      </c>
    </row>
    <row r="57" spans="1:12" x14ac:dyDescent="0.25">
      <c r="A57">
        <v>1725</v>
      </c>
      <c r="B57" t="s">
        <v>61</v>
      </c>
      <c r="C57" t="s">
        <v>58</v>
      </c>
      <c r="D57" t="s">
        <v>35</v>
      </c>
      <c r="J57">
        <f t="shared" si="6"/>
        <v>0</v>
      </c>
      <c r="L57">
        <f t="shared" si="7"/>
        <v>0</v>
      </c>
    </row>
    <row r="58" spans="1:12" x14ac:dyDescent="0.25">
      <c r="A58">
        <v>1725</v>
      </c>
      <c r="B58" t="s">
        <v>6</v>
      </c>
      <c r="C58" t="s">
        <v>58</v>
      </c>
      <c r="D58" t="s">
        <v>35</v>
      </c>
      <c r="F58">
        <v>67393</v>
      </c>
      <c r="G58">
        <v>2</v>
      </c>
      <c r="H58">
        <v>22</v>
      </c>
      <c r="J58">
        <f t="shared" si="6"/>
        <v>7548094</v>
      </c>
      <c r="L58">
        <f t="shared" si="7"/>
        <v>3369.6848214285715</v>
      </c>
    </row>
    <row r="59" spans="1:12" x14ac:dyDescent="0.25">
      <c r="A59">
        <v>1725</v>
      </c>
      <c r="B59" t="s">
        <v>62</v>
      </c>
      <c r="C59" t="s">
        <v>58</v>
      </c>
      <c r="D59" t="s">
        <v>35</v>
      </c>
      <c r="J59">
        <f t="shared" si="6"/>
        <v>0</v>
      </c>
      <c r="L59">
        <f t="shared" si="7"/>
        <v>0</v>
      </c>
    </row>
    <row r="60" spans="1:12" x14ac:dyDescent="0.25">
      <c r="A60">
        <v>1725</v>
      </c>
      <c r="B60" t="s">
        <v>40</v>
      </c>
      <c r="C60" t="s">
        <v>58</v>
      </c>
      <c r="D60" t="s">
        <v>35</v>
      </c>
      <c r="J60">
        <f t="shared" si="6"/>
        <v>0</v>
      </c>
      <c r="L60">
        <f t="shared" si="7"/>
        <v>0</v>
      </c>
    </row>
    <row r="61" spans="1:12" x14ac:dyDescent="0.25">
      <c r="A61">
        <v>1725</v>
      </c>
      <c r="B61" t="s">
        <v>39</v>
      </c>
      <c r="C61" t="s">
        <v>58</v>
      </c>
      <c r="D61" t="s">
        <v>35</v>
      </c>
      <c r="J61">
        <f t="shared" si="6"/>
        <v>0</v>
      </c>
      <c r="L61">
        <f t="shared" si="7"/>
        <v>0</v>
      </c>
    </row>
    <row r="62" spans="1:12" x14ac:dyDescent="0.25">
      <c r="A62">
        <v>1725</v>
      </c>
      <c r="B62" t="s">
        <v>8</v>
      </c>
      <c r="C62" t="s">
        <v>58</v>
      </c>
      <c r="D62" t="s">
        <v>35</v>
      </c>
      <c r="F62">
        <v>176</v>
      </c>
      <c r="G62">
        <v>3</v>
      </c>
      <c r="H62">
        <v>23</v>
      </c>
      <c r="J62">
        <f t="shared" si="6"/>
        <v>19819</v>
      </c>
      <c r="L62">
        <f t="shared" si="7"/>
        <v>8.8477678571428573</v>
      </c>
    </row>
    <row r="63" spans="1:12" x14ac:dyDescent="0.25">
      <c r="A63">
        <v>1725</v>
      </c>
      <c r="B63" t="s">
        <v>42</v>
      </c>
      <c r="C63" t="s">
        <v>58</v>
      </c>
      <c r="D63" t="s">
        <v>35</v>
      </c>
      <c r="J63">
        <f t="shared" si="6"/>
        <v>0</v>
      </c>
      <c r="L63">
        <f t="shared" si="7"/>
        <v>0</v>
      </c>
    </row>
    <row r="64" spans="1:12" x14ac:dyDescent="0.25">
      <c r="A64">
        <v>1725</v>
      </c>
      <c r="B64" t="s">
        <v>9</v>
      </c>
      <c r="C64" t="s">
        <v>58</v>
      </c>
      <c r="D64" t="s">
        <v>35</v>
      </c>
      <c r="F64">
        <v>1129</v>
      </c>
      <c r="G64">
        <v>1</v>
      </c>
      <c r="H64">
        <v>7</v>
      </c>
      <c r="J64">
        <f t="shared" ref="J64:J97" si="8">(E64*2240)+(F64*112)+(G64*28)+H64</f>
        <v>126483</v>
      </c>
      <c r="L64">
        <f t="shared" ref="L64:L97" si="9">J64/2240</f>
        <v>56.465625000000003</v>
      </c>
    </row>
    <row r="65" spans="1:12" x14ac:dyDescent="0.25">
      <c r="A65">
        <v>1725</v>
      </c>
      <c r="B65" t="s">
        <v>10</v>
      </c>
      <c r="C65" t="s">
        <v>58</v>
      </c>
      <c r="D65" t="s">
        <v>35</v>
      </c>
      <c r="F65">
        <v>797</v>
      </c>
      <c r="G65">
        <v>3</v>
      </c>
      <c r="H65">
        <v>26</v>
      </c>
      <c r="J65">
        <f t="shared" si="8"/>
        <v>89374</v>
      </c>
      <c r="L65">
        <f t="shared" si="9"/>
        <v>39.89910714285714</v>
      </c>
    </row>
    <row r="66" spans="1:12" x14ac:dyDescent="0.25">
      <c r="A66">
        <v>1725</v>
      </c>
      <c r="B66" t="s">
        <v>11</v>
      </c>
      <c r="C66" t="s">
        <v>58</v>
      </c>
      <c r="D66" t="s">
        <v>35</v>
      </c>
      <c r="F66">
        <v>315</v>
      </c>
      <c r="G66">
        <v>2</v>
      </c>
      <c r="J66">
        <f t="shared" si="8"/>
        <v>35336</v>
      </c>
      <c r="L66">
        <f t="shared" si="9"/>
        <v>15.775</v>
      </c>
    </row>
    <row r="67" spans="1:12" x14ac:dyDescent="0.25">
      <c r="A67">
        <v>1725</v>
      </c>
      <c r="B67" t="s">
        <v>41</v>
      </c>
      <c r="C67" t="s">
        <v>58</v>
      </c>
      <c r="D67" t="s">
        <v>35</v>
      </c>
      <c r="J67">
        <f t="shared" si="8"/>
        <v>0</v>
      </c>
      <c r="L67">
        <f t="shared" si="9"/>
        <v>0</v>
      </c>
    </row>
    <row r="68" spans="1:12" x14ac:dyDescent="0.25">
      <c r="A68">
        <v>1725</v>
      </c>
      <c r="B68" t="s">
        <v>82</v>
      </c>
      <c r="C68" t="s">
        <v>58</v>
      </c>
      <c r="D68" t="s">
        <v>35</v>
      </c>
      <c r="J68">
        <f t="shared" si="8"/>
        <v>0</v>
      </c>
      <c r="L68">
        <f t="shared" si="9"/>
        <v>0</v>
      </c>
    </row>
    <row r="69" spans="1:12" x14ac:dyDescent="0.25">
      <c r="A69">
        <v>1725</v>
      </c>
      <c r="B69" t="s">
        <v>46</v>
      </c>
      <c r="C69" t="s">
        <v>58</v>
      </c>
      <c r="D69" t="s">
        <v>35</v>
      </c>
      <c r="J69">
        <f t="shared" si="8"/>
        <v>0</v>
      </c>
      <c r="L69">
        <f t="shared" si="9"/>
        <v>0</v>
      </c>
    </row>
    <row r="70" spans="1:12" x14ac:dyDescent="0.25">
      <c r="A70">
        <v>1725</v>
      </c>
      <c r="B70" t="s">
        <v>12</v>
      </c>
      <c r="C70" t="s">
        <v>58</v>
      </c>
      <c r="D70" t="s">
        <v>35</v>
      </c>
      <c r="H70">
        <v>1682</v>
      </c>
      <c r="J70">
        <f t="shared" si="8"/>
        <v>1682</v>
      </c>
      <c r="L70">
        <f t="shared" si="9"/>
        <v>0.75089285714285714</v>
      </c>
    </row>
    <row r="71" spans="1:12" x14ac:dyDescent="0.25">
      <c r="A71">
        <v>1725</v>
      </c>
      <c r="B71" t="s">
        <v>34</v>
      </c>
      <c r="C71" t="s">
        <v>58</v>
      </c>
      <c r="D71" t="s">
        <v>35</v>
      </c>
      <c r="J71">
        <f t="shared" si="8"/>
        <v>0</v>
      </c>
      <c r="L71">
        <f t="shared" si="9"/>
        <v>0</v>
      </c>
    </row>
    <row r="72" spans="1:12" x14ac:dyDescent="0.25">
      <c r="A72">
        <v>1725</v>
      </c>
      <c r="B72" t="s">
        <v>13</v>
      </c>
      <c r="C72" t="s">
        <v>58</v>
      </c>
      <c r="D72" t="s">
        <v>35</v>
      </c>
      <c r="J72">
        <f t="shared" si="8"/>
        <v>0</v>
      </c>
      <c r="L72">
        <f t="shared" si="9"/>
        <v>0</v>
      </c>
    </row>
    <row r="73" spans="1:12" x14ac:dyDescent="0.25">
      <c r="A73">
        <v>1725</v>
      </c>
      <c r="B73" t="s">
        <v>14</v>
      </c>
      <c r="C73" t="s">
        <v>58</v>
      </c>
      <c r="D73" t="s">
        <v>35</v>
      </c>
      <c r="H73">
        <v>16594</v>
      </c>
      <c r="I73" t="s">
        <v>132</v>
      </c>
      <c r="J73">
        <f t="shared" si="8"/>
        <v>16594</v>
      </c>
      <c r="L73">
        <f t="shared" si="9"/>
        <v>7.4080357142857141</v>
      </c>
    </row>
    <row r="74" spans="1:12" x14ac:dyDescent="0.25">
      <c r="A74">
        <v>1725</v>
      </c>
      <c r="B74" t="s">
        <v>23</v>
      </c>
      <c r="C74" t="s">
        <v>58</v>
      </c>
      <c r="D74" t="s">
        <v>35</v>
      </c>
      <c r="J74">
        <f t="shared" si="8"/>
        <v>0</v>
      </c>
      <c r="L74">
        <f t="shared" si="9"/>
        <v>0</v>
      </c>
    </row>
    <row r="75" spans="1:12" x14ac:dyDescent="0.25">
      <c r="A75">
        <v>1725</v>
      </c>
      <c r="B75" t="s">
        <v>27</v>
      </c>
      <c r="C75" t="s">
        <v>58</v>
      </c>
      <c r="D75" t="s">
        <v>35</v>
      </c>
      <c r="H75">
        <v>2711</v>
      </c>
      <c r="I75" t="s">
        <v>134</v>
      </c>
      <c r="J75">
        <f t="shared" si="8"/>
        <v>2711</v>
      </c>
      <c r="L75">
        <f t="shared" si="9"/>
        <v>1.2102678571428571</v>
      </c>
    </row>
    <row r="76" spans="1:12" x14ac:dyDescent="0.25">
      <c r="A76">
        <v>1725</v>
      </c>
      <c r="B76" t="s">
        <v>15</v>
      </c>
      <c r="C76" t="s">
        <v>58</v>
      </c>
      <c r="D76" t="s">
        <v>35</v>
      </c>
      <c r="F76">
        <v>2</v>
      </c>
      <c r="G76">
        <v>2</v>
      </c>
      <c r="H76">
        <v>10</v>
      </c>
      <c r="J76">
        <f t="shared" si="8"/>
        <v>290</v>
      </c>
      <c r="L76">
        <f t="shared" si="9"/>
        <v>0.12946428571428573</v>
      </c>
    </row>
    <row r="77" spans="1:12" x14ac:dyDescent="0.25">
      <c r="A77">
        <v>1725</v>
      </c>
      <c r="B77" t="s">
        <v>97</v>
      </c>
      <c r="C77" t="s">
        <v>58</v>
      </c>
      <c r="D77" t="s">
        <v>35</v>
      </c>
      <c r="J77">
        <f t="shared" si="8"/>
        <v>0</v>
      </c>
      <c r="L77">
        <f t="shared" si="9"/>
        <v>0</v>
      </c>
    </row>
    <row r="78" spans="1:12" x14ac:dyDescent="0.25">
      <c r="A78">
        <v>1725</v>
      </c>
      <c r="B78" t="s">
        <v>44</v>
      </c>
      <c r="C78" t="s">
        <v>58</v>
      </c>
      <c r="D78" t="s">
        <v>35</v>
      </c>
      <c r="J78">
        <f t="shared" si="8"/>
        <v>0</v>
      </c>
      <c r="L78">
        <f t="shared" si="9"/>
        <v>0</v>
      </c>
    </row>
    <row r="79" spans="1:12" x14ac:dyDescent="0.25">
      <c r="A79">
        <v>1725</v>
      </c>
      <c r="B79" t="s">
        <v>49</v>
      </c>
      <c r="C79" t="s">
        <v>58</v>
      </c>
      <c r="D79" t="s">
        <v>35</v>
      </c>
      <c r="J79">
        <f t="shared" si="8"/>
        <v>0</v>
      </c>
      <c r="L79">
        <f t="shared" si="9"/>
        <v>0</v>
      </c>
    </row>
    <row r="80" spans="1:12" x14ac:dyDescent="0.25">
      <c r="A80">
        <v>1725</v>
      </c>
      <c r="B80" t="s">
        <v>16</v>
      </c>
      <c r="C80" t="s">
        <v>58</v>
      </c>
      <c r="D80" t="s">
        <v>35</v>
      </c>
      <c r="J80">
        <f t="shared" si="8"/>
        <v>0</v>
      </c>
      <c r="L80">
        <f t="shared" si="9"/>
        <v>0</v>
      </c>
    </row>
    <row r="81" spans="1:12" x14ac:dyDescent="0.25">
      <c r="A81">
        <v>1725</v>
      </c>
      <c r="B81" t="s">
        <v>17</v>
      </c>
      <c r="C81" t="s">
        <v>58</v>
      </c>
      <c r="D81" t="s">
        <v>35</v>
      </c>
      <c r="F81">
        <v>25</v>
      </c>
      <c r="J81">
        <f t="shared" si="8"/>
        <v>2800</v>
      </c>
      <c r="L81">
        <f t="shared" si="9"/>
        <v>1.25</v>
      </c>
    </row>
    <row r="82" spans="1:12" x14ac:dyDescent="0.25">
      <c r="A82">
        <v>1725</v>
      </c>
      <c r="B82" t="s">
        <v>18</v>
      </c>
      <c r="C82" t="s">
        <v>58</v>
      </c>
      <c r="D82" t="s">
        <v>35</v>
      </c>
      <c r="H82">
        <v>13681</v>
      </c>
      <c r="I82" t="s">
        <v>133</v>
      </c>
      <c r="J82">
        <f t="shared" si="8"/>
        <v>13681</v>
      </c>
      <c r="L82">
        <f t="shared" si="9"/>
        <v>6.1075892857142859</v>
      </c>
    </row>
    <row r="83" spans="1:12" x14ac:dyDescent="0.25">
      <c r="A83">
        <v>1725</v>
      </c>
      <c r="B83" t="s">
        <v>26</v>
      </c>
      <c r="C83" t="s">
        <v>58</v>
      </c>
      <c r="D83" t="s">
        <v>35</v>
      </c>
      <c r="J83">
        <f t="shared" si="8"/>
        <v>0</v>
      </c>
      <c r="L83">
        <f t="shared" si="9"/>
        <v>0</v>
      </c>
    </row>
    <row r="84" spans="1:12" x14ac:dyDescent="0.25">
      <c r="A84">
        <v>1725</v>
      </c>
      <c r="B84" t="s">
        <v>19</v>
      </c>
      <c r="C84" t="s">
        <v>58</v>
      </c>
      <c r="D84" t="s">
        <v>35</v>
      </c>
      <c r="F84">
        <v>1</v>
      </c>
      <c r="G84">
        <v>1</v>
      </c>
      <c r="H84">
        <v>13</v>
      </c>
      <c r="J84">
        <f t="shared" si="8"/>
        <v>153</v>
      </c>
      <c r="L84">
        <f t="shared" si="9"/>
        <v>6.8303571428571422E-2</v>
      </c>
    </row>
    <row r="85" spans="1:12" x14ac:dyDescent="0.25">
      <c r="A85">
        <v>1725</v>
      </c>
      <c r="B85" t="s">
        <v>47</v>
      </c>
      <c r="C85" t="s">
        <v>58</v>
      </c>
      <c r="D85" t="s">
        <v>35</v>
      </c>
      <c r="J85">
        <f t="shared" si="8"/>
        <v>0</v>
      </c>
      <c r="L85">
        <f t="shared" si="9"/>
        <v>0</v>
      </c>
    </row>
    <row r="86" spans="1:12" x14ac:dyDescent="0.25">
      <c r="A86">
        <v>1725</v>
      </c>
      <c r="B86" t="s">
        <v>56</v>
      </c>
      <c r="C86" t="s">
        <v>58</v>
      </c>
      <c r="D86" t="s">
        <v>35</v>
      </c>
      <c r="H86">
        <v>98</v>
      </c>
      <c r="J86">
        <f t="shared" si="8"/>
        <v>98</v>
      </c>
      <c r="L86">
        <f t="shared" si="9"/>
        <v>4.3749999999999997E-2</v>
      </c>
    </row>
    <row r="87" spans="1:12" x14ac:dyDescent="0.25">
      <c r="A87">
        <v>1725</v>
      </c>
      <c r="B87" t="s">
        <v>117</v>
      </c>
      <c r="C87" t="s">
        <v>58</v>
      </c>
      <c r="D87" t="s">
        <v>35</v>
      </c>
      <c r="H87">
        <v>99</v>
      </c>
      <c r="J87">
        <f t="shared" si="8"/>
        <v>99</v>
      </c>
      <c r="L87">
        <f t="shared" si="9"/>
        <v>4.4196428571428574E-2</v>
      </c>
    </row>
    <row r="88" spans="1:12" x14ac:dyDescent="0.25">
      <c r="A88">
        <v>1725</v>
      </c>
      <c r="B88" t="s">
        <v>20</v>
      </c>
      <c r="C88" t="s">
        <v>58</v>
      </c>
      <c r="D88" t="s">
        <v>35</v>
      </c>
      <c r="H88">
        <v>1554</v>
      </c>
      <c r="J88">
        <f t="shared" si="8"/>
        <v>1554</v>
      </c>
      <c r="L88">
        <f t="shared" si="9"/>
        <v>0.69374999999999998</v>
      </c>
    </row>
    <row r="89" spans="1:12" x14ac:dyDescent="0.25">
      <c r="A89">
        <v>1725</v>
      </c>
      <c r="B89" t="s">
        <v>21</v>
      </c>
      <c r="C89" t="s">
        <v>58</v>
      </c>
      <c r="D89" t="s">
        <v>35</v>
      </c>
      <c r="H89">
        <v>26</v>
      </c>
      <c r="J89">
        <f t="shared" si="8"/>
        <v>26</v>
      </c>
      <c r="L89">
        <f t="shared" si="9"/>
        <v>1.1607142857142858E-2</v>
      </c>
    </row>
    <row r="90" spans="1:12" x14ac:dyDescent="0.25">
      <c r="A90">
        <v>1725</v>
      </c>
      <c r="B90" t="s">
        <v>22</v>
      </c>
      <c r="C90" t="s">
        <v>58</v>
      </c>
      <c r="D90" t="s">
        <v>35</v>
      </c>
      <c r="J90">
        <f t="shared" si="8"/>
        <v>0</v>
      </c>
      <c r="L90">
        <f t="shared" si="9"/>
        <v>0</v>
      </c>
    </row>
    <row r="91" spans="1:12" x14ac:dyDescent="0.25">
      <c r="A91">
        <v>1725</v>
      </c>
      <c r="B91" t="s">
        <v>63</v>
      </c>
      <c r="C91" t="s">
        <v>58</v>
      </c>
      <c r="D91" t="s">
        <v>35</v>
      </c>
      <c r="J91">
        <f t="shared" si="8"/>
        <v>0</v>
      </c>
      <c r="L91">
        <f t="shared" si="9"/>
        <v>0</v>
      </c>
    </row>
    <row r="92" spans="1:12" x14ac:dyDescent="0.25">
      <c r="A92">
        <v>1725</v>
      </c>
      <c r="B92" t="s">
        <v>64</v>
      </c>
      <c r="C92" t="s">
        <v>58</v>
      </c>
      <c r="D92" t="s">
        <v>35</v>
      </c>
      <c r="E92">
        <v>143</v>
      </c>
      <c r="F92">
        <v>15</v>
      </c>
      <c r="G92">
        <v>3</v>
      </c>
      <c r="H92">
        <v>18</v>
      </c>
      <c r="J92">
        <f t="shared" si="8"/>
        <v>322102</v>
      </c>
      <c r="L92">
        <f t="shared" si="9"/>
        <v>143.79553571428571</v>
      </c>
    </row>
    <row r="93" spans="1:12" x14ac:dyDescent="0.25">
      <c r="A93">
        <v>1725</v>
      </c>
      <c r="B93" t="s">
        <v>65</v>
      </c>
      <c r="C93" t="s">
        <v>58</v>
      </c>
      <c r="D93" t="s">
        <v>35</v>
      </c>
      <c r="E93">
        <v>15</v>
      </c>
      <c r="F93">
        <v>10</v>
      </c>
      <c r="J93">
        <f t="shared" si="8"/>
        <v>34720</v>
      </c>
      <c r="L93">
        <f t="shared" si="9"/>
        <v>15.5</v>
      </c>
    </row>
    <row r="94" spans="1:12" x14ac:dyDescent="0.25">
      <c r="A94">
        <v>1725</v>
      </c>
      <c r="B94" t="s">
        <v>92</v>
      </c>
      <c r="C94" t="s">
        <v>58</v>
      </c>
      <c r="D94" t="s">
        <v>35</v>
      </c>
      <c r="F94">
        <v>6</v>
      </c>
      <c r="J94">
        <f t="shared" si="8"/>
        <v>672</v>
      </c>
      <c r="L94">
        <f t="shared" si="9"/>
        <v>0.3</v>
      </c>
    </row>
    <row r="95" spans="1:12" x14ac:dyDescent="0.25">
      <c r="A95">
        <v>1725</v>
      </c>
      <c r="B95" t="s">
        <v>73</v>
      </c>
      <c r="C95" t="s">
        <v>58</v>
      </c>
      <c r="D95" t="s">
        <v>35</v>
      </c>
      <c r="J95">
        <f t="shared" si="8"/>
        <v>0</v>
      </c>
      <c r="L95">
        <f t="shared" si="9"/>
        <v>0</v>
      </c>
    </row>
    <row r="96" spans="1:12" x14ac:dyDescent="0.25">
      <c r="A96">
        <v>1725</v>
      </c>
      <c r="B96" t="s">
        <v>66</v>
      </c>
      <c r="C96" t="s">
        <v>58</v>
      </c>
      <c r="D96" t="s">
        <v>35</v>
      </c>
      <c r="E96">
        <v>13</v>
      </c>
      <c r="F96">
        <v>8</v>
      </c>
      <c r="G96">
        <v>3</v>
      </c>
      <c r="H96">
        <v>6</v>
      </c>
      <c r="J96">
        <f t="shared" si="8"/>
        <v>30106</v>
      </c>
      <c r="L96">
        <f t="shared" si="9"/>
        <v>13.440178571428572</v>
      </c>
    </row>
    <row r="97" spans="1:12" x14ac:dyDescent="0.25">
      <c r="A97">
        <v>1725</v>
      </c>
      <c r="B97" t="s">
        <v>67</v>
      </c>
      <c r="C97" t="s">
        <v>58</v>
      </c>
      <c r="D97" t="s">
        <v>35</v>
      </c>
      <c r="J97">
        <f t="shared" si="8"/>
        <v>0</v>
      </c>
      <c r="L97">
        <f t="shared" si="9"/>
        <v>0</v>
      </c>
    </row>
  </sheetData>
  <autoFilter ref="A1:N53" xr:uid="{AAD1F908-12B8-4B3A-A65D-184CD229ACD4}">
    <sortState xmlns:xlrd2="http://schemas.microsoft.com/office/spreadsheetml/2017/richdata2" ref="A2:N53">
      <sortCondition ref="B1:B5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3"/>
  <sheetViews>
    <sheetView workbookViewId="0">
      <selection activeCell="B2" sqref="B2:D23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1725</v>
      </c>
      <c r="B2" t="s">
        <v>68</v>
      </c>
      <c r="C2" t="s">
        <v>69</v>
      </c>
      <c r="D2" t="s">
        <v>33</v>
      </c>
      <c r="H2">
        <v>29275</v>
      </c>
      <c r="J2">
        <f t="shared" ref="J2:J22" si="0">(E2*2240)+(F2*112)+(G2*28)+H2</f>
        <v>29275</v>
      </c>
      <c r="L2">
        <f t="shared" ref="L2:L21" si="1">J2/2240</f>
        <v>13.069196428571429</v>
      </c>
    </row>
    <row r="3" spans="1:12" x14ac:dyDescent="0.25">
      <c r="A3">
        <v>1725</v>
      </c>
      <c r="B3" t="s">
        <v>6</v>
      </c>
      <c r="C3" t="s">
        <v>69</v>
      </c>
      <c r="D3" t="s">
        <v>33</v>
      </c>
      <c r="F3">
        <v>401</v>
      </c>
      <c r="G3">
        <v>3</v>
      </c>
      <c r="J3">
        <f t="shared" si="0"/>
        <v>44996</v>
      </c>
      <c r="L3">
        <f t="shared" si="1"/>
        <v>20.087499999999999</v>
      </c>
    </row>
    <row r="4" spans="1:12" x14ac:dyDescent="0.25">
      <c r="A4">
        <v>1725</v>
      </c>
      <c r="B4" t="s">
        <v>8</v>
      </c>
      <c r="C4" t="s">
        <v>69</v>
      </c>
      <c r="D4" t="s">
        <v>33</v>
      </c>
      <c r="E4" s="1"/>
      <c r="H4">
        <v>2</v>
      </c>
      <c r="I4" s="1"/>
      <c r="J4">
        <f t="shared" si="0"/>
        <v>2</v>
      </c>
      <c r="K4" s="1"/>
      <c r="L4">
        <f t="shared" si="1"/>
        <v>8.9285714285714283E-4</v>
      </c>
    </row>
    <row r="5" spans="1:12" x14ac:dyDescent="0.25">
      <c r="A5">
        <v>1725</v>
      </c>
      <c r="B5" t="s">
        <v>9</v>
      </c>
      <c r="C5" t="s">
        <v>69</v>
      </c>
      <c r="D5" t="s">
        <v>33</v>
      </c>
      <c r="E5" s="1"/>
      <c r="I5" s="1"/>
      <c r="J5">
        <f t="shared" si="0"/>
        <v>0</v>
      </c>
      <c r="K5" s="1"/>
      <c r="L5">
        <f t="shared" si="1"/>
        <v>0</v>
      </c>
    </row>
    <row r="6" spans="1:12" x14ac:dyDescent="0.25">
      <c r="A6">
        <v>1725</v>
      </c>
      <c r="B6" t="s">
        <v>12</v>
      </c>
      <c r="C6" t="s">
        <v>69</v>
      </c>
      <c r="D6" t="s">
        <v>33</v>
      </c>
      <c r="E6" s="1"/>
      <c r="H6">
        <v>300</v>
      </c>
      <c r="I6" s="1"/>
      <c r="J6">
        <f t="shared" si="0"/>
        <v>300</v>
      </c>
      <c r="K6" s="1"/>
      <c r="L6">
        <f t="shared" si="1"/>
        <v>0.13392857142857142</v>
      </c>
    </row>
    <row r="7" spans="1:12" x14ac:dyDescent="0.25">
      <c r="A7">
        <v>1725</v>
      </c>
      <c r="B7" t="s">
        <v>27</v>
      </c>
      <c r="C7" t="s">
        <v>69</v>
      </c>
      <c r="D7" t="s">
        <v>33</v>
      </c>
      <c r="E7" s="1"/>
      <c r="H7">
        <v>140</v>
      </c>
      <c r="I7" t="s">
        <v>110</v>
      </c>
      <c r="J7">
        <f t="shared" si="0"/>
        <v>140</v>
      </c>
      <c r="K7" s="1"/>
      <c r="L7">
        <f t="shared" si="1"/>
        <v>6.25E-2</v>
      </c>
    </row>
    <row r="8" spans="1:12" x14ac:dyDescent="0.25">
      <c r="A8">
        <v>1725</v>
      </c>
      <c r="B8" t="s">
        <v>17</v>
      </c>
      <c r="C8" t="s">
        <v>69</v>
      </c>
      <c r="D8" t="s">
        <v>33</v>
      </c>
      <c r="E8" s="1"/>
      <c r="F8">
        <v>216</v>
      </c>
      <c r="G8">
        <v>2</v>
      </c>
      <c r="J8">
        <f t="shared" si="0"/>
        <v>24248</v>
      </c>
      <c r="K8" s="1"/>
      <c r="L8">
        <f t="shared" si="1"/>
        <v>10.824999999999999</v>
      </c>
    </row>
    <row r="9" spans="1:12" x14ac:dyDescent="0.25">
      <c r="A9">
        <v>1725</v>
      </c>
      <c r="B9" t="s">
        <v>18</v>
      </c>
      <c r="C9" t="s">
        <v>69</v>
      </c>
      <c r="D9" t="s">
        <v>33</v>
      </c>
      <c r="E9" s="1"/>
      <c r="H9">
        <v>1940</v>
      </c>
      <c r="I9" t="s">
        <v>109</v>
      </c>
      <c r="J9">
        <f t="shared" si="0"/>
        <v>1940</v>
      </c>
      <c r="K9" s="1"/>
      <c r="L9">
        <f t="shared" si="1"/>
        <v>0.8660714285714286</v>
      </c>
    </row>
    <row r="10" spans="1:12" x14ac:dyDescent="0.25">
      <c r="A10">
        <v>1725</v>
      </c>
      <c r="B10" t="s">
        <v>21</v>
      </c>
      <c r="C10" t="s">
        <v>69</v>
      </c>
      <c r="D10" t="s">
        <v>33</v>
      </c>
      <c r="E10" s="1"/>
      <c r="H10">
        <v>114</v>
      </c>
      <c r="J10">
        <f t="shared" si="0"/>
        <v>114</v>
      </c>
      <c r="K10" s="1"/>
      <c r="L10">
        <f t="shared" si="1"/>
        <v>5.0892857142857142E-2</v>
      </c>
    </row>
    <row r="11" spans="1:12" x14ac:dyDescent="0.25">
      <c r="A11">
        <v>1725</v>
      </c>
      <c r="B11" t="s">
        <v>63</v>
      </c>
      <c r="C11" t="s">
        <v>69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1725</v>
      </c>
      <c r="B12" t="s">
        <v>65</v>
      </c>
      <c r="C12" t="s">
        <v>69</v>
      </c>
      <c r="D12" t="s">
        <v>33</v>
      </c>
      <c r="E12">
        <v>102</v>
      </c>
      <c r="J12">
        <f t="shared" si="0"/>
        <v>228480</v>
      </c>
      <c r="L12">
        <f t="shared" si="1"/>
        <v>102</v>
      </c>
    </row>
    <row r="13" spans="1:12" x14ac:dyDescent="0.25">
      <c r="A13">
        <v>1725</v>
      </c>
      <c r="B13" t="s">
        <v>6</v>
      </c>
      <c r="C13" t="s">
        <v>69</v>
      </c>
      <c r="D13" t="s">
        <v>35</v>
      </c>
      <c r="F13">
        <v>76</v>
      </c>
      <c r="G13">
        <v>1</v>
      </c>
      <c r="H13">
        <v>16</v>
      </c>
      <c r="J13">
        <f t="shared" si="0"/>
        <v>8556</v>
      </c>
      <c r="L13">
        <f t="shared" si="1"/>
        <v>3.8196428571428571</v>
      </c>
    </row>
    <row r="14" spans="1:12" x14ac:dyDescent="0.25">
      <c r="A14">
        <v>1725</v>
      </c>
      <c r="B14" t="s">
        <v>12</v>
      </c>
      <c r="C14" t="s">
        <v>69</v>
      </c>
      <c r="D14" t="s">
        <v>35</v>
      </c>
      <c r="J14">
        <f t="shared" si="0"/>
        <v>0</v>
      </c>
      <c r="K14" s="1"/>
      <c r="L14">
        <f t="shared" si="1"/>
        <v>0</v>
      </c>
    </row>
    <row r="15" spans="1:12" x14ac:dyDescent="0.25">
      <c r="A15">
        <v>1725</v>
      </c>
      <c r="B15" t="s">
        <v>43</v>
      </c>
      <c r="C15" t="s">
        <v>69</v>
      </c>
      <c r="D15" t="s">
        <v>35</v>
      </c>
      <c r="J15">
        <f t="shared" si="0"/>
        <v>0</v>
      </c>
      <c r="K15" s="1"/>
      <c r="L15">
        <f t="shared" si="1"/>
        <v>0</v>
      </c>
    </row>
    <row r="16" spans="1:12" x14ac:dyDescent="0.25">
      <c r="A16">
        <v>1725</v>
      </c>
      <c r="B16" t="s">
        <v>27</v>
      </c>
      <c r="C16" t="s">
        <v>69</v>
      </c>
      <c r="D16" t="s">
        <v>35</v>
      </c>
      <c r="H16">
        <v>2931</v>
      </c>
      <c r="I16" t="s">
        <v>135</v>
      </c>
      <c r="J16">
        <f t="shared" si="0"/>
        <v>2931</v>
      </c>
      <c r="K16" s="1"/>
      <c r="L16">
        <f t="shared" si="1"/>
        <v>1.3084821428571429</v>
      </c>
    </row>
    <row r="17" spans="1:12" x14ac:dyDescent="0.25">
      <c r="A17">
        <v>1725</v>
      </c>
      <c r="B17" t="s">
        <v>17</v>
      </c>
      <c r="C17" t="s">
        <v>69</v>
      </c>
      <c r="D17" t="s">
        <v>35</v>
      </c>
      <c r="F17">
        <v>77</v>
      </c>
      <c r="G17">
        <v>1</v>
      </c>
      <c r="H17">
        <v>10</v>
      </c>
      <c r="J17">
        <f t="shared" si="0"/>
        <v>8662</v>
      </c>
      <c r="K17" s="1"/>
      <c r="L17">
        <f t="shared" si="1"/>
        <v>3.8669642857142859</v>
      </c>
    </row>
    <row r="18" spans="1:12" x14ac:dyDescent="0.25">
      <c r="A18">
        <v>1725</v>
      </c>
      <c r="B18" t="s">
        <v>19</v>
      </c>
      <c r="C18" t="s">
        <v>69</v>
      </c>
      <c r="D18" t="s">
        <v>35</v>
      </c>
      <c r="J18">
        <f t="shared" si="0"/>
        <v>0</v>
      </c>
      <c r="L18">
        <f t="shared" si="1"/>
        <v>0</v>
      </c>
    </row>
    <row r="19" spans="1:12" x14ac:dyDescent="0.25">
      <c r="A19">
        <v>1725</v>
      </c>
      <c r="B19" t="s">
        <v>56</v>
      </c>
      <c r="C19" t="s">
        <v>69</v>
      </c>
      <c r="D19" t="s">
        <v>35</v>
      </c>
      <c r="J19">
        <f t="shared" si="0"/>
        <v>0</v>
      </c>
      <c r="L19">
        <f t="shared" si="1"/>
        <v>0</v>
      </c>
    </row>
    <row r="20" spans="1:12" x14ac:dyDescent="0.25">
      <c r="A20">
        <v>1725</v>
      </c>
      <c r="B20" t="s">
        <v>9</v>
      </c>
      <c r="C20" t="s">
        <v>69</v>
      </c>
      <c r="D20" t="s">
        <v>35</v>
      </c>
      <c r="J20">
        <f t="shared" si="0"/>
        <v>0</v>
      </c>
      <c r="L20">
        <f t="shared" si="1"/>
        <v>0</v>
      </c>
    </row>
    <row r="21" spans="1:12" x14ac:dyDescent="0.25">
      <c r="A21">
        <v>1725</v>
      </c>
      <c r="B21" t="s">
        <v>8</v>
      </c>
      <c r="C21" t="s">
        <v>69</v>
      </c>
      <c r="D21" t="s">
        <v>35</v>
      </c>
      <c r="J21">
        <f t="shared" si="0"/>
        <v>0</v>
      </c>
      <c r="L21">
        <f t="shared" si="1"/>
        <v>0</v>
      </c>
    </row>
    <row r="22" spans="1:12" x14ac:dyDescent="0.25">
      <c r="A22">
        <v>1725</v>
      </c>
      <c r="B22" t="s">
        <v>63</v>
      </c>
      <c r="C22" t="s">
        <v>69</v>
      </c>
      <c r="D22" t="s">
        <v>35</v>
      </c>
      <c r="E22">
        <v>5</v>
      </c>
      <c r="F22">
        <v>2</v>
      </c>
      <c r="G22">
        <v>1</v>
      </c>
      <c r="H22">
        <v>18</v>
      </c>
      <c r="J22">
        <f t="shared" si="0"/>
        <v>11470</v>
      </c>
      <c r="L22">
        <f t="shared" ref="L22:L23" si="2">J22/2240</f>
        <v>5.1205357142857144</v>
      </c>
    </row>
    <row r="23" spans="1:12" x14ac:dyDescent="0.25">
      <c r="A23">
        <v>1725</v>
      </c>
      <c r="B23" t="s">
        <v>65</v>
      </c>
      <c r="C23" t="s">
        <v>69</v>
      </c>
      <c r="D23" t="s">
        <v>35</v>
      </c>
      <c r="E23">
        <v>19</v>
      </c>
      <c r="F23">
        <v>7</v>
      </c>
      <c r="G23">
        <v>2</v>
      </c>
      <c r="H23">
        <v>11</v>
      </c>
      <c r="J23">
        <f t="shared" ref="J23" si="3">(E23*2240)+(F23*112)+(G23*28)+H23</f>
        <v>43411</v>
      </c>
      <c r="L23">
        <f t="shared" si="2"/>
        <v>19.379910714285714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26"/>
  <sheetViews>
    <sheetView topLeftCell="A49" zoomScaleNormal="100" workbookViewId="0">
      <selection activeCell="H22" sqref="H22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1725</v>
      </c>
      <c r="B2" t="s">
        <v>57</v>
      </c>
      <c r="C2" t="s">
        <v>70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1725</v>
      </c>
      <c r="B3" t="s">
        <v>59</v>
      </c>
      <c r="C3" t="s">
        <v>70</v>
      </c>
      <c r="D3" t="s">
        <v>33</v>
      </c>
      <c r="J3">
        <f>(E3*2240)+(F3*112)+(G3*28)+H3</f>
        <v>0</v>
      </c>
      <c r="L3">
        <f>J3/2240</f>
        <v>0</v>
      </c>
    </row>
    <row r="4" spans="1:12" x14ac:dyDescent="0.25">
      <c r="A4">
        <v>1725</v>
      </c>
      <c r="B4" t="s">
        <v>38</v>
      </c>
      <c r="C4" t="s">
        <v>70</v>
      </c>
      <c r="D4" t="s">
        <v>33</v>
      </c>
      <c r="J4">
        <f>(E4*2240)+(F4*112)+(G4*28)+H4</f>
        <v>0</v>
      </c>
      <c r="L4">
        <f>J4/2240</f>
        <v>0</v>
      </c>
    </row>
    <row r="5" spans="1:12" x14ac:dyDescent="0.25">
      <c r="A5">
        <v>1725</v>
      </c>
      <c r="B5" t="s">
        <v>4</v>
      </c>
      <c r="C5" t="s">
        <v>70</v>
      </c>
      <c r="D5" t="s">
        <v>33</v>
      </c>
      <c r="F5">
        <v>1</v>
      </c>
      <c r="J5">
        <f>(E5*2240)+(F5*112)+(G5*28)+H5</f>
        <v>112</v>
      </c>
      <c r="L5">
        <f>J5/2240</f>
        <v>0.05</v>
      </c>
    </row>
    <row r="6" spans="1:12" x14ac:dyDescent="0.25">
      <c r="A6">
        <v>1725</v>
      </c>
      <c r="B6" t="s">
        <v>60</v>
      </c>
      <c r="C6" t="s">
        <v>70</v>
      </c>
      <c r="D6" t="s">
        <v>33</v>
      </c>
      <c r="J6">
        <f>(E6*2240)+(F6*112)+(G6*28)+H6</f>
        <v>0</v>
      </c>
      <c r="L6">
        <f>J6/2240</f>
        <v>0</v>
      </c>
    </row>
    <row r="7" spans="1:12" x14ac:dyDescent="0.25">
      <c r="A7">
        <v>1725</v>
      </c>
      <c r="B7" t="s">
        <v>71</v>
      </c>
      <c r="C7" t="s">
        <v>70</v>
      </c>
      <c r="D7" t="s">
        <v>33</v>
      </c>
      <c r="J7">
        <f t="shared" ref="J7:J32" si="0">(E7*2240)+(F7*112)+(G7*28)+H7</f>
        <v>0</v>
      </c>
      <c r="L7">
        <f t="shared" ref="L7:L30" si="1">J7/2240</f>
        <v>0</v>
      </c>
    </row>
    <row r="8" spans="1:12" x14ac:dyDescent="0.25">
      <c r="A8">
        <v>1725</v>
      </c>
      <c r="B8" t="s">
        <v>45</v>
      </c>
      <c r="C8" t="s">
        <v>70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1725</v>
      </c>
      <c r="B9" t="s">
        <v>79</v>
      </c>
      <c r="C9" t="s">
        <v>70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1725</v>
      </c>
      <c r="B10" t="s">
        <v>5</v>
      </c>
      <c r="C10" t="s">
        <v>70</v>
      </c>
      <c r="D10" t="s">
        <v>33</v>
      </c>
      <c r="H10">
        <v>8</v>
      </c>
      <c r="J10">
        <f t="shared" si="0"/>
        <v>8</v>
      </c>
      <c r="L10">
        <f t="shared" si="1"/>
        <v>3.5714285714285713E-3</v>
      </c>
    </row>
    <row r="11" spans="1:12" x14ac:dyDescent="0.25">
      <c r="A11">
        <v>1725</v>
      </c>
      <c r="B11" t="s">
        <v>61</v>
      </c>
      <c r="C11" t="s">
        <v>70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1725</v>
      </c>
      <c r="B12" t="s">
        <v>6</v>
      </c>
      <c r="C12" t="s">
        <v>70</v>
      </c>
      <c r="D12" t="s">
        <v>33</v>
      </c>
      <c r="F12">
        <v>140311</v>
      </c>
      <c r="G12">
        <v>3</v>
      </c>
      <c r="H12">
        <v>10</v>
      </c>
      <c r="J12">
        <f t="shared" si="0"/>
        <v>15714926</v>
      </c>
      <c r="L12">
        <f t="shared" si="1"/>
        <v>7015.5919642857143</v>
      </c>
    </row>
    <row r="13" spans="1:12" x14ac:dyDescent="0.25">
      <c r="A13">
        <v>1725</v>
      </c>
      <c r="B13" t="s">
        <v>111</v>
      </c>
      <c r="C13" t="s">
        <v>70</v>
      </c>
      <c r="D13" t="s">
        <v>33</v>
      </c>
      <c r="H13">
        <f>538+8993</f>
        <v>9531</v>
      </c>
      <c r="J13">
        <f t="shared" si="0"/>
        <v>9531</v>
      </c>
      <c r="L13">
        <f t="shared" si="1"/>
        <v>4.2549107142857139</v>
      </c>
    </row>
    <row r="14" spans="1:12" x14ac:dyDescent="0.25">
      <c r="A14">
        <v>1725</v>
      </c>
      <c r="B14" t="s">
        <v>62</v>
      </c>
      <c r="C14" t="s">
        <v>70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1725</v>
      </c>
      <c r="B15" t="s">
        <v>40</v>
      </c>
      <c r="C15" t="s">
        <v>70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1725</v>
      </c>
      <c r="B16" t="s">
        <v>39</v>
      </c>
      <c r="C16" t="s">
        <v>70</v>
      </c>
      <c r="D16" t="s">
        <v>33</v>
      </c>
      <c r="H16">
        <v>2812</v>
      </c>
      <c r="J16">
        <f t="shared" si="0"/>
        <v>2812</v>
      </c>
      <c r="L16">
        <f t="shared" si="1"/>
        <v>1.2553571428571428</v>
      </c>
    </row>
    <row r="17" spans="1:12" x14ac:dyDescent="0.25">
      <c r="A17">
        <v>1725</v>
      </c>
      <c r="B17" t="s">
        <v>8</v>
      </c>
      <c r="C17" t="s">
        <v>70</v>
      </c>
      <c r="D17" t="s">
        <v>33</v>
      </c>
      <c r="F17">
        <f>452+24</f>
        <v>476</v>
      </c>
      <c r="G17">
        <v>4</v>
      </c>
      <c r="H17">
        <v>29</v>
      </c>
      <c r="J17">
        <f t="shared" si="0"/>
        <v>53453</v>
      </c>
      <c r="L17">
        <f t="shared" si="1"/>
        <v>23.86294642857143</v>
      </c>
    </row>
    <row r="18" spans="1:12" x14ac:dyDescent="0.25">
      <c r="A18">
        <v>1725</v>
      </c>
      <c r="B18" t="s">
        <v>42</v>
      </c>
      <c r="C18" t="s">
        <v>70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1725</v>
      </c>
      <c r="B19" t="s">
        <v>80</v>
      </c>
      <c r="C19" t="s">
        <v>70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1725</v>
      </c>
      <c r="B20" t="s">
        <v>81</v>
      </c>
      <c r="C20" t="s">
        <v>70</v>
      </c>
      <c r="D20" t="s">
        <v>33</v>
      </c>
      <c r="H20">
        <f>72389+2369</f>
        <v>74758</v>
      </c>
      <c r="J20">
        <f t="shared" si="0"/>
        <v>74758</v>
      </c>
      <c r="L20">
        <f t="shared" si="1"/>
        <v>33.374107142857142</v>
      </c>
    </row>
    <row r="21" spans="1:12" x14ac:dyDescent="0.25">
      <c r="A21">
        <v>1725</v>
      </c>
      <c r="B21" t="s">
        <v>48</v>
      </c>
      <c r="C21" t="s">
        <v>70</v>
      </c>
      <c r="D21" t="s">
        <v>33</v>
      </c>
      <c r="H21">
        <v>700</v>
      </c>
      <c r="J21">
        <f t="shared" si="0"/>
        <v>700</v>
      </c>
      <c r="L21">
        <f t="shared" si="1"/>
        <v>0.3125</v>
      </c>
    </row>
    <row r="22" spans="1:12" x14ac:dyDescent="0.25">
      <c r="A22">
        <v>1725</v>
      </c>
      <c r="B22" t="s">
        <v>9</v>
      </c>
      <c r="C22" t="s">
        <v>70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1725</v>
      </c>
      <c r="B23" t="s">
        <v>10</v>
      </c>
      <c r="C23" t="s">
        <v>70</v>
      </c>
      <c r="D23" t="s">
        <v>33</v>
      </c>
      <c r="F23">
        <v>5017</v>
      </c>
      <c r="G23">
        <v>3</v>
      </c>
      <c r="H23">
        <v>23</v>
      </c>
      <c r="J23">
        <f t="shared" si="0"/>
        <v>562011</v>
      </c>
      <c r="L23">
        <f t="shared" si="1"/>
        <v>250.89776785714287</v>
      </c>
    </row>
    <row r="24" spans="1:12" x14ac:dyDescent="0.25">
      <c r="A24">
        <v>1725</v>
      </c>
      <c r="B24" t="s">
        <v>11</v>
      </c>
      <c r="C24" t="s">
        <v>70</v>
      </c>
      <c r="D24" t="s">
        <v>33</v>
      </c>
      <c r="F24">
        <v>99</v>
      </c>
      <c r="G24">
        <v>2</v>
      </c>
      <c r="H24">
        <v>19</v>
      </c>
      <c r="J24">
        <f t="shared" si="0"/>
        <v>11163</v>
      </c>
      <c r="L24">
        <f t="shared" si="1"/>
        <v>4.9834821428571425</v>
      </c>
    </row>
    <row r="25" spans="1:12" x14ac:dyDescent="0.25">
      <c r="A25">
        <v>1725</v>
      </c>
      <c r="B25" t="s">
        <v>41</v>
      </c>
      <c r="C25" t="s">
        <v>70</v>
      </c>
      <c r="D25" t="s">
        <v>33</v>
      </c>
      <c r="H25">
        <v>32</v>
      </c>
      <c r="J25">
        <f t="shared" si="0"/>
        <v>32</v>
      </c>
      <c r="L25">
        <f t="shared" si="1"/>
        <v>1.4285714285714285E-2</v>
      </c>
    </row>
    <row r="26" spans="1:12" x14ac:dyDescent="0.25">
      <c r="A26">
        <v>1725</v>
      </c>
      <c r="B26" t="s">
        <v>82</v>
      </c>
      <c r="C26" t="s">
        <v>70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1725</v>
      </c>
      <c r="B27" t="s">
        <v>83</v>
      </c>
      <c r="C27" t="s">
        <v>70</v>
      </c>
      <c r="D27" t="s">
        <v>33</v>
      </c>
      <c r="H27">
        <v>543</v>
      </c>
      <c r="J27">
        <f t="shared" si="0"/>
        <v>543</v>
      </c>
      <c r="L27">
        <f t="shared" si="1"/>
        <v>0.24241071428571428</v>
      </c>
    </row>
    <row r="28" spans="1:12" x14ac:dyDescent="0.25">
      <c r="A28">
        <v>1725</v>
      </c>
      <c r="B28" t="s">
        <v>46</v>
      </c>
      <c r="C28" t="s">
        <v>70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1725</v>
      </c>
      <c r="B29" t="s">
        <v>112</v>
      </c>
      <c r="C29" t="s">
        <v>70</v>
      </c>
      <c r="D29" t="s">
        <v>33</v>
      </c>
      <c r="H29">
        <v>547</v>
      </c>
      <c r="J29">
        <f t="shared" si="0"/>
        <v>547</v>
      </c>
      <c r="L29">
        <f t="shared" si="1"/>
        <v>0.24419642857142856</v>
      </c>
    </row>
    <row r="30" spans="1:12" x14ac:dyDescent="0.25">
      <c r="A30">
        <v>1725</v>
      </c>
      <c r="B30" t="s">
        <v>12</v>
      </c>
      <c r="C30" t="s">
        <v>70</v>
      </c>
      <c r="D30" t="s">
        <v>33</v>
      </c>
      <c r="H30">
        <f>1940+176184</f>
        <v>178124</v>
      </c>
      <c r="J30">
        <f t="shared" si="0"/>
        <v>178124</v>
      </c>
      <c r="L30">
        <f t="shared" si="1"/>
        <v>79.519642857142856</v>
      </c>
    </row>
    <row r="31" spans="1:12" x14ac:dyDescent="0.25">
      <c r="A31">
        <v>1725</v>
      </c>
      <c r="B31" t="s">
        <v>86</v>
      </c>
      <c r="C31" t="s">
        <v>70</v>
      </c>
      <c r="D31" t="s">
        <v>33</v>
      </c>
      <c r="J31">
        <f t="shared" si="0"/>
        <v>0</v>
      </c>
      <c r="L31">
        <f t="shared" ref="L31:L48" si="2">J31/2240</f>
        <v>0</v>
      </c>
    </row>
    <row r="32" spans="1:12" x14ac:dyDescent="0.25">
      <c r="A32">
        <v>1725</v>
      </c>
      <c r="B32" t="s">
        <v>34</v>
      </c>
      <c r="C32" t="s">
        <v>70</v>
      </c>
      <c r="D32" t="s">
        <v>33</v>
      </c>
      <c r="J32">
        <f t="shared" si="0"/>
        <v>0</v>
      </c>
      <c r="L32">
        <f t="shared" si="2"/>
        <v>0</v>
      </c>
    </row>
    <row r="33" spans="1:12" x14ac:dyDescent="0.25">
      <c r="A33">
        <v>1725</v>
      </c>
      <c r="B33" t="s">
        <v>13</v>
      </c>
      <c r="C33" t="s">
        <v>70</v>
      </c>
      <c r="D33" t="s">
        <v>33</v>
      </c>
      <c r="G33">
        <v>3</v>
      </c>
      <c r="H33">
        <v>16</v>
      </c>
      <c r="J33">
        <f t="shared" ref="J33:J48" si="3">(E33*2240)+(F33*112)+(G33*28)+H33</f>
        <v>100</v>
      </c>
      <c r="L33">
        <f t="shared" si="2"/>
        <v>4.4642857142857144E-2</v>
      </c>
    </row>
    <row r="34" spans="1:12" x14ac:dyDescent="0.25">
      <c r="A34">
        <v>1725</v>
      </c>
      <c r="B34" t="s">
        <v>14</v>
      </c>
      <c r="C34" t="s">
        <v>70</v>
      </c>
      <c r="D34" t="s">
        <v>33</v>
      </c>
      <c r="H34">
        <v>570</v>
      </c>
      <c r="I34" t="s">
        <v>113</v>
      </c>
      <c r="J34">
        <f t="shared" si="3"/>
        <v>570</v>
      </c>
      <c r="L34">
        <f t="shared" si="2"/>
        <v>0.2544642857142857</v>
      </c>
    </row>
    <row r="35" spans="1:12" x14ac:dyDescent="0.25">
      <c r="A35">
        <v>1725</v>
      </c>
      <c r="B35" t="s">
        <v>23</v>
      </c>
      <c r="C35" t="s">
        <v>70</v>
      </c>
      <c r="D35" t="s">
        <v>33</v>
      </c>
      <c r="J35">
        <f t="shared" si="3"/>
        <v>0</v>
      </c>
      <c r="L35">
        <f t="shared" si="2"/>
        <v>0</v>
      </c>
    </row>
    <row r="36" spans="1:12" x14ac:dyDescent="0.25">
      <c r="A36">
        <v>1725</v>
      </c>
      <c r="B36" t="s">
        <v>27</v>
      </c>
      <c r="C36" t="s">
        <v>70</v>
      </c>
      <c r="D36" t="s">
        <v>33</v>
      </c>
      <c r="H36">
        <v>68378</v>
      </c>
      <c r="I36" t="s">
        <v>115</v>
      </c>
      <c r="J36">
        <f t="shared" si="3"/>
        <v>68378</v>
      </c>
      <c r="L36">
        <f t="shared" si="2"/>
        <v>30.525892857142857</v>
      </c>
    </row>
    <row r="37" spans="1:12" x14ac:dyDescent="0.25">
      <c r="A37">
        <v>1725</v>
      </c>
      <c r="B37" t="s">
        <v>15</v>
      </c>
      <c r="C37" t="s">
        <v>70</v>
      </c>
      <c r="D37" t="s">
        <v>33</v>
      </c>
      <c r="J37">
        <f t="shared" si="3"/>
        <v>0</v>
      </c>
      <c r="L37">
        <f t="shared" si="2"/>
        <v>0</v>
      </c>
    </row>
    <row r="38" spans="1:12" x14ac:dyDescent="0.25">
      <c r="A38">
        <v>1725</v>
      </c>
      <c r="B38" t="s">
        <v>44</v>
      </c>
      <c r="C38" t="s">
        <v>70</v>
      </c>
      <c r="D38" t="s">
        <v>33</v>
      </c>
      <c r="J38">
        <f t="shared" si="3"/>
        <v>0</v>
      </c>
      <c r="L38">
        <f t="shared" si="2"/>
        <v>0</v>
      </c>
    </row>
    <row r="39" spans="1:12" x14ac:dyDescent="0.25">
      <c r="A39">
        <v>1725</v>
      </c>
      <c r="B39" t="s">
        <v>87</v>
      </c>
      <c r="C39" t="s">
        <v>70</v>
      </c>
      <c r="D39" t="s">
        <v>33</v>
      </c>
      <c r="J39">
        <f t="shared" si="3"/>
        <v>0</v>
      </c>
      <c r="L39">
        <f t="shared" si="2"/>
        <v>0</v>
      </c>
    </row>
    <row r="40" spans="1:12" x14ac:dyDescent="0.25">
      <c r="A40">
        <v>1725</v>
      </c>
      <c r="B40" t="s">
        <v>49</v>
      </c>
      <c r="C40" t="s">
        <v>70</v>
      </c>
      <c r="D40" t="s">
        <v>33</v>
      </c>
      <c r="H40">
        <v>300</v>
      </c>
      <c r="I40" t="s">
        <v>114</v>
      </c>
      <c r="J40">
        <f t="shared" si="3"/>
        <v>300</v>
      </c>
      <c r="L40">
        <f t="shared" si="2"/>
        <v>0.13392857142857142</v>
      </c>
    </row>
    <row r="41" spans="1:12" x14ac:dyDescent="0.25">
      <c r="A41">
        <v>1725</v>
      </c>
      <c r="B41" t="s">
        <v>16</v>
      </c>
      <c r="C41" t="s">
        <v>70</v>
      </c>
      <c r="D41" t="s">
        <v>33</v>
      </c>
      <c r="H41">
        <f>96868+58576</f>
        <v>155444</v>
      </c>
      <c r="J41">
        <f t="shared" si="3"/>
        <v>155444</v>
      </c>
      <c r="L41">
        <f t="shared" si="2"/>
        <v>69.394642857142856</v>
      </c>
    </row>
    <row r="42" spans="1:12" x14ac:dyDescent="0.25">
      <c r="A42">
        <v>1725</v>
      </c>
      <c r="B42" t="s">
        <v>17</v>
      </c>
      <c r="C42" t="s">
        <v>70</v>
      </c>
      <c r="D42" t="s">
        <v>33</v>
      </c>
      <c r="F42">
        <v>16</v>
      </c>
      <c r="H42">
        <v>19</v>
      </c>
      <c r="J42">
        <f t="shared" si="3"/>
        <v>1811</v>
      </c>
      <c r="L42">
        <f t="shared" si="2"/>
        <v>0.80848214285714282</v>
      </c>
    </row>
    <row r="43" spans="1:12" x14ac:dyDescent="0.25">
      <c r="A43">
        <v>1725</v>
      </c>
      <c r="B43" t="s">
        <v>18</v>
      </c>
      <c r="C43" t="s">
        <v>70</v>
      </c>
      <c r="D43" t="s">
        <v>33</v>
      </c>
      <c r="H43">
        <v>596193</v>
      </c>
      <c r="I43">
        <f>54946.5+4657.5</f>
        <v>59604</v>
      </c>
      <c r="J43">
        <f t="shared" si="3"/>
        <v>596193</v>
      </c>
      <c r="L43">
        <f t="shared" si="2"/>
        <v>266.15758928571427</v>
      </c>
    </row>
    <row r="44" spans="1:12" x14ac:dyDescent="0.25">
      <c r="A44">
        <v>1725</v>
      </c>
      <c r="B44" t="s">
        <v>26</v>
      </c>
      <c r="C44" t="s">
        <v>70</v>
      </c>
      <c r="D44" t="s">
        <v>33</v>
      </c>
      <c r="H44">
        <v>493</v>
      </c>
      <c r="J44">
        <f t="shared" si="3"/>
        <v>493</v>
      </c>
      <c r="L44">
        <f t="shared" si="2"/>
        <v>0.22008928571428571</v>
      </c>
    </row>
    <row r="45" spans="1:12" x14ac:dyDescent="0.25">
      <c r="A45">
        <v>1725</v>
      </c>
      <c r="B45" t="s">
        <v>88</v>
      </c>
      <c r="C45" t="s">
        <v>70</v>
      </c>
      <c r="D45" t="s">
        <v>33</v>
      </c>
      <c r="J45">
        <f t="shared" si="3"/>
        <v>0</v>
      </c>
      <c r="L45">
        <f t="shared" si="2"/>
        <v>0</v>
      </c>
    </row>
    <row r="46" spans="1:12" x14ac:dyDescent="0.25">
      <c r="A46">
        <v>1725</v>
      </c>
      <c r="B46" t="s">
        <v>19</v>
      </c>
      <c r="C46" t="s">
        <v>70</v>
      </c>
      <c r="D46" t="s">
        <v>33</v>
      </c>
      <c r="F46">
        <v>58</v>
      </c>
      <c r="G46">
        <v>2</v>
      </c>
      <c r="H46">
        <v>14</v>
      </c>
      <c r="J46">
        <f t="shared" si="3"/>
        <v>6566</v>
      </c>
      <c r="L46">
        <f t="shared" si="2"/>
        <v>2.9312499999999999</v>
      </c>
    </row>
    <row r="47" spans="1:12" x14ac:dyDescent="0.25">
      <c r="A47">
        <v>1725</v>
      </c>
      <c r="B47" t="s">
        <v>47</v>
      </c>
      <c r="C47" t="s">
        <v>70</v>
      </c>
      <c r="D47" t="s">
        <v>33</v>
      </c>
      <c r="H47">
        <f>16051+5681</f>
        <v>21732</v>
      </c>
      <c r="J47">
        <f t="shared" si="3"/>
        <v>21732</v>
      </c>
      <c r="L47">
        <f t="shared" si="2"/>
        <v>9.7017857142857142</v>
      </c>
    </row>
    <row r="48" spans="1:12" x14ac:dyDescent="0.25">
      <c r="A48">
        <v>1725</v>
      </c>
      <c r="B48" t="s">
        <v>89</v>
      </c>
      <c r="C48" t="s">
        <v>70</v>
      </c>
      <c r="D48" t="s">
        <v>33</v>
      </c>
      <c r="J48">
        <f t="shared" si="3"/>
        <v>0</v>
      </c>
      <c r="L48">
        <f t="shared" si="2"/>
        <v>0</v>
      </c>
    </row>
    <row r="49" spans="1:12" x14ac:dyDescent="0.25">
      <c r="A49">
        <v>1725</v>
      </c>
      <c r="B49" t="s">
        <v>56</v>
      </c>
      <c r="C49" t="s">
        <v>70</v>
      </c>
      <c r="D49" t="s">
        <v>33</v>
      </c>
      <c r="H49">
        <v>2039</v>
      </c>
      <c r="J49">
        <f t="shared" ref="J49:J52" si="4">(E49*2240)+(F49*112)+(G49*28)+H49</f>
        <v>2039</v>
      </c>
      <c r="L49">
        <f t="shared" ref="L49:L52" si="5">J49/2240</f>
        <v>0.91026785714285718</v>
      </c>
    </row>
    <row r="50" spans="1:12" x14ac:dyDescent="0.25">
      <c r="A50">
        <v>1725</v>
      </c>
      <c r="B50" t="s">
        <v>117</v>
      </c>
      <c r="C50" t="s">
        <v>70</v>
      </c>
      <c r="D50" t="s">
        <v>33</v>
      </c>
      <c r="H50">
        <v>617</v>
      </c>
      <c r="J50">
        <f t="shared" si="4"/>
        <v>617</v>
      </c>
      <c r="L50">
        <f t="shared" si="5"/>
        <v>0.27544642857142859</v>
      </c>
    </row>
    <row r="51" spans="1:12" x14ac:dyDescent="0.25">
      <c r="A51">
        <v>1725</v>
      </c>
      <c r="B51" t="s">
        <v>20</v>
      </c>
      <c r="C51" t="s">
        <v>70</v>
      </c>
      <c r="D51" t="s">
        <v>33</v>
      </c>
      <c r="J51">
        <f t="shared" si="4"/>
        <v>0</v>
      </c>
      <c r="L51">
        <f t="shared" si="5"/>
        <v>0</v>
      </c>
    </row>
    <row r="52" spans="1:12" x14ac:dyDescent="0.25">
      <c r="A52">
        <v>1725</v>
      </c>
      <c r="B52" t="s">
        <v>21</v>
      </c>
      <c r="C52" t="s">
        <v>70</v>
      </c>
      <c r="D52" t="s">
        <v>33</v>
      </c>
      <c r="H52">
        <v>2188</v>
      </c>
      <c r="J52">
        <f t="shared" si="4"/>
        <v>2188</v>
      </c>
      <c r="L52">
        <f t="shared" si="5"/>
        <v>0.97678571428571426</v>
      </c>
    </row>
    <row r="53" spans="1:12" x14ac:dyDescent="0.25">
      <c r="A53">
        <v>1725</v>
      </c>
      <c r="B53" t="s">
        <v>22</v>
      </c>
      <c r="C53" t="s">
        <v>70</v>
      </c>
      <c r="D53" t="s">
        <v>33</v>
      </c>
      <c r="J53">
        <f t="shared" ref="J53:J72" si="6">(E53*2240)+(F53*112)+(G53*28)+H53</f>
        <v>0</v>
      </c>
      <c r="L53">
        <f t="shared" ref="L53:L72" si="7">J53/2240</f>
        <v>0</v>
      </c>
    </row>
    <row r="54" spans="1:12" x14ac:dyDescent="0.25">
      <c r="A54">
        <v>1725</v>
      </c>
      <c r="B54" t="s">
        <v>63</v>
      </c>
      <c r="C54" t="s">
        <v>70</v>
      </c>
      <c r="D54" t="s">
        <v>33</v>
      </c>
      <c r="E54">
        <v>34</v>
      </c>
      <c r="F54">
        <v>14</v>
      </c>
      <c r="J54">
        <f t="shared" si="6"/>
        <v>77728</v>
      </c>
      <c r="L54">
        <f t="shared" si="7"/>
        <v>34.700000000000003</v>
      </c>
    </row>
    <row r="55" spans="1:12" x14ac:dyDescent="0.25">
      <c r="A55">
        <v>1725</v>
      </c>
      <c r="B55" t="s">
        <v>116</v>
      </c>
      <c r="C55" t="s">
        <v>70</v>
      </c>
      <c r="D55" t="s">
        <v>33</v>
      </c>
      <c r="E55">
        <v>42</v>
      </c>
      <c r="F55">
        <v>10</v>
      </c>
      <c r="J55">
        <f t="shared" si="6"/>
        <v>95200</v>
      </c>
      <c r="L55">
        <f t="shared" si="7"/>
        <v>42.5</v>
      </c>
    </row>
    <row r="56" spans="1:12" x14ac:dyDescent="0.25">
      <c r="A56">
        <v>1725</v>
      </c>
      <c r="B56" t="s">
        <v>90</v>
      </c>
      <c r="C56" t="s">
        <v>70</v>
      </c>
      <c r="D56" t="s">
        <v>33</v>
      </c>
      <c r="E56">
        <v>28</v>
      </c>
      <c r="F56">
        <v>2</v>
      </c>
      <c r="J56">
        <f t="shared" si="6"/>
        <v>62944</v>
      </c>
      <c r="L56">
        <f t="shared" si="7"/>
        <v>28.1</v>
      </c>
    </row>
    <row r="57" spans="1:12" x14ac:dyDescent="0.25">
      <c r="A57">
        <v>1725</v>
      </c>
      <c r="B57" t="s">
        <v>64</v>
      </c>
      <c r="C57" t="s">
        <v>70</v>
      </c>
      <c r="D57" t="s">
        <v>33</v>
      </c>
      <c r="E57">
        <v>81</v>
      </c>
      <c r="J57">
        <f t="shared" si="6"/>
        <v>181440</v>
      </c>
      <c r="L57">
        <f t="shared" si="7"/>
        <v>81</v>
      </c>
    </row>
    <row r="58" spans="1:12" x14ac:dyDescent="0.25">
      <c r="A58">
        <v>1725</v>
      </c>
      <c r="B58" t="s">
        <v>91</v>
      </c>
      <c r="C58" t="s">
        <v>70</v>
      </c>
      <c r="D58" t="s">
        <v>33</v>
      </c>
      <c r="J58">
        <f t="shared" si="6"/>
        <v>0</v>
      </c>
      <c r="L58">
        <f t="shared" si="7"/>
        <v>0</v>
      </c>
    </row>
    <row r="59" spans="1:12" x14ac:dyDescent="0.25">
      <c r="A59">
        <v>1725</v>
      </c>
      <c r="B59" t="s">
        <v>65</v>
      </c>
      <c r="C59" t="s">
        <v>70</v>
      </c>
      <c r="D59" t="s">
        <v>33</v>
      </c>
      <c r="E59">
        <v>636</v>
      </c>
      <c r="F59">
        <v>1</v>
      </c>
      <c r="H59">
        <v>14</v>
      </c>
      <c r="J59">
        <f t="shared" si="6"/>
        <v>1424766</v>
      </c>
      <c r="L59">
        <f t="shared" si="7"/>
        <v>636.05624999999998</v>
      </c>
    </row>
    <row r="60" spans="1:12" x14ac:dyDescent="0.25">
      <c r="A60">
        <v>1725</v>
      </c>
      <c r="B60" t="s">
        <v>92</v>
      </c>
      <c r="C60" t="s">
        <v>70</v>
      </c>
      <c r="D60" t="s">
        <v>33</v>
      </c>
      <c r="E60">
        <v>317</v>
      </c>
      <c r="F60">
        <v>17</v>
      </c>
      <c r="G60">
        <v>1</v>
      </c>
      <c r="H60">
        <v>18</v>
      </c>
      <c r="J60">
        <f t="shared" si="6"/>
        <v>712030</v>
      </c>
      <c r="L60">
        <f t="shared" si="7"/>
        <v>317.87053571428572</v>
      </c>
    </row>
    <row r="61" spans="1:12" x14ac:dyDescent="0.25">
      <c r="A61">
        <v>1725</v>
      </c>
      <c r="B61" t="s">
        <v>73</v>
      </c>
      <c r="C61" t="s">
        <v>70</v>
      </c>
      <c r="D61" t="s">
        <v>33</v>
      </c>
      <c r="E61">
        <v>135</v>
      </c>
      <c r="F61">
        <v>12</v>
      </c>
      <c r="H61">
        <v>7</v>
      </c>
      <c r="J61">
        <f t="shared" si="6"/>
        <v>303751</v>
      </c>
      <c r="L61">
        <f t="shared" si="7"/>
        <v>135.60312500000001</v>
      </c>
    </row>
    <row r="62" spans="1:12" x14ac:dyDescent="0.25">
      <c r="A62">
        <v>1725</v>
      </c>
      <c r="B62" t="s">
        <v>66</v>
      </c>
      <c r="C62" t="s">
        <v>70</v>
      </c>
      <c r="D62" t="s">
        <v>33</v>
      </c>
      <c r="E62">
        <v>14</v>
      </c>
      <c r="F62">
        <v>16</v>
      </c>
      <c r="G62">
        <v>2</v>
      </c>
      <c r="H62">
        <v>5</v>
      </c>
      <c r="J62">
        <f t="shared" si="6"/>
        <v>33213</v>
      </c>
      <c r="L62">
        <f t="shared" si="7"/>
        <v>14.827232142857143</v>
      </c>
    </row>
    <row r="63" spans="1:12" x14ac:dyDescent="0.25">
      <c r="A63">
        <v>1725</v>
      </c>
      <c r="B63" t="s">
        <v>67</v>
      </c>
      <c r="C63" t="s">
        <v>70</v>
      </c>
      <c r="D63" t="s">
        <v>33</v>
      </c>
      <c r="E63">
        <v>41</v>
      </c>
      <c r="J63">
        <f t="shared" si="6"/>
        <v>91840</v>
      </c>
      <c r="L63">
        <f t="shared" si="7"/>
        <v>41</v>
      </c>
    </row>
    <row r="64" spans="1:12" x14ac:dyDescent="0.25">
      <c r="A64">
        <v>1725</v>
      </c>
      <c r="B64" t="s">
        <v>57</v>
      </c>
      <c r="C64" t="s">
        <v>70</v>
      </c>
      <c r="D64" t="s">
        <v>35</v>
      </c>
      <c r="J64">
        <f t="shared" si="6"/>
        <v>0</v>
      </c>
      <c r="L64">
        <f t="shared" si="7"/>
        <v>0</v>
      </c>
    </row>
    <row r="65" spans="1:12" x14ac:dyDescent="0.25">
      <c r="A65">
        <v>1725</v>
      </c>
      <c r="B65" t="s">
        <v>59</v>
      </c>
      <c r="C65" t="s">
        <v>70</v>
      </c>
      <c r="D65" t="s">
        <v>35</v>
      </c>
      <c r="J65">
        <f t="shared" si="6"/>
        <v>0</v>
      </c>
      <c r="L65">
        <f t="shared" si="7"/>
        <v>0</v>
      </c>
    </row>
    <row r="66" spans="1:12" x14ac:dyDescent="0.25">
      <c r="A66">
        <v>1725</v>
      </c>
      <c r="B66" t="s">
        <v>38</v>
      </c>
      <c r="C66" t="s">
        <v>70</v>
      </c>
      <c r="D66" t="s">
        <v>35</v>
      </c>
      <c r="J66">
        <f t="shared" si="6"/>
        <v>0</v>
      </c>
      <c r="L66">
        <f t="shared" si="7"/>
        <v>0</v>
      </c>
    </row>
    <row r="67" spans="1:12" x14ac:dyDescent="0.25">
      <c r="A67">
        <v>1725</v>
      </c>
      <c r="B67" t="s">
        <v>4</v>
      </c>
      <c r="C67" t="s">
        <v>70</v>
      </c>
      <c r="D67" t="s">
        <v>35</v>
      </c>
      <c r="J67">
        <f t="shared" si="6"/>
        <v>0</v>
      </c>
      <c r="L67">
        <f t="shared" si="7"/>
        <v>0</v>
      </c>
    </row>
    <row r="68" spans="1:12" x14ac:dyDescent="0.25">
      <c r="A68">
        <v>1725</v>
      </c>
      <c r="B68" t="s">
        <v>60</v>
      </c>
      <c r="C68" t="s">
        <v>70</v>
      </c>
      <c r="D68" t="s">
        <v>35</v>
      </c>
      <c r="J68">
        <f t="shared" si="6"/>
        <v>0</v>
      </c>
      <c r="L68">
        <f t="shared" si="7"/>
        <v>0</v>
      </c>
    </row>
    <row r="69" spans="1:12" x14ac:dyDescent="0.25">
      <c r="A69">
        <v>1725</v>
      </c>
      <c r="B69" t="s">
        <v>71</v>
      </c>
      <c r="C69" t="s">
        <v>70</v>
      </c>
      <c r="D69" t="s">
        <v>35</v>
      </c>
      <c r="J69">
        <f t="shared" si="6"/>
        <v>0</v>
      </c>
      <c r="L69">
        <f t="shared" si="7"/>
        <v>0</v>
      </c>
    </row>
    <row r="70" spans="1:12" x14ac:dyDescent="0.25">
      <c r="A70">
        <v>1725</v>
      </c>
      <c r="B70" t="s">
        <v>45</v>
      </c>
      <c r="C70" t="s">
        <v>70</v>
      </c>
      <c r="D70" t="s">
        <v>35</v>
      </c>
      <c r="J70">
        <f t="shared" si="6"/>
        <v>0</v>
      </c>
      <c r="L70">
        <f t="shared" si="7"/>
        <v>0</v>
      </c>
    </row>
    <row r="71" spans="1:12" x14ac:dyDescent="0.25">
      <c r="A71">
        <v>1725</v>
      </c>
      <c r="B71" t="s">
        <v>79</v>
      </c>
      <c r="C71" t="s">
        <v>70</v>
      </c>
      <c r="D71" t="s">
        <v>35</v>
      </c>
      <c r="J71">
        <f t="shared" si="6"/>
        <v>0</v>
      </c>
      <c r="L71">
        <f t="shared" si="7"/>
        <v>0</v>
      </c>
    </row>
    <row r="72" spans="1:12" x14ac:dyDescent="0.25">
      <c r="A72">
        <v>1725</v>
      </c>
      <c r="B72" t="s">
        <v>5</v>
      </c>
      <c r="C72" t="s">
        <v>70</v>
      </c>
      <c r="D72" t="s">
        <v>35</v>
      </c>
      <c r="F72">
        <v>40</v>
      </c>
      <c r="J72">
        <f t="shared" si="6"/>
        <v>4480</v>
      </c>
      <c r="L72">
        <f t="shared" si="7"/>
        <v>2</v>
      </c>
    </row>
    <row r="73" spans="1:12" x14ac:dyDescent="0.25">
      <c r="A73">
        <v>1725</v>
      </c>
      <c r="B73" t="s">
        <v>61</v>
      </c>
      <c r="C73" t="s">
        <v>70</v>
      </c>
      <c r="D73" t="s">
        <v>35</v>
      </c>
      <c r="J73">
        <f t="shared" ref="J73:J126" si="8">(E73*2240)+(F73*112)+(G73*28)+H73</f>
        <v>0</v>
      </c>
      <c r="L73">
        <f t="shared" ref="L73:L126" si="9">J73/2240</f>
        <v>0</v>
      </c>
    </row>
    <row r="74" spans="1:12" x14ac:dyDescent="0.25">
      <c r="A74">
        <v>1725</v>
      </c>
      <c r="B74" t="s">
        <v>6</v>
      </c>
      <c r="C74" t="s">
        <v>70</v>
      </c>
      <c r="D74" t="s">
        <v>35</v>
      </c>
      <c r="F74">
        <v>98534</v>
      </c>
      <c r="G74">
        <v>1</v>
      </c>
      <c r="H74">
        <v>2</v>
      </c>
      <c r="J74">
        <f t="shared" si="8"/>
        <v>11035838</v>
      </c>
      <c r="L74">
        <f t="shared" si="9"/>
        <v>4926.7133928571429</v>
      </c>
    </row>
    <row r="75" spans="1:12" x14ac:dyDescent="0.25">
      <c r="A75">
        <v>1725</v>
      </c>
      <c r="B75" t="s">
        <v>62</v>
      </c>
      <c r="C75" t="s">
        <v>70</v>
      </c>
      <c r="D75" t="s">
        <v>35</v>
      </c>
      <c r="J75">
        <f t="shared" si="8"/>
        <v>0</v>
      </c>
      <c r="L75">
        <f t="shared" si="9"/>
        <v>0</v>
      </c>
    </row>
    <row r="76" spans="1:12" x14ac:dyDescent="0.25">
      <c r="A76">
        <v>1725</v>
      </c>
      <c r="B76" t="s">
        <v>40</v>
      </c>
      <c r="C76" t="s">
        <v>70</v>
      </c>
      <c r="D76" t="s">
        <v>35</v>
      </c>
      <c r="J76">
        <f t="shared" si="8"/>
        <v>0</v>
      </c>
      <c r="L76">
        <f t="shared" si="9"/>
        <v>0</v>
      </c>
    </row>
    <row r="77" spans="1:12" x14ac:dyDescent="0.25">
      <c r="A77">
        <v>1725</v>
      </c>
      <c r="B77" t="s">
        <v>39</v>
      </c>
      <c r="C77" t="s">
        <v>70</v>
      </c>
      <c r="D77" t="s">
        <v>35</v>
      </c>
      <c r="J77">
        <f t="shared" si="8"/>
        <v>0</v>
      </c>
      <c r="L77">
        <f t="shared" si="9"/>
        <v>0</v>
      </c>
    </row>
    <row r="78" spans="1:12" x14ac:dyDescent="0.25">
      <c r="A78">
        <v>1725</v>
      </c>
      <c r="B78" t="s">
        <v>8</v>
      </c>
      <c r="C78" t="s">
        <v>70</v>
      </c>
      <c r="D78" t="s">
        <v>35</v>
      </c>
      <c r="F78">
        <f>19+3</f>
        <v>22</v>
      </c>
      <c r="G78">
        <v>4</v>
      </c>
      <c r="H78">
        <v>18</v>
      </c>
      <c r="J78">
        <f t="shared" si="8"/>
        <v>2594</v>
      </c>
      <c r="L78">
        <f t="shared" si="9"/>
        <v>1.1580357142857143</v>
      </c>
    </row>
    <row r="79" spans="1:12" x14ac:dyDescent="0.25">
      <c r="A79">
        <v>1725</v>
      </c>
      <c r="B79" t="s">
        <v>42</v>
      </c>
      <c r="C79" t="s">
        <v>70</v>
      </c>
      <c r="D79" t="s">
        <v>35</v>
      </c>
      <c r="J79">
        <f t="shared" si="8"/>
        <v>0</v>
      </c>
      <c r="L79">
        <f t="shared" si="9"/>
        <v>0</v>
      </c>
    </row>
    <row r="80" spans="1:12" x14ac:dyDescent="0.25">
      <c r="A80">
        <v>1725</v>
      </c>
      <c r="B80" t="s">
        <v>80</v>
      </c>
      <c r="C80" t="s">
        <v>70</v>
      </c>
      <c r="D80" t="s">
        <v>35</v>
      </c>
      <c r="J80">
        <f t="shared" si="8"/>
        <v>0</v>
      </c>
      <c r="L80">
        <f t="shared" si="9"/>
        <v>0</v>
      </c>
    </row>
    <row r="81" spans="1:12" x14ac:dyDescent="0.25">
      <c r="A81">
        <v>1725</v>
      </c>
      <c r="B81" t="s">
        <v>81</v>
      </c>
      <c r="C81" t="s">
        <v>70</v>
      </c>
      <c r="D81" t="s">
        <v>35</v>
      </c>
      <c r="H81">
        <v>157</v>
      </c>
      <c r="J81">
        <f t="shared" si="8"/>
        <v>157</v>
      </c>
      <c r="L81">
        <f t="shared" si="9"/>
        <v>7.0089285714285715E-2</v>
      </c>
    </row>
    <row r="82" spans="1:12" x14ac:dyDescent="0.25">
      <c r="A82">
        <v>1725</v>
      </c>
      <c r="B82" t="s">
        <v>48</v>
      </c>
      <c r="C82" t="s">
        <v>70</v>
      </c>
      <c r="D82" t="s">
        <v>35</v>
      </c>
      <c r="J82">
        <f t="shared" si="8"/>
        <v>0</v>
      </c>
      <c r="L82">
        <f t="shared" si="9"/>
        <v>0</v>
      </c>
    </row>
    <row r="83" spans="1:12" x14ac:dyDescent="0.25">
      <c r="A83">
        <v>1725</v>
      </c>
      <c r="B83" t="s">
        <v>9</v>
      </c>
      <c r="C83" t="s">
        <v>70</v>
      </c>
      <c r="D83" t="s">
        <v>35</v>
      </c>
      <c r="F83">
        <v>2958</v>
      </c>
      <c r="G83">
        <v>1</v>
      </c>
      <c r="J83">
        <f t="shared" si="8"/>
        <v>331324</v>
      </c>
      <c r="L83">
        <f t="shared" si="9"/>
        <v>147.91249999999999</v>
      </c>
    </row>
    <row r="84" spans="1:12" x14ac:dyDescent="0.25">
      <c r="A84">
        <v>1725</v>
      </c>
      <c r="B84" t="s">
        <v>10</v>
      </c>
      <c r="C84" t="s">
        <v>70</v>
      </c>
      <c r="D84" t="s">
        <v>35</v>
      </c>
      <c r="F84">
        <v>5688</v>
      </c>
      <c r="G84">
        <v>3</v>
      </c>
      <c r="H84">
        <v>13</v>
      </c>
      <c r="J84">
        <f t="shared" si="8"/>
        <v>637153</v>
      </c>
      <c r="L84">
        <f t="shared" si="9"/>
        <v>284.44330357142854</v>
      </c>
    </row>
    <row r="85" spans="1:12" x14ac:dyDescent="0.25">
      <c r="A85">
        <v>1725</v>
      </c>
      <c r="B85" t="s">
        <v>11</v>
      </c>
      <c r="C85" t="s">
        <v>70</v>
      </c>
      <c r="D85" t="s">
        <v>35</v>
      </c>
      <c r="F85">
        <v>159</v>
      </c>
      <c r="G85">
        <v>3</v>
      </c>
      <c r="H85">
        <v>27</v>
      </c>
      <c r="J85">
        <f t="shared" si="8"/>
        <v>17919</v>
      </c>
      <c r="L85">
        <f t="shared" si="9"/>
        <v>7.9995535714285717</v>
      </c>
    </row>
    <row r="86" spans="1:12" x14ac:dyDescent="0.25">
      <c r="A86">
        <v>1725</v>
      </c>
      <c r="B86" t="s">
        <v>41</v>
      </c>
      <c r="C86" t="s">
        <v>70</v>
      </c>
      <c r="D86" t="s">
        <v>35</v>
      </c>
      <c r="J86">
        <f t="shared" si="8"/>
        <v>0</v>
      </c>
      <c r="L86">
        <f t="shared" si="9"/>
        <v>0</v>
      </c>
    </row>
    <row r="87" spans="1:12" x14ac:dyDescent="0.25">
      <c r="A87">
        <v>1725</v>
      </c>
      <c r="B87" t="s">
        <v>82</v>
      </c>
      <c r="C87" t="s">
        <v>70</v>
      </c>
      <c r="D87" t="s">
        <v>35</v>
      </c>
      <c r="J87">
        <f t="shared" si="8"/>
        <v>0</v>
      </c>
      <c r="L87">
        <f t="shared" si="9"/>
        <v>0</v>
      </c>
    </row>
    <row r="88" spans="1:12" x14ac:dyDescent="0.25">
      <c r="A88">
        <v>1725</v>
      </c>
      <c r="B88" t="s">
        <v>83</v>
      </c>
      <c r="C88" t="s">
        <v>70</v>
      </c>
      <c r="D88" t="s">
        <v>35</v>
      </c>
      <c r="H88">
        <v>28</v>
      </c>
      <c r="J88">
        <f t="shared" si="8"/>
        <v>28</v>
      </c>
      <c r="L88">
        <f t="shared" si="9"/>
        <v>1.2500000000000001E-2</v>
      </c>
    </row>
    <row r="89" spans="1:12" x14ac:dyDescent="0.25">
      <c r="A89">
        <v>1725</v>
      </c>
      <c r="B89" t="s">
        <v>46</v>
      </c>
      <c r="C89" t="s">
        <v>70</v>
      </c>
      <c r="D89" t="s">
        <v>35</v>
      </c>
      <c r="J89">
        <f t="shared" si="8"/>
        <v>0</v>
      </c>
      <c r="L89">
        <f t="shared" si="9"/>
        <v>0</v>
      </c>
    </row>
    <row r="90" spans="1:12" x14ac:dyDescent="0.25">
      <c r="A90">
        <v>1725</v>
      </c>
      <c r="B90" t="s">
        <v>112</v>
      </c>
      <c r="C90" t="s">
        <v>70</v>
      </c>
      <c r="D90" t="s">
        <v>35</v>
      </c>
      <c r="H90">
        <v>755</v>
      </c>
      <c r="J90">
        <f t="shared" si="8"/>
        <v>755</v>
      </c>
      <c r="L90">
        <f t="shared" si="9"/>
        <v>0.33705357142857145</v>
      </c>
    </row>
    <row r="91" spans="1:12" x14ac:dyDescent="0.25">
      <c r="A91">
        <v>1725</v>
      </c>
      <c r="B91" t="s">
        <v>12</v>
      </c>
      <c r="C91" t="s">
        <v>70</v>
      </c>
      <c r="D91" t="s">
        <v>35</v>
      </c>
      <c r="J91">
        <f t="shared" si="8"/>
        <v>0</v>
      </c>
      <c r="L91">
        <f t="shared" si="9"/>
        <v>0</v>
      </c>
    </row>
    <row r="92" spans="1:12" x14ac:dyDescent="0.25">
      <c r="A92">
        <v>1725</v>
      </c>
      <c r="B92" t="s">
        <v>86</v>
      </c>
      <c r="C92" t="s">
        <v>70</v>
      </c>
      <c r="D92" t="s">
        <v>35</v>
      </c>
      <c r="H92">
        <f>804+62289</f>
        <v>63093</v>
      </c>
      <c r="J92">
        <f t="shared" si="8"/>
        <v>63093</v>
      </c>
      <c r="L92">
        <f t="shared" si="9"/>
        <v>28.166517857142857</v>
      </c>
    </row>
    <row r="93" spans="1:12" x14ac:dyDescent="0.25">
      <c r="A93">
        <v>1725</v>
      </c>
      <c r="B93" t="s">
        <v>34</v>
      </c>
      <c r="C93" t="s">
        <v>70</v>
      </c>
      <c r="D93" t="s">
        <v>35</v>
      </c>
      <c r="J93">
        <f t="shared" si="8"/>
        <v>0</v>
      </c>
      <c r="L93">
        <f t="shared" si="9"/>
        <v>0</v>
      </c>
    </row>
    <row r="94" spans="1:12" x14ac:dyDescent="0.25">
      <c r="A94">
        <v>1725</v>
      </c>
      <c r="B94" t="s">
        <v>13</v>
      </c>
      <c r="C94" t="s">
        <v>70</v>
      </c>
      <c r="D94" t="s">
        <v>35</v>
      </c>
      <c r="F94">
        <v>484</v>
      </c>
      <c r="G94">
        <v>1</v>
      </c>
      <c r="H94">
        <v>2</v>
      </c>
      <c r="J94">
        <f t="shared" si="8"/>
        <v>54238</v>
      </c>
      <c r="L94">
        <f t="shared" si="9"/>
        <v>24.213392857142857</v>
      </c>
    </row>
    <row r="95" spans="1:12" x14ac:dyDescent="0.25">
      <c r="A95">
        <v>1725</v>
      </c>
      <c r="B95" t="s">
        <v>14</v>
      </c>
      <c r="C95" t="s">
        <v>70</v>
      </c>
      <c r="D95" t="s">
        <v>35</v>
      </c>
      <c r="H95">
        <v>13568</v>
      </c>
      <c r="I95">
        <f>593+763.5</f>
        <v>1356.5</v>
      </c>
      <c r="J95">
        <f t="shared" si="8"/>
        <v>13568</v>
      </c>
      <c r="L95">
        <f t="shared" si="9"/>
        <v>6.0571428571428569</v>
      </c>
    </row>
    <row r="96" spans="1:12" x14ac:dyDescent="0.25">
      <c r="A96">
        <v>1725</v>
      </c>
      <c r="B96" t="s">
        <v>23</v>
      </c>
      <c r="C96" t="s">
        <v>70</v>
      </c>
      <c r="D96" t="s">
        <v>35</v>
      </c>
      <c r="J96">
        <f t="shared" si="8"/>
        <v>0</v>
      </c>
      <c r="L96">
        <f t="shared" si="9"/>
        <v>0</v>
      </c>
    </row>
    <row r="97" spans="1:12" x14ac:dyDescent="0.25">
      <c r="A97">
        <v>1725</v>
      </c>
      <c r="B97" t="s">
        <v>27</v>
      </c>
      <c r="C97" t="s">
        <v>70</v>
      </c>
      <c r="D97" t="s">
        <v>35</v>
      </c>
      <c r="H97">
        <v>13213</v>
      </c>
      <c r="I97" t="s">
        <v>136</v>
      </c>
      <c r="J97">
        <f t="shared" si="8"/>
        <v>13213</v>
      </c>
      <c r="L97">
        <f t="shared" si="9"/>
        <v>5.8986607142857146</v>
      </c>
    </row>
    <row r="98" spans="1:12" x14ac:dyDescent="0.25">
      <c r="A98">
        <v>1725</v>
      </c>
      <c r="B98" t="s">
        <v>15</v>
      </c>
      <c r="C98" t="s">
        <v>70</v>
      </c>
      <c r="D98" t="s">
        <v>35</v>
      </c>
      <c r="J98">
        <f t="shared" si="8"/>
        <v>0</v>
      </c>
      <c r="L98">
        <f t="shared" si="9"/>
        <v>0</v>
      </c>
    </row>
    <row r="99" spans="1:12" x14ac:dyDescent="0.25">
      <c r="A99">
        <v>1725</v>
      </c>
      <c r="B99" t="s">
        <v>97</v>
      </c>
      <c r="C99" t="s">
        <v>70</v>
      </c>
      <c r="D99" t="s">
        <v>35</v>
      </c>
      <c r="J99">
        <f t="shared" si="8"/>
        <v>0</v>
      </c>
      <c r="L99">
        <f t="shared" si="9"/>
        <v>0</v>
      </c>
    </row>
    <row r="100" spans="1:12" x14ac:dyDescent="0.25">
      <c r="A100">
        <v>1725</v>
      </c>
      <c r="B100" t="s">
        <v>44</v>
      </c>
      <c r="C100" t="s">
        <v>70</v>
      </c>
      <c r="D100" t="s">
        <v>35</v>
      </c>
      <c r="J100">
        <f t="shared" si="8"/>
        <v>0</v>
      </c>
      <c r="L100">
        <f t="shared" si="9"/>
        <v>0</v>
      </c>
    </row>
    <row r="101" spans="1:12" x14ac:dyDescent="0.25">
      <c r="A101">
        <v>1725</v>
      </c>
      <c r="B101" t="s">
        <v>87</v>
      </c>
      <c r="C101" t="s">
        <v>70</v>
      </c>
      <c r="D101" t="s">
        <v>35</v>
      </c>
      <c r="J101">
        <f t="shared" si="8"/>
        <v>0</v>
      </c>
      <c r="L101">
        <f t="shared" si="9"/>
        <v>0</v>
      </c>
    </row>
    <row r="102" spans="1:12" x14ac:dyDescent="0.25">
      <c r="A102">
        <v>1725</v>
      </c>
      <c r="B102" t="s">
        <v>49</v>
      </c>
      <c r="C102" t="s">
        <v>70</v>
      </c>
      <c r="D102" t="s">
        <v>35</v>
      </c>
      <c r="J102">
        <f t="shared" si="8"/>
        <v>0</v>
      </c>
      <c r="L102">
        <f t="shared" si="9"/>
        <v>0</v>
      </c>
    </row>
    <row r="103" spans="1:12" x14ac:dyDescent="0.25">
      <c r="A103">
        <v>1725</v>
      </c>
      <c r="B103" t="s">
        <v>16</v>
      </c>
      <c r="C103" t="s">
        <v>70</v>
      </c>
      <c r="D103" t="s">
        <v>35</v>
      </c>
      <c r="H103">
        <f>82714+38729</f>
        <v>121443</v>
      </c>
      <c r="J103">
        <f t="shared" si="8"/>
        <v>121443</v>
      </c>
      <c r="L103">
        <f t="shared" si="9"/>
        <v>54.215625000000003</v>
      </c>
    </row>
    <row r="104" spans="1:12" x14ac:dyDescent="0.25">
      <c r="A104">
        <v>1725</v>
      </c>
      <c r="B104" t="s">
        <v>17</v>
      </c>
      <c r="C104" t="s">
        <v>70</v>
      </c>
      <c r="D104" t="s">
        <v>35</v>
      </c>
      <c r="J104">
        <f t="shared" si="8"/>
        <v>0</v>
      </c>
      <c r="L104">
        <f t="shared" si="9"/>
        <v>0</v>
      </c>
    </row>
    <row r="105" spans="1:12" x14ac:dyDescent="0.25">
      <c r="A105">
        <v>1725</v>
      </c>
      <c r="B105" t="s">
        <v>18</v>
      </c>
      <c r="C105" t="s">
        <v>70</v>
      </c>
      <c r="D105" t="s">
        <v>35</v>
      </c>
      <c r="H105">
        <v>102626</v>
      </c>
      <c r="I105" t="s">
        <v>137</v>
      </c>
      <c r="J105">
        <f t="shared" si="8"/>
        <v>102626</v>
      </c>
      <c r="L105">
        <f t="shared" si="9"/>
        <v>45.815178571428568</v>
      </c>
    </row>
    <row r="106" spans="1:12" x14ac:dyDescent="0.25">
      <c r="A106">
        <v>1725</v>
      </c>
      <c r="B106" t="s">
        <v>26</v>
      </c>
      <c r="C106" t="s">
        <v>70</v>
      </c>
      <c r="D106" t="s">
        <v>35</v>
      </c>
      <c r="J106">
        <f t="shared" si="8"/>
        <v>0</v>
      </c>
      <c r="L106">
        <f t="shared" si="9"/>
        <v>0</v>
      </c>
    </row>
    <row r="107" spans="1:12" x14ac:dyDescent="0.25">
      <c r="A107">
        <v>1725</v>
      </c>
      <c r="B107" t="s">
        <v>88</v>
      </c>
      <c r="C107" t="s">
        <v>70</v>
      </c>
      <c r="D107" t="s">
        <v>35</v>
      </c>
      <c r="J107">
        <f t="shared" si="8"/>
        <v>0</v>
      </c>
      <c r="L107">
        <f t="shared" si="9"/>
        <v>0</v>
      </c>
    </row>
    <row r="108" spans="1:12" x14ac:dyDescent="0.25">
      <c r="A108">
        <v>1725</v>
      </c>
      <c r="B108" t="s">
        <v>19</v>
      </c>
      <c r="C108" t="s">
        <v>70</v>
      </c>
      <c r="D108" t="s">
        <v>35</v>
      </c>
      <c r="F108">
        <v>11</v>
      </c>
      <c r="G108">
        <v>3</v>
      </c>
      <c r="H108">
        <v>6</v>
      </c>
      <c r="J108">
        <f t="shared" si="8"/>
        <v>1322</v>
      </c>
      <c r="L108">
        <f t="shared" si="9"/>
        <v>0.59017857142857144</v>
      </c>
    </row>
    <row r="109" spans="1:12" x14ac:dyDescent="0.25">
      <c r="A109">
        <v>1725</v>
      </c>
      <c r="B109" t="s">
        <v>47</v>
      </c>
      <c r="C109" t="s">
        <v>70</v>
      </c>
      <c r="D109" t="s">
        <v>35</v>
      </c>
      <c r="J109">
        <f t="shared" si="8"/>
        <v>0</v>
      </c>
      <c r="L109">
        <f t="shared" si="9"/>
        <v>0</v>
      </c>
    </row>
    <row r="110" spans="1:12" x14ac:dyDescent="0.25">
      <c r="A110">
        <v>1725</v>
      </c>
      <c r="B110" t="s">
        <v>89</v>
      </c>
      <c r="C110" t="s">
        <v>70</v>
      </c>
      <c r="D110" t="s">
        <v>35</v>
      </c>
      <c r="J110">
        <f t="shared" si="8"/>
        <v>0</v>
      </c>
      <c r="L110">
        <f t="shared" si="9"/>
        <v>0</v>
      </c>
    </row>
    <row r="111" spans="1:12" x14ac:dyDescent="0.25">
      <c r="A111">
        <v>1725</v>
      </c>
      <c r="B111" t="s">
        <v>56</v>
      </c>
      <c r="C111" t="s">
        <v>70</v>
      </c>
      <c r="D111" t="s">
        <v>35</v>
      </c>
      <c r="H111">
        <v>68</v>
      </c>
      <c r="J111">
        <f t="shared" si="8"/>
        <v>68</v>
      </c>
      <c r="L111">
        <f t="shared" si="9"/>
        <v>3.0357142857142857E-2</v>
      </c>
    </row>
    <row r="112" spans="1:12" x14ac:dyDescent="0.25">
      <c r="A112">
        <v>1725</v>
      </c>
      <c r="B112" t="s">
        <v>117</v>
      </c>
      <c r="C112" t="s">
        <v>70</v>
      </c>
      <c r="D112" t="s">
        <v>35</v>
      </c>
      <c r="J112">
        <f t="shared" si="8"/>
        <v>0</v>
      </c>
      <c r="L112">
        <f t="shared" si="9"/>
        <v>0</v>
      </c>
    </row>
    <row r="113" spans="1:12" x14ac:dyDescent="0.25">
      <c r="A113">
        <v>1725</v>
      </c>
      <c r="B113" t="s">
        <v>20</v>
      </c>
      <c r="C113" t="s">
        <v>70</v>
      </c>
      <c r="D113" t="s">
        <v>35</v>
      </c>
      <c r="H113">
        <v>2700</v>
      </c>
      <c r="J113">
        <f t="shared" si="8"/>
        <v>2700</v>
      </c>
      <c r="L113">
        <f t="shared" si="9"/>
        <v>1.2053571428571428</v>
      </c>
    </row>
    <row r="114" spans="1:12" x14ac:dyDescent="0.25">
      <c r="A114">
        <v>1725</v>
      </c>
      <c r="B114" t="s">
        <v>21</v>
      </c>
      <c r="C114" t="s">
        <v>70</v>
      </c>
      <c r="D114" t="s">
        <v>35</v>
      </c>
      <c r="H114">
        <f>909+266</f>
        <v>1175</v>
      </c>
      <c r="J114">
        <f t="shared" si="8"/>
        <v>1175</v>
      </c>
      <c r="L114">
        <f t="shared" si="9"/>
        <v>0.5245535714285714</v>
      </c>
    </row>
    <row r="115" spans="1:12" x14ac:dyDescent="0.25">
      <c r="A115">
        <v>1725</v>
      </c>
      <c r="B115" t="s">
        <v>22</v>
      </c>
      <c r="C115" t="s">
        <v>70</v>
      </c>
      <c r="D115" t="s">
        <v>35</v>
      </c>
      <c r="J115">
        <f t="shared" si="8"/>
        <v>0</v>
      </c>
      <c r="L115">
        <f t="shared" si="9"/>
        <v>0</v>
      </c>
    </row>
    <row r="116" spans="1:12" x14ac:dyDescent="0.25">
      <c r="A116">
        <v>1725</v>
      </c>
      <c r="B116" t="s">
        <v>63</v>
      </c>
      <c r="C116" t="s">
        <v>70</v>
      </c>
      <c r="D116" t="s">
        <v>35</v>
      </c>
      <c r="J116">
        <f t="shared" si="8"/>
        <v>0</v>
      </c>
      <c r="L116">
        <f t="shared" si="9"/>
        <v>0</v>
      </c>
    </row>
    <row r="117" spans="1:12" x14ac:dyDescent="0.25">
      <c r="A117">
        <v>1725</v>
      </c>
      <c r="B117" t="s">
        <v>95</v>
      </c>
      <c r="C117" t="s">
        <v>70</v>
      </c>
      <c r="D117" t="s">
        <v>35</v>
      </c>
      <c r="J117">
        <f t="shared" si="8"/>
        <v>0</v>
      </c>
      <c r="L117">
        <f t="shared" si="9"/>
        <v>0</v>
      </c>
    </row>
    <row r="118" spans="1:12" x14ac:dyDescent="0.25">
      <c r="A118">
        <v>1725</v>
      </c>
      <c r="B118" t="s">
        <v>116</v>
      </c>
      <c r="C118" t="s">
        <v>70</v>
      </c>
      <c r="D118" t="s">
        <v>35</v>
      </c>
      <c r="E118">
        <v>3</v>
      </c>
      <c r="J118">
        <f t="shared" si="8"/>
        <v>6720</v>
      </c>
      <c r="L118">
        <f t="shared" si="9"/>
        <v>3</v>
      </c>
    </row>
    <row r="119" spans="1:12" x14ac:dyDescent="0.25">
      <c r="A119">
        <v>1725</v>
      </c>
      <c r="B119" t="s">
        <v>90</v>
      </c>
      <c r="C119" t="s">
        <v>70</v>
      </c>
      <c r="D119" t="s">
        <v>35</v>
      </c>
      <c r="E119">
        <v>9</v>
      </c>
      <c r="J119">
        <f t="shared" si="8"/>
        <v>20160</v>
      </c>
      <c r="L119">
        <f t="shared" si="9"/>
        <v>9</v>
      </c>
    </row>
    <row r="120" spans="1:12" x14ac:dyDescent="0.25">
      <c r="A120">
        <v>1725</v>
      </c>
      <c r="B120" t="s">
        <v>64</v>
      </c>
      <c r="C120" t="s">
        <v>70</v>
      </c>
      <c r="D120" t="s">
        <v>35</v>
      </c>
      <c r="E120">
        <v>146</v>
      </c>
      <c r="F120">
        <v>18</v>
      </c>
      <c r="G120">
        <v>3</v>
      </c>
      <c r="H120">
        <v>20</v>
      </c>
      <c r="J120">
        <f t="shared" si="8"/>
        <v>329160</v>
      </c>
      <c r="L120">
        <f t="shared" si="9"/>
        <v>146.94642857142858</v>
      </c>
    </row>
    <row r="121" spans="1:12" x14ac:dyDescent="0.25">
      <c r="A121">
        <v>1725</v>
      </c>
      <c r="B121" t="s">
        <v>91</v>
      </c>
      <c r="C121" t="s">
        <v>70</v>
      </c>
      <c r="D121" t="s">
        <v>35</v>
      </c>
      <c r="J121">
        <f t="shared" si="8"/>
        <v>0</v>
      </c>
      <c r="L121">
        <f t="shared" si="9"/>
        <v>0</v>
      </c>
    </row>
    <row r="122" spans="1:12" x14ac:dyDescent="0.25">
      <c r="A122">
        <v>1725</v>
      </c>
      <c r="B122" t="s">
        <v>65</v>
      </c>
      <c r="C122" t="s">
        <v>70</v>
      </c>
      <c r="D122" t="s">
        <v>35</v>
      </c>
      <c r="E122">
        <v>544</v>
      </c>
      <c r="F122">
        <v>19</v>
      </c>
      <c r="G122">
        <v>2</v>
      </c>
      <c r="H122">
        <v>21</v>
      </c>
      <c r="J122">
        <f t="shared" si="8"/>
        <v>1220765</v>
      </c>
      <c r="L122">
        <f t="shared" si="9"/>
        <v>544.984375</v>
      </c>
    </row>
    <row r="123" spans="1:12" x14ac:dyDescent="0.25">
      <c r="A123">
        <v>1725</v>
      </c>
      <c r="B123" t="s">
        <v>92</v>
      </c>
      <c r="C123" t="s">
        <v>70</v>
      </c>
      <c r="D123" t="s">
        <v>35</v>
      </c>
      <c r="E123">
        <v>26</v>
      </c>
      <c r="F123">
        <v>7</v>
      </c>
      <c r="H123">
        <v>1</v>
      </c>
      <c r="J123">
        <f t="shared" si="8"/>
        <v>59025</v>
      </c>
      <c r="L123">
        <f t="shared" si="9"/>
        <v>26.350446428571427</v>
      </c>
    </row>
    <row r="124" spans="1:12" x14ac:dyDescent="0.25">
      <c r="A124">
        <v>1725</v>
      </c>
      <c r="B124" t="s">
        <v>73</v>
      </c>
      <c r="C124" t="s">
        <v>70</v>
      </c>
      <c r="D124" t="s">
        <v>35</v>
      </c>
      <c r="J124">
        <f t="shared" si="8"/>
        <v>0</v>
      </c>
      <c r="L124">
        <f t="shared" si="9"/>
        <v>0</v>
      </c>
    </row>
    <row r="125" spans="1:12" x14ac:dyDescent="0.25">
      <c r="A125">
        <v>1725</v>
      </c>
      <c r="B125" t="s">
        <v>66</v>
      </c>
      <c r="C125" t="s">
        <v>70</v>
      </c>
      <c r="D125" t="s">
        <v>35</v>
      </c>
      <c r="E125">
        <v>27</v>
      </c>
      <c r="F125">
        <v>5</v>
      </c>
      <c r="G125">
        <v>3</v>
      </c>
      <c r="H125">
        <v>26</v>
      </c>
      <c r="J125">
        <f t="shared" si="8"/>
        <v>61150</v>
      </c>
      <c r="L125">
        <f t="shared" si="9"/>
        <v>27.299107142857142</v>
      </c>
    </row>
    <row r="126" spans="1:12" x14ac:dyDescent="0.25">
      <c r="A126">
        <v>1725</v>
      </c>
      <c r="B126" t="s">
        <v>67</v>
      </c>
      <c r="C126" t="s">
        <v>70</v>
      </c>
      <c r="D126" t="s">
        <v>35</v>
      </c>
      <c r="J126">
        <f t="shared" si="8"/>
        <v>0</v>
      </c>
      <c r="L126">
        <f t="shared" si="9"/>
        <v>0</v>
      </c>
    </row>
  </sheetData>
  <autoFilter ref="A1:O61" xr:uid="{8C2F7725-5A61-4A1B-A740-CC887BCB0E68}">
    <sortState xmlns:xlrd2="http://schemas.microsoft.com/office/spreadsheetml/2017/richdata2" ref="A2:O61">
      <sortCondition ref="B1:B6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L68"/>
  <sheetViews>
    <sheetView workbookViewId="0">
      <selection activeCell="H20" sqref="H20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1725</v>
      </c>
      <c r="B2" t="s">
        <v>57</v>
      </c>
      <c r="C2" t="s">
        <v>75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1725</v>
      </c>
      <c r="B3" t="s">
        <v>59</v>
      </c>
      <c r="C3" t="s">
        <v>75</v>
      </c>
      <c r="D3" t="s">
        <v>33</v>
      </c>
      <c r="J3">
        <f>(E3*2240)+(F3*112)+(G3*28)+H3</f>
        <v>0</v>
      </c>
      <c r="L3">
        <f>J3/2240</f>
        <v>0</v>
      </c>
    </row>
    <row r="4" spans="1:12" x14ac:dyDescent="0.25">
      <c r="A4">
        <v>1725</v>
      </c>
      <c r="B4" t="s">
        <v>38</v>
      </c>
      <c r="C4" t="s">
        <v>75</v>
      </c>
      <c r="D4" t="s">
        <v>33</v>
      </c>
      <c r="J4">
        <f>(E4*2240)+(F4*112)+(G4*28)+H4</f>
        <v>0</v>
      </c>
      <c r="L4">
        <f>J4/2240</f>
        <v>0</v>
      </c>
    </row>
    <row r="5" spans="1:12" x14ac:dyDescent="0.25">
      <c r="A5">
        <v>1725</v>
      </c>
      <c r="B5" t="s">
        <v>4</v>
      </c>
      <c r="C5" t="s">
        <v>75</v>
      </c>
      <c r="D5" t="s">
        <v>33</v>
      </c>
      <c r="J5">
        <f>(E5*2240)+(F5*112)+(G5*28)+H5</f>
        <v>0</v>
      </c>
      <c r="L5">
        <f>J5/2240</f>
        <v>0</v>
      </c>
    </row>
    <row r="6" spans="1:12" x14ac:dyDescent="0.25">
      <c r="A6">
        <v>1725</v>
      </c>
      <c r="B6" t="s">
        <v>60</v>
      </c>
      <c r="C6" t="s">
        <v>75</v>
      </c>
      <c r="D6" t="s">
        <v>33</v>
      </c>
      <c r="J6">
        <f>(E6*2240)+(F6*112)+(G6*28)+H6</f>
        <v>0</v>
      </c>
      <c r="L6">
        <f>J6/2240</f>
        <v>0</v>
      </c>
    </row>
    <row r="7" spans="1:12" x14ac:dyDescent="0.25">
      <c r="A7">
        <v>1725</v>
      </c>
      <c r="B7" t="s">
        <v>71</v>
      </c>
      <c r="C7" t="s">
        <v>75</v>
      </c>
      <c r="D7" t="s">
        <v>33</v>
      </c>
      <c r="J7">
        <f t="shared" ref="J7:J25" si="0">(E7*2240)+(F7*112)+(G7*28)+H7</f>
        <v>0</v>
      </c>
      <c r="L7">
        <f t="shared" ref="L7:L27" si="1">J7/2240</f>
        <v>0</v>
      </c>
    </row>
    <row r="8" spans="1:12" x14ac:dyDescent="0.25">
      <c r="A8">
        <v>1725</v>
      </c>
      <c r="B8" t="s">
        <v>45</v>
      </c>
      <c r="C8" t="s">
        <v>75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1725</v>
      </c>
      <c r="B9" t="s">
        <v>5</v>
      </c>
      <c r="C9" t="s">
        <v>75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1725</v>
      </c>
      <c r="B10" t="s">
        <v>61</v>
      </c>
      <c r="C10" t="s">
        <v>75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1725</v>
      </c>
      <c r="B11" t="s">
        <v>6</v>
      </c>
      <c r="C11" t="s">
        <v>75</v>
      </c>
      <c r="D11" t="s">
        <v>33</v>
      </c>
      <c r="F11">
        <v>26043</v>
      </c>
      <c r="G11">
        <v>2</v>
      </c>
      <c r="H11">
        <v>27</v>
      </c>
      <c r="J11">
        <f t="shared" si="0"/>
        <v>2916899</v>
      </c>
      <c r="L11">
        <f t="shared" si="1"/>
        <v>1302.1870535714286</v>
      </c>
    </row>
    <row r="12" spans="1:12" x14ac:dyDescent="0.25">
      <c r="A12">
        <v>1725</v>
      </c>
      <c r="B12" t="s">
        <v>62</v>
      </c>
      <c r="C12" t="s">
        <v>75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1725</v>
      </c>
      <c r="B13" t="s">
        <v>40</v>
      </c>
      <c r="C13" t="s">
        <v>75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1725</v>
      </c>
      <c r="B14" t="s">
        <v>39</v>
      </c>
      <c r="C14" t="s">
        <v>75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1725</v>
      </c>
      <c r="B15" t="s">
        <v>8</v>
      </c>
      <c r="C15" t="s">
        <v>75</v>
      </c>
      <c r="D15" t="s">
        <v>33</v>
      </c>
      <c r="F15">
        <v>25</v>
      </c>
      <c r="G15">
        <v>2</v>
      </c>
      <c r="H15">
        <v>16</v>
      </c>
      <c r="J15">
        <f t="shared" si="0"/>
        <v>2872</v>
      </c>
      <c r="L15">
        <f t="shared" si="1"/>
        <v>1.2821428571428573</v>
      </c>
    </row>
    <row r="16" spans="1:12" x14ac:dyDescent="0.25">
      <c r="A16">
        <v>1725</v>
      </c>
      <c r="B16" t="s">
        <v>42</v>
      </c>
      <c r="C16" t="s">
        <v>75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1725</v>
      </c>
      <c r="B17" t="s">
        <v>80</v>
      </c>
      <c r="C17" t="s">
        <v>75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1725</v>
      </c>
      <c r="B18" t="s">
        <v>48</v>
      </c>
      <c r="C18" t="s">
        <v>75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1725</v>
      </c>
      <c r="B19" t="s">
        <v>9</v>
      </c>
      <c r="C19" t="s">
        <v>75</v>
      </c>
      <c r="D19" t="s">
        <v>33</v>
      </c>
      <c r="H19">
        <f>200*39</f>
        <v>7800</v>
      </c>
      <c r="I19" t="s">
        <v>121</v>
      </c>
      <c r="J19">
        <f t="shared" si="0"/>
        <v>7800</v>
      </c>
      <c r="L19">
        <f t="shared" si="1"/>
        <v>3.4821428571428572</v>
      </c>
    </row>
    <row r="20" spans="1:12" x14ac:dyDescent="0.25">
      <c r="A20">
        <v>1725</v>
      </c>
      <c r="B20" t="s">
        <v>10</v>
      </c>
      <c r="C20" t="s">
        <v>75</v>
      </c>
      <c r="D20" t="s">
        <v>33</v>
      </c>
      <c r="F20">
        <v>43</v>
      </c>
      <c r="H20">
        <v>9</v>
      </c>
      <c r="J20">
        <f t="shared" si="0"/>
        <v>4825</v>
      </c>
      <c r="L20">
        <f t="shared" si="1"/>
        <v>2.1540178571428572</v>
      </c>
    </row>
    <row r="21" spans="1:12" x14ac:dyDescent="0.25">
      <c r="A21">
        <v>1725</v>
      </c>
      <c r="B21" t="s">
        <v>11</v>
      </c>
      <c r="C21" t="s">
        <v>75</v>
      </c>
      <c r="D21" t="s">
        <v>33</v>
      </c>
      <c r="F21">
        <v>12</v>
      </c>
      <c r="H21">
        <v>7</v>
      </c>
      <c r="J21">
        <f t="shared" si="0"/>
        <v>1351</v>
      </c>
      <c r="L21">
        <f t="shared" si="1"/>
        <v>0.60312500000000002</v>
      </c>
    </row>
    <row r="22" spans="1:12" x14ac:dyDescent="0.25">
      <c r="A22">
        <v>1725</v>
      </c>
      <c r="B22" t="s">
        <v>41</v>
      </c>
      <c r="C22" t="s">
        <v>75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1725</v>
      </c>
      <c r="B23" t="s">
        <v>46</v>
      </c>
      <c r="C23" t="s">
        <v>75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1725</v>
      </c>
      <c r="B24" t="s">
        <v>12</v>
      </c>
      <c r="C24" t="s">
        <v>75</v>
      </c>
      <c r="D24" t="s">
        <v>33</v>
      </c>
      <c r="H24">
        <v>3485</v>
      </c>
      <c r="J24">
        <f t="shared" si="0"/>
        <v>3485</v>
      </c>
      <c r="L24">
        <f t="shared" si="1"/>
        <v>1.5558035714285714</v>
      </c>
    </row>
    <row r="25" spans="1:12" x14ac:dyDescent="0.25">
      <c r="A25">
        <v>1725</v>
      </c>
      <c r="B25" t="s">
        <v>34</v>
      </c>
      <c r="C25" t="s">
        <v>75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1725</v>
      </c>
      <c r="B26" t="s">
        <v>13</v>
      </c>
      <c r="C26" t="s">
        <v>75</v>
      </c>
      <c r="D26" t="s">
        <v>33</v>
      </c>
      <c r="J26">
        <f t="shared" ref="J26:J66" si="2">(E26*2240)+(F26*112)+(G26*28)+H26</f>
        <v>0</v>
      </c>
      <c r="L26">
        <f t="shared" si="1"/>
        <v>0</v>
      </c>
    </row>
    <row r="27" spans="1:12" x14ac:dyDescent="0.25">
      <c r="A27">
        <v>1725</v>
      </c>
      <c r="B27" t="s">
        <v>14</v>
      </c>
      <c r="C27" t="s">
        <v>75</v>
      </c>
      <c r="D27" t="s">
        <v>33</v>
      </c>
      <c r="H27">
        <v>5261</v>
      </c>
      <c r="I27" t="s">
        <v>118</v>
      </c>
      <c r="J27">
        <f t="shared" si="2"/>
        <v>5261</v>
      </c>
      <c r="L27">
        <f t="shared" si="1"/>
        <v>2.3486607142857143</v>
      </c>
    </row>
    <row r="28" spans="1:12" x14ac:dyDescent="0.25">
      <c r="A28">
        <v>1725</v>
      </c>
      <c r="B28" t="s">
        <v>23</v>
      </c>
      <c r="C28" t="s">
        <v>75</v>
      </c>
      <c r="D28" t="s">
        <v>33</v>
      </c>
      <c r="J28">
        <f t="shared" si="2"/>
        <v>0</v>
      </c>
      <c r="L28">
        <f t="shared" ref="L28:L66" si="3">J28/2240</f>
        <v>0</v>
      </c>
    </row>
    <row r="29" spans="1:12" x14ac:dyDescent="0.25">
      <c r="A29">
        <v>1725</v>
      </c>
      <c r="B29" t="s">
        <v>27</v>
      </c>
      <c r="C29" t="s">
        <v>75</v>
      </c>
      <c r="D29" t="s">
        <v>33</v>
      </c>
      <c r="H29">
        <v>2391</v>
      </c>
      <c r="I29" t="s">
        <v>120</v>
      </c>
      <c r="J29">
        <f t="shared" si="2"/>
        <v>2391</v>
      </c>
      <c r="L29">
        <f t="shared" si="3"/>
        <v>1.0674107142857143</v>
      </c>
    </row>
    <row r="30" spans="1:12" x14ac:dyDescent="0.25">
      <c r="A30">
        <v>1725</v>
      </c>
      <c r="B30" t="s">
        <v>15</v>
      </c>
      <c r="C30" t="s">
        <v>75</v>
      </c>
      <c r="D30" t="s">
        <v>33</v>
      </c>
      <c r="J30">
        <f t="shared" si="2"/>
        <v>0</v>
      </c>
      <c r="L30">
        <f t="shared" si="3"/>
        <v>0</v>
      </c>
    </row>
    <row r="31" spans="1:12" x14ac:dyDescent="0.25">
      <c r="A31">
        <v>1725</v>
      </c>
      <c r="B31" t="s">
        <v>44</v>
      </c>
      <c r="C31" t="s">
        <v>75</v>
      </c>
      <c r="D31" t="s">
        <v>33</v>
      </c>
      <c r="J31">
        <f t="shared" si="2"/>
        <v>0</v>
      </c>
      <c r="L31">
        <f t="shared" si="3"/>
        <v>0</v>
      </c>
    </row>
    <row r="32" spans="1:12" x14ac:dyDescent="0.25">
      <c r="A32">
        <v>1725</v>
      </c>
      <c r="B32" t="s">
        <v>49</v>
      </c>
      <c r="C32" t="s">
        <v>75</v>
      </c>
      <c r="D32" t="s">
        <v>33</v>
      </c>
      <c r="J32">
        <f t="shared" si="2"/>
        <v>0</v>
      </c>
      <c r="L32">
        <f t="shared" si="3"/>
        <v>0</v>
      </c>
    </row>
    <row r="33" spans="1:12" x14ac:dyDescent="0.25">
      <c r="A33">
        <v>1725</v>
      </c>
      <c r="B33" t="s">
        <v>16</v>
      </c>
      <c r="C33" t="s">
        <v>75</v>
      </c>
      <c r="D33" t="s">
        <v>33</v>
      </c>
      <c r="H33">
        <v>844</v>
      </c>
      <c r="J33">
        <f t="shared" si="2"/>
        <v>844</v>
      </c>
      <c r="L33">
        <f t="shared" si="3"/>
        <v>0.37678571428571428</v>
      </c>
    </row>
    <row r="34" spans="1:12" x14ac:dyDescent="0.25">
      <c r="A34">
        <v>1725</v>
      </c>
      <c r="B34" t="s">
        <v>17</v>
      </c>
      <c r="C34" t="s">
        <v>75</v>
      </c>
      <c r="D34" t="s">
        <v>33</v>
      </c>
      <c r="J34">
        <f t="shared" si="2"/>
        <v>0</v>
      </c>
      <c r="L34">
        <f t="shared" si="3"/>
        <v>0</v>
      </c>
    </row>
    <row r="35" spans="1:12" x14ac:dyDescent="0.25">
      <c r="A35">
        <v>1725</v>
      </c>
      <c r="B35" t="s">
        <v>18</v>
      </c>
      <c r="C35" t="s">
        <v>75</v>
      </c>
      <c r="D35" t="s">
        <v>33</v>
      </c>
      <c r="H35">
        <v>4266</v>
      </c>
      <c r="I35" t="s">
        <v>119</v>
      </c>
      <c r="J35">
        <f t="shared" si="2"/>
        <v>4266</v>
      </c>
      <c r="L35">
        <f t="shared" si="3"/>
        <v>1.9044642857142857</v>
      </c>
    </row>
    <row r="36" spans="1:12" x14ac:dyDescent="0.25">
      <c r="A36">
        <v>1725</v>
      </c>
      <c r="B36" t="s">
        <v>72</v>
      </c>
      <c r="C36" t="s">
        <v>75</v>
      </c>
      <c r="D36" t="s">
        <v>33</v>
      </c>
      <c r="J36">
        <f t="shared" si="2"/>
        <v>0</v>
      </c>
      <c r="L36">
        <f t="shared" si="3"/>
        <v>0</v>
      </c>
    </row>
    <row r="37" spans="1:12" x14ac:dyDescent="0.25">
      <c r="A37">
        <v>1725</v>
      </c>
      <c r="B37" t="s">
        <v>19</v>
      </c>
      <c r="C37" t="s">
        <v>75</v>
      </c>
      <c r="D37" t="s">
        <v>33</v>
      </c>
      <c r="F37">
        <v>21</v>
      </c>
      <c r="G37">
        <v>2</v>
      </c>
      <c r="H37">
        <v>27</v>
      </c>
      <c r="J37">
        <f t="shared" si="2"/>
        <v>2435</v>
      </c>
      <c r="L37">
        <f t="shared" si="3"/>
        <v>1.0870535714285714</v>
      </c>
    </row>
    <row r="38" spans="1:12" x14ac:dyDescent="0.25">
      <c r="A38">
        <v>1725</v>
      </c>
      <c r="B38" t="s">
        <v>47</v>
      </c>
      <c r="C38" t="s">
        <v>75</v>
      </c>
      <c r="D38" t="s">
        <v>33</v>
      </c>
      <c r="J38">
        <f t="shared" si="2"/>
        <v>0</v>
      </c>
      <c r="L38">
        <f t="shared" si="3"/>
        <v>0</v>
      </c>
    </row>
    <row r="39" spans="1:12" x14ac:dyDescent="0.25">
      <c r="A39">
        <v>1725</v>
      </c>
      <c r="B39" t="s">
        <v>56</v>
      </c>
      <c r="C39" t="s">
        <v>75</v>
      </c>
      <c r="D39" t="s">
        <v>33</v>
      </c>
      <c r="H39">
        <v>61</v>
      </c>
      <c r="J39">
        <f t="shared" si="2"/>
        <v>61</v>
      </c>
      <c r="L39">
        <f t="shared" si="3"/>
        <v>2.7232142857142858E-2</v>
      </c>
    </row>
    <row r="40" spans="1:12" x14ac:dyDescent="0.25">
      <c r="A40">
        <v>1725</v>
      </c>
      <c r="B40" t="s">
        <v>117</v>
      </c>
      <c r="C40" t="s">
        <v>75</v>
      </c>
      <c r="D40" t="s">
        <v>33</v>
      </c>
      <c r="H40">
        <v>10</v>
      </c>
      <c r="J40">
        <f t="shared" si="2"/>
        <v>10</v>
      </c>
      <c r="L40">
        <f t="shared" si="3"/>
        <v>4.464285714285714E-3</v>
      </c>
    </row>
    <row r="41" spans="1:12" x14ac:dyDescent="0.25">
      <c r="A41">
        <v>1725</v>
      </c>
      <c r="B41" t="s">
        <v>20</v>
      </c>
      <c r="C41" t="s">
        <v>75</v>
      </c>
      <c r="D41" t="s">
        <v>33</v>
      </c>
      <c r="J41">
        <f t="shared" si="2"/>
        <v>0</v>
      </c>
      <c r="L41">
        <f t="shared" si="3"/>
        <v>0</v>
      </c>
    </row>
    <row r="42" spans="1:12" x14ac:dyDescent="0.25">
      <c r="A42">
        <v>1725</v>
      </c>
      <c r="B42" t="s">
        <v>21</v>
      </c>
      <c r="C42" t="s">
        <v>75</v>
      </c>
      <c r="D42" t="s">
        <v>33</v>
      </c>
      <c r="J42">
        <f t="shared" si="2"/>
        <v>0</v>
      </c>
      <c r="L42">
        <f t="shared" si="3"/>
        <v>0</v>
      </c>
    </row>
    <row r="43" spans="1:12" x14ac:dyDescent="0.25">
      <c r="A43">
        <v>1725</v>
      </c>
      <c r="B43" t="s">
        <v>22</v>
      </c>
      <c r="C43" t="s">
        <v>75</v>
      </c>
      <c r="D43" t="s">
        <v>33</v>
      </c>
      <c r="J43">
        <f t="shared" si="2"/>
        <v>0</v>
      </c>
      <c r="L43">
        <f t="shared" si="3"/>
        <v>0</v>
      </c>
    </row>
    <row r="44" spans="1:12" x14ac:dyDescent="0.25">
      <c r="A44">
        <v>1725</v>
      </c>
      <c r="B44" t="s">
        <v>63</v>
      </c>
      <c r="C44" t="s">
        <v>75</v>
      </c>
      <c r="D44" t="s">
        <v>33</v>
      </c>
      <c r="J44">
        <f t="shared" si="2"/>
        <v>0</v>
      </c>
      <c r="L44">
        <f t="shared" si="3"/>
        <v>0</v>
      </c>
    </row>
    <row r="45" spans="1:12" x14ac:dyDescent="0.25">
      <c r="A45">
        <v>1725</v>
      </c>
      <c r="B45" t="s">
        <v>64</v>
      </c>
      <c r="C45" t="s">
        <v>75</v>
      </c>
      <c r="D45" t="s">
        <v>33</v>
      </c>
      <c r="J45">
        <f t="shared" si="2"/>
        <v>0</v>
      </c>
      <c r="L45">
        <f t="shared" si="3"/>
        <v>0</v>
      </c>
    </row>
    <row r="46" spans="1:12" x14ac:dyDescent="0.25">
      <c r="A46">
        <v>1725</v>
      </c>
      <c r="B46" t="s">
        <v>65</v>
      </c>
      <c r="C46" t="s">
        <v>75</v>
      </c>
      <c r="D46" t="s">
        <v>33</v>
      </c>
      <c r="J46">
        <f t="shared" si="2"/>
        <v>0</v>
      </c>
      <c r="L46">
        <f t="shared" si="3"/>
        <v>0</v>
      </c>
    </row>
    <row r="47" spans="1:12" x14ac:dyDescent="0.25">
      <c r="A47">
        <v>1725</v>
      </c>
      <c r="B47" t="s">
        <v>73</v>
      </c>
      <c r="C47" t="s">
        <v>75</v>
      </c>
      <c r="D47" t="s">
        <v>33</v>
      </c>
      <c r="J47">
        <f t="shared" si="2"/>
        <v>0</v>
      </c>
      <c r="L47">
        <f t="shared" si="3"/>
        <v>0</v>
      </c>
    </row>
    <row r="48" spans="1:12" x14ac:dyDescent="0.25">
      <c r="A48">
        <v>1725</v>
      </c>
      <c r="B48" t="s">
        <v>66</v>
      </c>
      <c r="C48" t="s">
        <v>75</v>
      </c>
      <c r="D48" t="s">
        <v>33</v>
      </c>
      <c r="J48">
        <f t="shared" si="2"/>
        <v>0</v>
      </c>
      <c r="L48">
        <f t="shared" si="3"/>
        <v>0</v>
      </c>
    </row>
    <row r="49" spans="1:12" x14ac:dyDescent="0.25">
      <c r="A49">
        <v>1725</v>
      </c>
      <c r="B49" t="s">
        <v>67</v>
      </c>
      <c r="C49" t="s">
        <v>75</v>
      </c>
      <c r="D49" t="s">
        <v>33</v>
      </c>
      <c r="J49">
        <f t="shared" si="2"/>
        <v>0</v>
      </c>
      <c r="L49">
        <f t="shared" si="3"/>
        <v>0</v>
      </c>
    </row>
    <row r="50" spans="1:12" x14ac:dyDescent="0.25">
      <c r="A50">
        <v>1725</v>
      </c>
      <c r="B50" t="s">
        <v>6</v>
      </c>
      <c r="C50" t="s">
        <v>75</v>
      </c>
      <c r="D50" t="s">
        <v>35</v>
      </c>
      <c r="F50">
        <v>3846</v>
      </c>
      <c r="G50">
        <v>1</v>
      </c>
      <c r="J50">
        <f t="shared" si="2"/>
        <v>430780</v>
      </c>
      <c r="L50">
        <f t="shared" si="3"/>
        <v>192.3125</v>
      </c>
    </row>
    <row r="51" spans="1:12" x14ac:dyDescent="0.25">
      <c r="A51">
        <v>1725</v>
      </c>
      <c r="B51" t="s">
        <v>7</v>
      </c>
      <c r="C51" t="s">
        <v>75</v>
      </c>
      <c r="D51" t="s">
        <v>35</v>
      </c>
      <c r="J51">
        <f t="shared" si="2"/>
        <v>0</v>
      </c>
      <c r="L51">
        <f t="shared" si="3"/>
        <v>0</v>
      </c>
    </row>
    <row r="52" spans="1:12" x14ac:dyDescent="0.25">
      <c r="A52">
        <v>1725</v>
      </c>
      <c r="B52" t="s">
        <v>8</v>
      </c>
      <c r="C52" t="s">
        <v>75</v>
      </c>
      <c r="D52" t="s">
        <v>35</v>
      </c>
      <c r="J52">
        <f t="shared" si="2"/>
        <v>0</v>
      </c>
      <c r="L52">
        <f t="shared" si="3"/>
        <v>0</v>
      </c>
    </row>
    <row r="53" spans="1:12" x14ac:dyDescent="0.25">
      <c r="A53">
        <v>1725</v>
      </c>
      <c r="B53" t="s">
        <v>9</v>
      </c>
      <c r="C53" t="s">
        <v>75</v>
      </c>
      <c r="D53" t="s">
        <v>35</v>
      </c>
      <c r="F53">
        <v>10</v>
      </c>
      <c r="G53">
        <v>3</v>
      </c>
      <c r="H53">
        <v>16</v>
      </c>
      <c r="J53">
        <f t="shared" si="2"/>
        <v>1220</v>
      </c>
      <c r="L53">
        <f t="shared" si="3"/>
        <v>0.5446428571428571</v>
      </c>
    </row>
    <row r="54" spans="1:12" x14ac:dyDescent="0.25">
      <c r="A54">
        <v>1725</v>
      </c>
      <c r="B54" t="s">
        <v>10</v>
      </c>
      <c r="C54" t="s">
        <v>75</v>
      </c>
      <c r="D54" t="s">
        <v>35</v>
      </c>
      <c r="J54">
        <f t="shared" si="2"/>
        <v>0</v>
      </c>
      <c r="L54">
        <f t="shared" si="3"/>
        <v>0</v>
      </c>
    </row>
    <row r="55" spans="1:12" x14ac:dyDescent="0.25">
      <c r="A55">
        <v>1725</v>
      </c>
      <c r="B55" t="s">
        <v>11</v>
      </c>
      <c r="C55" t="s">
        <v>75</v>
      </c>
      <c r="D55" t="s">
        <v>35</v>
      </c>
      <c r="F55">
        <v>16</v>
      </c>
      <c r="H55">
        <v>24</v>
      </c>
      <c r="J55">
        <f t="shared" si="2"/>
        <v>1816</v>
      </c>
      <c r="L55">
        <f t="shared" si="3"/>
        <v>0.81071428571428572</v>
      </c>
    </row>
    <row r="56" spans="1:12" x14ac:dyDescent="0.25">
      <c r="A56">
        <v>1725</v>
      </c>
      <c r="B56" t="s">
        <v>12</v>
      </c>
      <c r="C56" t="s">
        <v>75</v>
      </c>
      <c r="D56" t="s">
        <v>35</v>
      </c>
      <c r="H56">
        <v>6832</v>
      </c>
      <c r="J56">
        <f t="shared" si="2"/>
        <v>6832</v>
      </c>
      <c r="L56">
        <f t="shared" si="3"/>
        <v>3.05</v>
      </c>
    </row>
    <row r="57" spans="1:12" x14ac:dyDescent="0.25">
      <c r="A57">
        <v>1725</v>
      </c>
      <c r="B57" t="s">
        <v>13</v>
      </c>
      <c r="C57" t="s">
        <v>75</v>
      </c>
      <c r="D57" t="s">
        <v>35</v>
      </c>
      <c r="J57">
        <f t="shared" si="2"/>
        <v>0</v>
      </c>
      <c r="L57">
        <f t="shared" si="3"/>
        <v>0</v>
      </c>
    </row>
    <row r="58" spans="1:12" x14ac:dyDescent="0.25">
      <c r="A58">
        <v>1725</v>
      </c>
      <c r="B58" t="s">
        <v>14</v>
      </c>
      <c r="C58" t="s">
        <v>75</v>
      </c>
      <c r="D58" t="s">
        <v>35</v>
      </c>
      <c r="J58">
        <f t="shared" si="2"/>
        <v>0</v>
      </c>
      <c r="L58">
        <f t="shared" si="3"/>
        <v>0</v>
      </c>
    </row>
    <row r="59" spans="1:12" x14ac:dyDescent="0.25">
      <c r="A59">
        <v>1725</v>
      </c>
      <c r="B59" t="s">
        <v>27</v>
      </c>
      <c r="C59" t="s">
        <v>75</v>
      </c>
      <c r="D59" t="s">
        <v>35</v>
      </c>
      <c r="H59">
        <v>63</v>
      </c>
      <c r="I59" t="s">
        <v>138</v>
      </c>
      <c r="J59">
        <f t="shared" si="2"/>
        <v>63</v>
      </c>
      <c r="L59">
        <f t="shared" si="3"/>
        <v>2.8125000000000001E-2</v>
      </c>
    </row>
    <row r="60" spans="1:12" x14ac:dyDescent="0.25">
      <c r="A60">
        <v>1725</v>
      </c>
      <c r="B60" t="s">
        <v>15</v>
      </c>
      <c r="C60" t="s">
        <v>75</v>
      </c>
      <c r="D60" t="s">
        <v>35</v>
      </c>
      <c r="J60">
        <f t="shared" si="2"/>
        <v>0</v>
      </c>
      <c r="L60">
        <f t="shared" si="3"/>
        <v>0</v>
      </c>
    </row>
    <row r="61" spans="1:12" x14ac:dyDescent="0.25">
      <c r="A61">
        <v>1725</v>
      </c>
      <c r="B61" t="s">
        <v>17</v>
      </c>
      <c r="C61" t="s">
        <v>75</v>
      </c>
      <c r="D61" t="s">
        <v>35</v>
      </c>
      <c r="J61">
        <f t="shared" si="2"/>
        <v>0</v>
      </c>
      <c r="L61">
        <f t="shared" si="3"/>
        <v>0</v>
      </c>
    </row>
    <row r="62" spans="1:12" x14ac:dyDescent="0.25">
      <c r="A62">
        <v>1725</v>
      </c>
      <c r="B62" t="s">
        <v>18</v>
      </c>
      <c r="C62" t="s">
        <v>75</v>
      </c>
      <c r="D62" t="s">
        <v>35</v>
      </c>
      <c r="H62">
        <v>1230</v>
      </c>
      <c r="I62" t="s">
        <v>139</v>
      </c>
      <c r="J62">
        <f t="shared" si="2"/>
        <v>1230</v>
      </c>
      <c r="L62">
        <f t="shared" si="3"/>
        <v>0.5491071428571429</v>
      </c>
    </row>
    <row r="63" spans="1:12" x14ac:dyDescent="0.25">
      <c r="A63">
        <v>1725</v>
      </c>
      <c r="B63" t="s">
        <v>19</v>
      </c>
      <c r="C63" t="s">
        <v>75</v>
      </c>
      <c r="D63" t="s">
        <v>35</v>
      </c>
      <c r="J63">
        <f t="shared" si="2"/>
        <v>0</v>
      </c>
      <c r="L63">
        <f t="shared" si="3"/>
        <v>0</v>
      </c>
    </row>
    <row r="64" spans="1:12" x14ac:dyDescent="0.25">
      <c r="A64">
        <v>1725</v>
      </c>
      <c r="B64" t="s">
        <v>56</v>
      </c>
      <c r="C64" t="s">
        <v>75</v>
      </c>
      <c r="D64" t="s">
        <v>35</v>
      </c>
      <c r="J64">
        <f t="shared" si="2"/>
        <v>0</v>
      </c>
      <c r="L64">
        <f t="shared" si="3"/>
        <v>0</v>
      </c>
    </row>
    <row r="65" spans="1:12" x14ac:dyDescent="0.25">
      <c r="A65">
        <v>1725</v>
      </c>
      <c r="B65" t="s">
        <v>21</v>
      </c>
      <c r="C65" t="s">
        <v>75</v>
      </c>
      <c r="D65" t="s">
        <v>35</v>
      </c>
      <c r="J65">
        <f t="shared" si="2"/>
        <v>0</v>
      </c>
      <c r="L65">
        <f t="shared" si="3"/>
        <v>0</v>
      </c>
    </row>
    <row r="66" spans="1:12" x14ac:dyDescent="0.25">
      <c r="A66">
        <v>1725</v>
      </c>
      <c r="B66" t="s">
        <v>22</v>
      </c>
      <c r="C66" t="s">
        <v>75</v>
      </c>
      <c r="D66" t="s">
        <v>35</v>
      </c>
      <c r="J66">
        <f t="shared" si="2"/>
        <v>0</v>
      </c>
      <c r="L66">
        <f t="shared" si="3"/>
        <v>0</v>
      </c>
    </row>
    <row r="67" spans="1:12" x14ac:dyDescent="0.25">
      <c r="A67">
        <v>1725</v>
      </c>
      <c r="B67" t="s">
        <v>64</v>
      </c>
      <c r="C67" t="s">
        <v>75</v>
      </c>
      <c r="D67" t="s">
        <v>35</v>
      </c>
      <c r="J67">
        <f t="shared" ref="J67:J68" si="4">(E67*2240)+(F67*112)+(G67*28)+H67</f>
        <v>0</v>
      </c>
      <c r="L67">
        <f t="shared" ref="L67:L68" si="5">J67/2240</f>
        <v>0</v>
      </c>
    </row>
    <row r="68" spans="1:12" x14ac:dyDescent="0.25">
      <c r="A68">
        <v>1725</v>
      </c>
      <c r="B68" t="s">
        <v>66</v>
      </c>
      <c r="C68" t="s">
        <v>75</v>
      </c>
      <c r="D68" t="s">
        <v>35</v>
      </c>
      <c r="E68">
        <v>7</v>
      </c>
      <c r="F68">
        <v>3</v>
      </c>
      <c r="G68">
        <v>2</v>
      </c>
      <c r="H68">
        <v>8</v>
      </c>
      <c r="J68">
        <f t="shared" si="4"/>
        <v>16080</v>
      </c>
      <c r="L68">
        <f t="shared" si="5"/>
        <v>7.1785714285714288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L68"/>
  <sheetViews>
    <sheetView topLeftCell="A18" workbookViewId="0">
      <selection activeCell="H19" sqref="H1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1725</v>
      </c>
      <c r="B2" t="s">
        <v>57</v>
      </c>
      <c r="C2" t="s">
        <v>76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1725</v>
      </c>
      <c r="B3" t="s">
        <v>59</v>
      </c>
      <c r="C3" t="s">
        <v>76</v>
      </c>
      <c r="D3" t="s">
        <v>33</v>
      </c>
      <c r="J3">
        <f>(E3*2240)+(F3*112)+(G3*28)+H3</f>
        <v>0</v>
      </c>
      <c r="L3">
        <f>J3/2240</f>
        <v>0</v>
      </c>
    </row>
    <row r="4" spans="1:12" x14ac:dyDescent="0.25">
      <c r="A4">
        <v>1725</v>
      </c>
      <c r="B4" t="s">
        <v>38</v>
      </c>
      <c r="C4" t="s">
        <v>76</v>
      </c>
      <c r="D4" t="s">
        <v>33</v>
      </c>
      <c r="J4">
        <f>(E4*2240)+(F4*112)+(G4*28)+H4</f>
        <v>0</v>
      </c>
      <c r="L4">
        <f>J4/2240</f>
        <v>0</v>
      </c>
    </row>
    <row r="5" spans="1:12" x14ac:dyDescent="0.25">
      <c r="A5">
        <v>1725</v>
      </c>
      <c r="B5" t="s">
        <v>4</v>
      </c>
      <c r="C5" t="s">
        <v>76</v>
      </c>
      <c r="D5" t="s">
        <v>33</v>
      </c>
      <c r="J5">
        <f>(E5*2240)+(F5*112)+(G5*28)+H5</f>
        <v>0</v>
      </c>
      <c r="L5">
        <f>J5/2240</f>
        <v>0</v>
      </c>
    </row>
    <row r="6" spans="1:12" x14ac:dyDescent="0.25">
      <c r="A6">
        <v>1725</v>
      </c>
      <c r="B6" t="s">
        <v>60</v>
      </c>
      <c r="C6" t="s">
        <v>76</v>
      </c>
      <c r="D6" t="s">
        <v>33</v>
      </c>
      <c r="J6">
        <f>(E6*2240)+(F6*112)+(G6*28)+H6</f>
        <v>0</v>
      </c>
      <c r="L6">
        <f>J6/2240</f>
        <v>0</v>
      </c>
    </row>
    <row r="7" spans="1:12" x14ac:dyDescent="0.25">
      <c r="A7">
        <v>1725</v>
      </c>
      <c r="B7" t="s">
        <v>71</v>
      </c>
      <c r="C7" t="s">
        <v>76</v>
      </c>
      <c r="D7" t="s">
        <v>33</v>
      </c>
      <c r="J7">
        <f t="shared" ref="J7:J25" si="0">(E7*2240)+(F7*112)+(G7*28)+H7</f>
        <v>0</v>
      </c>
      <c r="L7">
        <f t="shared" ref="L7:L27" si="1">J7/2240</f>
        <v>0</v>
      </c>
    </row>
    <row r="8" spans="1:12" x14ac:dyDescent="0.25">
      <c r="A8">
        <v>1725</v>
      </c>
      <c r="B8" t="s">
        <v>45</v>
      </c>
      <c r="C8" t="s">
        <v>76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1725</v>
      </c>
      <c r="B9" t="s">
        <v>5</v>
      </c>
      <c r="C9" t="s">
        <v>76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1725</v>
      </c>
      <c r="B10" t="s">
        <v>61</v>
      </c>
      <c r="C10" t="s">
        <v>76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1725</v>
      </c>
      <c r="B11" t="s">
        <v>6</v>
      </c>
      <c r="C11" t="s">
        <v>76</v>
      </c>
      <c r="D11" t="s">
        <v>33</v>
      </c>
      <c r="F11">
        <v>47208</v>
      </c>
      <c r="H11">
        <v>24</v>
      </c>
      <c r="J11">
        <f t="shared" si="0"/>
        <v>5287320</v>
      </c>
      <c r="L11">
        <f t="shared" si="1"/>
        <v>2360.4107142857142</v>
      </c>
    </row>
    <row r="12" spans="1:12" x14ac:dyDescent="0.25">
      <c r="A12">
        <v>1725</v>
      </c>
      <c r="B12" t="s">
        <v>62</v>
      </c>
      <c r="C12" t="s">
        <v>76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1725</v>
      </c>
      <c r="B13" t="s">
        <v>40</v>
      </c>
      <c r="C13" t="s">
        <v>76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1725</v>
      </c>
      <c r="B14" t="s">
        <v>39</v>
      </c>
      <c r="C14" t="s">
        <v>76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1725</v>
      </c>
      <c r="B15" t="s">
        <v>8</v>
      </c>
      <c r="C15" t="s">
        <v>76</v>
      </c>
      <c r="D15" t="s">
        <v>33</v>
      </c>
      <c r="G15">
        <v>3</v>
      </c>
      <c r="H15">
        <v>9</v>
      </c>
      <c r="J15">
        <f t="shared" si="0"/>
        <v>93</v>
      </c>
      <c r="L15">
        <f t="shared" si="1"/>
        <v>4.1517857142857141E-2</v>
      </c>
    </row>
    <row r="16" spans="1:12" x14ac:dyDescent="0.25">
      <c r="A16">
        <v>1725</v>
      </c>
      <c r="B16" t="s">
        <v>42</v>
      </c>
      <c r="C16" t="s">
        <v>76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1725</v>
      </c>
      <c r="B17" t="s">
        <v>48</v>
      </c>
      <c r="C17" t="s">
        <v>76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1725</v>
      </c>
      <c r="B18" t="s">
        <v>9</v>
      </c>
      <c r="C18" t="s">
        <v>76</v>
      </c>
      <c r="D18" t="s">
        <v>33</v>
      </c>
      <c r="H18">
        <f>200*9</f>
        <v>1800</v>
      </c>
      <c r="I18" t="s">
        <v>124</v>
      </c>
      <c r="J18">
        <f t="shared" si="0"/>
        <v>1800</v>
      </c>
      <c r="L18">
        <f t="shared" si="1"/>
        <v>0.8035714285714286</v>
      </c>
    </row>
    <row r="19" spans="1:12" x14ac:dyDescent="0.25">
      <c r="A19">
        <v>1725</v>
      </c>
      <c r="B19" t="s">
        <v>10</v>
      </c>
      <c r="C19" t="s">
        <v>76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1725</v>
      </c>
      <c r="B20" t="s">
        <v>11</v>
      </c>
      <c r="C20" t="s">
        <v>76</v>
      </c>
      <c r="D20" t="s">
        <v>33</v>
      </c>
      <c r="F20">
        <v>4</v>
      </c>
      <c r="J20">
        <f t="shared" si="0"/>
        <v>448</v>
      </c>
      <c r="L20">
        <f t="shared" si="1"/>
        <v>0.2</v>
      </c>
    </row>
    <row r="21" spans="1:12" x14ac:dyDescent="0.25">
      <c r="A21">
        <v>1725</v>
      </c>
      <c r="B21" t="s">
        <v>41</v>
      </c>
      <c r="C21" t="s">
        <v>76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1725</v>
      </c>
      <c r="B22" t="s">
        <v>46</v>
      </c>
      <c r="C22" t="s">
        <v>76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1725</v>
      </c>
      <c r="B23" t="s">
        <v>12</v>
      </c>
      <c r="C23" t="s">
        <v>76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1725</v>
      </c>
      <c r="B24" t="s">
        <v>34</v>
      </c>
      <c r="C24" t="s">
        <v>76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1725</v>
      </c>
      <c r="B25" t="s">
        <v>13</v>
      </c>
      <c r="C25" t="s">
        <v>76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1725</v>
      </c>
      <c r="B26" t="s">
        <v>14</v>
      </c>
      <c r="C26" t="s">
        <v>76</v>
      </c>
      <c r="D26" t="s">
        <v>33</v>
      </c>
      <c r="J26">
        <f t="shared" ref="J26:J64" si="2">(E26*2240)+(F26*112)+(G26*28)+H26</f>
        <v>0</v>
      </c>
      <c r="L26">
        <f t="shared" si="1"/>
        <v>0</v>
      </c>
    </row>
    <row r="27" spans="1:12" x14ac:dyDescent="0.25">
      <c r="A27">
        <v>1725</v>
      </c>
      <c r="B27" t="s">
        <v>23</v>
      </c>
      <c r="C27" t="s">
        <v>76</v>
      </c>
      <c r="D27" t="s">
        <v>33</v>
      </c>
      <c r="J27">
        <f t="shared" si="2"/>
        <v>0</v>
      </c>
      <c r="L27">
        <f t="shared" si="1"/>
        <v>0</v>
      </c>
    </row>
    <row r="28" spans="1:12" x14ac:dyDescent="0.25">
      <c r="A28">
        <v>1725</v>
      </c>
      <c r="B28" t="s">
        <v>27</v>
      </c>
      <c r="C28" t="s">
        <v>76</v>
      </c>
      <c r="D28" t="s">
        <v>33</v>
      </c>
      <c r="H28">
        <v>11613</v>
      </c>
      <c r="I28" t="s">
        <v>123</v>
      </c>
      <c r="J28">
        <f t="shared" si="2"/>
        <v>11613</v>
      </c>
      <c r="L28">
        <f t="shared" ref="L28:L64" si="3">J28/2240</f>
        <v>5.1843750000000002</v>
      </c>
    </row>
    <row r="29" spans="1:12" x14ac:dyDescent="0.25">
      <c r="A29">
        <v>1725</v>
      </c>
      <c r="B29" t="s">
        <v>15</v>
      </c>
      <c r="C29" t="s">
        <v>76</v>
      </c>
      <c r="D29" t="s">
        <v>33</v>
      </c>
      <c r="F29">
        <v>3</v>
      </c>
      <c r="J29">
        <f t="shared" si="2"/>
        <v>336</v>
      </c>
      <c r="L29">
        <f t="shared" si="3"/>
        <v>0.15</v>
      </c>
    </row>
    <row r="30" spans="1:12" x14ac:dyDescent="0.25">
      <c r="A30">
        <v>1725</v>
      </c>
      <c r="B30" t="s">
        <v>44</v>
      </c>
      <c r="C30" t="s">
        <v>76</v>
      </c>
      <c r="D30" t="s">
        <v>33</v>
      </c>
      <c r="J30">
        <f t="shared" si="2"/>
        <v>0</v>
      </c>
      <c r="L30">
        <f t="shared" si="3"/>
        <v>0</v>
      </c>
    </row>
    <row r="31" spans="1:12" x14ac:dyDescent="0.25">
      <c r="A31">
        <v>1725</v>
      </c>
      <c r="B31" t="s">
        <v>49</v>
      </c>
      <c r="C31" t="s">
        <v>76</v>
      </c>
      <c r="D31" t="s">
        <v>33</v>
      </c>
      <c r="J31">
        <f t="shared" si="2"/>
        <v>0</v>
      </c>
      <c r="L31">
        <f t="shared" si="3"/>
        <v>0</v>
      </c>
    </row>
    <row r="32" spans="1:12" x14ac:dyDescent="0.25">
      <c r="A32">
        <v>1725</v>
      </c>
      <c r="B32" t="s">
        <v>16</v>
      </c>
      <c r="C32" t="s">
        <v>76</v>
      </c>
      <c r="D32" t="s">
        <v>33</v>
      </c>
      <c r="J32">
        <f t="shared" si="2"/>
        <v>0</v>
      </c>
      <c r="L32">
        <f t="shared" si="3"/>
        <v>0</v>
      </c>
    </row>
    <row r="33" spans="1:12" x14ac:dyDescent="0.25">
      <c r="A33">
        <v>1725</v>
      </c>
      <c r="B33" t="s">
        <v>17</v>
      </c>
      <c r="C33" t="s">
        <v>76</v>
      </c>
      <c r="D33" t="s">
        <v>33</v>
      </c>
      <c r="J33">
        <f t="shared" si="2"/>
        <v>0</v>
      </c>
      <c r="L33">
        <f t="shared" si="3"/>
        <v>0</v>
      </c>
    </row>
    <row r="34" spans="1:12" x14ac:dyDescent="0.25">
      <c r="A34">
        <v>1725</v>
      </c>
      <c r="B34" t="s">
        <v>18</v>
      </c>
      <c r="C34" t="s">
        <v>76</v>
      </c>
      <c r="D34" t="s">
        <v>33</v>
      </c>
      <c r="H34">
        <v>5061</v>
      </c>
      <c r="I34" t="s">
        <v>122</v>
      </c>
      <c r="J34">
        <f t="shared" si="2"/>
        <v>5061</v>
      </c>
      <c r="L34">
        <f t="shared" si="3"/>
        <v>2.2593749999999999</v>
      </c>
    </row>
    <row r="35" spans="1:12" x14ac:dyDescent="0.25">
      <c r="A35">
        <v>1725</v>
      </c>
      <c r="B35" t="s">
        <v>72</v>
      </c>
      <c r="C35" t="s">
        <v>76</v>
      </c>
      <c r="D35" t="s">
        <v>33</v>
      </c>
      <c r="J35">
        <f t="shared" si="2"/>
        <v>0</v>
      </c>
      <c r="L35">
        <f t="shared" si="3"/>
        <v>0</v>
      </c>
    </row>
    <row r="36" spans="1:12" x14ac:dyDescent="0.25">
      <c r="A36">
        <v>1725</v>
      </c>
      <c r="B36" t="s">
        <v>19</v>
      </c>
      <c r="C36" t="s">
        <v>76</v>
      </c>
      <c r="D36" t="s">
        <v>33</v>
      </c>
      <c r="F36">
        <v>13</v>
      </c>
      <c r="G36">
        <v>1</v>
      </c>
      <c r="H36">
        <v>21</v>
      </c>
      <c r="J36">
        <f t="shared" si="2"/>
        <v>1505</v>
      </c>
      <c r="L36">
        <f t="shared" si="3"/>
        <v>0.671875</v>
      </c>
    </row>
    <row r="37" spans="1:12" x14ac:dyDescent="0.25">
      <c r="A37">
        <v>1725</v>
      </c>
      <c r="B37" t="s">
        <v>47</v>
      </c>
      <c r="C37" t="s">
        <v>76</v>
      </c>
      <c r="D37" t="s">
        <v>33</v>
      </c>
      <c r="J37">
        <f t="shared" si="2"/>
        <v>0</v>
      </c>
      <c r="L37">
        <f t="shared" si="3"/>
        <v>0</v>
      </c>
    </row>
    <row r="38" spans="1:12" x14ac:dyDescent="0.25">
      <c r="A38">
        <v>1725</v>
      </c>
      <c r="B38" t="s">
        <v>56</v>
      </c>
      <c r="C38" t="s">
        <v>76</v>
      </c>
      <c r="D38" t="s">
        <v>33</v>
      </c>
      <c r="H38">
        <v>8</v>
      </c>
      <c r="J38">
        <f t="shared" si="2"/>
        <v>8</v>
      </c>
      <c r="L38">
        <f t="shared" si="3"/>
        <v>3.5714285714285713E-3</v>
      </c>
    </row>
    <row r="39" spans="1:12" x14ac:dyDescent="0.25">
      <c r="A39">
        <v>1725</v>
      </c>
      <c r="B39" t="s">
        <v>117</v>
      </c>
      <c r="C39" t="s">
        <v>76</v>
      </c>
      <c r="D39" t="s">
        <v>33</v>
      </c>
      <c r="J39">
        <f t="shared" si="2"/>
        <v>0</v>
      </c>
      <c r="L39">
        <f t="shared" si="3"/>
        <v>0</v>
      </c>
    </row>
    <row r="40" spans="1:12" x14ac:dyDescent="0.25">
      <c r="A40">
        <v>1725</v>
      </c>
      <c r="B40" t="s">
        <v>20</v>
      </c>
      <c r="C40" t="s">
        <v>76</v>
      </c>
      <c r="D40" t="s">
        <v>33</v>
      </c>
      <c r="J40">
        <f t="shared" si="2"/>
        <v>0</v>
      </c>
      <c r="L40">
        <f t="shared" si="3"/>
        <v>0</v>
      </c>
    </row>
    <row r="41" spans="1:12" x14ac:dyDescent="0.25">
      <c r="A41">
        <v>1725</v>
      </c>
      <c r="B41" t="s">
        <v>21</v>
      </c>
      <c r="C41" t="s">
        <v>76</v>
      </c>
      <c r="D41" t="s">
        <v>33</v>
      </c>
      <c r="J41">
        <f t="shared" si="2"/>
        <v>0</v>
      </c>
      <c r="L41">
        <f t="shared" si="3"/>
        <v>0</v>
      </c>
    </row>
    <row r="42" spans="1:12" x14ac:dyDescent="0.25">
      <c r="A42">
        <v>1725</v>
      </c>
      <c r="B42" t="s">
        <v>22</v>
      </c>
      <c r="C42" t="s">
        <v>76</v>
      </c>
      <c r="D42" t="s">
        <v>33</v>
      </c>
      <c r="J42">
        <f t="shared" si="2"/>
        <v>0</v>
      </c>
      <c r="L42">
        <f t="shared" si="3"/>
        <v>0</v>
      </c>
    </row>
    <row r="43" spans="1:12" x14ac:dyDescent="0.25">
      <c r="A43">
        <v>1725</v>
      </c>
      <c r="B43" t="s">
        <v>63</v>
      </c>
      <c r="C43" t="s">
        <v>76</v>
      </c>
      <c r="D43" t="s">
        <v>33</v>
      </c>
      <c r="J43">
        <f t="shared" si="2"/>
        <v>0</v>
      </c>
      <c r="L43">
        <f t="shared" si="3"/>
        <v>0</v>
      </c>
    </row>
    <row r="44" spans="1:12" x14ac:dyDescent="0.25">
      <c r="A44">
        <v>1725</v>
      </c>
      <c r="B44" t="s">
        <v>64</v>
      </c>
      <c r="C44" t="s">
        <v>76</v>
      </c>
      <c r="D44" t="s">
        <v>33</v>
      </c>
      <c r="E44">
        <v>76</v>
      </c>
      <c r="F44">
        <v>4</v>
      </c>
      <c r="G44">
        <v>2</v>
      </c>
      <c r="H44">
        <v>21</v>
      </c>
      <c r="J44">
        <f t="shared" si="2"/>
        <v>170765</v>
      </c>
      <c r="L44">
        <f t="shared" si="3"/>
        <v>76.234375</v>
      </c>
    </row>
    <row r="45" spans="1:12" x14ac:dyDescent="0.25">
      <c r="A45">
        <v>1725</v>
      </c>
      <c r="B45" t="s">
        <v>65</v>
      </c>
      <c r="C45" t="s">
        <v>76</v>
      </c>
      <c r="D45" t="s">
        <v>33</v>
      </c>
      <c r="J45">
        <f t="shared" si="2"/>
        <v>0</v>
      </c>
      <c r="L45">
        <f t="shared" si="3"/>
        <v>0</v>
      </c>
    </row>
    <row r="46" spans="1:12" x14ac:dyDescent="0.25">
      <c r="A46">
        <v>1725</v>
      </c>
      <c r="B46" t="s">
        <v>73</v>
      </c>
      <c r="C46" t="s">
        <v>76</v>
      </c>
      <c r="D46" t="s">
        <v>33</v>
      </c>
      <c r="J46">
        <f t="shared" si="2"/>
        <v>0</v>
      </c>
      <c r="L46">
        <f t="shared" si="3"/>
        <v>0</v>
      </c>
    </row>
    <row r="47" spans="1:12" x14ac:dyDescent="0.25">
      <c r="A47">
        <v>1725</v>
      </c>
      <c r="B47" t="s">
        <v>66</v>
      </c>
      <c r="C47" t="s">
        <v>76</v>
      </c>
      <c r="D47" t="s">
        <v>33</v>
      </c>
      <c r="J47">
        <f t="shared" si="2"/>
        <v>0</v>
      </c>
      <c r="L47">
        <f t="shared" si="3"/>
        <v>0</v>
      </c>
    </row>
    <row r="48" spans="1:12" x14ac:dyDescent="0.25">
      <c r="A48">
        <v>1725</v>
      </c>
      <c r="B48" t="s">
        <v>67</v>
      </c>
      <c r="C48" t="s">
        <v>76</v>
      </c>
      <c r="D48" t="s">
        <v>33</v>
      </c>
      <c r="J48">
        <f t="shared" si="2"/>
        <v>0</v>
      </c>
      <c r="L48">
        <f t="shared" si="3"/>
        <v>0</v>
      </c>
    </row>
    <row r="49" spans="1:12" x14ac:dyDescent="0.25">
      <c r="A49">
        <v>1725</v>
      </c>
      <c r="B49" t="s">
        <v>5</v>
      </c>
      <c r="C49" t="s">
        <v>76</v>
      </c>
      <c r="D49" t="s">
        <v>35</v>
      </c>
      <c r="F49">
        <v>2</v>
      </c>
      <c r="J49">
        <f t="shared" si="2"/>
        <v>224</v>
      </c>
      <c r="L49">
        <f t="shared" si="3"/>
        <v>0.1</v>
      </c>
    </row>
    <row r="50" spans="1:12" x14ac:dyDescent="0.25">
      <c r="A50">
        <v>1725</v>
      </c>
      <c r="B50" t="s">
        <v>6</v>
      </c>
      <c r="C50" t="s">
        <v>76</v>
      </c>
      <c r="D50" t="s">
        <v>35</v>
      </c>
      <c r="F50">
        <v>12194</v>
      </c>
      <c r="G50">
        <v>1</v>
      </c>
      <c r="H50">
        <v>22</v>
      </c>
      <c r="J50">
        <f t="shared" si="2"/>
        <v>1365778</v>
      </c>
      <c r="L50">
        <f t="shared" si="3"/>
        <v>609.72232142857138</v>
      </c>
    </row>
    <row r="51" spans="1:12" x14ac:dyDescent="0.25">
      <c r="A51">
        <v>1725</v>
      </c>
      <c r="B51" t="s">
        <v>7</v>
      </c>
      <c r="C51" t="s">
        <v>76</v>
      </c>
      <c r="D51" t="s">
        <v>35</v>
      </c>
      <c r="J51">
        <f t="shared" si="2"/>
        <v>0</v>
      </c>
      <c r="L51">
        <f t="shared" si="3"/>
        <v>0</v>
      </c>
    </row>
    <row r="52" spans="1:12" x14ac:dyDescent="0.25">
      <c r="A52">
        <v>1725</v>
      </c>
      <c r="B52" t="s">
        <v>8</v>
      </c>
      <c r="C52" t="s">
        <v>76</v>
      </c>
      <c r="D52" t="s">
        <v>35</v>
      </c>
      <c r="J52">
        <f t="shared" si="2"/>
        <v>0</v>
      </c>
      <c r="L52">
        <f t="shared" si="3"/>
        <v>0</v>
      </c>
    </row>
    <row r="53" spans="1:12" x14ac:dyDescent="0.25">
      <c r="A53">
        <v>1725</v>
      </c>
      <c r="B53" t="s">
        <v>9</v>
      </c>
      <c r="C53" t="s">
        <v>76</v>
      </c>
      <c r="D53" t="s">
        <v>35</v>
      </c>
      <c r="F53">
        <v>134</v>
      </c>
      <c r="G53">
        <v>1</v>
      </c>
      <c r="H53">
        <v>8</v>
      </c>
      <c r="J53">
        <f t="shared" si="2"/>
        <v>15044</v>
      </c>
      <c r="L53">
        <f t="shared" si="3"/>
        <v>6.7160714285714285</v>
      </c>
    </row>
    <row r="54" spans="1:12" x14ac:dyDescent="0.25">
      <c r="A54">
        <v>1725</v>
      </c>
      <c r="B54" t="s">
        <v>10</v>
      </c>
      <c r="C54" t="s">
        <v>76</v>
      </c>
      <c r="D54" t="s">
        <v>35</v>
      </c>
      <c r="J54">
        <f t="shared" si="2"/>
        <v>0</v>
      </c>
      <c r="L54">
        <f t="shared" si="3"/>
        <v>0</v>
      </c>
    </row>
    <row r="55" spans="1:12" x14ac:dyDescent="0.25">
      <c r="A55">
        <v>1725</v>
      </c>
      <c r="B55" t="s">
        <v>11</v>
      </c>
      <c r="C55" t="s">
        <v>76</v>
      </c>
      <c r="D55" t="s">
        <v>35</v>
      </c>
      <c r="F55">
        <v>21</v>
      </c>
      <c r="H55">
        <v>21</v>
      </c>
      <c r="J55">
        <f t="shared" si="2"/>
        <v>2373</v>
      </c>
      <c r="L55">
        <f t="shared" si="3"/>
        <v>1.059375</v>
      </c>
    </row>
    <row r="56" spans="1:12" x14ac:dyDescent="0.25">
      <c r="A56">
        <v>1725</v>
      </c>
      <c r="B56" t="s">
        <v>12</v>
      </c>
      <c r="C56" t="s">
        <v>76</v>
      </c>
      <c r="D56" t="s">
        <v>35</v>
      </c>
      <c r="J56">
        <f t="shared" si="2"/>
        <v>0</v>
      </c>
      <c r="L56">
        <f t="shared" si="3"/>
        <v>0</v>
      </c>
    </row>
    <row r="57" spans="1:12" x14ac:dyDescent="0.25">
      <c r="A57">
        <v>1725</v>
      </c>
      <c r="B57" t="s">
        <v>13</v>
      </c>
      <c r="C57" t="s">
        <v>76</v>
      </c>
      <c r="D57" t="s">
        <v>35</v>
      </c>
      <c r="J57">
        <f t="shared" si="2"/>
        <v>0</v>
      </c>
      <c r="L57">
        <f t="shared" si="3"/>
        <v>0</v>
      </c>
    </row>
    <row r="58" spans="1:12" x14ac:dyDescent="0.25">
      <c r="A58">
        <v>1725</v>
      </c>
      <c r="B58" t="s">
        <v>14</v>
      </c>
      <c r="C58" t="s">
        <v>76</v>
      </c>
      <c r="D58" t="s">
        <v>35</v>
      </c>
      <c r="J58">
        <f t="shared" si="2"/>
        <v>0</v>
      </c>
      <c r="L58">
        <f t="shared" si="3"/>
        <v>0</v>
      </c>
    </row>
    <row r="59" spans="1:12" x14ac:dyDescent="0.25">
      <c r="A59">
        <v>1725</v>
      </c>
      <c r="B59" t="s">
        <v>27</v>
      </c>
      <c r="C59" t="s">
        <v>76</v>
      </c>
      <c r="D59" t="s">
        <v>35</v>
      </c>
      <c r="J59">
        <f t="shared" si="2"/>
        <v>0</v>
      </c>
      <c r="L59">
        <f t="shared" si="3"/>
        <v>0</v>
      </c>
    </row>
    <row r="60" spans="1:12" x14ac:dyDescent="0.25">
      <c r="A60">
        <v>1725</v>
      </c>
      <c r="B60" t="s">
        <v>15</v>
      </c>
      <c r="C60" t="s">
        <v>76</v>
      </c>
      <c r="D60" t="s">
        <v>35</v>
      </c>
      <c r="J60">
        <f t="shared" si="2"/>
        <v>0</v>
      </c>
      <c r="L60">
        <f t="shared" si="3"/>
        <v>0</v>
      </c>
    </row>
    <row r="61" spans="1:12" x14ac:dyDescent="0.25">
      <c r="A61">
        <v>1725</v>
      </c>
      <c r="B61" t="s">
        <v>17</v>
      </c>
      <c r="C61" t="s">
        <v>76</v>
      </c>
      <c r="D61" t="s">
        <v>35</v>
      </c>
      <c r="J61">
        <f t="shared" si="2"/>
        <v>0</v>
      </c>
      <c r="L61">
        <f t="shared" si="3"/>
        <v>0</v>
      </c>
    </row>
    <row r="62" spans="1:12" x14ac:dyDescent="0.25">
      <c r="A62">
        <v>1725</v>
      </c>
      <c r="B62" t="s">
        <v>18</v>
      </c>
      <c r="C62" t="s">
        <v>76</v>
      </c>
      <c r="D62" t="s">
        <v>35</v>
      </c>
      <c r="H62">
        <v>482.5</v>
      </c>
      <c r="I62" t="s">
        <v>140</v>
      </c>
      <c r="J62">
        <f t="shared" si="2"/>
        <v>482.5</v>
      </c>
      <c r="L62">
        <f t="shared" si="3"/>
        <v>0.21540178571428573</v>
      </c>
    </row>
    <row r="63" spans="1:12" x14ac:dyDescent="0.25">
      <c r="A63">
        <v>1725</v>
      </c>
      <c r="B63" t="s">
        <v>19</v>
      </c>
      <c r="C63" t="s">
        <v>76</v>
      </c>
      <c r="D63" t="s">
        <v>35</v>
      </c>
      <c r="F63">
        <v>1</v>
      </c>
      <c r="G63">
        <v>3</v>
      </c>
      <c r="H63">
        <v>11</v>
      </c>
      <c r="J63">
        <f t="shared" si="2"/>
        <v>207</v>
      </c>
      <c r="L63">
        <f t="shared" si="3"/>
        <v>9.241071428571429E-2</v>
      </c>
    </row>
    <row r="64" spans="1:12" x14ac:dyDescent="0.25">
      <c r="A64">
        <v>1725</v>
      </c>
      <c r="B64" t="s">
        <v>56</v>
      </c>
      <c r="C64" t="s">
        <v>76</v>
      </c>
      <c r="D64" t="s">
        <v>35</v>
      </c>
      <c r="J64">
        <f t="shared" si="2"/>
        <v>0</v>
      </c>
      <c r="L64">
        <f t="shared" si="3"/>
        <v>0</v>
      </c>
    </row>
    <row r="65" spans="1:12" x14ac:dyDescent="0.25">
      <c r="A65">
        <v>1725</v>
      </c>
      <c r="B65" t="s">
        <v>117</v>
      </c>
      <c r="C65" t="s">
        <v>76</v>
      </c>
      <c r="D65" t="s">
        <v>35</v>
      </c>
      <c r="J65">
        <f t="shared" ref="J65" si="4">(E65*2240)+(F65*112)+(G65*28)+H65</f>
        <v>0</v>
      </c>
      <c r="L65">
        <f t="shared" ref="L65" si="5">J65/2240</f>
        <v>0</v>
      </c>
    </row>
    <row r="66" spans="1:12" x14ac:dyDescent="0.25">
      <c r="A66">
        <v>1725</v>
      </c>
      <c r="B66" t="s">
        <v>21</v>
      </c>
      <c r="C66" t="s">
        <v>76</v>
      </c>
      <c r="D66" t="s">
        <v>35</v>
      </c>
    </row>
    <row r="67" spans="1:12" x14ac:dyDescent="0.25">
      <c r="A67">
        <v>1725</v>
      </c>
      <c r="B67" t="s">
        <v>22</v>
      </c>
      <c r="C67" t="s">
        <v>76</v>
      </c>
      <c r="D67" t="s">
        <v>35</v>
      </c>
    </row>
    <row r="68" spans="1:12" x14ac:dyDescent="0.25">
      <c r="A68">
        <v>1725</v>
      </c>
      <c r="B68" t="s">
        <v>64</v>
      </c>
      <c r="C68" t="s">
        <v>76</v>
      </c>
      <c r="D68" t="s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L70"/>
  <sheetViews>
    <sheetView topLeftCell="A19" workbookViewId="0">
      <selection activeCell="H20" sqref="H20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1725</v>
      </c>
      <c r="B2" t="s">
        <v>57</v>
      </c>
      <c r="C2" t="s">
        <v>77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1725</v>
      </c>
      <c r="B3" t="s">
        <v>59</v>
      </c>
      <c r="C3" t="s">
        <v>77</v>
      </c>
      <c r="D3" t="s">
        <v>33</v>
      </c>
      <c r="J3">
        <f>(E3*2240)+(F3*112)+(G3*28)+H3</f>
        <v>0</v>
      </c>
      <c r="L3">
        <f>J3/2240</f>
        <v>0</v>
      </c>
    </row>
    <row r="4" spans="1:12" x14ac:dyDescent="0.25">
      <c r="A4">
        <v>1725</v>
      </c>
      <c r="B4" t="s">
        <v>38</v>
      </c>
      <c r="C4" t="s">
        <v>77</v>
      </c>
      <c r="D4" t="s">
        <v>33</v>
      </c>
      <c r="J4">
        <f>(E4*2240)+(F4*112)+(G4*28)+H4</f>
        <v>0</v>
      </c>
      <c r="L4">
        <f>J4/2240</f>
        <v>0</v>
      </c>
    </row>
    <row r="5" spans="1:12" x14ac:dyDescent="0.25">
      <c r="A5">
        <v>1725</v>
      </c>
      <c r="B5" t="s">
        <v>4</v>
      </c>
      <c r="C5" t="s">
        <v>77</v>
      </c>
      <c r="D5" t="s">
        <v>33</v>
      </c>
      <c r="J5">
        <f>(E5*2240)+(F5*112)+(G5*28)+H5</f>
        <v>0</v>
      </c>
      <c r="L5">
        <f>J5/2240</f>
        <v>0</v>
      </c>
    </row>
    <row r="6" spans="1:12" x14ac:dyDescent="0.25">
      <c r="A6">
        <v>1725</v>
      </c>
      <c r="B6" t="s">
        <v>60</v>
      </c>
      <c r="C6" t="s">
        <v>77</v>
      </c>
      <c r="D6" t="s">
        <v>33</v>
      </c>
      <c r="J6">
        <f>(E6*2240)+(F6*112)+(G6*28)+H6</f>
        <v>0</v>
      </c>
      <c r="L6">
        <f>J6/2240</f>
        <v>0</v>
      </c>
    </row>
    <row r="7" spans="1:12" x14ac:dyDescent="0.25">
      <c r="A7">
        <v>1725</v>
      </c>
      <c r="B7" t="s">
        <v>71</v>
      </c>
      <c r="C7" t="s">
        <v>77</v>
      </c>
      <c r="D7" t="s">
        <v>33</v>
      </c>
      <c r="J7">
        <f t="shared" ref="J7:J25" si="0">(E7*2240)+(F7*112)+(G7*28)+H7</f>
        <v>0</v>
      </c>
      <c r="L7">
        <f t="shared" ref="L7:L27" si="1">J7/2240</f>
        <v>0</v>
      </c>
    </row>
    <row r="8" spans="1:12" x14ac:dyDescent="0.25">
      <c r="A8">
        <v>1725</v>
      </c>
      <c r="B8" t="s">
        <v>45</v>
      </c>
      <c r="C8" t="s">
        <v>77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1725</v>
      </c>
      <c r="B9" t="s">
        <v>5</v>
      </c>
      <c r="C9" t="s">
        <v>77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1725</v>
      </c>
      <c r="B10" t="s">
        <v>61</v>
      </c>
      <c r="C10" t="s">
        <v>77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1725</v>
      </c>
      <c r="B11" t="s">
        <v>6</v>
      </c>
      <c r="C11" t="s">
        <v>77</v>
      </c>
      <c r="D11" t="s">
        <v>33</v>
      </c>
      <c r="F11">
        <v>107962</v>
      </c>
      <c r="H11">
        <v>9</v>
      </c>
      <c r="J11">
        <f t="shared" si="0"/>
        <v>12091753</v>
      </c>
      <c r="L11">
        <f t="shared" si="1"/>
        <v>5398.1040178571429</v>
      </c>
    </row>
    <row r="12" spans="1:12" x14ac:dyDescent="0.25">
      <c r="A12">
        <v>1725</v>
      </c>
      <c r="B12" t="s">
        <v>62</v>
      </c>
      <c r="C12" t="s">
        <v>77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1725</v>
      </c>
      <c r="B13" t="s">
        <v>40</v>
      </c>
      <c r="C13" t="s">
        <v>77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1725</v>
      </c>
      <c r="B14" t="s">
        <v>39</v>
      </c>
      <c r="C14" t="s">
        <v>77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1725</v>
      </c>
      <c r="B15" t="s">
        <v>8</v>
      </c>
      <c r="C15" t="s">
        <v>77</v>
      </c>
      <c r="D15" t="s">
        <v>33</v>
      </c>
      <c r="F15">
        <f>41+37</f>
        <v>78</v>
      </c>
      <c r="G15">
        <v>3</v>
      </c>
      <c r="H15">
        <v>37</v>
      </c>
      <c r="J15">
        <f t="shared" si="0"/>
        <v>8857</v>
      </c>
      <c r="L15">
        <f t="shared" si="1"/>
        <v>3.954017857142857</v>
      </c>
    </row>
    <row r="16" spans="1:12" x14ac:dyDescent="0.25">
      <c r="A16">
        <v>1725</v>
      </c>
      <c r="B16" t="s">
        <v>42</v>
      </c>
      <c r="C16" t="s">
        <v>77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1725</v>
      </c>
      <c r="B17" t="s">
        <v>98</v>
      </c>
      <c r="C17" t="s">
        <v>77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1725</v>
      </c>
      <c r="B18" t="s">
        <v>48</v>
      </c>
      <c r="C18" t="s">
        <v>77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1725</v>
      </c>
      <c r="B19" t="s">
        <v>9</v>
      </c>
      <c r="C19" t="s">
        <v>77</v>
      </c>
      <c r="D19" t="s">
        <v>33</v>
      </c>
      <c r="H19">
        <f>377*200</f>
        <v>75400</v>
      </c>
      <c r="I19" t="s">
        <v>129</v>
      </c>
      <c r="J19">
        <f t="shared" si="0"/>
        <v>75400</v>
      </c>
      <c r="L19">
        <f t="shared" si="1"/>
        <v>33.660714285714285</v>
      </c>
    </row>
    <row r="20" spans="1:12" x14ac:dyDescent="0.25">
      <c r="A20">
        <v>1725</v>
      </c>
      <c r="B20" t="s">
        <v>10</v>
      </c>
      <c r="C20" t="s">
        <v>77</v>
      </c>
      <c r="D20" t="s">
        <v>33</v>
      </c>
      <c r="F20">
        <v>66</v>
      </c>
      <c r="G20">
        <v>1</v>
      </c>
      <c r="H20">
        <v>17</v>
      </c>
      <c r="J20">
        <f t="shared" si="0"/>
        <v>7437</v>
      </c>
      <c r="L20">
        <f t="shared" si="1"/>
        <v>3.3200892857142859</v>
      </c>
    </row>
    <row r="21" spans="1:12" x14ac:dyDescent="0.25">
      <c r="A21">
        <v>1725</v>
      </c>
      <c r="B21" t="s">
        <v>11</v>
      </c>
      <c r="C21" t="s">
        <v>77</v>
      </c>
      <c r="D21" t="s">
        <v>33</v>
      </c>
      <c r="F21">
        <v>27</v>
      </c>
      <c r="H21">
        <v>27</v>
      </c>
      <c r="J21">
        <f t="shared" si="0"/>
        <v>3051</v>
      </c>
      <c r="L21">
        <f t="shared" si="1"/>
        <v>1.3620535714285715</v>
      </c>
    </row>
    <row r="22" spans="1:12" x14ac:dyDescent="0.25">
      <c r="A22">
        <v>1725</v>
      </c>
      <c r="B22" t="s">
        <v>41</v>
      </c>
      <c r="C22" t="s">
        <v>77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1725</v>
      </c>
      <c r="B23" t="s">
        <v>46</v>
      </c>
      <c r="C23" t="s">
        <v>77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1725</v>
      </c>
      <c r="B24" t="s">
        <v>12</v>
      </c>
      <c r="C24" t="s">
        <v>77</v>
      </c>
      <c r="D24" t="s">
        <v>33</v>
      </c>
      <c r="H24">
        <v>746</v>
      </c>
      <c r="J24">
        <f t="shared" si="0"/>
        <v>746</v>
      </c>
      <c r="L24">
        <f t="shared" si="1"/>
        <v>0.33303571428571427</v>
      </c>
    </row>
    <row r="25" spans="1:12" x14ac:dyDescent="0.25">
      <c r="A25">
        <v>1725</v>
      </c>
      <c r="B25" t="s">
        <v>34</v>
      </c>
      <c r="C25" t="s">
        <v>77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1725</v>
      </c>
      <c r="B26" t="s">
        <v>13</v>
      </c>
      <c r="C26" t="s">
        <v>77</v>
      </c>
      <c r="D26" t="s">
        <v>33</v>
      </c>
      <c r="E26">
        <v>1</v>
      </c>
      <c r="J26">
        <f t="shared" ref="J26:J70" si="2">(E26*2240)+(F26*112)+(G26*28)+H26</f>
        <v>2240</v>
      </c>
      <c r="L26">
        <f t="shared" si="1"/>
        <v>1</v>
      </c>
    </row>
    <row r="27" spans="1:12" x14ac:dyDescent="0.25">
      <c r="A27">
        <v>1725</v>
      </c>
      <c r="B27" t="s">
        <v>14</v>
      </c>
      <c r="C27" t="s">
        <v>77</v>
      </c>
      <c r="D27" t="s">
        <v>33</v>
      </c>
      <c r="H27">
        <v>450</v>
      </c>
      <c r="I27" t="s">
        <v>125</v>
      </c>
      <c r="J27">
        <f t="shared" si="2"/>
        <v>450</v>
      </c>
      <c r="L27">
        <f t="shared" si="1"/>
        <v>0.20089285714285715</v>
      </c>
    </row>
    <row r="28" spans="1:12" x14ac:dyDescent="0.25">
      <c r="A28">
        <v>1725</v>
      </c>
      <c r="B28" t="s">
        <v>23</v>
      </c>
      <c r="C28" t="s">
        <v>77</v>
      </c>
      <c r="D28" t="s">
        <v>33</v>
      </c>
      <c r="J28">
        <f t="shared" si="2"/>
        <v>0</v>
      </c>
      <c r="L28">
        <f t="shared" ref="L28:L70" si="3">J28/2240</f>
        <v>0</v>
      </c>
    </row>
    <row r="29" spans="1:12" x14ac:dyDescent="0.25">
      <c r="A29">
        <v>1725</v>
      </c>
      <c r="B29" t="s">
        <v>27</v>
      </c>
      <c r="C29" t="s">
        <v>77</v>
      </c>
      <c r="D29" t="s">
        <v>33</v>
      </c>
      <c r="H29">
        <v>18005</v>
      </c>
      <c r="I29" t="s">
        <v>128</v>
      </c>
      <c r="J29">
        <f t="shared" si="2"/>
        <v>18005</v>
      </c>
      <c r="L29">
        <f t="shared" si="3"/>
        <v>8.0379464285714288</v>
      </c>
    </row>
    <row r="30" spans="1:12" x14ac:dyDescent="0.25">
      <c r="A30">
        <v>1725</v>
      </c>
      <c r="B30" t="s">
        <v>15</v>
      </c>
      <c r="C30" t="s">
        <v>77</v>
      </c>
      <c r="D30" t="s">
        <v>33</v>
      </c>
      <c r="F30">
        <v>17</v>
      </c>
      <c r="G30">
        <v>3</v>
      </c>
      <c r="J30">
        <f t="shared" si="2"/>
        <v>1988</v>
      </c>
      <c r="L30">
        <f t="shared" si="3"/>
        <v>0.88749999999999996</v>
      </c>
    </row>
    <row r="31" spans="1:12" x14ac:dyDescent="0.25">
      <c r="A31">
        <v>1725</v>
      </c>
      <c r="B31" t="s">
        <v>44</v>
      </c>
      <c r="C31" t="s">
        <v>77</v>
      </c>
      <c r="D31" t="s">
        <v>33</v>
      </c>
      <c r="J31">
        <f t="shared" si="2"/>
        <v>0</v>
      </c>
      <c r="L31">
        <f t="shared" si="3"/>
        <v>0</v>
      </c>
    </row>
    <row r="32" spans="1:12" x14ac:dyDescent="0.25">
      <c r="A32">
        <v>1725</v>
      </c>
      <c r="B32" t="s">
        <v>49</v>
      </c>
      <c r="C32" t="s">
        <v>77</v>
      </c>
      <c r="D32" t="s">
        <v>33</v>
      </c>
      <c r="H32">
        <v>190</v>
      </c>
      <c r="I32" t="s">
        <v>126</v>
      </c>
      <c r="J32">
        <f t="shared" si="2"/>
        <v>190</v>
      </c>
      <c r="L32">
        <f t="shared" si="3"/>
        <v>8.4821428571428575E-2</v>
      </c>
    </row>
    <row r="33" spans="1:12" x14ac:dyDescent="0.25">
      <c r="A33">
        <v>1725</v>
      </c>
      <c r="B33" t="s">
        <v>16</v>
      </c>
      <c r="C33" t="s">
        <v>77</v>
      </c>
      <c r="D33" t="s">
        <v>33</v>
      </c>
      <c r="J33">
        <f t="shared" si="2"/>
        <v>0</v>
      </c>
      <c r="L33">
        <f t="shared" si="3"/>
        <v>0</v>
      </c>
    </row>
    <row r="34" spans="1:12" x14ac:dyDescent="0.25">
      <c r="A34">
        <v>1725</v>
      </c>
      <c r="B34" t="s">
        <v>99</v>
      </c>
      <c r="C34" t="s">
        <v>77</v>
      </c>
      <c r="D34" t="s">
        <v>33</v>
      </c>
      <c r="J34">
        <f t="shared" si="2"/>
        <v>0</v>
      </c>
      <c r="L34">
        <f t="shared" si="3"/>
        <v>0</v>
      </c>
    </row>
    <row r="35" spans="1:12" x14ac:dyDescent="0.25">
      <c r="A35">
        <v>1725</v>
      </c>
      <c r="B35" t="s">
        <v>17</v>
      </c>
      <c r="C35" t="s">
        <v>77</v>
      </c>
      <c r="D35" t="s">
        <v>33</v>
      </c>
      <c r="J35">
        <f t="shared" si="2"/>
        <v>0</v>
      </c>
      <c r="L35">
        <f t="shared" si="3"/>
        <v>0</v>
      </c>
    </row>
    <row r="36" spans="1:12" x14ac:dyDescent="0.25">
      <c r="A36">
        <v>1725</v>
      </c>
      <c r="B36" t="s">
        <v>18</v>
      </c>
      <c r="C36" t="s">
        <v>77</v>
      </c>
      <c r="D36" t="s">
        <v>33</v>
      </c>
      <c r="H36">
        <v>12833</v>
      </c>
      <c r="I36" t="s">
        <v>127</v>
      </c>
      <c r="J36">
        <f t="shared" si="2"/>
        <v>12833</v>
      </c>
      <c r="L36">
        <f t="shared" si="3"/>
        <v>5.7290178571428569</v>
      </c>
    </row>
    <row r="37" spans="1:12" x14ac:dyDescent="0.25">
      <c r="A37">
        <v>1725</v>
      </c>
      <c r="B37" t="s">
        <v>72</v>
      </c>
      <c r="C37" t="s">
        <v>77</v>
      </c>
      <c r="D37" t="s">
        <v>33</v>
      </c>
      <c r="J37">
        <f t="shared" si="2"/>
        <v>0</v>
      </c>
      <c r="L37">
        <f t="shared" si="3"/>
        <v>0</v>
      </c>
    </row>
    <row r="38" spans="1:12" x14ac:dyDescent="0.25">
      <c r="A38">
        <v>1725</v>
      </c>
      <c r="B38" t="s">
        <v>19</v>
      </c>
      <c r="C38" t="s">
        <v>77</v>
      </c>
      <c r="D38" t="s">
        <v>33</v>
      </c>
      <c r="F38">
        <v>36</v>
      </c>
      <c r="G38">
        <v>2</v>
      </c>
      <c r="H38">
        <v>19</v>
      </c>
      <c r="J38">
        <f t="shared" si="2"/>
        <v>4107</v>
      </c>
      <c r="L38">
        <f t="shared" si="3"/>
        <v>1.8334821428571428</v>
      </c>
    </row>
    <row r="39" spans="1:12" x14ac:dyDescent="0.25">
      <c r="A39">
        <v>1725</v>
      </c>
      <c r="B39" t="s">
        <v>47</v>
      </c>
      <c r="C39" t="s">
        <v>77</v>
      </c>
      <c r="D39" t="s">
        <v>33</v>
      </c>
      <c r="J39">
        <f t="shared" si="2"/>
        <v>0</v>
      </c>
      <c r="L39">
        <f t="shared" si="3"/>
        <v>0</v>
      </c>
    </row>
    <row r="40" spans="1:12" x14ac:dyDescent="0.25">
      <c r="A40">
        <v>1725</v>
      </c>
      <c r="B40" t="s">
        <v>56</v>
      </c>
      <c r="C40" t="s">
        <v>77</v>
      </c>
      <c r="D40" t="s">
        <v>33</v>
      </c>
      <c r="H40">
        <v>644</v>
      </c>
      <c r="J40">
        <f t="shared" si="2"/>
        <v>644</v>
      </c>
      <c r="L40">
        <f t="shared" si="3"/>
        <v>0.28749999999999998</v>
      </c>
    </row>
    <row r="41" spans="1:12" x14ac:dyDescent="0.25">
      <c r="A41">
        <v>1725</v>
      </c>
      <c r="B41" t="s">
        <v>117</v>
      </c>
      <c r="C41" t="s">
        <v>77</v>
      </c>
      <c r="D41" t="s">
        <v>33</v>
      </c>
      <c r="H41">
        <v>131</v>
      </c>
      <c r="J41">
        <f t="shared" si="2"/>
        <v>131</v>
      </c>
      <c r="L41">
        <f t="shared" si="3"/>
        <v>5.8482142857142858E-2</v>
      </c>
    </row>
    <row r="42" spans="1:12" x14ac:dyDescent="0.25">
      <c r="A42">
        <v>1725</v>
      </c>
      <c r="B42" t="s">
        <v>20</v>
      </c>
      <c r="C42" t="s">
        <v>77</v>
      </c>
      <c r="D42" t="s">
        <v>33</v>
      </c>
      <c r="J42">
        <f t="shared" si="2"/>
        <v>0</v>
      </c>
      <c r="L42">
        <f t="shared" si="3"/>
        <v>0</v>
      </c>
    </row>
    <row r="43" spans="1:12" x14ac:dyDescent="0.25">
      <c r="A43">
        <v>1725</v>
      </c>
      <c r="B43" t="s">
        <v>21</v>
      </c>
      <c r="C43" t="s">
        <v>77</v>
      </c>
      <c r="D43" t="s">
        <v>33</v>
      </c>
      <c r="H43">
        <v>7</v>
      </c>
      <c r="J43">
        <f t="shared" si="2"/>
        <v>7</v>
      </c>
      <c r="L43">
        <f t="shared" si="3"/>
        <v>3.1250000000000002E-3</v>
      </c>
    </row>
    <row r="44" spans="1:12" x14ac:dyDescent="0.25">
      <c r="A44">
        <v>1725</v>
      </c>
      <c r="B44" t="s">
        <v>22</v>
      </c>
      <c r="C44" t="s">
        <v>77</v>
      </c>
      <c r="D44" t="s">
        <v>33</v>
      </c>
      <c r="J44">
        <f t="shared" si="2"/>
        <v>0</v>
      </c>
      <c r="L44">
        <f t="shared" si="3"/>
        <v>0</v>
      </c>
    </row>
    <row r="45" spans="1:12" x14ac:dyDescent="0.25">
      <c r="A45">
        <v>1725</v>
      </c>
      <c r="B45" t="s">
        <v>63</v>
      </c>
      <c r="C45" t="s">
        <v>77</v>
      </c>
      <c r="D45" t="s">
        <v>33</v>
      </c>
      <c r="J45">
        <f t="shared" si="2"/>
        <v>0</v>
      </c>
      <c r="L45">
        <f t="shared" si="3"/>
        <v>0</v>
      </c>
    </row>
    <row r="46" spans="1:12" x14ac:dyDescent="0.25">
      <c r="A46">
        <v>1725</v>
      </c>
      <c r="B46" t="s">
        <v>64</v>
      </c>
      <c r="C46" t="s">
        <v>77</v>
      </c>
      <c r="D46" t="s">
        <v>33</v>
      </c>
      <c r="E46">
        <v>655</v>
      </c>
      <c r="F46">
        <v>8</v>
      </c>
      <c r="G46">
        <v>1</v>
      </c>
      <c r="H46">
        <v>25</v>
      </c>
      <c r="J46">
        <f t="shared" si="2"/>
        <v>1468149</v>
      </c>
      <c r="L46">
        <f t="shared" si="3"/>
        <v>655.42366071428569</v>
      </c>
    </row>
    <row r="47" spans="1:12" x14ac:dyDescent="0.25">
      <c r="A47">
        <v>1725</v>
      </c>
      <c r="B47" t="s">
        <v>65</v>
      </c>
      <c r="C47" t="s">
        <v>77</v>
      </c>
      <c r="D47" t="s">
        <v>33</v>
      </c>
      <c r="J47">
        <f t="shared" si="2"/>
        <v>0</v>
      </c>
      <c r="L47">
        <f t="shared" si="3"/>
        <v>0</v>
      </c>
    </row>
    <row r="48" spans="1:12" x14ac:dyDescent="0.25">
      <c r="A48">
        <v>1725</v>
      </c>
      <c r="B48" t="s">
        <v>73</v>
      </c>
      <c r="C48" t="s">
        <v>77</v>
      </c>
      <c r="D48" t="s">
        <v>33</v>
      </c>
      <c r="J48">
        <f t="shared" si="2"/>
        <v>0</v>
      </c>
      <c r="L48">
        <f t="shared" si="3"/>
        <v>0</v>
      </c>
    </row>
    <row r="49" spans="1:12" x14ac:dyDescent="0.25">
      <c r="A49">
        <v>1725</v>
      </c>
      <c r="B49" t="s">
        <v>66</v>
      </c>
      <c r="C49" t="s">
        <v>77</v>
      </c>
      <c r="D49" t="s">
        <v>33</v>
      </c>
      <c r="E49">
        <v>3</v>
      </c>
      <c r="F49">
        <v>10</v>
      </c>
      <c r="J49">
        <f t="shared" si="2"/>
        <v>7840</v>
      </c>
      <c r="L49">
        <f t="shared" si="3"/>
        <v>3.5</v>
      </c>
    </row>
    <row r="50" spans="1:12" x14ac:dyDescent="0.25">
      <c r="A50">
        <v>1725</v>
      </c>
      <c r="B50" t="s">
        <v>67</v>
      </c>
      <c r="C50" t="s">
        <v>77</v>
      </c>
      <c r="D50" t="s">
        <v>33</v>
      </c>
      <c r="J50">
        <f t="shared" si="2"/>
        <v>0</v>
      </c>
      <c r="L50">
        <f t="shared" si="3"/>
        <v>0</v>
      </c>
    </row>
    <row r="51" spans="1:12" x14ac:dyDescent="0.25">
      <c r="A51">
        <v>1725</v>
      </c>
      <c r="B51" t="s">
        <v>6</v>
      </c>
      <c r="C51" t="s">
        <v>77</v>
      </c>
      <c r="D51" t="s">
        <v>35</v>
      </c>
      <c r="F51">
        <v>20784</v>
      </c>
      <c r="G51">
        <v>3</v>
      </c>
      <c r="H51">
        <v>17</v>
      </c>
      <c r="J51">
        <f t="shared" si="2"/>
        <v>2327909</v>
      </c>
      <c r="L51">
        <f t="shared" si="3"/>
        <v>1039.2450892857144</v>
      </c>
    </row>
    <row r="52" spans="1:12" x14ac:dyDescent="0.25">
      <c r="A52">
        <v>1725</v>
      </c>
      <c r="B52" t="s">
        <v>7</v>
      </c>
      <c r="C52" t="s">
        <v>77</v>
      </c>
      <c r="D52" t="s">
        <v>35</v>
      </c>
      <c r="J52">
        <f t="shared" si="2"/>
        <v>0</v>
      </c>
      <c r="L52">
        <f t="shared" si="3"/>
        <v>0</v>
      </c>
    </row>
    <row r="53" spans="1:12" x14ac:dyDescent="0.25">
      <c r="A53">
        <v>1725</v>
      </c>
      <c r="B53" t="s">
        <v>8</v>
      </c>
      <c r="C53" t="s">
        <v>77</v>
      </c>
      <c r="D53" t="s">
        <v>35</v>
      </c>
      <c r="F53">
        <v>58</v>
      </c>
      <c r="G53">
        <v>3</v>
      </c>
      <c r="H53">
        <v>11</v>
      </c>
      <c r="J53">
        <f t="shared" si="2"/>
        <v>6591</v>
      </c>
      <c r="L53">
        <f t="shared" si="3"/>
        <v>2.9424107142857143</v>
      </c>
    </row>
    <row r="54" spans="1:12" x14ac:dyDescent="0.25">
      <c r="A54">
        <v>1725</v>
      </c>
      <c r="B54" t="s">
        <v>9</v>
      </c>
      <c r="C54" t="s">
        <v>77</v>
      </c>
      <c r="D54" t="s">
        <v>35</v>
      </c>
      <c r="F54">
        <v>442</v>
      </c>
      <c r="G54">
        <v>3</v>
      </c>
      <c r="H54">
        <v>14</v>
      </c>
      <c r="J54">
        <f t="shared" si="2"/>
        <v>49602</v>
      </c>
      <c r="L54">
        <f t="shared" si="3"/>
        <v>22.143750000000001</v>
      </c>
    </row>
    <row r="55" spans="1:12" x14ac:dyDescent="0.25">
      <c r="A55">
        <v>1725</v>
      </c>
      <c r="B55" t="s">
        <v>10</v>
      </c>
      <c r="C55" t="s">
        <v>77</v>
      </c>
      <c r="D55" t="s">
        <v>35</v>
      </c>
      <c r="J55">
        <f t="shared" si="2"/>
        <v>0</v>
      </c>
      <c r="L55">
        <f t="shared" si="3"/>
        <v>0</v>
      </c>
    </row>
    <row r="56" spans="1:12" x14ac:dyDescent="0.25">
      <c r="A56">
        <v>1725</v>
      </c>
      <c r="B56" t="s">
        <v>11</v>
      </c>
      <c r="C56" t="s">
        <v>77</v>
      </c>
      <c r="D56" t="s">
        <v>35</v>
      </c>
      <c r="F56">
        <v>25</v>
      </c>
      <c r="G56">
        <v>3</v>
      </c>
      <c r="H56">
        <v>22</v>
      </c>
      <c r="J56">
        <f t="shared" si="2"/>
        <v>2906</v>
      </c>
      <c r="L56">
        <f t="shared" si="3"/>
        <v>1.2973214285714285</v>
      </c>
    </row>
    <row r="57" spans="1:12" x14ac:dyDescent="0.25">
      <c r="A57">
        <v>1725</v>
      </c>
      <c r="B57" t="s">
        <v>12</v>
      </c>
      <c r="C57" t="s">
        <v>77</v>
      </c>
      <c r="D57" t="s">
        <v>35</v>
      </c>
      <c r="H57">
        <v>30</v>
      </c>
      <c r="J57">
        <f t="shared" si="2"/>
        <v>30</v>
      </c>
      <c r="L57">
        <f t="shared" si="3"/>
        <v>1.3392857142857142E-2</v>
      </c>
    </row>
    <row r="58" spans="1:12" x14ac:dyDescent="0.25">
      <c r="A58">
        <v>1725</v>
      </c>
      <c r="B58" t="s">
        <v>13</v>
      </c>
      <c r="C58" t="s">
        <v>77</v>
      </c>
      <c r="D58" t="s">
        <v>35</v>
      </c>
      <c r="E58">
        <v>14</v>
      </c>
      <c r="F58">
        <v>12</v>
      </c>
      <c r="G58">
        <v>3</v>
      </c>
      <c r="H58">
        <v>18</v>
      </c>
      <c r="J58">
        <f t="shared" si="2"/>
        <v>32806</v>
      </c>
      <c r="L58">
        <f t="shared" si="3"/>
        <v>14.645535714285714</v>
      </c>
    </row>
    <row r="59" spans="1:12" x14ac:dyDescent="0.25">
      <c r="A59">
        <v>1725</v>
      </c>
      <c r="B59" t="s">
        <v>14</v>
      </c>
      <c r="C59" t="s">
        <v>77</v>
      </c>
      <c r="D59" t="s">
        <v>35</v>
      </c>
      <c r="J59">
        <f t="shared" si="2"/>
        <v>0</v>
      </c>
      <c r="L59">
        <f t="shared" si="3"/>
        <v>0</v>
      </c>
    </row>
    <row r="60" spans="1:12" x14ac:dyDescent="0.25">
      <c r="A60">
        <v>1725</v>
      </c>
      <c r="B60" t="s">
        <v>27</v>
      </c>
      <c r="C60" t="s">
        <v>77</v>
      </c>
      <c r="D60" t="s">
        <v>35</v>
      </c>
      <c r="H60">
        <v>1620</v>
      </c>
      <c r="I60" t="s">
        <v>142</v>
      </c>
      <c r="J60">
        <f t="shared" si="2"/>
        <v>1620</v>
      </c>
      <c r="L60">
        <f t="shared" si="3"/>
        <v>0.7232142857142857</v>
      </c>
    </row>
    <row r="61" spans="1:12" x14ac:dyDescent="0.25">
      <c r="A61">
        <v>1725</v>
      </c>
      <c r="B61" t="s">
        <v>15</v>
      </c>
      <c r="C61" t="s">
        <v>77</v>
      </c>
      <c r="D61" t="s">
        <v>35</v>
      </c>
      <c r="J61">
        <f t="shared" si="2"/>
        <v>0</v>
      </c>
      <c r="L61">
        <f t="shared" si="3"/>
        <v>0</v>
      </c>
    </row>
    <row r="62" spans="1:12" x14ac:dyDescent="0.25">
      <c r="A62">
        <v>1725</v>
      </c>
      <c r="B62" t="s">
        <v>17</v>
      </c>
      <c r="C62" t="s">
        <v>77</v>
      </c>
      <c r="D62" t="s">
        <v>35</v>
      </c>
      <c r="J62">
        <f t="shared" si="2"/>
        <v>0</v>
      </c>
      <c r="L62">
        <f t="shared" si="3"/>
        <v>0</v>
      </c>
    </row>
    <row r="63" spans="1:12" x14ac:dyDescent="0.25">
      <c r="A63">
        <v>1725</v>
      </c>
      <c r="B63" t="s">
        <v>18</v>
      </c>
      <c r="C63" t="s">
        <v>77</v>
      </c>
      <c r="D63" t="s">
        <v>35</v>
      </c>
      <c r="H63">
        <v>4296</v>
      </c>
      <c r="I63" t="s">
        <v>141</v>
      </c>
      <c r="J63">
        <f t="shared" si="2"/>
        <v>4296</v>
      </c>
      <c r="L63">
        <f t="shared" si="3"/>
        <v>1.9178571428571429</v>
      </c>
    </row>
    <row r="64" spans="1:12" x14ac:dyDescent="0.25">
      <c r="A64">
        <v>1725</v>
      </c>
      <c r="B64" t="s">
        <v>19</v>
      </c>
      <c r="C64" t="s">
        <v>77</v>
      </c>
      <c r="D64" t="s">
        <v>35</v>
      </c>
      <c r="F64">
        <v>2</v>
      </c>
      <c r="H64">
        <v>20</v>
      </c>
      <c r="J64">
        <f t="shared" si="2"/>
        <v>244</v>
      </c>
      <c r="L64">
        <f t="shared" si="3"/>
        <v>0.10892857142857143</v>
      </c>
    </row>
    <row r="65" spans="1:12" x14ac:dyDescent="0.25">
      <c r="A65">
        <v>1725</v>
      </c>
      <c r="B65" t="s">
        <v>56</v>
      </c>
      <c r="C65" t="s">
        <v>77</v>
      </c>
      <c r="D65" t="s">
        <v>35</v>
      </c>
      <c r="J65">
        <f t="shared" si="2"/>
        <v>0</v>
      </c>
      <c r="L65">
        <f t="shared" si="3"/>
        <v>0</v>
      </c>
    </row>
    <row r="66" spans="1:12" x14ac:dyDescent="0.25">
      <c r="A66">
        <v>1725</v>
      </c>
      <c r="B66" t="s">
        <v>20</v>
      </c>
      <c r="C66" t="s">
        <v>77</v>
      </c>
      <c r="D66" t="s">
        <v>35</v>
      </c>
      <c r="H66">
        <v>1362</v>
      </c>
      <c r="J66">
        <f t="shared" si="2"/>
        <v>1362</v>
      </c>
      <c r="L66">
        <f t="shared" si="3"/>
        <v>0.60803571428571423</v>
      </c>
    </row>
    <row r="67" spans="1:12" x14ac:dyDescent="0.25">
      <c r="A67">
        <v>1725</v>
      </c>
      <c r="B67" t="s">
        <v>21</v>
      </c>
      <c r="C67" t="s">
        <v>77</v>
      </c>
      <c r="D67" t="s">
        <v>35</v>
      </c>
      <c r="J67">
        <f t="shared" si="2"/>
        <v>0</v>
      </c>
      <c r="L67">
        <f t="shared" si="3"/>
        <v>0</v>
      </c>
    </row>
    <row r="68" spans="1:12" x14ac:dyDescent="0.25">
      <c r="A68">
        <v>1725</v>
      </c>
      <c r="B68" t="s">
        <v>22</v>
      </c>
      <c r="C68" t="s">
        <v>77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1725</v>
      </c>
      <c r="B69" t="s">
        <v>64</v>
      </c>
      <c r="C69" t="s">
        <v>77</v>
      </c>
      <c r="D69" t="s">
        <v>35</v>
      </c>
      <c r="E69">
        <v>453</v>
      </c>
      <c r="F69">
        <v>8</v>
      </c>
      <c r="G69">
        <v>1</v>
      </c>
      <c r="H69">
        <v>4</v>
      </c>
      <c r="J69">
        <f t="shared" si="2"/>
        <v>1015648</v>
      </c>
      <c r="L69">
        <f t="shared" si="3"/>
        <v>453.41428571428571</v>
      </c>
    </row>
    <row r="70" spans="1:12" x14ac:dyDescent="0.25">
      <c r="A70">
        <v>1725</v>
      </c>
      <c r="B70" t="s">
        <v>66</v>
      </c>
      <c r="C70" t="s">
        <v>77</v>
      </c>
      <c r="D70" t="s">
        <v>35</v>
      </c>
      <c r="E70">
        <v>1</v>
      </c>
      <c r="F70">
        <v>4</v>
      </c>
      <c r="G70">
        <v>3</v>
      </c>
      <c r="H70">
        <v>15</v>
      </c>
      <c r="J70">
        <f t="shared" si="2"/>
        <v>2787</v>
      </c>
      <c r="L70">
        <f t="shared" si="3"/>
        <v>1.2441964285714286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L70"/>
  <sheetViews>
    <sheetView workbookViewId="0">
      <selection activeCell="P15" sqref="P15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B2" t="s">
        <v>57</v>
      </c>
      <c r="C2" t="s">
        <v>100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B3" t="s">
        <v>59</v>
      </c>
      <c r="C3" t="s">
        <v>100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B4" t="s">
        <v>38</v>
      </c>
      <c r="C4" t="s">
        <v>100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B5" t="s">
        <v>4</v>
      </c>
      <c r="C5" t="s">
        <v>100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B6" t="s">
        <v>60</v>
      </c>
      <c r="C6" t="s">
        <v>100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B7" t="s">
        <v>71</v>
      </c>
      <c r="C7" t="s">
        <v>100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B8" t="s">
        <v>45</v>
      </c>
      <c r="C8" t="s">
        <v>100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B9" t="s">
        <v>5</v>
      </c>
      <c r="C9" t="s">
        <v>100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B10" t="s">
        <v>61</v>
      </c>
      <c r="C10" t="s">
        <v>100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B11" t="s">
        <v>6</v>
      </c>
      <c r="C11" t="s">
        <v>100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B12" t="s">
        <v>62</v>
      </c>
      <c r="C12" t="s">
        <v>100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B13" t="s">
        <v>40</v>
      </c>
      <c r="C13" t="s">
        <v>100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B14" t="s">
        <v>39</v>
      </c>
      <c r="C14" t="s">
        <v>100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B15" t="s">
        <v>8</v>
      </c>
      <c r="C15" t="s">
        <v>100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B16" t="s">
        <v>42</v>
      </c>
      <c r="C16" t="s">
        <v>100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98</v>
      </c>
      <c r="C17" t="s">
        <v>100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48</v>
      </c>
      <c r="C18" t="s">
        <v>100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9</v>
      </c>
      <c r="C19" t="s">
        <v>100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10</v>
      </c>
      <c r="C20" t="s">
        <v>100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11</v>
      </c>
      <c r="C21" t="s">
        <v>100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41</v>
      </c>
      <c r="C22" t="s">
        <v>100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46</v>
      </c>
      <c r="C23" t="s">
        <v>100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12</v>
      </c>
      <c r="C24" t="s">
        <v>100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34</v>
      </c>
      <c r="C25" t="s">
        <v>100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13</v>
      </c>
      <c r="C26" t="s">
        <v>100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14</v>
      </c>
      <c r="C27" t="s">
        <v>100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23</v>
      </c>
      <c r="C28" t="s">
        <v>100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27</v>
      </c>
      <c r="C29" t="s">
        <v>100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15</v>
      </c>
      <c r="C30" t="s">
        <v>100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44</v>
      </c>
      <c r="C31" t="s">
        <v>100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49</v>
      </c>
      <c r="C32" t="s">
        <v>100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16</v>
      </c>
      <c r="C33" t="s">
        <v>100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99</v>
      </c>
      <c r="C34" t="s">
        <v>100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17</v>
      </c>
      <c r="C35" t="s">
        <v>100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18</v>
      </c>
      <c r="C36" t="s">
        <v>100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72</v>
      </c>
      <c r="C37" t="s">
        <v>100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19</v>
      </c>
      <c r="C38" t="s">
        <v>100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47</v>
      </c>
      <c r="C39" t="s">
        <v>100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56</v>
      </c>
      <c r="C40" t="s">
        <v>100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117</v>
      </c>
      <c r="C41" t="s">
        <v>100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20</v>
      </c>
      <c r="C42" t="s">
        <v>100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21</v>
      </c>
      <c r="C43" t="s">
        <v>100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22</v>
      </c>
      <c r="C44" t="s">
        <v>100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63</v>
      </c>
      <c r="C45" t="s">
        <v>100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64</v>
      </c>
      <c r="C46" t="s">
        <v>100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65</v>
      </c>
      <c r="C47" t="s">
        <v>100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73</v>
      </c>
      <c r="C48" t="s">
        <v>100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66</v>
      </c>
      <c r="C49" t="s">
        <v>100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67</v>
      </c>
      <c r="C50" t="s">
        <v>100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5</v>
      </c>
      <c r="C51" t="s">
        <v>100</v>
      </c>
      <c r="D51" t="s">
        <v>35</v>
      </c>
      <c r="J51">
        <f t="shared" si="0"/>
        <v>0</v>
      </c>
      <c r="L51">
        <f t="shared" si="1"/>
        <v>0</v>
      </c>
    </row>
    <row r="52" spans="2:12" x14ac:dyDescent="0.25">
      <c r="B52" t="s">
        <v>6</v>
      </c>
      <c r="C52" t="s">
        <v>100</v>
      </c>
      <c r="D52" t="s">
        <v>35</v>
      </c>
      <c r="J52">
        <f t="shared" si="0"/>
        <v>0</v>
      </c>
      <c r="L52">
        <f t="shared" si="1"/>
        <v>0</v>
      </c>
    </row>
    <row r="53" spans="2:12" x14ac:dyDescent="0.25">
      <c r="B53" t="s">
        <v>7</v>
      </c>
      <c r="C53" t="s">
        <v>100</v>
      </c>
      <c r="D53" t="s">
        <v>35</v>
      </c>
      <c r="J53">
        <f t="shared" si="0"/>
        <v>0</v>
      </c>
      <c r="L53">
        <f t="shared" si="1"/>
        <v>0</v>
      </c>
    </row>
    <row r="54" spans="2:12" x14ac:dyDescent="0.25">
      <c r="B54" t="s">
        <v>8</v>
      </c>
      <c r="C54" t="s">
        <v>100</v>
      </c>
      <c r="D54" t="s">
        <v>35</v>
      </c>
      <c r="J54">
        <f t="shared" si="0"/>
        <v>0</v>
      </c>
      <c r="L54">
        <f t="shared" si="1"/>
        <v>0</v>
      </c>
    </row>
    <row r="55" spans="2:12" x14ac:dyDescent="0.25">
      <c r="B55" t="s">
        <v>9</v>
      </c>
      <c r="C55" t="s">
        <v>100</v>
      </c>
      <c r="D55" t="s">
        <v>35</v>
      </c>
      <c r="J55">
        <f>(E55*2240)+(F55*112)+(G55*28)+H55</f>
        <v>0</v>
      </c>
      <c r="L55">
        <f t="shared" si="1"/>
        <v>0</v>
      </c>
    </row>
    <row r="56" spans="2:12" x14ac:dyDescent="0.25">
      <c r="B56" t="s">
        <v>10</v>
      </c>
      <c r="C56" t="s">
        <v>100</v>
      </c>
      <c r="D56" t="s">
        <v>35</v>
      </c>
      <c r="J56">
        <f>(E56*2240)+(F56*112)+(G56*28)+H56</f>
        <v>0</v>
      </c>
      <c r="L56">
        <f t="shared" si="1"/>
        <v>0</v>
      </c>
    </row>
    <row r="57" spans="2:12" x14ac:dyDescent="0.25">
      <c r="B57" t="s">
        <v>11</v>
      </c>
      <c r="C57" t="s">
        <v>100</v>
      </c>
      <c r="D57" t="s">
        <v>35</v>
      </c>
      <c r="J57">
        <f t="shared" si="0"/>
        <v>0</v>
      </c>
      <c r="L57">
        <f t="shared" si="1"/>
        <v>0</v>
      </c>
    </row>
    <row r="58" spans="2:12" x14ac:dyDescent="0.25">
      <c r="B58" t="s">
        <v>12</v>
      </c>
      <c r="C58" t="s">
        <v>100</v>
      </c>
      <c r="D58" t="s">
        <v>35</v>
      </c>
      <c r="J58">
        <f t="shared" si="0"/>
        <v>0</v>
      </c>
      <c r="L58">
        <f t="shared" si="1"/>
        <v>0</v>
      </c>
    </row>
    <row r="59" spans="2:12" x14ac:dyDescent="0.25">
      <c r="B59" t="s">
        <v>13</v>
      </c>
      <c r="C59" t="s">
        <v>100</v>
      </c>
      <c r="D59" t="s">
        <v>35</v>
      </c>
      <c r="J59">
        <f t="shared" si="0"/>
        <v>0</v>
      </c>
      <c r="L59">
        <f t="shared" si="1"/>
        <v>0</v>
      </c>
    </row>
    <row r="60" spans="2:12" x14ac:dyDescent="0.25">
      <c r="B60" t="s">
        <v>14</v>
      </c>
      <c r="C60" t="s">
        <v>100</v>
      </c>
      <c r="D60" t="s">
        <v>35</v>
      </c>
      <c r="J60">
        <f t="shared" si="0"/>
        <v>0</v>
      </c>
      <c r="L60">
        <f t="shared" si="1"/>
        <v>0</v>
      </c>
    </row>
    <row r="61" spans="2:12" x14ac:dyDescent="0.25">
      <c r="B61" t="s">
        <v>27</v>
      </c>
      <c r="C61" t="s">
        <v>100</v>
      </c>
      <c r="D61" t="s">
        <v>35</v>
      </c>
      <c r="J61">
        <f t="shared" si="0"/>
        <v>0</v>
      </c>
      <c r="L61">
        <f t="shared" si="1"/>
        <v>0</v>
      </c>
    </row>
    <row r="62" spans="2:12" x14ac:dyDescent="0.25">
      <c r="B62" t="s">
        <v>15</v>
      </c>
      <c r="C62" t="s">
        <v>100</v>
      </c>
      <c r="D62" t="s">
        <v>35</v>
      </c>
      <c r="J62">
        <f t="shared" si="0"/>
        <v>0</v>
      </c>
      <c r="L62">
        <f t="shared" si="1"/>
        <v>0</v>
      </c>
    </row>
    <row r="63" spans="2:12" x14ac:dyDescent="0.25">
      <c r="B63" t="s">
        <v>17</v>
      </c>
      <c r="C63" t="s">
        <v>100</v>
      </c>
      <c r="D63" t="s">
        <v>35</v>
      </c>
      <c r="J63">
        <f t="shared" si="0"/>
        <v>0</v>
      </c>
      <c r="L63">
        <f t="shared" si="1"/>
        <v>0</v>
      </c>
    </row>
    <row r="64" spans="2:12" x14ac:dyDescent="0.25">
      <c r="B64" t="s">
        <v>18</v>
      </c>
      <c r="C64" t="s">
        <v>100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19</v>
      </c>
      <c r="C65" t="s">
        <v>100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56</v>
      </c>
      <c r="C66" t="s">
        <v>100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21</v>
      </c>
      <c r="C67" t="s">
        <v>100</v>
      </c>
      <c r="D67" t="s">
        <v>35</v>
      </c>
      <c r="J67">
        <f t="shared" si="0"/>
        <v>0</v>
      </c>
      <c r="L67">
        <f t="shared" si="1"/>
        <v>0</v>
      </c>
    </row>
    <row r="68" spans="2:12" x14ac:dyDescent="0.25">
      <c r="B68" t="s">
        <v>22</v>
      </c>
      <c r="C68" t="s">
        <v>100</v>
      </c>
      <c r="D68" t="s">
        <v>35</v>
      </c>
      <c r="J68">
        <f t="shared" ref="J68:J70" si="2">(E68*2240)+(F68*112)+(G68*28)+H68</f>
        <v>0</v>
      </c>
      <c r="L68">
        <f t="shared" ref="L68:L70" si="3">J68/2240</f>
        <v>0</v>
      </c>
    </row>
    <row r="69" spans="2:12" x14ac:dyDescent="0.25">
      <c r="B69" t="s">
        <v>64</v>
      </c>
      <c r="C69" t="s">
        <v>100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66</v>
      </c>
      <c r="C70" t="s">
        <v>100</v>
      </c>
      <c r="D70" t="s">
        <v>35</v>
      </c>
      <c r="J70">
        <f t="shared" si="2"/>
        <v>0</v>
      </c>
      <c r="L70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2025-04-29T19:09:05Z</dcterms:modified>
</cp:coreProperties>
</file>