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993" documentId="8_{09186A81-6D42-4B19-B451-DAFCFEFE5EBB}" xr6:coauthVersionLast="47" xr6:coauthVersionMax="47" xr10:uidLastSave="{85742ADA-9DD3-4735-96C1-A2E4CB65FC0B}"/>
  <bookViews>
    <workbookView xWindow="-120" yWindow="-120" windowWidth="29040" windowHeight="15840" xr2:uid="{A9AB6255-FFC3-4BA2-A4C8-A2A9711B6F5F}"/>
  </bookViews>
  <sheets>
    <sheet name="Master Goods Sheet" sheetId="12" r:id="rId1"/>
    <sheet name="Africa" sheetId="1" r:id="rId2"/>
    <sheet name="Canaries" sheetId="2" r:id="rId3"/>
    <sheet name="Antigua" sheetId="3" r:id="rId4"/>
    <sheet name="Barbados" sheetId="4" r:id="rId5"/>
    <sheet name="Bermuda" sheetId="5" r:id="rId6"/>
    <sheet name="Carolina" sheetId="6" r:id="rId7"/>
    <sheet name="Jamaica" sheetId="7" r:id="rId8"/>
    <sheet name="Mountserat" sheetId="8" r:id="rId9"/>
    <sheet name="Nevis" sheetId="9" r:id="rId10"/>
    <sheet name="St Kitts" sheetId="10" r:id="rId11"/>
    <sheet name="NewEngland" sheetId="11" r:id="rId12"/>
    <sheet name="General" sheetId="13" r:id="rId13"/>
  </sheets>
  <definedNames>
    <definedName name="_xlnm._FilterDatabase" localSheetId="3" hidden="1">Antigua!$A$1:$O$40</definedName>
    <definedName name="_xlnm._FilterDatabase" localSheetId="4" hidden="1">Barbados!$B$1:$P$62</definedName>
    <definedName name="_xlnm._FilterDatabase" localSheetId="7" hidden="1">Jamaica!$A$1:$O$69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2" l="1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C2" i="12"/>
  <c r="B2" i="12"/>
  <c r="H18" i="13"/>
  <c r="H18" i="10"/>
  <c r="H18" i="9"/>
  <c r="H18" i="8"/>
  <c r="H18" i="7"/>
  <c r="H16" i="4"/>
  <c r="H6" i="3"/>
  <c r="J18" i="13"/>
  <c r="L18" i="13" s="1"/>
  <c r="L53" i="10"/>
  <c r="J53" i="10"/>
  <c r="L62" i="11"/>
  <c r="J62" i="11"/>
  <c r="L53" i="8"/>
  <c r="J53" i="8"/>
  <c r="J73" i="7"/>
  <c r="L73" i="7" s="1"/>
  <c r="J65" i="7"/>
  <c r="L65" i="7" s="1"/>
  <c r="J61" i="7"/>
  <c r="L61" i="7" s="1"/>
  <c r="J72" i="7"/>
  <c r="L72" i="7" s="1"/>
  <c r="J74" i="7"/>
  <c r="L74" i="7" s="1"/>
  <c r="J67" i="7"/>
  <c r="L67" i="7" s="1"/>
  <c r="H56" i="7"/>
  <c r="J55" i="7"/>
  <c r="L55" i="7" s="1"/>
  <c r="J48" i="7"/>
  <c r="L48" i="7" s="1"/>
  <c r="J49" i="7"/>
  <c r="L49" i="7" s="1"/>
  <c r="J50" i="7"/>
  <c r="L50" i="7" s="1"/>
  <c r="J51" i="7"/>
  <c r="L51" i="7" s="1"/>
  <c r="L61" i="6"/>
  <c r="J61" i="6"/>
  <c r="L58" i="6"/>
  <c r="L59" i="6"/>
  <c r="J50" i="6"/>
  <c r="L50" i="6" s="1"/>
  <c r="J51" i="6"/>
  <c r="L51" i="6" s="1"/>
  <c r="J52" i="6"/>
  <c r="L52" i="6" s="1"/>
  <c r="J53" i="6"/>
  <c r="L53" i="6" s="1"/>
  <c r="J54" i="6"/>
  <c r="L54" i="6" s="1"/>
  <c r="J55" i="6"/>
  <c r="L55" i="6" s="1"/>
  <c r="J56" i="6"/>
  <c r="L56" i="6" s="1"/>
  <c r="J57" i="6"/>
  <c r="L57" i="6" s="1"/>
  <c r="J58" i="6"/>
  <c r="J59" i="6"/>
  <c r="J60" i="6"/>
  <c r="J62" i="6"/>
  <c r="L14" i="5"/>
  <c r="J14" i="5"/>
  <c r="L13" i="5"/>
  <c r="J13" i="5"/>
  <c r="J64" i="4"/>
  <c r="L64" i="4" s="1"/>
  <c r="L50" i="4"/>
  <c r="J50" i="4"/>
  <c r="J51" i="4"/>
  <c r="L51" i="4" s="1"/>
  <c r="J44" i="4"/>
  <c r="L44" i="4" s="1"/>
  <c r="J65" i="13"/>
  <c r="L65" i="13" s="1"/>
  <c r="J64" i="13"/>
  <c r="L64" i="13" s="1"/>
  <c r="J63" i="13"/>
  <c r="L63" i="13" s="1"/>
  <c r="J62" i="13"/>
  <c r="L62" i="13" s="1"/>
  <c r="J61" i="13"/>
  <c r="L61" i="13" s="1"/>
  <c r="J60" i="13"/>
  <c r="L60" i="13" s="1"/>
  <c r="J59" i="13"/>
  <c r="L59" i="13" s="1"/>
  <c r="J58" i="13"/>
  <c r="L58" i="13" s="1"/>
  <c r="J57" i="13"/>
  <c r="L57" i="13" s="1"/>
  <c r="J56" i="13"/>
  <c r="L56" i="13" s="1"/>
  <c r="J55" i="13"/>
  <c r="L55" i="13" s="1"/>
  <c r="J54" i="13"/>
  <c r="L54" i="13" s="1"/>
  <c r="J53" i="13"/>
  <c r="L53" i="13" s="1"/>
  <c r="J52" i="13"/>
  <c r="L52" i="13" s="1"/>
  <c r="J51" i="13"/>
  <c r="L51" i="13" s="1"/>
  <c r="J50" i="13"/>
  <c r="L50" i="13" s="1"/>
  <c r="J49" i="13"/>
  <c r="L49" i="13" s="1"/>
  <c r="J48" i="13"/>
  <c r="L48" i="13" s="1"/>
  <c r="J47" i="13"/>
  <c r="L47" i="13" s="1"/>
  <c r="J46" i="13"/>
  <c r="L46" i="13" s="1"/>
  <c r="J45" i="13"/>
  <c r="L45" i="13" s="1"/>
  <c r="J44" i="13"/>
  <c r="L44" i="13" s="1"/>
  <c r="J43" i="13"/>
  <c r="L43" i="13" s="1"/>
  <c r="J42" i="13"/>
  <c r="L42" i="13" s="1"/>
  <c r="J41" i="13"/>
  <c r="L41" i="13" s="1"/>
  <c r="J40" i="13"/>
  <c r="L40" i="13" s="1"/>
  <c r="J39" i="13"/>
  <c r="L39" i="13" s="1"/>
  <c r="J38" i="13"/>
  <c r="L38" i="13" s="1"/>
  <c r="J37" i="13"/>
  <c r="L37" i="13" s="1"/>
  <c r="J36" i="13"/>
  <c r="L36" i="13" s="1"/>
  <c r="J35" i="13"/>
  <c r="L35" i="13" s="1"/>
  <c r="J34" i="13"/>
  <c r="L34" i="13" s="1"/>
  <c r="J33" i="13"/>
  <c r="L33" i="13" s="1"/>
  <c r="J32" i="13"/>
  <c r="L32" i="13" s="1"/>
  <c r="J31" i="13"/>
  <c r="L31" i="13" s="1"/>
  <c r="J30" i="13"/>
  <c r="L30" i="13" s="1"/>
  <c r="J29" i="13"/>
  <c r="L29" i="13" s="1"/>
  <c r="J28" i="13"/>
  <c r="L28" i="13" s="1"/>
  <c r="J27" i="13"/>
  <c r="L27" i="13" s="1"/>
  <c r="J26" i="13"/>
  <c r="L26" i="13" s="1"/>
  <c r="J25" i="13"/>
  <c r="L25" i="13" s="1"/>
  <c r="J24" i="13"/>
  <c r="L24" i="13" s="1"/>
  <c r="J23" i="13"/>
  <c r="L23" i="13" s="1"/>
  <c r="J22" i="13"/>
  <c r="L22" i="13" s="1"/>
  <c r="J21" i="13"/>
  <c r="L21" i="13" s="1"/>
  <c r="J20" i="13"/>
  <c r="L20" i="13" s="1"/>
  <c r="J19" i="13"/>
  <c r="L19" i="13" s="1"/>
  <c r="J17" i="13"/>
  <c r="L17" i="13" s="1"/>
  <c r="J16" i="13"/>
  <c r="L16" i="13" s="1"/>
  <c r="J15" i="13"/>
  <c r="L15" i="13" s="1"/>
  <c r="J14" i="13"/>
  <c r="L14" i="13" s="1"/>
  <c r="J13" i="13"/>
  <c r="L13" i="13" s="1"/>
  <c r="J12" i="13"/>
  <c r="L12" i="13" s="1"/>
  <c r="J11" i="13"/>
  <c r="L11" i="13" s="1"/>
  <c r="J10" i="13"/>
  <c r="L10" i="13" s="1"/>
  <c r="J9" i="13"/>
  <c r="L9" i="13" s="1"/>
  <c r="J8" i="13"/>
  <c r="L8" i="13" s="1"/>
  <c r="J7" i="13"/>
  <c r="L7" i="13" s="1"/>
  <c r="J6" i="13"/>
  <c r="L6" i="13" s="1"/>
  <c r="J5" i="13"/>
  <c r="L5" i="13" s="1"/>
  <c r="J4" i="13"/>
  <c r="L4" i="13" s="1"/>
  <c r="J3" i="13"/>
  <c r="L3" i="13" s="1"/>
  <c r="J2" i="13"/>
  <c r="L2" i="13" s="1"/>
  <c r="J66" i="10"/>
  <c r="L66" i="10" s="1"/>
  <c r="J65" i="10"/>
  <c r="L65" i="10" s="1"/>
  <c r="J64" i="10"/>
  <c r="L64" i="10" s="1"/>
  <c r="J63" i="10"/>
  <c r="L63" i="10" s="1"/>
  <c r="J62" i="10"/>
  <c r="L62" i="10" s="1"/>
  <c r="J61" i="10"/>
  <c r="L61" i="10" s="1"/>
  <c r="J60" i="10"/>
  <c r="L60" i="10" s="1"/>
  <c r="J59" i="10"/>
  <c r="L59" i="10" s="1"/>
  <c r="J58" i="10"/>
  <c r="L58" i="10" s="1"/>
  <c r="J57" i="10"/>
  <c r="L57" i="10" s="1"/>
  <c r="J56" i="10"/>
  <c r="L56" i="10" s="1"/>
  <c r="J55" i="10"/>
  <c r="L55" i="10" s="1"/>
  <c r="J54" i="10"/>
  <c r="L54" i="10" s="1"/>
  <c r="J52" i="10"/>
  <c r="L52" i="10" s="1"/>
  <c r="J51" i="10"/>
  <c r="L51" i="10" s="1"/>
  <c r="J50" i="10"/>
  <c r="L50" i="10" s="1"/>
  <c r="J49" i="10"/>
  <c r="L49" i="10" s="1"/>
  <c r="J48" i="10"/>
  <c r="L48" i="10" s="1"/>
  <c r="J47" i="10"/>
  <c r="L47" i="10" s="1"/>
  <c r="J46" i="10"/>
  <c r="L46" i="10" s="1"/>
  <c r="J45" i="10"/>
  <c r="L45" i="10" s="1"/>
  <c r="J44" i="10"/>
  <c r="L44" i="10" s="1"/>
  <c r="J43" i="10"/>
  <c r="L43" i="10" s="1"/>
  <c r="J42" i="10"/>
  <c r="L42" i="10" s="1"/>
  <c r="J41" i="10"/>
  <c r="L41" i="10" s="1"/>
  <c r="J40" i="10"/>
  <c r="L40" i="10" s="1"/>
  <c r="J39" i="10"/>
  <c r="L39" i="10" s="1"/>
  <c r="J38" i="10"/>
  <c r="L38" i="10" s="1"/>
  <c r="J37" i="10"/>
  <c r="L37" i="10" s="1"/>
  <c r="J36" i="10"/>
  <c r="L36" i="10" s="1"/>
  <c r="J35" i="10"/>
  <c r="L35" i="10" s="1"/>
  <c r="J34" i="10"/>
  <c r="L34" i="10" s="1"/>
  <c r="J33" i="10"/>
  <c r="L33" i="10" s="1"/>
  <c r="J32" i="10"/>
  <c r="L32" i="10" s="1"/>
  <c r="J31" i="10"/>
  <c r="L31" i="10" s="1"/>
  <c r="J30" i="10"/>
  <c r="L30" i="10" s="1"/>
  <c r="J29" i="10"/>
  <c r="L29" i="10" s="1"/>
  <c r="J28" i="10"/>
  <c r="L28" i="10" s="1"/>
  <c r="J27" i="10"/>
  <c r="L27" i="10" s="1"/>
  <c r="J26" i="10"/>
  <c r="L26" i="10" s="1"/>
  <c r="J25" i="10"/>
  <c r="L25" i="10" s="1"/>
  <c r="J24" i="10"/>
  <c r="L24" i="10" s="1"/>
  <c r="J23" i="10"/>
  <c r="L23" i="10" s="1"/>
  <c r="J22" i="10"/>
  <c r="L22" i="10" s="1"/>
  <c r="J21" i="10"/>
  <c r="L21" i="10" s="1"/>
  <c r="J20" i="10"/>
  <c r="L20" i="10" s="1"/>
  <c r="J19" i="10"/>
  <c r="L19" i="10" s="1"/>
  <c r="J18" i="10"/>
  <c r="L18" i="10" s="1"/>
  <c r="J17" i="10"/>
  <c r="L17" i="10" s="1"/>
  <c r="J16" i="10"/>
  <c r="L16" i="10" s="1"/>
  <c r="J15" i="10"/>
  <c r="L15" i="10" s="1"/>
  <c r="J14" i="10"/>
  <c r="L14" i="10" s="1"/>
  <c r="J13" i="10"/>
  <c r="L13" i="10" s="1"/>
  <c r="J12" i="10"/>
  <c r="L12" i="10" s="1"/>
  <c r="J11" i="10"/>
  <c r="L11" i="10" s="1"/>
  <c r="J10" i="10"/>
  <c r="L10" i="10" s="1"/>
  <c r="J9" i="10"/>
  <c r="L9" i="10" s="1"/>
  <c r="L8" i="10"/>
  <c r="J8" i="10"/>
  <c r="J7" i="10"/>
  <c r="L7" i="10" s="1"/>
  <c r="J6" i="10"/>
  <c r="L6" i="10" s="1"/>
  <c r="J5" i="10"/>
  <c r="L5" i="10" s="1"/>
  <c r="J4" i="10"/>
  <c r="L4" i="10" s="1"/>
  <c r="J3" i="10"/>
  <c r="L3" i="10" s="1"/>
  <c r="J2" i="10"/>
  <c r="L2" i="10" s="1"/>
  <c r="J66" i="11"/>
  <c r="L66" i="11" s="1"/>
  <c r="J65" i="11"/>
  <c r="L65" i="11" s="1"/>
  <c r="J64" i="11"/>
  <c r="L64" i="11" s="1"/>
  <c r="J63" i="11"/>
  <c r="L63" i="11" s="1"/>
  <c r="J61" i="11"/>
  <c r="L61" i="11" s="1"/>
  <c r="J60" i="11"/>
  <c r="L60" i="11" s="1"/>
  <c r="J59" i="11"/>
  <c r="L59" i="11" s="1"/>
  <c r="J58" i="11"/>
  <c r="L58" i="11" s="1"/>
  <c r="J57" i="11"/>
  <c r="L57" i="11" s="1"/>
  <c r="J56" i="11"/>
  <c r="L56" i="11" s="1"/>
  <c r="J55" i="11"/>
  <c r="L55" i="11" s="1"/>
  <c r="J54" i="11"/>
  <c r="L54" i="11" s="1"/>
  <c r="J53" i="11"/>
  <c r="L53" i="11" s="1"/>
  <c r="J52" i="11"/>
  <c r="L52" i="11" s="1"/>
  <c r="J51" i="11"/>
  <c r="L51" i="11" s="1"/>
  <c r="J50" i="11"/>
  <c r="L50" i="11" s="1"/>
  <c r="J49" i="11"/>
  <c r="L49" i="11" s="1"/>
  <c r="J48" i="11"/>
  <c r="L48" i="11" s="1"/>
  <c r="J47" i="11"/>
  <c r="L47" i="11" s="1"/>
  <c r="J46" i="11"/>
  <c r="L46" i="11" s="1"/>
  <c r="J45" i="11"/>
  <c r="L45" i="11" s="1"/>
  <c r="J44" i="11"/>
  <c r="L44" i="11" s="1"/>
  <c r="J43" i="11"/>
  <c r="L43" i="11" s="1"/>
  <c r="J42" i="11"/>
  <c r="L42" i="11" s="1"/>
  <c r="J41" i="11"/>
  <c r="L41" i="11" s="1"/>
  <c r="J40" i="11"/>
  <c r="L40" i="11" s="1"/>
  <c r="J39" i="11"/>
  <c r="L39" i="11" s="1"/>
  <c r="J38" i="11"/>
  <c r="L38" i="11" s="1"/>
  <c r="J37" i="11"/>
  <c r="L37" i="11" s="1"/>
  <c r="J36" i="11"/>
  <c r="L36" i="11" s="1"/>
  <c r="J35" i="11"/>
  <c r="L35" i="11" s="1"/>
  <c r="J34" i="11"/>
  <c r="L34" i="11" s="1"/>
  <c r="J33" i="11"/>
  <c r="L33" i="11" s="1"/>
  <c r="J32" i="11"/>
  <c r="L32" i="11" s="1"/>
  <c r="J31" i="11"/>
  <c r="L31" i="11" s="1"/>
  <c r="J30" i="11"/>
  <c r="L30" i="11" s="1"/>
  <c r="J29" i="11"/>
  <c r="L29" i="11" s="1"/>
  <c r="J28" i="11"/>
  <c r="L28" i="11" s="1"/>
  <c r="J27" i="11"/>
  <c r="L27" i="11" s="1"/>
  <c r="J26" i="11"/>
  <c r="L26" i="11" s="1"/>
  <c r="J25" i="11"/>
  <c r="L25" i="11" s="1"/>
  <c r="J24" i="11"/>
  <c r="L24" i="11" s="1"/>
  <c r="J23" i="11"/>
  <c r="L23" i="11" s="1"/>
  <c r="J22" i="11"/>
  <c r="L22" i="11" s="1"/>
  <c r="J21" i="11"/>
  <c r="L21" i="11" s="1"/>
  <c r="J20" i="11"/>
  <c r="L20" i="11" s="1"/>
  <c r="J19" i="11"/>
  <c r="L19" i="11" s="1"/>
  <c r="J18" i="11"/>
  <c r="L18" i="11" s="1"/>
  <c r="J17" i="11"/>
  <c r="L17" i="11" s="1"/>
  <c r="J16" i="11"/>
  <c r="L16" i="11" s="1"/>
  <c r="J15" i="11"/>
  <c r="L15" i="11" s="1"/>
  <c r="J14" i="11"/>
  <c r="L14" i="11" s="1"/>
  <c r="J13" i="11"/>
  <c r="L13" i="11" s="1"/>
  <c r="J12" i="11"/>
  <c r="L12" i="11" s="1"/>
  <c r="J11" i="11"/>
  <c r="L11" i="11" s="1"/>
  <c r="J10" i="11"/>
  <c r="L10" i="11" s="1"/>
  <c r="J9" i="11"/>
  <c r="L9" i="11" s="1"/>
  <c r="J8" i="11"/>
  <c r="L8" i="11" s="1"/>
  <c r="J7" i="11"/>
  <c r="L7" i="11" s="1"/>
  <c r="J6" i="11"/>
  <c r="L6" i="11" s="1"/>
  <c r="J5" i="11"/>
  <c r="L5" i="11" s="1"/>
  <c r="J4" i="11"/>
  <c r="L4" i="11" s="1"/>
  <c r="J3" i="11"/>
  <c r="L3" i="11" s="1"/>
  <c r="J2" i="11"/>
  <c r="L2" i="11" s="1"/>
  <c r="J65" i="9"/>
  <c r="L65" i="9" s="1"/>
  <c r="J64" i="9"/>
  <c r="L64" i="9" s="1"/>
  <c r="L63" i="9"/>
  <c r="J63" i="9"/>
  <c r="J62" i="9"/>
  <c r="L62" i="9" s="1"/>
  <c r="J61" i="9"/>
  <c r="L61" i="9" s="1"/>
  <c r="J60" i="9"/>
  <c r="L60" i="9" s="1"/>
  <c r="J59" i="9"/>
  <c r="L59" i="9" s="1"/>
  <c r="J58" i="9"/>
  <c r="L58" i="9" s="1"/>
  <c r="J57" i="9"/>
  <c r="L57" i="9" s="1"/>
  <c r="J56" i="9"/>
  <c r="L56" i="9" s="1"/>
  <c r="J55" i="9"/>
  <c r="L55" i="9" s="1"/>
  <c r="J54" i="9"/>
  <c r="L54" i="9" s="1"/>
  <c r="J53" i="9"/>
  <c r="L53" i="9" s="1"/>
  <c r="J52" i="9"/>
  <c r="L52" i="9" s="1"/>
  <c r="J51" i="9"/>
  <c r="L51" i="9" s="1"/>
  <c r="J50" i="9"/>
  <c r="L50" i="9" s="1"/>
  <c r="J49" i="9"/>
  <c r="L49" i="9" s="1"/>
  <c r="J48" i="9"/>
  <c r="L48" i="9" s="1"/>
  <c r="J47" i="9"/>
  <c r="L47" i="9" s="1"/>
  <c r="J46" i="9"/>
  <c r="L46" i="9" s="1"/>
  <c r="J45" i="9"/>
  <c r="L45" i="9" s="1"/>
  <c r="J44" i="9"/>
  <c r="L44" i="9" s="1"/>
  <c r="J43" i="9"/>
  <c r="L43" i="9" s="1"/>
  <c r="J42" i="9"/>
  <c r="L42" i="9" s="1"/>
  <c r="J41" i="9"/>
  <c r="L41" i="9" s="1"/>
  <c r="J40" i="9"/>
  <c r="L40" i="9" s="1"/>
  <c r="J39" i="9"/>
  <c r="L39" i="9" s="1"/>
  <c r="J38" i="9"/>
  <c r="L38" i="9" s="1"/>
  <c r="J37" i="9"/>
  <c r="L37" i="9" s="1"/>
  <c r="J36" i="9"/>
  <c r="L36" i="9" s="1"/>
  <c r="J35" i="9"/>
  <c r="L35" i="9" s="1"/>
  <c r="J34" i="9"/>
  <c r="L34" i="9" s="1"/>
  <c r="J33" i="9"/>
  <c r="L33" i="9" s="1"/>
  <c r="J32" i="9"/>
  <c r="L32" i="9" s="1"/>
  <c r="J31" i="9"/>
  <c r="L31" i="9" s="1"/>
  <c r="J30" i="9"/>
  <c r="L30" i="9" s="1"/>
  <c r="J29" i="9"/>
  <c r="L29" i="9" s="1"/>
  <c r="J28" i="9"/>
  <c r="L28" i="9" s="1"/>
  <c r="L27" i="9"/>
  <c r="J27" i="9"/>
  <c r="J26" i="9"/>
  <c r="L26" i="9" s="1"/>
  <c r="J25" i="9"/>
  <c r="L25" i="9" s="1"/>
  <c r="J24" i="9"/>
  <c r="L24" i="9" s="1"/>
  <c r="J23" i="9"/>
  <c r="L23" i="9" s="1"/>
  <c r="J22" i="9"/>
  <c r="L22" i="9" s="1"/>
  <c r="J21" i="9"/>
  <c r="L21" i="9" s="1"/>
  <c r="J20" i="9"/>
  <c r="L20" i="9" s="1"/>
  <c r="J19" i="9"/>
  <c r="L19" i="9" s="1"/>
  <c r="J18" i="9"/>
  <c r="L18" i="9" s="1"/>
  <c r="J17" i="9"/>
  <c r="L17" i="9" s="1"/>
  <c r="J16" i="9"/>
  <c r="L16" i="9" s="1"/>
  <c r="J15" i="9"/>
  <c r="L15" i="9" s="1"/>
  <c r="J14" i="9"/>
  <c r="L14" i="9" s="1"/>
  <c r="J13" i="9"/>
  <c r="L13" i="9" s="1"/>
  <c r="J12" i="9"/>
  <c r="L12" i="9" s="1"/>
  <c r="J11" i="9"/>
  <c r="L11" i="9" s="1"/>
  <c r="J10" i="9"/>
  <c r="L10" i="9" s="1"/>
  <c r="J9" i="9"/>
  <c r="L9" i="9" s="1"/>
  <c r="J8" i="9"/>
  <c r="L8" i="9" s="1"/>
  <c r="J7" i="9"/>
  <c r="L7" i="9" s="1"/>
  <c r="J6" i="9"/>
  <c r="L6" i="9" s="1"/>
  <c r="J5" i="9"/>
  <c r="L5" i="9" s="1"/>
  <c r="J4" i="9"/>
  <c r="L4" i="9" s="1"/>
  <c r="J3" i="9"/>
  <c r="L3" i="9" s="1"/>
  <c r="J2" i="9"/>
  <c r="L2" i="9" s="1"/>
  <c r="J66" i="8"/>
  <c r="L66" i="8" s="1"/>
  <c r="J65" i="8"/>
  <c r="L65" i="8" s="1"/>
  <c r="J64" i="8"/>
  <c r="L64" i="8" s="1"/>
  <c r="J63" i="8"/>
  <c r="L63" i="8" s="1"/>
  <c r="J62" i="8"/>
  <c r="L62" i="8" s="1"/>
  <c r="J61" i="8"/>
  <c r="L61" i="8" s="1"/>
  <c r="J60" i="8"/>
  <c r="L60" i="8" s="1"/>
  <c r="J59" i="8"/>
  <c r="L59" i="8" s="1"/>
  <c r="J58" i="8"/>
  <c r="L58" i="8" s="1"/>
  <c r="J57" i="8"/>
  <c r="L57" i="8" s="1"/>
  <c r="J56" i="8"/>
  <c r="L56" i="8" s="1"/>
  <c r="J55" i="8"/>
  <c r="L55" i="8" s="1"/>
  <c r="J54" i="8"/>
  <c r="L54" i="8" s="1"/>
  <c r="J52" i="8"/>
  <c r="L52" i="8" s="1"/>
  <c r="J51" i="8"/>
  <c r="L51" i="8" s="1"/>
  <c r="J50" i="8"/>
  <c r="L50" i="8" s="1"/>
  <c r="J49" i="8"/>
  <c r="L49" i="8" s="1"/>
  <c r="J48" i="8"/>
  <c r="L48" i="8" s="1"/>
  <c r="J47" i="8"/>
  <c r="L47" i="8" s="1"/>
  <c r="J46" i="8"/>
  <c r="L46" i="8" s="1"/>
  <c r="J45" i="8"/>
  <c r="L45" i="8" s="1"/>
  <c r="J44" i="8"/>
  <c r="L44" i="8" s="1"/>
  <c r="J43" i="8"/>
  <c r="L43" i="8" s="1"/>
  <c r="J42" i="8"/>
  <c r="L42" i="8" s="1"/>
  <c r="J41" i="8"/>
  <c r="L41" i="8" s="1"/>
  <c r="J40" i="8"/>
  <c r="L40" i="8" s="1"/>
  <c r="J39" i="8"/>
  <c r="L39" i="8" s="1"/>
  <c r="J38" i="8"/>
  <c r="L38" i="8" s="1"/>
  <c r="J37" i="8"/>
  <c r="L37" i="8" s="1"/>
  <c r="J36" i="8"/>
  <c r="L36" i="8" s="1"/>
  <c r="J35" i="8"/>
  <c r="L35" i="8" s="1"/>
  <c r="J34" i="8"/>
  <c r="L34" i="8" s="1"/>
  <c r="J33" i="8"/>
  <c r="L33" i="8" s="1"/>
  <c r="J32" i="8"/>
  <c r="L32" i="8" s="1"/>
  <c r="J31" i="8"/>
  <c r="L31" i="8" s="1"/>
  <c r="J30" i="8"/>
  <c r="L30" i="8" s="1"/>
  <c r="J29" i="8"/>
  <c r="L29" i="8" s="1"/>
  <c r="J28" i="8"/>
  <c r="L28" i="8" s="1"/>
  <c r="J27" i="8"/>
  <c r="L27" i="8" s="1"/>
  <c r="J26" i="8"/>
  <c r="L26" i="8" s="1"/>
  <c r="J25" i="8"/>
  <c r="L25" i="8" s="1"/>
  <c r="J24" i="8"/>
  <c r="L24" i="8" s="1"/>
  <c r="J23" i="8"/>
  <c r="L23" i="8" s="1"/>
  <c r="J22" i="8"/>
  <c r="L22" i="8" s="1"/>
  <c r="J21" i="8"/>
  <c r="L21" i="8" s="1"/>
  <c r="J20" i="8"/>
  <c r="L20" i="8" s="1"/>
  <c r="J19" i="8"/>
  <c r="L19" i="8" s="1"/>
  <c r="J18" i="8"/>
  <c r="L18" i="8" s="1"/>
  <c r="J17" i="8"/>
  <c r="L17" i="8" s="1"/>
  <c r="J16" i="8"/>
  <c r="L16" i="8" s="1"/>
  <c r="J15" i="8"/>
  <c r="L15" i="8" s="1"/>
  <c r="J14" i="8"/>
  <c r="L14" i="8" s="1"/>
  <c r="J13" i="8"/>
  <c r="L13" i="8" s="1"/>
  <c r="J12" i="8"/>
  <c r="L12" i="8" s="1"/>
  <c r="J11" i="8"/>
  <c r="L11" i="8" s="1"/>
  <c r="J10" i="8"/>
  <c r="L10" i="8" s="1"/>
  <c r="J9" i="8"/>
  <c r="L9" i="8" s="1"/>
  <c r="J8" i="8"/>
  <c r="L8" i="8" s="1"/>
  <c r="J7" i="8"/>
  <c r="L7" i="8" s="1"/>
  <c r="J6" i="8"/>
  <c r="L6" i="8" s="1"/>
  <c r="J5" i="8"/>
  <c r="L5" i="8" s="1"/>
  <c r="J4" i="8"/>
  <c r="L4" i="8" s="1"/>
  <c r="J3" i="8"/>
  <c r="L3" i="8" s="1"/>
  <c r="J2" i="8"/>
  <c r="L2" i="8" s="1"/>
  <c r="J45" i="7"/>
  <c r="L45" i="7" s="1"/>
  <c r="H23" i="7"/>
  <c r="J23" i="7" s="1"/>
  <c r="L23" i="7" s="1"/>
  <c r="J35" i="7"/>
  <c r="L35" i="7" s="1"/>
  <c r="J7" i="7"/>
  <c r="L7" i="7" s="1"/>
  <c r="J8" i="7"/>
  <c r="L8" i="7" s="1"/>
  <c r="J9" i="7"/>
  <c r="L9" i="7" s="1"/>
  <c r="J10" i="7"/>
  <c r="L10" i="7" s="1"/>
  <c r="J11" i="7"/>
  <c r="L11" i="7" s="1"/>
  <c r="J12" i="7"/>
  <c r="L12" i="7" s="1"/>
  <c r="J13" i="7"/>
  <c r="L13" i="7" s="1"/>
  <c r="J14" i="7"/>
  <c r="L14" i="7" s="1"/>
  <c r="J15" i="7"/>
  <c r="L15" i="7" s="1"/>
  <c r="J16" i="7"/>
  <c r="L16" i="7" s="1"/>
  <c r="J17" i="7"/>
  <c r="L17" i="7" s="1"/>
  <c r="J18" i="7"/>
  <c r="L18" i="7" s="1"/>
  <c r="J19" i="7"/>
  <c r="L19" i="7" s="1"/>
  <c r="J20" i="7"/>
  <c r="L20" i="7" s="1"/>
  <c r="J21" i="7"/>
  <c r="L21" i="7" s="1"/>
  <c r="J22" i="7"/>
  <c r="L22" i="7" s="1"/>
  <c r="J24" i="7"/>
  <c r="L24" i="7" s="1"/>
  <c r="J25" i="7"/>
  <c r="L25" i="7" s="1"/>
  <c r="J71" i="7"/>
  <c r="L71" i="7" s="1"/>
  <c r="J70" i="7"/>
  <c r="L70" i="7" s="1"/>
  <c r="J69" i="7"/>
  <c r="L69" i="7" s="1"/>
  <c r="J68" i="7"/>
  <c r="L68" i="7" s="1"/>
  <c r="J66" i="7"/>
  <c r="L66" i="7" s="1"/>
  <c r="J64" i="7"/>
  <c r="L64" i="7" s="1"/>
  <c r="J63" i="7"/>
  <c r="L63" i="7" s="1"/>
  <c r="J62" i="7"/>
  <c r="L62" i="7" s="1"/>
  <c r="J60" i="7"/>
  <c r="L60" i="7" s="1"/>
  <c r="J59" i="7"/>
  <c r="L59" i="7" s="1"/>
  <c r="J58" i="7"/>
  <c r="L58" i="7" s="1"/>
  <c r="J57" i="7"/>
  <c r="L57" i="7" s="1"/>
  <c r="J56" i="7"/>
  <c r="L56" i="7" s="1"/>
  <c r="J54" i="7"/>
  <c r="L54" i="7" s="1"/>
  <c r="J53" i="7"/>
  <c r="L53" i="7" s="1"/>
  <c r="J52" i="7"/>
  <c r="L52" i="7" s="1"/>
  <c r="J47" i="7"/>
  <c r="L47" i="7" s="1"/>
  <c r="J46" i="7"/>
  <c r="L46" i="7" s="1"/>
  <c r="J44" i="7"/>
  <c r="L44" i="7" s="1"/>
  <c r="J43" i="7"/>
  <c r="L43" i="7" s="1"/>
  <c r="J42" i="7"/>
  <c r="L42" i="7" s="1"/>
  <c r="J41" i="7"/>
  <c r="L41" i="7" s="1"/>
  <c r="J40" i="7"/>
  <c r="L40" i="7" s="1"/>
  <c r="J39" i="7"/>
  <c r="L39" i="7" s="1"/>
  <c r="J38" i="7"/>
  <c r="L38" i="7" s="1"/>
  <c r="J37" i="7"/>
  <c r="L37" i="7" s="1"/>
  <c r="J36" i="7"/>
  <c r="L36" i="7" s="1"/>
  <c r="J34" i="7"/>
  <c r="L34" i="7" s="1"/>
  <c r="J33" i="7"/>
  <c r="L33" i="7" s="1"/>
  <c r="J32" i="7"/>
  <c r="L32" i="7" s="1"/>
  <c r="J31" i="7"/>
  <c r="L31" i="7" s="1"/>
  <c r="J30" i="7"/>
  <c r="L30" i="7" s="1"/>
  <c r="J29" i="7"/>
  <c r="L29" i="7" s="1"/>
  <c r="J28" i="7"/>
  <c r="L28" i="7" s="1"/>
  <c r="J27" i="7"/>
  <c r="L27" i="7" s="1"/>
  <c r="J26" i="7"/>
  <c r="L26" i="7" s="1"/>
  <c r="J6" i="7"/>
  <c r="L6" i="7" s="1"/>
  <c r="J5" i="7"/>
  <c r="L5" i="7" s="1"/>
  <c r="J4" i="7"/>
  <c r="L4" i="7" s="1"/>
  <c r="J3" i="7"/>
  <c r="L3" i="7" s="1"/>
  <c r="J2" i="7"/>
  <c r="L2" i="7" s="1"/>
  <c r="J33" i="6"/>
  <c r="L33" i="6" s="1"/>
  <c r="J65" i="6"/>
  <c r="L65" i="6" s="1"/>
  <c r="J64" i="6"/>
  <c r="L64" i="6" s="1"/>
  <c r="J63" i="6"/>
  <c r="L63" i="6" s="1"/>
  <c r="L62" i="6"/>
  <c r="L60" i="6"/>
  <c r="J49" i="6"/>
  <c r="L49" i="6" s="1"/>
  <c r="J48" i="6"/>
  <c r="L48" i="6" s="1"/>
  <c r="J47" i="6"/>
  <c r="L47" i="6" s="1"/>
  <c r="J46" i="6"/>
  <c r="L46" i="6" s="1"/>
  <c r="J45" i="6"/>
  <c r="L45" i="6" s="1"/>
  <c r="J44" i="6"/>
  <c r="L44" i="6" s="1"/>
  <c r="J43" i="6"/>
  <c r="L43" i="6" s="1"/>
  <c r="J42" i="6"/>
  <c r="L42" i="6" s="1"/>
  <c r="J41" i="6"/>
  <c r="L41" i="6" s="1"/>
  <c r="J40" i="6"/>
  <c r="L40" i="6" s="1"/>
  <c r="J39" i="6"/>
  <c r="L39" i="6" s="1"/>
  <c r="J38" i="6"/>
  <c r="L38" i="6" s="1"/>
  <c r="J37" i="6"/>
  <c r="L37" i="6" s="1"/>
  <c r="J36" i="6"/>
  <c r="L36" i="6" s="1"/>
  <c r="J35" i="6"/>
  <c r="L35" i="6" s="1"/>
  <c r="J34" i="6"/>
  <c r="L34" i="6" s="1"/>
  <c r="J32" i="6"/>
  <c r="L32" i="6" s="1"/>
  <c r="J31" i="6"/>
  <c r="L31" i="6" s="1"/>
  <c r="J30" i="6"/>
  <c r="L30" i="6" s="1"/>
  <c r="J29" i="6"/>
  <c r="L29" i="6" s="1"/>
  <c r="J28" i="6"/>
  <c r="L28" i="6" s="1"/>
  <c r="J27" i="6"/>
  <c r="L27" i="6" s="1"/>
  <c r="J26" i="6"/>
  <c r="L26" i="6" s="1"/>
  <c r="J25" i="6"/>
  <c r="L25" i="6" s="1"/>
  <c r="J24" i="6"/>
  <c r="L24" i="6" s="1"/>
  <c r="J23" i="6"/>
  <c r="L23" i="6" s="1"/>
  <c r="J22" i="6"/>
  <c r="L22" i="6" s="1"/>
  <c r="J21" i="6"/>
  <c r="L21" i="6" s="1"/>
  <c r="J20" i="6"/>
  <c r="L20" i="6" s="1"/>
  <c r="J19" i="6"/>
  <c r="L19" i="6" s="1"/>
  <c r="J18" i="6"/>
  <c r="L18" i="6" s="1"/>
  <c r="J17" i="6"/>
  <c r="L17" i="6" s="1"/>
  <c r="J16" i="6"/>
  <c r="L16" i="6" s="1"/>
  <c r="J15" i="6"/>
  <c r="L15" i="6" s="1"/>
  <c r="J14" i="6"/>
  <c r="L14" i="6" s="1"/>
  <c r="J13" i="6"/>
  <c r="L13" i="6" s="1"/>
  <c r="J12" i="6"/>
  <c r="L12" i="6" s="1"/>
  <c r="J11" i="6"/>
  <c r="L11" i="6" s="1"/>
  <c r="J10" i="6"/>
  <c r="L10" i="6" s="1"/>
  <c r="J9" i="6"/>
  <c r="L9" i="6" s="1"/>
  <c r="J8" i="6"/>
  <c r="L8" i="6" s="1"/>
  <c r="J7" i="6"/>
  <c r="L7" i="6" s="1"/>
  <c r="J6" i="6"/>
  <c r="L6" i="6" s="1"/>
  <c r="J5" i="6"/>
  <c r="L5" i="6" s="1"/>
  <c r="J4" i="6"/>
  <c r="L4" i="6" s="1"/>
  <c r="J3" i="6"/>
  <c r="L3" i="6" s="1"/>
  <c r="J2" i="6"/>
  <c r="L2" i="6" s="1"/>
  <c r="L2" i="5"/>
  <c r="L3" i="5"/>
  <c r="J2" i="5"/>
  <c r="J3" i="5"/>
  <c r="J4" i="5"/>
  <c r="L4" i="5" s="1"/>
  <c r="J6" i="5"/>
  <c r="L6" i="5" s="1"/>
  <c r="J5" i="5"/>
  <c r="L5" i="5" s="1"/>
  <c r="J29" i="4"/>
  <c r="L29" i="4" s="1"/>
  <c r="J43" i="4"/>
  <c r="L43" i="4" s="1"/>
  <c r="J8" i="4"/>
  <c r="L8" i="4" s="1"/>
  <c r="J6" i="4"/>
  <c r="L6" i="4" s="1"/>
  <c r="J3" i="4"/>
  <c r="L3" i="4" s="1"/>
  <c r="J11" i="4"/>
  <c r="L11" i="4" s="1"/>
  <c r="J2" i="4"/>
  <c r="L2" i="4" s="1"/>
  <c r="J9" i="4"/>
  <c r="L9" i="4" s="1"/>
  <c r="J42" i="4"/>
  <c r="L42" i="4" s="1"/>
  <c r="J32" i="4"/>
  <c r="L32" i="4" s="1"/>
  <c r="L16" i="3"/>
  <c r="J16" i="3"/>
  <c r="J9" i="3"/>
  <c r="L9" i="3" s="1"/>
  <c r="J2" i="3"/>
  <c r="L2" i="3" s="1"/>
  <c r="J40" i="4"/>
  <c r="L40" i="4" s="1"/>
  <c r="J19" i="4"/>
  <c r="L19" i="4" s="1"/>
  <c r="J14" i="4"/>
  <c r="L14" i="4" s="1"/>
  <c r="J15" i="4"/>
  <c r="L15" i="4" s="1"/>
  <c r="J16" i="4"/>
  <c r="L16" i="4" s="1"/>
  <c r="J17" i="4"/>
  <c r="L17" i="4" s="1"/>
  <c r="J18" i="4"/>
  <c r="L18" i="4" s="1"/>
  <c r="J22" i="4"/>
  <c r="L22" i="4" s="1"/>
  <c r="J24" i="4"/>
  <c r="L24" i="4" s="1"/>
  <c r="J25" i="4"/>
  <c r="L25" i="4" s="1"/>
  <c r="J41" i="4"/>
  <c r="L41" i="4" s="1"/>
  <c r="J31" i="4"/>
  <c r="L31" i="4" s="1"/>
  <c r="J26" i="4"/>
  <c r="L26" i="4" s="1"/>
  <c r="J27" i="4"/>
  <c r="L27" i="4" s="1"/>
  <c r="J28" i="4"/>
  <c r="L28" i="4" s="1"/>
  <c r="J33" i="4"/>
  <c r="L33" i="4" s="1"/>
  <c r="J35" i="4"/>
  <c r="L35" i="4" s="1"/>
  <c r="J36" i="4"/>
  <c r="L36" i="4" s="1"/>
  <c r="J37" i="4"/>
  <c r="L37" i="4" s="1"/>
  <c r="J23" i="4"/>
  <c r="L23" i="4" s="1"/>
  <c r="J38" i="4"/>
  <c r="L38" i="4" s="1"/>
  <c r="J21" i="4"/>
  <c r="L21" i="4" s="1"/>
  <c r="J7" i="4"/>
  <c r="L7" i="4" s="1"/>
  <c r="J30" i="4"/>
  <c r="L30" i="4" s="1"/>
  <c r="J20" i="4"/>
  <c r="L20" i="4" s="1"/>
  <c r="J34" i="4"/>
  <c r="L34" i="4" s="1"/>
  <c r="J45" i="4"/>
  <c r="J13" i="4"/>
  <c r="L13" i="4" s="1"/>
  <c r="D28" i="12" l="1"/>
  <c r="D29" i="12"/>
  <c r="D31" i="12"/>
  <c r="D32" i="12"/>
  <c r="D30" i="12"/>
  <c r="J12" i="5"/>
  <c r="L12" i="5" s="1"/>
  <c r="J11" i="5"/>
  <c r="L11" i="5" s="1"/>
  <c r="J7" i="5"/>
  <c r="L7" i="5" s="1"/>
  <c r="J8" i="5"/>
  <c r="L8" i="5" s="1"/>
  <c r="J54" i="4"/>
  <c r="L54" i="4" s="1"/>
  <c r="J55" i="4"/>
  <c r="L55" i="4" s="1"/>
  <c r="J56" i="4"/>
  <c r="L56" i="4" s="1"/>
  <c r="J57" i="4"/>
  <c r="L57" i="4" s="1"/>
  <c r="J58" i="4"/>
  <c r="L58" i="4" s="1"/>
  <c r="J59" i="4"/>
  <c r="L59" i="4" s="1"/>
  <c r="J60" i="4"/>
  <c r="L60" i="4" s="1"/>
  <c r="J61" i="4"/>
  <c r="L61" i="4" s="1"/>
  <c r="J62" i="4"/>
  <c r="L62" i="4" s="1"/>
  <c r="J63" i="4"/>
  <c r="L63" i="4" s="1"/>
  <c r="J17" i="3"/>
  <c r="L17" i="3" s="1"/>
  <c r="J21" i="3"/>
  <c r="L21" i="3" s="1"/>
  <c r="J30" i="3"/>
  <c r="L30" i="3" s="1"/>
  <c r="J27" i="3"/>
  <c r="L27" i="3" s="1"/>
  <c r="J34" i="3"/>
  <c r="L34" i="3" s="1"/>
  <c r="J33" i="3"/>
  <c r="L33" i="3" s="1"/>
  <c r="J23" i="3"/>
  <c r="L23" i="3" s="1"/>
  <c r="J40" i="3"/>
  <c r="L40" i="3" s="1"/>
  <c r="J35" i="3"/>
  <c r="L35" i="3" s="1"/>
  <c r="J29" i="3"/>
  <c r="L29" i="3" s="1"/>
  <c r="J36" i="3"/>
  <c r="L36" i="3" s="1"/>
  <c r="J37" i="3"/>
  <c r="L37" i="3" s="1"/>
  <c r="J38" i="3"/>
  <c r="L38" i="3" s="1"/>
  <c r="J32" i="3"/>
  <c r="L32" i="3" s="1"/>
  <c r="J28" i="3"/>
  <c r="L28" i="3" s="1"/>
  <c r="J26" i="3"/>
  <c r="L26" i="3" s="1"/>
  <c r="J25" i="3"/>
  <c r="L25" i="3" s="1"/>
  <c r="J24" i="3"/>
  <c r="L24" i="3" s="1"/>
  <c r="J31" i="3"/>
  <c r="L31" i="3" s="1"/>
  <c r="J39" i="3"/>
  <c r="L39" i="3" s="1"/>
  <c r="J4" i="4" l="1"/>
  <c r="L4" i="4" s="1"/>
  <c r="J39" i="4"/>
  <c r="L39" i="4" s="1"/>
  <c r="J10" i="4"/>
  <c r="L10" i="4" s="1"/>
  <c r="J12" i="4"/>
  <c r="L12" i="4" s="1"/>
  <c r="L45" i="4"/>
  <c r="J46" i="4"/>
  <c r="L46" i="4" s="1"/>
  <c r="J47" i="4"/>
  <c r="L47" i="4" s="1"/>
  <c r="J48" i="4"/>
  <c r="L48" i="4" s="1"/>
  <c r="J49" i="4"/>
  <c r="L49" i="4" s="1"/>
  <c r="J52" i="4"/>
  <c r="L52" i="4" s="1"/>
  <c r="J53" i="4"/>
  <c r="L53" i="4" s="1"/>
  <c r="J11" i="3"/>
  <c r="J12" i="3"/>
  <c r="J18" i="3"/>
  <c r="J19" i="3"/>
  <c r="J20" i="3"/>
  <c r="J14" i="3"/>
  <c r="J6" i="3"/>
  <c r="J4" i="3"/>
  <c r="J13" i="3"/>
  <c r="J5" i="3"/>
  <c r="D3" i="12" l="1"/>
  <c r="D26" i="12"/>
  <c r="D25" i="12"/>
  <c r="D6" i="12"/>
  <c r="J10" i="3"/>
  <c r="L10" i="3" s="1"/>
  <c r="L11" i="3"/>
  <c r="L12" i="3"/>
  <c r="J10" i="5"/>
  <c r="L10" i="5" s="1"/>
  <c r="J9" i="5"/>
  <c r="L9" i="5" s="1"/>
  <c r="D23" i="12"/>
  <c r="J5" i="4"/>
  <c r="L5" i="4" s="1"/>
  <c r="L5" i="3"/>
  <c r="L13" i="3"/>
  <c r="L4" i="3"/>
  <c r="L6" i="3"/>
  <c r="L14" i="3"/>
  <c r="L20" i="3"/>
  <c r="L19" i="3"/>
  <c r="L18" i="3"/>
  <c r="J22" i="3"/>
  <c r="L22" i="3" s="1"/>
  <c r="J3" i="3"/>
  <c r="L3" i="3" s="1"/>
  <c r="J15" i="3"/>
  <c r="L15" i="3" s="1"/>
  <c r="J7" i="3"/>
  <c r="L7" i="3" s="1"/>
  <c r="J8" i="3"/>
  <c r="L8" i="3" s="1"/>
  <c r="D24" i="12" l="1"/>
  <c r="D2" i="12"/>
  <c r="D27" i="12"/>
  <c r="D5" i="12"/>
  <c r="D20" i="12" l="1"/>
  <c r="D11" i="12"/>
  <c r="D16" i="12"/>
  <c r="D10" i="12"/>
  <c r="D12" i="12"/>
  <c r="D18" i="12"/>
  <c r="D9" i="12"/>
  <c r="D7" i="12"/>
  <c r="D8" i="12"/>
  <c r="D19" i="12"/>
  <c r="D13" i="12"/>
  <c r="D14" i="12"/>
  <c r="D22" i="12"/>
  <c r="D21" i="12"/>
  <c r="D15" i="12"/>
  <c r="D4" i="12"/>
  <c r="D17" i="12"/>
</calcChain>
</file>

<file path=xl/sharedStrings.xml><?xml version="1.0" encoding="utf-8"?>
<sst xmlns="http://schemas.openxmlformats.org/spreadsheetml/2006/main" count="1897" uniqueCount="131">
  <si>
    <t>Items</t>
  </si>
  <si>
    <t>Import Location</t>
  </si>
  <si>
    <t>1700 Ton</t>
  </si>
  <si>
    <t>1700 hh</t>
  </si>
  <si>
    <t>1700 quarter</t>
  </si>
  <si>
    <t>1700 Stone/lb</t>
  </si>
  <si>
    <t>Total Pounds</t>
  </si>
  <si>
    <t>Total Tons</t>
  </si>
  <si>
    <t>London</t>
  </si>
  <si>
    <t>Indigo</t>
  </si>
  <si>
    <t>Cotton</t>
  </si>
  <si>
    <t>Out Ports</t>
  </si>
  <si>
    <t>Chocolate</t>
  </si>
  <si>
    <t>1700 lb</t>
  </si>
  <si>
    <t>Dry Ginger</t>
  </si>
  <si>
    <t>Molasses</t>
  </si>
  <si>
    <t>Brown Sugar</t>
  </si>
  <si>
    <t>White Sugar</t>
  </si>
  <si>
    <t>Oranges</t>
  </si>
  <si>
    <t>Tobacco</t>
  </si>
  <si>
    <t>Lime Juice</t>
  </si>
  <si>
    <t>Rum</t>
  </si>
  <si>
    <t>Tortoise Shell</t>
  </si>
  <si>
    <t>Shruff</t>
  </si>
  <si>
    <t>Elephant Teeth</t>
  </si>
  <si>
    <t>Annatto</t>
  </si>
  <si>
    <t>Rice</t>
  </si>
  <si>
    <t>Sugar Loaf</t>
  </si>
  <si>
    <t>Madera Wine</t>
  </si>
  <si>
    <t>Loaf Sugar</t>
  </si>
  <si>
    <t>Pimento</t>
  </si>
  <si>
    <t>Lignum Vitae</t>
  </si>
  <si>
    <t>Pickles</t>
  </si>
  <si>
    <t>Snuff</t>
  </si>
  <si>
    <t>Lemon Water</t>
  </si>
  <si>
    <t>Cocoa Nuts</t>
  </si>
  <si>
    <t>Fustic</t>
  </si>
  <si>
    <t>Item</t>
  </si>
  <si>
    <t>Total London</t>
  </si>
  <si>
    <t>Total Outports</t>
  </si>
  <si>
    <t>Total</t>
  </si>
  <si>
    <t>Bees Wax</t>
  </si>
  <si>
    <t>Muscavado Sugar</t>
  </si>
  <si>
    <t>Sasparilla</t>
  </si>
  <si>
    <t>Aloes Epatica</t>
  </si>
  <si>
    <t>ton</t>
  </si>
  <si>
    <t>hh</t>
  </si>
  <si>
    <t>quarter</t>
  </si>
  <si>
    <t>lb</t>
  </si>
  <si>
    <t>Green Ginger</t>
  </si>
  <si>
    <t>Hemp</t>
  </si>
  <si>
    <t>Barrel Staves</t>
  </si>
  <si>
    <t>Chocolate Paste</t>
  </si>
  <si>
    <t>Cocoa Paste</t>
  </si>
  <si>
    <t>Logwood</t>
  </si>
  <si>
    <t>Cortex Winteranus</t>
  </si>
  <si>
    <t>Cocoa</t>
  </si>
  <si>
    <t>Cocheneal</t>
  </si>
  <si>
    <t>YEAR</t>
  </si>
  <si>
    <t>COMMODITY_NAME</t>
  </si>
  <si>
    <t>FROM_LOCATION</t>
  </si>
  <si>
    <t>Antigua</t>
  </si>
  <si>
    <t>TO_LOCATION</t>
  </si>
  <si>
    <t>WEIGHT</t>
  </si>
  <si>
    <t>Succads</t>
  </si>
  <si>
    <t>2t 1h 2g</t>
  </si>
  <si>
    <t>895bags</t>
  </si>
  <si>
    <t>4060g</t>
  </si>
  <si>
    <t>Barbados</t>
  </si>
  <si>
    <t>Brimstone</t>
  </si>
  <si>
    <t>Almonds, Bitter</t>
  </si>
  <si>
    <t>Cassia Fistula</t>
  </si>
  <si>
    <t>Almonds, Sweet</t>
  </si>
  <si>
    <t>Anniseeds</t>
  </si>
  <si>
    <t>18t 3h 25g</t>
  </si>
  <si>
    <t>Wood, Braziletto</t>
  </si>
  <si>
    <t>Wood, Fustick</t>
  </si>
  <si>
    <t>Wood, Logwood</t>
  </si>
  <si>
    <t>Wood, Redwood</t>
  </si>
  <si>
    <t>Wood, Sweetwood</t>
  </si>
  <si>
    <t>376bags</t>
  </si>
  <si>
    <t>360g</t>
  </si>
  <si>
    <t>10193g</t>
  </si>
  <si>
    <t>Bermuda</t>
  </si>
  <si>
    <t>Bermudos Plat</t>
  </si>
  <si>
    <t>Carolina</t>
  </si>
  <si>
    <t>Sassafras</t>
  </si>
  <si>
    <t>332g</t>
  </si>
  <si>
    <t>Jamaica</t>
  </si>
  <si>
    <t>Bacon</t>
  </si>
  <si>
    <t>Sarsparila</t>
  </si>
  <si>
    <t>6t 3h 54g</t>
  </si>
  <si>
    <t>1499.5 bags</t>
  </si>
  <si>
    <t>5196g</t>
  </si>
  <si>
    <t>29674g</t>
  </si>
  <si>
    <t>Wood, Nicaragua</t>
  </si>
  <si>
    <t>Mountserat</t>
  </si>
  <si>
    <t>78g</t>
  </si>
  <si>
    <t>99bags</t>
  </si>
  <si>
    <t>609g</t>
  </si>
  <si>
    <t>Nevis</t>
  </si>
  <si>
    <t>2h 55g</t>
  </si>
  <si>
    <t>39bags</t>
  </si>
  <si>
    <t>320g</t>
  </si>
  <si>
    <t>NewEngland</t>
  </si>
  <si>
    <t>1h 23g</t>
  </si>
  <si>
    <t>1 bag</t>
  </si>
  <si>
    <t>3633g</t>
  </si>
  <si>
    <t>StKitts</t>
  </si>
  <si>
    <t>2t 3h 14g</t>
  </si>
  <si>
    <t>147bags</t>
  </si>
  <si>
    <t>1533g</t>
  </si>
  <si>
    <t>General</t>
  </si>
  <si>
    <t>9bags</t>
  </si>
  <si>
    <t>140g</t>
  </si>
  <si>
    <t>10g</t>
  </si>
  <si>
    <t>130g</t>
  </si>
  <si>
    <t>223g</t>
  </si>
  <si>
    <t>3h 44g</t>
  </si>
  <si>
    <t>1634g</t>
  </si>
  <si>
    <t>300g</t>
  </si>
  <si>
    <t>420g</t>
  </si>
  <si>
    <t>Tallow</t>
  </si>
  <si>
    <t>1t 3h 61g</t>
  </si>
  <si>
    <t>1974g</t>
  </si>
  <si>
    <t>2470g</t>
  </si>
  <si>
    <t>15g</t>
  </si>
  <si>
    <t>687g</t>
  </si>
  <si>
    <t>60g</t>
  </si>
  <si>
    <t>132g</t>
  </si>
  <si>
    <t>230g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</si>
</sst>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A7BE7-232D-4293-9729-642230ECC67F}">
  <dimension ref="A1:D32"/>
  <sheetViews>
    <sheetView tabSelected="1" workbookViewId="0">
      <selection activeCell="I21" sqref="I21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37</v>
      </c>
      <c r="B1" t="s">
        <v>38</v>
      </c>
      <c r="C1" t="s">
        <v>39</v>
      </c>
      <c r="D1" t="s">
        <v>40</v>
      </c>
    </row>
    <row r="2" spans="1:4" x14ac:dyDescent="0.25">
      <c r="A2" t="s">
        <v>25</v>
      </c>
      <c r="B2">
        <f>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"London")+ SUMIFS(General!$L:$L, General!$B:$B, $A2, General!$D:$D, "London")</f>
        <v>2.4946428571428574</v>
      </c>
      <c r="C2">
        <f>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 + SUMIFS(General!$L:$L, General!$B:$B, $A2, General!$D:$D, "Out Ports")</f>
        <v>7.4107142857142858E-2</v>
      </c>
      <c r="D2">
        <f>ROUND((B2+C2),2)</f>
        <v>2.57</v>
      </c>
    </row>
    <row r="3" spans="1:4" x14ac:dyDescent="0.25">
      <c r="A3" t="s">
        <v>41</v>
      </c>
      <c r="B3">
        <f>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"London")+ SUMIFS(General!$L:$L, General!$B:$B, $A3, General!$D:$D, "London")</f>
        <v>0.68392857142857144</v>
      </c>
      <c r="C3">
        <f>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 + SUMIFS(General!$L:$L, General!$B:$B, $A3, General!$D:$D, "Out Ports")</f>
        <v>0</v>
      </c>
      <c r="D3">
        <f t="shared" ref="D3:D32" si="0">ROUND((B3+C3),2)</f>
        <v>0.68</v>
      </c>
    </row>
    <row r="4" spans="1:4" x14ac:dyDescent="0.25">
      <c r="A4" t="s">
        <v>16</v>
      </c>
      <c r="B4">
        <f>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"London")+ SUMIFS(General!$L:$L, General!$B:$B, $A4, General!$D:$D, "London")</f>
        <v>17677.282142857141</v>
      </c>
      <c r="C4">
        <f>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 + SUMIFS(General!$L:$L, General!$B:$B, $A4, General!$D:$D, "Out Ports")</f>
        <v>7078.9294642857158</v>
      </c>
      <c r="D4">
        <f t="shared" si="0"/>
        <v>24756.21</v>
      </c>
    </row>
    <row r="5" spans="1:4" x14ac:dyDescent="0.25">
      <c r="A5" t="s">
        <v>12</v>
      </c>
      <c r="B5">
        <f>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"London")+ SUMIFS(General!$L:$L, General!$B:$B, $A5, General!$D:$D, "London")</f>
        <v>0</v>
      </c>
      <c r="C5">
        <f>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 + SUMIFS(General!$L:$L, General!$B:$B, $A5, General!$D:$D, "Out Ports")</f>
        <v>0</v>
      </c>
      <c r="D5">
        <f t="shared" si="0"/>
        <v>0</v>
      </c>
    </row>
    <row r="6" spans="1:4" x14ac:dyDescent="0.25">
      <c r="A6" t="s">
        <v>57</v>
      </c>
      <c r="B6">
        <f>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"London")+ SUMIFS(General!$L:$L, General!$B:$B, $A6, General!$D:$D, "London")</f>
        <v>0.13214285714285715</v>
      </c>
      <c r="C6">
        <f>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 + SUMIFS(General!$L:$L, General!$B:$B, $A6, General!$D:$D, "Out Ports")</f>
        <v>0</v>
      </c>
      <c r="D6">
        <f t="shared" si="0"/>
        <v>0.13</v>
      </c>
    </row>
    <row r="7" spans="1:4" x14ac:dyDescent="0.25">
      <c r="A7" t="s">
        <v>35</v>
      </c>
      <c r="B7">
        <f>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"London")+ SUMIFS(General!$L:$L, General!$B:$B, $A7, General!$D:$D, "London")</f>
        <v>3.8084821428571431</v>
      </c>
      <c r="C7">
        <f>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 + SUMIFS(General!$L:$L, General!$B:$B, $A7, General!$D:$D, "Out Ports")</f>
        <v>0.54285714285714293</v>
      </c>
      <c r="D7">
        <f t="shared" si="0"/>
        <v>4.3499999999999996</v>
      </c>
    </row>
    <row r="8" spans="1:4" x14ac:dyDescent="0.25">
      <c r="A8" t="s">
        <v>10</v>
      </c>
      <c r="B8">
        <f>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"London")+ SUMIFS(General!$L:$L, General!$B:$B, $A8, General!$D:$D, "London")</f>
        <v>273.64285714285717</v>
      </c>
      <c r="C8">
        <f>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 + SUMIFS(General!$L:$L, General!$B:$B, $A8, General!$D:$D, "Out Ports")</f>
        <v>301.96071428571429</v>
      </c>
      <c r="D8">
        <f t="shared" si="0"/>
        <v>575.6</v>
      </c>
    </row>
    <row r="9" spans="1:4" x14ac:dyDescent="0.25">
      <c r="A9" t="s">
        <v>14</v>
      </c>
      <c r="B9">
        <f>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"London")+ SUMIFS(General!$L:$L, General!$B:$B, $A9, General!$D:$D, "London")</f>
        <v>861.73482142857142</v>
      </c>
      <c r="C9">
        <f>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 + SUMIFS(General!$L:$L, General!$B:$B, $A9, General!$D:$D, "Out Ports")</f>
        <v>436.43169642857146</v>
      </c>
      <c r="D9">
        <f t="shared" si="0"/>
        <v>1298.17</v>
      </c>
    </row>
    <row r="10" spans="1:4" x14ac:dyDescent="0.25">
      <c r="A10" t="s">
        <v>24</v>
      </c>
      <c r="B10">
        <f>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"London")+ SUMIFS(General!$L:$L, General!$B:$B, $A10, General!$D:$D, "London")</f>
        <v>22.168749999999999</v>
      </c>
      <c r="C10">
        <f>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 + SUMIFS(General!$L:$L, General!$B:$B, $A10, General!$D:$D, "Out Ports")</f>
        <v>16.225000000000001</v>
      </c>
      <c r="D10">
        <f t="shared" si="0"/>
        <v>38.39</v>
      </c>
    </row>
    <row r="11" spans="1:4" x14ac:dyDescent="0.25">
      <c r="A11" t="s">
        <v>9</v>
      </c>
      <c r="B11">
        <f>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"London")+ SUMIFS(General!$L:$L, General!$B:$B, $A11, General!$D:$D, "London")</f>
        <v>125.08482142857144</v>
      </c>
      <c r="C11">
        <f>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 + SUMIFS(General!$L:$L, General!$B:$B, $A11, General!$D:$D, "Out Ports")</f>
        <v>60.832142857142856</v>
      </c>
      <c r="D11">
        <f t="shared" si="0"/>
        <v>185.92</v>
      </c>
    </row>
    <row r="12" spans="1:4" x14ac:dyDescent="0.25">
      <c r="A12" t="s">
        <v>31</v>
      </c>
      <c r="B12">
        <f>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"London")+ SUMIFS(General!$L:$L, General!$B:$B, $A12, General!$D:$D, "London")</f>
        <v>20.391071428571429</v>
      </c>
      <c r="C12">
        <f>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 + SUMIFS(General!$L:$L, General!$B:$B, $A12, General!$D:$D, "Out Ports")</f>
        <v>13.264732142857143</v>
      </c>
      <c r="D12">
        <f t="shared" si="0"/>
        <v>33.659999999999997</v>
      </c>
    </row>
    <row r="13" spans="1:4" x14ac:dyDescent="0.25">
      <c r="A13" t="s">
        <v>20</v>
      </c>
      <c r="B13">
        <f>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"London")+ SUMIFS(General!$L:$L, General!$B:$B, $A13, General!$D:$D, "London")</f>
        <v>25.803571428571427</v>
      </c>
      <c r="C13">
        <f>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 + SUMIFS(General!$L:$L, General!$B:$B, $A13, General!$D:$D, "Out Ports")</f>
        <v>9.8388392857142843</v>
      </c>
      <c r="D13">
        <f t="shared" si="0"/>
        <v>35.64</v>
      </c>
    </row>
    <row r="14" spans="1:4" x14ac:dyDescent="0.25">
      <c r="A14" t="s">
        <v>15</v>
      </c>
      <c r="B14">
        <f>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"London")+ SUMIFS(General!$L:$L, General!$B:$B, $A14, General!$D:$D, "London")</f>
        <v>0.54151785714285716</v>
      </c>
      <c r="C14">
        <f>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 + SUMIFS(General!$L:$L, General!$B:$B, $A14, General!$D:$D, "Out Ports")</f>
        <v>0</v>
      </c>
      <c r="D14">
        <f t="shared" si="0"/>
        <v>0.54</v>
      </c>
    </row>
    <row r="15" spans="1:4" x14ac:dyDescent="0.25">
      <c r="A15" t="s">
        <v>30</v>
      </c>
      <c r="B15">
        <f>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"London")+ SUMIFS(General!$L:$L, General!$B:$B, $A15, General!$D:$D, "London")</f>
        <v>83.844642857142858</v>
      </c>
      <c r="C15">
        <f>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 + SUMIFS(General!$L:$L, General!$B:$B, $A15, General!$D:$D, "Out Ports")</f>
        <v>41.269642857142856</v>
      </c>
      <c r="D15">
        <f t="shared" si="0"/>
        <v>125.11</v>
      </c>
    </row>
    <row r="16" spans="1:4" x14ac:dyDescent="0.25">
      <c r="A16" t="s">
        <v>26</v>
      </c>
      <c r="B16">
        <f>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"London")+ SUMIFS(General!$L:$L, General!$B:$B, $A16, General!$D:$D, "London")</f>
        <v>1</v>
      </c>
      <c r="C16">
        <f>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 + SUMIFS(General!$L:$L, General!$B:$B, $A16, General!$D:$D, "Out Ports")</f>
        <v>1.35</v>
      </c>
      <c r="D16">
        <f t="shared" si="0"/>
        <v>2.35</v>
      </c>
    </row>
    <row r="17" spans="1:4" x14ac:dyDescent="0.25">
      <c r="A17" t="s">
        <v>21</v>
      </c>
      <c r="B17">
        <f>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"London")+ SUMIFS(General!$L:$L, General!$B:$B, $A17, General!$D:$D, "London")</f>
        <v>211.05535714285713</v>
      </c>
      <c r="C17">
        <f>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 + SUMIFS(General!$L:$L, General!$B:$B, $A17, General!$D:$D, "Out Ports")</f>
        <v>24.479910714285715</v>
      </c>
      <c r="D17">
        <f t="shared" si="0"/>
        <v>235.54</v>
      </c>
    </row>
    <row r="18" spans="1:4" x14ac:dyDescent="0.25">
      <c r="A18" t="s">
        <v>23</v>
      </c>
      <c r="B18">
        <f>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"London")+ SUMIFS(General!$L:$L, General!$B:$B, $A18, General!$D:$D, "London")</f>
        <v>12.703571428571429</v>
      </c>
      <c r="C18">
        <f>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 + SUMIFS(General!$L:$L, General!$B:$B, $A18, General!$D:$D, "Out Ports")</f>
        <v>3.5053571428571431</v>
      </c>
      <c r="D18">
        <f t="shared" si="0"/>
        <v>16.21</v>
      </c>
    </row>
    <row r="19" spans="1:4" x14ac:dyDescent="0.25">
      <c r="A19" t="s">
        <v>64</v>
      </c>
      <c r="B19">
        <f>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"London")+ SUMIFS(General!$L:$L, General!$B:$B, $A19, General!$D:$D, "London")</f>
        <v>1.1700892857142857</v>
      </c>
      <c r="C19">
        <f>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 + SUMIFS(General!$L:$L, General!$B:$B, $A19, General!$D:$D, "Out Ports")</f>
        <v>7.4553571428571427E-2</v>
      </c>
      <c r="D19">
        <f t="shared" si="0"/>
        <v>1.24</v>
      </c>
    </row>
    <row r="20" spans="1:4" x14ac:dyDescent="0.25">
      <c r="A20" t="s">
        <v>19</v>
      </c>
      <c r="B20">
        <f>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"London")+ SUMIFS(General!$L:$L, General!$B:$B, $A20, General!$D:$D, "London")</f>
        <v>0</v>
      </c>
      <c r="C20">
        <f>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 + SUMIFS(General!$L:$L, General!$B:$B, $A20, General!$D:$D, "Out Ports")</f>
        <v>0.5</v>
      </c>
      <c r="D20">
        <f t="shared" si="0"/>
        <v>0.5</v>
      </c>
    </row>
    <row r="21" spans="1:4" x14ac:dyDescent="0.25">
      <c r="A21" t="s">
        <v>22</v>
      </c>
      <c r="B21">
        <f>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"London")+ SUMIFS(General!$L:$L, General!$B:$B, $A21, General!$D:$D, "London")</f>
        <v>1.7308035714285714</v>
      </c>
      <c r="C21">
        <f>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 + SUMIFS(General!$L:$L, General!$B:$B, $A21, General!$D:$D, "Out Ports")</f>
        <v>0.8169642857142857</v>
      </c>
      <c r="D21">
        <f t="shared" si="0"/>
        <v>2.5499999999999998</v>
      </c>
    </row>
    <row r="22" spans="1:4" x14ac:dyDescent="0.25">
      <c r="A22" t="s">
        <v>17</v>
      </c>
      <c r="B22">
        <f>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"London")+ SUMIFS(General!$L:$L, General!$B:$B, $A22, General!$D:$D, "London")</f>
        <v>1.5625E-2</v>
      </c>
      <c r="C22">
        <f>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 + SUMIFS(General!$L:$L, General!$B:$B, $A22, General!$D:$D, "Out Ports")</f>
        <v>3.5</v>
      </c>
      <c r="D22">
        <f t="shared" si="0"/>
        <v>3.52</v>
      </c>
    </row>
    <row r="23" spans="1:4" x14ac:dyDescent="0.25">
      <c r="A23" t="s">
        <v>29</v>
      </c>
      <c r="B23">
        <f>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"London")+ SUMIFS(General!$L:$L, General!$B:$B, $A23, General!$D:$D, "London")</f>
        <v>0</v>
      </c>
      <c r="C23">
        <f>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 + SUMIFS(General!$L:$L, General!$B:$B, $A23, General!$D:$D, "Out Ports")</f>
        <v>0</v>
      </c>
      <c r="D23">
        <f t="shared" si="0"/>
        <v>0</v>
      </c>
    </row>
    <row r="24" spans="1:4" x14ac:dyDescent="0.25">
      <c r="A24" t="s">
        <v>27</v>
      </c>
      <c r="B24">
        <f>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"London")+ SUMIFS(General!$L:$L, General!$B:$B, $A24, General!$D:$D, "London")</f>
        <v>0</v>
      </c>
      <c r="C24">
        <f>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 + SUMIFS(General!$L:$L, General!$B:$B, $A24, General!$D:$D, "Out Ports")</f>
        <v>0</v>
      </c>
      <c r="D24">
        <f t="shared" si="0"/>
        <v>0</v>
      </c>
    </row>
    <row r="25" spans="1:4" x14ac:dyDescent="0.25">
      <c r="A25" t="s">
        <v>42</v>
      </c>
      <c r="B25">
        <f>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"London")+ SUMIFS(General!$L:$L, General!$B:$B, $A25, General!$D:$D, "London")</f>
        <v>0</v>
      </c>
      <c r="C25">
        <f>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 + SUMIFS(General!$L:$L, General!$B:$B, $A25, General!$D:$D, "Out Ports")</f>
        <v>0</v>
      </c>
      <c r="D25">
        <f t="shared" si="0"/>
        <v>0</v>
      </c>
    </row>
    <row r="26" spans="1:4" x14ac:dyDescent="0.25">
      <c r="A26" t="s">
        <v>43</v>
      </c>
      <c r="B26">
        <f>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"London")+ SUMIFS(General!$L:$L, General!$B:$B, $A26, General!$D:$D, "London")</f>
        <v>0</v>
      </c>
      <c r="C26">
        <f>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 + SUMIFS(General!$L:$L, General!$B:$B, $A26, General!$D:$D, "Out Ports")</f>
        <v>0</v>
      </c>
      <c r="D26">
        <f t="shared" si="0"/>
        <v>0</v>
      </c>
    </row>
    <row r="27" spans="1:4" x14ac:dyDescent="0.25">
      <c r="A27" t="s">
        <v>28</v>
      </c>
      <c r="B27">
        <f>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"London")+ SUMIFS(General!$L:$L, General!$B:$B, $A27, General!$D:$D, "London")</f>
        <v>36.88348214285714</v>
      </c>
      <c r="C27">
        <f>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 + SUMIFS(General!$L:$L, General!$B:$B, $A27, General!$D:$D, "Out Ports")</f>
        <v>3.6607142857142856</v>
      </c>
      <c r="D27">
        <f t="shared" si="0"/>
        <v>40.54</v>
      </c>
    </row>
    <row r="28" spans="1:4" x14ac:dyDescent="0.25">
      <c r="A28" t="s">
        <v>75</v>
      </c>
      <c r="B28">
        <f>SUMIFS(Antigua!$L:$L, Antigua!$B:$B, $A28, Antigua!$D:$D, "London") + SUMIFS(Barbados!$L:$L, Barbados!$B:$B, $A28, Barbados!$D:$D, "London") + SUMIFS(Bermuda!$L:$L, Bermuda!$B:$B, $A28, Bermuda!$D:$D,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"London")+ SUMIFS(General!$L:$L, General!$B:$B, $A28, General!$D:$D, "London")</f>
        <v>28.912500000000001</v>
      </c>
      <c r="C28">
        <f>SUMIFS(Antigua!$L:$L, Antigua!$B:$B, $A28, Antigua!$D:$D, "Out Ports") + SUMIFS(Barbados!$L:$L, Barbados!$B:$B, $A28, Barbados!$D:$D, "Out Ports") + SUMIFS(Bermuda!$L:$L, Bermuda!$B:$B, $A28, Bermuda!$D:$D,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 + SUMIFS(General!$L:$L, General!$B:$B, $A28, General!$D:$D, "Out Ports")</f>
        <v>24.123214285714283</v>
      </c>
      <c r="D28">
        <f t="shared" si="0"/>
        <v>53.04</v>
      </c>
    </row>
    <row r="29" spans="1:4" x14ac:dyDescent="0.25">
      <c r="A29" t="s">
        <v>76</v>
      </c>
      <c r="B29">
        <f>SUMIFS(Antigua!$L:$L, Antigua!$B:$B, $A29, Antigua!$D:$D, "London") + SUMIFS(Barbados!$L:$L, Barbados!$B:$B, $A29, Barbados!$D:$D, "London") + SUMIFS(Bermuda!$L:$L, Bermuda!$B:$B, $A29, Bermuda!$D:$D,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"London")+ SUMIFS(General!$L:$L, General!$B:$B, $A29, General!$D:$D, "London")</f>
        <v>261.84196428571425</v>
      </c>
      <c r="C29">
        <f>SUMIFS(Antigua!$L:$L, Antigua!$B:$B, $A29, Antigua!$D:$D, "Out Ports") + SUMIFS(Barbados!$L:$L, Barbados!$B:$B, $A29, Barbados!$D:$D, "Out Ports") + SUMIFS(Bermuda!$L:$L, Bermuda!$B:$B, $A29, Bermuda!$D:$D,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 + SUMIFS(General!$L:$L, General!$B:$B, $A29, General!$D:$D, "Out Ports")</f>
        <v>307.03482142857143</v>
      </c>
      <c r="D29">
        <f t="shared" si="0"/>
        <v>568.88</v>
      </c>
    </row>
    <row r="30" spans="1:4" x14ac:dyDescent="0.25">
      <c r="A30" t="s">
        <v>77</v>
      </c>
      <c r="B30">
        <f>SUMIFS(Antigua!$L:$L, Antigua!$B:$B, $A30, Antigua!$D:$D, "London") + SUMIFS(Barbados!$L:$L, Barbados!$B:$B, $A30, Barbados!$D:$D, "London") + SUMIFS(Bermuda!$L:$L, Bermuda!$B:$B, $A30, Bermuda!$D:$D,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"London")+ SUMIFS(General!$L:$L, General!$B:$B, $A30, General!$D:$D, "London")</f>
        <v>835.19642857142856</v>
      </c>
      <c r="C30">
        <f>SUMIFS(Antigua!$L:$L, Antigua!$B:$B, $A30, Antigua!$D:$D, "Out Ports") + SUMIFS(Barbados!$L:$L, Barbados!$B:$B, $A30, Barbados!$D:$D, "Out Ports") + SUMIFS(Bermuda!$L:$L, Bermuda!$B:$B, $A30, Bermuda!$D:$D,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 + SUMIFS(General!$L:$L, General!$B:$B, $A30, General!$D:$D, "Out Ports")</f>
        <v>320.23794642857143</v>
      </c>
      <c r="D30">
        <f t="shared" si="0"/>
        <v>1155.43</v>
      </c>
    </row>
    <row r="31" spans="1:4" x14ac:dyDescent="0.25">
      <c r="A31" t="s">
        <v>78</v>
      </c>
      <c r="B31">
        <f>SUMIFS(Antigua!$L:$L, Antigua!$B:$B, $A31, Antigua!$D:$D, "London") + SUMIFS(Barbados!$L:$L, Barbados!$B:$B, $A31, Barbados!$D:$D, "London") + SUMIFS(Bermuda!$L:$L, Bermuda!$B:$B, $A31, Bermuda!$D:$D,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"London")+ SUMIFS(General!$L:$L, General!$B:$B, $A31, General!$D:$D, "London")</f>
        <v>38.65625</v>
      </c>
      <c r="C31">
        <f>SUMIFS(Antigua!$L:$L, Antigua!$B:$B, $A31, Antigua!$D:$D, "Out Ports") + SUMIFS(Barbados!$L:$L, Barbados!$B:$B, $A31, Barbados!$D:$D, "Out Ports") + SUMIFS(Bermuda!$L:$L, Bermuda!$B:$B, $A31, Bermuda!$D:$D,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 + SUMIFS(General!$L:$L, General!$B:$B, $A31, General!$D:$D, "Out Ports")</f>
        <v>53.852678571428569</v>
      </c>
      <c r="D31">
        <f t="shared" si="0"/>
        <v>92.51</v>
      </c>
    </row>
    <row r="32" spans="1:4" x14ac:dyDescent="0.25">
      <c r="A32" t="s">
        <v>79</v>
      </c>
      <c r="B32">
        <f>SUMIFS(Antigua!$L:$L, Antigua!$B:$B, $A32, Antigua!$D:$D, "London") + SUMIFS(Barbados!$L:$L, Barbados!$B:$B, $A32, Barbados!$D:$D, "London") + SUMIFS(Bermuda!$L:$L, Bermuda!$B:$B, $A32, Bermuda!$D:$D, "London") + SUMIFS(Jamaica!$L:$L, Jamaica!$B:$B, $A32, Jamaica!$D:$D, "London") + SUMIFS(Mountserat!$L:$L, Mountserat!$B:$B, $A32, Mountserat!$D:$D, "London") + SUMIFS(Nevis!$L:$L, Nevis!$B:$B, $A32, Nevis!$D:$D, "London") + SUMIFS('St Kitts'!$L:$L, 'St Kitts'!$B:$B, $A32, 'St Kitts'!$D:$D, "London")+ SUMIFS(General!$L:$L, General!$B:$B, $A32, General!$D:$D, "London")</f>
        <v>2.5499999999999998</v>
      </c>
      <c r="C32">
        <f>SUMIFS(Antigua!$L:$L, Antigua!$B:$B, $A32, Antigua!$D:$D, "Out Ports") + SUMIFS(Barbados!$L:$L, Barbados!$B:$B, $A32, Barbados!$D:$D, "Out Ports") + SUMIFS(Bermuda!$L:$L, Bermuda!$B:$B, $A32, Bermuda!$D:$D, "Out Ports") + SUMIFS(Jamaica!$L:$L, Jamaica!$B:$B, $A32, Jamaica!$D:$D, "Out Ports") + SUMIFS(Mountserat!$L:$L, Mountserat!$B:$B, $A32, Mountserat!$D:$D, "Out Ports") + SUMIFS(Nevis!$L:$L, Nevis!$B:$B, $A32, Nevis!$D:$D, "Out Ports") + SUMIFS('St Kitts'!$L:$L, 'St Kitts'!$B:$B, $A32, 'St Kitts'!$D:$D, "Out Ports") + SUMIFS(General!$L:$L, General!$B:$B, $A32, General!$D:$D, "Out Ports")</f>
        <v>0</v>
      </c>
      <c r="D32">
        <f t="shared" si="0"/>
        <v>2.5499999999999998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F19CC-ED12-4EDC-B6A1-87517C728FBE}">
  <dimension ref="A1:I1"/>
  <sheetViews>
    <sheetView workbookViewId="0">
      <selection activeCell="A11" sqref="A2:F11"/>
    </sheetView>
  </sheetViews>
  <sheetFormatPr defaultRowHeight="15" x14ac:dyDescent="0.25"/>
  <cols>
    <col min="1" max="2" width="13.85546875" customWidth="1"/>
    <col min="5" max="5" width="12.140625" customWidth="1"/>
    <col min="6" max="6" width="11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3D4E2-0DF8-4904-877B-B0432FE13C0E}">
  <dimension ref="A1:I1"/>
  <sheetViews>
    <sheetView workbookViewId="0">
      <selection activeCell="A6" sqref="A2:F6"/>
    </sheetView>
  </sheetViews>
  <sheetFormatPr defaultRowHeight="15" x14ac:dyDescent="0.25"/>
  <cols>
    <col min="1" max="1" width="15.42578125" customWidth="1"/>
    <col min="2" max="2" width="13.140625" customWidth="1"/>
    <col min="5" max="5" width="10.85546875" customWidth="1"/>
    <col min="6" max="6" width="14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</v>
      </c>
      <c r="G1" s="1" t="s">
        <v>6</v>
      </c>
      <c r="H1" s="1"/>
      <c r="I1" s="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D6FA2-B6A0-4711-A44A-6CA286BF1E63}">
  <dimension ref="A1:O40"/>
  <sheetViews>
    <sheetView workbookViewId="0">
      <selection activeCell="I6" sqref="I6"/>
    </sheetView>
  </sheetViews>
  <sheetFormatPr defaultRowHeight="15" x14ac:dyDescent="0.25"/>
  <cols>
    <col min="2" max="3" width="17.5703125" customWidth="1"/>
    <col min="4" max="4" width="11.28515625" customWidth="1"/>
    <col min="5" max="5" width="11.7109375" customWidth="1"/>
    <col min="6" max="6" width="11.85546875" customWidth="1"/>
    <col min="7" max="7" width="11.140625" customWidth="1"/>
    <col min="8" max="9" width="18.42578125" customWidth="1"/>
  </cols>
  <sheetData>
    <row r="1" spans="1:15" x14ac:dyDescent="0.25">
      <c r="A1" s="1" t="s">
        <v>58</v>
      </c>
      <c r="B1" s="1" t="s">
        <v>59</v>
      </c>
      <c r="C1" s="1" t="s">
        <v>60</v>
      </c>
      <c r="D1" s="1" t="s">
        <v>62</v>
      </c>
      <c r="E1" s="1" t="s">
        <v>45</v>
      </c>
      <c r="F1" s="1" t="s">
        <v>46</v>
      </c>
      <c r="G1" s="1" t="s">
        <v>47</v>
      </c>
      <c r="H1" s="1" t="s">
        <v>48</v>
      </c>
      <c r="I1" s="1"/>
      <c r="J1" s="1" t="s">
        <v>6</v>
      </c>
      <c r="K1" s="1"/>
      <c r="L1" s="1" t="s">
        <v>63</v>
      </c>
      <c r="O1" s="1"/>
    </row>
    <row r="2" spans="1:15" x14ac:dyDescent="0.25">
      <c r="A2">
        <v>1721</v>
      </c>
      <c r="B2" t="s">
        <v>25</v>
      </c>
      <c r="C2" t="s">
        <v>61</v>
      </c>
      <c r="D2" t="s">
        <v>8</v>
      </c>
      <c r="H2">
        <v>4000</v>
      </c>
      <c r="J2">
        <f t="shared" ref="J2:J40" si="0">(E2*2240)+(F2*112)+(G2*28)+H2</f>
        <v>4000</v>
      </c>
      <c r="L2">
        <f t="shared" ref="L2:L40" si="1">J2/2240</f>
        <v>1.7857142857142858</v>
      </c>
    </row>
    <row r="3" spans="1:15" x14ac:dyDescent="0.25">
      <c r="A3">
        <v>1721</v>
      </c>
      <c r="B3" t="s">
        <v>16</v>
      </c>
      <c r="C3" t="s">
        <v>61</v>
      </c>
      <c r="D3" t="s">
        <v>8</v>
      </c>
      <c r="F3">
        <v>28359</v>
      </c>
      <c r="G3">
        <v>2</v>
      </c>
      <c r="H3">
        <v>10</v>
      </c>
      <c r="J3">
        <f t="shared" si="0"/>
        <v>3176274</v>
      </c>
      <c r="L3">
        <f t="shared" si="1"/>
        <v>1417.9794642857144</v>
      </c>
    </row>
    <row r="4" spans="1:15" x14ac:dyDescent="0.25">
      <c r="A4">
        <v>1721</v>
      </c>
      <c r="B4" t="s">
        <v>12</v>
      </c>
      <c r="C4" t="s">
        <v>61</v>
      </c>
      <c r="D4" t="s">
        <v>8</v>
      </c>
      <c r="J4">
        <f t="shared" si="0"/>
        <v>0</v>
      </c>
      <c r="L4">
        <f t="shared" si="1"/>
        <v>0</v>
      </c>
    </row>
    <row r="5" spans="1:15" x14ac:dyDescent="0.25">
      <c r="A5">
        <v>1721</v>
      </c>
      <c r="B5" t="s">
        <v>35</v>
      </c>
      <c r="C5" t="s">
        <v>61</v>
      </c>
      <c r="D5" t="s">
        <v>8</v>
      </c>
      <c r="F5">
        <v>7</v>
      </c>
      <c r="G5">
        <v>2</v>
      </c>
      <c r="H5">
        <v>24</v>
      </c>
      <c r="J5">
        <f t="shared" si="0"/>
        <v>864</v>
      </c>
      <c r="L5">
        <f t="shared" si="1"/>
        <v>0.38571428571428573</v>
      </c>
    </row>
    <row r="6" spans="1:15" x14ac:dyDescent="0.25">
      <c r="A6">
        <v>1721</v>
      </c>
      <c r="B6" t="s">
        <v>10</v>
      </c>
      <c r="C6" t="s">
        <v>61</v>
      </c>
      <c r="D6" t="s">
        <v>8</v>
      </c>
      <c r="H6">
        <f>895*200</f>
        <v>179000</v>
      </c>
      <c r="I6" t="s">
        <v>66</v>
      </c>
      <c r="J6">
        <f t="shared" si="0"/>
        <v>179000</v>
      </c>
      <c r="L6">
        <f t="shared" si="1"/>
        <v>79.910714285714292</v>
      </c>
    </row>
    <row r="7" spans="1:15" x14ac:dyDescent="0.25">
      <c r="A7">
        <v>1721</v>
      </c>
      <c r="B7" t="s">
        <v>14</v>
      </c>
      <c r="C7" t="s">
        <v>61</v>
      </c>
      <c r="D7" t="s">
        <v>8</v>
      </c>
      <c r="F7">
        <v>1219</v>
      </c>
      <c r="G7">
        <v>3</v>
      </c>
      <c r="H7">
        <v>17</v>
      </c>
      <c r="J7">
        <f t="shared" si="0"/>
        <v>136629</v>
      </c>
      <c r="L7">
        <f t="shared" si="1"/>
        <v>60.995089285714286</v>
      </c>
    </row>
    <row r="8" spans="1:15" x14ac:dyDescent="0.25">
      <c r="A8">
        <v>1721</v>
      </c>
      <c r="B8" t="s">
        <v>24</v>
      </c>
      <c r="C8" t="s">
        <v>61</v>
      </c>
      <c r="D8" t="s">
        <v>8</v>
      </c>
      <c r="F8">
        <v>26</v>
      </c>
      <c r="J8">
        <f t="shared" si="0"/>
        <v>2912</v>
      </c>
      <c r="L8">
        <f t="shared" si="1"/>
        <v>1.3</v>
      </c>
    </row>
    <row r="9" spans="1:15" x14ac:dyDescent="0.25">
      <c r="A9">
        <v>1721</v>
      </c>
      <c r="B9" t="s">
        <v>49</v>
      </c>
      <c r="C9" t="s">
        <v>61</v>
      </c>
      <c r="D9" t="s">
        <v>8</v>
      </c>
      <c r="H9">
        <v>18</v>
      </c>
      <c r="J9">
        <f t="shared" si="0"/>
        <v>18</v>
      </c>
      <c r="L9">
        <f t="shared" si="1"/>
        <v>8.0357142857142849E-3</v>
      </c>
    </row>
    <row r="10" spans="1:15" x14ac:dyDescent="0.25">
      <c r="A10">
        <v>1721</v>
      </c>
      <c r="B10" t="s">
        <v>9</v>
      </c>
      <c r="C10" t="s">
        <v>61</v>
      </c>
      <c r="D10" t="s">
        <v>8</v>
      </c>
      <c r="H10">
        <v>349</v>
      </c>
      <c r="J10">
        <f t="shared" si="0"/>
        <v>349</v>
      </c>
      <c r="L10">
        <f t="shared" si="1"/>
        <v>0.15580357142857143</v>
      </c>
    </row>
    <row r="11" spans="1:15" x14ac:dyDescent="0.25">
      <c r="A11">
        <v>1721</v>
      </c>
      <c r="B11" t="s">
        <v>34</v>
      </c>
      <c r="C11" t="s">
        <v>61</v>
      </c>
      <c r="D11" t="s">
        <v>8</v>
      </c>
      <c r="J11">
        <f t="shared" si="0"/>
        <v>0</v>
      </c>
      <c r="L11">
        <f t="shared" si="1"/>
        <v>0</v>
      </c>
    </row>
    <row r="12" spans="1:15" x14ac:dyDescent="0.25">
      <c r="A12">
        <v>1721</v>
      </c>
      <c r="B12" t="s">
        <v>31</v>
      </c>
      <c r="C12" t="s">
        <v>61</v>
      </c>
      <c r="D12" t="s">
        <v>8</v>
      </c>
      <c r="E12">
        <v>2</v>
      </c>
      <c r="F12">
        <v>15</v>
      </c>
      <c r="G12">
        <v>3</v>
      </c>
      <c r="J12">
        <f t="shared" si="0"/>
        <v>6244</v>
      </c>
      <c r="L12">
        <f t="shared" si="1"/>
        <v>2.7875000000000001</v>
      </c>
    </row>
    <row r="13" spans="1:15" x14ac:dyDescent="0.25">
      <c r="A13">
        <v>1721</v>
      </c>
      <c r="B13" t="s">
        <v>20</v>
      </c>
      <c r="C13" t="s">
        <v>61</v>
      </c>
      <c r="D13" t="s">
        <v>8</v>
      </c>
      <c r="J13">
        <f t="shared" si="0"/>
        <v>0</v>
      </c>
      <c r="L13">
        <f t="shared" si="1"/>
        <v>0</v>
      </c>
    </row>
    <row r="14" spans="1:15" x14ac:dyDescent="0.25">
      <c r="A14">
        <v>1721</v>
      </c>
      <c r="B14" t="s">
        <v>28</v>
      </c>
      <c r="C14" t="s">
        <v>61</v>
      </c>
      <c r="D14" t="s">
        <v>8</v>
      </c>
      <c r="H14">
        <v>5743</v>
      </c>
      <c r="I14" t="s">
        <v>65</v>
      </c>
      <c r="J14">
        <f t="shared" si="0"/>
        <v>5743</v>
      </c>
      <c r="L14">
        <f t="shared" si="1"/>
        <v>2.5638392857142858</v>
      </c>
    </row>
    <row r="15" spans="1:15" x14ac:dyDescent="0.25">
      <c r="A15">
        <v>1721</v>
      </c>
      <c r="B15" t="s">
        <v>15</v>
      </c>
      <c r="C15" t="s">
        <v>61</v>
      </c>
      <c r="D15" t="s">
        <v>8</v>
      </c>
      <c r="J15">
        <f t="shared" si="0"/>
        <v>0</v>
      </c>
      <c r="L15">
        <f t="shared" si="1"/>
        <v>0</v>
      </c>
    </row>
    <row r="16" spans="1:15" x14ac:dyDescent="0.25">
      <c r="A16">
        <v>1721</v>
      </c>
      <c r="B16" t="s">
        <v>32</v>
      </c>
      <c r="C16" t="s">
        <v>61</v>
      </c>
      <c r="D16" t="s">
        <v>8</v>
      </c>
      <c r="F16">
        <v>5</v>
      </c>
      <c r="G16">
        <v>2</v>
      </c>
      <c r="H16">
        <v>6</v>
      </c>
      <c r="J16">
        <f t="shared" si="0"/>
        <v>622</v>
      </c>
      <c r="L16">
        <f t="shared" si="1"/>
        <v>0.27767857142857144</v>
      </c>
    </row>
    <row r="17" spans="1:12" x14ac:dyDescent="0.25">
      <c r="A17">
        <v>1721</v>
      </c>
      <c r="B17" t="s">
        <v>21</v>
      </c>
      <c r="C17" t="s">
        <v>61</v>
      </c>
      <c r="D17" t="s">
        <v>8</v>
      </c>
      <c r="H17">
        <v>40976</v>
      </c>
      <c r="I17" t="s">
        <v>67</v>
      </c>
      <c r="J17">
        <f t="shared" si="0"/>
        <v>40976</v>
      </c>
      <c r="L17">
        <f t="shared" si="1"/>
        <v>18.292857142857144</v>
      </c>
    </row>
    <row r="18" spans="1:12" x14ac:dyDescent="0.25">
      <c r="A18">
        <v>1721</v>
      </c>
      <c r="B18" t="s">
        <v>23</v>
      </c>
      <c r="C18" t="s">
        <v>61</v>
      </c>
      <c r="D18" t="s">
        <v>8</v>
      </c>
      <c r="F18">
        <v>22</v>
      </c>
      <c r="H18">
        <v>21</v>
      </c>
      <c r="J18">
        <f t="shared" si="0"/>
        <v>2485</v>
      </c>
      <c r="L18">
        <f t="shared" si="1"/>
        <v>1.109375</v>
      </c>
    </row>
    <row r="19" spans="1:12" x14ac:dyDescent="0.25">
      <c r="A19">
        <v>1721</v>
      </c>
      <c r="B19" t="s">
        <v>64</v>
      </c>
      <c r="C19" t="s">
        <v>61</v>
      </c>
      <c r="D19" t="s">
        <v>8</v>
      </c>
      <c r="H19">
        <v>437</v>
      </c>
      <c r="J19">
        <f t="shared" si="0"/>
        <v>437</v>
      </c>
      <c r="L19">
        <f t="shared" si="1"/>
        <v>0.19508928571428572</v>
      </c>
    </row>
    <row r="20" spans="1:12" x14ac:dyDescent="0.25">
      <c r="A20">
        <v>1721</v>
      </c>
      <c r="B20" t="s">
        <v>19</v>
      </c>
      <c r="C20" t="s">
        <v>61</v>
      </c>
      <c r="D20" t="s">
        <v>8</v>
      </c>
      <c r="J20">
        <f t="shared" si="0"/>
        <v>0</v>
      </c>
      <c r="L20">
        <f t="shared" si="1"/>
        <v>0</v>
      </c>
    </row>
    <row r="21" spans="1:12" x14ac:dyDescent="0.25">
      <c r="A21">
        <v>1721</v>
      </c>
      <c r="B21" t="s">
        <v>22</v>
      </c>
      <c r="C21" t="s">
        <v>61</v>
      </c>
      <c r="D21" t="s">
        <v>8</v>
      </c>
      <c r="J21">
        <f t="shared" si="0"/>
        <v>0</v>
      </c>
      <c r="L21">
        <f t="shared" si="1"/>
        <v>0</v>
      </c>
    </row>
    <row r="22" spans="1:12" x14ac:dyDescent="0.25">
      <c r="A22">
        <v>1721</v>
      </c>
      <c r="B22" t="s">
        <v>17</v>
      </c>
      <c r="C22" t="s">
        <v>61</v>
      </c>
      <c r="D22" t="s">
        <v>8</v>
      </c>
      <c r="J22">
        <f t="shared" si="0"/>
        <v>0</v>
      </c>
      <c r="L22">
        <f t="shared" si="1"/>
        <v>0</v>
      </c>
    </row>
    <row r="23" spans="1:12" x14ac:dyDescent="0.25">
      <c r="A23">
        <v>1721</v>
      </c>
      <c r="B23" t="s">
        <v>16</v>
      </c>
      <c r="C23" t="s">
        <v>61</v>
      </c>
      <c r="D23" t="s">
        <v>11</v>
      </c>
      <c r="F23">
        <v>14590</v>
      </c>
      <c r="G23">
        <v>1</v>
      </c>
      <c r="H23">
        <v>17</v>
      </c>
      <c r="J23">
        <f t="shared" si="0"/>
        <v>1634125</v>
      </c>
      <c r="L23">
        <f t="shared" si="1"/>
        <v>729.52008928571433</v>
      </c>
    </row>
    <row r="24" spans="1:12" x14ac:dyDescent="0.25">
      <c r="A24">
        <v>1721</v>
      </c>
      <c r="B24" t="s">
        <v>56</v>
      </c>
      <c r="C24" t="s">
        <v>61</v>
      </c>
      <c r="D24" t="s">
        <v>11</v>
      </c>
      <c r="J24">
        <f t="shared" si="0"/>
        <v>0</v>
      </c>
      <c r="L24">
        <f t="shared" si="1"/>
        <v>0</v>
      </c>
    </row>
    <row r="25" spans="1:12" x14ac:dyDescent="0.25">
      <c r="A25">
        <v>1721</v>
      </c>
      <c r="B25" t="s">
        <v>35</v>
      </c>
      <c r="C25" t="s">
        <v>61</v>
      </c>
      <c r="D25" t="s">
        <v>11</v>
      </c>
      <c r="J25">
        <f t="shared" si="0"/>
        <v>0</v>
      </c>
      <c r="L25">
        <f t="shared" si="1"/>
        <v>0</v>
      </c>
    </row>
    <row r="26" spans="1:12" x14ac:dyDescent="0.25">
      <c r="A26">
        <v>1721</v>
      </c>
      <c r="B26" t="s">
        <v>10</v>
      </c>
      <c r="C26" t="s">
        <v>61</v>
      </c>
      <c r="D26" t="s">
        <v>11</v>
      </c>
      <c r="H26">
        <v>131128</v>
      </c>
      <c r="J26">
        <f t="shared" si="0"/>
        <v>131128</v>
      </c>
      <c r="L26">
        <f t="shared" si="1"/>
        <v>58.539285714285711</v>
      </c>
    </row>
    <row r="27" spans="1:12" x14ac:dyDescent="0.25">
      <c r="A27">
        <v>1721</v>
      </c>
      <c r="B27" t="s">
        <v>14</v>
      </c>
      <c r="C27" t="s">
        <v>61</v>
      </c>
      <c r="D27" t="s">
        <v>11</v>
      </c>
      <c r="F27">
        <v>837</v>
      </c>
      <c r="G27">
        <v>3</v>
      </c>
      <c r="H27">
        <v>18</v>
      </c>
      <c r="J27">
        <f t="shared" si="0"/>
        <v>93846</v>
      </c>
      <c r="L27">
        <f t="shared" si="1"/>
        <v>41.895535714285714</v>
      </c>
    </row>
    <row r="28" spans="1:12" x14ac:dyDescent="0.25">
      <c r="A28">
        <v>1721</v>
      </c>
      <c r="B28" t="s">
        <v>36</v>
      </c>
      <c r="C28" t="s">
        <v>61</v>
      </c>
      <c r="D28" t="s">
        <v>11</v>
      </c>
      <c r="J28">
        <f t="shared" si="0"/>
        <v>0</v>
      </c>
      <c r="L28">
        <f t="shared" si="1"/>
        <v>0</v>
      </c>
    </row>
    <row r="29" spans="1:12" x14ac:dyDescent="0.25">
      <c r="A29">
        <v>1721</v>
      </c>
      <c r="B29" t="s">
        <v>9</v>
      </c>
      <c r="C29" t="s">
        <v>61</v>
      </c>
      <c r="D29" t="s">
        <v>11</v>
      </c>
      <c r="H29">
        <v>1497</v>
      </c>
      <c r="J29">
        <f t="shared" si="0"/>
        <v>1497</v>
      </c>
      <c r="L29">
        <f t="shared" si="1"/>
        <v>0.66830357142857144</v>
      </c>
    </row>
    <row r="30" spans="1:12" x14ac:dyDescent="0.25">
      <c r="A30">
        <v>1721</v>
      </c>
      <c r="B30" t="s">
        <v>31</v>
      </c>
      <c r="C30" t="s">
        <v>61</v>
      </c>
      <c r="D30" t="s">
        <v>11</v>
      </c>
      <c r="F30">
        <v>144</v>
      </c>
      <c r="H30">
        <v>8</v>
      </c>
      <c r="J30">
        <f t="shared" si="0"/>
        <v>16136</v>
      </c>
      <c r="L30">
        <f t="shared" si="1"/>
        <v>7.2035714285714283</v>
      </c>
    </row>
    <row r="31" spans="1:12" x14ac:dyDescent="0.25">
      <c r="A31">
        <v>1721</v>
      </c>
      <c r="B31" t="s">
        <v>20</v>
      </c>
      <c r="C31" t="s">
        <v>61</v>
      </c>
      <c r="D31" t="s">
        <v>11</v>
      </c>
      <c r="H31">
        <v>1352</v>
      </c>
      <c r="I31" t="s">
        <v>116</v>
      </c>
      <c r="J31">
        <f t="shared" si="0"/>
        <v>1352</v>
      </c>
      <c r="L31">
        <f t="shared" si="1"/>
        <v>0.60357142857142854</v>
      </c>
    </row>
    <row r="32" spans="1:12" x14ac:dyDescent="0.25">
      <c r="A32">
        <v>1721</v>
      </c>
      <c r="B32" t="s">
        <v>28</v>
      </c>
      <c r="C32" t="s">
        <v>61</v>
      </c>
      <c r="D32" t="s">
        <v>11</v>
      </c>
      <c r="H32">
        <v>104</v>
      </c>
      <c r="I32" t="s">
        <v>115</v>
      </c>
      <c r="J32">
        <f t="shared" si="0"/>
        <v>104</v>
      </c>
      <c r="L32">
        <f t="shared" si="1"/>
        <v>4.642857142857143E-2</v>
      </c>
    </row>
    <row r="33" spans="1:12" x14ac:dyDescent="0.25">
      <c r="A33">
        <v>1721</v>
      </c>
      <c r="B33" t="s">
        <v>15</v>
      </c>
      <c r="C33" t="s">
        <v>61</v>
      </c>
      <c r="D33" t="s">
        <v>11</v>
      </c>
      <c r="J33">
        <f t="shared" si="0"/>
        <v>0</v>
      </c>
      <c r="L33">
        <f t="shared" si="1"/>
        <v>0</v>
      </c>
    </row>
    <row r="34" spans="1:12" x14ac:dyDescent="0.25">
      <c r="A34">
        <v>1721</v>
      </c>
      <c r="B34" t="s">
        <v>26</v>
      </c>
      <c r="C34" t="s">
        <v>61</v>
      </c>
      <c r="D34" t="s">
        <v>11</v>
      </c>
      <c r="J34">
        <f t="shared" si="0"/>
        <v>0</v>
      </c>
      <c r="L34">
        <f t="shared" si="1"/>
        <v>0</v>
      </c>
    </row>
    <row r="35" spans="1:12" x14ac:dyDescent="0.25">
      <c r="A35">
        <v>1721</v>
      </c>
      <c r="B35" t="s">
        <v>21</v>
      </c>
      <c r="C35" t="s">
        <v>61</v>
      </c>
      <c r="D35" t="s">
        <v>11</v>
      </c>
      <c r="H35">
        <v>2320</v>
      </c>
      <c r="I35" t="s">
        <v>117</v>
      </c>
      <c r="J35">
        <f t="shared" si="0"/>
        <v>2320</v>
      </c>
      <c r="L35">
        <f t="shared" si="1"/>
        <v>1.0357142857142858</v>
      </c>
    </row>
    <row r="36" spans="1:12" x14ac:dyDescent="0.25">
      <c r="A36">
        <v>1721</v>
      </c>
      <c r="B36" t="s">
        <v>23</v>
      </c>
      <c r="C36" t="s">
        <v>61</v>
      </c>
      <c r="D36" t="s">
        <v>11</v>
      </c>
      <c r="F36">
        <v>10</v>
      </c>
      <c r="G36">
        <v>3</v>
      </c>
      <c r="H36">
        <v>4</v>
      </c>
      <c r="J36">
        <f t="shared" si="0"/>
        <v>1208</v>
      </c>
      <c r="L36">
        <f t="shared" si="1"/>
        <v>0.53928571428571426</v>
      </c>
    </row>
    <row r="37" spans="1:12" x14ac:dyDescent="0.25">
      <c r="A37">
        <v>1721</v>
      </c>
      <c r="B37" t="s">
        <v>64</v>
      </c>
      <c r="C37" t="s">
        <v>61</v>
      </c>
      <c r="D37" t="s">
        <v>11</v>
      </c>
      <c r="H37">
        <v>60</v>
      </c>
      <c r="J37">
        <f t="shared" si="0"/>
        <v>60</v>
      </c>
      <c r="L37">
        <f t="shared" si="1"/>
        <v>2.6785714285714284E-2</v>
      </c>
    </row>
    <row r="38" spans="1:12" x14ac:dyDescent="0.25">
      <c r="A38">
        <v>1721</v>
      </c>
      <c r="B38" t="s">
        <v>19</v>
      </c>
      <c r="C38" t="s">
        <v>61</v>
      </c>
      <c r="D38" t="s">
        <v>11</v>
      </c>
      <c r="H38">
        <v>1120</v>
      </c>
      <c r="J38">
        <f t="shared" si="0"/>
        <v>1120</v>
      </c>
      <c r="L38">
        <f t="shared" si="1"/>
        <v>0.5</v>
      </c>
    </row>
    <row r="39" spans="1:12" x14ac:dyDescent="0.25">
      <c r="A39">
        <v>1721</v>
      </c>
      <c r="B39" t="s">
        <v>22</v>
      </c>
      <c r="C39" t="s">
        <v>61</v>
      </c>
      <c r="D39" t="s">
        <v>11</v>
      </c>
      <c r="H39">
        <v>15</v>
      </c>
      <c r="J39">
        <f t="shared" si="0"/>
        <v>15</v>
      </c>
      <c r="L39">
        <f t="shared" si="1"/>
        <v>6.6964285714285711E-3</v>
      </c>
    </row>
    <row r="40" spans="1:12" x14ac:dyDescent="0.25">
      <c r="A40">
        <v>1721</v>
      </c>
      <c r="B40" t="s">
        <v>17</v>
      </c>
      <c r="C40" t="s">
        <v>61</v>
      </c>
      <c r="D40" t="s">
        <v>11</v>
      </c>
      <c r="J40">
        <f t="shared" si="0"/>
        <v>0</v>
      </c>
      <c r="L40">
        <f t="shared" si="1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1F908-12B8-4B3A-A65D-184CD229ACD4}">
  <dimension ref="A1:L64"/>
  <sheetViews>
    <sheetView topLeftCell="A10" workbookViewId="0">
      <selection activeCell="I16" sqref="I16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58</v>
      </c>
      <c r="B1" s="1" t="s">
        <v>59</v>
      </c>
      <c r="C1" s="1" t="s">
        <v>60</v>
      </c>
      <c r="D1" s="1" t="s">
        <v>62</v>
      </c>
      <c r="E1" s="1" t="s">
        <v>45</v>
      </c>
      <c r="F1" s="1" t="s">
        <v>46</v>
      </c>
      <c r="G1" s="1" t="s">
        <v>47</v>
      </c>
      <c r="H1" s="1" t="s">
        <v>48</v>
      </c>
      <c r="I1" s="1"/>
      <c r="J1" s="1" t="s">
        <v>6</v>
      </c>
      <c r="K1" s="1"/>
      <c r="L1" s="1" t="s">
        <v>63</v>
      </c>
    </row>
    <row r="2" spans="1:12" x14ac:dyDescent="0.25">
      <c r="A2">
        <v>1721</v>
      </c>
      <c r="B2" t="s">
        <v>70</v>
      </c>
      <c r="C2" t="s">
        <v>68</v>
      </c>
      <c r="D2" t="s">
        <v>8</v>
      </c>
      <c r="F2">
        <v>113</v>
      </c>
      <c r="J2">
        <f t="shared" ref="J2:J49" si="0">(E2*2240)+(F2*112)+(G2*28)+H2</f>
        <v>12656</v>
      </c>
      <c r="L2">
        <f t="shared" ref="L2:L7" si="1">J2/2240</f>
        <v>5.65</v>
      </c>
    </row>
    <row r="3" spans="1:12" x14ac:dyDescent="0.25">
      <c r="A3">
        <v>1721</v>
      </c>
      <c r="B3" t="s">
        <v>72</v>
      </c>
      <c r="C3" t="s">
        <v>68</v>
      </c>
      <c r="D3" t="s">
        <v>8</v>
      </c>
      <c r="F3">
        <v>140</v>
      </c>
      <c r="J3">
        <f t="shared" si="0"/>
        <v>15680</v>
      </c>
      <c r="L3">
        <f t="shared" si="1"/>
        <v>7</v>
      </c>
    </row>
    <row r="4" spans="1:12" x14ac:dyDescent="0.25">
      <c r="A4">
        <v>1721</v>
      </c>
      <c r="B4" t="s">
        <v>44</v>
      </c>
      <c r="C4" t="s">
        <v>68</v>
      </c>
      <c r="D4" t="s">
        <v>8</v>
      </c>
      <c r="H4">
        <v>21382</v>
      </c>
      <c r="J4">
        <f t="shared" si="0"/>
        <v>21382</v>
      </c>
      <c r="L4">
        <f t="shared" si="1"/>
        <v>9.5455357142857142</v>
      </c>
    </row>
    <row r="5" spans="1:12" x14ac:dyDescent="0.25">
      <c r="A5">
        <v>1721</v>
      </c>
      <c r="B5" t="s">
        <v>25</v>
      </c>
      <c r="C5" t="s">
        <v>68</v>
      </c>
      <c r="D5" t="s">
        <v>8</v>
      </c>
      <c r="H5">
        <v>1367</v>
      </c>
      <c r="J5">
        <f t="shared" si="0"/>
        <v>1367</v>
      </c>
      <c r="L5">
        <f t="shared" si="1"/>
        <v>0.61026785714285714</v>
      </c>
    </row>
    <row r="6" spans="1:12" x14ac:dyDescent="0.25">
      <c r="A6">
        <v>1721</v>
      </c>
      <c r="B6" t="s">
        <v>73</v>
      </c>
      <c r="C6" t="s">
        <v>68</v>
      </c>
      <c r="D6" t="s">
        <v>8</v>
      </c>
      <c r="F6">
        <v>25</v>
      </c>
      <c r="J6">
        <f t="shared" si="0"/>
        <v>2800</v>
      </c>
      <c r="L6">
        <f t="shared" si="1"/>
        <v>1.25</v>
      </c>
    </row>
    <row r="7" spans="1:12" x14ac:dyDescent="0.25">
      <c r="A7">
        <v>1721</v>
      </c>
      <c r="B7" t="s">
        <v>51</v>
      </c>
      <c r="C7" t="s">
        <v>68</v>
      </c>
      <c r="D7" t="s">
        <v>8</v>
      </c>
      <c r="J7">
        <f t="shared" si="0"/>
        <v>0</v>
      </c>
      <c r="L7">
        <f t="shared" si="1"/>
        <v>0</v>
      </c>
    </row>
    <row r="8" spans="1:12" x14ac:dyDescent="0.25">
      <c r="A8">
        <v>1721</v>
      </c>
      <c r="B8" t="s">
        <v>41</v>
      </c>
      <c r="C8" t="s">
        <v>68</v>
      </c>
      <c r="D8" t="s">
        <v>8</v>
      </c>
      <c r="F8">
        <v>13</v>
      </c>
      <c r="G8">
        <v>2</v>
      </c>
      <c r="H8">
        <v>20</v>
      </c>
      <c r="J8">
        <f t="shared" si="0"/>
        <v>1532</v>
      </c>
      <c r="L8">
        <f t="shared" ref="L8" si="2">J8/2240</f>
        <v>0.68392857142857144</v>
      </c>
    </row>
    <row r="9" spans="1:12" x14ac:dyDescent="0.25">
      <c r="A9">
        <v>1721</v>
      </c>
      <c r="B9" t="s">
        <v>69</v>
      </c>
      <c r="C9" t="s">
        <v>68</v>
      </c>
      <c r="D9" t="s">
        <v>8</v>
      </c>
      <c r="F9">
        <v>4</v>
      </c>
      <c r="G9">
        <v>1</v>
      </c>
      <c r="H9">
        <v>21</v>
      </c>
      <c r="J9">
        <f t="shared" si="0"/>
        <v>497</v>
      </c>
      <c r="L9">
        <f t="shared" ref="L9:L49" si="3">J9/2240</f>
        <v>0.22187499999999999</v>
      </c>
    </row>
    <row r="10" spans="1:12" x14ac:dyDescent="0.25">
      <c r="A10">
        <v>1721</v>
      </c>
      <c r="B10" t="s">
        <v>16</v>
      </c>
      <c r="C10" t="s">
        <v>68</v>
      </c>
      <c r="D10" t="s">
        <v>8</v>
      </c>
      <c r="F10">
        <v>60168</v>
      </c>
      <c r="H10">
        <v>3</v>
      </c>
      <c r="J10">
        <f t="shared" si="0"/>
        <v>6738819</v>
      </c>
      <c r="L10">
        <f t="shared" si="3"/>
        <v>3008.4013392857141</v>
      </c>
    </row>
    <row r="11" spans="1:12" x14ac:dyDescent="0.25">
      <c r="A11">
        <v>1721</v>
      </c>
      <c r="B11" t="s">
        <v>71</v>
      </c>
      <c r="C11" t="s">
        <v>68</v>
      </c>
      <c r="D11" t="s">
        <v>8</v>
      </c>
      <c r="H11">
        <v>6260</v>
      </c>
      <c r="J11">
        <f t="shared" si="0"/>
        <v>6260</v>
      </c>
      <c r="L11">
        <f t="shared" si="3"/>
        <v>2.7946428571428572</v>
      </c>
    </row>
    <row r="12" spans="1:12" x14ac:dyDescent="0.25">
      <c r="A12">
        <v>1721</v>
      </c>
      <c r="B12" t="s">
        <v>52</v>
      </c>
      <c r="C12" t="s">
        <v>68</v>
      </c>
      <c r="D12" t="s">
        <v>8</v>
      </c>
      <c r="J12">
        <f t="shared" si="0"/>
        <v>0</v>
      </c>
      <c r="L12">
        <f t="shared" si="3"/>
        <v>0</v>
      </c>
    </row>
    <row r="13" spans="1:12" x14ac:dyDescent="0.25">
      <c r="A13">
        <v>1721</v>
      </c>
      <c r="B13" t="s">
        <v>57</v>
      </c>
      <c r="C13" t="s">
        <v>68</v>
      </c>
      <c r="D13" t="s">
        <v>8</v>
      </c>
      <c r="J13">
        <f t="shared" si="0"/>
        <v>0</v>
      </c>
      <c r="L13">
        <f t="shared" si="3"/>
        <v>0</v>
      </c>
    </row>
    <row r="14" spans="1:12" x14ac:dyDescent="0.25">
      <c r="A14">
        <v>1721</v>
      </c>
      <c r="B14" t="s">
        <v>35</v>
      </c>
      <c r="C14" t="s">
        <v>68</v>
      </c>
      <c r="D14" t="s">
        <v>8</v>
      </c>
      <c r="F14">
        <v>39</v>
      </c>
      <c r="G14">
        <v>3</v>
      </c>
      <c r="H14">
        <v>23</v>
      </c>
      <c r="J14">
        <f t="shared" si="0"/>
        <v>4475</v>
      </c>
      <c r="L14">
        <f t="shared" si="3"/>
        <v>1.9977678571428572</v>
      </c>
    </row>
    <row r="15" spans="1:12" x14ac:dyDescent="0.25">
      <c r="A15">
        <v>1721</v>
      </c>
      <c r="B15" t="s">
        <v>53</v>
      </c>
      <c r="C15" t="s">
        <v>68</v>
      </c>
      <c r="D15" t="s">
        <v>8</v>
      </c>
      <c r="J15">
        <f t="shared" si="0"/>
        <v>0</v>
      </c>
      <c r="L15">
        <f t="shared" si="3"/>
        <v>0</v>
      </c>
    </row>
    <row r="16" spans="1:12" x14ac:dyDescent="0.25">
      <c r="A16">
        <v>1721</v>
      </c>
      <c r="B16" t="s">
        <v>10</v>
      </c>
      <c r="C16" t="s">
        <v>68</v>
      </c>
      <c r="D16" t="s">
        <v>8</v>
      </c>
      <c r="H16">
        <f>376*200</f>
        <v>75200</v>
      </c>
      <c r="I16" t="s">
        <v>80</v>
      </c>
      <c r="J16">
        <f t="shared" si="0"/>
        <v>75200</v>
      </c>
      <c r="L16">
        <f t="shared" si="3"/>
        <v>33.571428571428569</v>
      </c>
    </row>
    <row r="17" spans="1:12" x14ac:dyDescent="0.25">
      <c r="A17">
        <v>1721</v>
      </c>
      <c r="B17" t="s">
        <v>14</v>
      </c>
      <c r="C17" t="s">
        <v>68</v>
      </c>
      <c r="D17" t="s">
        <v>8</v>
      </c>
      <c r="F17">
        <v>2948</v>
      </c>
      <c r="G17">
        <v>3</v>
      </c>
      <c r="H17">
        <v>133</v>
      </c>
      <c r="J17">
        <f t="shared" si="0"/>
        <v>330393</v>
      </c>
      <c r="L17">
        <f t="shared" si="3"/>
        <v>147.49687499999999</v>
      </c>
    </row>
    <row r="18" spans="1:12" x14ac:dyDescent="0.25">
      <c r="A18">
        <v>1721</v>
      </c>
      <c r="B18" t="s">
        <v>24</v>
      </c>
      <c r="C18" t="s">
        <v>68</v>
      </c>
      <c r="D18" t="s">
        <v>8</v>
      </c>
      <c r="F18">
        <v>236</v>
      </c>
      <c r="H18">
        <v>22</v>
      </c>
      <c r="J18">
        <f t="shared" si="0"/>
        <v>26454</v>
      </c>
      <c r="L18">
        <f t="shared" si="3"/>
        <v>11.809821428571428</v>
      </c>
    </row>
    <row r="19" spans="1:12" x14ac:dyDescent="0.25">
      <c r="A19">
        <v>1721</v>
      </c>
      <c r="B19" t="s">
        <v>49</v>
      </c>
      <c r="C19" t="s">
        <v>68</v>
      </c>
      <c r="D19" t="s">
        <v>8</v>
      </c>
      <c r="J19">
        <f t="shared" si="0"/>
        <v>0</v>
      </c>
      <c r="L19">
        <f t="shared" si="3"/>
        <v>0</v>
      </c>
    </row>
    <row r="20" spans="1:12" x14ac:dyDescent="0.25">
      <c r="A20">
        <v>1721</v>
      </c>
      <c r="B20" t="s">
        <v>50</v>
      </c>
      <c r="C20" t="s">
        <v>68</v>
      </c>
      <c r="D20" t="s">
        <v>8</v>
      </c>
      <c r="J20">
        <f t="shared" si="0"/>
        <v>0</v>
      </c>
      <c r="L20">
        <f t="shared" si="3"/>
        <v>0</v>
      </c>
    </row>
    <row r="21" spans="1:12" x14ac:dyDescent="0.25">
      <c r="A21">
        <v>1721</v>
      </c>
      <c r="B21" t="s">
        <v>9</v>
      </c>
      <c r="C21" t="s">
        <v>68</v>
      </c>
      <c r="D21" t="s">
        <v>8</v>
      </c>
      <c r="H21">
        <v>25454</v>
      </c>
      <c r="J21">
        <f t="shared" si="0"/>
        <v>25454</v>
      </c>
      <c r="L21">
        <f t="shared" si="3"/>
        <v>11.363392857142857</v>
      </c>
    </row>
    <row r="22" spans="1:12" x14ac:dyDescent="0.25">
      <c r="A22">
        <v>1721</v>
      </c>
      <c r="B22" t="s">
        <v>34</v>
      </c>
      <c r="C22" t="s">
        <v>68</v>
      </c>
      <c r="D22" t="s">
        <v>8</v>
      </c>
      <c r="J22">
        <f t="shared" si="0"/>
        <v>0</v>
      </c>
      <c r="L22">
        <f t="shared" si="3"/>
        <v>0</v>
      </c>
    </row>
    <row r="23" spans="1:12" x14ac:dyDescent="0.25">
      <c r="A23">
        <v>1721</v>
      </c>
      <c r="B23" t="s">
        <v>31</v>
      </c>
      <c r="C23" t="s">
        <v>68</v>
      </c>
      <c r="D23" t="s">
        <v>8</v>
      </c>
      <c r="J23">
        <f t="shared" si="0"/>
        <v>0</v>
      </c>
      <c r="L23">
        <f t="shared" si="3"/>
        <v>0</v>
      </c>
    </row>
    <row r="24" spans="1:12" x14ac:dyDescent="0.25">
      <c r="A24">
        <v>1721</v>
      </c>
      <c r="B24" t="s">
        <v>20</v>
      </c>
      <c r="C24" t="s">
        <v>68</v>
      </c>
      <c r="D24" t="s">
        <v>8</v>
      </c>
      <c r="H24">
        <v>3745</v>
      </c>
      <c r="I24" t="s">
        <v>81</v>
      </c>
      <c r="J24">
        <f t="shared" si="0"/>
        <v>3745</v>
      </c>
      <c r="L24">
        <f t="shared" si="3"/>
        <v>1.671875</v>
      </c>
    </row>
    <row r="25" spans="1:12" x14ac:dyDescent="0.25">
      <c r="A25">
        <v>1721</v>
      </c>
      <c r="B25" t="s">
        <v>29</v>
      </c>
      <c r="C25" t="s">
        <v>68</v>
      </c>
      <c r="D25" t="s">
        <v>8</v>
      </c>
      <c r="J25">
        <f t="shared" si="0"/>
        <v>0</v>
      </c>
      <c r="L25">
        <f t="shared" si="3"/>
        <v>0</v>
      </c>
    </row>
    <row r="26" spans="1:12" x14ac:dyDescent="0.25">
      <c r="A26">
        <v>1721</v>
      </c>
      <c r="B26" t="s">
        <v>28</v>
      </c>
      <c r="C26" t="s">
        <v>68</v>
      </c>
      <c r="D26" t="s">
        <v>8</v>
      </c>
      <c r="H26">
        <v>49415</v>
      </c>
      <c r="I26" t="s">
        <v>74</v>
      </c>
      <c r="J26">
        <f t="shared" si="0"/>
        <v>49415</v>
      </c>
      <c r="L26">
        <f t="shared" si="3"/>
        <v>22.060267857142858</v>
      </c>
    </row>
    <row r="27" spans="1:12" x14ac:dyDescent="0.25">
      <c r="A27">
        <v>1721</v>
      </c>
      <c r="B27" t="s">
        <v>15</v>
      </c>
      <c r="C27" t="s">
        <v>68</v>
      </c>
      <c r="D27" t="s">
        <v>8</v>
      </c>
      <c r="J27">
        <f t="shared" si="0"/>
        <v>0</v>
      </c>
      <c r="L27">
        <f t="shared" si="3"/>
        <v>0</v>
      </c>
    </row>
    <row r="28" spans="1:12" x14ac:dyDescent="0.25">
      <c r="A28">
        <v>1721</v>
      </c>
      <c r="B28" t="s">
        <v>18</v>
      </c>
      <c r="C28" t="s">
        <v>68</v>
      </c>
      <c r="D28" t="s">
        <v>8</v>
      </c>
      <c r="J28">
        <f t="shared" si="0"/>
        <v>0</v>
      </c>
      <c r="L28">
        <f t="shared" si="3"/>
        <v>0</v>
      </c>
    </row>
    <row r="29" spans="1:12" x14ac:dyDescent="0.25">
      <c r="A29">
        <v>1721</v>
      </c>
      <c r="B29" t="s">
        <v>32</v>
      </c>
      <c r="C29" t="s">
        <v>68</v>
      </c>
      <c r="D29" t="s">
        <v>8</v>
      </c>
      <c r="H29">
        <v>22</v>
      </c>
      <c r="J29">
        <f t="shared" si="0"/>
        <v>22</v>
      </c>
      <c r="L29">
        <f t="shared" si="3"/>
        <v>9.8214285714285712E-3</v>
      </c>
    </row>
    <row r="30" spans="1:12" x14ac:dyDescent="0.25">
      <c r="A30">
        <v>1721</v>
      </c>
      <c r="B30" t="s">
        <v>30</v>
      </c>
      <c r="C30" t="s">
        <v>68</v>
      </c>
      <c r="D30" t="s">
        <v>8</v>
      </c>
      <c r="J30">
        <f t="shared" si="0"/>
        <v>0</v>
      </c>
      <c r="L30">
        <f t="shared" si="3"/>
        <v>0</v>
      </c>
    </row>
    <row r="31" spans="1:12" x14ac:dyDescent="0.25">
      <c r="A31">
        <v>1721</v>
      </c>
      <c r="B31" t="s">
        <v>26</v>
      </c>
      <c r="C31" t="s">
        <v>68</v>
      </c>
      <c r="D31" t="s">
        <v>8</v>
      </c>
      <c r="F31">
        <v>3</v>
      </c>
      <c r="J31">
        <f t="shared" si="0"/>
        <v>336</v>
      </c>
      <c r="L31">
        <f t="shared" si="3"/>
        <v>0.15</v>
      </c>
    </row>
    <row r="32" spans="1:12" x14ac:dyDescent="0.25">
      <c r="A32">
        <v>1721</v>
      </c>
      <c r="B32" t="s">
        <v>21</v>
      </c>
      <c r="C32" t="s">
        <v>68</v>
      </c>
      <c r="D32" t="s">
        <v>8</v>
      </c>
      <c r="H32">
        <v>106040</v>
      </c>
      <c r="I32" t="s">
        <v>82</v>
      </c>
      <c r="J32">
        <f t="shared" si="0"/>
        <v>106040</v>
      </c>
      <c r="L32">
        <f t="shared" si="3"/>
        <v>47.339285714285715</v>
      </c>
    </row>
    <row r="33" spans="1:12" x14ac:dyDescent="0.25">
      <c r="A33">
        <v>1721</v>
      </c>
      <c r="B33" t="s">
        <v>23</v>
      </c>
      <c r="C33" t="s">
        <v>68</v>
      </c>
      <c r="D33" t="s">
        <v>8</v>
      </c>
      <c r="F33">
        <v>123</v>
      </c>
      <c r="G33">
        <v>3</v>
      </c>
      <c r="H33">
        <v>17</v>
      </c>
      <c r="J33">
        <f t="shared" si="0"/>
        <v>13877</v>
      </c>
      <c r="L33">
        <f t="shared" si="3"/>
        <v>6.1950892857142854</v>
      </c>
    </row>
    <row r="34" spans="1:12" x14ac:dyDescent="0.25">
      <c r="A34">
        <v>1721</v>
      </c>
      <c r="B34" t="s">
        <v>33</v>
      </c>
      <c r="C34" t="s">
        <v>68</v>
      </c>
      <c r="D34" t="s">
        <v>8</v>
      </c>
      <c r="H34">
        <v>65</v>
      </c>
      <c r="J34">
        <f t="shared" si="0"/>
        <v>65</v>
      </c>
      <c r="L34">
        <f t="shared" si="3"/>
        <v>2.9017857142857144E-2</v>
      </c>
    </row>
    <row r="35" spans="1:12" x14ac:dyDescent="0.25">
      <c r="A35">
        <v>1721</v>
      </c>
      <c r="B35" t="s">
        <v>64</v>
      </c>
      <c r="C35" t="s">
        <v>68</v>
      </c>
      <c r="D35" t="s">
        <v>8</v>
      </c>
      <c r="H35">
        <v>1176</v>
      </c>
      <c r="J35">
        <f t="shared" si="0"/>
        <v>1176</v>
      </c>
      <c r="L35">
        <f t="shared" si="3"/>
        <v>0.52500000000000002</v>
      </c>
    </row>
    <row r="36" spans="1:12" x14ac:dyDescent="0.25">
      <c r="A36">
        <v>1721</v>
      </c>
      <c r="B36" t="s">
        <v>19</v>
      </c>
      <c r="C36" t="s">
        <v>68</v>
      </c>
      <c r="D36" t="s">
        <v>8</v>
      </c>
      <c r="J36">
        <f t="shared" si="0"/>
        <v>0</v>
      </c>
      <c r="L36">
        <f t="shared" si="3"/>
        <v>0</v>
      </c>
    </row>
    <row r="37" spans="1:12" x14ac:dyDescent="0.25">
      <c r="A37">
        <v>1721</v>
      </c>
      <c r="B37" t="s">
        <v>22</v>
      </c>
      <c r="C37" t="s">
        <v>68</v>
      </c>
      <c r="D37" t="s">
        <v>8</v>
      </c>
      <c r="H37">
        <v>337</v>
      </c>
      <c r="J37">
        <f t="shared" si="0"/>
        <v>337</v>
      </c>
      <c r="L37">
        <f t="shared" si="3"/>
        <v>0.15044642857142856</v>
      </c>
    </row>
    <row r="38" spans="1:12" x14ac:dyDescent="0.25">
      <c r="A38">
        <v>1721</v>
      </c>
      <c r="B38" t="s">
        <v>17</v>
      </c>
      <c r="C38" t="s">
        <v>68</v>
      </c>
      <c r="D38" t="s">
        <v>8</v>
      </c>
      <c r="G38">
        <v>1</v>
      </c>
      <c r="H38">
        <v>7</v>
      </c>
      <c r="J38">
        <f t="shared" si="0"/>
        <v>35</v>
      </c>
      <c r="L38">
        <f t="shared" si="3"/>
        <v>1.5625E-2</v>
      </c>
    </row>
    <row r="39" spans="1:12" x14ac:dyDescent="0.25">
      <c r="A39">
        <v>1721</v>
      </c>
      <c r="B39" t="s">
        <v>75</v>
      </c>
      <c r="C39" t="s">
        <v>68</v>
      </c>
      <c r="D39" t="s">
        <v>8</v>
      </c>
      <c r="E39">
        <v>5</v>
      </c>
      <c r="F39">
        <v>19</v>
      </c>
      <c r="J39">
        <f t="shared" si="0"/>
        <v>13328</v>
      </c>
      <c r="L39">
        <f t="shared" si="3"/>
        <v>5.95</v>
      </c>
    </row>
    <row r="40" spans="1:12" x14ac:dyDescent="0.25">
      <c r="A40">
        <v>1721</v>
      </c>
      <c r="B40" t="s">
        <v>76</v>
      </c>
      <c r="C40" t="s">
        <v>68</v>
      </c>
      <c r="D40" t="s">
        <v>8</v>
      </c>
      <c r="E40">
        <v>73</v>
      </c>
      <c r="G40">
        <v>1</v>
      </c>
      <c r="J40">
        <f t="shared" si="0"/>
        <v>163548</v>
      </c>
      <c r="L40">
        <f t="shared" si="3"/>
        <v>73.012500000000003</v>
      </c>
    </row>
    <row r="41" spans="1:12" x14ac:dyDescent="0.25">
      <c r="A41">
        <v>1721</v>
      </c>
      <c r="B41" t="s">
        <v>77</v>
      </c>
      <c r="C41" t="s">
        <v>68</v>
      </c>
      <c r="D41" t="s">
        <v>8</v>
      </c>
      <c r="E41">
        <v>40</v>
      </c>
      <c r="F41">
        <v>8</v>
      </c>
      <c r="G41">
        <v>1</v>
      </c>
      <c r="H41">
        <v>14</v>
      </c>
      <c r="J41">
        <f t="shared" si="0"/>
        <v>90538</v>
      </c>
      <c r="L41">
        <f t="shared" si="3"/>
        <v>40.418750000000003</v>
      </c>
    </row>
    <row r="42" spans="1:12" x14ac:dyDescent="0.25">
      <c r="A42">
        <v>1721</v>
      </c>
      <c r="B42" t="s">
        <v>78</v>
      </c>
      <c r="C42" t="s">
        <v>68</v>
      </c>
      <c r="D42" t="s">
        <v>8</v>
      </c>
      <c r="E42">
        <v>5</v>
      </c>
      <c r="F42">
        <v>6</v>
      </c>
      <c r="G42">
        <v>1</v>
      </c>
      <c r="H42">
        <v>19</v>
      </c>
      <c r="J42">
        <f t="shared" si="0"/>
        <v>11919</v>
      </c>
      <c r="L42">
        <f t="shared" si="3"/>
        <v>5.3209821428571429</v>
      </c>
    </row>
    <row r="43" spans="1:12" x14ac:dyDescent="0.25">
      <c r="A43">
        <v>1721</v>
      </c>
      <c r="B43" t="s">
        <v>79</v>
      </c>
      <c r="C43" t="s">
        <v>68</v>
      </c>
      <c r="D43" t="s">
        <v>8</v>
      </c>
      <c r="E43">
        <v>2</v>
      </c>
      <c r="F43">
        <v>11</v>
      </c>
      <c r="J43">
        <f t="shared" si="0"/>
        <v>5712</v>
      </c>
      <c r="L43">
        <f t="shared" si="3"/>
        <v>2.5499999999999998</v>
      </c>
    </row>
    <row r="44" spans="1:12" x14ac:dyDescent="0.25">
      <c r="A44">
        <v>1721</v>
      </c>
      <c r="B44" t="s">
        <v>44</v>
      </c>
      <c r="C44" t="s">
        <v>68</v>
      </c>
      <c r="D44" t="s">
        <v>11</v>
      </c>
      <c r="H44">
        <v>1079</v>
      </c>
      <c r="J44">
        <f t="shared" si="0"/>
        <v>1079</v>
      </c>
      <c r="L44">
        <f t="shared" si="3"/>
        <v>0.48169642857142858</v>
      </c>
    </row>
    <row r="45" spans="1:12" x14ac:dyDescent="0.25">
      <c r="A45">
        <v>1721</v>
      </c>
      <c r="B45" t="s">
        <v>16</v>
      </c>
      <c r="C45" t="s">
        <v>68</v>
      </c>
      <c r="D45" t="s">
        <v>11</v>
      </c>
      <c r="F45">
        <v>13497</v>
      </c>
      <c r="G45">
        <v>3</v>
      </c>
      <c r="H45">
        <v>6</v>
      </c>
      <c r="J45">
        <f t="shared" si="0"/>
        <v>1511754</v>
      </c>
      <c r="L45">
        <f t="shared" si="3"/>
        <v>674.89017857142858</v>
      </c>
    </row>
    <row r="46" spans="1:12" x14ac:dyDescent="0.25">
      <c r="A46">
        <v>1721</v>
      </c>
      <c r="B46" t="s">
        <v>12</v>
      </c>
      <c r="C46" t="s">
        <v>68</v>
      </c>
      <c r="D46" t="s">
        <v>11</v>
      </c>
      <c r="J46">
        <f t="shared" si="0"/>
        <v>0</v>
      </c>
      <c r="L46">
        <f t="shared" si="3"/>
        <v>0</v>
      </c>
    </row>
    <row r="47" spans="1:12" x14ac:dyDescent="0.25">
      <c r="A47">
        <v>1721</v>
      </c>
      <c r="B47" t="s">
        <v>35</v>
      </c>
      <c r="C47" t="s">
        <v>68</v>
      </c>
      <c r="D47" t="s">
        <v>11</v>
      </c>
      <c r="G47">
        <v>2</v>
      </c>
      <c r="H47">
        <v>21</v>
      </c>
      <c r="J47">
        <f t="shared" si="0"/>
        <v>77</v>
      </c>
      <c r="L47">
        <f t="shared" si="3"/>
        <v>3.4375000000000003E-2</v>
      </c>
    </row>
    <row r="48" spans="1:12" x14ac:dyDescent="0.25">
      <c r="A48">
        <v>1721</v>
      </c>
      <c r="B48" t="s">
        <v>10</v>
      </c>
      <c r="C48" t="s">
        <v>68</v>
      </c>
      <c r="D48" t="s">
        <v>11</v>
      </c>
      <c r="H48">
        <v>95340</v>
      </c>
      <c r="J48">
        <f t="shared" si="0"/>
        <v>95340</v>
      </c>
      <c r="L48">
        <f t="shared" si="3"/>
        <v>42.5625</v>
      </c>
    </row>
    <row r="49" spans="1:12" x14ac:dyDescent="0.25">
      <c r="A49">
        <v>1721</v>
      </c>
      <c r="B49" t="s">
        <v>14</v>
      </c>
      <c r="C49" t="s">
        <v>68</v>
      </c>
      <c r="D49" t="s">
        <v>11</v>
      </c>
      <c r="F49">
        <v>694</v>
      </c>
      <c r="G49">
        <v>1</v>
      </c>
      <c r="H49">
        <v>21</v>
      </c>
      <c r="J49">
        <f t="shared" si="0"/>
        <v>77777</v>
      </c>
      <c r="L49">
        <f t="shared" si="3"/>
        <v>34.721874999999997</v>
      </c>
    </row>
    <row r="50" spans="1:12" x14ac:dyDescent="0.25">
      <c r="A50">
        <v>1721</v>
      </c>
      <c r="B50" t="s">
        <v>24</v>
      </c>
      <c r="C50" t="s">
        <v>68</v>
      </c>
      <c r="D50" t="s">
        <v>11</v>
      </c>
      <c r="F50">
        <v>141</v>
      </c>
      <c r="G50">
        <v>2</v>
      </c>
      <c r="J50">
        <f t="shared" ref="J50:J51" si="4">(E50*2240)+(F50*112)+(G50*28)+H50</f>
        <v>15848</v>
      </c>
      <c r="L50">
        <f t="shared" ref="L50:L51" si="5">J50/2240</f>
        <v>7.0750000000000002</v>
      </c>
    </row>
    <row r="51" spans="1:12" x14ac:dyDescent="0.25">
      <c r="A51">
        <v>1721</v>
      </c>
      <c r="B51" t="s">
        <v>9</v>
      </c>
      <c r="C51" t="s">
        <v>68</v>
      </c>
      <c r="D51" t="s">
        <v>11</v>
      </c>
      <c r="H51">
        <v>7010</v>
      </c>
      <c r="J51">
        <f t="shared" si="4"/>
        <v>7010</v>
      </c>
      <c r="L51">
        <f t="shared" si="5"/>
        <v>3.1294642857142856</v>
      </c>
    </row>
    <row r="52" spans="1:12" x14ac:dyDescent="0.25">
      <c r="A52">
        <v>1721</v>
      </c>
      <c r="B52" t="s">
        <v>31</v>
      </c>
      <c r="C52" t="s">
        <v>68</v>
      </c>
      <c r="D52" t="s">
        <v>11</v>
      </c>
      <c r="F52">
        <v>19</v>
      </c>
      <c r="G52">
        <v>1</v>
      </c>
      <c r="H52">
        <v>2</v>
      </c>
      <c r="J52">
        <f t="shared" ref="J52:J62" si="6">(E52*2240)+(F52*112)+(G52*28)+H52</f>
        <v>2158</v>
      </c>
      <c r="L52">
        <f t="shared" ref="L52:L62" si="7">J52/2240</f>
        <v>0.96339285714285716</v>
      </c>
    </row>
    <row r="53" spans="1:12" x14ac:dyDescent="0.25">
      <c r="A53">
        <v>1721</v>
      </c>
      <c r="B53" t="s">
        <v>20</v>
      </c>
      <c r="C53" t="s">
        <v>68</v>
      </c>
      <c r="D53" t="s">
        <v>11</v>
      </c>
      <c r="J53">
        <f t="shared" si="6"/>
        <v>0</v>
      </c>
      <c r="L53">
        <f t="shared" si="7"/>
        <v>0</v>
      </c>
    </row>
    <row r="54" spans="1:12" x14ac:dyDescent="0.25">
      <c r="A54">
        <v>1721</v>
      </c>
      <c r="B54" t="s">
        <v>28</v>
      </c>
      <c r="C54" t="s">
        <v>68</v>
      </c>
      <c r="D54" t="s">
        <v>11</v>
      </c>
      <c r="H54">
        <v>2424</v>
      </c>
      <c r="I54" t="s">
        <v>118</v>
      </c>
      <c r="J54">
        <f t="shared" si="6"/>
        <v>2424</v>
      </c>
      <c r="L54">
        <f t="shared" si="7"/>
        <v>1.0821428571428571</v>
      </c>
    </row>
    <row r="55" spans="1:12" x14ac:dyDescent="0.25">
      <c r="A55">
        <v>1721</v>
      </c>
      <c r="B55" t="s">
        <v>15</v>
      </c>
      <c r="C55" t="s">
        <v>68</v>
      </c>
      <c r="D55" t="s">
        <v>11</v>
      </c>
      <c r="J55">
        <f t="shared" si="6"/>
        <v>0</v>
      </c>
      <c r="L55">
        <f t="shared" si="7"/>
        <v>0</v>
      </c>
    </row>
    <row r="56" spans="1:12" x14ac:dyDescent="0.25">
      <c r="A56">
        <v>1721</v>
      </c>
      <c r="B56" t="s">
        <v>26</v>
      </c>
      <c r="C56" t="s">
        <v>68</v>
      </c>
      <c r="D56" t="s">
        <v>11</v>
      </c>
      <c r="F56">
        <v>27</v>
      </c>
      <c r="J56">
        <f t="shared" si="6"/>
        <v>3024</v>
      </c>
      <c r="L56">
        <f t="shared" si="7"/>
        <v>1.35</v>
      </c>
    </row>
    <row r="57" spans="1:12" x14ac:dyDescent="0.25">
      <c r="A57">
        <v>1721</v>
      </c>
      <c r="B57" t="s">
        <v>21</v>
      </c>
      <c r="C57" t="s">
        <v>68</v>
      </c>
      <c r="D57" t="s">
        <v>11</v>
      </c>
      <c r="H57">
        <v>16999</v>
      </c>
      <c r="I57" t="s">
        <v>119</v>
      </c>
      <c r="J57">
        <f t="shared" si="6"/>
        <v>16999</v>
      </c>
      <c r="L57">
        <f t="shared" si="7"/>
        <v>7.5888392857142861</v>
      </c>
    </row>
    <row r="58" spans="1:12" x14ac:dyDescent="0.25">
      <c r="A58">
        <v>1721</v>
      </c>
      <c r="B58" t="s">
        <v>23</v>
      </c>
      <c r="C58" t="s">
        <v>68</v>
      </c>
      <c r="D58" t="s">
        <v>11</v>
      </c>
      <c r="F58">
        <v>27</v>
      </c>
      <c r="G58">
        <v>2</v>
      </c>
      <c r="H58">
        <v>9</v>
      </c>
      <c r="J58">
        <f t="shared" si="6"/>
        <v>3089</v>
      </c>
      <c r="L58">
        <f t="shared" si="7"/>
        <v>1.3790178571428571</v>
      </c>
    </row>
    <row r="59" spans="1:12" x14ac:dyDescent="0.25">
      <c r="A59">
        <v>1721</v>
      </c>
      <c r="B59" t="s">
        <v>64</v>
      </c>
      <c r="C59" t="s">
        <v>68</v>
      </c>
      <c r="D59" t="s">
        <v>11</v>
      </c>
      <c r="H59">
        <v>4</v>
      </c>
      <c r="J59">
        <f t="shared" si="6"/>
        <v>4</v>
      </c>
      <c r="L59">
        <f t="shared" si="7"/>
        <v>1.7857142857142857E-3</v>
      </c>
    </row>
    <row r="60" spans="1:12" x14ac:dyDescent="0.25">
      <c r="A60">
        <v>1721</v>
      </c>
      <c r="B60" t="s">
        <v>22</v>
      </c>
      <c r="C60" t="s">
        <v>68</v>
      </c>
      <c r="D60" t="s">
        <v>11</v>
      </c>
      <c r="J60">
        <f t="shared" si="6"/>
        <v>0</v>
      </c>
      <c r="L60">
        <f t="shared" si="7"/>
        <v>0</v>
      </c>
    </row>
    <row r="61" spans="1:12" x14ac:dyDescent="0.25">
      <c r="A61">
        <v>1721</v>
      </c>
      <c r="B61" t="s">
        <v>17</v>
      </c>
      <c r="C61" t="s">
        <v>68</v>
      </c>
      <c r="D61" t="s">
        <v>11</v>
      </c>
      <c r="F61">
        <v>70</v>
      </c>
      <c r="J61">
        <f t="shared" si="6"/>
        <v>7840</v>
      </c>
      <c r="L61">
        <f t="shared" si="7"/>
        <v>3.5</v>
      </c>
    </row>
    <row r="62" spans="1:12" x14ac:dyDescent="0.25">
      <c r="A62">
        <v>1721</v>
      </c>
      <c r="B62" t="s">
        <v>76</v>
      </c>
      <c r="C62" t="s">
        <v>68</v>
      </c>
      <c r="D62" t="s">
        <v>11</v>
      </c>
      <c r="E62">
        <v>70</v>
      </c>
      <c r="F62">
        <v>17</v>
      </c>
      <c r="H62">
        <v>27</v>
      </c>
      <c r="J62">
        <f t="shared" si="6"/>
        <v>158731</v>
      </c>
      <c r="L62">
        <f t="shared" si="7"/>
        <v>70.862053571428575</v>
      </c>
    </row>
    <row r="63" spans="1:12" x14ac:dyDescent="0.25">
      <c r="A63">
        <v>1721</v>
      </c>
      <c r="B63" t="s">
        <v>77</v>
      </c>
      <c r="C63" t="s">
        <v>68</v>
      </c>
      <c r="D63" t="s">
        <v>11</v>
      </c>
      <c r="E63">
        <v>2</v>
      </c>
      <c r="F63">
        <v>2</v>
      </c>
      <c r="G63">
        <v>3</v>
      </c>
      <c r="H63">
        <v>24</v>
      </c>
      <c r="J63">
        <f t="shared" ref="J63:J64" si="8">(E63*2240)+(F63*112)+(G63*28)+H63</f>
        <v>4812</v>
      </c>
      <c r="L63">
        <f t="shared" ref="L63:L64" si="9">J63/2240</f>
        <v>2.1482142857142859</v>
      </c>
    </row>
    <row r="64" spans="1:12" x14ac:dyDescent="0.25">
      <c r="A64">
        <v>1721</v>
      </c>
      <c r="B64" t="s">
        <v>78</v>
      </c>
      <c r="C64" t="s">
        <v>68</v>
      </c>
      <c r="D64" t="s">
        <v>11</v>
      </c>
      <c r="E64">
        <v>35</v>
      </c>
      <c r="F64">
        <v>2</v>
      </c>
      <c r="G64">
        <v>3</v>
      </c>
      <c r="H64">
        <v>26</v>
      </c>
      <c r="J64">
        <f t="shared" si="8"/>
        <v>78734</v>
      </c>
      <c r="L64">
        <f t="shared" si="9"/>
        <v>35.14910714285714</v>
      </c>
    </row>
  </sheetData>
  <autoFilter ref="B1:P62" xr:uid="{AAD1F908-12B8-4B3A-A65D-184CD229ACD4}">
    <sortState xmlns:xlrd2="http://schemas.microsoft.com/office/spreadsheetml/2017/richdata2" ref="B2:L62">
      <sortCondition ref="D1:D62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E722-BBCD-461E-A313-A1216A062DC6}">
  <dimension ref="A1:L14"/>
  <sheetViews>
    <sheetView workbookViewId="0">
      <selection activeCell="J23" sqref="J23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58</v>
      </c>
      <c r="B1" s="1" t="s">
        <v>59</v>
      </c>
      <c r="C1" s="1" t="s">
        <v>60</v>
      </c>
      <c r="D1" s="1" t="s">
        <v>62</v>
      </c>
      <c r="E1" s="1" t="s">
        <v>45</v>
      </c>
      <c r="F1" s="1" t="s">
        <v>46</v>
      </c>
      <c r="G1" s="1" t="s">
        <v>47</v>
      </c>
      <c r="H1" s="1" t="s">
        <v>48</v>
      </c>
      <c r="I1" s="1"/>
      <c r="J1" s="1" t="s">
        <v>6</v>
      </c>
      <c r="K1" s="1"/>
      <c r="L1" s="1" t="s">
        <v>63</v>
      </c>
    </row>
    <row r="2" spans="1:12" x14ac:dyDescent="0.25">
      <c r="A2">
        <v>1721</v>
      </c>
      <c r="B2" t="s">
        <v>84</v>
      </c>
      <c r="C2" t="s">
        <v>83</v>
      </c>
      <c r="D2" t="s">
        <v>8</v>
      </c>
      <c r="F2">
        <v>1651</v>
      </c>
      <c r="J2">
        <f t="shared" ref="J2:J8" si="0">(E2*2240)+(F2*112)+(G2*28)+H2</f>
        <v>184912</v>
      </c>
      <c r="L2">
        <f t="shared" ref="L2:L8" si="1">J2/2240</f>
        <v>82.55</v>
      </c>
    </row>
    <row r="3" spans="1:12" x14ac:dyDescent="0.25">
      <c r="A3">
        <v>1721</v>
      </c>
      <c r="B3" t="s">
        <v>35</v>
      </c>
      <c r="C3" t="s">
        <v>83</v>
      </c>
      <c r="D3" t="s">
        <v>8</v>
      </c>
      <c r="E3" s="1"/>
      <c r="F3">
        <v>1</v>
      </c>
      <c r="G3">
        <v>1</v>
      </c>
      <c r="H3">
        <v>6</v>
      </c>
      <c r="I3" s="1"/>
      <c r="J3">
        <f t="shared" si="0"/>
        <v>146</v>
      </c>
      <c r="K3" s="1"/>
      <c r="L3">
        <f t="shared" si="1"/>
        <v>6.5178571428571433E-2</v>
      </c>
    </row>
    <row r="4" spans="1:12" x14ac:dyDescent="0.25">
      <c r="A4">
        <v>1721</v>
      </c>
      <c r="B4" t="s">
        <v>10</v>
      </c>
      <c r="C4" t="s">
        <v>83</v>
      </c>
      <c r="D4" t="s">
        <v>8</v>
      </c>
      <c r="E4" s="1"/>
      <c r="F4" s="1"/>
      <c r="G4" s="1"/>
      <c r="H4">
        <v>60</v>
      </c>
      <c r="I4" s="1"/>
      <c r="J4">
        <f t="shared" si="0"/>
        <v>60</v>
      </c>
      <c r="K4" s="1"/>
      <c r="L4">
        <f t="shared" si="1"/>
        <v>2.6785714285714284E-2</v>
      </c>
    </row>
    <row r="5" spans="1:12" x14ac:dyDescent="0.25">
      <c r="A5">
        <v>1721</v>
      </c>
      <c r="B5" t="s">
        <v>75</v>
      </c>
      <c r="C5" t="s">
        <v>83</v>
      </c>
      <c r="D5" t="s">
        <v>8</v>
      </c>
      <c r="E5">
        <v>5</v>
      </c>
      <c r="F5">
        <v>10</v>
      </c>
      <c r="G5">
        <v>1</v>
      </c>
      <c r="J5">
        <f t="shared" si="0"/>
        <v>12348</v>
      </c>
      <c r="L5">
        <f t="shared" si="1"/>
        <v>5.5125000000000002</v>
      </c>
    </row>
    <row r="6" spans="1:12" x14ac:dyDescent="0.25">
      <c r="A6">
        <v>1721</v>
      </c>
      <c r="B6" t="s">
        <v>77</v>
      </c>
      <c r="C6" t="s">
        <v>83</v>
      </c>
      <c r="D6" t="s">
        <v>8</v>
      </c>
      <c r="E6">
        <v>27</v>
      </c>
      <c r="F6">
        <v>19</v>
      </c>
      <c r="G6">
        <v>3</v>
      </c>
      <c r="J6">
        <f t="shared" si="0"/>
        <v>62692</v>
      </c>
      <c r="L6">
        <f t="shared" si="1"/>
        <v>27.987500000000001</v>
      </c>
    </row>
    <row r="7" spans="1:12" x14ac:dyDescent="0.25">
      <c r="A7">
        <v>1721</v>
      </c>
      <c r="B7" t="s">
        <v>9</v>
      </c>
      <c r="C7" t="s">
        <v>83</v>
      </c>
      <c r="D7" t="s">
        <v>11</v>
      </c>
      <c r="J7">
        <f t="shared" si="0"/>
        <v>0</v>
      </c>
      <c r="K7" s="1"/>
      <c r="L7">
        <f t="shared" si="1"/>
        <v>0</v>
      </c>
    </row>
    <row r="8" spans="1:12" x14ac:dyDescent="0.25">
      <c r="A8">
        <v>1721</v>
      </c>
      <c r="B8" t="s">
        <v>54</v>
      </c>
      <c r="C8" t="s">
        <v>83</v>
      </c>
      <c r="D8" t="s">
        <v>11</v>
      </c>
      <c r="J8">
        <f t="shared" si="0"/>
        <v>0</v>
      </c>
      <c r="K8" s="1"/>
      <c r="L8">
        <f t="shared" si="1"/>
        <v>0</v>
      </c>
    </row>
    <row r="9" spans="1:12" x14ac:dyDescent="0.25">
      <c r="A9">
        <v>1721</v>
      </c>
      <c r="B9" t="s">
        <v>23</v>
      </c>
      <c r="C9" t="s">
        <v>83</v>
      </c>
      <c r="D9" t="s">
        <v>11</v>
      </c>
      <c r="J9">
        <f>(E9*2240)+(F9*112)+(G9*28)+H9</f>
        <v>0</v>
      </c>
      <c r="L9">
        <f>J9/2240</f>
        <v>0</v>
      </c>
    </row>
    <row r="10" spans="1:12" x14ac:dyDescent="0.25">
      <c r="A10">
        <v>1721</v>
      </c>
      <c r="B10" t="s">
        <v>64</v>
      </c>
      <c r="C10" t="s">
        <v>83</v>
      </c>
      <c r="D10" t="s">
        <v>11</v>
      </c>
      <c r="J10">
        <f t="shared" ref="J10:J14" si="2">(E10*2240)+(F10*112)+(G10*28)+H10</f>
        <v>0</v>
      </c>
      <c r="L10">
        <f t="shared" ref="L10:L14" si="3">J10/2240</f>
        <v>0</v>
      </c>
    </row>
    <row r="11" spans="1:12" x14ac:dyDescent="0.25">
      <c r="A11">
        <v>1721</v>
      </c>
      <c r="B11" t="s">
        <v>10</v>
      </c>
      <c r="C11" t="s">
        <v>83</v>
      </c>
      <c r="D11" t="s">
        <v>11</v>
      </c>
      <c r="J11">
        <f t="shared" si="2"/>
        <v>0</v>
      </c>
      <c r="L11">
        <f t="shared" si="3"/>
        <v>0</v>
      </c>
    </row>
    <row r="12" spans="1:12" x14ac:dyDescent="0.25">
      <c r="A12">
        <v>1721</v>
      </c>
      <c r="B12" t="s">
        <v>35</v>
      </c>
      <c r="C12" t="s">
        <v>83</v>
      </c>
      <c r="D12" t="s">
        <v>11</v>
      </c>
      <c r="J12">
        <f t="shared" si="2"/>
        <v>0</v>
      </c>
      <c r="L12">
        <f t="shared" si="3"/>
        <v>0</v>
      </c>
    </row>
    <row r="13" spans="1:12" x14ac:dyDescent="0.25">
      <c r="A13">
        <v>1721</v>
      </c>
      <c r="B13" t="s">
        <v>75</v>
      </c>
      <c r="C13" t="s">
        <v>83</v>
      </c>
      <c r="D13" t="s">
        <v>11</v>
      </c>
      <c r="E13">
        <v>13</v>
      </c>
      <c r="F13">
        <v>9</v>
      </c>
      <c r="G13">
        <v>1</v>
      </c>
      <c r="H13">
        <v>25</v>
      </c>
      <c r="J13">
        <f t="shared" si="2"/>
        <v>30181</v>
      </c>
      <c r="L13">
        <f t="shared" si="3"/>
        <v>13.473660714285714</v>
      </c>
    </row>
    <row r="14" spans="1:12" x14ac:dyDescent="0.25">
      <c r="A14">
        <v>1721</v>
      </c>
      <c r="B14" t="s">
        <v>77</v>
      </c>
      <c r="C14" t="s">
        <v>83</v>
      </c>
      <c r="D14" t="s">
        <v>11</v>
      </c>
      <c r="E14">
        <v>2</v>
      </c>
      <c r="F14">
        <v>18</v>
      </c>
      <c r="G14">
        <v>3</v>
      </c>
      <c r="H14">
        <v>15</v>
      </c>
      <c r="J14">
        <f t="shared" si="2"/>
        <v>6595</v>
      </c>
      <c r="L14">
        <f t="shared" si="3"/>
        <v>2.9441964285714284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9DECF-9C4B-4D66-A34A-4FCAB8DD57FB}">
  <dimension ref="A1:L65"/>
  <sheetViews>
    <sheetView topLeftCell="A22" workbookViewId="0">
      <selection activeCell="H69" sqref="H69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58</v>
      </c>
      <c r="B1" s="1" t="s">
        <v>59</v>
      </c>
      <c r="C1" s="1" t="s">
        <v>60</v>
      </c>
      <c r="D1" s="1" t="s">
        <v>62</v>
      </c>
      <c r="E1" s="1" t="s">
        <v>45</v>
      </c>
      <c r="F1" s="1" t="s">
        <v>46</v>
      </c>
      <c r="G1" s="1" t="s">
        <v>47</v>
      </c>
      <c r="H1" s="1" t="s">
        <v>48</v>
      </c>
      <c r="I1" s="1"/>
      <c r="J1" s="1" t="s">
        <v>6</v>
      </c>
      <c r="K1" s="1"/>
      <c r="L1" s="1" t="s">
        <v>63</v>
      </c>
    </row>
    <row r="2" spans="1:12" x14ac:dyDescent="0.25">
      <c r="A2">
        <v>1721</v>
      </c>
      <c r="B2" t="s">
        <v>70</v>
      </c>
      <c r="C2" t="s">
        <v>85</v>
      </c>
      <c r="D2" t="s">
        <v>8</v>
      </c>
      <c r="J2">
        <f t="shared" ref="J2:J49" si="0">(E2*2240)+(F2*112)+(G2*28)+H2</f>
        <v>0</v>
      </c>
      <c r="L2">
        <f t="shared" ref="L2:L7" si="1">J2/2240</f>
        <v>0</v>
      </c>
    </row>
    <row r="3" spans="1:12" x14ac:dyDescent="0.25">
      <c r="A3">
        <v>1721</v>
      </c>
      <c r="B3" t="s">
        <v>72</v>
      </c>
      <c r="C3" t="s">
        <v>85</v>
      </c>
      <c r="D3" t="s">
        <v>8</v>
      </c>
      <c r="J3">
        <f t="shared" si="0"/>
        <v>0</v>
      </c>
      <c r="L3">
        <f t="shared" si="1"/>
        <v>0</v>
      </c>
    </row>
    <row r="4" spans="1:12" x14ac:dyDescent="0.25">
      <c r="A4">
        <v>1721</v>
      </c>
      <c r="B4" t="s">
        <v>44</v>
      </c>
      <c r="C4" t="s">
        <v>85</v>
      </c>
      <c r="D4" t="s">
        <v>8</v>
      </c>
      <c r="J4">
        <f t="shared" si="0"/>
        <v>0</v>
      </c>
      <c r="L4">
        <f t="shared" si="1"/>
        <v>0</v>
      </c>
    </row>
    <row r="5" spans="1:12" x14ac:dyDescent="0.25">
      <c r="A5">
        <v>1721</v>
      </c>
      <c r="B5" t="s">
        <v>25</v>
      </c>
      <c r="C5" t="s">
        <v>85</v>
      </c>
      <c r="D5" t="s">
        <v>8</v>
      </c>
      <c r="J5">
        <f t="shared" si="0"/>
        <v>0</v>
      </c>
      <c r="L5">
        <f t="shared" si="1"/>
        <v>0</v>
      </c>
    </row>
    <row r="6" spans="1:12" x14ac:dyDescent="0.25">
      <c r="A6">
        <v>1721</v>
      </c>
      <c r="B6" t="s">
        <v>73</v>
      </c>
      <c r="C6" t="s">
        <v>85</v>
      </c>
      <c r="D6" t="s">
        <v>8</v>
      </c>
      <c r="J6">
        <f t="shared" si="0"/>
        <v>0</v>
      </c>
      <c r="L6">
        <f t="shared" si="1"/>
        <v>0</v>
      </c>
    </row>
    <row r="7" spans="1:12" x14ac:dyDescent="0.25">
      <c r="A7">
        <v>1721</v>
      </c>
      <c r="B7" t="s">
        <v>51</v>
      </c>
      <c r="C7" t="s">
        <v>85</v>
      </c>
      <c r="D7" t="s">
        <v>8</v>
      </c>
      <c r="J7">
        <f t="shared" si="0"/>
        <v>0</v>
      </c>
      <c r="L7">
        <f t="shared" si="1"/>
        <v>0</v>
      </c>
    </row>
    <row r="8" spans="1:12" x14ac:dyDescent="0.25">
      <c r="A8">
        <v>1721</v>
      </c>
      <c r="B8" t="s">
        <v>41</v>
      </c>
      <c r="C8" t="s">
        <v>85</v>
      </c>
      <c r="D8" t="s">
        <v>8</v>
      </c>
      <c r="J8">
        <f t="shared" si="0"/>
        <v>0</v>
      </c>
      <c r="L8">
        <f t="shared" ref="L8" si="2">J8/2240</f>
        <v>0</v>
      </c>
    </row>
    <row r="9" spans="1:12" x14ac:dyDescent="0.25">
      <c r="A9">
        <v>1721</v>
      </c>
      <c r="B9" t="s">
        <v>69</v>
      </c>
      <c r="C9" t="s">
        <v>85</v>
      </c>
      <c r="D9" t="s">
        <v>8</v>
      </c>
      <c r="J9">
        <f t="shared" si="0"/>
        <v>0</v>
      </c>
      <c r="L9">
        <f t="shared" ref="L9:L49" si="3">J9/2240</f>
        <v>0</v>
      </c>
    </row>
    <row r="10" spans="1:12" x14ac:dyDescent="0.25">
      <c r="A10">
        <v>1721</v>
      </c>
      <c r="B10" t="s">
        <v>16</v>
      </c>
      <c r="C10" t="s">
        <v>85</v>
      </c>
      <c r="D10" t="s">
        <v>8</v>
      </c>
      <c r="J10">
        <f t="shared" si="0"/>
        <v>0</v>
      </c>
      <c r="L10">
        <f t="shared" si="3"/>
        <v>0</v>
      </c>
    </row>
    <row r="11" spans="1:12" x14ac:dyDescent="0.25">
      <c r="A11">
        <v>1721</v>
      </c>
      <c r="B11" t="s">
        <v>71</v>
      </c>
      <c r="C11" t="s">
        <v>85</v>
      </c>
      <c r="D11" t="s">
        <v>8</v>
      </c>
      <c r="J11">
        <f t="shared" si="0"/>
        <v>0</v>
      </c>
      <c r="L11">
        <f t="shared" si="3"/>
        <v>0</v>
      </c>
    </row>
    <row r="12" spans="1:12" x14ac:dyDescent="0.25">
      <c r="A12">
        <v>1721</v>
      </c>
      <c r="B12" t="s">
        <v>52</v>
      </c>
      <c r="C12" t="s">
        <v>85</v>
      </c>
      <c r="D12" t="s">
        <v>8</v>
      </c>
      <c r="J12">
        <f t="shared" si="0"/>
        <v>0</v>
      </c>
      <c r="L12">
        <f t="shared" si="3"/>
        <v>0</v>
      </c>
    </row>
    <row r="13" spans="1:12" x14ac:dyDescent="0.25">
      <c r="A13">
        <v>1721</v>
      </c>
      <c r="B13" t="s">
        <v>57</v>
      </c>
      <c r="C13" t="s">
        <v>85</v>
      </c>
      <c r="D13" t="s">
        <v>8</v>
      </c>
      <c r="J13">
        <f t="shared" si="0"/>
        <v>0</v>
      </c>
      <c r="L13">
        <f t="shared" si="3"/>
        <v>0</v>
      </c>
    </row>
    <row r="14" spans="1:12" x14ac:dyDescent="0.25">
      <c r="A14">
        <v>1721</v>
      </c>
      <c r="B14" t="s">
        <v>35</v>
      </c>
      <c r="C14" t="s">
        <v>85</v>
      </c>
      <c r="D14" t="s">
        <v>8</v>
      </c>
      <c r="J14">
        <f t="shared" si="0"/>
        <v>0</v>
      </c>
      <c r="L14">
        <f t="shared" si="3"/>
        <v>0</v>
      </c>
    </row>
    <row r="15" spans="1:12" x14ac:dyDescent="0.25">
      <c r="A15">
        <v>1721</v>
      </c>
      <c r="B15" t="s">
        <v>53</v>
      </c>
      <c r="C15" t="s">
        <v>85</v>
      </c>
      <c r="D15" t="s">
        <v>8</v>
      </c>
      <c r="J15">
        <f t="shared" si="0"/>
        <v>0</v>
      </c>
      <c r="L15">
        <f t="shared" si="3"/>
        <v>0</v>
      </c>
    </row>
    <row r="16" spans="1:12" x14ac:dyDescent="0.25">
      <c r="A16">
        <v>1721</v>
      </c>
      <c r="B16" t="s">
        <v>10</v>
      </c>
      <c r="C16" t="s">
        <v>85</v>
      </c>
      <c r="D16" t="s">
        <v>8</v>
      </c>
      <c r="J16">
        <f t="shared" si="0"/>
        <v>0</v>
      </c>
      <c r="L16">
        <f t="shared" si="3"/>
        <v>0</v>
      </c>
    </row>
    <row r="17" spans="1:12" x14ac:dyDescent="0.25">
      <c r="A17">
        <v>1721</v>
      </c>
      <c r="B17" t="s">
        <v>14</v>
      </c>
      <c r="C17" t="s">
        <v>85</v>
      </c>
      <c r="D17" t="s">
        <v>8</v>
      </c>
      <c r="J17">
        <f t="shared" si="0"/>
        <v>0</v>
      </c>
      <c r="L17">
        <f t="shared" si="3"/>
        <v>0</v>
      </c>
    </row>
    <row r="18" spans="1:12" x14ac:dyDescent="0.25">
      <c r="A18">
        <v>1721</v>
      </c>
      <c r="B18" t="s">
        <v>24</v>
      </c>
      <c r="C18" t="s">
        <v>85</v>
      </c>
      <c r="D18" t="s">
        <v>8</v>
      </c>
      <c r="F18">
        <v>10</v>
      </c>
      <c r="J18">
        <f t="shared" si="0"/>
        <v>1120</v>
      </c>
      <c r="L18">
        <f t="shared" si="3"/>
        <v>0.5</v>
      </c>
    </row>
    <row r="19" spans="1:12" x14ac:dyDescent="0.25">
      <c r="A19">
        <v>1721</v>
      </c>
      <c r="B19" t="s">
        <v>49</v>
      </c>
      <c r="C19" t="s">
        <v>85</v>
      </c>
      <c r="D19" t="s">
        <v>8</v>
      </c>
      <c r="J19">
        <f t="shared" si="0"/>
        <v>0</v>
      </c>
      <c r="L19">
        <f t="shared" si="3"/>
        <v>0</v>
      </c>
    </row>
    <row r="20" spans="1:12" x14ac:dyDescent="0.25">
      <c r="A20">
        <v>1721</v>
      </c>
      <c r="B20" t="s">
        <v>50</v>
      </c>
      <c r="C20" t="s">
        <v>85</v>
      </c>
      <c r="D20" t="s">
        <v>8</v>
      </c>
      <c r="J20">
        <f t="shared" si="0"/>
        <v>0</v>
      </c>
      <c r="L20">
        <f t="shared" si="3"/>
        <v>0</v>
      </c>
    </row>
    <row r="21" spans="1:12" x14ac:dyDescent="0.25">
      <c r="A21">
        <v>1721</v>
      </c>
      <c r="B21" t="s">
        <v>9</v>
      </c>
      <c r="C21" t="s">
        <v>85</v>
      </c>
      <c r="D21" t="s">
        <v>8</v>
      </c>
      <c r="H21">
        <v>60</v>
      </c>
      <c r="J21">
        <f t="shared" si="0"/>
        <v>60</v>
      </c>
      <c r="L21">
        <f t="shared" si="3"/>
        <v>2.6785714285714284E-2</v>
      </c>
    </row>
    <row r="22" spans="1:12" x14ac:dyDescent="0.25">
      <c r="A22">
        <v>1721</v>
      </c>
      <c r="B22" t="s">
        <v>34</v>
      </c>
      <c r="C22" t="s">
        <v>85</v>
      </c>
      <c r="D22" t="s">
        <v>8</v>
      </c>
      <c r="J22">
        <f t="shared" si="0"/>
        <v>0</v>
      </c>
      <c r="L22">
        <f t="shared" si="3"/>
        <v>0</v>
      </c>
    </row>
    <row r="23" spans="1:12" x14ac:dyDescent="0.25">
      <c r="A23">
        <v>1721</v>
      </c>
      <c r="B23" t="s">
        <v>31</v>
      </c>
      <c r="C23" t="s">
        <v>85</v>
      </c>
      <c r="D23" t="s">
        <v>8</v>
      </c>
      <c r="J23">
        <f t="shared" si="0"/>
        <v>0</v>
      </c>
      <c r="L23">
        <f t="shared" si="3"/>
        <v>0</v>
      </c>
    </row>
    <row r="24" spans="1:12" x14ac:dyDescent="0.25">
      <c r="A24">
        <v>1721</v>
      </c>
      <c r="B24" t="s">
        <v>20</v>
      </c>
      <c r="C24" t="s">
        <v>85</v>
      </c>
      <c r="D24" t="s">
        <v>8</v>
      </c>
      <c r="J24">
        <f t="shared" si="0"/>
        <v>0</v>
      </c>
      <c r="L24">
        <f t="shared" si="3"/>
        <v>0</v>
      </c>
    </row>
    <row r="25" spans="1:12" x14ac:dyDescent="0.25">
      <c r="A25">
        <v>1721</v>
      </c>
      <c r="B25" t="s">
        <v>29</v>
      </c>
      <c r="C25" t="s">
        <v>85</v>
      </c>
      <c r="D25" t="s">
        <v>8</v>
      </c>
      <c r="J25">
        <f t="shared" si="0"/>
        <v>0</v>
      </c>
      <c r="L25">
        <f t="shared" si="3"/>
        <v>0</v>
      </c>
    </row>
    <row r="26" spans="1:12" x14ac:dyDescent="0.25">
      <c r="A26">
        <v>1721</v>
      </c>
      <c r="B26" t="s">
        <v>28</v>
      </c>
      <c r="C26" t="s">
        <v>85</v>
      </c>
      <c r="D26" t="s">
        <v>8</v>
      </c>
      <c r="J26">
        <f t="shared" si="0"/>
        <v>0</v>
      </c>
      <c r="L26">
        <f t="shared" si="3"/>
        <v>0</v>
      </c>
    </row>
    <row r="27" spans="1:12" x14ac:dyDescent="0.25">
      <c r="A27">
        <v>1721</v>
      </c>
      <c r="B27" t="s">
        <v>15</v>
      </c>
      <c r="C27" t="s">
        <v>85</v>
      </c>
      <c r="D27" t="s">
        <v>8</v>
      </c>
      <c r="J27">
        <f t="shared" si="0"/>
        <v>0</v>
      </c>
      <c r="L27">
        <f t="shared" si="3"/>
        <v>0</v>
      </c>
    </row>
    <row r="28" spans="1:12" x14ac:dyDescent="0.25">
      <c r="A28">
        <v>1721</v>
      </c>
      <c r="B28" t="s">
        <v>18</v>
      </c>
      <c r="C28" t="s">
        <v>85</v>
      </c>
      <c r="D28" t="s">
        <v>8</v>
      </c>
      <c r="J28">
        <f t="shared" si="0"/>
        <v>0</v>
      </c>
      <c r="L28">
        <f t="shared" si="3"/>
        <v>0</v>
      </c>
    </row>
    <row r="29" spans="1:12" x14ac:dyDescent="0.25">
      <c r="A29">
        <v>1721</v>
      </c>
      <c r="B29" t="s">
        <v>32</v>
      </c>
      <c r="C29" t="s">
        <v>85</v>
      </c>
      <c r="D29" t="s">
        <v>8</v>
      </c>
      <c r="J29">
        <f t="shared" si="0"/>
        <v>0</v>
      </c>
      <c r="L29">
        <f t="shared" si="3"/>
        <v>0</v>
      </c>
    </row>
    <row r="30" spans="1:12" x14ac:dyDescent="0.25">
      <c r="A30">
        <v>1721</v>
      </c>
      <c r="B30" t="s">
        <v>30</v>
      </c>
      <c r="C30" t="s">
        <v>85</v>
      </c>
      <c r="D30" t="s">
        <v>8</v>
      </c>
      <c r="J30">
        <f t="shared" si="0"/>
        <v>0</v>
      </c>
      <c r="L30">
        <f t="shared" si="3"/>
        <v>0</v>
      </c>
    </row>
    <row r="31" spans="1:12" x14ac:dyDescent="0.25">
      <c r="A31">
        <v>1721</v>
      </c>
      <c r="B31" t="s">
        <v>26</v>
      </c>
      <c r="C31" t="s">
        <v>85</v>
      </c>
      <c r="D31" t="s">
        <v>8</v>
      </c>
      <c r="F31">
        <v>31441</v>
      </c>
      <c r="G31">
        <v>2</v>
      </c>
      <c r="H31">
        <v>20</v>
      </c>
      <c r="J31">
        <f t="shared" si="0"/>
        <v>3521468</v>
      </c>
      <c r="L31">
        <f t="shared" si="3"/>
        <v>1572.0839285714285</v>
      </c>
    </row>
    <row r="32" spans="1:12" x14ac:dyDescent="0.25">
      <c r="A32">
        <v>1721</v>
      </c>
      <c r="B32" t="s">
        <v>21</v>
      </c>
      <c r="C32" t="s">
        <v>85</v>
      </c>
      <c r="D32" t="s">
        <v>8</v>
      </c>
      <c r="H32">
        <v>3454</v>
      </c>
      <c r="I32" t="s">
        <v>87</v>
      </c>
      <c r="J32">
        <f t="shared" si="0"/>
        <v>3454</v>
      </c>
      <c r="L32">
        <f t="shared" si="3"/>
        <v>1.5419642857142857</v>
      </c>
    </row>
    <row r="33" spans="1:12" x14ac:dyDescent="0.25">
      <c r="A33">
        <v>1721</v>
      </c>
      <c r="B33" t="s">
        <v>86</v>
      </c>
      <c r="C33" t="s">
        <v>85</v>
      </c>
      <c r="D33" t="s">
        <v>8</v>
      </c>
      <c r="F33">
        <v>155</v>
      </c>
      <c r="G33">
        <v>1</v>
      </c>
      <c r="H33">
        <v>16</v>
      </c>
      <c r="J33">
        <f t="shared" si="0"/>
        <v>17404</v>
      </c>
      <c r="L33">
        <f t="shared" si="3"/>
        <v>7.7696428571428573</v>
      </c>
    </row>
    <row r="34" spans="1:12" x14ac:dyDescent="0.25">
      <c r="A34">
        <v>1721</v>
      </c>
      <c r="B34" t="s">
        <v>23</v>
      </c>
      <c r="C34" t="s">
        <v>85</v>
      </c>
      <c r="D34" t="s">
        <v>8</v>
      </c>
      <c r="J34">
        <f t="shared" si="0"/>
        <v>0</v>
      </c>
      <c r="L34">
        <f t="shared" si="3"/>
        <v>0</v>
      </c>
    </row>
    <row r="35" spans="1:12" x14ac:dyDescent="0.25">
      <c r="A35">
        <v>1721</v>
      </c>
      <c r="B35" t="s">
        <v>33</v>
      </c>
      <c r="C35" t="s">
        <v>85</v>
      </c>
      <c r="D35" t="s">
        <v>8</v>
      </c>
      <c r="J35">
        <f t="shared" si="0"/>
        <v>0</v>
      </c>
      <c r="L35">
        <f t="shared" si="3"/>
        <v>0</v>
      </c>
    </row>
    <row r="36" spans="1:12" x14ac:dyDescent="0.25">
      <c r="A36">
        <v>1721</v>
      </c>
      <c r="B36" t="s">
        <v>64</v>
      </c>
      <c r="C36" t="s">
        <v>85</v>
      </c>
      <c r="D36" t="s">
        <v>8</v>
      </c>
      <c r="J36">
        <f t="shared" si="0"/>
        <v>0</v>
      </c>
      <c r="L36">
        <f t="shared" si="3"/>
        <v>0</v>
      </c>
    </row>
    <row r="37" spans="1:12" x14ac:dyDescent="0.25">
      <c r="A37">
        <v>1721</v>
      </c>
      <c r="B37" t="s">
        <v>19</v>
      </c>
      <c r="C37" t="s">
        <v>85</v>
      </c>
      <c r="D37" t="s">
        <v>8</v>
      </c>
      <c r="H37">
        <v>44597</v>
      </c>
      <c r="J37">
        <f t="shared" si="0"/>
        <v>44597</v>
      </c>
      <c r="L37">
        <f t="shared" si="3"/>
        <v>19.909375000000001</v>
      </c>
    </row>
    <row r="38" spans="1:12" x14ac:dyDescent="0.25">
      <c r="A38">
        <v>1721</v>
      </c>
      <c r="B38" t="s">
        <v>22</v>
      </c>
      <c r="C38" t="s">
        <v>85</v>
      </c>
      <c r="D38" t="s">
        <v>8</v>
      </c>
      <c r="J38">
        <f t="shared" si="0"/>
        <v>0</v>
      </c>
      <c r="L38">
        <f t="shared" si="3"/>
        <v>0</v>
      </c>
    </row>
    <row r="39" spans="1:12" x14ac:dyDescent="0.25">
      <c r="A39">
        <v>1721</v>
      </c>
      <c r="B39" t="s">
        <v>17</v>
      </c>
      <c r="C39" t="s">
        <v>85</v>
      </c>
      <c r="D39" t="s">
        <v>8</v>
      </c>
      <c r="J39">
        <f t="shared" si="0"/>
        <v>0</v>
      </c>
      <c r="L39">
        <f t="shared" si="3"/>
        <v>0</v>
      </c>
    </row>
    <row r="40" spans="1:12" x14ac:dyDescent="0.25">
      <c r="A40">
        <v>1721</v>
      </c>
      <c r="B40" t="s">
        <v>75</v>
      </c>
      <c r="C40" t="s">
        <v>85</v>
      </c>
      <c r="D40" t="s">
        <v>8</v>
      </c>
      <c r="E40">
        <v>10</v>
      </c>
      <c r="F40">
        <v>4</v>
      </c>
      <c r="G40">
        <v>3</v>
      </c>
      <c r="H40">
        <v>21</v>
      </c>
      <c r="J40">
        <f t="shared" si="0"/>
        <v>22953</v>
      </c>
      <c r="L40">
        <f t="shared" si="3"/>
        <v>10.246874999999999</v>
      </c>
    </row>
    <row r="41" spans="1:12" x14ac:dyDescent="0.25">
      <c r="A41">
        <v>1721</v>
      </c>
      <c r="B41" t="s">
        <v>76</v>
      </c>
      <c r="C41" t="s">
        <v>85</v>
      </c>
      <c r="D41" t="s">
        <v>8</v>
      </c>
      <c r="J41">
        <f t="shared" si="0"/>
        <v>0</v>
      </c>
      <c r="L41">
        <f t="shared" si="3"/>
        <v>0</v>
      </c>
    </row>
    <row r="42" spans="1:12" x14ac:dyDescent="0.25">
      <c r="A42">
        <v>1721</v>
      </c>
      <c r="B42" t="s">
        <v>77</v>
      </c>
      <c r="C42" t="s">
        <v>85</v>
      </c>
      <c r="D42" t="s">
        <v>8</v>
      </c>
      <c r="J42">
        <f t="shared" si="0"/>
        <v>0</v>
      </c>
      <c r="L42">
        <f t="shared" si="3"/>
        <v>0</v>
      </c>
    </row>
    <row r="43" spans="1:12" x14ac:dyDescent="0.25">
      <c r="A43">
        <v>1721</v>
      </c>
      <c r="B43" t="s">
        <v>78</v>
      </c>
      <c r="C43" t="s">
        <v>85</v>
      </c>
      <c r="D43" t="s">
        <v>8</v>
      </c>
      <c r="F43">
        <v>6</v>
      </c>
      <c r="J43">
        <f t="shared" si="0"/>
        <v>672</v>
      </c>
      <c r="L43">
        <f t="shared" si="3"/>
        <v>0.3</v>
      </c>
    </row>
    <row r="44" spans="1:12" x14ac:dyDescent="0.25">
      <c r="A44">
        <v>1721</v>
      </c>
      <c r="B44" t="s">
        <v>79</v>
      </c>
      <c r="C44" t="s">
        <v>85</v>
      </c>
      <c r="D44" t="s">
        <v>8</v>
      </c>
      <c r="F44">
        <v>5</v>
      </c>
      <c r="J44">
        <f t="shared" si="0"/>
        <v>560</v>
      </c>
      <c r="L44">
        <f t="shared" si="3"/>
        <v>0.25</v>
      </c>
    </row>
    <row r="45" spans="1:12" x14ac:dyDescent="0.25">
      <c r="A45">
        <v>1721</v>
      </c>
      <c r="B45" t="s">
        <v>16</v>
      </c>
      <c r="C45" t="s">
        <v>85</v>
      </c>
      <c r="D45" t="s">
        <v>11</v>
      </c>
      <c r="F45">
        <v>59</v>
      </c>
      <c r="G45">
        <v>3</v>
      </c>
      <c r="H45">
        <v>7</v>
      </c>
      <c r="J45">
        <f t="shared" si="0"/>
        <v>6699</v>
      </c>
      <c r="L45">
        <f t="shared" si="3"/>
        <v>2.9906250000000001</v>
      </c>
    </row>
    <row r="46" spans="1:12" x14ac:dyDescent="0.25">
      <c r="A46">
        <v>1721</v>
      </c>
      <c r="B46" t="s">
        <v>12</v>
      </c>
      <c r="C46" t="s">
        <v>85</v>
      </c>
      <c r="D46" t="s">
        <v>11</v>
      </c>
      <c r="J46">
        <f t="shared" si="0"/>
        <v>0</v>
      </c>
      <c r="L46">
        <f t="shared" si="3"/>
        <v>0</v>
      </c>
    </row>
    <row r="47" spans="1:12" x14ac:dyDescent="0.25">
      <c r="A47">
        <v>1721</v>
      </c>
      <c r="B47" t="s">
        <v>35</v>
      </c>
      <c r="C47" t="s">
        <v>85</v>
      </c>
      <c r="D47" t="s">
        <v>11</v>
      </c>
      <c r="J47">
        <f t="shared" si="0"/>
        <v>0</v>
      </c>
      <c r="L47">
        <f t="shared" si="3"/>
        <v>0</v>
      </c>
    </row>
    <row r="48" spans="1:12" x14ac:dyDescent="0.25">
      <c r="A48">
        <v>1721</v>
      </c>
      <c r="B48" t="s">
        <v>10</v>
      </c>
      <c r="C48" t="s">
        <v>85</v>
      </c>
      <c r="D48" t="s">
        <v>11</v>
      </c>
      <c r="H48">
        <v>5280</v>
      </c>
      <c r="J48">
        <f t="shared" si="0"/>
        <v>5280</v>
      </c>
      <c r="L48">
        <f t="shared" si="3"/>
        <v>2.3571428571428572</v>
      </c>
    </row>
    <row r="49" spans="1:12" x14ac:dyDescent="0.25">
      <c r="A49">
        <v>1721</v>
      </c>
      <c r="B49" t="s">
        <v>14</v>
      </c>
      <c r="C49" t="s">
        <v>85</v>
      </c>
      <c r="D49" t="s">
        <v>11</v>
      </c>
      <c r="J49">
        <f t="shared" si="0"/>
        <v>0</v>
      </c>
      <c r="L49">
        <f t="shared" si="3"/>
        <v>0</v>
      </c>
    </row>
    <row r="50" spans="1:12" x14ac:dyDescent="0.25">
      <c r="A50">
        <v>1721</v>
      </c>
      <c r="B50" t="s">
        <v>24</v>
      </c>
      <c r="C50" t="s">
        <v>85</v>
      </c>
      <c r="D50" t="s">
        <v>11</v>
      </c>
      <c r="F50">
        <v>6</v>
      </c>
      <c r="G50">
        <v>3</v>
      </c>
      <c r="H50">
        <v>24</v>
      </c>
      <c r="J50">
        <f t="shared" ref="J50:J62" si="4">(E50*2240)+(F50*112)+(G50*28)+H50</f>
        <v>780</v>
      </c>
      <c r="L50">
        <f t="shared" ref="L50:L59" si="5">J50/2240</f>
        <v>0.3482142857142857</v>
      </c>
    </row>
    <row r="51" spans="1:12" x14ac:dyDescent="0.25">
      <c r="A51">
        <v>1721</v>
      </c>
      <c r="B51" t="s">
        <v>9</v>
      </c>
      <c r="C51" t="s">
        <v>85</v>
      </c>
      <c r="D51" t="s">
        <v>11</v>
      </c>
      <c r="H51">
        <v>28</v>
      </c>
      <c r="J51">
        <f t="shared" si="4"/>
        <v>28</v>
      </c>
      <c r="L51">
        <f t="shared" si="5"/>
        <v>1.2500000000000001E-2</v>
      </c>
    </row>
    <row r="52" spans="1:12" x14ac:dyDescent="0.25">
      <c r="A52">
        <v>1721</v>
      </c>
      <c r="B52" t="s">
        <v>31</v>
      </c>
      <c r="C52" t="s">
        <v>85</v>
      </c>
      <c r="D52" t="s">
        <v>11</v>
      </c>
      <c r="J52">
        <f t="shared" si="4"/>
        <v>0</v>
      </c>
      <c r="L52">
        <f t="shared" si="5"/>
        <v>0</v>
      </c>
    </row>
    <row r="53" spans="1:12" x14ac:dyDescent="0.25">
      <c r="A53">
        <v>1721</v>
      </c>
      <c r="B53" t="s">
        <v>20</v>
      </c>
      <c r="C53" t="s">
        <v>85</v>
      </c>
      <c r="D53" t="s">
        <v>11</v>
      </c>
      <c r="H53">
        <v>3121</v>
      </c>
      <c r="I53" t="s">
        <v>120</v>
      </c>
      <c r="J53">
        <f t="shared" si="4"/>
        <v>3121</v>
      </c>
      <c r="L53">
        <f t="shared" si="5"/>
        <v>1.3933035714285715</v>
      </c>
    </row>
    <row r="54" spans="1:12" x14ac:dyDescent="0.25">
      <c r="A54">
        <v>1721</v>
      </c>
      <c r="B54" t="s">
        <v>28</v>
      </c>
      <c r="C54" t="s">
        <v>85</v>
      </c>
      <c r="D54" t="s">
        <v>11</v>
      </c>
      <c r="J54">
        <f t="shared" si="4"/>
        <v>0</v>
      </c>
      <c r="L54">
        <f t="shared" si="5"/>
        <v>0</v>
      </c>
    </row>
    <row r="55" spans="1:12" x14ac:dyDescent="0.25">
      <c r="A55">
        <v>1721</v>
      </c>
      <c r="B55" t="s">
        <v>15</v>
      </c>
      <c r="C55" t="s">
        <v>85</v>
      </c>
      <c r="D55" t="s">
        <v>11</v>
      </c>
      <c r="J55">
        <f t="shared" si="4"/>
        <v>0</v>
      </c>
      <c r="L55">
        <f t="shared" si="5"/>
        <v>0</v>
      </c>
    </row>
    <row r="56" spans="1:12" x14ac:dyDescent="0.25">
      <c r="A56">
        <v>1721</v>
      </c>
      <c r="B56" t="s">
        <v>26</v>
      </c>
      <c r="C56" t="s">
        <v>85</v>
      </c>
      <c r="D56" t="s">
        <v>11</v>
      </c>
      <c r="F56">
        <v>23431</v>
      </c>
      <c r="G56">
        <v>2</v>
      </c>
      <c r="H56">
        <v>20</v>
      </c>
      <c r="J56">
        <f t="shared" si="4"/>
        <v>2624348</v>
      </c>
      <c r="L56">
        <f t="shared" si="5"/>
        <v>1171.5839285714285</v>
      </c>
    </row>
    <row r="57" spans="1:12" x14ac:dyDescent="0.25">
      <c r="A57">
        <v>1721</v>
      </c>
      <c r="B57" t="s">
        <v>21</v>
      </c>
      <c r="C57" t="s">
        <v>85</v>
      </c>
      <c r="D57" t="s">
        <v>11</v>
      </c>
      <c r="H57">
        <v>4239</v>
      </c>
      <c r="I57" t="s">
        <v>121</v>
      </c>
      <c r="J57">
        <f t="shared" si="4"/>
        <v>4239</v>
      </c>
      <c r="L57">
        <f t="shared" si="5"/>
        <v>1.8924107142857143</v>
      </c>
    </row>
    <row r="58" spans="1:12" x14ac:dyDescent="0.25">
      <c r="A58">
        <v>1721</v>
      </c>
      <c r="B58" t="s">
        <v>86</v>
      </c>
      <c r="C58" t="s">
        <v>85</v>
      </c>
      <c r="D58" t="s">
        <v>11</v>
      </c>
      <c r="F58">
        <v>375</v>
      </c>
      <c r="G58">
        <v>3</v>
      </c>
      <c r="H58">
        <v>24</v>
      </c>
      <c r="J58">
        <f t="shared" si="4"/>
        <v>42108</v>
      </c>
      <c r="L58">
        <f t="shared" si="5"/>
        <v>18.798214285714284</v>
      </c>
    </row>
    <row r="59" spans="1:12" x14ac:dyDescent="0.25">
      <c r="A59">
        <v>1721</v>
      </c>
      <c r="B59" t="s">
        <v>23</v>
      </c>
      <c r="C59" t="s">
        <v>85</v>
      </c>
      <c r="D59" t="s">
        <v>11</v>
      </c>
      <c r="J59">
        <f t="shared" si="4"/>
        <v>0</v>
      </c>
      <c r="L59">
        <f t="shared" si="5"/>
        <v>0</v>
      </c>
    </row>
    <row r="60" spans="1:12" x14ac:dyDescent="0.25">
      <c r="A60">
        <v>1721</v>
      </c>
      <c r="B60" t="s">
        <v>64</v>
      </c>
      <c r="C60" t="s">
        <v>85</v>
      </c>
      <c r="D60" t="s">
        <v>11</v>
      </c>
      <c r="J60">
        <f t="shared" si="4"/>
        <v>0</v>
      </c>
      <c r="L60">
        <f>J60/2240</f>
        <v>0</v>
      </c>
    </row>
    <row r="61" spans="1:12" x14ac:dyDescent="0.25">
      <c r="A61">
        <v>1721</v>
      </c>
      <c r="B61" t="s">
        <v>19</v>
      </c>
      <c r="C61" t="s">
        <v>85</v>
      </c>
      <c r="D61" t="s">
        <v>11</v>
      </c>
      <c r="H61">
        <v>2300</v>
      </c>
      <c r="J61">
        <f t="shared" si="4"/>
        <v>2300</v>
      </c>
      <c r="L61">
        <f>J61/2240</f>
        <v>1.0267857142857142</v>
      </c>
    </row>
    <row r="62" spans="1:12" x14ac:dyDescent="0.25">
      <c r="A62">
        <v>1721</v>
      </c>
      <c r="B62" t="s">
        <v>22</v>
      </c>
      <c r="C62" t="s">
        <v>85</v>
      </c>
      <c r="D62" t="s">
        <v>11</v>
      </c>
      <c r="J62">
        <f t="shared" si="4"/>
        <v>0</v>
      </c>
      <c r="L62">
        <f>J62/2240</f>
        <v>0</v>
      </c>
    </row>
    <row r="63" spans="1:12" x14ac:dyDescent="0.25">
      <c r="A63">
        <v>1721</v>
      </c>
      <c r="B63" t="s">
        <v>17</v>
      </c>
      <c r="C63" t="s">
        <v>85</v>
      </c>
      <c r="D63" t="s">
        <v>11</v>
      </c>
      <c r="H63">
        <v>67</v>
      </c>
      <c r="J63">
        <f>(E63*2240)+(F63*112)+(G63*28)+H63</f>
        <v>67</v>
      </c>
      <c r="L63">
        <f>J63/2240</f>
        <v>2.9910714285714287E-2</v>
      </c>
    </row>
    <row r="64" spans="1:12" x14ac:dyDescent="0.25">
      <c r="A64">
        <v>1721</v>
      </c>
      <c r="B64" t="s">
        <v>77</v>
      </c>
      <c r="C64" t="s">
        <v>85</v>
      </c>
      <c r="D64" t="s">
        <v>11</v>
      </c>
      <c r="F64">
        <v>10</v>
      </c>
      <c r="G64">
        <v>1</v>
      </c>
      <c r="H64">
        <v>7</v>
      </c>
      <c r="J64">
        <f>(E64*2240)+(F64*112)+(G64*28)+H64</f>
        <v>1155</v>
      </c>
      <c r="L64">
        <f>J64/2240</f>
        <v>0.515625</v>
      </c>
    </row>
    <row r="65" spans="1:12" x14ac:dyDescent="0.25">
      <c r="A65">
        <v>1721</v>
      </c>
      <c r="B65" t="s">
        <v>78</v>
      </c>
      <c r="C65" t="s">
        <v>85</v>
      </c>
      <c r="D65" t="s">
        <v>11</v>
      </c>
      <c r="E65">
        <v>2</v>
      </c>
      <c r="F65">
        <v>2</v>
      </c>
      <c r="G65">
        <v>3</v>
      </c>
      <c r="H65">
        <v>27</v>
      </c>
      <c r="J65">
        <f t="shared" ref="J65" si="6">(E65*2240)+(F65*112)+(G65*28)+H65</f>
        <v>4815</v>
      </c>
      <c r="L65">
        <f t="shared" ref="L65" si="7">J65/2240</f>
        <v>2.1495535714285716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7725-5A61-4A1B-A740-CC887BCB0E68}">
  <dimension ref="A1:L74"/>
  <sheetViews>
    <sheetView topLeftCell="A18" zoomScaleNormal="100" workbookViewId="0">
      <selection activeCell="I18" sqref="I18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58</v>
      </c>
      <c r="B1" s="1" t="s">
        <v>59</v>
      </c>
      <c r="C1" s="1" t="s">
        <v>60</v>
      </c>
      <c r="D1" s="1" t="s">
        <v>62</v>
      </c>
      <c r="E1" s="1" t="s">
        <v>45</v>
      </c>
      <c r="F1" s="1" t="s">
        <v>46</v>
      </c>
      <c r="G1" s="1" t="s">
        <v>47</v>
      </c>
      <c r="H1" s="1" t="s">
        <v>48</v>
      </c>
      <c r="I1" s="1"/>
      <c r="J1" s="1" t="s">
        <v>6</v>
      </c>
      <c r="K1" s="1"/>
      <c r="L1" s="1" t="s">
        <v>63</v>
      </c>
    </row>
    <row r="2" spans="1:12" x14ac:dyDescent="0.25">
      <c r="A2">
        <v>1721</v>
      </c>
      <c r="B2" t="s">
        <v>70</v>
      </c>
      <c r="C2" t="s">
        <v>88</v>
      </c>
      <c r="D2" t="s">
        <v>8</v>
      </c>
      <c r="J2">
        <f>(E2*2240)+(F2*112)+(G2*28)+H2</f>
        <v>0</v>
      </c>
      <c r="L2">
        <f>J2/2240</f>
        <v>0</v>
      </c>
    </row>
    <row r="3" spans="1:12" x14ac:dyDescent="0.25">
      <c r="A3">
        <v>1721</v>
      </c>
      <c r="B3" t="s">
        <v>72</v>
      </c>
      <c r="C3" t="s">
        <v>88</v>
      </c>
      <c r="D3" t="s">
        <v>8</v>
      </c>
      <c r="J3">
        <f>(E3*2240)+(F3*112)+(G3*28)+H3</f>
        <v>0</v>
      </c>
      <c r="L3">
        <f>J3/2240</f>
        <v>0</v>
      </c>
    </row>
    <row r="4" spans="1:12" x14ac:dyDescent="0.25">
      <c r="A4">
        <v>1721</v>
      </c>
      <c r="B4" t="s">
        <v>44</v>
      </c>
      <c r="C4" t="s">
        <v>88</v>
      </c>
      <c r="D4" t="s">
        <v>8</v>
      </c>
      <c r="J4">
        <f>(E4*2240)+(F4*112)+(G4*28)+H4</f>
        <v>0</v>
      </c>
      <c r="L4">
        <f>J4/2240</f>
        <v>0</v>
      </c>
    </row>
    <row r="5" spans="1:12" x14ac:dyDescent="0.25">
      <c r="A5">
        <v>1721</v>
      </c>
      <c r="B5" t="s">
        <v>25</v>
      </c>
      <c r="C5" t="s">
        <v>88</v>
      </c>
      <c r="D5" t="s">
        <v>8</v>
      </c>
      <c r="H5">
        <v>221</v>
      </c>
      <c r="J5">
        <f>(E5*2240)+(F5*112)+(G5*28)+H5</f>
        <v>221</v>
      </c>
      <c r="L5">
        <f>J5/2240</f>
        <v>9.8660714285714282E-2</v>
      </c>
    </row>
    <row r="6" spans="1:12" x14ac:dyDescent="0.25">
      <c r="A6">
        <v>1721</v>
      </c>
      <c r="B6" t="s">
        <v>73</v>
      </c>
      <c r="C6" t="s">
        <v>88</v>
      </c>
      <c r="D6" t="s">
        <v>8</v>
      </c>
      <c r="J6">
        <f>(E6*2240)+(F6*112)+(G6*28)+H6</f>
        <v>0</v>
      </c>
      <c r="L6">
        <f>J6/2240</f>
        <v>0</v>
      </c>
    </row>
    <row r="7" spans="1:12" x14ac:dyDescent="0.25">
      <c r="A7">
        <v>1721</v>
      </c>
      <c r="B7" t="s">
        <v>89</v>
      </c>
      <c r="C7" t="s">
        <v>88</v>
      </c>
      <c r="D7" t="s">
        <v>8</v>
      </c>
      <c r="F7">
        <v>3</v>
      </c>
      <c r="H7">
        <v>20</v>
      </c>
      <c r="J7">
        <f t="shared" ref="J7:J25" si="0">(E7*2240)+(F7*112)+(G7*28)+H7</f>
        <v>356</v>
      </c>
      <c r="L7">
        <f t="shared" ref="L7:L27" si="1">J7/2240</f>
        <v>0.15892857142857142</v>
      </c>
    </row>
    <row r="8" spans="1:12" x14ac:dyDescent="0.25">
      <c r="A8">
        <v>1721</v>
      </c>
      <c r="B8" t="s">
        <v>51</v>
      </c>
      <c r="C8" t="s">
        <v>88</v>
      </c>
      <c r="D8" t="s">
        <v>8</v>
      </c>
      <c r="J8">
        <f t="shared" si="0"/>
        <v>0</v>
      </c>
      <c r="L8">
        <f t="shared" si="1"/>
        <v>0</v>
      </c>
    </row>
    <row r="9" spans="1:12" x14ac:dyDescent="0.25">
      <c r="A9">
        <v>1721</v>
      </c>
      <c r="B9" t="s">
        <v>41</v>
      </c>
      <c r="C9" t="s">
        <v>88</v>
      </c>
      <c r="D9" t="s">
        <v>8</v>
      </c>
      <c r="J9">
        <f t="shared" si="0"/>
        <v>0</v>
      </c>
      <c r="L9">
        <f t="shared" si="1"/>
        <v>0</v>
      </c>
    </row>
    <row r="10" spans="1:12" x14ac:dyDescent="0.25">
      <c r="A10">
        <v>1721</v>
      </c>
      <c r="B10" t="s">
        <v>69</v>
      </c>
      <c r="C10" t="s">
        <v>88</v>
      </c>
      <c r="D10" t="s">
        <v>8</v>
      </c>
      <c r="J10">
        <f t="shared" si="0"/>
        <v>0</v>
      </c>
      <c r="L10">
        <f t="shared" si="1"/>
        <v>0</v>
      </c>
    </row>
    <row r="11" spans="1:12" x14ac:dyDescent="0.25">
      <c r="A11">
        <v>1721</v>
      </c>
      <c r="B11" t="s">
        <v>16</v>
      </c>
      <c r="C11" t="s">
        <v>88</v>
      </c>
      <c r="D11" t="s">
        <v>8</v>
      </c>
      <c r="F11">
        <v>164048</v>
      </c>
      <c r="G11">
        <v>1</v>
      </c>
      <c r="H11">
        <v>12</v>
      </c>
      <c r="J11">
        <f t="shared" si="0"/>
        <v>18373416</v>
      </c>
      <c r="L11">
        <f t="shared" si="1"/>
        <v>8202.4178571428565</v>
      </c>
    </row>
    <row r="12" spans="1:12" x14ac:dyDescent="0.25">
      <c r="A12">
        <v>1721</v>
      </c>
      <c r="B12" t="s">
        <v>71</v>
      </c>
      <c r="C12" t="s">
        <v>88</v>
      </c>
      <c r="D12" t="s">
        <v>8</v>
      </c>
      <c r="H12">
        <v>80</v>
      </c>
      <c r="J12">
        <f t="shared" si="0"/>
        <v>80</v>
      </c>
      <c r="L12">
        <f t="shared" si="1"/>
        <v>3.5714285714285712E-2</v>
      </c>
    </row>
    <row r="13" spans="1:12" x14ac:dyDescent="0.25">
      <c r="A13">
        <v>1721</v>
      </c>
      <c r="B13" t="s">
        <v>52</v>
      </c>
      <c r="C13" t="s">
        <v>88</v>
      </c>
      <c r="D13" t="s">
        <v>8</v>
      </c>
      <c r="J13">
        <f t="shared" si="0"/>
        <v>0</v>
      </c>
      <c r="L13">
        <f t="shared" si="1"/>
        <v>0</v>
      </c>
    </row>
    <row r="14" spans="1:12" x14ac:dyDescent="0.25">
      <c r="A14">
        <v>1721</v>
      </c>
      <c r="B14" t="s">
        <v>57</v>
      </c>
      <c r="C14" t="s">
        <v>88</v>
      </c>
      <c r="D14" t="s">
        <v>8</v>
      </c>
      <c r="H14">
        <v>296</v>
      </c>
      <c r="J14">
        <f t="shared" si="0"/>
        <v>296</v>
      </c>
      <c r="L14">
        <f t="shared" si="1"/>
        <v>0.13214285714285715</v>
      </c>
    </row>
    <row r="15" spans="1:12" x14ac:dyDescent="0.25">
      <c r="A15">
        <v>1721</v>
      </c>
      <c r="B15" t="s">
        <v>35</v>
      </c>
      <c r="C15" t="s">
        <v>88</v>
      </c>
      <c r="D15" t="s">
        <v>8</v>
      </c>
      <c r="F15">
        <v>27</v>
      </c>
      <c r="H15">
        <v>2</v>
      </c>
      <c r="J15">
        <f t="shared" si="0"/>
        <v>3026</v>
      </c>
      <c r="L15">
        <f t="shared" si="1"/>
        <v>1.3508928571428571</v>
      </c>
    </row>
    <row r="16" spans="1:12" x14ac:dyDescent="0.25">
      <c r="A16">
        <v>1721</v>
      </c>
      <c r="B16" t="s">
        <v>53</v>
      </c>
      <c r="C16" t="s">
        <v>88</v>
      </c>
      <c r="D16" t="s">
        <v>8</v>
      </c>
      <c r="J16">
        <f t="shared" si="0"/>
        <v>0</v>
      </c>
      <c r="L16">
        <f t="shared" si="1"/>
        <v>0</v>
      </c>
    </row>
    <row r="17" spans="1:12" x14ac:dyDescent="0.25">
      <c r="A17">
        <v>1721</v>
      </c>
      <c r="B17" t="s">
        <v>55</v>
      </c>
      <c r="C17" t="s">
        <v>88</v>
      </c>
      <c r="D17" t="s">
        <v>8</v>
      </c>
      <c r="H17">
        <v>455</v>
      </c>
      <c r="J17">
        <f t="shared" si="0"/>
        <v>455</v>
      </c>
      <c r="L17">
        <f t="shared" si="1"/>
        <v>0.203125</v>
      </c>
    </row>
    <row r="18" spans="1:12" x14ac:dyDescent="0.25">
      <c r="A18">
        <v>1721</v>
      </c>
      <c r="B18" t="s">
        <v>10</v>
      </c>
      <c r="C18" t="s">
        <v>88</v>
      </c>
      <c r="D18" t="s">
        <v>8</v>
      </c>
      <c r="H18">
        <f>1499.5*200</f>
        <v>299900</v>
      </c>
      <c r="I18" t="s">
        <v>92</v>
      </c>
      <c r="J18">
        <f t="shared" si="0"/>
        <v>299900</v>
      </c>
      <c r="L18">
        <f t="shared" si="1"/>
        <v>133.88392857142858</v>
      </c>
    </row>
    <row r="19" spans="1:12" x14ac:dyDescent="0.25">
      <c r="A19">
        <v>1721</v>
      </c>
      <c r="B19" t="s">
        <v>14</v>
      </c>
      <c r="C19" t="s">
        <v>88</v>
      </c>
      <c r="D19" t="s">
        <v>8</v>
      </c>
      <c r="F19">
        <v>12839</v>
      </c>
      <c r="G19">
        <v>1</v>
      </c>
      <c r="H19">
        <v>5</v>
      </c>
      <c r="J19">
        <f t="shared" si="0"/>
        <v>1438001</v>
      </c>
      <c r="L19">
        <f t="shared" si="1"/>
        <v>641.96473214285709</v>
      </c>
    </row>
    <row r="20" spans="1:12" x14ac:dyDescent="0.25">
      <c r="A20">
        <v>1721</v>
      </c>
      <c r="B20" t="s">
        <v>24</v>
      </c>
      <c r="C20" t="s">
        <v>88</v>
      </c>
      <c r="D20" t="s">
        <v>8</v>
      </c>
      <c r="F20">
        <v>167</v>
      </c>
      <c r="G20">
        <v>2</v>
      </c>
      <c r="H20">
        <v>2</v>
      </c>
      <c r="J20">
        <f t="shared" si="0"/>
        <v>18762</v>
      </c>
      <c r="L20">
        <f t="shared" si="1"/>
        <v>8.3758928571428566</v>
      </c>
    </row>
    <row r="21" spans="1:12" x14ac:dyDescent="0.25">
      <c r="A21">
        <v>1721</v>
      </c>
      <c r="B21" t="s">
        <v>49</v>
      </c>
      <c r="C21" t="s">
        <v>88</v>
      </c>
      <c r="D21" t="s">
        <v>8</v>
      </c>
      <c r="J21">
        <f t="shared" si="0"/>
        <v>0</v>
      </c>
      <c r="L21">
        <f t="shared" si="1"/>
        <v>0</v>
      </c>
    </row>
    <row r="22" spans="1:12" x14ac:dyDescent="0.25">
      <c r="A22">
        <v>1721</v>
      </c>
      <c r="B22" t="s">
        <v>50</v>
      </c>
      <c r="C22" t="s">
        <v>88</v>
      </c>
      <c r="D22" t="s">
        <v>8</v>
      </c>
      <c r="J22">
        <f t="shared" si="0"/>
        <v>0</v>
      </c>
      <c r="L22">
        <f t="shared" si="1"/>
        <v>0</v>
      </c>
    </row>
    <row r="23" spans="1:12" x14ac:dyDescent="0.25">
      <c r="A23">
        <v>1721</v>
      </c>
      <c r="B23" t="s">
        <v>9</v>
      </c>
      <c r="C23" t="s">
        <v>88</v>
      </c>
      <c r="D23" t="s">
        <v>8</v>
      </c>
      <c r="H23">
        <f>110105+135238</f>
        <v>245343</v>
      </c>
      <c r="J23">
        <f t="shared" si="0"/>
        <v>245343</v>
      </c>
      <c r="L23">
        <f t="shared" si="1"/>
        <v>109.528125</v>
      </c>
    </row>
    <row r="24" spans="1:12" x14ac:dyDescent="0.25">
      <c r="A24">
        <v>1721</v>
      </c>
      <c r="B24" t="s">
        <v>34</v>
      </c>
      <c r="C24" t="s">
        <v>88</v>
      </c>
      <c r="D24" t="s">
        <v>8</v>
      </c>
      <c r="J24">
        <f t="shared" si="0"/>
        <v>0</v>
      </c>
      <c r="L24">
        <f t="shared" si="1"/>
        <v>0</v>
      </c>
    </row>
    <row r="25" spans="1:12" x14ac:dyDescent="0.25">
      <c r="A25">
        <v>1721</v>
      </c>
      <c r="B25" t="s">
        <v>31</v>
      </c>
      <c r="C25" t="s">
        <v>88</v>
      </c>
      <c r="D25" t="s">
        <v>8</v>
      </c>
      <c r="E25">
        <v>7</v>
      </c>
      <c r="F25">
        <v>18</v>
      </c>
      <c r="G25">
        <v>3</v>
      </c>
      <c r="J25">
        <f t="shared" si="0"/>
        <v>17780</v>
      </c>
      <c r="L25">
        <f t="shared" si="1"/>
        <v>7.9375</v>
      </c>
    </row>
    <row r="26" spans="1:12" x14ac:dyDescent="0.25">
      <c r="A26">
        <v>1721</v>
      </c>
      <c r="B26" t="s">
        <v>20</v>
      </c>
      <c r="C26" t="s">
        <v>88</v>
      </c>
      <c r="D26" t="s">
        <v>8</v>
      </c>
      <c r="H26">
        <v>54055</v>
      </c>
      <c r="I26" t="s">
        <v>93</v>
      </c>
      <c r="J26">
        <f t="shared" ref="J26:J47" si="2">(E26*2240)+(F26*112)+(G26*28)+H26</f>
        <v>54055</v>
      </c>
      <c r="L26">
        <f t="shared" si="1"/>
        <v>24.131696428571427</v>
      </c>
    </row>
    <row r="27" spans="1:12" x14ac:dyDescent="0.25">
      <c r="A27">
        <v>1721</v>
      </c>
      <c r="B27" t="s">
        <v>29</v>
      </c>
      <c r="C27" t="s">
        <v>88</v>
      </c>
      <c r="D27" t="s">
        <v>8</v>
      </c>
      <c r="J27">
        <f t="shared" si="2"/>
        <v>0</v>
      </c>
      <c r="L27">
        <f t="shared" si="1"/>
        <v>0</v>
      </c>
    </row>
    <row r="28" spans="1:12" x14ac:dyDescent="0.25">
      <c r="A28">
        <v>1721</v>
      </c>
      <c r="B28" t="s">
        <v>28</v>
      </c>
      <c r="C28" t="s">
        <v>88</v>
      </c>
      <c r="D28" t="s">
        <v>8</v>
      </c>
      <c r="H28">
        <v>17712</v>
      </c>
      <c r="I28" t="s">
        <v>91</v>
      </c>
      <c r="J28">
        <f t="shared" si="2"/>
        <v>17712</v>
      </c>
      <c r="L28">
        <f t="shared" ref="L28:L47" si="3">J28/2240</f>
        <v>7.9071428571428575</v>
      </c>
    </row>
    <row r="29" spans="1:12" x14ac:dyDescent="0.25">
      <c r="A29">
        <v>1721</v>
      </c>
      <c r="B29" t="s">
        <v>15</v>
      </c>
      <c r="C29" t="s">
        <v>88</v>
      </c>
      <c r="D29" t="s">
        <v>8</v>
      </c>
      <c r="J29">
        <f t="shared" si="2"/>
        <v>0</v>
      </c>
      <c r="L29">
        <f t="shared" si="3"/>
        <v>0</v>
      </c>
    </row>
    <row r="30" spans="1:12" x14ac:dyDescent="0.25">
      <c r="A30">
        <v>1721</v>
      </c>
      <c r="B30" t="s">
        <v>18</v>
      </c>
      <c r="C30" t="s">
        <v>88</v>
      </c>
      <c r="D30" t="s">
        <v>8</v>
      </c>
      <c r="J30">
        <f t="shared" si="2"/>
        <v>0</v>
      </c>
      <c r="L30">
        <f t="shared" si="3"/>
        <v>0</v>
      </c>
    </row>
    <row r="31" spans="1:12" x14ac:dyDescent="0.25">
      <c r="A31">
        <v>1721</v>
      </c>
      <c r="B31" t="s">
        <v>32</v>
      </c>
      <c r="C31" t="s">
        <v>88</v>
      </c>
      <c r="D31" t="s">
        <v>8</v>
      </c>
      <c r="J31">
        <f t="shared" si="2"/>
        <v>0</v>
      </c>
      <c r="L31">
        <f t="shared" si="3"/>
        <v>0</v>
      </c>
    </row>
    <row r="32" spans="1:12" x14ac:dyDescent="0.25">
      <c r="A32">
        <v>1721</v>
      </c>
      <c r="B32" t="s">
        <v>30</v>
      </c>
      <c r="C32" t="s">
        <v>88</v>
      </c>
      <c r="D32" t="s">
        <v>8</v>
      </c>
      <c r="H32">
        <v>187812</v>
      </c>
      <c r="J32">
        <f t="shared" si="2"/>
        <v>187812</v>
      </c>
      <c r="L32">
        <f t="shared" si="3"/>
        <v>83.844642857142858</v>
      </c>
    </row>
    <row r="33" spans="1:12" x14ac:dyDescent="0.25">
      <c r="A33">
        <v>1721</v>
      </c>
      <c r="B33" t="s">
        <v>26</v>
      </c>
      <c r="C33" t="s">
        <v>88</v>
      </c>
      <c r="D33" t="s">
        <v>8</v>
      </c>
      <c r="F33">
        <v>17</v>
      </c>
      <c r="J33">
        <f t="shared" si="2"/>
        <v>1904</v>
      </c>
      <c r="L33">
        <f t="shared" si="3"/>
        <v>0.85</v>
      </c>
    </row>
    <row r="34" spans="1:12" x14ac:dyDescent="0.25">
      <c r="A34">
        <v>1721</v>
      </c>
      <c r="B34" t="s">
        <v>21</v>
      </c>
      <c r="C34" t="s">
        <v>88</v>
      </c>
      <c r="D34" t="s">
        <v>8</v>
      </c>
      <c r="H34">
        <v>299487</v>
      </c>
      <c r="I34" t="s">
        <v>94</v>
      </c>
      <c r="J34">
        <f t="shared" si="2"/>
        <v>299487</v>
      </c>
      <c r="L34">
        <f t="shared" si="3"/>
        <v>133.69955357142857</v>
      </c>
    </row>
    <row r="35" spans="1:12" x14ac:dyDescent="0.25">
      <c r="A35">
        <v>1721</v>
      </c>
      <c r="B35" t="s">
        <v>90</v>
      </c>
      <c r="C35" t="s">
        <v>88</v>
      </c>
      <c r="D35" t="s">
        <v>8</v>
      </c>
      <c r="H35">
        <v>1879</v>
      </c>
      <c r="J35">
        <f t="shared" si="2"/>
        <v>1879</v>
      </c>
      <c r="L35">
        <f t="shared" si="3"/>
        <v>0.83883928571428568</v>
      </c>
    </row>
    <row r="36" spans="1:12" x14ac:dyDescent="0.25">
      <c r="A36">
        <v>1721</v>
      </c>
      <c r="B36" t="s">
        <v>23</v>
      </c>
      <c r="C36" t="s">
        <v>88</v>
      </c>
      <c r="D36" t="s">
        <v>8</v>
      </c>
      <c r="F36">
        <v>45</v>
      </c>
      <c r="H36">
        <v>9</v>
      </c>
      <c r="J36">
        <f t="shared" si="2"/>
        <v>5049</v>
      </c>
      <c r="L36">
        <f t="shared" si="3"/>
        <v>2.2540178571428573</v>
      </c>
    </row>
    <row r="37" spans="1:12" x14ac:dyDescent="0.25">
      <c r="A37">
        <v>1721</v>
      </c>
      <c r="B37" t="s">
        <v>33</v>
      </c>
      <c r="C37" t="s">
        <v>88</v>
      </c>
      <c r="D37" t="s">
        <v>8</v>
      </c>
      <c r="H37">
        <v>6830</v>
      </c>
      <c r="J37">
        <f t="shared" si="2"/>
        <v>6830</v>
      </c>
      <c r="L37">
        <f t="shared" si="3"/>
        <v>3.0491071428571428</v>
      </c>
    </row>
    <row r="38" spans="1:12" x14ac:dyDescent="0.25">
      <c r="A38">
        <v>1721</v>
      </c>
      <c r="B38" t="s">
        <v>64</v>
      </c>
      <c r="C38" t="s">
        <v>88</v>
      </c>
      <c r="D38" t="s">
        <v>8</v>
      </c>
      <c r="H38">
        <v>684</v>
      </c>
      <c r="J38">
        <f t="shared" si="2"/>
        <v>684</v>
      </c>
      <c r="L38">
        <f t="shared" si="3"/>
        <v>0.30535714285714288</v>
      </c>
    </row>
    <row r="39" spans="1:12" x14ac:dyDescent="0.25">
      <c r="A39">
        <v>1721</v>
      </c>
      <c r="B39" t="s">
        <v>19</v>
      </c>
      <c r="C39" t="s">
        <v>88</v>
      </c>
      <c r="D39" t="s">
        <v>8</v>
      </c>
      <c r="J39">
        <f t="shared" si="2"/>
        <v>0</v>
      </c>
      <c r="L39">
        <f t="shared" si="3"/>
        <v>0</v>
      </c>
    </row>
    <row r="40" spans="1:12" x14ac:dyDescent="0.25">
      <c r="A40">
        <v>1721</v>
      </c>
      <c r="B40" t="s">
        <v>22</v>
      </c>
      <c r="C40" t="s">
        <v>88</v>
      </c>
      <c r="D40" t="s">
        <v>8</v>
      </c>
      <c r="H40">
        <v>3496</v>
      </c>
      <c r="J40">
        <f t="shared" si="2"/>
        <v>3496</v>
      </c>
      <c r="L40">
        <f t="shared" si="3"/>
        <v>1.5607142857142857</v>
      </c>
    </row>
    <row r="41" spans="1:12" x14ac:dyDescent="0.25">
      <c r="A41">
        <v>1721</v>
      </c>
      <c r="B41" t="s">
        <v>17</v>
      </c>
      <c r="C41" t="s">
        <v>88</v>
      </c>
      <c r="D41" t="s">
        <v>8</v>
      </c>
      <c r="J41">
        <f t="shared" si="2"/>
        <v>0</v>
      </c>
      <c r="L41">
        <f t="shared" si="3"/>
        <v>0</v>
      </c>
    </row>
    <row r="42" spans="1:12" x14ac:dyDescent="0.25">
      <c r="A42">
        <v>1721</v>
      </c>
      <c r="B42" t="s">
        <v>75</v>
      </c>
      <c r="C42" t="s">
        <v>88</v>
      </c>
      <c r="D42" t="s">
        <v>8</v>
      </c>
      <c r="E42">
        <v>17</v>
      </c>
      <c r="F42">
        <v>9</v>
      </c>
      <c r="J42">
        <f t="shared" si="2"/>
        <v>39088</v>
      </c>
      <c r="L42">
        <f t="shared" si="3"/>
        <v>17.45</v>
      </c>
    </row>
    <row r="43" spans="1:12" x14ac:dyDescent="0.25">
      <c r="A43">
        <v>1721</v>
      </c>
      <c r="B43" t="s">
        <v>76</v>
      </c>
      <c r="C43" t="s">
        <v>88</v>
      </c>
      <c r="D43" t="s">
        <v>8</v>
      </c>
      <c r="E43">
        <v>132</v>
      </c>
      <c r="F43">
        <v>15</v>
      </c>
      <c r="H43">
        <v>10</v>
      </c>
      <c r="J43">
        <f t="shared" si="2"/>
        <v>297370</v>
      </c>
      <c r="L43">
        <f t="shared" si="3"/>
        <v>132.75446428571428</v>
      </c>
    </row>
    <row r="44" spans="1:12" x14ac:dyDescent="0.25">
      <c r="A44">
        <v>1721</v>
      </c>
      <c r="B44" t="s">
        <v>77</v>
      </c>
      <c r="C44" t="s">
        <v>88</v>
      </c>
      <c r="D44" t="s">
        <v>8</v>
      </c>
      <c r="E44">
        <v>766</v>
      </c>
      <c r="F44">
        <v>15</v>
      </c>
      <c r="G44">
        <v>3</v>
      </c>
      <c r="H44">
        <v>6</v>
      </c>
      <c r="J44">
        <f t="shared" si="2"/>
        <v>1717610</v>
      </c>
      <c r="L44">
        <f t="shared" si="3"/>
        <v>766.79017857142856</v>
      </c>
    </row>
    <row r="45" spans="1:12" x14ac:dyDescent="0.25">
      <c r="A45">
        <v>1721</v>
      </c>
      <c r="B45" t="s">
        <v>95</v>
      </c>
      <c r="C45" t="s">
        <v>88</v>
      </c>
      <c r="D45" t="s">
        <v>8</v>
      </c>
      <c r="E45">
        <v>12</v>
      </c>
      <c r="F45">
        <v>19</v>
      </c>
      <c r="G45">
        <v>1</v>
      </c>
      <c r="H45">
        <v>21</v>
      </c>
      <c r="J45">
        <f t="shared" si="2"/>
        <v>29057</v>
      </c>
      <c r="L45">
        <f t="shared" si="3"/>
        <v>12.971875000000001</v>
      </c>
    </row>
    <row r="46" spans="1:12" x14ac:dyDescent="0.25">
      <c r="A46">
        <v>1721</v>
      </c>
      <c r="B46" t="s">
        <v>78</v>
      </c>
      <c r="C46" t="s">
        <v>88</v>
      </c>
      <c r="D46" t="s">
        <v>8</v>
      </c>
      <c r="E46">
        <v>33</v>
      </c>
      <c r="F46">
        <v>6</v>
      </c>
      <c r="G46">
        <v>2</v>
      </c>
      <c r="H46">
        <v>23</v>
      </c>
      <c r="J46">
        <f t="shared" si="2"/>
        <v>74671</v>
      </c>
      <c r="L46">
        <f t="shared" si="3"/>
        <v>33.33526785714286</v>
      </c>
    </row>
    <row r="47" spans="1:12" x14ac:dyDescent="0.25">
      <c r="A47">
        <v>1721</v>
      </c>
      <c r="B47" t="s">
        <v>79</v>
      </c>
      <c r="C47" t="s">
        <v>88</v>
      </c>
      <c r="D47" t="s">
        <v>8</v>
      </c>
      <c r="J47">
        <f t="shared" si="2"/>
        <v>0</v>
      </c>
      <c r="L47">
        <f t="shared" si="3"/>
        <v>0</v>
      </c>
    </row>
    <row r="48" spans="1:12" x14ac:dyDescent="0.25">
      <c r="A48">
        <v>1721</v>
      </c>
      <c r="B48" t="s">
        <v>25</v>
      </c>
      <c r="C48" t="s">
        <v>88</v>
      </c>
      <c r="D48" t="s">
        <v>11</v>
      </c>
      <c r="H48">
        <v>166</v>
      </c>
      <c r="J48">
        <f t="shared" ref="J48:J51" si="4">(E48*2240)+(F48*112)+(G48*28)+H48</f>
        <v>166</v>
      </c>
      <c r="L48">
        <f t="shared" ref="L48:L51" si="5">J48/2240</f>
        <v>7.4107142857142858E-2</v>
      </c>
    </row>
    <row r="49" spans="1:12" x14ac:dyDescent="0.25">
      <c r="A49">
        <v>1721</v>
      </c>
      <c r="B49" t="s">
        <v>16</v>
      </c>
      <c r="C49" t="s">
        <v>88</v>
      </c>
      <c r="D49" t="s">
        <v>11</v>
      </c>
      <c r="F49">
        <v>81156</v>
      </c>
      <c r="G49">
        <v>2</v>
      </c>
      <c r="H49">
        <v>26</v>
      </c>
      <c r="J49">
        <f t="shared" si="4"/>
        <v>9089554</v>
      </c>
      <c r="L49">
        <f t="shared" si="5"/>
        <v>4057.8366071428572</v>
      </c>
    </row>
    <row r="50" spans="1:12" x14ac:dyDescent="0.25">
      <c r="A50">
        <v>1721</v>
      </c>
      <c r="B50" t="s">
        <v>71</v>
      </c>
      <c r="C50" t="s">
        <v>88</v>
      </c>
      <c r="D50" t="s">
        <v>11</v>
      </c>
      <c r="H50">
        <v>98</v>
      </c>
      <c r="J50">
        <f t="shared" si="4"/>
        <v>98</v>
      </c>
      <c r="L50">
        <f t="shared" si="5"/>
        <v>4.3749999999999997E-2</v>
      </c>
    </row>
    <row r="51" spans="1:12" x14ac:dyDescent="0.25">
      <c r="A51">
        <v>1721</v>
      </c>
      <c r="B51" t="s">
        <v>12</v>
      </c>
      <c r="C51" t="s">
        <v>88</v>
      </c>
      <c r="D51" t="s">
        <v>11</v>
      </c>
      <c r="J51">
        <f t="shared" si="4"/>
        <v>0</v>
      </c>
      <c r="L51">
        <f t="shared" si="5"/>
        <v>0</v>
      </c>
    </row>
    <row r="52" spans="1:12" x14ac:dyDescent="0.25">
      <c r="A52">
        <v>1721</v>
      </c>
      <c r="B52" t="s">
        <v>35</v>
      </c>
      <c r="C52" t="s">
        <v>88</v>
      </c>
      <c r="D52" t="s">
        <v>11</v>
      </c>
      <c r="F52">
        <v>6</v>
      </c>
      <c r="H52">
        <v>19</v>
      </c>
      <c r="J52">
        <f t="shared" ref="J52:J70" si="6">(E52*2240)+(F52*112)+(G52*28)+H52</f>
        <v>691</v>
      </c>
      <c r="L52">
        <f t="shared" ref="L52:L70" si="7">J52/2240</f>
        <v>0.30848214285714287</v>
      </c>
    </row>
    <row r="53" spans="1:12" x14ac:dyDescent="0.25">
      <c r="A53">
        <v>1721</v>
      </c>
      <c r="B53" t="s">
        <v>10</v>
      </c>
      <c r="C53" t="s">
        <v>88</v>
      </c>
      <c r="D53" t="s">
        <v>11</v>
      </c>
      <c r="H53">
        <v>302945</v>
      </c>
      <c r="J53">
        <f t="shared" si="6"/>
        <v>302945</v>
      </c>
      <c r="L53">
        <f t="shared" si="7"/>
        <v>135.24330357142858</v>
      </c>
    </row>
    <row r="54" spans="1:12" x14ac:dyDescent="0.25">
      <c r="A54">
        <v>1721</v>
      </c>
      <c r="B54" t="s">
        <v>14</v>
      </c>
      <c r="C54" t="s">
        <v>88</v>
      </c>
      <c r="D54" t="s">
        <v>11</v>
      </c>
      <c r="F54">
        <v>7192</v>
      </c>
      <c r="G54">
        <v>1</v>
      </c>
      <c r="H54">
        <v>8</v>
      </c>
      <c r="J54">
        <f t="shared" si="6"/>
        <v>805540</v>
      </c>
      <c r="L54">
        <f t="shared" si="7"/>
        <v>359.61607142857144</v>
      </c>
    </row>
    <row r="55" spans="1:12" x14ac:dyDescent="0.25">
      <c r="A55">
        <v>1721</v>
      </c>
      <c r="B55" t="s">
        <v>24</v>
      </c>
      <c r="C55" t="s">
        <v>88</v>
      </c>
      <c r="D55" t="s">
        <v>11</v>
      </c>
      <c r="F55">
        <v>165</v>
      </c>
      <c r="G55">
        <v>1</v>
      </c>
      <c r="H55">
        <v>21</v>
      </c>
      <c r="J55">
        <f t="shared" si="6"/>
        <v>18529</v>
      </c>
      <c r="L55">
        <f t="shared" si="7"/>
        <v>8.2718749999999996</v>
      </c>
    </row>
    <row r="56" spans="1:12" x14ac:dyDescent="0.25">
      <c r="A56">
        <v>1721</v>
      </c>
      <c r="B56" t="s">
        <v>9</v>
      </c>
      <c r="C56" t="s">
        <v>88</v>
      </c>
      <c r="D56" t="s">
        <v>11</v>
      </c>
      <c r="H56">
        <f>7053+119702</f>
        <v>126755</v>
      </c>
      <c r="J56">
        <f t="shared" si="6"/>
        <v>126755</v>
      </c>
      <c r="L56">
        <f t="shared" si="7"/>
        <v>56.587053571428569</v>
      </c>
    </row>
    <row r="57" spans="1:12" x14ac:dyDescent="0.25">
      <c r="A57">
        <v>1721</v>
      </c>
      <c r="B57" t="s">
        <v>31</v>
      </c>
      <c r="C57" t="s">
        <v>88</v>
      </c>
      <c r="D57" t="s">
        <v>11</v>
      </c>
      <c r="E57">
        <v>1</v>
      </c>
      <c r="J57">
        <f t="shared" si="6"/>
        <v>2240</v>
      </c>
      <c r="L57">
        <f t="shared" si="7"/>
        <v>1</v>
      </c>
    </row>
    <row r="58" spans="1:12" x14ac:dyDescent="0.25">
      <c r="A58">
        <v>1721</v>
      </c>
      <c r="B58" t="s">
        <v>20</v>
      </c>
      <c r="C58" t="s">
        <v>88</v>
      </c>
      <c r="D58" t="s">
        <v>11</v>
      </c>
      <c r="H58">
        <v>20536</v>
      </c>
      <c r="I58" t="s">
        <v>124</v>
      </c>
      <c r="J58">
        <f t="shared" si="6"/>
        <v>20536</v>
      </c>
      <c r="L58">
        <f t="shared" si="7"/>
        <v>9.1678571428571427</v>
      </c>
    </row>
    <row r="59" spans="1:12" x14ac:dyDescent="0.25">
      <c r="A59">
        <v>1721</v>
      </c>
      <c r="B59" t="s">
        <v>28</v>
      </c>
      <c r="C59" t="s">
        <v>88</v>
      </c>
      <c r="D59" t="s">
        <v>11</v>
      </c>
      <c r="H59">
        <v>5066</v>
      </c>
      <c r="I59" t="s">
        <v>123</v>
      </c>
      <c r="J59">
        <f t="shared" si="6"/>
        <v>5066</v>
      </c>
      <c r="L59">
        <f t="shared" si="7"/>
        <v>2.2616071428571427</v>
      </c>
    </row>
    <row r="60" spans="1:12" x14ac:dyDescent="0.25">
      <c r="A60">
        <v>1721</v>
      </c>
      <c r="B60" t="s">
        <v>15</v>
      </c>
      <c r="C60" t="s">
        <v>88</v>
      </c>
      <c r="D60" t="s">
        <v>11</v>
      </c>
      <c r="J60">
        <f t="shared" si="6"/>
        <v>0</v>
      </c>
      <c r="L60">
        <f t="shared" si="7"/>
        <v>0</v>
      </c>
    </row>
    <row r="61" spans="1:12" x14ac:dyDescent="0.25">
      <c r="A61">
        <v>1721</v>
      </c>
      <c r="B61" t="s">
        <v>30</v>
      </c>
      <c r="C61" t="s">
        <v>88</v>
      </c>
      <c r="D61" t="s">
        <v>11</v>
      </c>
      <c r="H61">
        <v>92444</v>
      </c>
      <c r="J61">
        <f t="shared" si="6"/>
        <v>92444</v>
      </c>
      <c r="L61">
        <f t="shared" si="7"/>
        <v>41.269642857142856</v>
      </c>
    </row>
    <row r="62" spans="1:12" x14ac:dyDescent="0.25">
      <c r="A62">
        <v>1721</v>
      </c>
      <c r="B62" t="s">
        <v>26</v>
      </c>
      <c r="C62" t="s">
        <v>88</v>
      </c>
      <c r="D62" t="s">
        <v>11</v>
      </c>
      <c r="J62">
        <f t="shared" si="6"/>
        <v>0</v>
      </c>
      <c r="L62">
        <f t="shared" si="7"/>
        <v>0</v>
      </c>
    </row>
    <row r="63" spans="1:12" x14ac:dyDescent="0.25">
      <c r="A63">
        <v>1721</v>
      </c>
      <c r="B63" t="s">
        <v>21</v>
      </c>
      <c r="C63" t="s">
        <v>88</v>
      </c>
      <c r="D63" t="s">
        <v>11</v>
      </c>
      <c r="H63">
        <v>24929</v>
      </c>
      <c r="I63" t="s">
        <v>125</v>
      </c>
      <c r="J63">
        <f t="shared" si="6"/>
        <v>24929</v>
      </c>
      <c r="L63">
        <f t="shared" si="7"/>
        <v>11.129017857142857</v>
      </c>
    </row>
    <row r="64" spans="1:12" x14ac:dyDescent="0.25">
      <c r="A64">
        <v>1721</v>
      </c>
      <c r="B64" t="s">
        <v>23</v>
      </c>
      <c r="C64" t="s">
        <v>88</v>
      </c>
      <c r="D64" t="s">
        <v>11</v>
      </c>
      <c r="F64">
        <v>22</v>
      </c>
      <c r="G64">
        <v>1</v>
      </c>
      <c r="H64">
        <v>8</v>
      </c>
      <c r="J64">
        <f t="shared" si="6"/>
        <v>2500</v>
      </c>
      <c r="L64">
        <f t="shared" si="7"/>
        <v>1.1160714285714286</v>
      </c>
    </row>
    <row r="65" spans="1:12" x14ac:dyDescent="0.25">
      <c r="A65">
        <v>1721</v>
      </c>
      <c r="B65" t="s">
        <v>33</v>
      </c>
      <c r="C65" t="s">
        <v>88</v>
      </c>
      <c r="D65" t="s">
        <v>11</v>
      </c>
      <c r="H65">
        <v>48</v>
      </c>
      <c r="J65">
        <f t="shared" si="6"/>
        <v>48</v>
      </c>
      <c r="L65">
        <f t="shared" si="7"/>
        <v>2.1428571428571429E-2</v>
      </c>
    </row>
    <row r="66" spans="1:12" x14ac:dyDescent="0.25">
      <c r="A66">
        <v>1721</v>
      </c>
      <c r="B66" t="s">
        <v>64</v>
      </c>
      <c r="C66" t="s">
        <v>88</v>
      </c>
      <c r="D66" t="s">
        <v>11</v>
      </c>
      <c r="J66">
        <f t="shared" si="6"/>
        <v>0</v>
      </c>
      <c r="L66">
        <f t="shared" si="7"/>
        <v>0</v>
      </c>
    </row>
    <row r="67" spans="1:12" x14ac:dyDescent="0.25">
      <c r="A67">
        <v>1721</v>
      </c>
      <c r="B67" t="s">
        <v>122</v>
      </c>
      <c r="C67" t="s">
        <v>88</v>
      </c>
      <c r="D67" t="s">
        <v>11</v>
      </c>
      <c r="F67">
        <v>300</v>
      </c>
      <c r="J67">
        <f t="shared" si="6"/>
        <v>33600</v>
      </c>
      <c r="L67">
        <f t="shared" si="7"/>
        <v>15</v>
      </c>
    </row>
    <row r="68" spans="1:12" x14ac:dyDescent="0.25">
      <c r="A68">
        <v>1721</v>
      </c>
      <c r="B68" t="s">
        <v>22</v>
      </c>
      <c r="C68" t="s">
        <v>88</v>
      </c>
      <c r="D68" t="s">
        <v>11</v>
      </c>
      <c r="H68">
        <v>1815</v>
      </c>
      <c r="J68">
        <f t="shared" si="6"/>
        <v>1815</v>
      </c>
      <c r="L68">
        <f t="shared" si="7"/>
        <v>0.8102678571428571</v>
      </c>
    </row>
    <row r="69" spans="1:12" x14ac:dyDescent="0.25">
      <c r="A69">
        <v>1721</v>
      </c>
      <c r="B69" t="s">
        <v>17</v>
      </c>
      <c r="C69" t="s">
        <v>88</v>
      </c>
      <c r="D69" t="s">
        <v>11</v>
      </c>
      <c r="J69">
        <f t="shared" si="6"/>
        <v>0</v>
      </c>
      <c r="L69">
        <f t="shared" si="7"/>
        <v>0</v>
      </c>
    </row>
    <row r="70" spans="1:12" x14ac:dyDescent="0.25">
      <c r="A70">
        <v>1721</v>
      </c>
      <c r="B70" t="s">
        <v>75</v>
      </c>
      <c r="C70" t="s">
        <v>88</v>
      </c>
      <c r="D70" t="s">
        <v>11</v>
      </c>
      <c r="E70">
        <v>10</v>
      </c>
      <c r="F70">
        <v>12</v>
      </c>
      <c r="G70">
        <v>3</v>
      </c>
      <c r="H70">
        <v>27</v>
      </c>
      <c r="J70">
        <f t="shared" si="6"/>
        <v>23855</v>
      </c>
      <c r="L70">
        <f t="shared" si="7"/>
        <v>10.649553571428571</v>
      </c>
    </row>
    <row r="71" spans="1:12" x14ac:dyDescent="0.25">
      <c r="A71">
        <v>1721</v>
      </c>
      <c r="B71" t="s">
        <v>76</v>
      </c>
      <c r="C71" t="s">
        <v>88</v>
      </c>
      <c r="D71" t="s">
        <v>11</v>
      </c>
      <c r="E71">
        <v>228</v>
      </c>
      <c r="F71">
        <v>4</v>
      </c>
      <c r="G71">
        <v>2</v>
      </c>
      <c r="H71">
        <v>1</v>
      </c>
      <c r="J71">
        <f t="shared" ref="J71:J74" si="8">(E71*2240)+(F71*112)+(G71*28)+H71</f>
        <v>511225</v>
      </c>
      <c r="L71">
        <f t="shared" ref="L71:L74" si="9">J71/2240</f>
        <v>228.22544642857142</v>
      </c>
    </row>
    <row r="72" spans="1:12" x14ac:dyDescent="0.25">
      <c r="A72">
        <v>1721</v>
      </c>
      <c r="B72" t="s">
        <v>77</v>
      </c>
      <c r="C72" t="s">
        <v>88</v>
      </c>
      <c r="D72" t="s">
        <v>11</v>
      </c>
      <c r="E72">
        <v>315</v>
      </c>
      <c r="F72">
        <v>2</v>
      </c>
      <c r="G72">
        <v>3</v>
      </c>
      <c r="H72">
        <v>18</v>
      </c>
      <c r="J72">
        <f t="shared" si="8"/>
        <v>705926</v>
      </c>
      <c r="L72">
        <f t="shared" si="9"/>
        <v>315.1455357142857</v>
      </c>
    </row>
    <row r="73" spans="1:12" x14ac:dyDescent="0.25">
      <c r="A73">
        <v>1721</v>
      </c>
      <c r="B73" t="s">
        <v>95</v>
      </c>
      <c r="C73" t="s">
        <v>88</v>
      </c>
      <c r="D73" t="s">
        <v>11</v>
      </c>
      <c r="E73">
        <v>10</v>
      </c>
      <c r="F73">
        <v>8</v>
      </c>
      <c r="G73">
        <v>1</v>
      </c>
      <c r="H73">
        <v>2</v>
      </c>
      <c r="J73">
        <f t="shared" si="8"/>
        <v>23326</v>
      </c>
      <c r="L73">
        <f t="shared" si="9"/>
        <v>10.413392857142858</v>
      </c>
    </row>
    <row r="74" spans="1:12" x14ac:dyDescent="0.25">
      <c r="A74">
        <v>1721</v>
      </c>
      <c r="B74" t="s">
        <v>78</v>
      </c>
      <c r="C74" t="s">
        <v>88</v>
      </c>
      <c r="D74" t="s">
        <v>11</v>
      </c>
      <c r="E74">
        <v>18</v>
      </c>
      <c r="F74">
        <v>14</v>
      </c>
      <c r="H74">
        <v>8</v>
      </c>
      <c r="J74">
        <f t="shared" si="8"/>
        <v>41896</v>
      </c>
      <c r="L74">
        <f t="shared" si="9"/>
        <v>18.703571428571429</v>
      </c>
    </row>
  </sheetData>
  <autoFilter ref="A1:O69" xr:uid="{8C2F7725-5A61-4A1B-A740-CC887BCB0E68}">
    <sortState xmlns:xlrd2="http://schemas.microsoft.com/office/spreadsheetml/2017/richdata2" ref="A2:O69">
      <sortCondition ref="B1:B69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A6339-1E58-4188-80A6-B4580F70757D}">
  <dimension ref="A1:L66"/>
  <sheetViews>
    <sheetView topLeftCell="A18" workbookViewId="0">
      <selection activeCell="I18" sqref="I18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58</v>
      </c>
      <c r="B1" s="1" t="s">
        <v>59</v>
      </c>
      <c r="C1" s="1" t="s">
        <v>60</v>
      </c>
      <c r="D1" s="1" t="s">
        <v>62</v>
      </c>
      <c r="E1" s="1" t="s">
        <v>45</v>
      </c>
      <c r="F1" s="1" t="s">
        <v>46</v>
      </c>
      <c r="G1" s="1" t="s">
        <v>47</v>
      </c>
      <c r="H1" s="1" t="s">
        <v>48</v>
      </c>
      <c r="I1" s="1"/>
      <c r="J1" s="1" t="s">
        <v>6</v>
      </c>
      <c r="K1" s="1"/>
      <c r="L1" s="1" t="s">
        <v>63</v>
      </c>
    </row>
    <row r="2" spans="1:12" x14ac:dyDescent="0.25">
      <c r="A2">
        <v>1721</v>
      </c>
      <c r="B2" t="s">
        <v>70</v>
      </c>
      <c r="C2" t="s">
        <v>96</v>
      </c>
      <c r="D2" t="s">
        <v>8</v>
      </c>
      <c r="J2">
        <f>(E2*2240)+(F2*112)+(G2*28)+H2</f>
        <v>0</v>
      </c>
      <c r="L2">
        <f>J2/2240</f>
        <v>0</v>
      </c>
    </row>
    <row r="3" spans="1:12" x14ac:dyDescent="0.25">
      <c r="A3">
        <v>1721</v>
      </c>
      <c r="B3" t="s">
        <v>72</v>
      </c>
      <c r="C3" t="s">
        <v>96</v>
      </c>
      <c r="D3" t="s">
        <v>8</v>
      </c>
      <c r="J3">
        <f>(E3*2240)+(F3*112)+(G3*28)+H3</f>
        <v>0</v>
      </c>
      <c r="L3">
        <f>J3/2240</f>
        <v>0</v>
      </c>
    </row>
    <row r="4" spans="1:12" x14ac:dyDescent="0.25">
      <c r="A4">
        <v>1721</v>
      </c>
      <c r="B4" t="s">
        <v>44</v>
      </c>
      <c r="C4" t="s">
        <v>96</v>
      </c>
      <c r="D4" t="s">
        <v>8</v>
      </c>
      <c r="J4">
        <f>(E4*2240)+(F4*112)+(G4*28)+H4</f>
        <v>0</v>
      </c>
      <c r="L4">
        <f>J4/2240</f>
        <v>0</v>
      </c>
    </row>
    <row r="5" spans="1:12" x14ac:dyDescent="0.25">
      <c r="A5">
        <v>1721</v>
      </c>
      <c r="B5" t="s">
        <v>25</v>
      </c>
      <c r="C5" t="s">
        <v>96</v>
      </c>
      <c r="D5" t="s">
        <v>8</v>
      </c>
      <c r="J5">
        <f>(E5*2240)+(F5*112)+(G5*28)+H5</f>
        <v>0</v>
      </c>
      <c r="L5">
        <f>J5/2240</f>
        <v>0</v>
      </c>
    </row>
    <row r="6" spans="1:12" x14ac:dyDescent="0.25">
      <c r="A6">
        <v>1721</v>
      </c>
      <c r="B6" t="s">
        <v>73</v>
      </c>
      <c r="C6" t="s">
        <v>96</v>
      </c>
      <c r="D6" t="s">
        <v>8</v>
      </c>
      <c r="J6">
        <f>(E6*2240)+(F6*112)+(G6*28)+H6</f>
        <v>0</v>
      </c>
      <c r="L6">
        <f>J6/2240</f>
        <v>0</v>
      </c>
    </row>
    <row r="7" spans="1:12" x14ac:dyDescent="0.25">
      <c r="A7">
        <v>1721</v>
      </c>
      <c r="B7" t="s">
        <v>89</v>
      </c>
      <c r="C7" t="s">
        <v>96</v>
      </c>
      <c r="D7" t="s">
        <v>8</v>
      </c>
      <c r="J7">
        <f t="shared" ref="J7:J25" si="0">(E7*2240)+(F7*112)+(G7*28)+H7</f>
        <v>0</v>
      </c>
      <c r="L7">
        <f t="shared" ref="L7:L27" si="1">J7/2240</f>
        <v>0</v>
      </c>
    </row>
    <row r="8" spans="1:12" x14ac:dyDescent="0.25">
      <c r="A8">
        <v>1721</v>
      </c>
      <c r="B8" t="s">
        <v>51</v>
      </c>
      <c r="C8" t="s">
        <v>96</v>
      </c>
      <c r="D8" t="s">
        <v>8</v>
      </c>
      <c r="J8">
        <f t="shared" si="0"/>
        <v>0</v>
      </c>
      <c r="L8">
        <f t="shared" si="1"/>
        <v>0</v>
      </c>
    </row>
    <row r="9" spans="1:12" x14ac:dyDescent="0.25">
      <c r="A9">
        <v>1721</v>
      </c>
      <c r="B9" t="s">
        <v>41</v>
      </c>
      <c r="C9" t="s">
        <v>96</v>
      </c>
      <c r="D9" t="s">
        <v>8</v>
      </c>
      <c r="J9">
        <f t="shared" si="0"/>
        <v>0</v>
      </c>
      <c r="L9">
        <f t="shared" si="1"/>
        <v>0</v>
      </c>
    </row>
    <row r="10" spans="1:12" x14ac:dyDescent="0.25">
      <c r="A10">
        <v>1721</v>
      </c>
      <c r="B10" t="s">
        <v>69</v>
      </c>
      <c r="C10" t="s">
        <v>96</v>
      </c>
      <c r="D10" t="s">
        <v>8</v>
      </c>
      <c r="J10">
        <f t="shared" si="0"/>
        <v>0</v>
      </c>
      <c r="L10">
        <f t="shared" si="1"/>
        <v>0</v>
      </c>
    </row>
    <row r="11" spans="1:12" x14ac:dyDescent="0.25">
      <c r="A11">
        <v>1721</v>
      </c>
      <c r="B11" t="s">
        <v>16</v>
      </c>
      <c r="C11" t="s">
        <v>96</v>
      </c>
      <c r="D11" t="s">
        <v>8</v>
      </c>
      <c r="F11">
        <v>14306</v>
      </c>
      <c r="G11">
        <v>3</v>
      </c>
      <c r="H11">
        <v>16</v>
      </c>
      <c r="J11">
        <f t="shared" si="0"/>
        <v>1602372</v>
      </c>
      <c r="L11">
        <f t="shared" si="1"/>
        <v>715.34464285714284</v>
      </c>
    </row>
    <row r="12" spans="1:12" x14ac:dyDescent="0.25">
      <c r="A12">
        <v>1721</v>
      </c>
      <c r="B12" t="s">
        <v>71</v>
      </c>
      <c r="C12" t="s">
        <v>96</v>
      </c>
      <c r="D12" t="s">
        <v>8</v>
      </c>
      <c r="J12">
        <f t="shared" si="0"/>
        <v>0</v>
      </c>
      <c r="L12">
        <f t="shared" si="1"/>
        <v>0</v>
      </c>
    </row>
    <row r="13" spans="1:12" x14ac:dyDescent="0.25">
      <c r="A13">
        <v>1721</v>
      </c>
      <c r="B13" t="s">
        <v>52</v>
      </c>
      <c r="C13" t="s">
        <v>96</v>
      </c>
      <c r="D13" t="s">
        <v>8</v>
      </c>
      <c r="J13">
        <f t="shared" si="0"/>
        <v>0</v>
      </c>
      <c r="L13">
        <f t="shared" si="1"/>
        <v>0</v>
      </c>
    </row>
    <row r="14" spans="1:12" x14ac:dyDescent="0.25">
      <c r="A14">
        <v>1721</v>
      </c>
      <c r="B14" t="s">
        <v>57</v>
      </c>
      <c r="C14" t="s">
        <v>96</v>
      </c>
      <c r="D14" t="s">
        <v>8</v>
      </c>
      <c r="J14">
        <f t="shared" si="0"/>
        <v>0</v>
      </c>
      <c r="L14">
        <f t="shared" si="1"/>
        <v>0</v>
      </c>
    </row>
    <row r="15" spans="1:12" x14ac:dyDescent="0.25">
      <c r="A15">
        <v>1721</v>
      </c>
      <c r="B15" t="s">
        <v>35</v>
      </c>
      <c r="C15" t="s">
        <v>96</v>
      </c>
      <c r="D15" t="s">
        <v>8</v>
      </c>
      <c r="J15">
        <f t="shared" si="0"/>
        <v>0</v>
      </c>
      <c r="L15">
        <f t="shared" si="1"/>
        <v>0</v>
      </c>
    </row>
    <row r="16" spans="1:12" x14ac:dyDescent="0.25">
      <c r="A16">
        <v>1721</v>
      </c>
      <c r="B16" t="s">
        <v>53</v>
      </c>
      <c r="C16" t="s">
        <v>96</v>
      </c>
      <c r="D16" t="s">
        <v>8</v>
      </c>
      <c r="J16">
        <f t="shared" si="0"/>
        <v>0</v>
      </c>
      <c r="L16">
        <f t="shared" si="1"/>
        <v>0</v>
      </c>
    </row>
    <row r="17" spans="1:12" x14ac:dyDescent="0.25">
      <c r="A17">
        <v>1721</v>
      </c>
      <c r="B17" t="s">
        <v>55</v>
      </c>
      <c r="C17" t="s">
        <v>96</v>
      </c>
      <c r="D17" t="s">
        <v>8</v>
      </c>
      <c r="J17">
        <f t="shared" si="0"/>
        <v>0</v>
      </c>
      <c r="L17">
        <f t="shared" si="1"/>
        <v>0</v>
      </c>
    </row>
    <row r="18" spans="1:12" x14ac:dyDescent="0.25">
      <c r="A18">
        <v>1721</v>
      </c>
      <c r="B18" t="s">
        <v>10</v>
      </c>
      <c r="C18" t="s">
        <v>96</v>
      </c>
      <c r="D18" t="s">
        <v>8</v>
      </c>
      <c r="H18">
        <f>99*200</f>
        <v>19800</v>
      </c>
      <c r="I18" t="s">
        <v>98</v>
      </c>
      <c r="J18">
        <f t="shared" si="0"/>
        <v>19800</v>
      </c>
      <c r="L18">
        <f t="shared" si="1"/>
        <v>8.8392857142857135</v>
      </c>
    </row>
    <row r="19" spans="1:12" x14ac:dyDescent="0.25">
      <c r="A19">
        <v>1721</v>
      </c>
      <c r="B19" t="s">
        <v>14</v>
      </c>
      <c r="C19" t="s">
        <v>96</v>
      </c>
      <c r="D19" t="s">
        <v>8</v>
      </c>
      <c r="F19">
        <v>102</v>
      </c>
      <c r="J19">
        <f t="shared" si="0"/>
        <v>11424</v>
      </c>
      <c r="L19">
        <f t="shared" si="1"/>
        <v>5.0999999999999996</v>
      </c>
    </row>
    <row r="20" spans="1:12" x14ac:dyDescent="0.25">
      <c r="A20">
        <v>1721</v>
      </c>
      <c r="B20" t="s">
        <v>24</v>
      </c>
      <c r="C20" t="s">
        <v>96</v>
      </c>
      <c r="D20" t="s">
        <v>8</v>
      </c>
      <c r="F20">
        <v>13</v>
      </c>
      <c r="H20">
        <v>11</v>
      </c>
      <c r="J20">
        <f t="shared" si="0"/>
        <v>1467</v>
      </c>
      <c r="L20">
        <f t="shared" si="1"/>
        <v>0.65491071428571423</v>
      </c>
    </row>
    <row r="21" spans="1:12" x14ac:dyDescent="0.25">
      <c r="A21">
        <v>1721</v>
      </c>
      <c r="B21" t="s">
        <v>49</v>
      </c>
      <c r="C21" t="s">
        <v>96</v>
      </c>
      <c r="D21" t="s">
        <v>8</v>
      </c>
      <c r="J21">
        <f t="shared" si="0"/>
        <v>0</v>
      </c>
      <c r="L21">
        <f t="shared" si="1"/>
        <v>0</v>
      </c>
    </row>
    <row r="22" spans="1:12" x14ac:dyDescent="0.25">
      <c r="A22">
        <v>1721</v>
      </c>
      <c r="B22" t="s">
        <v>50</v>
      </c>
      <c r="C22" t="s">
        <v>96</v>
      </c>
      <c r="D22" t="s">
        <v>8</v>
      </c>
      <c r="J22">
        <f t="shared" si="0"/>
        <v>0</v>
      </c>
      <c r="L22">
        <f t="shared" si="1"/>
        <v>0</v>
      </c>
    </row>
    <row r="23" spans="1:12" x14ac:dyDescent="0.25">
      <c r="A23">
        <v>1721</v>
      </c>
      <c r="B23" t="s">
        <v>9</v>
      </c>
      <c r="C23" t="s">
        <v>96</v>
      </c>
      <c r="D23" t="s">
        <v>8</v>
      </c>
      <c r="H23">
        <v>8781</v>
      </c>
      <c r="J23">
        <f t="shared" si="0"/>
        <v>8781</v>
      </c>
      <c r="L23">
        <f t="shared" si="1"/>
        <v>3.9200892857142855</v>
      </c>
    </row>
    <row r="24" spans="1:12" x14ac:dyDescent="0.25">
      <c r="A24">
        <v>1721</v>
      </c>
      <c r="B24" t="s">
        <v>34</v>
      </c>
      <c r="C24" t="s">
        <v>96</v>
      </c>
      <c r="D24" t="s">
        <v>8</v>
      </c>
      <c r="J24">
        <f t="shared" si="0"/>
        <v>0</v>
      </c>
      <c r="L24">
        <f t="shared" si="1"/>
        <v>0</v>
      </c>
    </row>
    <row r="25" spans="1:12" x14ac:dyDescent="0.25">
      <c r="A25">
        <v>1721</v>
      </c>
      <c r="B25" t="s">
        <v>31</v>
      </c>
      <c r="C25" t="s">
        <v>96</v>
      </c>
      <c r="D25" t="s">
        <v>8</v>
      </c>
      <c r="J25">
        <f t="shared" si="0"/>
        <v>0</v>
      </c>
      <c r="L25">
        <f t="shared" si="1"/>
        <v>0</v>
      </c>
    </row>
    <row r="26" spans="1:12" x14ac:dyDescent="0.25">
      <c r="A26">
        <v>1721</v>
      </c>
      <c r="B26" t="s">
        <v>20</v>
      </c>
      <c r="C26" t="s">
        <v>96</v>
      </c>
      <c r="D26" t="s">
        <v>8</v>
      </c>
      <c r="J26">
        <f t="shared" ref="J26:J65" si="2">(E26*2240)+(F26*112)+(G26*28)+H26</f>
        <v>0</v>
      </c>
      <c r="L26">
        <f t="shared" si="1"/>
        <v>0</v>
      </c>
    </row>
    <row r="27" spans="1:12" x14ac:dyDescent="0.25">
      <c r="A27">
        <v>1721</v>
      </c>
      <c r="B27" t="s">
        <v>29</v>
      </c>
      <c r="C27" t="s">
        <v>96</v>
      </c>
      <c r="D27" t="s">
        <v>8</v>
      </c>
      <c r="J27">
        <f t="shared" si="2"/>
        <v>0</v>
      </c>
      <c r="L27">
        <f t="shared" si="1"/>
        <v>0</v>
      </c>
    </row>
    <row r="28" spans="1:12" x14ac:dyDescent="0.25">
      <c r="A28">
        <v>1721</v>
      </c>
      <c r="B28" t="s">
        <v>28</v>
      </c>
      <c r="C28" t="s">
        <v>96</v>
      </c>
      <c r="D28" t="s">
        <v>8</v>
      </c>
      <c r="H28">
        <v>787</v>
      </c>
      <c r="I28" t="s">
        <v>97</v>
      </c>
      <c r="J28">
        <f t="shared" si="2"/>
        <v>787</v>
      </c>
      <c r="L28">
        <f t="shared" ref="L28:L65" si="3">J28/2240</f>
        <v>0.35133928571428569</v>
      </c>
    </row>
    <row r="29" spans="1:12" x14ac:dyDescent="0.25">
      <c r="A29">
        <v>1721</v>
      </c>
      <c r="B29" t="s">
        <v>15</v>
      </c>
      <c r="C29" t="s">
        <v>96</v>
      </c>
      <c r="D29" t="s">
        <v>8</v>
      </c>
      <c r="J29">
        <f t="shared" si="2"/>
        <v>0</v>
      </c>
      <c r="L29">
        <f t="shared" si="3"/>
        <v>0</v>
      </c>
    </row>
    <row r="30" spans="1:12" x14ac:dyDescent="0.25">
      <c r="A30">
        <v>1721</v>
      </c>
      <c r="B30" t="s">
        <v>18</v>
      </c>
      <c r="C30" t="s">
        <v>96</v>
      </c>
      <c r="D30" t="s">
        <v>8</v>
      </c>
      <c r="J30">
        <f t="shared" si="2"/>
        <v>0</v>
      </c>
      <c r="L30">
        <f t="shared" si="3"/>
        <v>0</v>
      </c>
    </row>
    <row r="31" spans="1:12" x14ac:dyDescent="0.25">
      <c r="A31">
        <v>1721</v>
      </c>
      <c r="B31" t="s">
        <v>32</v>
      </c>
      <c r="C31" t="s">
        <v>96</v>
      </c>
      <c r="D31" t="s">
        <v>8</v>
      </c>
      <c r="J31">
        <f t="shared" si="2"/>
        <v>0</v>
      </c>
      <c r="L31">
        <f t="shared" si="3"/>
        <v>0</v>
      </c>
    </row>
    <row r="32" spans="1:12" x14ac:dyDescent="0.25">
      <c r="A32">
        <v>1721</v>
      </c>
      <c r="B32" t="s">
        <v>30</v>
      </c>
      <c r="C32" t="s">
        <v>96</v>
      </c>
      <c r="D32" t="s">
        <v>8</v>
      </c>
      <c r="J32">
        <f t="shared" si="2"/>
        <v>0</v>
      </c>
      <c r="L32">
        <f t="shared" si="3"/>
        <v>0</v>
      </c>
    </row>
    <row r="33" spans="1:12" x14ac:dyDescent="0.25">
      <c r="A33">
        <v>1721</v>
      </c>
      <c r="B33" t="s">
        <v>26</v>
      </c>
      <c r="C33" t="s">
        <v>96</v>
      </c>
      <c r="D33" t="s">
        <v>8</v>
      </c>
      <c r="J33">
        <f t="shared" si="2"/>
        <v>0</v>
      </c>
      <c r="L33">
        <f t="shared" si="3"/>
        <v>0</v>
      </c>
    </row>
    <row r="34" spans="1:12" x14ac:dyDescent="0.25">
      <c r="A34">
        <v>1721</v>
      </c>
      <c r="B34" t="s">
        <v>21</v>
      </c>
      <c r="C34" t="s">
        <v>96</v>
      </c>
      <c r="D34" t="s">
        <v>8</v>
      </c>
      <c r="H34">
        <v>6146</v>
      </c>
      <c r="I34" t="s">
        <v>99</v>
      </c>
      <c r="J34">
        <f t="shared" si="2"/>
        <v>6146</v>
      </c>
      <c r="L34">
        <f t="shared" si="3"/>
        <v>2.7437499999999999</v>
      </c>
    </row>
    <row r="35" spans="1:12" x14ac:dyDescent="0.25">
      <c r="A35">
        <v>1721</v>
      </c>
      <c r="B35" t="s">
        <v>90</v>
      </c>
      <c r="C35" t="s">
        <v>96</v>
      </c>
      <c r="D35" t="s">
        <v>8</v>
      </c>
      <c r="J35">
        <f t="shared" si="2"/>
        <v>0</v>
      </c>
      <c r="L35">
        <f t="shared" si="3"/>
        <v>0</v>
      </c>
    </row>
    <row r="36" spans="1:12" x14ac:dyDescent="0.25">
      <c r="A36">
        <v>1721</v>
      </c>
      <c r="B36" t="s">
        <v>23</v>
      </c>
      <c r="C36" t="s">
        <v>96</v>
      </c>
      <c r="D36" t="s">
        <v>8</v>
      </c>
      <c r="F36">
        <v>17</v>
      </c>
      <c r="H36">
        <v>21</v>
      </c>
      <c r="J36">
        <f t="shared" si="2"/>
        <v>1925</v>
      </c>
      <c r="L36">
        <f t="shared" si="3"/>
        <v>0.859375</v>
      </c>
    </row>
    <row r="37" spans="1:12" x14ac:dyDescent="0.25">
      <c r="A37">
        <v>1721</v>
      </c>
      <c r="B37" t="s">
        <v>33</v>
      </c>
      <c r="C37" t="s">
        <v>96</v>
      </c>
      <c r="D37" t="s">
        <v>8</v>
      </c>
      <c r="J37">
        <f t="shared" si="2"/>
        <v>0</v>
      </c>
      <c r="L37">
        <f t="shared" si="3"/>
        <v>0</v>
      </c>
    </row>
    <row r="38" spans="1:12" x14ac:dyDescent="0.25">
      <c r="A38">
        <v>1721</v>
      </c>
      <c r="B38" t="s">
        <v>64</v>
      </c>
      <c r="C38" t="s">
        <v>96</v>
      </c>
      <c r="D38" t="s">
        <v>8</v>
      </c>
      <c r="H38">
        <v>20</v>
      </c>
      <c r="J38">
        <f t="shared" si="2"/>
        <v>20</v>
      </c>
      <c r="L38">
        <f t="shared" si="3"/>
        <v>8.9285714285714281E-3</v>
      </c>
    </row>
    <row r="39" spans="1:12" x14ac:dyDescent="0.25">
      <c r="A39">
        <v>1721</v>
      </c>
      <c r="B39" t="s">
        <v>19</v>
      </c>
      <c r="C39" t="s">
        <v>96</v>
      </c>
      <c r="D39" t="s">
        <v>8</v>
      </c>
      <c r="J39">
        <f t="shared" si="2"/>
        <v>0</v>
      </c>
      <c r="L39">
        <f t="shared" si="3"/>
        <v>0</v>
      </c>
    </row>
    <row r="40" spans="1:12" x14ac:dyDescent="0.25">
      <c r="A40">
        <v>1721</v>
      </c>
      <c r="B40" t="s">
        <v>22</v>
      </c>
      <c r="C40" t="s">
        <v>96</v>
      </c>
      <c r="D40" t="s">
        <v>8</v>
      </c>
      <c r="J40">
        <f t="shared" si="2"/>
        <v>0</v>
      </c>
      <c r="L40">
        <f t="shared" si="3"/>
        <v>0</v>
      </c>
    </row>
    <row r="41" spans="1:12" x14ac:dyDescent="0.25">
      <c r="A41">
        <v>1721</v>
      </c>
      <c r="B41" t="s">
        <v>17</v>
      </c>
      <c r="C41" t="s">
        <v>96</v>
      </c>
      <c r="D41" t="s">
        <v>8</v>
      </c>
      <c r="J41">
        <f t="shared" si="2"/>
        <v>0</v>
      </c>
      <c r="L41">
        <f t="shared" si="3"/>
        <v>0</v>
      </c>
    </row>
    <row r="42" spans="1:12" x14ac:dyDescent="0.25">
      <c r="A42">
        <v>1721</v>
      </c>
      <c r="B42" t="s">
        <v>75</v>
      </c>
      <c r="C42" t="s">
        <v>96</v>
      </c>
      <c r="D42" t="s">
        <v>8</v>
      </c>
      <c r="J42">
        <f t="shared" si="2"/>
        <v>0</v>
      </c>
      <c r="L42">
        <f t="shared" si="3"/>
        <v>0</v>
      </c>
    </row>
    <row r="43" spans="1:12" x14ac:dyDescent="0.25">
      <c r="A43">
        <v>1721</v>
      </c>
      <c r="B43" t="s">
        <v>76</v>
      </c>
      <c r="C43" t="s">
        <v>96</v>
      </c>
      <c r="D43" t="s">
        <v>8</v>
      </c>
      <c r="J43">
        <f t="shared" si="2"/>
        <v>0</v>
      </c>
      <c r="L43">
        <f t="shared" si="3"/>
        <v>0</v>
      </c>
    </row>
    <row r="44" spans="1:12" x14ac:dyDescent="0.25">
      <c r="A44">
        <v>1721</v>
      </c>
      <c r="B44" t="s">
        <v>77</v>
      </c>
      <c r="C44" t="s">
        <v>96</v>
      </c>
      <c r="D44" t="s">
        <v>8</v>
      </c>
      <c r="J44">
        <f t="shared" si="2"/>
        <v>0</v>
      </c>
      <c r="L44">
        <f t="shared" si="3"/>
        <v>0</v>
      </c>
    </row>
    <row r="45" spans="1:12" x14ac:dyDescent="0.25">
      <c r="A45">
        <v>1721</v>
      </c>
      <c r="B45" t="s">
        <v>95</v>
      </c>
      <c r="C45" t="s">
        <v>96</v>
      </c>
      <c r="D45" t="s">
        <v>8</v>
      </c>
      <c r="J45">
        <f t="shared" si="2"/>
        <v>0</v>
      </c>
      <c r="L45">
        <f t="shared" si="3"/>
        <v>0</v>
      </c>
    </row>
    <row r="46" spans="1:12" x14ac:dyDescent="0.25">
      <c r="A46">
        <v>1721</v>
      </c>
      <c r="B46" t="s">
        <v>78</v>
      </c>
      <c r="C46" t="s">
        <v>96</v>
      </c>
      <c r="D46" t="s">
        <v>8</v>
      </c>
      <c r="J46">
        <f t="shared" si="2"/>
        <v>0</v>
      </c>
      <c r="L46">
        <f t="shared" si="3"/>
        <v>0</v>
      </c>
    </row>
    <row r="47" spans="1:12" x14ac:dyDescent="0.25">
      <c r="A47">
        <v>1721</v>
      </c>
      <c r="B47" t="s">
        <v>79</v>
      </c>
      <c r="C47" t="s">
        <v>96</v>
      </c>
      <c r="D47" t="s">
        <v>8</v>
      </c>
      <c r="J47">
        <f t="shared" si="2"/>
        <v>0</v>
      </c>
      <c r="L47">
        <f t="shared" si="3"/>
        <v>0</v>
      </c>
    </row>
    <row r="48" spans="1:12" x14ac:dyDescent="0.25">
      <c r="A48">
        <v>1721</v>
      </c>
      <c r="B48" t="s">
        <v>16</v>
      </c>
      <c r="C48" t="s">
        <v>96</v>
      </c>
      <c r="D48" t="s">
        <v>11</v>
      </c>
      <c r="F48">
        <v>7824</v>
      </c>
      <c r="H48">
        <v>14</v>
      </c>
      <c r="J48">
        <f t="shared" si="2"/>
        <v>876302</v>
      </c>
      <c r="L48">
        <f t="shared" si="3"/>
        <v>391.20625000000001</v>
      </c>
    </row>
    <row r="49" spans="1:12" x14ac:dyDescent="0.25">
      <c r="A49">
        <v>1721</v>
      </c>
      <c r="B49" t="s">
        <v>12</v>
      </c>
      <c r="C49" t="s">
        <v>96</v>
      </c>
      <c r="D49" t="s">
        <v>11</v>
      </c>
      <c r="J49">
        <f t="shared" si="2"/>
        <v>0</v>
      </c>
      <c r="L49">
        <f t="shared" si="3"/>
        <v>0</v>
      </c>
    </row>
    <row r="50" spans="1:12" x14ac:dyDescent="0.25">
      <c r="A50">
        <v>1721</v>
      </c>
      <c r="B50" t="s">
        <v>35</v>
      </c>
      <c r="C50" t="s">
        <v>96</v>
      </c>
      <c r="D50" t="s">
        <v>11</v>
      </c>
      <c r="J50">
        <f t="shared" si="2"/>
        <v>0</v>
      </c>
      <c r="L50">
        <f t="shared" si="3"/>
        <v>0</v>
      </c>
    </row>
    <row r="51" spans="1:12" x14ac:dyDescent="0.25">
      <c r="A51">
        <v>1721</v>
      </c>
      <c r="B51" t="s">
        <v>10</v>
      </c>
      <c r="C51" t="s">
        <v>96</v>
      </c>
      <c r="D51" t="s">
        <v>11</v>
      </c>
      <c r="H51">
        <v>21224</v>
      </c>
      <c r="J51">
        <f t="shared" si="2"/>
        <v>21224</v>
      </c>
      <c r="L51">
        <f t="shared" si="3"/>
        <v>9.4749999999999996</v>
      </c>
    </row>
    <row r="52" spans="1:12" x14ac:dyDescent="0.25">
      <c r="A52">
        <v>1721</v>
      </c>
      <c r="B52" t="s">
        <v>14</v>
      </c>
      <c r="C52" t="s">
        <v>96</v>
      </c>
      <c r="D52" t="s">
        <v>11</v>
      </c>
      <c r="F52">
        <v>3</v>
      </c>
      <c r="G52">
        <v>3</v>
      </c>
      <c r="H52">
        <v>24</v>
      </c>
      <c r="J52">
        <f t="shared" si="2"/>
        <v>444</v>
      </c>
      <c r="L52">
        <f t="shared" si="3"/>
        <v>0.1982142857142857</v>
      </c>
    </row>
    <row r="53" spans="1:12" x14ac:dyDescent="0.25">
      <c r="A53">
        <v>1721</v>
      </c>
      <c r="B53" t="s">
        <v>24</v>
      </c>
      <c r="C53" t="s">
        <v>96</v>
      </c>
      <c r="D53" t="s">
        <v>11</v>
      </c>
      <c r="F53">
        <v>17</v>
      </c>
      <c r="G53">
        <v>1</v>
      </c>
      <c r="H53">
        <v>4</v>
      </c>
      <c r="J53">
        <f t="shared" si="2"/>
        <v>1936</v>
      </c>
      <c r="L53">
        <f t="shared" si="3"/>
        <v>0.86428571428571432</v>
      </c>
    </row>
    <row r="54" spans="1:12" x14ac:dyDescent="0.25">
      <c r="A54">
        <v>1721</v>
      </c>
      <c r="B54" t="s">
        <v>9</v>
      </c>
      <c r="C54" t="s">
        <v>96</v>
      </c>
      <c r="D54" t="s">
        <v>11</v>
      </c>
      <c r="H54">
        <v>532</v>
      </c>
      <c r="J54">
        <f t="shared" si="2"/>
        <v>532</v>
      </c>
      <c r="L54">
        <f t="shared" si="3"/>
        <v>0.23749999999999999</v>
      </c>
    </row>
    <row r="55" spans="1:12" x14ac:dyDescent="0.25">
      <c r="A55">
        <v>1721</v>
      </c>
      <c r="B55" t="s">
        <v>31</v>
      </c>
      <c r="C55" t="s">
        <v>96</v>
      </c>
      <c r="D55" t="s">
        <v>11</v>
      </c>
      <c r="J55">
        <f t="shared" si="2"/>
        <v>0</v>
      </c>
      <c r="L55">
        <f t="shared" si="3"/>
        <v>0</v>
      </c>
    </row>
    <row r="56" spans="1:12" x14ac:dyDescent="0.25">
      <c r="A56">
        <v>1721</v>
      </c>
      <c r="B56" t="s">
        <v>20</v>
      </c>
      <c r="C56" t="s">
        <v>96</v>
      </c>
      <c r="D56" t="s">
        <v>11</v>
      </c>
      <c r="H56">
        <v>151</v>
      </c>
      <c r="I56" t="s">
        <v>126</v>
      </c>
      <c r="J56">
        <f t="shared" si="2"/>
        <v>151</v>
      </c>
      <c r="L56">
        <f t="shared" si="3"/>
        <v>6.7410714285714282E-2</v>
      </c>
    </row>
    <row r="57" spans="1:12" x14ac:dyDescent="0.25">
      <c r="A57">
        <v>1721</v>
      </c>
      <c r="B57" t="s">
        <v>28</v>
      </c>
      <c r="C57" t="s">
        <v>96</v>
      </c>
      <c r="D57" t="s">
        <v>11</v>
      </c>
      <c r="J57">
        <f t="shared" si="2"/>
        <v>0</v>
      </c>
      <c r="L57">
        <f t="shared" si="3"/>
        <v>0</v>
      </c>
    </row>
    <row r="58" spans="1:12" x14ac:dyDescent="0.25">
      <c r="A58">
        <v>1721</v>
      </c>
      <c r="B58" t="s">
        <v>15</v>
      </c>
      <c r="C58" t="s">
        <v>96</v>
      </c>
      <c r="D58" t="s">
        <v>11</v>
      </c>
      <c r="J58">
        <f t="shared" si="2"/>
        <v>0</v>
      </c>
      <c r="L58">
        <f t="shared" si="3"/>
        <v>0</v>
      </c>
    </row>
    <row r="59" spans="1:12" x14ac:dyDescent="0.25">
      <c r="A59">
        <v>1721</v>
      </c>
      <c r="B59" t="s">
        <v>26</v>
      </c>
      <c r="C59" t="s">
        <v>96</v>
      </c>
      <c r="D59" t="s">
        <v>11</v>
      </c>
      <c r="J59">
        <f t="shared" si="2"/>
        <v>0</v>
      </c>
      <c r="L59">
        <f t="shared" si="3"/>
        <v>0</v>
      </c>
    </row>
    <row r="60" spans="1:12" x14ac:dyDescent="0.25">
      <c r="A60">
        <v>1721</v>
      </c>
      <c r="B60" t="s">
        <v>21</v>
      </c>
      <c r="C60" t="s">
        <v>96</v>
      </c>
      <c r="D60" t="s">
        <v>11</v>
      </c>
      <c r="H60">
        <v>6934</v>
      </c>
      <c r="I60" t="s">
        <v>127</v>
      </c>
      <c r="J60">
        <f t="shared" si="2"/>
        <v>6934</v>
      </c>
      <c r="L60">
        <f t="shared" si="3"/>
        <v>3.0955357142857145</v>
      </c>
    </row>
    <row r="61" spans="1:12" x14ac:dyDescent="0.25">
      <c r="A61">
        <v>1721</v>
      </c>
      <c r="B61" t="s">
        <v>23</v>
      </c>
      <c r="C61" t="s">
        <v>96</v>
      </c>
      <c r="D61" t="s">
        <v>11</v>
      </c>
      <c r="F61">
        <v>4</v>
      </c>
      <c r="G61">
        <v>1</v>
      </c>
      <c r="H61">
        <v>12</v>
      </c>
      <c r="J61">
        <f t="shared" si="2"/>
        <v>488</v>
      </c>
      <c r="L61">
        <f t="shared" si="3"/>
        <v>0.21785714285714286</v>
      </c>
    </row>
    <row r="62" spans="1:12" x14ac:dyDescent="0.25">
      <c r="A62">
        <v>1721</v>
      </c>
      <c r="B62" t="s">
        <v>64</v>
      </c>
      <c r="C62" t="s">
        <v>96</v>
      </c>
      <c r="D62" t="s">
        <v>11</v>
      </c>
      <c r="H62">
        <v>103</v>
      </c>
      <c r="J62">
        <f t="shared" si="2"/>
        <v>103</v>
      </c>
      <c r="L62">
        <f t="shared" si="3"/>
        <v>4.598214285714286E-2</v>
      </c>
    </row>
    <row r="63" spans="1:12" x14ac:dyDescent="0.25">
      <c r="A63">
        <v>1721</v>
      </c>
      <c r="B63" t="s">
        <v>22</v>
      </c>
      <c r="C63" t="s">
        <v>96</v>
      </c>
      <c r="D63" t="s">
        <v>11</v>
      </c>
      <c r="J63">
        <f t="shared" si="2"/>
        <v>0</v>
      </c>
      <c r="L63">
        <f t="shared" si="3"/>
        <v>0</v>
      </c>
    </row>
    <row r="64" spans="1:12" x14ac:dyDescent="0.25">
      <c r="A64">
        <v>1721</v>
      </c>
      <c r="B64" t="s">
        <v>17</v>
      </c>
      <c r="C64" t="s">
        <v>96</v>
      </c>
      <c r="D64" t="s">
        <v>11</v>
      </c>
      <c r="J64">
        <f t="shared" si="2"/>
        <v>0</v>
      </c>
      <c r="L64">
        <f t="shared" si="3"/>
        <v>0</v>
      </c>
    </row>
    <row r="65" spans="10:12" x14ac:dyDescent="0.25">
      <c r="J65">
        <f t="shared" si="2"/>
        <v>0</v>
      </c>
      <c r="L65">
        <f t="shared" si="3"/>
        <v>0</v>
      </c>
    </row>
    <row r="66" spans="10:12" x14ac:dyDescent="0.25">
      <c r="J66">
        <f t="shared" ref="J66" si="4">(E66*2240)+(F66*112)+(G66*28)+H66</f>
        <v>0</v>
      </c>
      <c r="L66">
        <f t="shared" ref="L66" si="5">J66/2240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C4C2D-B143-49EB-AE6F-B3BFFAC00D68}">
  <dimension ref="A1:L65"/>
  <sheetViews>
    <sheetView topLeftCell="A18" workbookViewId="0">
      <selection activeCell="I18" sqref="I18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58</v>
      </c>
      <c r="B1" s="1" t="s">
        <v>59</v>
      </c>
      <c r="C1" s="1" t="s">
        <v>60</v>
      </c>
      <c r="D1" s="1" t="s">
        <v>62</v>
      </c>
      <c r="E1" s="1" t="s">
        <v>45</v>
      </c>
      <c r="F1" s="1" t="s">
        <v>46</v>
      </c>
      <c r="G1" s="1" t="s">
        <v>47</v>
      </c>
      <c r="H1" s="1" t="s">
        <v>48</v>
      </c>
      <c r="I1" s="1"/>
      <c r="J1" s="1" t="s">
        <v>6</v>
      </c>
      <c r="K1" s="1"/>
      <c r="L1" s="1" t="s">
        <v>63</v>
      </c>
    </row>
    <row r="2" spans="1:12" x14ac:dyDescent="0.25">
      <c r="A2">
        <v>1721</v>
      </c>
      <c r="B2" t="s">
        <v>70</v>
      </c>
      <c r="C2" t="s">
        <v>100</v>
      </c>
      <c r="D2" t="s">
        <v>8</v>
      </c>
      <c r="J2">
        <f>(E2*2240)+(F2*112)+(G2*28)+H2</f>
        <v>0</v>
      </c>
      <c r="L2">
        <f>J2/2240</f>
        <v>0</v>
      </c>
    </row>
    <row r="3" spans="1:12" x14ac:dyDescent="0.25">
      <c r="A3">
        <v>1721</v>
      </c>
      <c r="B3" t="s">
        <v>72</v>
      </c>
      <c r="C3" t="s">
        <v>100</v>
      </c>
      <c r="D3" t="s">
        <v>8</v>
      </c>
      <c r="J3">
        <f>(E3*2240)+(F3*112)+(G3*28)+H3</f>
        <v>0</v>
      </c>
      <c r="L3">
        <f>J3/2240</f>
        <v>0</v>
      </c>
    </row>
    <row r="4" spans="1:12" x14ac:dyDescent="0.25">
      <c r="A4">
        <v>1721</v>
      </c>
      <c r="B4" t="s">
        <v>44</v>
      </c>
      <c r="C4" t="s">
        <v>100</v>
      </c>
      <c r="D4" t="s">
        <v>8</v>
      </c>
      <c r="J4">
        <f>(E4*2240)+(F4*112)+(G4*28)+H4</f>
        <v>0</v>
      </c>
      <c r="L4">
        <f>J4/2240</f>
        <v>0</v>
      </c>
    </row>
    <row r="5" spans="1:12" x14ac:dyDescent="0.25">
      <c r="A5">
        <v>1721</v>
      </c>
      <c r="B5" t="s">
        <v>25</v>
      </c>
      <c r="C5" t="s">
        <v>100</v>
      </c>
      <c r="D5" t="s">
        <v>8</v>
      </c>
      <c r="J5">
        <f>(E5*2240)+(F5*112)+(G5*28)+H5</f>
        <v>0</v>
      </c>
      <c r="L5">
        <f>J5/2240</f>
        <v>0</v>
      </c>
    </row>
    <row r="6" spans="1:12" x14ac:dyDescent="0.25">
      <c r="A6">
        <v>1721</v>
      </c>
      <c r="B6" t="s">
        <v>73</v>
      </c>
      <c r="C6" t="s">
        <v>100</v>
      </c>
      <c r="D6" t="s">
        <v>8</v>
      </c>
      <c r="J6">
        <f>(E6*2240)+(F6*112)+(G6*28)+H6</f>
        <v>0</v>
      </c>
      <c r="L6">
        <f>J6/2240</f>
        <v>0</v>
      </c>
    </row>
    <row r="7" spans="1:12" x14ac:dyDescent="0.25">
      <c r="A7">
        <v>1721</v>
      </c>
      <c r="B7" t="s">
        <v>89</v>
      </c>
      <c r="C7" t="s">
        <v>100</v>
      </c>
      <c r="D7" t="s">
        <v>8</v>
      </c>
      <c r="J7">
        <f t="shared" ref="J7:J25" si="0">(E7*2240)+(F7*112)+(G7*28)+H7</f>
        <v>0</v>
      </c>
      <c r="L7">
        <f t="shared" ref="L7:L27" si="1">J7/2240</f>
        <v>0</v>
      </c>
    </row>
    <row r="8" spans="1:12" x14ac:dyDescent="0.25">
      <c r="A8">
        <v>1721</v>
      </c>
      <c r="B8" t="s">
        <v>51</v>
      </c>
      <c r="C8" t="s">
        <v>100</v>
      </c>
      <c r="D8" t="s">
        <v>8</v>
      </c>
      <c r="J8">
        <f t="shared" si="0"/>
        <v>0</v>
      </c>
      <c r="L8">
        <f t="shared" si="1"/>
        <v>0</v>
      </c>
    </row>
    <row r="9" spans="1:12" x14ac:dyDescent="0.25">
      <c r="A9">
        <v>1721</v>
      </c>
      <c r="B9" t="s">
        <v>41</v>
      </c>
      <c r="C9" t="s">
        <v>100</v>
      </c>
      <c r="D9" t="s">
        <v>8</v>
      </c>
      <c r="J9">
        <f t="shared" si="0"/>
        <v>0</v>
      </c>
      <c r="L9">
        <f t="shared" si="1"/>
        <v>0</v>
      </c>
    </row>
    <row r="10" spans="1:12" x14ac:dyDescent="0.25">
      <c r="A10">
        <v>1721</v>
      </c>
      <c r="B10" t="s">
        <v>69</v>
      </c>
      <c r="C10" t="s">
        <v>100</v>
      </c>
      <c r="D10" t="s">
        <v>8</v>
      </c>
      <c r="J10">
        <f t="shared" si="0"/>
        <v>0</v>
      </c>
      <c r="L10">
        <f t="shared" si="1"/>
        <v>0</v>
      </c>
    </row>
    <row r="11" spans="1:12" x14ac:dyDescent="0.25">
      <c r="A11">
        <v>1721</v>
      </c>
      <c r="B11" t="s">
        <v>16</v>
      </c>
      <c r="C11" t="s">
        <v>100</v>
      </c>
      <c r="D11" t="s">
        <v>8</v>
      </c>
      <c r="F11">
        <v>30870</v>
      </c>
      <c r="G11">
        <v>2</v>
      </c>
      <c r="H11">
        <v>17</v>
      </c>
      <c r="J11">
        <f t="shared" si="0"/>
        <v>3457513</v>
      </c>
      <c r="L11">
        <f t="shared" si="1"/>
        <v>1543.5325892857143</v>
      </c>
    </row>
    <row r="12" spans="1:12" x14ac:dyDescent="0.25">
      <c r="A12">
        <v>1721</v>
      </c>
      <c r="B12" t="s">
        <v>71</v>
      </c>
      <c r="C12" t="s">
        <v>100</v>
      </c>
      <c r="D12" t="s">
        <v>8</v>
      </c>
      <c r="J12">
        <f t="shared" si="0"/>
        <v>0</v>
      </c>
      <c r="L12">
        <f t="shared" si="1"/>
        <v>0</v>
      </c>
    </row>
    <row r="13" spans="1:12" x14ac:dyDescent="0.25">
      <c r="A13">
        <v>1721</v>
      </c>
      <c r="B13" t="s">
        <v>52</v>
      </c>
      <c r="C13" t="s">
        <v>100</v>
      </c>
      <c r="D13" t="s">
        <v>8</v>
      </c>
      <c r="J13">
        <f t="shared" si="0"/>
        <v>0</v>
      </c>
      <c r="L13">
        <f t="shared" si="1"/>
        <v>0</v>
      </c>
    </row>
    <row r="14" spans="1:12" x14ac:dyDescent="0.25">
      <c r="A14">
        <v>1721</v>
      </c>
      <c r="B14" t="s">
        <v>57</v>
      </c>
      <c r="C14" t="s">
        <v>100</v>
      </c>
      <c r="D14" t="s">
        <v>8</v>
      </c>
      <c r="J14">
        <f t="shared" si="0"/>
        <v>0</v>
      </c>
      <c r="L14">
        <f t="shared" si="1"/>
        <v>0</v>
      </c>
    </row>
    <row r="15" spans="1:12" x14ac:dyDescent="0.25">
      <c r="A15">
        <v>1721</v>
      </c>
      <c r="B15" t="s">
        <v>35</v>
      </c>
      <c r="C15" t="s">
        <v>100</v>
      </c>
      <c r="D15" t="s">
        <v>8</v>
      </c>
      <c r="J15">
        <f t="shared" si="0"/>
        <v>0</v>
      </c>
      <c r="L15">
        <f t="shared" si="1"/>
        <v>0</v>
      </c>
    </row>
    <row r="16" spans="1:12" x14ac:dyDescent="0.25">
      <c r="A16">
        <v>1721</v>
      </c>
      <c r="B16" t="s">
        <v>53</v>
      </c>
      <c r="C16" t="s">
        <v>100</v>
      </c>
      <c r="D16" t="s">
        <v>8</v>
      </c>
      <c r="J16">
        <f t="shared" si="0"/>
        <v>0</v>
      </c>
      <c r="L16">
        <f t="shared" si="1"/>
        <v>0</v>
      </c>
    </row>
    <row r="17" spans="1:12" x14ac:dyDescent="0.25">
      <c r="A17">
        <v>1721</v>
      </c>
      <c r="B17" t="s">
        <v>55</v>
      </c>
      <c r="C17" t="s">
        <v>100</v>
      </c>
      <c r="D17" t="s">
        <v>8</v>
      </c>
      <c r="J17">
        <f t="shared" si="0"/>
        <v>0</v>
      </c>
      <c r="L17">
        <f t="shared" si="1"/>
        <v>0</v>
      </c>
    </row>
    <row r="18" spans="1:12" x14ac:dyDescent="0.25">
      <c r="A18">
        <v>1721</v>
      </c>
      <c r="B18" t="s">
        <v>10</v>
      </c>
      <c r="C18" t="s">
        <v>100</v>
      </c>
      <c r="D18" t="s">
        <v>8</v>
      </c>
      <c r="H18">
        <f>39*200</f>
        <v>7800</v>
      </c>
      <c r="I18" t="s">
        <v>102</v>
      </c>
      <c r="J18">
        <f t="shared" si="0"/>
        <v>7800</v>
      </c>
      <c r="L18">
        <f t="shared" si="1"/>
        <v>3.4821428571428572</v>
      </c>
    </row>
    <row r="19" spans="1:12" x14ac:dyDescent="0.25">
      <c r="A19">
        <v>1721</v>
      </c>
      <c r="B19" t="s">
        <v>14</v>
      </c>
      <c r="C19" t="s">
        <v>100</v>
      </c>
      <c r="D19" t="s">
        <v>8</v>
      </c>
      <c r="F19">
        <v>10</v>
      </c>
      <c r="G19">
        <v>1</v>
      </c>
      <c r="H19">
        <v>21</v>
      </c>
      <c r="J19">
        <f t="shared" si="0"/>
        <v>1169</v>
      </c>
      <c r="L19">
        <f t="shared" si="1"/>
        <v>0.52187499999999998</v>
      </c>
    </row>
    <row r="20" spans="1:12" x14ac:dyDescent="0.25">
      <c r="A20">
        <v>1721</v>
      </c>
      <c r="B20" t="s">
        <v>24</v>
      </c>
      <c r="C20" t="s">
        <v>100</v>
      </c>
      <c r="D20" t="s">
        <v>8</v>
      </c>
      <c r="J20">
        <f t="shared" si="0"/>
        <v>0</v>
      </c>
      <c r="L20">
        <f t="shared" si="1"/>
        <v>0</v>
      </c>
    </row>
    <row r="21" spans="1:12" x14ac:dyDescent="0.25">
      <c r="A21">
        <v>1721</v>
      </c>
      <c r="B21" t="s">
        <v>49</v>
      </c>
      <c r="C21" t="s">
        <v>100</v>
      </c>
      <c r="D21" t="s">
        <v>8</v>
      </c>
      <c r="J21">
        <f t="shared" si="0"/>
        <v>0</v>
      </c>
      <c r="L21">
        <f t="shared" si="1"/>
        <v>0</v>
      </c>
    </row>
    <row r="22" spans="1:12" x14ac:dyDescent="0.25">
      <c r="A22">
        <v>1721</v>
      </c>
      <c r="B22" t="s">
        <v>50</v>
      </c>
      <c r="C22" t="s">
        <v>100</v>
      </c>
      <c r="D22" t="s">
        <v>8</v>
      </c>
      <c r="J22">
        <f t="shared" si="0"/>
        <v>0</v>
      </c>
      <c r="L22">
        <f t="shared" si="1"/>
        <v>0</v>
      </c>
    </row>
    <row r="23" spans="1:12" x14ac:dyDescent="0.25">
      <c r="A23">
        <v>1721</v>
      </c>
      <c r="B23" t="s">
        <v>9</v>
      </c>
      <c r="C23" t="s">
        <v>100</v>
      </c>
      <c r="D23" t="s">
        <v>8</v>
      </c>
      <c r="H23">
        <v>21</v>
      </c>
      <c r="J23">
        <f t="shared" si="0"/>
        <v>21</v>
      </c>
      <c r="L23">
        <f t="shared" si="1"/>
        <v>9.3749999999999997E-3</v>
      </c>
    </row>
    <row r="24" spans="1:12" x14ac:dyDescent="0.25">
      <c r="A24">
        <v>1721</v>
      </c>
      <c r="B24" t="s">
        <v>34</v>
      </c>
      <c r="C24" t="s">
        <v>100</v>
      </c>
      <c r="D24" t="s">
        <v>8</v>
      </c>
      <c r="J24">
        <f t="shared" si="0"/>
        <v>0</v>
      </c>
      <c r="L24">
        <f t="shared" si="1"/>
        <v>0</v>
      </c>
    </row>
    <row r="25" spans="1:12" x14ac:dyDescent="0.25">
      <c r="A25">
        <v>1721</v>
      </c>
      <c r="B25" t="s">
        <v>31</v>
      </c>
      <c r="C25" t="s">
        <v>100</v>
      </c>
      <c r="D25" t="s">
        <v>8</v>
      </c>
      <c r="E25">
        <v>1</v>
      </c>
      <c r="J25">
        <f t="shared" si="0"/>
        <v>2240</v>
      </c>
      <c r="L25">
        <f t="shared" si="1"/>
        <v>1</v>
      </c>
    </row>
    <row r="26" spans="1:12" x14ac:dyDescent="0.25">
      <c r="A26">
        <v>1721</v>
      </c>
      <c r="B26" t="s">
        <v>20</v>
      </c>
      <c r="C26" t="s">
        <v>100</v>
      </c>
      <c r="D26" t="s">
        <v>8</v>
      </c>
      <c r="J26">
        <f t="shared" ref="J26:J64" si="2">(E26*2240)+(F26*112)+(G26*28)+H26</f>
        <v>0</v>
      </c>
      <c r="L26">
        <f t="shared" si="1"/>
        <v>0</v>
      </c>
    </row>
    <row r="27" spans="1:12" x14ac:dyDescent="0.25">
      <c r="A27">
        <v>1721</v>
      </c>
      <c r="B27" t="s">
        <v>29</v>
      </c>
      <c r="C27" t="s">
        <v>100</v>
      </c>
      <c r="D27" t="s">
        <v>8</v>
      </c>
      <c r="J27">
        <f t="shared" si="2"/>
        <v>0</v>
      </c>
      <c r="L27">
        <f t="shared" si="1"/>
        <v>0</v>
      </c>
    </row>
    <row r="28" spans="1:12" x14ac:dyDescent="0.25">
      <c r="A28">
        <v>1721</v>
      </c>
      <c r="B28" t="s">
        <v>28</v>
      </c>
      <c r="C28" t="s">
        <v>100</v>
      </c>
      <c r="D28" t="s">
        <v>8</v>
      </c>
      <c r="H28">
        <v>1827</v>
      </c>
      <c r="I28" t="s">
        <v>101</v>
      </c>
      <c r="J28">
        <f t="shared" si="2"/>
        <v>1827</v>
      </c>
      <c r="L28">
        <f t="shared" ref="L28:L64" si="3">J28/2240</f>
        <v>0.81562500000000004</v>
      </c>
    </row>
    <row r="29" spans="1:12" x14ac:dyDescent="0.25">
      <c r="A29">
        <v>1721</v>
      </c>
      <c r="B29" t="s">
        <v>15</v>
      </c>
      <c r="C29" t="s">
        <v>100</v>
      </c>
      <c r="D29" t="s">
        <v>8</v>
      </c>
      <c r="F29">
        <v>2</v>
      </c>
      <c r="G29">
        <v>2</v>
      </c>
      <c r="H29">
        <v>9</v>
      </c>
      <c r="J29">
        <f t="shared" si="2"/>
        <v>289</v>
      </c>
      <c r="L29">
        <f t="shared" si="3"/>
        <v>0.12901785714285716</v>
      </c>
    </row>
    <row r="30" spans="1:12" x14ac:dyDescent="0.25">
      <c r="A30">
        <v>1721</v>
      </c>
      <c r="B30" t="s">
        <v>18</v>
      </c>
      <c r="C30" t="s">
        <v>100</v>
      </c>
      <c r="D30" t="s">
        <v>8</v>
      </c>
      <c r="J30">
        <f t="shared" si="2"/>
        <v>0</v>
      </c>
      <c r="L30">
        <f t="shared" si="3"/>
        <v>0</v>
      </c>
    </row>
    <row r="31" spans="1:12" x14ac:dyDescent="0.25">
      <c r="A31">
        <v>1721</v>
      </c>
      <c r="B31" t="s">
        <v>32</v>
      </c>
      <c r="C31" t="s">
        <v>100</v>
      </c>
      <c r="D31" t="s">
        <v>8</v>
      </c>
      <c r="J31">
        <f t="shared" si="2"/>
        <v>0</v>
      </c>
      <c r="L31">
        <f t="shared" si="3"/>
        <v>0</v>
      </c>
    </row>
    <row r="32" spans="1:12" x14ac:dyDescent="0.25">
      <c r="A32">
        <v>1721</v>
      </c>
      <c r="B32" t="s">
        <v>30</v>
      </c>
      <c r="C32" t="s">
        <v>100</v>
      </c>
      <c r="D32" t="s">
        <v>8</v>
      </c>
      <c r="J32">
        <f t="shared" si="2"/>
        <v>0</v>
      </c>
      <c r="L32">
        <f t="shared" si="3"/>
        <v>0</v>
      </c>
    </row>
    <row r="33" spans="1:12" x14ac:dyDescent="0.25">
      <c r="A33">
        <v>1721</v>
      </c>
      <c r="B33" t="s">
        <v>26</v>
      </c>
      <c r="C33" t="s">
        <v>100</v>
      </c>
      <c r="D33" t="s">
        <v>8</v>
      </c>
      <c r="J33">
        <f t="shared" si="2"/>
        <v>0</v>
      </c>
      <c r="L33">
        <f t="shared" si="3"/>
        <v>0</v>
      </c>
    </row>
    <row r="34" spans="1:12" x14ac:dyDescent="0.25">
      <c r="A34">
        <v>1721</v>
      </c>
      <c r="B34" t="s">
        <v>21</v>
      </c>
      <c r="C34" t="s">
        <v>100</v>
      </c>
      <c r="D34" t="s">
        <v>8</v>
      </c>
      <c r="H34">
        <v>3230</v>
      </c>
      <c r="I34" t="s">
        <v>103</v>
      </c>
      <c r="J34">
        <f t="shared" si="2"/>
        <v>3230</v>
      </c>
      <c r="L34">
        <f t="shared" si="3"/>
        <v>1.4419642857142858</v>
      </c>
    </row>
    <row r="35" spans="1:12" x14ac:dyDescent="0.25">
      <c r="A35">
        <v>1721</v>
      </c>
      <c r="B35" t="s">
        <v>90</v>
      </c>
      <c r="C35" t="s">
        <v>100</v>
      </c>
      <c r="D35" t="s">
        <v>8</v>
      </c>
      <c r="J35">
        <f t="shared" si="2"/>
        <v>0</v>
      </c>
      <c r="L35">
        <f t="shared" si="3"/>
        <v>0</v>
      </c>
    </row>
    <row r="36" spans="1:12" x14ac:dyDescent="0.25">
      <c r="A36">
        <v>1721</v>
      </c>
      <c r="B36" t="s">
        <v>23</v>
      </c>
      <c r="C36" t="s">
        <v>100</v>
      </c>
      <c r="D36" t="s">
        <v>8</v>
      </c>
      <c r="F36">
        <v>13</v>
      </c>
      <c r="G36">
        <v>2</v>
      </c>
      <c r="H36">
        <v>25</v>
      </c>
      <c r="J36">
        <f t="shared" si="2"/>
        <v>1537</v>
      </c>
      <c r="L36">
        <f t="shared" si="3"/>
        <v>0.68616071428571423</v>
      </c>
    </row>
    <row r="37" spans="1:12" x14ac:dyDescent="0.25">
      <c r="A37">
        <v>1721</v>
      </c>
      <c r="B37" t="s">
        <v>33</v>
      </c>
      <c r="C37" t="s">
        <v>100</v>
      </c>
      <c r="D37" t="s">
        <v>8</v>
      </c>
      <c r="J37">
        <f t="shared" si="2"/>
        <v>0</v>
      </c>
      <c r="L37">
        <f t="shared" si="3"/>
        <v>0</v>
      </c>
    </row>
    <row r="38" spans="1:12" x14ac:dyDescent="0.25">
      <c r="A38">
        <v>1721</v>
      </c>
      <c r="B38" t="s">
        <v>64</v>
      </c>
      <c r="C38" t="s">
        <v>100</v>
      </c>
      <c r="D38" t="s">
        <v>8</v>
      </c>
      <c r="H38">
        <v>18</v>
      </c>
      <c r="J38">
        <f t="shared" si="2"/>
        <v>18</v>
      </c>
      <c r="L38">
        <f t="shared" si="3"/>
        <v>8.0357142857142849E-3</v>
      </c>
    </row>
    <row r="39" spans="1:12" x14ac:dyDescent="0.25">
      <c r="A39">
        <v>1721</v>
      </c>
      <c r="B39" t="s">
        <v>19</v>
      </c>
      <c r="C39" t="s">
        <v>100</v>
      </c>
      <c r="D39" t="s">
        <v>8</v>
      </c>
      <c r="J39">
        <f t="shared" si="2"/>
        <v>0</v>
      </c>
      <c r="L39">
        <f t="shared" si="3"/>
        <v>0</v>
      </c>
    </row>
    <row r="40" spans="1:12" x14ac:dyDescent="0.25">
      <c r="A40">
        <v>1721</v>
      </c>
      <c r="B40" t="s">
        <v>22</v>
      </c>
      <c r="C40" t="s">
        <v>100</v>
      </c>
      <c r="D40" t="s">
        <v>8</v>
      </c>
      <c r="H40">
        <v>44</v>
      </c>
      <c r="J40">
        <f t="shared" si="2"/>
        <v>44</v>
      </c>
      <c r="L40">
        <f t="shared" si="3"/>
        <v>1.9642857142857142E-2</v>
      </c>
    </row>
    <row r="41" spans="1:12" x14ac:dyDescent="0.25">
      <c r="A41">
        <v>1721</v>
      </c>
      <c r="B41" t="s">
        <v>17</v>
      </c>
      <c r="C41" t="s">
        <v>100</v>
      </c>
      <c r="D41" t="s">
        <v>8</v>
      </c>
      <c r="J41">
        <f t="shared" si="2"/>
        <v>0</v>
      </c>
      <c r="L41">
        <f t="shared" si="3"/>
        <v>0</v>
      </c>
    </row>
    <row r="42" spans="1:12" x14ac:dyDescent="0.25">
      <c r="A42">
        <v>1721</v>
      </c>
      <c r="B42" t="s">
        <v>75</v>
      </c>
      <c r="C42" t="s">
        <v>100</v>
      </c>
      <c r="D42" t="s">
        <v>8</v>
      </c>
      <c r="J42">
        <f t="shared" si="2"/>
        <v>0</v>
      </c>
      <c r="L42">
        <f t="shared" si="3"/>
        <v>0</v>
      </c>
    </row>
    <row r="43" spans="1:12" x14ac:dyDescent="0.25">
      <c r="A43">
        <v>1721</v>
      </c>
      <c r="B43" t="s">
        <v>76</v>
      </c>
      <c r="C43" t="s">
        <v>100</v>
      </c>
      <c r="D43" t="s">
        <v>8</v>
      </c>
      <c r="E43">
        <v>10</v>
      </c>
      <c r="F43">
        <v>13</v>
      </c>
      <c r="G43">
        <v>2</v>
      </c>
      <c r="J43">
        <f t="shared" si="2"/>
        <v>23912</v>
      </c>
      <c r="L43">
        <f t="shared" si="3"/>
        <v>10.675000000000001</v>
      </c>
    </row>
    <row r="44" spans="1:12" x14ac:dyDescent="0.25">
      <c r="A44">
        <v>1721</v>
      </c>
      <c r="B44" t="s">
        <v>77</v>
      </c>
      <c r="C44" t="s">
        <v>100</v>
      </c>
      <c r="D44" t="s">
        <v>8</v>
      </c>
      <c r="J44">
        <f t="shared" si="2"/>
        <v>0</v>
      </c>
      <c r="L44">
        <f t="shared" si="3"/>
        <v>0</v>
      </c>
    </row>
    <row r="45" spans="1:12" x14ac:dyDescent="0.25">
      <c r="A45">
        <v>1721</v>
      </c>
      <c r="B45" t="s">
        <v>95</v>
      </c>
      <c r="C45" t="s">
        <v>100</v>
      </c>
      <c r="D45" t="s">
        <v>8</v>
      </c>
      <c r="J45">
        <f t="shared" si="2"/>
        <v>0</v>
      </c>
      <c r="L45">
        <f t="shared" si="3"/>
        <v>0</v>
      </c>
    </row>
    <row r="46" spans="1:12" x14ac:dyDescent="0.25">
      <c r="A46">
        <v>1721</v>
      </c>
      <c r="B46" t="s">
        <v>78</v>
      </c>
      <c r="C46" t="s">
        <v>100</v>
      </c>
      <c r="D46" t="s">
        <v>8</v>
      </c>
      <c r="J46">
        <f t="shared" si="2"/>
        <v>0</v>
      </c>
      <c r="L46">
        <f t="shared" si="3"/>
        <v>0</v>
      </c>
    </row>
    <row r="47" spans="1:12" x14ac:dyDescent="0.25">
      <c r="A47">
        <v>1721</v>
      </c>
      <c r="B47" t="s">
        <v>79</v>
      </c>
      <c r="C47" t="s">
        <v>100</v>
      </c>
      <c r="D47" t="s">
        <v>8</v>
      </c>
      <c r="J47">
        <f t="shared" si="2"/>
        <v>0</v>
      </c>
      <c r="L47">
        <f t="shared" si="3"/>
        <v>0</v>
      </c>
    </row>
    <row r="48" spans="1:12" x14ac:dyDescent="0.25">
      <c r="A48">
        <v>1721</v>
      </c>
      <c r="B48" t="s">
        <v>16</v>
      </c>
      <c r="C48" t="s">
        <v>100</v>
      </c>
      <c r="D48" t="s">
        <v>11</v>
      </c>
      <c r="F48">
        <v>5648</v>
      </c>
      <c r="H48">
        <v>20</v>
      </c>
      <c r="J48">
        <f t="shared" si="2"/>
        <v>632596</v>
      </c>
      <c r="L48">
        <f t="shared" si="3"/>
        <v>282.40892857142859</v>
      </c>
    </row>
    <row r="49" spans="1:12" x14ac:dyDescent="0.25">
      <c r="A49">
        <v>1721</v>
      </c>
      <c r="B49" t="s">
        <v>12</v>
      </c>
      <c r="C49" t="s">
        <v>100</v>
      </c>
      <c r="D49" t="s">
        <v>11</v>
      </c>
      <c r="J49">
        <f t="shared" si="2"/>
        <v>0</v>
      </c>
      <c r="L49">
        <f t="shared" si="3"/>
        <v>0</v>
      </c>
    </row>
    <row r="50" spans="1:12" x14ac:dyDescent="0.25">
      <c r="A50">
        <v>1721</v>
      </c>
      <c r="B50" t="s">
        <v>35</v>
      </c>
      <c r="C50" t="s">
        <v>100</v>
      </c>
      <c r="D50" t="s">
        <v>11</v>
      </c>
      <c r="F50">
        <v>4</v>
      </c>
      <c r="J50">
        <f t="shared" si="2"/>
        <v>448</v>
      </c>
      <c r="L50">
        <f t="shared" si="3"/>
        <v>0.2</v>
      </c>
    </row>
    <row r="51" spans="1:12" x14ac:dyDescent="0.25">
      <c r="A51">
        <v>1721</v>
      </c>
      <c r="B51" t="s">
        <v>10</v>
      </c>
      <c r="C51" t="s">
        <v>100</v>
      </c>
      <c r="D51" t="s">
        <v>11</v>
      </c>
      <c r="H51">
        <v>10891</v>
      </c>
      <c r="J51">
        <f t="shared" si="2"/>
        <v>10891</v>
      </c>
      <c r="L51">
        <f t="shared" si="3"/>
        <v>4.8620535714285715</v>
      </c>
    </row>
    <row r="52" spans="1:12" x14ac:dyDescent="0.25">
      <c r="A52">
        <v>1721</v>
      </c>
      <c r="B52" t="s">
        <v>14</v>
      </c>
      <c r="C52" t="s">
        <v>100</v>
      </c>
      <c r="D52" t="s">
        <v>11</v>
      </c>
      <c r="J52">
        <f t="shared" si="2"/>
        <v>0</v>
      </c>
      <c r="L52">
        <f t="shared" si="3"/>
        <v>0</v>
      </c>
    </row>
    <row r="53" spans="1:12" x14ac:dyDescent="0.25">
      <c r="A53">
        <v>1721</v>
      </c>
      <c r="B53" t="s">
        <v>9</v>
      </c>
      <c r="C53" t="s">
        <v>100</v>
      </c>
      <c r="D53" t="s">
        <v>11</v>
      </c>
      <c r="H53">
        <v>150</v>
      </c>
      <c r="J53">
        <f t="shared" si="2"/>
        <v>150</v>
      </c>
      <c r="L53">
        <f t="shared" si="3"/>
        <v>6.6964285714285712E-2</v>
      </c>
    </row>
    <row r="54" spans="1:12" x14ac:dyDescent="0.25">
      <c r="A54">
        <v>1721</v>
      </c>
      <c r="B54" t="s">
        <v>31</v>
      </c>
      <c r="C54" t="s">
        <v>100</v>
      </c>
      <c r="D54" t="s">
        <v>11</v>
      </c>
      <c r="J54">
        <f t="shared" si="2"/>
        <v>0</v>
      </c>
      <c r="L54">
        <f t="shared" si="3"/>
        <v>0</v>
      </c>
    </row>
    <row r="55" spans="1:12" x14ac:dyDescent="0.25">
      <c r="A55">
        <v>1721</v>
      </c>
      <c r="B55" t="s">
        <v>20</v>
      </c>
      <c r="C55" t="s">
        <v>100</v>
      </c>
      <c r="D55" t="s">
        <v>11</v>
      </c>
      <c r="J55">
        <f t="shared" si="2"/>
        <v>0</v>
      </c>
      <c r="L55">
        <f t="shared" si="3"/>
        <v>0</v>
      </c>
    </row>
    <row r="56" spans="1:12" x14ac:dyDescent="0.25">
      <c r="A56">
        <v>1721</v>
      </c>
      <c r="B56" t="s">
        <v>28</v>
      </c>
      <c r="C56" t="s">
        <v>100</v>
      </c>
      <c r="D56" t="s">
        <v>11</v>
      </c>
      <c r="H56">
        <v>606</v>
      </c>
      <c r="I56" t="s">
        <v>128</v>
      </c>
      <c r="J56">
        <f t="shared" si="2"/>
        <v>606</v>
      </c>
      <c r="L56">
        <f t="shared" si="3"/>
        <v>0.27053571428571427</v>
      </c>
    </row>
    <row r="57" spans="1:12" x14ac:dyDescent="0.25">
      <c r="A57">
        <v>1721</v>
      </c>
      <c r="B57" t="s">
        <v>15</v>
      </c>
      <c r="C57" t="s">
        <v>100</v>
      </c>
      <c r="D57" t="s">
        <v>11</v>
      </c>
      <c r="J57">
        <f t="shared" si="2"/>
        <v>0</v>
      </c>
      <c r="L57">
        <f t="shared" si="3"/>
        <v>0</v>
      </c>
    </row>
    <row r="58" spans="1:12" x14ac:dyDescent="0.25">
      <c r="A58">
        <v>1721</v>
      </c>
      <c r="B58" t="s">
        <v>26</v>
      </c>
      <c r="C58" t="s">
        <v>100</v>
      </c>
      <c r="D58" t="s">
        <v>11</v>
      </c>
      <c r="J58">
        <f t="shared" si="2"/>
        <v>0</v>
      </c>
      <c r="L58">
        <f t="shared" si="3"/>
        <v>0</v>
      </c>
    </row>
    <row r="59" spans="1:12" x14ac:dyDescent="0.25">
      <c r="A59">
        <v>1721</v>
      </c>
      <c r="B59" t="s">
        <v>21</v>
      </c>
      <c r="C59" t="s">
        <v>100</v>
      </c>
      <c r="D59" t="s">
        <v>11</v>
      </c>
      <c r="H59">
        <v>1332</v>
      </c>
      <c r="I59" t="s">
        <v>129</v>
      </c>
      <c r="J59">
        <f t="shared" si="2"/>
        <v>1332</v>
      </c>
      <c r="L59">
        <f t="shared" si="3"/>
        <v>0.59464285714285714</v>
      </c>
    </row>
    <row r="60" spans="1:12" x14ac:dyDescent="0.25">
      <c r="A60">
        <v>1721</v>
      </c>
      <c r="B60" t="s">
        <v>23</v>
      </c>
      <c r="C60" t="s">
        <v>100</v>
      </c>
      <c r="D60" t="s">
        <v>11</v>
      </c>
      <c r="F60">
        <v>1</v>
      </c>
      <c r="H60">
        <v>7</v>
      </c>
      <c r="J60">
        <f t="shared" si="2"/>
        <v>119</v>
      </c>
      <c r="L60">
        <f t="shared" si="3"/>
        <v>5.3124999999999999E-2</v>
      </c>
    </row>
    <row r="61" spans="1:12" x14ac:dyDescent="0.25">
      <c r="A61">
        <v>1721</v>
      </c>
      <c r="B61" t="s">
        <v>64</v>
      </c>
      <c r="C61" t="s">
        <v>100</v>
      </c>
      <c r="D61" t="s">
        <v>11</v>
      </c>
      <c r="J61">
        <f t="shared" si="2"/>
        <v>0</v>
      </c>
      <c r="L61">
        <f t="shared" si="3"/>
        <v>0</v>
      </c>
    </row>
    <row r="62" spans="1:12" x14ac:dyDescent="0.25">
      <c r="A62">
        <v>1721</v>
      </c>
      <c r="B62" t="s">
        <v>22</v>
      </c>
      <c r="C62" t="s">
        <v>100</v>
      </c>
      <c r="D62" t="s">
        <v>11</v>
      </c>
      <c r="J62">
        <f t="shared" si="2"/>
        <v>0</v>
      </c>
      <c r="L62">
        <f t="shared" si="3"/>
        <v>0</v>
      </c>
    </row>
    <row r="63" spans="1:12" x14ac:dyDescent="0.25">
      <c r="A63">
        <v>1721</v>
      </c>
      <c r="B63" t="s">
        <v>17</v>
      </c>
      <c r="C63" t="s">
        <v>100</v>
      </c>
      <c r="D63" t="s">
        <v>11</v>
      </c>
      <c r="J63">
        <f t="shared" si="2"/>
        <v>0</v>
      </c>
      <c r="L63">
        <f t="shared" si="3"/>
        <v>0</v>
      </c>
    </row>
    <row r="64" spans="1:12" x14ac:dyDescent="0.25">
      <c r="J64">
        <f t="shared" si="2"/>
        <v>0</v>
      </c>
      <c r="L64">
        <f t="shared" si="3"/>
        <v>0</v>
      </c>
    </row>
    <row r="65" spans="10:12" x14ac:dyDescent="0.25">
      <c r="J65">
        <f t="shared" ref="J65" si="4">(E65*2240)+(F65*112)+(G65*28)+H65</f>
        <v>0</v>
      </c>
      <c r="L65">
        <f t="shared" ref="L65" si="5">J65/2240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BE782-642A-4A69-B3C3-AA33FAF53666}">
  <dimension ref="A1:L66"/>
  <sheetViews>
    <sheetView topLeftCell="A18" workbookViewId="0">
      <selection activeCell="I18" sqref="I18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58</v>
      </c>
      <c r="B1" s="1" t="s">
        <v>59</v>
      </c>
      <c r="C1" s="1" t="s">
        <v>60</v>
      </c>
      <c r="D1" s="1" t="s">
        <v>62</v>
      </c>
      <c r="E1" s="1" t="s">
        <v>45</v>
      </c>
      <c r="F1" s="1" t="s">
        <v>46</v>
      </c>
      <c r="G1" s="1" t="s">
        <v>47</v>
      </c>
      <c r="H1" s="1" t="s">
        <v>48</v>
      </c>
      <c r="I1" s="1"/>
      <c r="J1" s="1" t="s">
        <v>6</v>
      </c>
      <c r="K1" s="1"/>
      <c r="L1" s="1" t="s">
        <v>63</v>
      </c>
    </row>
    <row r="2" spans="1:12" x14ac:dyDescent="0.25">
      <c r="A2">
        <v>1721</v>
      </c>
      <c r="B2" t="s">
        <v>70</v>
      </c>
      <c r="C2" t="s">
        <v>108</v>
      </c>
      <c r="D2" t="s">
        <v>8</v>
      </c>
      <c r="J2">
        <f>(E2*2240)+(F2*112)+(G2*28)+H2</f>
        <v>0</v>
      </c>
      <c r="L2">
        <f>J2/2240</f>
        <v>0</v>
      </c>
    </row>
    <row r="3" spans="1:12" x14ac:dyDescent="0.25">
      <c r="A3">
        <v>1721</v>
      </c>
      <c r="B3" t="s">
        <v>72</v>
      </c>
      <c r="C3" t="s">
        <v>108</v>
      </c>
      <c r="D3" t="s">
        <v>8</v>
      </c>
      <c r="J3">
        <f>(E3*2240)+(F3*112)+(G3*28)+H3</f>
        <v>0</v>
      </c>
      <c r="L3">
        <f>J3/2240</f>
        <v>0</v>
      </c>
    </row>
    <row r="4" spans="1:12" x14ac:dyDescent="0.25">
      <c r="A4">
        <v>1721</v>
      </c>
      <c r="B4" t="s">
        <v>44</v>
      </c>
      <c r="C4" t="s">
        <v>108</v>
      </c>
      <c r="D4" t="s">
        <v>8</v>
      </c>
      <c r="J4">
        <f>(E4*2240)+(F4*112)+(G4*28)+H4</f>
        <v>0</v>
      </c>
      <c r="L4">
        <f>J4/2240</f>
        <v>0</v>
      </c>
    </row>
    <row r="5" spans="1:12" x14ac:dyDescent="0.25">
      <c r="A5">
        <v>1721</v>
      </c>
      <c r="B5" t="s">
        <v>25</v>
      </c>
      <c r="C5" t="s">
        <v>108</v>
      </c>
      <c r="D5" t="s">
        <v>8</v>
      </c>
      <c r="J5">
        <f>(E5*2240)+(F5*112)+(G5*28)+H5</f>
        <v>0</v>
      </c>
      <c r="L5">
        <f>J5/2240</f>
        <v>0</v>
      </c>
    </row>
    <row r="6" spans="1:12" x14ac:dyDescent="0.25">
      <c r="A6">
        <v>1721</v>
      </c>
      <c r="B6" t="s">
        <v>73</v>
      </c>
      <c r="C6" t="s">
        <v>108</v>
      </c>
      <c r="D6" t="s">
        <v>8</v>
      </c>
      <c r="J6">
        <f>(E6*2240)+(F6*112)+(G6*28)+H6</f>
        <v>0</v>
      </c>
      <c r="L6">
        <f>J6/2240</f>
        <v>0</v>
      </c>
    </row>
    <row r="7" spans="1:12" x14ac:dyDescent="0.25">
      <c r="A7">
        <v>1721</v>
      </c>
      <c r="B7" t="s">
        <v>89</v>
      </c>
      <c r="C7" t="s">
        <v>108</v>
      </c>
      <c r="D7" t="s">
        <v>8</v>
      </c>
      <c r="J7">
        <f t="shared" ref="J7:J25" si="0">(E7*2240)+(F7*112)+(G7*28)+H7</f>
        <v>0</v>
      </c>
      <c r="L7">
        <f t="shared" ref="L7:L27" si="1">J7/2240</f>
        <v>0</v>
      </c>
    </row>
    <row r="8" spans="1:12" x14ac:dyDescent="0.25">
      <c r="A8">
        <v>1721</v>
      </c>
      <c r="B8" t="s">
        <v>51</v>
      </c>
      <c r="C8" t="s">
        <v>108</v>
      </c>
      <c r="D8" t="s">
        <v>8</v>
      </c>
      <c r="J8">
        <f t="shared" si="0"/>
        <v>0</v>
      </c>
      <c r="L8">
        <f t="shared" si="1"/>
        <v>0</v>
      </c>
    </row>
    <row r="9" spans="1:12" x14ac:dyDescent="0.25">
      <c r="A9">
        <v>1721</v>
      </c>
      <c r="B9" t="s">
        <v>41</v>
      </c>
      <c r="C9" t="s">
        <v>108</v>
      </c>
      <c r="D9" t="s">
        <v>8</v>
      </c>
      <c r="J9">
        <f t="shared" si="0"/>
        <v>0</v>
      </c>
      <c r="L9">
        <f t="shared" si="1"/>
        <v>0</v>
      </c>
    </row>
    <row r="10" spans="1:12" x14ac:dyDescent="0.25">
      <c r="A10">
        <v>1721</v>
      </c>
      <c r="B10" t="s">
        <v>69</v>
      </c>
      <c r="C10" t="s">
        <v>108</v>
      </c>
      <c r="D10" t="s">
        <v>8</v>
      </c>
      <c r="J10">
        <f t="shared" si="0"/>
        <v>0</v>
      </c>
      <c r="L10">
        <f t="shared" si="1"/>
        <v>0</v>
      </c>
    </row>
    <row r="11" spans="1:12" x14ac:dyDescent="0.25">
      <c r="A11">
        <v>1721</v>
      </c>
      <c r="B11" t="s">
        <v>16</v>
      </c>
      <c r="C11" t="s">
        <v>108</v>
      </c>
      <c r="D11" t="s">
        <v>8</v>
      </c>
      <c r="F11">
        <v>54208</v>
      </c>
      <c r="G11">
        <v>1</v>
      </c>
      <c r="H11">
        <v>14</v>
      </c>
      <c r="J11">
        <f t="shared" si="0"/>
        <v>6071338</v>
      </c>
      <c r="L11">
        <f t="shared" si="1"/>
        <v>2710.4187499999998</v>
      </c>
    </row>
    <row r="12" spans="1:12" x14ac:dyDescent="0.25">
      <c r="A12">
        <v>1721</v>
      </c>
      <c r="B12" t="s">
        <v>71</v>
      </c>
      <c r="C12" t="s">
        <v>108</v>
      </c>
      <c r="D12" t="s">
        <v>8</v>
      </c>
      <c r="J12">
        <f t="shared" si="0"/>
        <v>0</v>
      </c>
      <c r="L12">
        <f t="shared" si="1"/>
        <v>0</v>
      </c>
    </row>
    <row r="13" spans="1:12" x14ac:dyDescent="0.25">
      <c r="A13">
        <v>1721</v>
      </c>
      <c r="B13" t="s">
        <v>52</v>
      </c>
      <c r="C13" t="s">
        <v>108</v>
      </c>
      <c r="D13" t="s">
        <v>8</v>
      </c>
      <c r="J13">
        <f t="shared" si="0"/>
        <v>0</v>
      </c>
      <c r="L13">
        <f t="shared" si="1"/>
        <v>0</v>
      </c>
    </row>
    <row r="14" spans="1:12" x14ac:dyDescent="0.25">
      <c r="A14">
        <v>1721</v>
      </c>
      <c r="B14" t="s">
        <v>57</v>
      </c>
      <c r="C14" t="s">
        <v>108</v>
      </c>
      <c r="D14" t="s">
        <v>8</v>
      </c>
      <c r="J14">
        <f t="shared" si="0"/>
        <v>0</v>
      </c>
      <c r="L14">
        <f t="shared" si="1"/>
        <v>0</v>
      </c>
    </row>
    <row r="15" spans="1:12" x14ac:dyDescent="0.25">
      <c r="A15">
        <v>1721</v>
      </c>
      <c r="B15" t="s">
        <v>35</v>
      </c>
      <c r="C15" t="s">
        <v>108</v>
      </c>
      <c r="D15" t="s">
        <v>8</v>
      </c>
      <c r="H15">
        <v>20</v>
      </c>
      <c r="J15">
        <f t="shared" si="0"/>
        <v>20</v>
      </c>
      <c r="L15">
        <f t="shared" si="1"/>
        <v>8.9285714285714281E-3</v>
      </c>
    </row>
    <row r="16" spans="1:12" x14ac:dyDescent="0.25">
      <c r="A16">
        <v>1721</v>
      </c>
      <c r="B16" t="s">
        <v>53</v>
      </c>
      <c r="C16" t="s">
        <v>108</v>
      </c>
      <c r="D16" t="s">
        <v>8</v>
      </c>
      <c r="J16">
        <f t="shared" si="0"/>
        <v>0</v>
      </c>
      <c r="L16">
        <f t="shared" si="1"/>
        <v>0</v>
      </c>
    </row>
    <row r="17" spans="1:12" x14ac:dyDescent="0.25">
      <c r="A17">
        <v>1721</v>
      </c>
      <c r="B17" t="s">
        <v>55</v>
      </c>
      <c r="C17" t="s">
        <v>108</v>
      </c>
      <c r="D17" t="s">
        <v>8</v>
      </c>
      <c r="J17">
        <f t="shared" si="0"/>
        <v>0</v>
      </c>
      <c r="L17">
        <f t="shared" si="1"/>
        <v>0</v>
      </c>
    </row>
    <row r="18" spans="1:12" x14ac:dyDescent="0.25">
      <c r="A18">
        <v>1721</v>
      </c>
      <c r="B18" t="s">
        <v>10</v>
      </c>
      <c r="C18" t="s">
        <v>108</v>
      </c>
      <c r="D18" t="s">
        <v>8</v>
      </c>
      <c r="H18">
        <f>147*200</f>
        <v>29400</v>
      </c>
      <c r="I18" t="s">
        <v>110</v>
      </c>
      <c r="J18">
        <f t="shared" si="0"/>
        <v>29400</v>
      </c>
      <c r="L18">
        <f t="shared" si="1"/>
        <v>13.125</v>
      </c>
    </row>
    <row r="19" spans="1:12" x14ac:dyDescent="0.25">
      <c r="A19">
        <v>1721</v>
      </c>
      <c r="B19" t="s">
        <v>14</v>
      </c>
      <c r="C19" t="s">
        <v>108</v>
      </c>
      <c r="D19" t="s">
        <v>8</v>
      </c>
      <c r="F19">
        <v>43</v>
      </c>
      <c r="H19">
        <v>14</v>
      </c>
      <c r="J19">
        <f t="shared" si="0"/>
        <v>4830</v>
      </c>
      <c r="L19">
        <f t="shared" si="1"/>
        <v>2.15625</v>
      </c>
    </row>
    <row r="20" spans="1:12" x14ac:dyDescent="0.25">
      <c r="A20">
        <v>1721</v>
      </c>
      <c r="B20" t="s">
        <v>24</v>
      </c>
      <c r="C20" t="s">
        <v>108</v>
      </c>
      <c r="D20" t="s">
        <v>8</v>
      </c>
      <c r="G20">
        <v>2</v>
      </c>
      <c r="H20">
        <v>7</v>
      </c>
      <c r="J20">
        <f t="shared" si="0"/>
        <v>63</v>
      </c>
      <c r="L20">
        <f t="shared" si="1"/>
        <v>2.8125000000000001E-2</v>
      </c>
    </row>
    <row r="21" spans="1:12" x14ac:dyDescent="0.25">
      <c r="A21">
        <v>1721</v>
      </c>
      <c r="B21" t="s">
        <v>49</v>
      </c>
      <c r="C21" t="s">
        <v>108</v>
      </c>
      <c r="D21" t="s">
        <v>8</v>
      </c>
      <c r="J21">
        <f t="shared" si="0"/>
        <v>0</v>
      </c>
      <c r="L21">
        <f t="shared" si="1"/>
        <v>0</v>
      </c>
    </row>
    <row r="22" spans="1:12" x14ac:dyDescent="0.25">
      <c r="A22">
        <v>1721</v>
      </c>
      <c r="B22" t="s">
        <v>50</v>
      </c>
      <c r="C22" t="s">
        <v>108</v>
      </c>
      <c r="D22" t="s">
        <v>8</v>
      </c>
      <c r="J22">
        <f t="shared" si="0"/>
        <v>0</v>
      </c>
      <c r="L22">
        <f t="shared" si="1"/>
        <v>0</v>
      </c>
    </row>
    <row r="23" spans="1:12" x14ac:dyDescent="0.25">
      <c r="A23">
        <v>1721</v>
      </c>
      <c r="B23" t="s">
        <v>9</v>
      </c>
      <c r="C23" t="s">
        <v>108</v>
      </c>
      <c r="D23" t="s">
        <v>8</v>
      </c>
      <c r="H23">
        <v>162</v>
      </c>
      <c r="J23">
        <f t="shared" si="0"/>
        <v>162</v>
      </c>
      <c r="L23">
        <f t="shared" si="1"/>
        <v>7.2321428571428578E-2</v>
      </c>
    </row>
    <row r="24" spans="1:12" x14ac:dyDescent="0.25">
      <c r="A24">
        <v>1721</v>
      </c>
      <c r="B24" t="s">
        <v>34</v>
      </c>
      <c r="C24" t="s">
        <v>108</v>
      </c>
      <c r="D24" t="s">
        <v>8</v>
      </c>
      <c r="J24">
        <f t="shared" si="0"/>
        <v>0</v>
      </c>
      <c r="L24">
        <f t="shared" si="1"/>
        <v>0</v>
      </c>
    </row>
    <row r="25" spans="1:12" x14ac:dyDescent="0.25">
      <c r="A25">
        <v>1721</v>
      </c>
      <c r="B25" t="s">
        <v>31</v>
      </c>
      <c r="C25" t="s">
        <v>108</v>
      </c>
      <c r="D25" t="s">
        <v>8</v>
      </c>
      <c r="E25">
        <v>8</v>
      </c>
      <c r="F25">
        <v>13</v>
      </c>
      <c r="G25">
        <v>1</v>
      </c>
      <c r="H25">
        <v>8</v>
      </c>
      <c r="J25">
        <f t="shared" si="0"/>
        <v>19412</v>
      </c>
      <c r="L25">
        <f t="shared" si="1"/>
        <v>8.6660714285714278</v>
      </c>
    </row>
    <row r="26" spans="1:12" x14ac:dyDescent="0.25">
      <c r="A26">
        <v>1721</v>
      </c>
      <c r="B26" t="s">
        <v>20</v>
      </c>
      <c r="C26" t="s">
        <v>108</v>
      </c>
      <c r="D26" t="s">
        <v>8</v>
      </c>
      <c r="J26">
        <f t="shared" ref="J26:J65" si="2">(E26*2240)+(F26*112)+(G26*28)+H26</f>
        <v>0</v>
      </c>
      <c r="L26">
        <f t="shared" si="1"/>
        <v>0</v>
      </c>
    </row>
    <row r="27" spans="1:12" x14ac:dyDescent="0.25">
      <c r="A27">
        <v>1721</v>
      </c>
      <c r="B27" t="s">
        <v>29</v>
      </c>
      <c r="C27" t="s">
        <v>108</v>
      </c>
      <c r="D27" t="s">
        <v>8</v>
      </c>
      <c r="J27">
        <f t="shared" si="2"/>
        <v>0</v>
      </c>
      <c r="L27">
        <f t="shared" si="1"/>
        <v>0</v>
      </c>
    </row>
    <row r="28" spans="1:12" x14ac:dyDescent="0.25">
      <c r="A28">
        <v>1721</v>
      </c>
      <c r="B28" t="s">
        <v>28</v>
      </c>
      <c r="C28" t="s">
        <v>108</v>
      </c>
      <c r="D28" t="s">
        <v>8</v>
      </c>
      <c r="H28">
        <v>7135</v>
      </c>
      <c r="I28" t="s">
        <v>109</v>
      </c>
      <c r="J28">
        <f t="shared" si="2"/>
        <v>7135</v>
      </c>
      <c r="L28">
        <f t="shared" ref="L28:L65" si="3">J28/2240</f>
        <v>3.1852678571428572</v>
      </c>
    </row>
    <row r="29" spans="1:12" x14ac:dyDescent="0.25">
      <c r="A29">
        <v>1721</v>
      </c>
      <c r="B29" t="s">
        <v>15</v>
      </c>
      <c r="C29" t="s">
        <v>108</v>
      </c>
      <c r="D29" t="s">
        <v>8</v>
      </c>
      <c r="F29">
        <v>8</v>
      </c>
      <c r="G29">
        <v>1</v>
      </c>
      <c r="J29">
        <f t="shared" si="2"/>
        <v>924</v>
      </c>
      <c r="L29">
        <f t="shared" si="3"/>
        <v>0.41249999999999998</v>
      </c>
    </row>
    <row r="30" spans="1:12" x14ac:dyDescent="0.25">
      <c r="A30">
        <v>1721</v>
      </c>
      <c r="B30" t="s">
        <v>18</v>
      </c>
      <c r="C30" t="s">
        <v>108</v>
      </c>
      <c r="D30" t="s">
        <v>8</v>
      </c>
      <c r="J30">
        <f t="shared" si="2"/>
        <v>0</v>
      </c>
      <c r="L30">
        <f t="shared" si="3"/>
        <v>0</v>
      </c>
    </row>
    <row r="31" spans="1:12" x14ac:dyDescent="0.25">
      <c r="A31">
        <v>1721</v>
      </c>
      <c r="B31" t="s">
        <v>32</v>
      </c>
      <c r="C31" t="s">
        <v>108</v>
      </c>
      <c r="D31" t="s">
        <v>8</v>
      </c>
      <c r="J31">
        <f t="shared" si="2"/>
        <v>0</v>
      </c>
      <c r="L31">
        <f t="shared" si="3"/>
        <v>0</v>
      </c>
    </row>
    <row r="32" spans="1:12" x14ac:dyDescent="0.25">
      <c r="A32">
        <v>1721</v>
      </c>
      <c r="B32" t="s">
        <v>30</v>
      </c>
      <c r="C32" t="s">
        <v>108</v>
      </c>
      <c r="D32" t="s">
        <v>8</v>
      </c>
      <c r="J32">
        <f t="shared" si="2"/>
        <v>0</v>
      </c>
      <c r="L32">
        <f t="shared" si="3"/>
        <v>0</v>
      </c>
    </row>
    <row r="33" spans="1:12" x14ac:dyDescent="0.25">
      <c r="A33">
        <v>1721</v>
      </c>
      <c r="B33" t="s">
        <v>26</v>
      </c>
      <c r="C33" t="s">
        <v>108</v>
      </c>
      <c r="D33" t="s">
        <v>8</v>
      </c>
      <c r="J33">
        <f t="shared" si="2"/>
        <v>0</v>
      </c>
      <c r="L33">
        <f t="shared" si="3"/>
        <v>0</v>
      </c>
    </row>
    <row r="34" spans="1:12" x14ac:dyDescent="0.25">
      <c r="A34">
        <v>1721</v>
      </c>
      <c r="B34" t="s">
        <v>21</v>
      </c>
      <c r="C34" t="s">
        <v>108</v>
      </c>
      <c r="D34" t="s">
        <v>8</v>
      </c>
      <c r="H34">
        <v>15472</v>
      </c>
      <c r="I34" t="s">
        <v>111</v>
      </c>
      <c r="J34">
        <f t="shared" si="2"/>
        <v>15472</v>
      </c>
      <c r="L34">
        <f t="shared" si="3"/>
        <v>6.9071428571428575</v>
      </c>
    </row>
    <row r="35" spans="1:12" x14ac:dyDescent="0.25">
      <c r="A35">
        <v>1721</v>
      </c>
      <c r="B35" t="s">
        <v>90</v>
      </c>
      <c r="C35" t="s">
        <v>108</v>
      </c>
      <c r="D35" t="s">
        <v>8</v>
      </c>
      <c r="J35">
        <f t="shared" si="2"/>
        <v>0</v>
      </c>
      <c r="L35">
        <f t="shared" si="3"/>
        <v>0</v>
      </c>
    </row>
    <row r="36" spans="1:12" x14ac:dyDescent="0.25">
      <c r="A36">
        <v>1721</v>
      </c>
      <c r="B36" t="s">
        <v>23</v>
      </c>
      <c r="C36" t="s">
        <v>108</v>
      </c>
      <c r="D36" t="s">
        <v>8</v>
      </c>
      <c r="F36">
        <v>31</v>
      </c>
      <c r="G36">
        <v>3</v>
      </c>
      <c r="H36">
        <v>27</v>
      </c>
      <c r="J36">
        <f t="shared" si="2"/>
        <v>3583</v>
      </c>
      <c r="L36">
        <f t="shared" si="3"/>
        <v>1.5995535714285714</v>
      </c>
    </row>
    <row r="37" spans="1:12" x14ac:dyDescent="0.25">
      <c r="A37">
        <v>1721</v>
      </c>
      <c r="B37" t="s">
        <v>33</v>
      </c>
      <c r="C37" t="s">
        <v>108</v>
      </c>
      <c r="D37" t="s">
        <v>8</v>
      </c>
      <c r="J37">
        <f t="shared" si="2"/>
        <v>0</v>
      </c>
      <c r="L37">
        <f t="shared" si="3"/>
        <v>0</v>
      </c>
    </row>
    <row r="38" spans="1:12" x14ac:dyDescent="0.25">
      <c r="A38">
        <v>1721</v>
      </c>
      <c r="B38" t="s">
        <v>64</v>
      </c>
      <c r="C38" t="s">
        <v>108</v>
      </c>
      <c r="D38" t="s">
        <v>8</v>
      </c>
      <c r="H38">
        <v>250</v>
      </c>
      <c r="J38">
        <f t="shared" si="2"/>
        <v>250</v>
      </c>
      <c r="L38">
        <f t="shared" si="3"/>
        <v>0.11160714285714286</v>
      </c>
    </row>
    <row r="39" spans="1:12" x14ac:dyDescent="0.25">
      <c r="A39">
        <v>1721</v>
      </c>
      <c r="B39" t="s">
        <v>19</v>
      </c>
      <c r="C39" t="s">
        <v>108</v>
      </c>
      <c r="D39" t="s">
        <v>8</v>
      </c>
      <c r="J39">
        <f t="shared" si="2"/>
        <v>0</v>
      </c>
      <c r="L39">
        <f t="shared" si="3"/>
        <v>0</v>
      </c>
    </row>
    <row r="40" spans="1:12" x14ac:dyDescent="0.25">
      <c r="A40">
        <v>1721</v>
      </c>
      <c r="B40" t="s">
        <v>22</v>
      </c>
      <c r="C40" t="s">
        <v>108</v>
      </c>
      <c r="D40" t="s">
        <v>8</v>
      </c>
      <c r="J40">
        <f t="shared" si="2"/>
        <v>0</v>
      </c>
      <c r="L40">
        <f t="shared" si="3"/>
        <v>0</v>
      </c>
    </row>
    <row r="41" spans="1:12" x14ac:dyDescent="0.25">
      <c r="A41">
        <v>1721</v>
      </c>
      <c r="B41" t="s">
        <v>17</v>
      </c>
      <c r="C41" t="s">
        <v>108</v>
      </c>
      <c r="D41" t="s">
        <v>8</v>
      </c>
      <c r="J41">
        <f t="shared" si="2"/>
        <v>0</v>
      </c>
      <c r="L41">
        <f t="shared" si="3"/>
        <v>0</v>
      </c>
    </row>
    <row r="42" spans="1:12" x14ac:dyDescent="0.25">
      <c r="A42">
        <v>1721</v>
      </c>
      <c r="B42" t="s">
        <v>75</v>
      </c>
      <c r="C42" t="s">
        <v>108</v>
      </c>
      <c r="D42" t="s">
        <v>8</v>
      </c>
      <c r="J42">
        <f t="shared" si="2"/>
        <v>0</v>
      </c>
      <c r="L42">
        <f t="shared" si="3"/>
        <v>0</v>
      </c>
    </row>
    <row r="43" spans="1:12" x14ac:dyDescent="0.25">
      <c r="A43">
        <v>1721</v>
      </c>
      <c r="B43" t="s">
        <v>76</v>
      </c>
      <c r="C43" t="s">
        <v>108</v>
      </c>
      <c r="D43" t="s">
        <v>8</v>
      </c>
      <c r="E43">
        <v>45</v>
      </c>
      <c r="F43">
        <v>8</v>
      </c>
      <c r="J43">
        <f t="shared" si="2"/>
        <v>101696</v>
      </c>
      <c r="L43">
        <f t="shared" si="3"/>
        <v>45.4</v>
      </c>
    </row>
    <row r="44" spans="1:12" x14ac:dyDescent="0.25">
      <c r="A44">
        <v>1721</v>
      </c>
      <c r="B44" t="s">
        <v>77</v>
      </c>
      <c r="C44" t="s">
        <v>108</v>
      </c>
      <c r="D44" t="s">
        <v>8</v>
      </c>
      <c r="J44">
        <f t="shared" si="2"/>
        <v>0</v>
      </c>
      <c r="L44">
        <f t="shared" si="3"/>
        <v>0</v>
      </c>
    </row>
    <row r="45" spans="1:12" x14ac:dyDescent="0.25">
      <c r="A45">
        <v>1721</v>
      </c>
      <c r="B45" t="s">
        <v>95</v>
      </c>
      <c r="C45" t="s">
        <v>108</v>
      </c>
      <c r="D45" t="s">
        <v>8</v>
      </c>
      <c r="J45">
        <f t="shared" si="2"/>
        <v>0</v>
      </c>
      <c r="L45">
        <f t="shared" si="3"/>
        <v>0</v>
      </c>
    </row>
    <row r="46" spans="1:12" x14ac:dyDescent="0.25">
      <c r="A46">
        <v>1721</v>
      </c>
      <c r="B46" t="s">
        <v>78</v>
      </c>
      <c r="C46" t="s">
        <v>108</v>
      </c>
      <c r="D46" t="s">
        <v>8</v>
      </c>
      <c r="J46">
        <f t="shared" si="2"/>
        <v>0</v>
      </c>
      <c r="L46">
        <f t="shared" si="3"/>
        <v>0</v>
      </c>
    </row>
    <row r="47" spans="1:12" x14ac:dyDescent="0.25">
      <c r="A47">
        <v>1721</v>
      </c>
      <c r="B47" t="s">
        <v>79</v>
      </c>
      <c r="C47" t="s">
        <v>108</v>
      </c>
      <c r="D47" t="s">
        <v>8</v>
      </c>
      <c r="J47">
        <f t="shared" si="2"/>
        <v>0</v>
      </c>
      <c r="L47">
        <f t="shared" si="3"/>
        <v>0</v>
      </c>
    </row>
    <row r="48" spans="1:12" x14ac:dyDescent="0.25">
      <c r="A48">
        <v>1721</v>
      </c>
      <c r="B48" t="s">
        <v>16</v>
      </c>
      <c r="C48" t="s">
        <v>108</v>
      </c>
      <c r="D48" t="s">
        <v>11</v>
      </c>
      <c r="F48">
        <v>18861</v>
      </c>
      <c r="G48">
        <v>1</v>
      </c>
      <c r="H48">
        <v>11</v>
      </c>
      <c r="J48">
        <f t="shared" si="2"/>
        <v>2112471</v>
      </c>
      <c r="L48">
        <f t="shared" si="3"/>
        <v>943.06741071428576</v>
      </c>
    </row>
    <row r="49" spans="1:12" x14ac:dyDescent="0.25">
      <c r="A49">
        <v>1721</v>
      </c>
      <c r="B49" t="s">
        <v>12</v>
      </c>
      <c r="C49" t="s">
        <v>108</v>
      </c>
      <c r="D49" t="s">
        <v>11</v>
      </c>
      <c r="J49">
        <f t="shared" si="2"/>
        <v>0</v>
      </c>
      <c r="L49">
        <f t="shared" si="3"/>
        <v>0</v>
      </c>
    </row>
    <row r="50" spans="1:12" x14ac:dyDescent="0.25">
      <c r="A50">
        <v>1721</v>
      </c>
      <c r="B50" t="s">
        <v>35</v>
      </c>
      <c r="C50" t="s">
        <v>108</v>
      </c>
      <c r="D50" t="s">
        <v>11</v>
      </c>
      <c r="J50">
        <f t="shared" si="2"/>
        <v>0</v>
      </c>
      <c r="L50">
        <f t="shared" si="3"/>
        <v>0</v>
      </c>
    </row>
    <row r="51" spans="1:12" x14ac:dyDescent="0.25">
      <c r="A51">
        <v>1721</v>
      </c>
      <c r="B51" t="s">
        <v>10</v>
      </c>
      <c r="C51" t="s">
        <v>108</v>
      </c>
      <c r="D51" t="s">
        <v>11</v>
      </c>
      <c r="H51">
        <v>114864</v>
      </c>
      <c r="J51">
        <f t="shared" si="2"/>
        <v>114864</v>
      </c>
      <c r="L51">
        <f t="shared" si="3"/>
        <v>51.278571428571432</v>
      </c>
    </row>
    <row r="52" spans="1:12" x14ac:dyDescent="0.25">
      <c r="A52">
        <v>1721</v>
      </c>
      <c r="B52" t="s">
        <v>14</v>
      </c>
      <c r="C52" t="s">
        <v>108</v>
      </c>
      <c r="D52" t="s">
        <v>11</v>
      </c>
      <c r="J52">
        <f t="shared" si="2"/>
        <v>0</v>
      </c>
      <c r="L52">
        <f t="shared" si="3"/>
        <v>0</v>
      </c>
    </row>
    <row r="53" spans="1:12" x14ac:dyDescent="0.25">
      <c r="A53">
        <v>1721</v>
      </c>
      <c r="B53" t="s">
        <v>24</v>
      </c>
      <c r="C53" t="s">
        <v>108</v>
      </c>
      <c r="D53" t="s">
        <v>11</v>
      </c>
      <c r="G53">
        <v>1</v>
      </c>
      <c r="H53">
        <v>3</v>
      </c>
      <c r="J53">
        <f t="shared" si="2"/>
        <v>31</v>
      </c>
      <c r="L53">
        <f t="shared" si="3"/>
        <v>1.3839285714285714E-2</v>
      </c>
    </row>
    <row r="54" spans="1:12" x14ac:dyDescent="0.25">
      <c r="A54">
        <v>1721</v>
      </c>
      <c r="B54" t="s">
        <v>9</v>
      </c>
      <c r="C54" t="s">
        <v>108</v>
      </c>
      <c r="D54" t="s">
        <v>11</v>
      </c>
      <c r="H54">
        <v>320</v>
      </c>
      <c r="J54">
        <f t="shared" si="2"/>
        <v>320</v>
      </c>
      <c r="L54">
        <f t="shared" si="3"/>
        <v>0.14285714285714285</v>
      </c>
    </row>
    <row r="55" spans="1:12" x14ac:dyDescent="0.25">
      <c r="A55">
        <v>1721</v>
      </c>
      <c r="B55" t="s">
        <v>31</v>
      </c>
      <c r="C55" t="s">
        <v>108</v>
      </c>
      <c r="D55" t="s">
        <v>11</v>
      </c>
      <c r="E55">
        <v>4</v>
      </c>
      <c r="F55">
        <v>1</v>
      </c>
      <c r="G55">
        <v>3</v>
      </c>
      <c r="H55">
        <v>23</v>
      </c>
      <c r="J55">
        <f t="shared" si="2"/>
        <v>9179</v>
      </c>
      <c r="L55">
        <f t="shared" si="3"/>
        <v>4.0977678571428573</v>
      </c>
    </row>
    <row r="56" spans="1:12" x14ac:dyDescent="0.25">
      <c r="A56">
        <v>1721</v>
      </c>
      <c r="B56" t="s">
        <v>20</v>
      </c>
      <c r="C56" t="s">
        <v>108</v>
      </c>
      <c r="D56" t="s">
        <v>11</v>
      </c>
      <c r="J56">
        <f t="shared" si="2"/>
        <v>0</v>
      </c>
      <c r="L56">
        <f t="shared" si="3"/>
        <v>0</v>
      </c>
    </row>
    <row r="57" spans="1:12" x14ac:dyDescent="0.25">
      <c r="A57">
        <v>1721</v>
      </c>
      <c r="B57" t="s">
        <v>28</v>
      </c>
      <c r="C57" t="s">
        <v>108</v>
      </c>
      <c r="D57" t="s">
        <v>11</v>
      </c>
      <c r="J57">
        <f t="shared" si="2"/>
        <v>0</v>
      </c>
      <c r="L57">
        <f t="shared" si="3"/>
        <v>0</v>
      </c>
    </row>
    <row r="58" spans="1:12" x14ac:dyDescent="0.25">
      <c r="A58">
        <v>1721</v>
      </c>
      <c r="B58" t="s">
        <v>15</v>
      </c>
      <c r="C58" t="s">
        <v>108</v>
      </c>
      <c r="D58" t="s">
        <v>11</v>
      </c>
      <c r="J58">
        <f t="shared" si="2"/>
        <v>0</v>
      </c>
      <c r="L58">
        <f t="shared" si="3"/>
        <v>0</v>
      </c>
    </row>
    <row r="59" spans="1:12" x14ac:dyDescent="0.25">
      <c r="A59">
        <v>1721</v>
      </c>
      <c r="B59" t="s">
        <v>26</v>
      </c>
      <c r="C59" t="s">
        <v>108</v>
      </c>
      <c r="D59" t="s">
        <v>11</v>
      </c>
      <c r="J59">
        <f t="shared" si="2"/>
        <v>0</v>
      </c>
      <c r="L59">
        <f t="shared" si="3"/>
        <v>0</v>
      </c>
    </row>
    <row r="60" spans="1:12" x14ac:dyDescent="0.25">
      <c r="A60">
        <v>1721</v>
      </c>
      <c r="B60" t="s">
        <v>21</v>
      </c>
      <c r="C60" t="s">
        <v>108</v>
      </c>
      <c r="D60" t="s">
        <v>11</v>
      </c>
      <c r="H60">
        <v>2321</v>
      </c>
      <c r="I60" t="s">
        <v>130</v>
      </c>
      <c r="J60">
        <f t="shared" si="2"/>
        <v>2321</v>
      </c>
      <c r="L60">
        <f t="shared" si="3"/>
        <v>1.0361607142857143</v>
      </c>
    </row>
    <row r="61" spans="1:12" x14ac:dyDescent="0.25">
      <c r="A61">
        <v>1721</v>
      </c>
      <c r="B61" t="s">
        <v>23</v>
      </c>
      <c r="C61" t="s">
        <v>108</v>
      </c>
      <c r="D61" t="s">
        <v>11</v>
      </c>
      <c r="F61">
        <v>4</v>
      </c>
      <c r="J61">
        <f t="shared" si="2"/>
        <v>448</v>
      </c>
      <c r="L61">
        <f t="shared" si="3"/>
        <v>0.2</v>
      </c>
    </row>
    <row r="62" spans="1:12" x14ac:dyDescent="0.25">
      <c r="A62">
        <v>1721</v>
      </c>
      <c r="B62" t="s">
        <v>64</v>
      </c>
      <c r="C62" t="s">
        <v>108</v>
      </c>
      <c r="D62" t="s">
        <v>11</v>
      </c>
      <c r="J62">
        <f t="shared" si="2"/>
        <v>0</v>
      </c>
      <c r="L62">
        <f t="shared" si="3"/>
        <v>0</v>
      </c>
    </row>
    <row r="63" spans="1:12" x14ac:dyDescent="0.25">
      <c r="A63">
        <v>1721</v>
      </c>
      <c r="B63" t="s">
        <v>22</v>
      </c>
      <c r="C63" t="s">
        <v>108</v>
      </c>
      <c r="D63" t="s">
        <v>11</v>
      </c>
      <c r="J63">
        <f t="shared" si="2"/>
        <v>0</v>
      </c>
      <c r="L63">
        <f t="shared" si="3"/>
        <v>0</v>
      </c>
    </row>
    <row r="64" spans="1:12" x14ac:dyDescent="0.25">
      <c r="A64">
        <v>1721</v>
      </c>
      <c r="B64" t="s">
        <v>17</v>
      </c>
      <c r="C64" t="s">
        <v>108</v>
      </c>
      <c r="D64" t="s">
        <v>11</v>
      </c>
      <c r="J64">
        <f t="shared" si="2"/>
        <v>0</v>
      </c>
      <c r="L64">
        <f t="shared" si="3"/>
        <v>0</v>
      </c>
    </row>
    <row r="65" spans="1:12" x14ac:dyDescent="0.25">
      <c r="A65">
        <v>1721</v>
      </c>
      <c r="B65" t="s">
        <v>76</v>
      </c>
      <c r="C65" t="s">
        <v>108</v>
      </c>
      <c r="D65" t="s">
        <v>11</v>
      </c>
      <c r="F65">
        <v>158</v>
      </c>
      <c r="G65">
        <v>3</v>
      </c>
      <c r="H65">
        <v>22</v>
      </c>
      <c r="J65">
        <f t="shared" si="2"/>
        <v>17802</v>
      </c>
      <c r="L65">
        <f t="shared" si="3"/>
        <v>7.9473214285714286</v>
      </c>
    </row>
    <row r="66" spans="1:12" x14ac:dyDescent="0.25">
      <c r="J66">
        <f t="shared" ref="J66" si="4">(E66*2240)+(F66*112)+(G66*28)+H66</f>
        <v>0</v>
      </c>
      <c r="L66">
        <f t="shared" ref="L66" si="5">J66/2240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D6D79-299E-4BDC-A30E-5252DE375C36}">
  <dimension ref="A1:L66"/>
  <sheetViews>
    <sheetView topLeftCell="A18" workbookViewId="0">
      <selection activeCell="H19" sqref="H19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58</v>
      </c>
      <c r="B1" s="1" t="s">
        <v>59</v>
      </c>
      <c r="C1" s="1" t="s">
        <v>60</v>
      </c>
      <c r="D1" s="1" t="s">
        <v>62</v>
      </c>
      <c r="E1" s="1" t="s">
        <v>45</v>
      </c>
      <c r="F1" s="1" t="s">
        <v>46</v>
      </c>
      <c r="G1" s="1" t="s">
        <v>47</v>
      </c>
      <c r="H1" s="1" t="s">
        <v>48</v>
      </c>
      <c r="I1" s="1"/>
      <c r="J1" s="1" t="s">
        <v>6</v>
      </c>
      <c r="K1" s="1"/>
      <c r="L1" s="1" t="s">
        <v>63</v>
      </c>
    </row>
    <row r="2" spans="1:12" x14ac:dyDescent="0.25">
      <c r="A2">
        <v>1721</v>
      </c>
      <c r="B2" t="s">
        <v>70</v>
      </c>
      <c r="C2" t="s">
        <v>104</v>
      </c>
      <c r="D2" t="s">
        <v>8</v>
      </c>
      <c r="J2">
        <f>(E2*2240)+(F2*112)+(G2*28)+H2</f>
        <v>0</v>
      </c>
      <c r="L2">
        <f>J2/2240</f>
        <v>0</v>
      </c>
    </row>
    <row r="3" spans="1:12" x14ac:dyDescent="0.25">
      <c r="A3">
        <v>1721</v>
      </c>
      <c r="B3" t="s">
        <v>72</v>
      </c>
      <c r="C3" t="s">
        <v>104</v>
      </c>
      <c r="D3" t="s">
        <v>8</v>
      </c>
      <c r="J3">
        <f>(E3*2240)+(F3*112)+(G3*28)+H3</f>
        <v>0</v>
      </c>
      <c r="L3">
        <f>J3/2240</f>
        <v>0</v>
      </c>
    </row>
    <row r="4" spans="1:12" x14ac:dyDescent="0.25">
      <c r="A4">
        <v>1721</v>
      </c>
      <c r="B4" t="s">
        <v>44</v>
      </c>
      <c r="C4" t="s">
        <v>104</v>
      </c>
      <c r="D4" t="s">
        <v>8</v>
      </c>
      <c r="J4">
        <f>(E4*2240)+(F4*112)+(G4*28)+H4</f>
        <v>0</v>
      </c>
      <c r="L4">
        <f>J4/2240</f>
        <v>0</v>
      </c>
    </row>
    <row r="5" spans="1:12" x14ac:dyDescent="0.25">
      <c r="A5">
        <v>1721</v>
      </c>
      <c r="B5" t="s">
        <v>25</v>
      </c>
      <c r="C5" t="s">
        <v>104</v>
      </c>
      <c r="D5" t="s">
        <v>8</v>
      </c>
      <c r="H5">
        <v>451</v>
      </c>
      <c r="J5">
        <f>(E5*2240)+(F5*112)+(G5*28)+H5</f>
        <v>451</v>
      </c>
      <c r="L5">
        <f>J5/2240</f>
        <v>0.20133928571428572</v>
      </c>
    </row>
    <row r="6" spans="1:12" x14ac:dyDescent="0.25">
      <c r="A6">
        <v>1721</v>
      </c>
      <c r="B6" t="s">
        <v>73</v>
      </c>
      <c r="C6" t="s">
        <v>104</v>
      </c>
      <c r="D6" t="s">
        <v>8</v>
      </c>
      <c r="J6">
        <f>(E6*2240)+(F6*112)+(G6*28)+H6</f>
        <v>0</v>
      </c>
      <c r="L6">
        <f>J6/2240</f>
        <v>0</v>
      </c>
    </row>
    <row r="7" spans="1:12" x14ac:dyDescent="0.25">
      <c r="A7">
        <v>1721</v>
      </c>
      <c r="B7" t="s">
        <v>89</v>
      </c>
      <c r="C7" t="s">
        <v>104</v>
      </c>
      <c r="D7" t="s">
        <v>8</v>
      </c>
      <c r="J7">
        <f t="shared" ref="J7:J25" si="0">(E7*2240)+(F7*112)+(G7*28)+H7</f>
        <v>0</v>
      </c>
      <c r="L7">
        <f t="shared" ref="L7:L27" si="1">J7/2240</f>
        <v>0</v>
      </c>
    </row>
    <row r="8" spans="1:12" x14ac:dyDescent="0.25">
      <c r="A8">
        <v>1721</v>
      </c>
      <c r="B8" t="s">
        <v>51</v>
      </c>
      <c r="C8" t="s">
        <v>104</v>
      </c>
      <c r="D8" t="s">
        <v>8</v>
      </c>
      <c r="J8">
        <f t="shared" si="0"/>
        <v>0</v>
      </c>
      <c r="L8">
        <f t="shared" si="1"/>
        <v>0</v>
      </c>
    </row>
    <row r="9" spans="1:12" x14ac:dyDescent="0.25">
      <c r="A9">
        <v>1721</v>
      </c>
      <c r="B9" t="s">
        <v>41</v>
      </c>
      <c r="C9" t="s">
        <v>104</v>
      </c>
      <c r="D9" t="s">
        <v>8</v>
      </c>
      <c r="H9">
        <v>12</v>
      </c>
      <c r="J9">
        <f t="shared" si="0"/>
        <v>12</v>
      </c>
      <c r="L9">
        <f t="shared" si="1"/>
        <v>5.3571428571428572E-3</v>
      </c>
    </row>
    <row r="10" spans="1:12" x14ac:dyDescent="0.25">
      <c r="A10">
        <v>1721</v>
      </c>
      <c r="B10" t="s">
        <v>69</v>
      </c>
      <c r="C10" t="s">
        <v>104</v>
      </c>
      <c r="D10" t="s">
        <v>8</v>
      </c>
      <c r="J10">
        <f t="shared" si="0"/>
        <v>0</v>
      </c>
      <c r="L10">
        <f t="shared" si="1"/>
        <v>0</v>
      </c>
    </row>
    <row r="11" spans="1:12" x14ac:dyDescent="0.25">
      <c r="A11">
        <v>1721</v>
      </c>
      <c r="B11" t="s">
        <v>16</v>
      </c>
      <c r="C11" t="s">
        <v>104</v>
      </c>
      <c r="D11" t="s">
        <v>8</v>
      </c>
      <c r="F11">
        <v>805</v>
      </c>
      <c r="G11">
        <v>2</v>
      </c>
      <c r="H11">
        <v>23</v>
      </c>
      <c r="J11">
        <f t="shared" si="0"/>
        <v>90239</v>
      </c>
      <c r="L11">
        <f t="shared" si="1"/>
        <v>40.285267857142856</v>
      </c>
    </row>
    <row r="12" spans="1:12" x14ac:dyDescent="0.25">
      <c r="A12">
        <v>1721</v>
      </c>
      <c r="B12" t="s">
        <v>71</v>
      </c>
      <c r="C12" t="s">
        <v>104</v>
      </c>
      <c r="D12" t="s">
        <v>8</v>
      </c>
      <c r="J12">
        <f t="shared" si="0"/>
        <v>0</v>
      </c>
      <c r="L12">
        <f t="shared" si="1"/>
        <v>0</v>
      </c>
    </row>
    <row r="13" spans="1:12" x14ac:dyDescent="0.25">
      <c r="A13">
        <v>1721</v>
      </c>
      <c r="B13" t="s">
        <v>52</v>
      </c>
      <c r="C13" t="s">
        <v>104</v>
      </c>
      <c r="D13" t="s">
        <v>8</v>
      </c>
      <c r="J13">
        <f t="shared" si="0"/>
        <v>0</v>
      </c>
      <c r="L13">
        <f t="shared" si="1"/>
        <v>0</v>
      </c>
    </row>
    <row r="14" spans="1:12" x14ac:dyDescent="0.25">
      <c r="A14">
        <v>1721</v>
      </c>
      <c r="B14" t="s">
        <v>57</v>
      </c>
      <c r="C14" t="s">
        <v>104</v>
      </c>
      <c r="D14" t="s">
        <v>8</v>
      </c>
      <c r="J14">
        <f t="shared" si="0"/>
        <v>0</v>
      </c>
      <c r="L14">
        <f t="shared" si="1"/>
        <v>0</v>
      </c>
    </row>
    <row r="15" spans="1:12" x14ac:dyDescent="0.25">
      <c r="A15">
        <v>1721</v>
      </c>
      <c r="B15" t="s">
        <v>35</v>
      </c>
      <c r="C15" t="s">
        <v>104</v>
      </c>
      <c r="D15" t="s">
        <v>8</v>
      </c>
      <c r="F15">
        <v>8</v>
      </c>
      <c r="G15">
        <v>3</v>
      </c>
      <c r="H15">
        <v>17</v>
      </c>
      <c r="J15">
        <f t="shared" si="0"/>
        <v>997</v>
      </c>
      <c r="L15">
        <f t="shared" si="1"/>
        <v>0.44508928571428569</v>
      </c>
    </row>
    <row r="16" spans="1:12" x14ac:dyDescent="0.25">
      <c r="A16">
        <v>1721</v>
      </c>
      <c r="B16" t="s">
        <v>53</v>
      </c>
      <c r="C16" t="s">
        <v>104</v>
      </c>
      <c r="D16" t="s">
        <v>8</v>
      </c>
      <c r="J16">
        <f t="shared" si="0"/>
        <v>0</v>
      </c>
      <c r="L16">
        <f t="shared" si="1"/>
        <v>0</v>
      </c>
    </row>
    <row r="17" spans="1:12" x14ac:dyDescent="0.25">
      <c r="A17">
        <v>1721</v>
      </c>
      <c r="B17" t="s">
        <v>55</v>
      </c>
      <c r="C17" t="s">
        <v>104</v>
      </c>
      <c r="D17" t="s">
        <v>8</v>
      </c>
      <c r="J17">
        <f t="shared" si="0"/>
        <v>0</v>
      </c>
      <c r="L17">
        <f t="shared" si="1"/>
        <v>0</v>
      </c>
    </row>
    <row r="18" spans="1:12" x14ac:dyDescent="0.25">
      <c r="A18">
        <v>1721</v>
      </c>
      <c r="B18" t="s">
        <v>10</v>
      </c>
      <c r="C18" t="s">
        <v>104</v>
      </c>
      <c r="D18" t="s">
        <v>8</v>
      </c>
      <c r="H18">
        <v>200</v>
      </c>
      <c r="I18" t="s">
        <v>106</v>
      </c>
      <c r="J18">
        <f t="shared" si="0"/>
        <v>200</v>
      </c>
      <c r="L18">
        <f t="shared" si="1"/>
        <v>8.9285714285714288E-2</v>
      </c>
    </row>
    <row r="19" spans="1:12" x14ac:dyDescent="0.25">
      <c r="A19">
        <v>1721</v>
      </c>
      <c r="B19" t="s">
        <v>14</v>
      </c>
      <c r="C19" t="s">
        <v>104</v>
      </c>
      <c r="D19" t="s">
        <v>8</v>
      </c>
      <c r="J19">
        <f t="shared" si="0"/>
        <v>0</v>
      </c>
      <c r="L19">
        <f t="shared" si="1"/>
        <v>0</v>
      </c>
    </row>
    <row r="20" spans="1:12" x14ac:dyDescent="0.25">
      <c r="A20">
        <v>1721</v>
      </c>
      <c r="B20" t="s">
        <v>24</v>
      </c>
      <c r="C20" t="s">
        <v>104</v>
      </c>
      <c r="D20" t="s">
        <v>8</v>
      </c>
      <c r="J20">
        <f t="shared" si="0"/>
        <v>0</v>
      </c>
      <c r="L20">
        <f t="shared" si="1"/>
        <v>0</v>
      </c>
    </row>
    <row r="21" spans="1:12" x14ac:dyDescent="0.25">
      <c r="A21">
        <v>1721</v>
      </c>
      <c r="B21" t="s">
        <v>49</v>
      </c>
      <c r="C21" t="s">
        <v>104</v>
      </c>
      <c r="D21" t="s">
        <v>8</v>
      </c>
      <c r="J21">
        <f t="shared" si="0"/>
        <v>0</v>
      </c>
      <c r="L21">
        <f t="shared" si="1"/>
        <v>0</v>
      </c>
    </row>
    <row r="22" spans="1:12" x14ac:dyDescent="0.25">
      <c r="A22">
        <v>1721</v>
      </c>
      <c r="B22" t="s">
        <v>50</v>
      </c>
      <c r="C22" t="s">
        <v>104</v>
      </c>
      <c r="D22" t="s">
        <v>8</v>
      </c>
      <c r="J22">
        <f t="shared" si="0"/>
        <v>0</v>
      </c>
      <c r="L22">
        <f t="shared" si="1"/>
        <v>0</v>
      </c>
    </row>
    <row r="23" spans="1:12" x14ac:dyDescent="0.25">
      <c r="A23">
        <v>1721</v>
      </c>
      <c r="B23" t="s">
        <v>9</v>
      </c>
      <c r="C23" t="s">
        <v>104</v>
      </c>
      <c r="D23" t="s">
        <v>8</v>
      </c>
      <c r="H23">
        <v>6413</v>
      </c>
      <c r="J23">
        <f t="shared" si="0"/>
        <v>6413</v>
      </c>
      <c r="L23">
        <f t="shared" si="1"/>
        <v>2.8629464285714286</v>
      </c>
    </row>
    <row r="24" spans="1:12" x14ac:dyDescent="0.25">
      <c r="A24">
        <v>1721</v>
      </c>
      <c r="B24" t="s">
        <v>34</v>
      </c>
      <c r="C24" t="s">
        <v>104</v>
      </c>
      <c r="D24" t="s">
        <v>8</v>
      </c>
      <c r="J24">
        <f t="shared" si="0"/>
        <v>0</v>
      </c>
      <c r="L24">
        <f t="shared" si="1"/>
        <v>0</v>
      </c>
    </row>
    <row r="25" spans="1:12" x14ac:dyDescent="0.25">
      <c r="A25">
        <v>1721</v>
      </c>
      <c r="B25" t="s">
        <v>31</v>
      </c>
      <c r="C25" t="s">
        <v>104</v>
      </c>
      <c r="D25" t="s">
        <v>8</v>
      </c>
      <c r="E25">
        <v>1</v>
      </c>
      <c r="H25">
        <v>21</v>
      </c>
      <c r="J25">
        <f t="shared" si="0"/>
        <v>2261</v>
      </c>
      <c r="L25">
        <f t="shared" si="1"/>
        <v>1.0093749999999999</v>
      </c>
    </row>
    <row r="26" spans="1:12" x14ac:dyDescent="0.25">
      <c r="A26">
        <v>1721</v>
      </c>
      <c r="B26" t="s">
        <v>20</v>
      </c>
      <c r="C26" t="s">
        <v>104</v>
      </c>
      <c r="D26" t="s">
        <v>8</v>
      </c>
      <c r="J26">
        <f t="shared" ref="J26:J65" si="2">(E26*2240)+(F26*112)+(G26*28)+H26</f>
        <v>0</v>
      </c>
      <c r="L26">
        <f t="shared" si="1"/>
        <v>0</v>
      </c>
    </row>
    <row r="27" spans="1:12" x14ac:dyDescent="0.25">
      <c r="A27">
        <v>1721</v>
      </c>
      <c r="B27" t="s">
        <v>29</v>
      </c>
      <c r="C27" t="s">
        <v>104</v>
      </c>
      <c r="D27" t="s">
        <v>8</v>
      </c>
      <c r="J27">
        <f t="shared" si="2"/>
        <v>0</v>
      </c>
      <c r="L27">
        <f t="shared" si="1"/>
        <v>0</v>
      </c>
    </row>
    <row r="28" spans="1:12" x14ac:dyDescent="0.25">
      <c r="A28">
        <v>1721</v>
      </c>
      <c r="B28" t="s">
        <v>28</v>
      </c>
      <c r="C28" t="s">
        <v>104</v>
      </c>
      <c r="D28" t="s">
        <v>8</v>
      </c>
      <c r="H28">
        <v>868</v>
      </c>
      <c r="I28" t="s">
        <v>105</v>
      </c>
      <c r="J28">
        <f t="shared" si="2"/>
        <v>868</v>
      </c>
      <c r="L28">
        <f t="shared" ref="L28:L65" si="3">J28/2240</f>
        <v>0.38750000000000001</v>
      </c>
    </row>
    <row r="29" spans="1:12" x14ac:dyDescent="0.25">
      <c r="A29">
        <v>1721</v>
      </c>
      <c r="B29" t="s">
        <v>15</v>
      </c>
      <c r="C29" t="s">
        <v>104</v>
      </c>
      <c r="D29" t="s">
        <v>8</v>
      </c>
      <c r="J29">
        <f t="shared" si="2"/>
        <v>0</v>
      </c>
      <c r="L29">
        <f t="shared" si="3"/>
        <v>0</v>
      </c>
    </row>
    <row r="30" spans="1:12" x14ac:dyDescent="0.25">
      <c r="A30">
        <v>1721</v>
      </c>
      <c r="B30" t="s">
        <v>18</v>
      </c>
      <c r="C30" t="s">
        <v>104</v>
      </c>
      <c r="D30" t="s">
        <v>8</v>
      </c>
      <c r="J30">
        <f t="shared" si="2"/>
        <v>0</v>
      </c>
      <c r="L30">
        <f t="shared" si="3"/>
        <v>0</v>
      </c>
    </row>
    <row r="31" spans="1:12" x14ac:dyDescent="0.25">
      <c r="A31">
        <v>1721</v>
      </c>
      <c r="B31" t="s">
        <v>32</v>
      </c>
      <c r="C31" t="s">
        <v>104</v>
      </c>
      <c r="D31" t="s">
        <v>8</v>
      </c>
      <c r="J31">
        <f t="shared" si="2"/>
        <v>0</v>
      </c>
      <c r="L31">
        <f t="shared" si="3"/>
        <v>0</v>
      </c>
    </row>
    <row r="32" spans="1:12" x14ac:dyDescent="0.25">
      <c r="A32">
        <v>1721</v>
      </c>
      <c r="B32" t="s">
        <v>30</v>
      </c>
      <c r="C32" t="s">
        <v>104</v>
      </c>
      <c r="D32" t="s">
        <v>8</v>
      </c>
      <c r="J32">
        <f t="shared" si="2"/>
        <v>0</v>
      </c>
      <c r="L32">
        <f t="shared" si="3"/>
        <v>0</v>
      </c>
    </row>
    <row r="33" spans="1:12" x14ac:dyDescent="0.25">
      <c r="A33">
        <v>1721</v>
      </c>
      <c r="B33" t="s">
        <v>26</v>
      </c>
      <c r="C33" t="s">
        <v>104</v>
      </c>
      <c r="D33" t="s">
        <v>8</v>
      </c>
      <c r="F33">
        <v>2282</v>
      </c>
      <c r="H33">
        <v>4</v>
      </c>
      <c r="J33">
        <f t="shared" si="2"/>
        <v>255588</v>
      </c>
      <c r="L33">
        <f t="shared" si="3"/>
        <v>114.10178571428571</v>
      </c>
    </row>
    <row r="34" spans="1:12" x14ac:dyDescent="0.25">
      <c r="A34">
        <v>1721</v>
      </c>
      <c r="B34" t="s">
        <v>21</v>
      </c>
      <c r="C34" t="s">
        <v>104</v>
      </c>
      <c r="D34" t="s">
        <v>8</v>
      </c>
      <c r="H34">
        <v>36666</v>
      </c>
      <c r="I34" t="s">
        <v>107</v>
      </c>
      <c r="J34">
        <f t="shared" si="2"/>
        <v>36666</v>
      </c>
      <c r="L34">
        <f t="shared" si="3"/>
        <v>16.368749999999999</v>
      </c>
    </row>
    <row r="35" spans="1:12" x14ac:dyDescent="0.25">
      <c r="A35">
        <v>1721</v>
      </c>
      <c r="B35" t="s">
        <v>90</v>
      </c>
      <c r="C35" t="s">
        <v>104</v>
      </c>
      <c r="D35" t="s">
        <v>8</v>
      </c>
      <c r="J35">
        <f t="shared" si="2"/>
        <v>0</v>
      </c>
      <c r="L35">
        <f t="shared" si="3"/>
        <v>0</v>
      </c>
    </row>
    <row r="36" spans="1:12" x14ac:dyDescent="0.25">
      <c r="A36">
        <v>1721</v>
      </c>
      <c r="B36" t="s">
        <v>23</v>
      </c>
      <c r="C36" t="s">
        <v>104</v>
      </c>
      <c r="D36" t="s">
        <v>8</v>
      </c>
      <c r="F36">
        <v>16</v>
      </c>
      <c r="G36">
        <v>1</v>
      </c>
      <c r="H36">
        <v>6</v>
      </c>
      <c r="J36">
        <f t="shared" si="2"/>
        <v>1826</v>
      </c>
      <c r="L36">
        <f t="shared" si="3"/>
        <v>0.81517857142857142</v>
      </c>
    </row>
    <row r="37" spans="1:12" x14ac:dyDescent="0.25">
      <c r="A37">
        <v>1721</v>
      </c>
      <c r="B37" t="s">
        <v>33</v>
      </c>
      <c r="C37" t="s">
        <v>104</v>
      </c>
      <c r="D37" t="s">
        <v>8</v>
      </c>
      <c r="H37">
        <v>3820</v>
      </c>
      <c r="J37">
        <f t="shared" si="2"/>
        <v>3820</v>
      </c>
      <c r="L37">
        <f t="shared" si="3"/>
        <v>1.7053571428571428</v>
      </c>
    </row>
    <row r="38" spans="1:12" x14ac:dyDescent="0.25">
      <c r="A38">
        <v>1721</v>
      </c>
      <c r="B38" t="s">
        <v>64</v>
      </c>
      <c r="C38" t="s">
        <v>104</v>
      </c>
      <c r="D38" t="s">
        <v>8</v>
      </c>
      <c r="J38">
        <f t="shared" si="2"/>
        <v>0</v>
      </c>
      <c r="L38">
        <f t="shared" si="3"/>
        <v>0</v>
      </c>
    </row>
    <row r="39" spans="1:12" x14ac:dyDescent="0.25">
      <c r="A39">
        <v>1721</v>
      </c>
      <c r="B39" t="s">
        <v>19</v>
      </c>
      <c r="C39" t="s">
        <v>104</v>
      </c>
      <c r="D39" t="s">
        <v>8</v>
      </c>
      <c r="H39">
        <v>897</v>
      </c>
      <c r="J39">
        <f t="shared" si="2"/>
        <v>897</v>
      </c>
      <c r="L39">
        <f t="shared" si="3"/>
        <v>0.40044642857142859</v>
      </c>
    </row>
    <row r="40" spans="1:12" x14ac:dyDescent="0.25">
      <c r="A40">
        <v>1721</v>
      </c>
      <c r="B40" t="s">
        <v>22</v>
      </c>
      <c r="C40" t="s">
        <v>104</v>
      </c>
      <c r="D40" t="s">
        <v>8</v>
      </c>
      <c r="J40">
        <f t="shared" si="2"/>
        <v>0</v>
      </c>
      <c r="L40">
        <f t="shared" si="3"/>
        <v>0</v>
      </c>
    </row>
    <row r="41" spans="1:12" x14ac:dyDescent="0.25">
      <c r="A41">
        <v>1721</v>
      </c>
      <c r="B41" t="s">
        <v>17</v>
      </c>
      <c r="C41" t="s">
        <v>104</v>
      </c>
      <c r="D41" t="s">
        <v>8</v>
      </c>
      <c r="J41">
        <f t="shared" si="2"/>
        <v>0</v>
      </c>
      <c r="L41">
        <f t="shared" si="3"/>
        <v>0</v>
      </c>
    </row>
    <row r="42" spans="1:12" x14ac:dyDescent="0.25">
      <c r="A42">
        <v>1721</v>
      </c>
      <c r="B42" t="s">
        <v>75</v>
      </c>
      <c r="C42" t="s">
        <v>104</v>
      </c>
      <c r="D42" t="s">
        <v>8</v>
      </c>
      <c r="E42">
        <v>19</v>
      </c>
      <c r="F42">
        <v>17</v>
      </c>
      <c r="G42">
        <v>1</v>
      </c>
      <c r="H42">
        <v>20</v>
      </c>
      <c r="J42">
        <f t="shared" si="2"/>
        <v>44512</v>
      </c>
      <c r="L42">
        <f t="shared" si="3"/>
        <v>19.87142857142857</v>
      </c>
    </row>
    <row r="43" spans="1:12" x14ac:dyDescent="0.25">
      <c r="A43">
        <v>1721</v>
      </c>
      <c r="B43" t="s">
        <v>76</v>
      </c>
      <c r="C43" t="s">
        <v>104</v>
      </c>
      <c r="D43" t="s">
        <v>8</v>
      </c>
      <c r="E43">
        <v>14</v>
      </c>
      <c r="F43">
        <v>15</v>
      </c>
      <c r="H43">
        <v>8</v>
      </c>
      <c r="J43">
        <f t="shared" si="2"/>
        <v>33048</v>
      </c>
      <c r="L43">
        <f t="shared" si="3"/>
        <v>14.753571428571428</v>
      </c>
    </row>
    <row r="44" spans="1:12" x14ac:dyDescent="0.25">
      <c r="A44">
        <v>1721</v>
      </c>
      <c r="B44" t="s">
        <v>77</v>
      </c>
      <c r="C44" t="s">
        <v>104</v>
      </c>
      <c r="D44" t="s">
        <v>8</v>
      </c>
      <c r="E44">
        <v>434</v>
      </c>
      <c r="F44">
        <v>10</v>
      </c>
      <c r="H44">
        <v>8</v>
      </c>
      <c r="J44">
        <f t="shared" si="2"/>
        <v>973288</v>
      </c>
      <c r="L44">
        <f t="shared" si="3"/>
        <v>434.50357142857143</v>
      </c>
    </row>
    <row r="45" spans="1:12" x14ac:dyDescent="0.25">
      <c r="A45">
        <v>1721</v>
      </c>
      <c r="B45" t="s">
        <v>95</v>
      </c>
      <c r="C45" t="s">
        <v>104</v>
      </c>
      <c r="D45" t="s">
        <v>8</v>
      </c>
      <c r="J45">
        <f t="shared" si="2"/>
        <v>0</v>
      </c>
      <c r="L45">
        <f t="shared" si="3"/>
        <v>0</v>
      </c>
    </row>
    <row r="46" spans="1:12" x14ac:dyDescent="0.25">
      <c r="A46">
        <v>1721</v>
      </c>
      <c r="B46" t="s">
        <v>78</v>
      </c>
      <c r="C46" t="s">
        <v>104</v>
      </c>
      <c r="D46" t="s">
        <v>8</v>
      </c>
      <c r="J46">
        <f t="shared" si="2"/>
        <v>0</v>
      </c>
      <c r="L46">
        <f t="shared" si="3"/>
        <v>0</v>
      </c>
    </row>
    <row r="47" spans="1:12" x14ac:dyDescent="0.25">
      <c r="A47">
        <v>1721</v>
      </c>
      <c r="B47" t="s">
        <v>79</v>
      </c>
      <c r="C47" t="s">
        <v>104</v>
      </c>
      <c r="D47" t="s">
        <v>8</v>
      </c>
      <c r="J47">
        <f t="shared" si="2"/>
        <v>0</v>
      </c>
      <c r="L47">
        <f t="shared" si="3"/>
        <v>0</v>
      </c>
    </row>
    <row r="48" spans="1:12" x14ac:dyDescent="0.25">
      <c r="A48">
        <v>1721</v>
      </c>
      <c r="B48" t="s">
        <v>16</v>
      </c>
      <c r="C48" t="s">
        <v>104</v>
      </c>
      <c r="D48" t="s">
        <v>11</v>
      </c>
      <c r="F48">
        <v>178</v>
      </c>
      <c r="G48">
        <v>3</v>
      </c>
      <c r="H48">
        <v>19</v>
      </c>
      <c r="J48">
        <f t="shared" si="2"/>
        <v>20039</v>
      </c>
      <c r="L48">
        <f t="shared" si="3"/>
        <v>8.945982142857142</v>
      </c>
    </row>
    <row r="49" spans="1:12" x14ac:dyDescent="0.25">
      <c r="A49">
        <v>1721</v>
      </c>
      <c r="B49" t="s">
        <v>12</v>
      </c>
      <c r="C49" t="s">
        <v>104</v>
      </c>
      <c r="D49" t="s">
        <v>11</v>
      </c>
      <c r="J49">
        <f t="shared" si="2"/>
        <v>0</v>
      </c>
      <c r="L49">
        <f t="shared" si="3"/>
        <v>0</v>
      </c>
    </row>
    <row r="50" spans="1:12" x14ac:dyDescent="0.25">
      <c r="A50">
        <v>1721</v>
      </c>
      <c r="B50" t="s">
        <v>35</v>
      </c>
      <c r="C50" t="s">
        <v>104</v>
      </c>
      <c r="D50" t="s">
        <v>11</v>
      </c>
      <c r="J50">
        <f t="shared" si="2"/>
        <v>0</v>
      </c>
      <c r="L50">
        <f t="shared" si="3"/>
        <v>0</v>
      </c>
    </row>
    <row r="51" spans="1:12" x14ac:dyDescent="0.25">
      <c r="A51">
        <v>1721</v>
      </c>
      <c r="B51" t="s">
        <v>10</v>
      </c>
      <c r="C51" t="s">
        <v>104</v>
      </c>
      <c r="D51" t="s">
        <v>11</v>
      </c>
      <c r="H51">
        <v>7000</v>
      </c>
      <c r="J51">
        <f t="shared" si="2"/>
        <v>7000</v>
      </c>
      <c r="L51">
        <f t="shared" si="3"/>
        <v>3.125</v>
      </c>
    </row>
    <row r="52" spans="1:12" x14ac:dyDescent="0.25">
      <c r="A52">
        <v>1721</v>
      </c>
      <c r="B52" t="s">
        <v>14</v>
      </c>
      <c r="C52" t="s">
        <v>104</v>
      </c>
      <c r="D52" t="s">
        <v>11</v>
      </c>
      <c r="F52">
        <v>19</v>
      </c>
      <c r="G52">
        <v>1</v>
      </c>
      <c r="H52">
        <v>25</v>
      </c>
      <c r="J52">
        <f t="shared" si="2"/>
        <v>2181</v>
      </c>
      <c r="L52">
        <f t="shared" si="3"/>
        <v>0.97366071428571432</v>
      </c>
    </row>
    <row r="53" spans="1:12" x14ac:dyDescent="0.25">
      <c r="A53">
        <v>1721</v>
      </c>
      <c r="B53" t="s">
        <v>9</v>
      </c>
      <c r="C53" t="s">
        <v>104</v>
      </c>
      <c r="D53" t="s">
        <v>11</v>
      </c>
      <c r="H53">
        <v>699</v>
      </c>
      <c r="J53">
        <f t="shared" si="2"/>
        <v>699</v>
      </c>
      <c r="L53">
        <f t="shared" si="3"/>
        <v>0.31205357142857143</v>
      </c>
    </row>
    <row r="54" spans="1:12" x14ac:dyDescent="0.25">
      <c r="A54">
        <v>1721</v>
      </c>
      <c r="B54" t="s">
        <v>31</v>
      </c>
      <c r="C54" t="s">
        <v>104</v>
      </c>
      <c r="D54" t="s">
        <v>11</v>
      </c>
      <c r="J54">
        <f t="shared" si="2"/>
        <v>0</v>
      </c>
      <c r="L54">
        <f t="shared" si="3"/>
        <v>0</v>
      </c>
    </row>
    <row r="55" spans="1:12" x14ac:dyDescent="0.25">
      <c r="A55">
        <v>1721</v>
      </c>
      <c r="B55" t="s">
        <v>20</v>
      </c>
      <c r="C55" t="s">
        <v>104</v>
      </c>
      <c r="D55" t="s">
        <v>11</v>
      </c>
      <c r="J55">
        <f t="shared" si="2"/>
        <v>0</v>
      </c>
      <c r="L55">
        <f t="shared" si="3"/>
        <v>0</v>
      </c>
    </row>
    <row r="56" spans="1:12" x14ac:dyDescent="0.25">
      <c r="A56">
        <v>1721</v>
      </c>
      <c r="B56" t="s">
        <v>28</v>
      </c>
      <c r="C56" t="s">
        <v>104</v>
      </c>
      <c r="D56" t="s">
        <v>11</v>
      </c>
      <c r="J56">
        <f t="shared" si="2"/>
        <v>0</v>
      </c>
      <c r="L56">
        <f t="shared" si="3"/>
        <v>0</v>
      </c>
    </row>
    <row r="57" spans="1:12" x14ac:dyDescent="0.25">
      <c r="A57">
        <v>1721</v>
      </c>
      <c r="B57" t="s">
        <v>15</v>
      </c>
      <c r="C57" t="s">
        <v>104</v>
      </c>
      <c r="D57" t="s">
        <v>11</v>
      </c>
      <c r="J57">
        <f t="shared" si="2"/>
        <v>0</v>
      </c>
      <c r="L57">
        <f t="shared" si="3"/>
        <v>0</v>
      </c>
    </row>
    <row r="58" spans="1:12" x14ac:dyDescent="0.25">
      <c r="A58">
        <v>1721</v>
      </c>
      <c r="B58" t="s">
        <v>26</v>
      </c>
      <c r="C58" t="s">
        <v>104</v>
      </c>
      <c r="D58" t="s">
        <v>11</v>
      </c>
      <c r="F58">
        <v>3292</v>
      </c>
      <c r="H58">
        <v>26</v>
      </c>
      <c r="J58">
        <f t="shared" si="2"/>
        <v>368730</v>
      </c>
      <c r="L58">
        <f t="shared" si="3"/>
        <v>164.61160714285714</v>
      </c>
    </row>
    <row r="59" spans="1:12" x14ac:dyDescent="0.25">
      <c r="A59">
        <v>1721</v>
      </c>
      <c r="B59" t="s">
        <v>21</v>
      </c>
      <c r="C59" t="s">
        <v>104</v>
      </c>
      <c r="D59" t="s">
        <v>11</v>
      </c>
      <c r="H59">
        <v>3633</v>
      </c>
      <c r="I59" t="s">
        <v>81</v>
      </c>
      <c r="J59">
        <f t="shared" si="2"/>
        <v>3633</v>
      </c>
      <c r="L59">
        <f t="shared" si="3"/>
        <v>1.621875</v>
      </c>
    </row>
    <row r="60" spans="1:12" x14ac:dyDescent="0.25">
      <c r="A60">
        <v>1721</v>
      </c>
      <c r="B60" t="s">
        <v>23</v>
      </c>
      <c r="C60" t="s">
        <v>104</v>
      </c>
      <c r="D60" t="s">
        <v>11</v>
      </c>
      <c r="J60">
        <f t="shared" si="2"/>
        <v>0</v>
      </c>
      <c r="L60">
        <f t="shared" si="3"/>
        <v>0</v>
      </c>
    </row>
    <row r="61" spans="1:12" x14ac:dyDescent="0.25">
      <c r="A61">
        <v>1721</v>
      </c>
      <c r="B61" t="s">
        <v>64</v>
      </c>
      <c r="C61" t="s">
        <v>104</v>
      </c>
      <c r="D61" t="s">
        <v>11</v>
      </c>
      <c r="J61">
        <f t="shared" si="2"/>
        <v>0</v>
      </c>
      <c r="L61">
        <f t="shared" si="3"/>
        <v>0</v>
      </c>
    </row>
    <row r="62" spans="1:12" x14ac:dyDescent="0.25">
      <c r="A62">
        <v>1721</v>
      </c>
      <c r="B62" t="s">
        <v>19</v>
      </c>
      <c r="C62" t="s">
        <v>104</v>
      </c>
      <c r="D62" t="s">
        <v>11</v>
      </c>
      <c r="H62">
        <v>39800</v>
      </c>
      <c r="J62">
        <f t="shared" si="2"/>
        <v>39800</v>
      </c>
      <c r="L62">
        <f t="shared" si="3"/>
        <v>17.767857142857142</v>
      </c>
    </row>
    <row r="63" spans="1:12" x14ac:dyDescent="0.25">
      <c r="A63">
        <v>1721</v>
      </c>
      <c r="B63" t="s">
        <v>22</v>
      </c>
      <c r="C63" t="s">
        <v>104</v>
      </c>
      <c r="D63" t="s">
        <v>11</v>
      </c>
      <c r="J63">
        <f t="shared" si="2"/>
        <v>0</v>
      </c>
      <c r="L63">
        <f t="shared" si="3"/>
        <v>0</v>
      </c>
    </row>
    <row r="64" spans="1:12" x14ac:dyDescent="0.25">
      <c r="A64">
        <v>1721</v>
      </c>
      <c r="B64" t="s">
        <v>17</v>
      </c>
      <c r="C64" t="s">
        <v>104</v>
      </c>
      <c r="D64" t="s">
        <v>11</v>
      </c>
      <c r="J64">
        <f t="shared" si="2"/>
        <v>0</v>
      </c>
      <c r="L64">
        <f t="shared" si="3"/>
        <v>0</v>
      </c>
    </row>
    <row r="65" spans="1:12" x14ac:dyDescent="0.25">
      <c r="A65">
        <v>1721</v>
      </c>
      <c r="B65" t="s">
        <v>75</v>
      </c>
      <c r="C65" t="s">
        <v>104</v>
      </c>
      <c r="D65" t="s">
        <v>11</v>
      </c>
      <c r="E65">
        <v>2</v>
      </c>
      <c r="F65">
        <v>19</v>
      </c>
      <c r="G65">
        <v>30</v>
      </c>
      <c r="H65">
        <v>27</v>
      </c>
      <c r="J65">
        <f t="shared" si="2"/>
        <v>7475</v>
      </c>
      <c r="L65">
        <f t="shared" si="3"/>
        <v>3.3370535714285716</v>
      </c>
    </row>
    <row r="66" spans="1:12" x14ac:dyDescent="0.25">
      <c r="A66">
        <v>1721</v>
      </c>
      <c r="B66" t="s">
        <v>77</v>
      </c>
      <c r="C66" t="s">
        <v>104</v>
      </c>
      <c r="D66" t="s">
        <v>11</v>
      </c>
      <c r="E66">
        <v>100</v>
      </c>
      <c r="F66">
        <v>6</v>
      </c>
      <c r="H66">
        <v>26</v>
      </c>
      <c r="J66">
        <f t="shared" ref="J66" si="4">(E66*2240)+(F66*112)+(G66*28)+H66</f>
        <v>224698</v>
      </c>
      <c r="L66">
        <f t="shared" ref="L66" si="5">J66/2240</f>
        <v>100.31160714285714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3E0FC-EF4F-475D-AE25-57D2F91507E8}">
  <dimension ref="A1:L65"/>
  <sheetViews>
    <sheetView workbookViewId="0">
      <selection activeCell="H19" sqref="H19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58</v>
      </c>
      <c r="B1" s="1" t="s">
        <v>59</v>
      </c>
      <c r="C1" s="1" t="s">
        <v>60</v>
      </c>
      <c r="D1" s="1" t="s">
        <v>62</v>
      </c>
      <c r="E1" s="1" t="s">
        <v>45</v>
      </c>
      <c r="F1" s="1" t="s">
        <v>46</v>
      </c>
      <c r="G1" s="1" t="s">
        <v>47</v>
      </c>
      <c r="H1" s="1" t="s">
        <v>48</v>
      </c>
      <c r="I1" s="1"/>
      <c r="J1" s="1" t="s">
        <v>6</v>
      </c>
      <c r="K1" s="1"/>
      <c r="L1" s="1" t="s">
        <v>63</v>
      </c>
    </row>
    <row r="2" spans="1:12" x14ac:dyDescent="0.25">
      <c r="A2">
        <v>1721</v>
      </c>
      <c r="B2" t="s">
        <v>70</v>
      </c>
      <c r="C2" t="s">
        <v>112</v>
      </c>
      <c r="D2" t="s">
        <v>8</v>
      </c>
      <c r="J2">
        <f>(E2*2240)+(F2*112)+(G2*28)+H2</f>
        <v>0</v>
      </c>
      <c r="L2">
        <f>J2/2240</f>
        <v>0</v>
      </c>
    </row>
    <row r="3" spans="1:12" x14ac:dyDescent="0.25">
      <c r="A3">
        <v>1721</v>
      </c>
      <c r="B3" t="s">
        <v>72</v>
      </c>
      <c r="C3" t="s">
        <v>112</v>
      </c>
      <c r="D3" t="s">
        <v>8</v>
      </c>
      <c r="J3">
        <f>(E3*2240)+(F3*112)+(G3*28)+H3</f>
        <v>0</v>
      </c>
      <c r="L3">
        <f>J3/2240</f>
        <v>0</v>
      </c>
    </row>
    <row r="4" spans="1:12" x14ac:dyDescent="0.25">
      <c r="A4">
        <v>1721</v>
      </c>
      <c r="B4" t="s">
        <v>44</v>
      </c>
      <c r="C4" t="s">
        <v>112</v>
      </c>
      <c r="D4" t="s">
        <v>8</v>
      </c>
      <c r="J4">
        <f>(E4*2240)+(F4*112)+(G4*28)+H4</f>
        <v>0</v>
      </c>
      <c r="L4">
        <f>J4/2240</f>
        <v>0</v>
      </c>
    </row>
    <row r="5" spans="1:12" x14ac:dyDescent="0.25">
      <c r="A5">
        <v>1721</v>
      </c>
      <c r="B5" t="s">
        <v>25</v>
      </c>
      <c r="C5" t="s">
        <v>112</v>
      </c>
      <c r="D5" t="s">
        <v>8</v>
      </c>
      <c r="J5">
        <f>(E5*2240)+(F5*112)+(G5*28)+H5</f>
        <v>0</v>
      </c>
      <c r="L5">
        <f>J5/2240</f>
        <v>0</v>
      </c>
    </row>
    <row r="6" spans="1:12" x14ac:dyDescent="0.25">
      <c r="A6">
        <v>1721</v>
      </c>
      <c r="B6" t="s">
        <v>73</v>
      </c>
      <c r="C6" t="s">
        <v>112</v>
      </c>
      <c r="D6" t="s">
        <v>8</v>
      </c>
      <c r="J6">
        <f>(E6*2240)+(F6*112)+(G6*28)+H6</f>
        <v>0</v>
      </c>
      <c r="L6">
        <f>J6/2240</f>
        <v>0</v>
      </c>
    </row>
    <row r="7" spans="1:12" x14ac:dyDescent="0.25">
      <c r="A7">
        <v>1721</v>
      </c>
      <c r="B7" t="s">
        <v>89</v>
      </c>
      <c r="C7" t="s">
        <v>112</v>
      </c>
      <c r="D7" t="s">
        <v>8</v>
      </c>
      <c r="J7">
        <f t="shared" ref="J7:J25" si="0">(E7*2240)+(F7*112)+(G7*28)+H7</f>
        <v>0</v>
      </c>
      <c r="L7">
        <f t="shared" ref="L7:L27" si="1">J7/2240</f>
        <v>0</v>
      </c>
    </row>
    <row r="8" spans="1:12" x14ac:dyDescent="0.25">
      <c r="A8">
        <v>1721</v>
      </c>
      <c r="B8" t="s">
        <v>51</v>
      </c>
      <c r="C8" t="s">
        <v>112</v>
      </c>
      <c r="D8" t="s">
        <v>8</v>
      </c>
      <c r="J8">
        <f t="shared" si="0"/>
        <v>0</v>
      </c>
      <c r="L8">
        <f t="shared" si="1"/>
        <v>0</v>
      </c>
    </row>
    <row r="9" spans="1:12" x14ac:dyDescent="0.25">
      <c r="A9">
        <v>1721</v>
      </c>
      <c r="B9" t="s">
        <v>41</v>
      </c>
      <c r="C9" t="s">
        <v>112</v>
      </c>
      <c r="D9" t="s">
        <v>8</v>
      </c>
      <c r="J9">
        <f t="shared" si="0"/>
        <v>0</v>
      </c>
      <c r="L9">
        <f t="shared" si="1"/>
        <v>0</v>
      </c>
    </row>
    <row r="10" spans="1:12" x14ac:dyDescent="0.25">
      <c r="A10">
        <v>1721</v>
      </c>
      <c r="B10" t="s">
        <v>69</v>
      </c>
      <c r="C10" t="s">
        <v>112</v>
      </c>
      <c r="D10" t="s">
        <v>8</v>
      </c>
      <c r="J10">
        <f t="shared" si="0"/>
        <v>0</v>
      </c>
      <c r="L10">
        <f t="shared" si="1"/>
        <v>0</v>
      </c>
    </row>
    <row r="11" spans="1:12" x14ac:dyDescent="0.25">
      <c r="A11">
        <v>1721</v>
      </c>
      <c r="B11" t="s">
        <v>16</v>
      </c>
      <c r="C11" t="s">
        <v>112</v>
      </c>
      <c r="D11" t="s">
        <v>8</v>
      </c>
      <c r="F11">
        <v>1583</v>
      </c>
      <c r="G11">
        <v>3</v>
      </c>
      <c r="J11">
        <f t="shared" si="0"/>
        <v>177380</v>
      </c>
      <c r="L11">
        <f t="shared" si="1"/>
        <v>79.1875</v>
      </c>
    </row>
    <row r="12" spans="1:12" x14ac:dyDescent="0.25">
      <c r="A12">
        <v>1721</v>
      </c>
      <c r="B12" t="s">
        <v>71</v>
      </c>
      <c r="C12" t="s">
        <v>112</v>
      </c>
      <c r="D12" t="s">
        <v>8</v>
      </c>
      <c r="J12">
        <f t="shared" si="0"/>
        <v>0</v>
      </c>
      <c r="L12">
        <f t="shared" si="1"/>
        <v>0</v>
      </c>
    </row>
    <row r="13" spans="1:12" x14ac:dyDescent="0.25">
      <c r="A13">
        <v>1721</v>
      </c>
      <c r="B13" t="s">
        <v>52</v>
      </c>
      <c r="C13" t="s">
        <v>112</v>
      </c>
      <c r="D13" t="s">
        <v>8</v>
      </c>
      <c r="J13">
        <f t="shared" si="0"/>
        <v>0</v>
      </c>
      <c r="L13">
        <f t="shared" si="1"/>
        <v>0</v>
      </c>
    </row>
    <row r="14" spans="1:12" x14ac:dyDescent="0.25">
      <c r="A14">
        <v>1721</v>
      </c>
      <c r="B14" t="s">
        <v>57</v>
      </c>
      <c r="C14" t="s">
        <v>112</v>
      </c>
      <c r="D14" t="s">
        <v>8</v>
      </c>
      <c r="J14">
        <f t="shared" si="0"/>
        <v>0</v>
      </c>
      <c r="L14">
        <f t="shared" si="1"/>
        <v>0</v>
      </c>
    </row>
    <row r="15" spans="1:12" x14ac:dyDescent="0.25">
      <c r="A15">
        <v>1721</v>
      </c>
      <c r="B15" t="s">
        <v>35</v>
      </c>
      <c r="C15" t="s">
        <v>112</v>
      </c>
      <c r="D15" t="s">
        <v>8</v>
      </c>
      <c r="J15">
        <f t="shared" si="0"/>
        <v>0</v>
      </c>
      <c r="L15">
        <f t="shared" si="1"/>
        <v>0</v>
      </c>
    </row>
    <row r="16" spans="1:12" x14ac:dyDescent="0.25">
      <c r="A16">
        <v>1721</v>
      </c>
      <c r="B16" t="s">
        <v>53</v>
      </c>
      <c r="C16" t="s">
        <v>112</v>
      </c>
      <c r="D16" t="s">
        <v>8</v>
      </c>
      <c r="J16">
        <f t="shared" si="0"/>
        <v>0</v>
      </c>
      <c r="L16">
        <f t="shared" si="1"/>
        <v>0</v>
      </c>
    </row>
    <row r="17" spans="1:12" x14ac:dyDescent="0.25">
      <c r="A17">
        <v>1721</v>
      </c>
      <c r="B17" t="s">
        <v>55</v>
      </c>
      <c r="C17" t="s">
        <v>112</v>
      </c>
      <c r="D17" t="s">
        <v>8</v>
      </c>
      <c r="J17">
        <f t="shared" si="0"/>
        <v>0</v>
      </c>
      <c r="L17">
        <f t="shared" si="1"/>
        <v>0</v>
      </c>
    </row>
    <row r="18" spans="1:12" x14ac:dyDescent="0.25">
      <c r="A18">
        <v>1721</v>
      </c>
      <c r="B18" t="s">
        <v>10</v>
      </c>
      <c r="C18" t="s">
        <v>112</v>
      </c>
      <c r="D18" t="s">
        <v>8</v>
      </c>
      <c r="H18">
        <f>9*200</f>
        <v>1800</v>
      </c>
      <c r="I18" t="s">
        <v>113</v>
      </c>
      <c r="J18">
        <f t="shared" si="0"/>
        <v>1800</v>
      </c>
      <c r="L18">
        <f t="shared" si="1"/>
        <v>0.8035714285714286</v>
      </c>
    </row>
    <row r="19" spans="1:12" x14ac:dyDescent="0.25">
      <c r="A19">
        <v>1721</v>
      </c>
      <c r="B19" t="s">
        <v>14</v>
      </c>
      <c r="C19" t="s">
        <v>112</v>
      </c>
      <c r="D19" t="s">
        <v>8</v>
      </c>
      <c r="F19">
        <v>70</v>
      </c>
      <c r="J19">
        <f t="shared" si="0"/>
        <v>7840</v>
      </c>
      <c r="L19">
        <f t="shared" si="1"/>
        <v>3.5</v>
      </c>
    </row>
    <row r="20" spans="1:12" x14ac:dyDescent="0.25">
      <c r="A20">
        <v>1721</v>
      </c>
      <c r="B20" t="s">
        <v>24</v>
      </c>
      <c r="C20" t="s">
        <v>112</v>
      </c>
      <c r="D20" t="s">
        <v>8</v>
      </c>
      <c r="J20">
        <f t="shared" si="0"/>
        <v>0</v>
      </c>
      <c r="L20">
        <f t="shared" si="1"/>
        <v>0</v>
      </c>
    </row>
    <row r="21" spans="1:12" x14ac:dyDescent="0.25">
      <c r="A21">
        <v>1721</v>
      </c>
      <c r="B21" t="s">
        <v>49</v>
      </c>
      <c r="C21" t="s">
        <v>112</v>
      </c>
      <c r="D21" t="s">
        <v>8</v>
      </c>
      <c r="J21">
        <f t="shared" si="0"/>
        <v>0</v>
      </c>
      <c r="L21">
        <f t="shared" si="1"/>
        <v>0</v>
      </c>
    </row>
    <row r="22" spans="1:12" x14ac:dyDescent="0.25">
      <c r="A22">
        <v>1721</v>
      </c>
      <c r="B22" t="s">
        <v>50</v>
      </c>
      <c r="C22" t="s">
        <v>112</v>
      </c>
      <c r="D22" t="s">
        <v>8</v>
      </c>
      <c r="J22">
        <f t="shared" si="0"/>
        <v>0</v>
      </c>
      <c r="L22">
        <f t="shared" si="1"/>
        <v>0</v>
      </c>
    </row>
    <row r="23" spans="1:12" x14ac:dyDescent="0.25">
      <c r="A23">
        <v>1721</v>
      </c>
      <c r="B23" t="s">
        <v>9</v>
      </c>
      <c r="C23" t="s">
        <v>112</v>
      </c>
      <c r="D23" t="s">
        <v>8</v>
      </c>
      <c r="H23">
        <v>80</v>
      </c>
      <c r="J23">
        <f t="shared" si="0"/>
        <v>80</v>
      </c>
      <c r="L23">
        <f t="shared" si="1"/>
        <v>3.5714285714285712E-2</v>
      </c>
    </row>
    <row r="24" spans="1:12" x14ac:dyDescent="0.25">
      <c r="A24">
        <v>1721</v>
      </c>
      <c r="B24" t="s">
        <v>34</v>
      </c>
      <c r="C24" t="s">
        <v>112</v>
      </c>
      <c r="D24" t="s">
        <v>8</v>
      </c>
      <c r="J24">
        <f t="shared" si="0"/>
        <v>0</v>
      </c>
      <c r="L24">
        <f t="shared" si="1"/>
        <v>0</v>
      </c>
    </row>
    <row r="25" spans="1:12" x14ac:dyDescent="0.25">
      <c r="A25">
        <v>1721</v>
      </c>
      <c r="B25" t="s">
        <v>31</v>
      </c>
      <c r="C25" t="s">
        <v>112</v>
      </c>
      <c r="D25" t="s">
        <v>8</v>
      </c>
      <c r="J25">
        <f t="shared" si="0"/>
        <v>0</v>
      </c>
      <c r="L25">
        <f t="shared" si="1"/>
        <v>0</v>
      </c>
    </row>
    <row r="26" spans="1:12" x14ac:dyDescent="0.25">
      <c r="A26">
        <v>1721</v>
      </c>
      <c r="B26" t="s">
        <v>20</v>
      </c>
      <c r="C26" t="s">
        <v>112</v>
      </c>
      <c r="D26" t="s">
        <v>8</v>
      </c>
      <c r="J26">
        <f t="shared" ref="J26:J64" si="2">(E26*2240)+(F26*112)+(G26*28)+H26</f>
        <v>0</v>
      </c>
      <c r="L26">
        <f t="shared" si="1"/>
        <v>0</v>
      </c>
    </row>
    <row r="27" spans="1:12" x14ac:dyDescent="0.25">
      <c r="A27">
        <v>1721</v>
      </c>
      <c r="B27" t="s">
        <v>29</v>
      </c>
      <c r="C27" t="s">
        <v>112</v>
      </c>
      <c r="D27" t="s">
        <v>8</v>
      </c>
      <c r="J27">
        <f t="shared" si="2"/>
        <v>0</v>
      </c>
      <c r="L27">
        <f t="shared" si="1"/>
        <v>0</v>
      </c>
    </row>
    <row r="28" spans="1:12" x14ac:dyDescent="0.25">
      <c r="A28">
        <v>1721</v>
      </c>
      <c r="B28" t="s">
        <v>28</v>
      </c>
      <c r="C28" t="s">
        <v>112</v>
      </c>
      <c r="D28" t="s">
        <v>8</v>
      </c>
      <c r="J28">
        <f t="shared" si="2"/>
        <v>0</v>
      </c>
      <c r="L28">
        <f t="shared" ref="L28:L64" si="3">J28/2240</f>
        <v>0</v>
      </c>
    </row>
    <row r="29" spans="1:12" x14ac:dyDescent="0.25">
      <c r="A29">
        <v>1721</v>
      </c>
      <c r="B29" t="s">
        <v>15</v>
      </c>
      <c r="C29" t="s">
        <v>112</v>
      </c>
      <c r="D29" t="s">
        <v>8</v>
      </c>
      <c r="J29">
        <f t="shared" si="2"/>
        <v>0</v>
      </c>
      <c r="L29">
        <f t="shared" si="3"/>
        <v>0</v>
      </c>
    </row>
    <row r="30" spans="1:12" x14ac:dyDescent="0.25">
      <c r="A30">
        <v>1721</v>
      </c>
      <c r="B30" t="s">
        <v>18</v>
      </c>
      <c r="C30" t="s">
        <v>112</v>
      </c>
      <c r="D30" t="s">
        <v>8</v>
      </c>
      <c r="J30">
        <f t="shared" si="2"/>
        <v>0</v>
      </c>
      <c r="L30">
        <f t="shared" si="3"/>
        <v>0</v>
      </c>
    </row>
    <row r="31" spans="1:12" x14ac:dyDescent="0.25">
      <c r="A31">
        <v>1721</v>
      </c>
      <c r="B31" t="s">
        <v>32</v>
      </c>
      <c r="C31" t="s">
        <v>112</v>
      </c>
      <c r="D31" t="s">
        <v>8</v>
      </c>
      <c r="J31">
        <f t="shared" si="2"/>
        <v>0</v>
      </c>
      <c r="L31">
        <f t="shared" si="3"/>
        <v>0</v>
      </c>
    </row>
    <row r="32" spans="1:12" x14ac:dyDescent="0.25">
      <c r="A32">
        <v>1721</v>
      </c>
      <c r="B32" t="s">
        <v>30</v>
      </c>
      <c r="C32" t="s">
        <v>112</v>
      </c>
      <c r="D32" t="s">
        <v>8</v>
      </c>
      <c r="J32">
        <f t="shared" si="2"/>
        <v>0</v>
      </c>
      <c r="L32">
        <f t="shared" si="3"/>
        <v>0</v>
      </c>
    </row>
    <row r="33" spans="1:12" x14ac:dyDescent="0.25">
      <c r="A33">
        <v>1721</v>
      </c>
      <c r="B33" t="s">
        <v>26</v>
      </c>
      <c r="C33" t="s">
        <v>112</v>
      </c>
      <c r="D33" t="s">
        <v>8</v>
      </c>
      <c r="J33">
        <f t="shared" si="2"/>
        <v>0</v>
      </c>
      <c r="L33">
        <f t="shared" si="3"/>
        <v>0</v>
      </c>
    </row>
    <row r="34" spans="1:12" x14ac:dyDescent="0.25">
      <c r="A34">
        <v>1721</v>
      </c>
      <c r="B34" t="s">
        <v>21</v>
      </c>
      <c r="C34" t="s">
        <v>112</v>
      </c>
      <c r="D34" t="s">
        <v>8</v>
      </c>
      <c r="H34">
        <v>1413</v>
      </c>
      <c r="I34" t="s">
        <v>114</v>
      </c>
      <c r="J34">
        <f t="shared" si="2"/>
        <v>1413</v>
      </c>
      <c r="L34">
        <f t="shared" si="3"/>
        <v>0.63080357142857146</v>
      </c>
    </row>
    <row r="35" spans="1:12" x14ac:dyDescent="0.25">
      <c r="A35">
        <v>1721</v>
      </c>
      <c r="B35" t="s">
        <v>90</v>
      </c>
      <c r="C35" t="s">
        <v>112</v>
      </c>
      <c r="D35" t="s">
        <v>8</v>
      </c>
      <c r="J35">
        <f t="shared" si="2"/>
        <v>0</v>
      </c>
      <c r="L35">
        <f t="shared" si="3"/>
        <v>0</v>
      </c>
    </row>
    <row r="36" spans="1:12" x14ac:dyDescent="0.25">
      <c r="A36">
        <v>1721</v>
      </c>
      <c r="B36" t="s">
        <v>23</v>
      </c>
      <c r="C36" t="s">
        <v>112</v>
      </c>
      <c r="D36" t="s">
        <v>8</v>
      </c>
      <c r="J36">
        <f t="shared" si="2"/>
        <v>0</v>
      </c>
      <c r="L36">
        <f t="shared" si="3"/>
        <v>0</v>
      </c>
    </row>
    <row r="37" spans="1:12" x14ac:dyDescent="0.25">
      <c r="A37">
        <v>1721</v>
      </c>
      <c r="B37" t="s">
        <v>33</v>
      </c>
      <c r="C37" t="s">
        <v>112</v>
      </c>
      <c r="D37" t="s">
        <v>8</v>
      </c>
      <c r="J37">
        <f t="shared" si="2"/>
        <v>0</v>
      </c>
      <c r="L37">
        <f t="shared" si="3"/>
        <v>0</v>
      </c>
    </row>
    <row r="38" spans="1:12" x14ac:dyDescent="0.25">
      <c r="A38">
        <v>1721</v>
      </c>
      <c r="B38" t="s">
        <v>64</v>
      </c>
      <c r="C38" t="s">
        <v>112</v>
      </c>
      <c r="D38" t="s">
        <v>8</v>
      </c>
      <c r="H38">
        <v>36</v>
      </c>
      <c r="J38">
        <f t="shared" si="2"/>
        <v>36</v>
      </c>
      <c r="L38">
        <f t="shared" si="3"/>
        <v>1.607142857142857E-2</v>
      </c>
    </row>
    <row r="39" spans="1:12" x14ac:dyDescent="0.25">
      <c r="A39">
        <v>1721</v>
      </c>
      <c r="B39" t="s">
        <v>19</v>
      </c>
      <c r="C39" t="s">
        <v>112</v>
      </c>
      <c r="D39" t="s">
        <v>8</v>
      </c>
      <c r="J39">
        <f t="shared" si="2"/>
        <v>0</v>
      </c>
      <c r="L39">
        <f t="shared" si="3"/>
        <v>0</v>
      </c>
    </row>
    <row r="40" spans="1:12" x14ac:dyDescent="0.25">
      <c r="A40">
        <v>1721</v>
      </c>
      <c r="B40" t="s">
        <v>22</v>
      </c>
      <c r="C40" t="s">
        <v>112</v>
      </c>
      <c r="D40" t="s">
        <v>8</v>
      </c>
      <c r="J40">
        <f t="shared" si="2"/>
        <v>0</v>
      </c>
      <c r="L40">
        <f t="shared" si="3"/>
        <v>0</v>
      </c>
    </row>
    <row r="41" spans="1:12" x14ac:dyDescent="0.25">
      <c r="A41">
        <v>1721</v>
      </c>
      <c r="B41" t="s">
        <v>17</v>
      </c>
      <c r="C41" t="s">
        <v>112</v>
      </c>
      <c r="D41" t="s">
        <v>8</v>
      </c>
      <c r="J41">
        <f t="shared" si="2"/>
        <v>0</v>
      </c>
      <c r="L41">
        <f t="shared" si="3"/>
        <v>0</v>
      </c>
    </row>
    <row r="42" spans="1:12" x14ac:dyDescent="0.25">
      <c r="A42">
        <v>1721</v>
      </c>
      <c r="B42" t="s">
        <v>75</v>
      </c>
      <c r="C42" t="s">
        <v>112</v>
      </c>
      <c r="D42" t="s">
        <v>8</v>
      </c>
      <c r="J42">
        <f t="shared" si="2"/>
        <v>0</v>
      </c>
      <c r="L42">
        <f t="shared" si="3"/>
        <v>0</v>
      </c>
    </row>
    <row r="43" spans="1:12" x14ac:dyDescent="0.25">
      <c r="A43">
        <v>1721</v>
      </c>
      <c r="B43" t="s">
        <v>76</v>
      </c>
      <c r="C43" t="s">
        <v>112</v>
      </c>
      <c r="D43" t="s">
        <v>8</v>
      </c>
      <c r="J43">
        <f t="shared" si="2"/>
        <v>0</v>
      </c>
      <c r="L43">
        <f t="shared" si="3"/>
        <v>0</v>
      </c>
    </row>
    <row r="44" spans="1:12" x14ac:dyDescent="0.25">
      <c r="A44">
        <v>1721</v>
      </c>
      <c r="B44" t="s">
        <v>77</v>
      </c>
      <c r="C44" t="s">
        <v>112</v>
      </c>
      <c r="D44" t="s">
        <v>8</v>
      </c>
      <c r="J44">
        <f t="shared" si="2"/>
        <v>0</v>
      </c>
      <c r="L44">
        <f t="shared" si="3"/>
        <v>0</v>
      </c>
    </row>
    <row r="45" spans="1:12" x14ac:dyDescent="0.25">
      <c r="A45">
        <v>1721</v>
      </c>
      <c r="B45" t="s">
        <v>95</v>
      </c>
      <c r="C45" t="s">
        <v>112</v>
      </c>
      <c r="D45" t="s">
        <v>8</v>
      </c>
      <c r="J45">
        <f t="shared" si="2"/>
        <v>0</v>
      </c>
      <c r="L45">
        <f t="shared" si="3"/>
        <v>0</v>
      </c>
    </row>
    <row r="46" spans="1:12" x14ac:dyDescent="0.25">
      <c r="A46">
        <v>1721</v>
      </c>
      <c r="B46" t="s">
        <v>78</v>
      </c>
      <c r="C46" t="s">
        <v>112</v>
      </c>
      <c r="D46" t="s">
        <v>8</v>
      </c>
      <c r="J46">
        <f t="shared" si="2"/>
        <v>0</v>
      </c>
      <c r="L46">
        <f t="shared" si="3"/>
        <v>0</v>
      </c>
    </row>
    <row r="47" spans="1:12" x14ac:dyDescent="0.25">
      <c r="A47">
        <v>1721</v>
      </c>
      <c r="B47" t="s">
        <v>79</v>
      </c>
      <c r="C47" t="s">
        <v>112</v>
      </c>
      <c r="D47" t="s">
        <v>8</v>
      </c>
      <c r="J47">
        <f t="shared" si="2"/>
        <v>0</v>
      </c>
      <c r="L47">
        <f t="shared" si="3"/>
        <v>0</v>
      </c>
    </row>
    <row r="48" spans="1:12" x14ac:dyDescent="0.25">
      <c r="A48">
        <v>1721</v>
      </c>
      <c r="B48" t="s">
        <v>16</v>
      </c>
      <c r="C48" t="s">
        <v>112</v>
      </c>
      <c r="D48" t="s">
        <v>11</v>
      </c>
      <c r="J48">
        <f t="shared" si="2"/>
        <v>0</v>
      </c>
      <c r="L48">
        <f t="shared" si="3"/>
        <v>0</v>
      </c>
    </row>
    <row r="49" spans="1:12" x14ac:dyDescent="0.25">
      <c r="A49">
        <v>1721</v>
      </c>
      <c r="B49" t="s">
        <v>12</v>
      </c>
      <c r="C49" t="s">
        <v>112</v>
      </c>
      <c r="D49" t="s">
        <v>11</v>
      </c>
      <c r="J49">
        <f t="shared" si="2"/>
        <v>0</v>
      </c>
      <c r="L49">
        <f t="shared" si="3"/>
        <v>0</v>
      </c>
    </row>
    <row r="50" spans="1:12" x14ac:dyDescent="0.25">
      <c r="A50">
        <v>1721</v>
      </c>
      <c r="B50" t="s">
        <v>35</v>
      </c>
      <c r="C50" t="s">
        <v>112</v>
      </c>
      <c r="D50" t="s">
        <v>11</v>
      </c>
      <c r="J50">
        <f t="shared" si="2"/>
        <v>0</v>
      </c>
      <c r="L50">
        <f t="shared" si="3"/>
        <v>0</v>
      </c>
    </row>
    <row r="51" spans="1:12" x14ac:dyDescent="0.25">
      <c r="A51">
        <v>1721</v>
      </c>
      <c r="B51" t="s">
        <v>10</v>
      </c>
      <c r="C51" t="s">
        <v>112</v>
      </c>
      <c r="D51" t="s">
        <v>11</v>
      </c>
      <c r="J51">
        <f t="shared" si="2"/>
        <v>0</v>
      </c>
      <c r="L51">
        <f t="shared" si="3"/>
        <v>0</v>
      </c>
    </row>
    <row r="52" spans="1:12" x14ac:dyDescent="0.25">
      <c r="A52">
        <v>1721</v>
      </c>
      <c r="B52" t="s">
        <v>14</v>
      </c>
      <c r="C52" t="s">
        <v>112</v>
      </c>
      <c r="D52" t="s">
        <v>11</v>
      </c>
      <c r="J52">
        <f t="shared" si="2"/>
        <v>0</v>
      </c>
      <c r="L52">
        <f t="shared" si="3"/>
        <v>0</v>
      </c>
    </row>
    <row r="53" spans="1:12" x14ac:dyDescent="0.25">
      <c r="A53">
        <v>1721</v>
      </c>
      <c r="B53" t="s">
        <v>9</v>
      </c>
      <c r="C53" t="s">
        <v>112</v>
      </c>
      <c r="D53" t="s">
        <v>11</v>
      </c>
      <c r="J53">
        <f t="shared" si="2"/>
        <v>0</v>
      </c>
      <c r="L53">
        <f t="shared" si="3"/>
        <v>0</v>
      </c>
    </row>
    <row r="54" spans="1:12" x14ac:dyDescent="0.25">
      <c r="A54">
        <v>1721</v>
      </c>
      <c r="B54" t="s">
        <v>31</v>
      </c>
      <c r="C54" t="s">
        <v>112</v>
      </c>
      <c r="D54" t="s">
        <v>11</v>
      </c>
      <c r="J54">
        <f t="shared" si="2"/>
        <v>0</v>
      </c>
      <c r="L54">
        <f t="shared" si="3"/>
        <v>0</v>
      </c>
    </row>
    <row r="55" spans="1:12" x14ac:dyDescent="0.25">
      <c r="A55">
        <v>1721</v>
      </c>
      <c r="B55" t="s">
        <v>20</v>
      </c>
      <c r="C55" t="s">
        <v>112</v>
      </c>
      <c r="D55" t="s">
        <v>11</v>
      </c>
      <c r="J55">
        <f t="shared" si="2"/>
        <v>0</v>
      </c>
      <c r="L55">
        <f t="shared" si="3"/>
        <v>0</v>
      </c>
    </row>
    <row r="56" spans="1:12" x14ac:dyDescent="0.25">
      <c r="A56">
        <v>1721</v>
      </c>
      <c r="B56" t="s">
        <v>28</v>
      </c>
      <c r="C56" t="s">
        <v>112</v>
      </c>
      <c r="D56" t="s">
        <v>11</v>
      </c>
      <c r="J56">
        <f t="shared" si="2"/>
        <v>0</v>
      </c>
      <c r="L56">
        <f t="shared" si="3"/>
        <v>0</v>
      </c>
    </row>
    <row r="57" spans="1:12" x14ac:dyDescent="0.25">
      <c r="A57">
        <v>1721</v>
      </c>
      <c r="B57" t="s">
        <v>15</v>
      </c>
      <c r="C57" t="s">
        <v>112</v>
      </c>
      <c r="D57" t="s">
        <v>11</v>
      </c>
      <c r="J57">
        <f t="shared" si="2"/>
        <v>0</v>
      </c>
      <c r="L57">
        <f t="shared" si="3"/>
        <v>0</v>
      </c>
    </row>
    <row r="58" spans="1:12" x14ac:dyDescent="0.25">
      <c r="A58">
        <v>1721</v>
      </c>
      <c r="B58" t="s">
        <v>26</v>
      </c>
      <c r="C58" t="s">
        <v>112</v>
      </c>
      <c r="D58" t="s">
        <v>11</v>
      </c>
      <c r="J58">
        <f t="shared" si="2"/>
        <v>0</v>
      </c>
      <c r="L58">
        <f t="shared" si="3"/>
        <v>0</v>
      </c>
    </row>
    <row r="59" spans="1:12" x14ac:dyDescent="0.25">
      <c r="A59">
        <v>1721</v>
      </c>
      <c r="B59" t="s">
        <v>21</v>
      </c>
      <c r="C59" t="s">
        <v>112</v>
      </c>
      <c r="D59" t="s">
        <v>11</v>
      </c>
      <c r="J59">
        <f t="shared" si="2"/>
        <v>0</v>
      </c>
      <c r="L59">
        <f t="shared" si="3"/>
        <v>0</v>
      </c>
    </row>
    <row r="60" spans="1:12" x14ac:dyDescent="0.25">
      <c r="A60">
        <v>1721</v>
      </c>
      <c r="B60" t="s">
        <v>23</v>
      </c>
      <c r="C60" t="s">
        <v>112</v>
      </c>
      <c r="D60" t="s">
        <v>11</v>
      </c>
      <c r="J60">
        <f t="shared" si="2"/>
        <v>0</v>
      </c>
      <c r="L60">
        <f t="shared" si="3"/>
        <v>0</v>
      </c>
    </row>
    <row r="61" spans="1:12" x14ac:dyDescent="0.25">
      <c r="A61">
        <v>1721</v>
      </c>
      <c r="B61" t="s">
        <v>64</v>
      </c>
      <c r="C61" t="s">
        <v>112</v>
      </c>
      <c r="D61" t="s">
        <v>11</v>
      </c>
      <c r="J61">
        <f t="shared" si="2"/>
        <v>0</v>
      </c>
      <c r="L61">
        <f t="shared" si="3"/>
        <v>0</v>
      </c>
    </row>
    <row r="62" spans="1:12" x14ac:dyDescent="0.25">
      <c r="A62">
        <v>1721</v>
      </c>
      <c r="B62" t="s">
        <v>22</v>
      </c>
      <c r="C62" t="s">
        <v>112</v>
      </c>
      <c r="D62" t="s">
        <v>11</v>
      </c>
      <c r="J62">
        <f t="shared" si="2"/>
        <v>0</v>
      </c>
      <c r="L62">
        <f t="shared" si="3"/>
        <v>0</v>
      </c>
    </row>
    <row r="63" spans="1:12" x14ac:dyDescent="0.25">
      <c r="A63">
        <v>1721</v>
      </c>
      <c r="B63" t="s">
        <v>17</v>
      </c>
      <c r="C63" t="s">
        <v>112</v>
      </c>
      <c r="D63" t="s">
        <v>11</v>
      </c>
      <c r="J63">
        <f t="shared" si="2"/>
        <v>0</v>
      </c>
      <c r="L63">
        <f t="shared" si="3"/>
        <v>0</v>
      </c>
    </row>
    <row r="64" spans="1:12" x14ac:dyDescent="0.25">
      <c r="J64">
        <f t="shared" si="2"/>
        <v>0</v>
      </c>
      <c r="L64">
        <f t="shared" si="3"/>
        <v>0</v>
      </c>
    </row>
    <row r="65" spans="10:12" x14ac:dyDescent="0.25">
      <c r="J65">
        <f t="shared" ref="J65" si="4">(E65*2240)+(F65*112)+(G65*28)+H65</f>
        <v>0</v>
      </c>
      <c r="L65">
        <f t="shared" ref="L65" si="5">J65/2240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Master Goods Sheet</vt:lpstr>
      <vt:lpstr>Africa</vt:lpstr>
      <vt:lpstr>Canaries</vt:lpstr>
      <vt:lpstr>Antigua</vt:lpstr>
      <vt:lpstr>Barbados</vt:lpstr>
      <vt:lpstr>Bermuda</vt:lpstr>
      <vt:lpstr>Carolina</vt:lpstr>
      <vt:lpstr>Jamaica</vt:lpstr>
      <vt:lpstr>Mountserat</vt:lpstr>
      <vt:lpstr>Nevis</vt:lpstr>
      <vt:lpstr>St Kitts</vt:lpstr>
      <vt:lpstr>NewEngland</vt:lpstr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2024-09-24T19:25:05Z</dcterms:created>
  <dcterms:modified xsi:type="dcterms:W3CDTF">2025-04-29T19:05:07Z</dcterms:modified>
</cp:coreProperties>
</file>