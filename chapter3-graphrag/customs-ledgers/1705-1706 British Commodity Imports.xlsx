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05" documentId="8_{72E29DC7-C744-4268-9ECC-FA2B58BB7E1A}" xr6:coauthVersionLast="47" xr6:coauthVersionMax="47" xr10:uidLastSave="{5A9F9B79-9E66-4BFC-BFC7-C4AE94D4B43A}"/>
  <bookViews>
    <workbookView xWindow="-120" yWindow="-120" windowWidth="29040" windowHeight="15840" xr2:uid="{DA50CDB8-E080-44E0-917E-86E1EE5F77DD}"/>
  </bookViews>
  <sheets>
    <sheet name="Master Goods Sheet" sheetId="1" r:id="rId1"/>
    <sheet name="Antigua" sheetId="2" r:id="rId2"/>
    <sheet name="Barbados" sheetId="3" r:id="rId3"/>
    <sheet name="Bermuda" sheetId="4" r:id="rId4"/>
    <sheet name="Jamaica" sheetId="5" r:id="rId5"/>
    <sheet name="Mountserat" sheetId="6" r:id="rId6"/>
    <sheet name="Nevis" sheetId="7" r:id="rId7"/>
    <sheet name="St Kitts" sheetId="8" r:id="rId8"/>
  </sheets>
  <definedNames>
    <definedName name="_xlnm._FilterDatabase" localSheetId="1" hidden="1">Antigua!$A$1:$O$40</definedName>
    <definedName name="_xlnm._FilterDatabase" localSheetId="2" hidden="1">Barbados!$A$1:$L$58</definedName>
    <definedName name="_xlnm._FilterDatabase" localSheetId="4" hidden="1">Jamaica!$A$1:$L$64</definedName>
    <definedName name="_xlnm._FilterDatabase" localSheetId="5" hidden="1">Mountserat!$A$1:$L$28</definedName>
    <definedName name="_xlnm._FilterDatabase" localSheetId="6" hidden="1">Nevis!$A$1:$L$34</definedName>
    <definedName name="_xlnm._FilterDatabase" localSheetId="7" hidden="1">'St Kitts'!$A$1:$L$23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H6" i="7"/>
  <c r="H11" i="5"/>
  <c r="H13" i="3"/>
  <c r="H6" i="2"/>
  <c r="C3" i="1"/>
  <c r="C4" i="1"/>
  <c r="C23" i="1"/>
  <c r="C25" i="1"/>
  <c r="B4" i="1"/>
  <c r="B23" i="1"/>
  <c r="B25" i="1"/>
  <c r="B26" i="1"/>
  <c r="C2" i="1"/>
  <c r="J21" i="8"/>
  <c r="L21" i="8" s="1"/>
  <c r="J22" i="8"/>
  <c r="L22" i="8" s="1"/>
  <c r="J20" i="8"/>
  <c r="L20" i="8" s="1"/>
  <c r="J23" i="8"/>
  <c r="L23" i="8" s="1"/>
  <c r="J17" i="8"/>
  <c r="L17" i="8" s="1"/>
  <c r="J19" i="8"/>
  <c r="L19" i="8" s="1"/>
  <c r="J18" i="8"/>
  <c r="L18" i="8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L17" i="7" s="1"/>
  <c r="J18" i="7"/>
  <c r="L18" i="7" s="1"/>
  <c r="J19" i="7"/>
  <c r="L19" i="7" s="1"/>
  <c r="J20" i="7"/>
  <c r="L20" i="7" s="1"/>
  <c r="J21" i="7"/>
  <c r="L21" i="7" s="1"/>
  <c r="J22" i="7"/>
  <c r="L22" i="7" s="1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62" i="5"/>
  <c r="L62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63" i="5"/>
  <c r="L63" i="5" s="1"/>
  <c r="J46" i="5"/>
  <c r="L46" i="5" s="1"/>
  <c r="J47" i="5"/>
  <c r="L47" i="5" s="1"/>
  <c r="J48" i="5"/>
  <c r="L48" i="5" s="1"/>
  <c r="J64" i="5"/>
  <c r="L64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C26" i="1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54" i="3"/>
  <c r="L54" i="3" s="1"/>
  <c r="J53" i="3"/>
  <c r="L53" i="3" s="1"/>
  <c r="C24" i="1" s="1"/>
  <c r="J32" i="2"/>
  <c r="L32" i="2" s="1"/>
  <c r="J12" i="5"/>
  <c r="L12" i="5" s="1"/>
  <c r="J13" i="5"/>
  <c r="L13" i="5" s="1"/>
  <c r="J33" i="5"/>
  <c r="L33" i="5" s="1"/>
  <c r="J14" i="5"/>
  <c r="L14" i="5" s="1"/>
  <c r="J15" i="5"/>
  <c r="L15" i="5" s="1"/>
  <c r="J16" i="5"/>
  <c r="L16" i="5" s="1"/>
  <c r="J17" i="5"/>
  <c r="L17" i="5" s="1"/>
  <c r="J18" i="5"/>
  <c r="L18" i="5" s="1"/>
  <c r="J34" i="5"/>
  <c r="L34" i="5" s="1"/>
  <c r="J19" i="5"/>
  <c r="L19" i="5" s="1"/>
  <c r="J20" i="5"/>
  <c r="L20" i="5" s="1"/>
  <c r="J35" i="5"/>
  <c r="L35" i="5" s="1"/>
  <c r="J21" i="5"/>
  <c r="L21" i="5" s="1"/>
  <c r="J36" i="5"/>
  <c r="L36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3"/>
  <c r="L32" i="3" s="1"/>
  <c r="J6" i="3"/>
  <c r="L6" i="3" s="1"/>
  <c r="J7" i="3"/>
  <c r="L7" i="3" s="1"/>
  <c r="J8" i="3"/>
  <c r="L8" i="3" s="1"/>
  <c r="J38" i="3"/>
  <c r="L38" i="3" s="1"/>
  <c r="J28" i="3"/>
  <c r="L28" i="3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" i="2"/>
  <c r="L2" i="2" s="1"/>
  <c r="J13" i="8"/>
  <c r="L13" i="8" s="1"/>
  <c r="J12" i="8"/>
  <c r="L12" i="8" s="1"/>
  <c r="B15" i="1" s="1"/>
  <c r="J3" i="8"/>
  <c r="L3" i="8" s="1"/>
  <c r="J15" i="8"/>
  <c r="L15" i="8" s="1"/>
  <c r="J14" i="8"/>
  <c r="L14" i="8" s="1"/>
  <c r="J16" i="8"/>
  <c r="L16" i="8" s="1"/>
  <c r="J10" i="8"/>
  <c r="L10" i="8" s="1"/>
  <c r="J7" i="8"/>
  <c r="L7" i="8" s="1"/>
  <c r="J5" i="8"/>
  <c r="L5" i="8" s="1"/>
  <c r="J6" i="8"/>
  <c r="L6" i="8" s="1"/>
  <c r="J9" i="8"/>
  <c r="L9" i="8" s="1"/>
  <c r="J4" i="8"/>
  <c r="L4" i="8" s="1"/>
  <c r="J11" i="8"/>
  <c r="L11" i="8" s="1"/>
  <c r="J2" i="8"/>
  <c r="L2" i="8" s="1"/>
  <c r="J8" i="8"/>
  <c r="L8" i="8" s="1"/>
  <c r="J3" i="7"/>
  <c r="L3" i="7" s="1"/>
  <c r="J4" i="7"/>
  <c r="L4" i="7" s="1"/>
  <c r="J6" i="7"/>
  <c r="L6" i="7" s="1"/>
  <c r="J2" i="7"/>
  <c r="L2" i="7" s="1"/>
  <c r="J5" i="7"/>
  <c r="L5" i="7" s="1"/>
  <c r="J7" i="7"/>
  <c r="L7" i="7" s="1"/>
  <c r="J27" i="6"/>
  <c r="L27" i="6" s="1"/>
  <c r="J22" i="6"/>
  <c r="L22" i="6" s="1"/>
  <c r="J21" i="6"/>
  <c r="L21" i="6" s="1"/>
  <c r="J23" i="6"/>
  <c r="L23" i="6" s="1"/>
  <c r="J28" i="6"/>
  <c r="L28" i="6" s="1"/>
  <c r="J26" i="6"/>
  <c r="L26" i="6" s="1"/>
  <c r="J20" i="6"/>
  <c r="L20" i="6" s="1"/>
  <c r="J25" i="6"/>
  <c r="L25" i="6" s="1"/>
  <c r="J24" i="6"/>
  <c r="L24" i="6" s="1"/>
  <c r="J18" i="6"/>
  <c r="L18" i="6" s="1"/>
  <c r="J15" i="6"/>
  <c r="L15" i="6" s="1"/>
  <c r="J14" i="6"/>
  <c r="L14" i="6" s="1"/>
  <c r="J11" i="6"/>
  <c r="L11" i="6" s="1"/>
  <c r="J4" i="6"/>
  <c r="L4" i="6" s="1"/>
  <c r="J3" i="6"/>
  <c r="L3" i="6" s="1"/>
  <c r="J6" i="6"/>
  <c r="L6" i="6" s="1"/>
  <c r="J17" i="6"/>
  <c r="L17" i="6" s="1"/>
  <c r="J16" i="6"/>
  <c r="L16" i="6" s="1"/>
  <c r="J9" i="6"/>
  <c r="L9" i="6" s="1"/>
  <c r="J19" i="6"/>
  <c r="L19" i="6" s="1"/>
  <c r="J2" i="6"/>
  <c r="L2" i="6" s="1"/>
  <c r="J13" i="6"/>
  <c r="L13" i="6" s="1"/>
  <c r="J12" i="6"/>
  <c r="L12" i="6" s="1"/>
  <c r="J8" i="6"/>
  <c r="L8" i="6" s="1"/>
  <c r="J7" i="6"/>
  <c r="L7" i="6" s="1"/>
  <c r="J10" i="6"/>
  <c r="L10" i="6" s="1"/>
  <c r="J5" i="6"/>
  <c r="L5" i="6" s="1"/>
  <c r="J37" i="5"/>
  <c r="L37" i="5" s="1"/>
  <c r="J11" i="5"/>
  <c r="L11" i="5" s="1"/>
  <c r="J10" i="5"/>
  <c r="L10" i="5" s="1"/>
  <c r="J9" i="5"/>
  <c r="L9" i="5" s="1"/>
  <c r="J8" i="5"/>
  <c r="L8" i="5" s="1"/>
  <c r="J7" i="5"/>
  <c r="L7" i="5" s="1"/>
  <c r="J6" i="5"/>
  <c r="L6" i="5" s="1"/>
  <c r="J5" i="5"/>
  <c r="L5" i="5" s="1"/>
  <c r="J4" i="5"/>
  <c r="L4" i="5" s="1"/>
  <c r="J32" i="5"/>
  <c r="L32" i="5" s="1"/>
  <c r="J3" i="5"/>
  <c r="L3" i="5" s="1"/>
  <c r="J2" i="5"/>
  <c r="L2" i="5" s="1"/>
  <c r="J7" i="4"/>
  <c r="H7" i="4"/>
  <c r="H6" i="4"/>
  <c r="J6" i="4" s="1"/>
  <c r="H5" i="4"/>
  <c r="J5" i="4" s="1"/>
  <c r="H4" i="4"/>
  <c r="J4" i="4" s="1"/>
  <c r="H3" i="4"/>
  <c r="J3" i="4" s="1"/>
  <c r="H2" i="4"/>
  <c r="J2" i="4" s="1"/>
  <c r="J56" i="3"/>
  <c r="L56" i="3" s="1"/>
  <c r="J55" i="3"/>
  <c r="L55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C6" i="1" s="1"/>
  <c r="J39" i="3"/>
  <c r="L39" i="3" s="1"/>
  <c r="J30" i="3"/>
  <c r="L30" i="3" s="1"/>
  <c r="J17" i="3"/>
  <c r="L17" i="3" s="1"/>
  <c r="J26" i="3"/>
  <c r="L26" i="3" s="1"/>
  <c r="J4" i="3"/>
  <c r="L4" i="3" s="1"/>
  <c r="J18" i="3"/>
  <c r="L18" i="3" s="1"/>
  <c r="J35" i="3"/>
  <c r="L35" i="3" s="1"/>
  <c r="J20" i="3"/>
  <c r="L20" i="3" s="1"/>
  <c r="J34" i="3"/>
  <c r="L34" i="3" s="1"/>
  <c r="J33" i="3"/>
  <c r="L33" i="3" s="1"/>
  <c r="J31" i="3"/>
  <c r="L31" i="3" s="1"/>
  <c r="J29" i="3"/>
  <c r="L29" i="3" s="1"/>
  <c r="J25" i="3"/>
  <c r="L25" i="3" s="1"/>
  <c r="J24" i="3"/>
  <c r="L24" i="3" s="1"/>
  <c r="J23" i="3"/>
  <c r="L23" i="3" s="1"/>
  <c r="J27" i="3"/>
  <c r="L27" i="3" s="1"/>
  <c r="B16" i="1" s="1"/>
  <c r="J37" i="3"/>
  <c r="L37" i="3" s="1"/>
  <c r="J22" i="3"/>
  <c r="L22" i="3" s="1"/>
  <c r="J21" i="3"/>
  <c r="L21" i="3" s="1"/>
  <c r="J19" i="3"/>
  <c r="L19" i="3" s="1"/>
  <c r="J15" i="3"/>
  <c r="L15" i="3" s="1"/>
  <c r="J14" i="3"/>
  <c r="L14" i="3" s="1"/>
  <c r="J13" i="3"/>
  <c r="L13" i="3" s="1"/>
  <c r="J12" i="3"/>
  <c r="L12" i="3" s="1"/>
  <c r="J11" i="3"/>
  <c r="L11" i="3" s="1"/>
  <c r="J16" i="3"/>
  <c r="L16" i="3" s="1"/>
  <c r="J36" i="3"/>
  <c r="L36" i="3" s="1"/>
  <c r="J9" i="3"/>
  <c r="L9" i="3" s="1"/>
  <c r="J10" i="3"/>
  <c r="L10" i="3" s="1"/>
  <c r="J5" i="3"/>
  <c r="L5" i="3" s="1"/>
  <c r="J2" i="3"/>
  <c r="L2" i="3" s="1"/>
  <c r="J3" i="3"/>
  <c r="L3" i="3" s="1"/>
  <c r="J38" i="2"/>
  <c r="L38" i="2" s="1"/>
  <c r="J29" i="2"/>
  <c r="L29" i="2" s="1"/>
  <c r="J23" i="2"/>
  <c r="L23" i="2" s="1"/>
  <c r="J24" i="2"/>
  <c r="L24" i="2" s="1"/>
  <c r="J25" i="2"/>
  <c r="L25" i="2" s="1"/>
  <c r="J40" i="2"/>
  <c r="L40" i="2" s="1"/>
  <c r="J30" i="2"/>
  <c r="L30" i="2" s="1"/>
  <c r="J37" i="2"/>
  <c r="L37" i="2" s="1"/>
  <c r="C20" i="1" s="1"/>
  <c r="J36" i="2"/>
  <c r="L36" i="2" s="1"/>
  <c r="J35" i="2"/>
  <c r="L35" i="2" s="1"/>
  <c r="J27" i="2"/>
  <c r="L27" i="2" s="1"/>
  <c r="J34" i="2"/>
  <c r="L34" i="2" s="1"/>
  <c r="J39" i="2"/>
  <c r="L39" i="2" s="1"/>
  <c r="J22" i="2"/>
  <c r="L22" i="2" s="1"/>
  <c r="J31" i="2"/>
  <c r="L31" i="2" s="1"/>
  <c r="J33" i="2"/>
  <c r="L33" i="2" s="1"/>
  <c r="J26" i="2"/>
  <c r="L26" i="2" s="1"/>
  <c r="J28" i="2"/>
  <c r="L28" i="2" s="1"/>
  <c r="J5" i="2"/>
  <c r="L5" i="2" s="1"/>
  <c r="J12" i="2"/>
  <c r="L12" i="2" s="1"/>
  <c r="J4" i="2"/>
  <c r="L4" i="2" s="1"/>
  <c r="J6" i="2"/>
  <c r="L6" i="2" s="1"/>
  <c r="J13" i="2"/>
  <c r="L13" i="2" s="1"/>
  <c r="J11" i="2"/>
  <c r="L11" i="2" s="1"/>
  <c r="J10" i="2"/>
  <c r="L10" i="2" s="1"/>
  <c r="J9" i="2"/>
  <c r="L9" i="2" s="1"/>
  <c r="J21" i="2"/>
  <c r="J3" i="2"/>
  <c r="L3" i="2" s="1"/>
  <c r="B5" i="1" s="1"/>
  <c r="J14" i="2"/>
  <c r="L14" i="2" s="1"/>
  <c r="J7" i="2"/>
  <c r="L7" i="2" s="1"/>
  <c r="B9" i="1" s="1"/>
  <c r="J8" i="2"/>
  <c r="L8" i="2" s="1"/>
  <c r="B3" i="1" l="1"/>
  <c r="B21" i="1"/>
  <c r="C10" i="1"/>
  <c r="B6" i="1"/>
  <c r="B7" i="1"/>
  <c r="C15" i="1"/>
  <c r="B12" i="1"/>
  <c r="B27" i="1"/>
  <c r="B20" i="1"/>
  <c r="C13" i="1"/>
  <c r="C21" i="1"/>
  <c r="B2" i="1"/>
  <c r="D2" i="1" s="1"/>
  <c r="C12" i="1"/>
  <c r="B24" i="1"/>
  <c r="D24" i="1" s="1"/>
  <c r="B19" i="1"/>
  <c r="C18" i="1"/>
  <c r="B18" i="1"/>
  <c r="B17" i="1"/>
  <c r="C7" i="1"/>
  <c r="B13" i="1"/>
  <c r="C9" i="1"/>
  <c r="C22" i="1"/>
  <c r="B10" i="1"/>
  <c r="C16" i="1"/>
  <c r="C14" i="1"/>
  <c r="C5" i="1"/>
  <c r="C17" i="1"/>
  <c r="B14" i="1"/>
  <c r="C11" i="1"/>
  <c r="C19" i="1"/>
  <c r="C27" i="1"/>
  <c r="B11" i="1"/>
  <c r="C8" i="1"/>
  <c r="B8" i="1"/>
  <c r="D26" i="1"/>
  <c r="L21" i="2"/>
  <c r="B22" i="1" s="1"/>
  <c r="D25" i="1"/>
  <c r="D4" i="1"/>
  <c r="D23" i="1"/>
  <c r="D3" i="1"/>
  <c r="D6" i="1" l="1"/>
  <c r="D20" i="1"/>
  <c r="D10" i="1"/>
  <c r="D14" i="1"/>
  <c r="D15" i="1"/>
  <c r="D19" i="1"/>
  <c r="D17" i="1"/>
  <c r="D11" i="1"/>
  <c r="D12" i="1"/>
  <c r="D16" i="1"/>
  <c r="D8" i="1"/>
  <c r="D5" i="1"/>
  <c r="D21" i="1"/>
  <c r="D18" i="1"/>
  <c r="D9" i="1"/>
  <c r="D13" i="1"/>
  <c r="D22" i="1"/>
  <c r="D7" i="1"/>
  <c r="D27" i="1"/>
</calcChain>
</file>

<file path=xl/sharedStrings.xml><?xml version="1.0" encoding="utf-8"?>
<sst xmlns="http://schemas.openxmlformats.org/spreadsheetml/2006/main" count="850" uniqueCount="102">
  <si>
    <t>Item</t>
  </si>
  <si>
    <t>Total London</t>
  </si>
  <si>
    <t>Total Outports</t>
  </si>
  <si>
    <t>Total</t>
  </si>
  <si>
    <t>Annatto</t>
  </si>
  <si>
    <t>Bees Wax</t>
  </si>
  <si>
    <t>Brandy</t>
  </si>
  <si>
    <t>Brown Sugar</t>
  </si>
  <si>
    <t>Cascarilla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</si>
  <si>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</si>
  <si>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</si>
  <si>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</si>
  <si>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</si>
  <si>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</si>
  <si>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</si>
  <si>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</si>
  <si>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</si>
  <si>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</si>
  <si>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</si>
  <si>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</si>
  <si>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</si>
  <si>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</si>
  <si>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</si>
  <si>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</si>
  <si>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</si>
  <si>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</si>
  <si>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</si>
  <si>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</si>
  <si>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Tea</t>
  </si>
  <si>
    <t>Sasparilla</t>
  </si>
  <si>
    <t>Madera Wine</t>
  </si>
  <si>
    <t>Items</t>
  </si>
  <si>
    <t>Import Location</t>
  </si>
  <si>
    <t>ton</t>
  </si>
  <si>
    <t>hh</t>
  </si>
  <si>
    <t>quarter</t>
  </si>
  <si>
    <t>lb</t>
  </si>
  <si>
    <t>Total Pounds</t>
  </si>
  <si>
    <t>Total Tons</t>
  </si>
  <si>
    <t>London</t>
  </si>
  <si>
    <t>Lemon Water</t>
  </si>
  <si>
    <t>Out Ports</t>
  </si>
  <si>
    <t>Cocoa</t>
  </si>
  <si>
    <t>Aloes Epatica</t>
  </si>
  <si>
    <t>Brazilia</t>
  </si>
  <si>
    <t>Cocheneal</t>
  </si>
  <si>
    <t>Green Ginger</t>
  </si>
  <si>
    <t>Cocoa Paste</t>
  </si>
  <si>
    <t>Oranges</t>
  </si>
  <si>
    <t>Barrel Staves</t>
  </si>
  <si>
    <t>Hemp</t>
  </si>
  <si>
    <t>Snuff</t>
  </si>
  <si>
    <t>Cocoa Wood</t>
  </si>
  <si>
    <t>Wool Vigonia</t>
  </si>
  <si>
    <t>Jamaica Roots</t>
  </si>
  <si>
    <t>Cortex Winteranus</t>
  </si>
  <si>
    <t>Elephants Teeth</t>
  </si>
  <si>
    <t>Pickles</t>
  </si>
  <si>
    <t>113 bags</t>
  </si>
  <si>
    <t>251g</t>
  </si>
  <si>
    <t>85g</t>
  </si>
  <si>
    <t>Brimstone</t>
  </si>
  <si>
    <t>Cassia Fistula</t>
  </si>
  <si>
    <t>14t 24.5g</t>
  </si>
  <si>
    <t>1070bag</t>
  </si>
  <si>
    <t>1672g</t>
  </si>
  <si>
    <t>12129.5g</t>
  </si>
  <si>
    <t>83g</t>
  </si>
  <si>
    <t>116bags</t>
  </si>
  <si>
    <t>Hypococania</t>
  </si>
  <si>
    <t>5523g</t>
  </si>
  <si>
    <t>902.5g</t>
  </si>
  <si>
    <t>75g</t>
  </si>
  <si>
    <t>13 bags</t>
  </si>
  <si>
    <t>16 bags</t>
  </si>
  <si>
    <t>306g</t>
  </si>
  <si>
    <t>81g</t>
  </si>
  <si>
    <t>807g</t>
  </si>
  <si>
    <t>231g</t>
  </si>
  <si>
    <t>90g</t>
  </si>
  <si>
    <t>3682g</t>
  </si>
  <si>
    <t>172.5g</t>
  </si>
  <si>
    <t>225g</t>
  </si>
  <si>
    <t>469g</t>
  </si>
  <si>
    <t>Guiney Grains</t>
  </si>
  <si>
    <t>YEAR</t>
  </si>
  <si>
    <t>COMMODITY_NAME</t>
  </si>
  <si>
    <t>FROM_LOCATION</t>
  </si>
  <si>
    <t>TO_LOCATION</t>
  </si>
  <si>
    <t>WEIGHT</t>
  </si>
  <si>
    <t>Antigua</t>
  </si>
  <si>
    <t>Barbados</t>
  </si>
  <si>
    <t>Jamaica</t>
  </si>
  <si>
    <t>Mountserat</t>
  </si>
  <si>
    <t>Nevis</t>
  </si>
  <si>
    <t>StKitts</t>
  </si>
  <si>
    <t>Succads</t>
  </si>
  <si>
    <t>Wood, Fustick</t>
  </si>
  <si>
    <t>Wood, Logwood</t>
  </si>
  <si>
    <t>Wood, Redwood</t>
  </si>
  <si>
    <t>Wood, Nicaragua</t>
  </si>
  <si>
    <t>Wood, Braziletto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</si>
</sst>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27"/>
  <sheetViews>
    <sheetView tabSelected="1" workbookViewId="0">
      <selection activeCell="D9" sqref="D9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 ca="1"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1.1160714285714286E-2</v>
      </c>
      <c r="C2">
        <f ca="1"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 ca="1">ROUND((B2+C2),2)</f>
        <v>0.01</v>
      </c>
    </row>
    <row r="3" spans="1:4" x14ac:dyDescent="0.25">
      <c r="A3" t="s">
        <v>5</v>
      </c>
      <c r="B3">
        <f ca="1"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</v>
      </c>
      <c r="C3">
        <f ca="1"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27" ca="1" si="0">ROUND((B3+C3),2)</f>
        <v>0</v>
      </c>
    </row>
    <row r="4" spans="1:4" x14ac:dyDescent="0.25">
      <c r="A4" t="s">
        <v>6</v>
      </c>
      <c r="B4">
        <f ca="1"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0</v>
      </c>
      <c r="C4">
        <f ca="1"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0</v>
      </c>
      <c r="D4">
        <f t="shared" ca="1" si="0"/>
        <v>0</v>
      </c>
    </row>
    <row r="5" spans="1:4" x14ac:dyDescent="0.25">
      <c r="A5" t="s">
        <v>7</v>
      </c>
      <c r="B5">
        <f ca="1"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12738.609765625</v>
      </c>
      <c r="C5">
        <f ca="1"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3343.1700892857143</v>
      </c>
      <c r="D5">
        <f t="shared" ca="1" si="0"/>
        <v>16081.78</v>
      </c>
    </row>
    <row r="6" spans="1:4" x14ac:dyDescent="0.25">
      <c r="A6" t="s">
        <v>9</v>
      </c>
      <c r="B6">
        <f ca="1"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2.5892857142857141E-2</v>
      </c>
      <c r="C6">
        <f ca="1"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7.1428571428571426E-3</v>
      </c>
      <c r="D6">
        <f t="shared" ca="1" si="0"/>
        <v>0.03</v>
      </c>
    </row>
    <row r="7" spans="1:4" x14ac:dyDescent="0.25">
      <c r="A7" t="s">
        <v>10</v>
      </c>
      <c r="B7">
        <f ca="1"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4.8823660714285717</v>
      </c>
      <c r="C7">
        <f ca="1"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2.5421316964285716</v>
      </c>
      <c r="D7">
        <f t="shared" ca="1" si="0"/>
        <v>7.42</v>
      </c>
    </row>
    <row r="8" spans="1:4" x14ac:dyDescent="0.25">
      <c r="A8" t="s">
        <v>11</v>
      </c>
      <c r="B8">
        <f ca="1"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117.23214285714286</v>
      </c>
      <c r="C8">
        <f ca="1"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45.961495535714285</v>
      </c>
      <c r="D8">
        <f t="shared" ca="1" si="0"/>
        <v>163.19</v>
      </c>
    </row>
    <row r="9" spans="1:4" x14ac:dyDescent="0.25">
      <c r="A9" t="s">
        <v>12</v>
      </c>
      <c r="B9">
        <f ca="1"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1280.4308035714287</v>
      </c>
      <c r="C9">
        <f ca="1"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168.61339285714286</v>
      </c>
      <c r="D9">
        <f t="shared" ca="1" si="0"/>
        <v>1449.04</v>
      </c>
    </row>
    <row r="10" spans="1:4" x14ac:dyDescent="0.25">
      <c r="A10" t="s">
        <v>13</v>
      </c>
      <c r="B10">
        <f ca="1"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4.7455357142857144</v>
      </c>
      <c r="C10">
        <f ca="1"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1.08125</v>
      </c>
      <c r="D10">
        <f t="shared" ca="1" si="0"/>
        <v>5.83</v>
      </c>
    </row>
    <row r="11" spans="1:4" x14ac:dyDescent="0.25">
      <c r="A11" t="s">
        <v>14</v>
      </c>
      <c r="B11">
        <f ca="1"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47.93035714285714</v>
      </c>
      <c r="C11">
        <f ca="1"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68.401562499999997</v>
      </c>
      <c r="D11">
        <f t="shared" ca="1" si="0"/>
        <v>116.33</v>
      </c>
    </row>
    <row r="12" spans="1:4" x14ac:dyDescent="0.25">
      <c r="A12" t="s">
        <v>15</v>
      </c>
      <c r="B12">
        <f ca="1"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85.946428571428569</v>
      </c>
      <c r="C12">
        <f ca="1"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7.1834821428571427</v>
      </c>
      <c r="D12">
        <f t="shared" ca="1" si="0"/>
        <v>93.13</v>
      </c>
    </row>
    <row r="13" spans="1:4" x14ac:dyDescent="0.25">
      <c r="A13" t="s">
        <v>16</v>
      </c>
      <c r="B13">
        <f ca="1"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33.886607142857144</v>
      </c>
      <c r="C13">
        <f ca="1"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24.731250000000003</v>
      </c>
      <c r="D13">
        <f t="shared" ca="1" si="0"/>
        <v>58.62</v>
      </c>
    </row>
    <row r="14" spans="1:4" x14ac:dyDescent="0.25">
      <c r="A14" t="s">
        <v>17</v>
      </c>
      <c r="B14">
        <f ca="1"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90.696875000000006</v>
      </c>
      <c r="C14">
        <f ca="1"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69.204547991071422</v>
      </c>
      <c r="D14">
        <f t="shared" ca="1" si="0"/>
        <v>159.9</v>
      </c>
    </row>
    <row r="15" spans="1:4" x14ac:dyDescent="0.25">
      <c r="A15" t="s">
        <v>18</v>
      </c>
      <c r="B15">
        <f ca="1"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43.783482142857139</v>
      </c>
      <c r="C15">
        <f ca="1"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29.54330357142857</v>
      </c>
      <c r="D15">
        <f t="shared" ca="1" si="0"/>
        <v>73.33</v>
      </c>
    </row>
    <row r="16" spans="1:4" x14ac:dyDescent="0.25">
      <c r="A16" t="s">
        <v>19</v>
      </c>
      <c r="B16">
        <f ca="1"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0</v>
      </c>
      <c r="C16">
        <f ca="1"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0</v>
      </c>
      <c r="D16">
        <f t="shared" ca="1" si="0"/>
        <v>0</v>
      </c>
    </row>
    <row r="17" spans="1:4" x14ac:dyDescent="0.25">
      <c r="A17" t="s">
        <v>20</v>
      </c>
      <c r="B17">
        <f ca="1"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59.100446428571423</v>
      </c>
      <c r="C17">
        <f ca="1"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2.1825892857142857</v>
      </c>
      <c r="D17">
        <f t="shared" ca="1" si="0"/>
        <v>61.28</v>
      </c>
    </row>
    <row r="18" spans="1:4" x14ac:dyDescent="0.25">
      <c r="A18" t="s">
        <v>21</v>
      </c>
      <c r="B18">
        <f ca="1"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4.0303571428571425</v>
      </c>
      <c r="C18">
        <f ca="1"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1.4066964285714285</v>
      </c>
      <c r="D18">
        <f t="shared" ca="1" si="0"/>
        <v>5.44</v>
      </c>
    </row>
    <row r="19" spans="1:4" x14ac:dyDescent="0.25">
      <c r="A19" t="s">
        <v>96</v>
      </c>
      <c r="B19">
        <f ca="1"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0.19687499999999999</v>
      </c>
      <c r="C19">
        <f ca="1"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0.19955357142857144</v>
      </c>
      <c r="D19">
        <f t="shared" ca="1" si="0"/>
        <v>0.4</v>
      </c>
    </row>
    <row r="20" spans="1:4" x14ac:dyDescent="0.25">
      <c r="A20" t="s">
        <v>22</v>
      </c>
      <c r="B20">
        <f ca="1"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116.89107142857142</v>
      </c>
      <c r="C20">
        <f ca="1"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0.12232142857142857</v>
      </c>
      <c r="D20">
        <f t="shared" ca="1" si="0"/>
        <v>117.01</v>
      </c>
    </row>
    <row r="21" spans="1:4" x14ac:dyDescent="0.25">
      <c r="A21" t="s">
        <v>23</v>
      </c>
      <c r="B21">
        <f ca="1"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0.39464285714285718</v>
      </c>
      <c r="C21">
        <f ca="1"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0.20044642857142858</v>
      </c>
      <c r="D21">
        <f t="shared" ca="1" si="0"/>
        <v>0.6</v>
      </c>
    </row>
    <row r="22" spans="1:4" x14ac:dyDescent="0.25">
      <c r="A22" t="s">
        <v>24</v>
      </c>
      <c r="B22">
        <f ca="1"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147.94508928571429</v>
      </c>
      <c r="C22">
        <f ca="1"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8.578125</v>
      </c>
      <c r="D22">
        <f t="shared" ca="1" si="0"/>
        <v>156.52000000000001</v>
      </c>
    </row>
    <row r="23" spans="1:4" x14ac:dyDescent="0.25">
      <c r="A23" t="s">
        <v>25</v>
      </c>
      <c r="B23">
        <f ca="1"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 ca="1"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ca="1" si="0"/>
        <v>0</v>
      </c>
    </row>
    <row r="24" spans="1:4" x14ac:dyDescent="0.25">
      <c r="A24" t="s">
        <v>26</v>
      </c>
      <c r="B24">
        <f ca="1"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2.5000000000000001E-2</v>
      </c>
      <c r="C24">
        <f ca="1"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9.464285714285714E-2</v>
      </c>
      <c r="D24">
        <f t="shared" ca="1" si="0"/>
        <v>0.12</v>
      </c>
    </row>
    <row r="25" spans="1:4" x14ac:dyDescent="0.25">
      <c r="A25" t="s">
        <v>27</v>
      </c>
      <c r="B25">
        <f ca="1"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</v>
      </c>
      <c r="C25">
        <f ca="1"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ca="1" si="0"/>
        <v>0</v>
      </c>
    </row>
    <row r="26" spans="1:4" x14ac:dyDescent="0.25">
      <c r="A26" t="s">
        <v>29</v>
      </c>
      <c r="B26">
        <f ca="1"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6.6415178571428575</v>
      </c>
      <c r="C26">
        <f ca="1"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0</v>
      </c>
      <c r="D26">
        <f t="shared" ca="1" si="0"/>
        <v>6.64</v>
      </c>
    </row>
    <row r="27" spans="1:4" x14ac:dyDescent="0.25">
      <c r="A27" t="s">
        <v>30</v>
      </c>
      <c r="B27">
        <f ca="1"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16.380357142857143</v>
      </c>
      <c r="C27">
        <f ca="1"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0.40535714285714286</v>
      </c>
      <c r="D27">
        <f t="shared" ca="1" si="0"/>
        <v>16.79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40"/>
  <sheetViews>
    <sheetView topLeftCell="A10" zoomScaleNormal="100" workbookViewId="0">
      <selection activeCell="H7" sqref="H7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89</v>
      </c>
      <c r="O1" s="1"/>
    </row>
    <row r="2" spans="1:15" x14ac:dyDescent="0.25">
      <c r="A2">
        <v>1706</v>
      </c>
      <c r="B2" t="s">
        <v>4</v>
      </c>
      <c r="C2" t="s">
        <v>90</v>
      </c>
      <c r="D2" t="s">
        <v>39</v>
      </c>
      <c r="J2">
        <f t="shared" ref="J2:J40" si="0">(E2*2240)+(F2*112)+(G2*28)+H2</f>
        <v>0</v>
      </c>
      <c r="L2">
        <f t="shared" ref="L2:L40" si="1">J2/2240</f>
        <v>0</v>
      </c>
    </row>
    <row r="3" spans="1:15" x14ac:dyDescent="0.25">
      <c r="A3">
        <v>1706</v>
      </c>
      <c r="B3" t="s">
        <v>7</v>
      </c>
      <c r="C3" t="s">
        <v>90</v>
      </c>
      <c r="D3" t="s">
        <v>39</v>
      </c>
      <c r="F3">
        <v>13338</v>
      </c>
      <c r="G3">
        <v>1</v>
      </c>
      <c r="H3">
        <v>9</v>
      </c>
      <c r="J3">
        <f t="shared" si="0"/>
        <v>1493893</v>
      </c>
      <c r="L3">
        <f t="shared" si="1"/>
        <v>666.91651785714282</v>
      </c>
    </row>
    <row r="4" spans="1:15" x14ac:dyDescent="0.25">
      <c r="A4">
        <v>1706</v>
      </c>
      <c r="B4" t="s">
        <v>9</v>
      </c>
      <c r="C4" t="s">
        <v>90</v>
      </c>
      <c r="D4" t="s">
        <v>39</v>
      </c>
      <c r="J4">
        <f t="shared" si="0"/>
        <v>0</v>
      </c>
      <c r="L4">
        <f t="shared" si="1"/>
        <v>0</v>
      </c>
    </row>
    <row r="5" spans="1:15" x14ac:dyDescent="0.25">
      <c r="A5">
        <v>1706</v>
      </c>
      <c r="B5" t="s">
        <v>10</v>
      </c>
      <c r="C5" t="s">
        <v>90</v>
      </c>
      <c r="D5" t="s">
        <v>39</v>
      </c>
      <c r="G5">
        <v>2</v>
      </c>
      <c r="H5">
        <v>4</v>
      </c>
      <c r="J5">
        <f t="shared" si="0"/>
        <v>60</v>
      </c>
      <c r="L5">
        <f t="shared" si="1"/>
        <v>2.6785714285714284E-2</v>
      </c>
    </row>
    <row r="6" spans="1:15" x14ac:dyDescent="0.25">
      <c r="A6">
        <v>1706</v>
      </c>
      <c r="B6" t="s">
        <v>11</v>
      </c>
      <c r="C6" t="s">
        <v>90</v>
      </c>
      <c r="D6" t="s">
        <v>39</v>
      </c>
      <c r="H6">
        <f>113*200</f>
        <v>22600</v>
      </c>
      <c r="I6" t="s">
        <v>58</v>
      </c>
      <c r="J6">
        <f t="shared" si="0"/>
        <v>22600</v>
      </c>
      <c r="L6">
        <f t="shared" si="1"/>
        <v>10.089285714285714</v>
      </c>
    </row>
    <row r="7" spans="1:15" x14ac:dyDescent="0.25">
      <c r="A7">
        <v>1706</v>
      </c>
      <c r="B7" t="s">
        <v>12</v>
      </c>
      <c r="C7" t="s">
        <v>90</v>
      </c>
      <c r="D7" t="s">
        <v>39</v>
      </c>
      <c r="F7">
        <v>1647</v>
      </c>
      <c r="H7">
        <v>5</v>
      </c>
      <c r="J7">
        <f t="shared" si="0"/>
        <v>184469</v>
      </c>
      <c r="L7">
        <f t="shared" si="1"/>
        <v>82.352232142857147</v>
      </c>
    </row>
    <row r="8" spans="1:15" x14ac:dyDescent="0.25">
      <c r="A8">
        <v>1706</v>
      </c>
      <c r="B8" t="s">
        <v>13</v>
      </c>
      <c r="C8" t="s">
        <v>90</v>
      </c>
      <c r="D8" t="s">
        <v>39</v>
      </c>
      <c r="J8">
        <f t="shared" si="0"/>
        <v>0</v>
      </c>
      <c r="L8">
        <f t="shared" si="1"/>
        <v>0</v>
      </c>
    </row>
    <row r="9" spans="1:15" x14ac:dyDescent="0.25">
      <c r="A9">
        <v>1706</v>
      </c>
      <c r="B9" t="s">
        <v>14</v>
      </c>
      <c r="C9" t="s">
        <v>90</v>
      </c>
      <c r="D9" t="s">
        <v>39</v>
      </c>
      <c r="H9">
        <v>5376</v>
      </c>
      <c r="J9">
        <f t="shared" si="0"/>
        <v>5376</v>
      </c>
      <c r="L9">
        <f t="shared" si="1"/>
        <v>2.4</v>
      </c>
    </row>
    <row r="10" spans="1:15" x14ac:dyDescent="0.25">
      <c r="A10">
        <v>1706</v>
      </c>
      <c r="B10" t="s">
        <v>40</v>
      </c>
      <c r="C10" t="s">
        <v>90</v>
      </c>
      <c r="D10" t="s">
        <v>39</v>
      </c>
      <c r="J10">
        <f t="shared" si="0"/>
        <v>0</v>
      </c>
      <c r="L10">
        <f t="shared" si="1"/>
        <v>0</v>
      </c>
    </row>
    <row r="11" spans="1:15" x14ac:dyDescent="0.25">
      <c r="A11">
        <v>1706</v>
      </c>
      <c r="B11" t="s">
        <v>15</v>
      </c>
      <c r="C11" t="s">
        <v>90</v>
      </c>
      <c r="D11" t="s">
        <v>39</v>
      </c>
      <c r="F11">
        <v>1473</v>
      </c>
      <c r="G11">
        <v>3</v>
      </c>
      <c r="H11">
        <v>27</v>
      </c>
      <c r="J11">
        <f t="shared" si="0"/>
        <v>165087</v>
      </c>
      <c r="L11">
        <f t="shared" si="1"/>
        <v>73.699553571428567</v>
      </c>
    </row>
    <row r="12" spans="1:15" x14ac:dyDescent="0.25">
      <c r="A12">
        <v>1706</v>
      </c>
      <c r="B12" t="s">
        <v>16</v>
      </c>
      <c r="C12" t="s">
        <v>90</v>
      </c>
      <c r="D12" t="s">
        <v>39</v>
      </c>
      <c r="H12">
        <v>2533</v>
      </c>
      <c r="I12" t="s">
        <v>59</v>
      </c>
      <c r="J12">
        <f t="shared" si="0"/>
        <v>2533</v>
      </c>
      <c r="L12">
        <f t="shared" si="1"/>
        <v>1.1308035714285714</v>
      </c>
    </row>
    <row r="13" spans="1:15" x14ac:dyDescent="0.25">
      <c r="A13">
        <v>1706</v>
      </c>
      <c r="B13" t="s">
        <v>30</v>
      </c>
      <c r="C13" t="s">
        <v>90</v>
      </c>
      <c r="D13" t="s">
        <v>39</v>
      </c>
      <c r="J13">
        <f t="shared" si="0"/>
        <v>0</v>
      </c>
      <c r="L13">
        <f t="shared" si="1"/>
        <v>0</v>
      </c>
    </row>
    <row r="14" spans="1:15" x14ac:dyDescent="0.25">
      <c r="A14">
        <v>1706</v>
      </c>
      <c r="B14" t="s">
        <v>17</v>
      </c>
      <c r="C14" t="s">
        <v>90</v>
      </c>
      <c r="D14" t="s">
        <v>39</v>
      </c>
      <c r="F14">
        <v>442</v>
      </c>
      <c r="G14">
        <v>3</v>
      </c>
      <c r="H14">
        <v>21</v>
      </c>
      <c r="J14">
        <f t="shared" si="0"/>
        <v>49609</v>
      </c>
      <c r="L14">
        <f t="shared" si="1"/>
        <v>22.146875000000001</v>
      </c>
    </row>
    <row r="15" spans="1:15" x14ac:dyDescent="0.25">
      <c r="A15">
        <v>1706</v>
      </c>
      <c r="B15" t="s">
        <v>20</v>
      </c>
      <c r="C15" t="s">
        <v>90</v>
      </c>
      <c r="D15" t="s">
        <v>39</v>
      </c>
      <c r="H15">
        <v>858</v>
      </c>
      <c r="I15" t="s">
        <v>60</v>
      </c>
      <c r="J15">
        <f t="shared" si="0"/>
        <v>858</v>
      </c>
      <c r="L15">
        <f t="shared" si="1"/>
        <v>0.38303571428571431</v>
      </c>
    </row>
    <row r="16" spans="1:15" x14ac:dyDescent="0.25">
      <c r="A16">
        <v>1706</v>
      </c>
      <c r="B16" t="s">
        <v>21</v>
      </c>
      <c r="C16" t="s">
        <v>90</v>
      </c>
      <c r="D16" t="s">
        <v>39</v>
      </c>
      <c r="F16">
        <v>5</v>
      </c>
      <c r="H16">
        <v>14</v>
      </c>
      <c r="J16">
        <f t="shared" si="0"/>
        <v>574</v>
      </c>
      <c r="L16">
        <f t="shared" si="1"/>
        <v>0.25624999999999998</v>
      </c>
    </row>
    <row r="17" spans="1:12" x14ac:dyDescent="0.25">
      <c r="A17">
        <v>1706</v>
      </c>
      <c r="B17" t="s">
        <v>96</v>
      </c>
      <c r="C17" t="s">
        <v>90</v>
      </c>
      <c r="D17" t="s">
        <v>39</v>
      </c>
      <c r="J17">
        <f t="shared" si="0"/>
        <v>0</v>
      </c>
      <c r="L17">
        <f t="shared" si="1"/>
        <v>0</v>
      </c>
    </row>
    <row r="18" spans="1:12" x14ac:dyDescent="0.25">
      <c r="A18">
        <v>1706</v>
      </c>
      <c r="B18" t="s">
        <v>26</v>
      </c>
      <c r="C18" t="s">
        <v>90</v>
      </c>
      <c r="D18" t="s">
        <v>39</v>
      </c>
      <c r="G18">
        <v>1</v>
      </c>
      <c r="J18">
        <f t="shared" si="0"/>
        <v>28</v>
      </c>
      <c r="L18">
        <f t="shared" si="1"/>
        <v>1.2500000000000001E-2</v>
      </c>
    </row>
    <row r="19" spans="1:12" x14ac:dyDescent="0.25">
      <c r="A19">
        <v>1706</v>
      </c>
      <c r="B19" t="s">
        <v>22</v>
      </c>
      <c r="C19" t="s">
        <v>90</v>
      </c>
      <c r="D19" t="s">
        <v>39</v>
      </c>
      <c r="J19">
        <f t="shared" si="0"/>
        <v>0</v>
      </c>
      <c r="L19">
        <f t="shared" si="1"/>
        <v>0</v>
      </c>
    </row>
    <row r="20" spans="1:12" x14ac:dyDescent="0.25">
      <c r="A20">
        <v>1706</v>
      </c>
      <c r="B20" t="s">
        <v>23</v>
      </c>
      <c r="C20" t="s">
        <v>90</v>
      </c>
      <c r="D20" t="s">
        <v>39</v>
      </c>
      <c r="J20">
        <f t="shared" si="0"/>
        <v>0</v>
      </c>
      <c r="L20">
        <f t="shared" si="1"/>
        <v>0</v>
      </c>
    </row>
    <row r="21" spans="1:12" x14ac:dyDescent="0.25">
      <c r="A21">
        <v>1706</v>
      </c>
      <c r="B21" t="s">
        <v>24</v>
      </c>
      <c r="C21" t="s">
        <v>90</v>
      </c>
      <c r="D21" t="s">
        <v>39</v>
      </c>
      <c r="F21">
        <v>62</v>
      </c>
      <c r="H21">
        <v>26</v>
      </c>
      <c r="J21">
        <f t="shared" si="0"/>
        <v>6970</v>
      </c>
      <c r="L21">
        <f t="shared" si="1"/>
        <v>3.1116071428571428</v>
      </c>
    </row>
    <row r="22" spans="1:12" x14ac:dyDescent="0.25">
      <c r="A22">
        <v>1706</v>
      </c>
      <c r="B22" t="s">
        <v>7</v>
      </c>
      <c r="C22" t="s">
        <v>90</v>
      </c>
      <c r="D22" t="s">
        <v>41</v>
      </c>
      <c r="F22">
        <v>4049</v>
      </c>
      <c r="H22">
        <v>23</v>
      </c>
      <c r="J22">
        <f t="shared" si="0"/>
        <v>453511</v>
      </c>
      <c r="L22">
        <f t="shared" si="1"/>
        <v>202.46026785714287</v>
      </c>
    </row>
    <row r="23" spans="1:12" x14ac:dyDescent="0.25">
      <c r="A23">
        <v>1706</v>
      </c>
      <c r="B23" t="s">
        <v>42</v>
      </c>
      <c r="C23" t="s">
        <v>90</v>
      </c>
      <c r="D23" t="s">
        <v>41</v>
      </c>
      <c r="J23">
        <f t="shared" si="0"/>
        <v>0</v>
      </c>
      <c r="L23">
        <f t="shared" si="1"/>
        <v>0</v>
      </c>
    </row>
    <row r="24" spans="1:12" x14ac:dyDescent="0.25">
      <c r="A24">
        <v>1706</v>
      </c>
      <c r="B24" t="s">
        <v>10</v>
      </c>
      <c r="C24" t="s">
        <v>90</v>
      </c>
      <c r="D24" t="s">
        <v>41</v>
      </c>
      <c r="F24">
        <v>3</v>
      </c>
      <c r="G24">
        <v>2</v>
      </c>
      <c r="H24">
        <v>7</v>
      </c>
      <c r="J24">
        <f t="shared" si="0"/>
        <v>399</v>
      </c>
      <c r="L24">
        <f t="shared" si="1"/>
        <v>0.17812500000000001</v>
      </c>
    </row>
    <row r="25" spans="1:12" x14ac:dyDescent="0.25">
      <c r="A25">
        <v>1706</v>
      </c>
      <c r="B25" t="s">
        <v>11</v>
      </c>
      <c r="C25" t="s">
        <v>90</v>
      </c>
      <c r="D25" t="s">
        <v>41</v>
      </c>
      <c r="H25">
        <v>18275</v>
      </c>
      <c r="J25">
        <f t="shared" si="0"/>
        <v>18275</v>
      </c>
      <c r="L25">
        <f t="shared" si="1"/>
        <v>8.1584821428571423</v>
      </c>
    </row>
    <row r="26" spans="1:12" x14ac:dyDescent="0.25">
      <c r="A26">
        <v>1706</v>
      </c>
      <c r="B26" t="s">
        <v>12</v>
      </c>
      <c r="C26" t="s">
        <v>90</v>
      </c>
      <c r="D26" t="s">
        <v>41</v>
      </c>
      <c r="F26">
        <v>219</v>
      </c>
      <c r="G26">
        <v>2</v>
      </c>
      <c r="H26">
        <v>15</v>
      </c>
      <c r="J26">
        <f t="shared" si="0"/>
        <v>24599</v>
      </c>
      <c r="L26">
        <f t="shared" si="1"/>
        <v>10.981696428571428</v>
      </c>
    </row>
    <row r="27" spans="1:12" x14ac:dyDescent="0.25">
      <c r="A27">
        <v>1706</v>
      </c>
      <c r="B27" t="s">
        <v>14</v>
      </c>
      <c r="C27" t="s">
        <v>90</v>
      </c>
      <c r="D27" t="s">
        <v>41</v>
      </c>
      <c r="H27">
        <v>3460</v>
      </c>
      <c r="J27">
        <f t="shared" si="0"/>
        <v>3460</v>
      </c>
      <c r="L27">
        <f t="shared" si="1"/>
        <v>1.5446428571428572</v>
      </c>
    </row>
    <row r="28" spans="1:12" x14ac:dyDescent="0.25">
      <c r="A28">
        <v>1706</v>
      </c>
      <c r="B28" t="s">
        <v>15</v>
      </c>
      <c r="C28" t="s">
        <v>90</v>
      </c>
      <c r="D28" t="s">
        <v>41</v>
      </c>
      <c r="F28">
        <v>73</v>
      </c>
      <c r="G28">
        <v>1</v>
      </c>
      <c r="J28">
        <f t="shared" si="0"/>
        <v>8204</v>
      </c>
      <c r="L28">
        <f t="shared" si="1"/>
        <v>3.6625000000000001</v>
      </c>
    </row>
    <row r="29" spans="1:12" x14ac:dyDescent="0.25">
      <c r="A29">
        <v>1706</v>
      </c>
      <c r="B29" t="s">
        <v>16</v>
      </c>
      <c r="C29" t="s">
        <v>90</v>
      </c>
      <c r="D29" t="s">
        <v>41</v>
      </c>
      <c r="H29">
        <v>3088</v>
      </c>
      <c r="I29" t="s">
        <v>75</v>
      </c>
      <c r="J29">
        <f t="shared" si="0"/>
        <v>3088</v>
      </c>
      <c r="L29">
        <f t="shared" si="1"/>
        <v>1.3785714285714286</v>
      </c>
    </row>
    <row r="30" spans="1:12" x14ac:dyDescent="0.25">
      <c r="A30">
        <v>1706</v>
      </c>
      <c r="B30" t="s">
        <v>30</v>
      </c>
      <c r="C30" t="s">
        <v>90</v>
      </c>
      <c r="D30" t="s">
        <v>41</v>
      </c>
      <c r="J30">
        <f t="shared" si="0"/>
        <v>0</v>
      </c>
      <c r="L30">
        <f t="shared" si="1"/>
        <v>0</v>
      </c>
    </row>
    <row r="31" spans="1:12" x14ac:dyDescent="0.25">
      <c r="A31">
        <v>1706</v>
      </c>
      <c r="B31" t="s">
        <v>17</v>
      </c>
      <c r="C31" t="s">
        <v>90</v>
      </c>
      <c r="D31" t="s">
        <v>41</v>
      </c>
      <c r="J31">
        <f t="shared" si="0"/>
        <v>0</v>
      </c>
      <c r="L31">
        <f t="shared" si="1"/>
        <v>0</v>
      </c>
    </row>
    <row r="32" spans="1:12" x14ac:dyDescent="0.25">
      <c r="A32">
        <v>1706</v>
      </c>
      <c r="B32" t="s">
        <v>18</v>
      </c>
      <c r="C32" t="s">
        <v>90</v>
      </c>
      <c r="D32" t="s">
        <v>41</v>
      </c>
      <c r="H32">
        <v>868</v>
      </c>
      <c r="J32">
        <f t="shared" si="0"/>
        <v>868</v>
      </c>
      <c r="L32">
        <f t="shared" si="1"/>
        <v>0.38750000000000001</v>
      </c>
    </row>
    <row r="33" spans="1:12" x14ac:dyDescent="0.25">
      <c r="A33">
        <v>1706</v>
      </c>
      <c r="B33" t="s">
        <v>19</v>
      </c>
      <c r="C33" t="s">
        <v>90</v>
      </c>
      <c r="D33" t="s">
        <v>41</v>
      </c>
      <c r="J33">
        <f t="shared" si="0"/>
        <v>0</v>
      </c>
      <c r="L33">
        <f t="shared" si="1"/>
        <v>0</v>
      </c>
    </row>
    <row r="34" spans="1:12" x14ac:dyDescent="0.25">
      <c r="A34">
        <v>1706</v>
      </c>
      <c r="B34" t="s">
        <v>20</v>
      </c>
      <c r="C34" t="s">
        <v>90</v>
      </c>
      <c r="D34" t="s">
        <v>41</v>
      </c>
      <c r="H34">
        <v>817</v>
      </c>
      <c r="I34" t="s">
        <v>76</v>
      </c>
      <c r="J34">
        <f t="shared" si="0"/>
        <v>817</v>
      </c>
      <c r="L34">
        <f t="shared" si="1"/>
        <v>0.36473214285714284</v>
      </c>
    </row>
    <row r="35" spans="1:12" x14ac:dyDescent="0.25">
      <c r="A35">
        <v>1706</v>
      </c>
      <c r="B35" t="s">
        <v>21</v>
      </c>
      <c r="C35" t="s">
        <v>90</v>
      </c>
      <c r="D35" t="s">
        <v>41</v>
      </c>
      <c r="J35">
        <f t="shared" si="0"/>
        <v>0</v>
      </c>
      <c r="L35">
        <f t="shared" si="1"/>
        <v>0</v>
      </c>
    </row>
    <row r="36" spans="1:12" x14ac:dyDescent="0.25">
      <c r="A36">
        <v>1706</v>
      </c>
      <c r="B36" t="s">
        <v>96</v>
      </c>
      <c r="C36" t="s">
        <v>90</v>
      </c>
      <c r="D36" t="s">
        <v>41</v>
      </c>
      <c r="H36">
        <v>16</v>
      </c>
      <c r="J36">
        <f t="shared" si="0"/>
        <v>16</v>
      </c>
      <c r="L36">
        <f t="shared" si="1"/>
        <v>7.1428571428571426E-3</v>
      </c>
    </row>
    <row r="37" spans="1:12" x14ac:dyDescent="0.25">
      <c r="A37">
        <v>1706</v>
      </c>
      <c r="B37" t="s">
        <v>22</v>
      </c>
      <c r="C37" t="s">
        <v>90</v>
      </c>
      <c r="D37" t="s">
        <v>41</v>
      </c>
      <c r="J37">
        <f t="shared" si="0"/>
        <v>0</v>
      </c>
      <c r="L37">
        <f t="shared" si="1"/>
        <v>0</v>
      </c>
    </row>
    <row r="38" spans="1:12" x14ac:dyDescent="0.25">
      <c r="A38">
        <v>1706</v>
      </c>
      <c r="B38" t="s">
        <v>23</v>
      </c>
      <c r="C38" t="s">
        <v>90</v>
      </c>
      <c r="D38" t="s">
        <v>41</v>
      </c>
      <c r="H38">
        <v>266</v>
      </c>
      <c r="J38">
        <f t="shared" si="0"/>
        <v>266</v>
      </c>
      <c r="L38">
        <f t="shared" si="1"/>
        <v>0.11874999999999999</v>
      </c>
    </row>
    <row r="39" spans="1:12" x14ac:dyDescent="0.25">
      <c r="A39">
        <v>1706</v>
      </c>
      <c r="B39" t="s">
        <v>24</v>
      </c>
      <c r="C39" t="s">
        <v>90</v>
      </c>
      <c r="D39" t="s">
        <v>41</v>
      </c>
      <c r="F39">
        <v>7</v>
      </c>
      <c r="H39">
        <v>6</v>
      </c>
      <c r="J39">
        <f t="shared" si="0"/>
        <v>790</v>
      </c>
      <c r="L39">
        <f t="shared" si="1"/>
        <v>0.35267857142857145</v>
      </c>
    </row>
    <row r="40" spans="1:12" x14ac:dyDescent="0.25">
      <c r="A40">
        <v>1706</v>
      </c>
      <c r="B40" t="s">
        <v>97</v>
      </c>
      <c r="C40" t="s">
        <v>90</v>
      </c>
      <c r="D40" t="s">
        <v>41</v>
      </c>
      <c r="J40">
        <f t="shared" si="0"/>
        <v>0</v>
      </c>
      <c r="L40">
        <f t="shared" si="1"/>
        <v>0</v>
      </c>
    </row>
  </sheetData>
  <autoFilter ref="A1:O40" xr:uid="{AE33741A-C4CD-4212-8E63-66DBAEEBDB55}">
    <sortState xmlns:xlrd2="http://schemas.microsoft.com/office/spreadsheetml/2017/richdata2" ref="A2:O40">
      <sortCondition ref="D1:D4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56"/>
  <sheetViews>
    <sheetView topLeftCell="A28" zoomScaleNormal="100" workbookViewId="0">
      <selection activeCell="H14" sqref="H1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  <col min="10" max="10" width="10.28515625" customWidth="1"/>
  </cols>
  <sheetData>
    <row r="1" spans="1:12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89</v>
      </c>
    </row>
    <row r="2" spans="1:12" x14ac:dyDescent="0.25">
      <c r="A2">
        <v>1706</v>
      </c>
      <c r="B2" t="s">
        <v>43</v>
      </c>
      <c r="C2" t="s">
        <v>91</v>
      </c>
      <c r="D2" t="s">
        <v>39</v>
      </c>
      <c r="H2">
        <v>6532</v>
      </c>
      <c r="J2">
        <f t="shared" ref="J2:J33" si="0">(E2*2240)+(F2*112)+(G2*28)+H2</f>
        <v>6532</v>
      </c>
      <c r="L2">
        <f t="shared" ref="L2:L33" si="1">J2/2240</f>
        <v>2.9160714285714286</v>
      </c>
    </row>
    <row r="3" spans="1:12" x14ac:dyDescent="0.25">
      <c r="A3">
        <v>1706</v>
      </c>
      <c r="B3" t="s">
        <v>4</v>
      </c>
      <c r="C3" t="s">
        <v>91</v>
      </c>
      <c r="D3" t="s">
        <v>39</v>
      </c>
      <c r="J3">
        <f t="shared" si="0"/>
        <v>0</v>
      </c>
      <c r="L3">
        <f t="shared" si="1"/>
        <v>0</v>
      </c>
    </row>
    <row r="4" spans="1:12" x14ac:dyDescent="0.25">
      <c r="A4">
        <v>1706</v>
      </c>
      <c r="B4" t="s">
        <v>49</v>
      </c>
      <c r="C4" t="s">
        <v>91</v>
      </c>
      <c r="D4" t="s">
        <v>39</v>
      </c>
      <c r="J4">
        <f t="shared" si="0"/>
        <v>0</v>
      </c>
      <c r="L4">
        <f t="shared" si="1"/>
        <v>0</v>
      </c>
    </row>
    <row r="5" spans="1:12" x14ac:dyDescent="0.25">
      <c r="A5">
        <v>1706</v>
      </c>
      <c r="B5" t="s">
        <v>44</v>
      </c>
      <c r="C5" t="s">
        <v>91</v>
      </c>
      <c r="D5" t="s">
        <v>39</v>
      </c>
      <c r="J5">
        <f t="shared" si="0"/>
        <v>0</v>
      </c>
      <c r="L5">
        <f t="shared" si="1"/>
        <v>0</v>
      </c>
    </row>
    <row r="6" spans="1:12" x14ac:dyDescent="0.25">
      <c r="A6">
        <v>1706</v>
      </c>
      <c r="B6" t="s">
        <v>61</v>
      </c>
      <c r="C6" t="s">
        <v>91</v>
      </c>
      <c r="D6" t="s">
        <v>39</v>
      </c>
      <c r="F6">
        <v>40</v>
      </c>
      <c r="J6">
        <f t="shared" si="0"/>
        <v>4480</v>
      </c>
      <c r="L6">
        <f t="shared" si="1"/>
        <v>2</v>
      </c>
    </row>
    <row r="7" spans="1:12" x14ac:dyDescent="0.25">
      <c r="A7">
        <v>1706</v>
      </c>
      <c r="B7" t="s">
        <v>7</v>
      </c>
      <c r="C7" t="s">
        <v>91</v>
      </c>
      <c r="D7" t="s">
        <v>39</v>
      </c>
      <c r="F7">
        <v>174980</v>
      </c>
      <c r="G7">
        <v>2</v>
      </c>
      <c r="H7">
        <v>3</v>
      </c>
      <c r="J7">
        <f t="shared" si="0"/>
        <v>19597819</v>
      </c>
      <c r="L7">
        <f t="shared" si="1"/>
        <v>8749.0263392857141</v>
      </c>
    </row>
    <row r="8" spans="1:12" x14ac:dyDescent="0.25">
      <c r="A8">
        <v>1706</v>
      </c>
      <c r="B8" t="s">
        <v>62</v>
      </c>
      <c r="C8" t="s">
        <v>91</v>
      </c>
      <c r="D8" t="s">
        <v>39</v>
      </c>
      <c r="H8">
        <v>1598</v>
      </c>
      <c r="J8">
        <f t="shared" si="0"/>
        <v>1598</v>
      </c>
      <c r="L8">
        <f t="shared" si="1"/>
        <v>0.71339285714285716</v>
      </c>
    </row>
    <row r="9" spans="1:12" x14ac:dyDescent="0.25">
      <c r="A9">
        <v>1706</v>
      </c>
      <c r="B9" t="s">
        <v>9</v>
      </c>
      <c r="C9" t="s">
        <v>91</v>
      </c>
      <c r="D9" t="s">
        <v>39</v>
      </c>
      <c r="H9">
        <v>39</v>
      </c>
      <c r="J9">
        <f t="shared" si="0"/>
        <v>39</v>
      </c>
      <c r="L9">
        <f t="shared" si="1"/>
        <v>1.7410714285714286E-2</v>
      </c>
    </row>
    <row r="10" spans="1:12" x14ac:dyDescent="0.25">
      <c r="A10">
        <v>1706</v>
      </c>
      <c r="B10" t="s">
        <v>45</v>
      </c>
      <c r="C10" t="s">
        <v>91</v>
      </c>
      <c r="D10" t="s">
        <v>39</v>
      </c>
      <c r="J10">
        <f t="shared" si="0"/>
        <v>0</v>
      </c>
      <c r="L10">
        <f t="shared" si="1"/>
        <v>0</v>
      </c>
    </row>
    <row r="11" spans="1:12" x14ac:dyDescent="0.25">
      <c r="A11">
        <v>1706</v>
      </c>
      <c r="B11" t="s">
        <v>10</v>
      </c>
      <c r="C11" t="s">
        <v>91</v>
      </c>
      <c r="D11" t="s">
        <v>39</v>
      </c>
      <c r="F11">
        <v>6</v>
      </c>
      <c r="G11">
        <v>2</v>
      </c>
      <c r="H11">
        <v>21</v>
      </c>
      <c r="J11">
        <f t="shared" si="0"/>
        <v>749</v>
      </c>
      <c r="L11">
        <f t="shared" si="1"/>
        <v>0.33437499999999998</v>
      </c>
    </row>
    <row r="12" spans="1:12" x14ac:dyDescent="0.25">
      <c r="A12">
        <v>1706</v>
      </c>
      <c r="B12" t="s">
        <v>47</v>
      </c>
      <c r="C12" t="s">
        <v>91</v>
      </c>
      <c r="D12" t="s">
        <v>39</v>
      </c>
      <c r="J12">
        <f t="shared" si="0"/>
        <v>0</v>
      </c>
      <c r="L12">
        <f t="shared" si="1"/>
        <v>0</v>
      </c>
    </row>
    <row r="13" spans="1:12" x14ac:dyDescent="0.25">
      <c r="A13">
        <v>1706</v>
      </c>
      <c r="B13" t="s">
        <v>11</v>
      </c>
      <c r="C13" t="s">
        <v>91</v>
      </c>
      <c r="D13" t="s">
        <v>39</v>
      </c>
      <c r="H13">
        <f>1070*200</f>
        <v>214000</v>
      </c>
      <c r="I13" t="s">
        <v>64</v>
      </c>
      <c r="J13">
        <f t="shared" si="0"/>
        <v>214000</v>
      </c>
      <c r="L13">
        <f t="shared" si="1"/>
        <v>95.535714285714292</v>
      </c>
    </row>
    <row r="14" spans="1:12" x14ac:dyDescent="0.25">
      <c r="A14">
        <v>1706</v>
      </c>
      <c r="B14" t="s">
        <v>12</v>
      </c>
      <c r="C14" t="s">
        <v>91</v>
      </c>
      <c r="D14" t="s">
        <v>39</v>
      </c>
      <c r="F14">
        <v>13287</v>
      </c>
      <c r="G14">
        <v>2</v>
      </c>
      <c r="H14">
        <v>14</v>
      </c>
      <c r="J14">
        <f t="shared" si="0"/>
        <v>1488214</v>
      </c>
      <c r="L14">
        <f t="shared" si="1"/>
        <v>664.38125000000002</v>
      </c>
    </row>
    <row r="15" spans="1:12" x14ac:dyDescent="0.25">
      <c r="A15">
        <v>1706</v>
      </c>
      <c r="B15" t="s">
        <v>13</v>
      </c>
      <c r="C15" t="s">
        <v>91</v>
      </c>
      <c r="D15" t="s">
        <v>39</v>
      </c>
      <c r="F15">
        <v>5</v>
      </c>
      <c r="G15">
        <v>1</v>
      </c>
      <c r="H15">
        <v>4</v>
      </c>
      <c r="J15">
        <f t="shared" si="0"/>
        <v>592</v>
      </c>
      <c r="L15">
        <f t="shared" si="1"/>
        <v>0.26428571428571429</v>
      </c>
    </row>
    <row r="16" spans="1:12" x14ac:dyDescent="0.25">
      <c r="A16">
        <v>1706</v>
      </c>
      <c r="B16" t="s">
        <v>46</v>
      </c>
      <c r="C16" t="s">
        <v>91</v>
      </c>
      <c r="D16" t="s">
        <v>39</v>
      </c>
      <c r="H16">
        <v>430</v>
      </c>
      <c r="J16">
        <f t="shared" si="0"/>
        <v>430</v>
      </c>
      <c r="L16">
        <f t="shared" si="1"/>
        <v>0.19196428571428573</v>
      </c>
    </row>
    <row r="17" spans="1:12" x14ac:dyDescent="0.25">
      <c r="A17">
        <v>1706</v>
      </c>
      <c r="B17" t="s">
        <v>50</v>
      </c>
      <c r="C17" t="s">
        <v>91</v>
      </c>
      <c r="D17" t="s">
        <v>39</v>
      </c>
      <c r="J17">
        <f t="shared" si="0"/>
        <v>0</v>
      </c>
      <c r="L17">
        <f t="shared" si="1"/>
        <v>0</v>
      </c>
    </row>
    <row r="18" spans="1:12" x14ac:dyDescent="0.25">
      <c r="A18">
        <v>1706</v>
      </c>
      <c r="B18" t="s">
        <v>14</v>
      </c>
      <c r="C18" t="s">
        <v>91</v>
      </c>
      <c r="D18" t="s">
        <v>39</v>
      </c>
      <c r="H18">
        <v>432</v>
      </c>
      <c r="J18">
        <f t="shared" si="0"/>
        <v>432</v>
      </c>
      <c r="L18">
        <f t="shared" si="1"/>
        <v>0.19285714285714287</v>
      </c>
    </row>
    <row r="19" spans="1:12" x14ac:dyDescent="0.25">
      <c r="A19">
        <v>1706</v>
      </c>
      <c r="B19" t="s">
        <v>40</v>
      </c>
      <c r="C19" t="s">
        <v>91</v>
      </c>
      <c r="D19" t="s">
        <v>39</v>
      </c>
      <c r="J19">
        <f t="shared" si="0"/>
        <v>0</v>
      </c>
      <c r="L19">
        <f t="shared" si="1"/>
        <v>0</v>
      </c>
    </row>
    <row r="20" spans="1:12" x14ac:dyDescent="0.25">
      <c r="A20">
        <v>1706</v>
      </c>
      <c r="B20" t="s">
        <v>15</v>
      </c>
      <c r="C20" t="s">
        <v>91</v>
      </c>
      <c r="D20" t="s">
        <v>39</v>
      </c>
      <c r="F20">
        <v>54</v>
      </c>
      <c r="G20">
        <v>2</v>
      </c>
      <c r="H20">
        <v>7</v>
      </c>
      <c r="J20">
        <f t="shared" si="0"/>
        <v>6111</v>
      </c>
      <c r="L20">
        <f t="shared" si="1"/>
        <v>2.7281249999999999</v>
      </c>
    </row>
    <row r="21" spans="1:12" x14ac:dyDescent="0.25">
      <c r="A21">
        <v>1706</v>
      </c>
      <c r="B21" t="s">
        <v>16</v>
      </c>
      <c r="C21" t="s">
        <v>91</v>
      </c>
      <c r="D21" t="s">
        <v>39</v>
      </c>
      <c r="H21">
        <v>16875</v>
      </c>
      <c r="I21" t="s">
        <v>65</v>
      </c>
      <c r="J21">
        <f t="shared" si="0"/>
        <v>16875</v>
      </c>
      <c r="L21">
        <f t="shared" si="1"/>
        <v>7.5334821428571432</v>
      </c>
    </row>
    <row r="22" spans="1:12" x14ac:dyDescent="0.25">
      <c r="A22">
        <v>1706</v>
      </c>
      <c r="B22" t="s">
        <v>25</v>
      </c>
      <c r="C22" t="s">
        <v>91</v>
      </c>
      <c r="D22" t="s">
        <v>39</v>
      </c>
      <c r="J22">
        <f t="shared" si="0"/>
        <v>0</v>
      </c>
      <c r="L22">
        <f t="shared" si="1"/>
        <v>0</v>
      </c>
    </row>
    <row r="23" spans="1:12" x14ac:dyDescent="0.25">
      <c r="A23">
        <v>1706</v>
      </c>
      <c r="B23" t="s">
        <v>30</v>
      </c>
      <c r="C23" t="s">
        <v>91</v>
      </c>
      <c r="D23" t="s">
        <v>39</v>
      </c>
      <c r="H23">
        <v>35854</v>
      </c>
      <c r="I23" t="s">
        <v>63</v>
      </c>
      <c r="J23">
        <f t="shared" si="0"/>
        <v>35854</v>
      </c>
      <c r="L23">
        <f t="shared" si="1"/>
        <v>16.006250000000001</v>
      </c>
    </row>
    <row r="24" spans="1:12" x14ac:dyDescent="0.25">
      <c r="A24">
        <v>1706</v>
      </c>
      <c r="B24" t="s">
        <v>17</v>
      </c>
      <c r="C24" t="s">
        <v>91</v>
      </c>
      <c r="D24" t="s">
        <v>39</v>
      </c>
      <c r="F24">
        <v>1368</v>
      </c>
      <c r="G24">
        <v>2</v>
      </c>
      <c r="J24">
        <f t="shared" si="0"/>
        <v>153272</v>
      </c>
      <c r="L24">
        <f t="shared" si="1"/>
        <v>68.424999999999997</v>
      </c>
    </row>
    <row r="25" spans="1:12" x14ac:dyDescent="0.25">
      <c r="A25">
        <v>1706</v>
      </c>
      <c r="B25" t="s">
        <v>48</v>
      </c>
      <c r="C25" t="s">
        <v>91</v>
      </c>
      <c r="D25" t="s">
        <v>39</v>
      </c>
      <c r="J25">
        <f t="shared" si="0"/>
        <v>0</v>
      </c>
      <c r="L25">
        <f t="shared" si="1"/>
        <v>0</v>
      </c>
    </row>
    <row r="26" spans="1:12" x14ac:dyDescent="0.25">
      <c r="A26">
        <v>1706</v>
      </c>
      <c r="B26" t="s">
        <v>18</v>
      </c>
      <c r="C26" t="s">
        <v>91</v>
      </c>
      <c r="D26" t="s">
        <v>39</v>
      </c>
      <c r="J26">
        <f t="shared" si="0"/>
        <v>0</v>
      </c>
      <c r="L26">
        <f t="shared" si="1"/>
        <v>0</v>
      </c>
    </row>
    <row r="27" spans="1:12" x14ac:dyDescent="0.25">
      <c r="A27">
        <v>1706</v>
      </c>
      <c r="B27" t="s">
        <v>19</v>
      </c>
      <c r="C27" t="s">
        <v>91</v>
      </c>
      <c r="D27" t="s">
        <v>39</v>
      </c>
      <c r="J27">
        <f t="shared" si="0"/>
        <v>0</v>
      </c>
      <c r="L27">
        <f t="shared" si="1"/>
        <v>0</v>
      </c>
    </row>
    <row r="28" spans="1:12" x14ac:dyDescent="0.25">
      <c r="A28">
        <v>1706</v>
      </c>
      <c r="B28" t="s">
        <v>20</v>
      </c>
      <c r="C28" t="s">
        <v>91</v>
      </c>
      <c r="D28" t="s">
        <v>39</v>
      </c>
      <c r="H28">
        <v>122418</v>
      </c>
      <c r="I28" t="s">
        <v>66</v>
      </c>
      <c r="J28">
        <f t="shared" si="0"/>
        <v>122418</v>
      </c>
      <c r="L28">
        <f t="shared" si="1"/>
        <v>54.650892857142857</v>
      </c>
    </row>
    <row r="29" spans="1:12" x14ac:dyDescent="0.25">
      <c r="A29">
        <v>1706</v>
      </c>
      <c r="B29" t="s">
        <v>21</v>
      </c>
      <c r="C29" t="s">
        <v>91</v>
      </c>
      <c r="D29" t="s">
        <v>39</v>
      </c>
      <c r="F29">
        <v>60</v>
      </c>
      <c r="G29">
        <v>3</v>
      </c>
      <c r="H29">
        <v>26</v>
      </c>
      <c r="J29">
        <f t="shared" si="0"/>
        <v>6830</v>
      </c>
      <c r="L29">
        <f t="shared" si="1"/>
        <v>3.0491071428571428</v>
      </c>
    </row>
    <row r="30" spans="1:12" x14ac:dyDescent="0.25">
      <c r="A30">
        <v>1706</v>
      </c>
      <c r="B30" t="s">
        <v>51</v>
      </c>
      <c r="C30" t="s">
        <v>91</v>
      </c>
      <c r="D30" t="s">
        <v>39</v>
      </c>
      <c r="J30">
        <f t="shared" si="0"/>
        <v>0</v>
      </c>
      <c r="L30">
        <f t="shared" si="1"/>
        <v>0</v>
      </c>
    </row>
    <row r="31" spans="1:12" x14ac:dyDescent="0.25">
      <c r="A31">
        <v>1706</v>
      </c>
      <c r="B31" t="s">
        <v>96</v>
      </c>
      <c r="C31" t="s">
        <v>91</v>
      </c>
      <c r="D31" t="s">
        <v>39</v>
      </c>
      <c r="J31">
        <f t="shared" si="0"/>
        <v>0</v>
      </c>
      <c r="L31">
        <f t="shared" si="1"/>
        <v>0</v>
      </c>
    </row>
    <row r="32" spans="1:12" x14ac:dyDescent="0.25">
      <c r="A32">
        <v>1706</v>
      </c>
      <c r="B32" t="s">
        <v>26</v>
      </c>
      <c r="C32" t="s">
        <v>91</v>
      </c>
      <c r="D32" t="s">
        <v>39</v>
      </c>
      <c r="G32">
        <v>1</v>
      </c>
      <c r="J32">
        <f t="shared" si="0"/>
        <v>28</v>
      </c>
      <c r="L32">
        <f t="shared" si="1"/>
        <v>1.2500000000000001E-2</v>
      </c>
    </row>
    <row r="33" spans="1:12" x14ac:dyDescent="0.25">
      <c r="A33">
        <v>1706</v>
      </c>
      <c r="B33" t="s">
        <v>22</v>
      </c>
      <c r="C33" t="s">
        <v>91</v>
      </c>
      <c r="D33" t="s">
        <v>39</v>
      </c>
      <c r="H33">
        <v>253000</v>
      </c>
      <c r="J33">
        <f t="shared" si="0"/>
        <v>253000</v>
      </c>
      <c r="L33">
        <f t="shared" si="1"/>
        <v>112.94642857142857</v>
      </c>
    </row>
    <row r="34" spans="1:12" x14ac:dyDescent="0.25">
      <c r="A34">
        <v>1706</v>
      </c>
      <c r="B34" t="s">
        <v>23</v>
      </c>
      <c r="C34" t="s">
        <v>91</v>
      </c>
      <c r="D34" t="s">
        <v>39</v>
      </c>
      <c r="H34">
        <v>30</v>
      </c>
      <c r="J34">
        <f t="shared" ref="J34:J56" si="2">(E34*2240)+(F34*112)+(G34*28)+H34</f>
        <v>30</v>
      </c>
      <c r="L34">
        <f t="shared" ref="L34:L56" si="3">J34/2240</f>
        <v>1.3392857142857142E-2</v>
      </c>
    </row>
    <row r="35" spans="1:12" x14ac:dyDescent="0.25">
      <c r="A35">
        <v>1706</v>
      </c>
      <c r="B35" t="s">
        <v>24</v>
      </c>
      <c r="C35" t="s">
        <v>91</v>
      </c>
      <c r="D35" t="s">
        <v>39</v>
      </c>
      <c r="F35">
        <v>2873</v>
      </c>
      <c r="G35">
        <v>1</v>
      </c>
      <c r="H35">
        <v>11</v>
      </c>
      <c r="J35">
        <f t="shared" si="2"/>
        <v>321815</v>
      </c>
      <c r="L35">
        <f t="shared" si="3"/>
        <v>143.66741071428572</v>
      </c>
    </row>
    <row r="36" spans="1:12" x14ac:dyDescent="0.25">
      <c r="A36">
        <v>1706</v>
      </c>
      <c r="B36" t="s">
        <v>97</v>
      </c>
      <c r="C36" t="s">
        <v>91</v>
      </c>
      <c r="D36" t="s">
        <v>39</v>
      </c>
      <c r="F36">
        <v>37</v>
      </c>
      <c r="J36">
        <f t="shared" si="2"/>
        <v>4144</v>
      </c>
      <c r="L36">
        <f t="shared" si="3"/>
        <v>1.85</v>
      </c>
    </row>
    <row r="37" spans="1:12" x14ac:dyDescent="0.25">
      <c r="A37">
        <v>1706</v>
      </c>
      <c r="B37" t="s">
        <v>98</v>
      </c>
      <c r="C37" t="s">
        <v>91</v>
      </c>
      <c r="D37" t="s">
        <v>39</v>
      </c>
      <c r="J37">
        <f t="shared" si="2"/>
        <v>0</v>
      </c>
      <c r="L37">
        <f t="shared" si="3"/>
        <v>0</v>
      </c>
    </row>
    <row r="38" spans="1:12" x14ac:dyDescent="0.25">
      <c r="A38">
        <v>1706</v>
      </c>
      <c r="B38" t="s">
        <v>99</v>
      </c>
      <c r="C38" t="s">
        <v>91</v>
      </c>
      <c r="D38" t="s">
        <v>39</v>
      </c>
      <c r="J38">
        <f t="shared" si="2"/>
        <v>0</v>
      </c>
      <c r="L38">
        <f t="shared" si="3"/>
        <v>0</v>
      </c>
    </row>
    <row r="39" spans="1:12" x14ac:dyDescent="0.25">
      <c r="A39">
        <v>1706</v>
      </c>
      <c r="B39" t="s">
        <v>7</v>
      </c>
      <c r="C39" t="s">
        <v>91</v>
      </c>
      <c r="D39" t="s">
        <v>41</v>
      </c>
      <c r="F39">
        <v>17914</v>
      </c>
      <c r="G39">
        <v>2</v>
      </c>
      <c r="H39">
        <v>8</v>
      </c>
      <c r="J39">
        <f t="shared" si="2"/>
        <v>2006432</v>
      </c>
      <c r="L39">
        <f t="shared" si="3"/>
        <v>895.7285714285714</v>
      </c>
    </row>
    <row r="40" spans="1:12" x14ac:dyDescent="0.25">
      <c r="A40">
        <v>1706</v>
      </c>
      <c r="B40" t="s">
        <v>9</v>
      </c>
      <c r="C40" t="s">
        <v>91</v>
      </c>
      <c r="D40" t="s">
        <v>41</v>
      </c>
      <c r="J40">
        <f t="shared" si="2"/>
        <v>0</v>
      </c>
      <c r="L40">
        <f t="shared" si="3"/>
        <v>0</v>
      </c>
    </row>
    <row r="41" spans="1:12" x14ac:dyDescent="0.25">
      <c r="A41">
        <v>1706</v>
      </c>
      <c r="B41" t="s">
        <v>10</v>
      </c>
      <c r="C41" t="s">
        <v>91</v>
      </c>
      <c r="D41" t="s">
        <v>41</v>
      </c>
      <c r="J41">
        <f t="shared" si="2"/>
        <v>0</v>
      </c>
      <c r="L41">
        <f t="shared" si="3"/>
        <v>0</v>
      </c>
    </row>
    <row r="42" spans="1:12" x14ac:dyDescent="0.25">
      <c r="A42">
        <v>1706</v>
      </c>
      <c r="B42" t="s">
        <v>11</v>
      </c>
      <c r="C42" t="s">
        <v>91</v>
      </c>
      <c r="D42" t="s">
        <v>41</v>
      </c>
      <c r="F42">
        <v>242</v>
      </c>
      <c r="G42">
        <v>3</v>
      </c>
      <c r="H42">
        <v>21</v>
      </c>
      <c r="J42">
        <f t="shared" si="2"/>
        <v>27209</v>
      </c>
      <c r="L42">
        <f t="shared" si="3"/>
        <v>12.146875</v>
      </c>
    </row>
    <row r="43" spans="1:12" x14ac:dyDescent="0.25">
      <c r="A43">
        <v>1706</v>
      </c>
      <c r="B43" t="s">
        <v>12</v>
      </c>
      <c r="C43" t="s">
        <v>91</v>
      </c>
      <c r="D43" t="s">
        <v>41</v>
      </c>
      <c r="F43">
        <v>952</v>
      </c>
      <c r="G43">
        <v>2</v>
      </c>
      <c r="H43">
        <v>24</v>
      </c>
      <c r="J43">
        <f t="shared" si="2"/>
        <v>106704</v>
      </c>
      <c r="L43">
        <f t="shared" si="3"/>
        <v>47.635714285714286</v>
      </c>
    </row>
    <row r="44" spans="1:12" x14ac:dyDescent="0.25">
      <c r="A44">
        <v>1706</v>
      </c>
      <c r="B44" t="s">
        <v>14</v>
      </c>
      <c r="C44" t="s">
        <v>91</v>
      </c>
      <c r="D44" t="s">
        <v>41</v>
      </c>
      <c r="J44">
        <f t="shared" si="2"/>
        <v>0</v>
      </c>
      <c r="L44">
        <f t="shared" si="3"/>
        <v>0</v>
      </c>
    </row>
    <row r="45" spans="1:12" x14ac:dyDescent="0.25">
      <c r="A45">
        <v>1706</v>
      </c>
      <c r="B45" t="s">
        <v>15</v>
      </c>
      <c r="C45" t="s">
        <v>91</v>
      </c>
      <c r="D45" t="s">
        <v>41</v>
      </c>
      <c r="J45">
        <f t="shared" si="2"/>
        <v>0</v>
      </c>
      <c r="L45">
        <f t="shared" si="3"/>
        <v>0</v>
      </c>
    </row>
    <row r="46" spans="1:12" x14ac:dyDescent="0.25">
      <c r="A46">
        <v>1706</v>
      </c>
      <c r="B46" t="s">
        <v>16</v>
      </c>
      <c r="C46" t="s">
        <v>91</v>
      </c>
      <c r="D46" t="s">
        <v>41</v>
      </c>
      <c r="H46">
        <v>8145</v>
      </c>
      <c r="I46" t="s">
        <v>77</v>
      </c>
      <c r="J46">
        <f t="shared" si="2"/>
        <v>8145</v>
      </c>
      <c r="L46">
        <f t="shared" si="3"/>
        <v>3.6361607142857144</v>
      </c>
    </row>
    <row r="47" spans="1:12" x14ac:dyDescent="0.25">
      <c r="A47">
        <v>1706</v>
      </c>
      <c r="B47" t="s">
        <v>30</v>
      </c>
      <c r="C47" t="s">
        <v>91</v>
      </c>
      <c r="D47" t="s">
        <v>41</v>
      </c>
      <c r="J47">
        <f t="shared" si="2"/>
        <v>0</v>
      </c>
      <c r="L47">
        <f t="shared" si="3"/>
        <v>0</v>
      </c>
    </row>
    <row r="48" spans="1:12" x14ac:dyDescent="0.25">
      <c r="A48">
        <v>1706</v>
      </c>
      <c r="B48" t="s">
        <v>17</v>
      </c>
      <c r="C48" t="s">
        <v>91</v>
      </c>
      <c r="D48" t="s">
        <v>41</v>
      </c>
      <c r="F48">
        <v>949</v>
      </c>
      <c r="G48">
        <v>2</v>
      </c>
      <c r="H48">
        <v>9</v>
      </c>
      <c r="J48">
        <f t="shared" si="2"/>
        <v>106353</v>
      </c>
      <c r="L48">
        <f t="shared" si="3"/>
        <v>47.479017857142857</v>
      </c>
    </row>
    <row r="49" spans="1:12" x14ac:dyDescent="0.25">
      <c r="A49">
        <v>1706</v>
      </c>
      <c r="B49" t="s">
        <v>19</v>
      </c>
      <c r="C49" t="s">
        <v>91</v>
      </c>
      <c r="D49" t="s">
        <v>41</v>
      </c>
      <c r="J49">
        <f t="shared" si="2"/>
        <v>0</v>
      </c>
      <c r="L49">
        <f t="shared" si="3"/>
        <v>0</v>
      </c>
    </row>
    <row r="50" spans="1:12" x14ac:dyDescent="0.25">
      <c r="A50">
        <v>1706</v>
      </c>
      <c r="B50" t="s">
        <v>20</v>
      </c>
      <c r="C50" t="s">
        <v>91</v>
      </c>
      <c r="D50" t="s">
        <v>41</v>
      </c>
      <c r="H50">
        <v>2331</v>
      </c>
      <c r="I50" t="s">
        <v>78</v>
      </c>
      <c r="J50">
        <f t="shared" si="2"/>
        <v>2331</v>
      </c>
      <c r="L50">
        <f t="shared" si="3"/>
        <v>1.0406249999999999</v>
      </c>
    </row>
    <row r="51" spans="1:12" x14ac:dyDescent="0.25">
      <c r="A51">
        <v>1706</v>
      </c>
      <c r="B51" t="s">
        <v>21</v>
      </c>
      <c r="C51" t="s">
        <v>91</v>
      </c>
      <c r="D51" t="s">
        <v>41</v>
      </c>
      <c r="J51">
        <f t="shared" si="2"/>
        <v>0</v>
      </c>
      <c r="L51">
        <f t="shared" si="3"/>
        <v>0</v>
      </c>
    </row>
    <row r="52" spans="1:12" x14ac:dyDescent="0.25">
      <c r="A52">
        <v>1706</v>
      </c>
      <c r="B52" t="s">
        <v>96</v>
      </c>
      <c r="C52" t="s">
        <v>91</v>
      </c>
      <c r="D52" t="s">
        <v>41</v>
      </c>
      <c r="H52">
        <v>113</v>
      </c>
      <c r="J52">
        <f t="shared" si="2"/>
        <v>113</v>
      </c>
      <c r="L52">
        <f t="shared" si="3"/>
        <v>5.0446428571428573E-2</v>
      </c>
    </row>
    <row r="53" spans="1:12" x14ac:dyDescent="0.25">
      <c r="A53">
        <v>1706</v>
      </c>
      <c r="B53" t="s">
        <v>26</v>
      </c>
      <c r="C53" t="s">
        <v>91</v>
      </c>
      <c r="D53" t="s">
        <v>41</v>
      </c>
      <c r="F53">
        <v>1</v>
      </c>
      <c r="G53">
        <v>3</v>
      </c>
      <c r="H53">
        <v>16</v>
      </c>
      <c r="J53">
        <f t="shared" si="2"/>
        <v>212</v>
      </c>
      <c r="L53">
        <f t="shared" si="3"/>
        <v>9.464285714285714E-2</v>
      </c>
    </row>
    <row r="54" spans="1:12" x14ac:dyDescent="0.25">
      <c r="A54">
        <v>1706</v>
      </c>
      <c r="B54" t="s">
        <v>22</v>
      </c>
      <c r="C54" t="s">
        <v>91</v>
      </c>
      <c r="D54" t="s">
        <v>41</v>
      </c>
      <c r="H54">
        <v>254</v>
      </c>
      <c r="J54">
        <f t="shared" si="2"/>
        <v>254</v>
      </c>
      <c r="L54">
        <f t="shared" si="3"/>
        <v>0.11339285714285714</v>
      </c>
    </row>
    <row r="55" spans="1:12" x14ac:dyDescent="0.25">
      <c r="A55">
        <v>1706</v>
      </c>
      <c r="B55" t="s">
        <v>23</v>
      </c>
      <c r="C55" t="s">
        <v>91</v>
      </c>
      <c r="D55" t="s">
        <v>41</v>
      </c>
      <c r="J55">
        <f t="shared" si="2"/>
        <v>0</v>
      </c>
      <c r="L55">
        <f t="shared" si="3"/>
        <v>0</v>
      </c>
    </row>
    <row r="56" spans="1:12" x14ac:dyDescent="0.25">
      <c r="A56">
        <v>1706</v>
      </c>
      <c r="B56" t="s">
        <v>24</v>
      </c>
      <c r="C56" t="s">
        <v>91</v>
      </c>
      <c r="D56" t="s">
        <v>41</v>
      </c>
      <c r="F56">
        <v>64</v>
      </c>
      <c r="G56">
        <v>2</v>
      </c>
      <c r="H56">
        <v>15</v>
      </c>
      <c r="J56">
        <f t="shared" si="2"/>
        <v>7239</v>
      </c>
      <c r="L56">
        <f t="shared" si="3"/>
        <v>3.2316964285714285</v>
      </c>
    </row>
  </sheetData>
  <autoFilter ref="A1:L58" xr:uid="{E8DEB8C4-5365-4995-8CB0-F02A292F01C2}">
    <sortState xmlns:xlrd2="http://schemas.microsoft.com/office/spreadsheetml/2017/richdata2" ref="A2:L58">
      <sortCondition ref="D1:D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J7"/>
  <sheetViews>
    <sheetView workbookViewId="0">
      <selection activeCell="F30" sqref="F30"/>
    </sheetView>
  </sheetViews>
  <sheetFormatPr defaultRowHeight="15" x14ac:dyDescent="0.25"/>
  <cols>
    <col min="1" max="1" width="17.140625" customWidth="1"/>
    <col min="2" max="2" width="13.5703125" customWidth="1"/>
    <col min="5" max="5" width="12.42578125" customWidth="1"/>
    <col min="6" max="6" width="13.85546875" customWidth="1"/>
  </cols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/>
      <c r="H1" s="1" t="s">
        <v>37</v>
      </c>
      <c r="I1" s="1"/>
      <c r="J1" s="1" t="s">
        <v>38</v>
      </c>
    </row>
    <row r="2" spans="1:10" x14ac:dyDescent="0.25">
      <c r="A2" t="s">
        <v>14</v>
      </c>
      <c r="B2" t="s">
        <v>41</v>
      </c>
      <c r="H2">
        <f t="shared" ref="H2:H3" si="0">(C2*2240)+(D2*112)+(E2*28)+F2</f>
        <v>0</v>
      </c>
      <c r="I2" s="1"/>
      <c r="J2">
        <f t="shared" ref="J2:J3" si="1">H2/2240</f>
        <v>0</v>
      </c>
    </row>
    <row r="3" spans="1:10" x14ac:dyDescent="0.25">
      <c r="A3" t="s">
        <v>98</v>
      </c>
      <c r="B3" t="s">
        <v>41</v>
      </c>
      <c r="H3">
        <f t="shared" si="0"/>
        <v>0</v>
      </c>
      <c r="I3" s="1"/>
      <c r="J3">
        <f t="shared" si="1"/>
        <v>0</v>
      </c>
    </row>
    <row r="4" spans="1:10" x14ac:dyDescent="0.25">
      <c r="A4" t="s">
        <v>21</v>
      </c>
      <c r="B4" t="s">
        <v>41</v>
      </c>
      <c r="H4">
        <f>(C4*2240)+(D4*112)+(E4*28)+F4</f>
        <v>0</v>
      </c>
      <c r="J4">
        <f>H4/2240</f>
        <v>0</v>
      </c>
    </row>
    <row r="5" spans="1:10" x14ac:dyDescent="0.25">
      <c r="A5" t="s">
        <v>96</v>
      </c>
      <c r="B5" t="s">
        <v>41</v>
      </c>
      <c r="H5">
        <f t="shared" ref="H5:H7" si="2">(C5*2240)+(D5*112)+(E5*28)+F5</f>
        <v>0</v>
      </c>
      <c r="J5">
        <f t="shared" ref="J5:J7" si="3">H5/2240</f>
        <v>0</v>
      </c>
    </row>
    <row r="6" spans="1:10" x14ac:dyDescent="0.25">
      <c r="A6" t="s">
        <v>11</v>
      </c>
      <c r="B6" t="s">
        <v>41</v>
      </c>
      <c r="H6">
        <f t="shared" si="2"/>
        <v>0</v>
      </c>
      <c r="J6">
        <f t="shared" si="3"/>
        <v>0</v>
      </c>
    </row>
    <row r="7" spans="1:10" x14ac:dyDescent="0.25">
      <c r="A7" t="s">
        <v>10</v>
      </c>
      <c r="B7" t="s">
        <v>41</v>
      </c>
      <c r="H7">
        <f t="shared" si="2"/>
        <v>0</v>
      </c>
      <c r="J7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64"/>
  <sheetViews>
    <sheetView topLeftCell="A4" zoomScaleNormal="100" workbookViewId="0">
      <selection activeCell="H12" sqref="H12"/>
    </sheetView>
  </sheetViews>
  <sheetFormatPr defaultRowHeight="15" x14ac:dyDescent="0.25"/>
  <cols>
    <col min="2" max="3" width="14.140625" customWidth="1"/>
  </cols>
  <sheetData>
    <row r="1" spans="1:12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89</v>
      </c>
    </row>
    <row r="2" spans="1:12" x14ac:dyDescent="0.25">
      <c r="A2">
        <v>1706</v>
      </c>
      <c r="B2" t="s">
        <v>4</v>
      </c>
      <c r="C2" t="s">
        <v>92</v>
      </c>
      <c r="D2" t="s">
        <v>39</v>
      </c>
      <c r="H2">
        <v>25</v>
      </c>
      <c r="J2">
        <f t="shared" ref="J2:J33" si="0">(E2*2240)+(F2*112)+(G2*28)+H2</f>
        <v>25</v>
      </c>
      <c r="L2">
        <f t="shared" ref="L2:L33" si="1">J2/2240</f>
        <v>1.1160714285714286E-2</v>
      </c>
    </row>
    <row r="3" spans="1:12" x14ac:dyDescent="0.25">
      <c r="A3">
        <v>1706</v>
      </c>
      <c r="B3" t="s">
        <v>5</v>
      </c>
      <c r="C3" t="s">
        <v>92</v>
      </c>
      <c r="D3" t="s">
        <v>39</v>
      </c>
      <c r="J3">
        <f t="shared" si="0"/>
        <v>0</v>
      </c>
      <c r="L3">
        <f t="shared" si="1"/>
        <v>0</v>
      </c>
    </row>
    <row r="4" spans="1:12" x14ac:dyDescent="0.25">
      <c r="A4">
        <v>1706</v>
      </c>
      <c r="B4" t="s">
        <v>7</v>
      </c>
      <c r="C4" t="s">
        <v>92</v>
      </c>
      <c r="D4" t="s">
        <v>39</v>
      </c>
      <c r="F4">
        <v>51010</v>
      </c>
      <c r="G4">
        <v>3</v>
      </c>
      <c r="H4">
        <v>21</v>
      </c>
      <c r="J4">
        <f t="shared" si="0"/>
        <v>5713225</v>
      </c>
      <c r="L4">
        <f t="shared" si="1"/>
        <v>2550.546875</v>
      </c>
    </row>
    <row r="5" spans="1:12" x14ac:dyDescent="0.25">
      <c r="A5">
        <v>1706</v>
      </c>
      <c r="B5" t="s">
        <v>8</v>
      </c>
      <c r="C5" t="s">
        <v>92</v>
      </c>
      <c r="D5" t="s">
        <v>39</v>
      </c>
      <c r="J5">
        <f t="shared" si="0"/>
        <v>0</v>
      </c>
      <c r="L5">
        <f t="shared" si="1"/>
        <v>0</v>
      </c>
    </row>
    <row r="6" spans="1:12" x14ac:dyDescent="0.25">
      <c r="A6">
        <v>1706</v>
      </c>
      <c r="B6" t="s">
        <v>9</v>
      </c>
      <c r="C6" t="s">
        <v>92</v>
      </c>
      <c r="D6" t="s">
        <v>39</v>
      </c>
      <c r="H6">
        <v>19</v>
      </c>
      <c r="J6">
        <f t="shared" si="0"/>
        <v>19</v>
      </c>
      <c r="L6">
        <f t="shared" si="1"/>
        <v>8.4821428571428565E-3</v>
      </c>
    </row>
    <row r="7" spans="1:12" x14ac:dyDescent="0.25">
      <c r="A7">
        <v>1706</v>
      </c>
      <c r="B7" t="s">
        <v>45</v>
      </c>
      <c r="C7" t="s">
        <v>92</v>
      </c>
      <c r="D7" t="s">
        <v>39</v>
      </c>
      <c r="J7">
        <f t="shared" si="0"/>
        <v>0</v>
      </c>
      <c r="L7">
        <f t="shared" si="1"/>
        <v>0</v>
      </c>
    </row>
    <row r="8" spans="1:12" x14ac:dyDescent="0.25">
      <c r="A8">
        <v>1706</v>
      </c>
      <c r="B8" t="s">
        <v>10</v>
      </c>
      <c r="C8" t="s">
        <v>92</v>
      </c>
      <c r="D8" t="s">
        <v>39</v>
      </c>
      <c r="F8">
        <v>77</v>
      </c>
      <c r="H8">
        <v>7</v>
      </c>
      <c r="J8">
        <f t="shared" si="0"/>
        <v>8631</v>
      </c>
      <c r="L8">
        <f t="shared" si="1"/>
        <v>3.8531249999999999</v>
      </c>
    </row>
    <row r="9" spans="1:12" x14ac:dyDescent="0.25">
      <c r="A9">
        <v>1706</v>
      </c>
      <c r="B9" t="s">
        <v>47</v>
      </c>
      <c r="C9" t="s">
        <v>92</v>
      </c>
      <c r="D9" t="s">
        <v>39</v>
      </c>
      <c r="H9">
        <v>22</v>
      </c>
      <c r="J9">
        <f t="shared" si="0"/>
        <v>22</v>
      </c>
      <c r="L9">
        <f t="shared" si="1"/>
        <v>9.8214285714285712E-3</v>
      </c>
    </row>
    <row r="10" spans="1:12" x14ac:dyDescent="0.25">
      <c r="A10">
        <v>1706</v>
      </c>
      <c r="B10" t="s">
        <v>52</v>
      </c>
      <c r="C10" t="s">
        <v>92</v>
      </c>
      <c r="D10" t="s">
        <v>39</v>
      </c>
      <c r="J10">
        <f t="shared" si="0"/>
        <v>0</v>
      </c>
      <c r="L10">
        <f t="shared" si="1"/>
        <v>0</v>
      </c>
    </row>
    <row r="11" spans="1:12" x14ac:dyDescent="0.25">
      <c r="A11">
        <v>1706</v>
      </c>
      <c r="B11" t="s">
        <v>11</v>
      </c>
      <c r="C11" t="s">
        <v>92</v>
      </c>
      <c r="D11" t="s">
        <v>39</v>
      </c>
      <c r="H11">
        <f>116*200</f>
        <v>23200</v>
      </c>
      <c r="I11" t="s">
        <v>68</v>
      </c>
      <c r="J11">
        <f t="shared" si="0"/>
        <v>23200</v>
      </c>
      <c r="L11">
        <f t="shared" si="1"/>
        <v>10.357142857142858</v>
      </c>
    </row>
    <row r="12" spans="1:12" x14ac:dyDescent="0.25">
      <c r="A12">
        <v>1706</v>
      </c>
      <c r="B12" t="s">
        <v>12</v>
      </c>
      <c r="C12" t="s">
        <v>92</v>
      </c>
      <c r="D12" t="s">
        <v>39</v>
      </c>
      <c r="F12">
        <v>10641</v>
      </c>
      <c r="G12">
        <v>2</v>
      </c>
      <c r="H12">
        <v>1</v>
      </c>
      <c r="J12">
        <f t="shared" si="0"/>
        <v>1191849</v>
      </c>
      <c r="L12">
        <f t="shared" si="1"/>
        <v>532.07544642857147</v>
      </c>
    </row>
    <row r="13" spans="1:12" x14ac:dyDescent="0.25">
      <c r="A13">
        <v>1706</v>
      </c>
      <c r="B13" t="s">
        <v>13</v>
      </c>
      <c r="C13" t="s">
        <v>92</v>
      </c>
      <c r="D13" t="s">
        <v>39</v>
      </c>
      <c r="F13">
        <v>78</v>
      </c>
      <c r="H13">
        <v>14</v>
      </c>
      <c r="J13">
        <f t="shared" si="0"/>
        <v>8750</v>
      </c>
      <c r="L13">
        <f t="shared" si="1"/>
        <v>3.90625</v>
      </c>
    </row>
    <row r="14" spans="1:12" x14ac:dyDescent="0.25">
      <c r="A14">
        <v>1706</v>
      </c>
      <c r="B14" t="s">
        <v>69</v>
      </c>
      <c r="C14" t="s">
        <v>92</v>
      </c>
      <c r="D14" t="s">
        <v>39</v>
      </c>
      <c r="H14">
        <v>311</v>
      </c>
      <c r="J14">
        <f t="shared" si="0"/>
        <v>311</v>
      </c>
      <c r="L14">
        <f t="shared" si="1"/>
        <v>0.13883928571428572</v>
      </c>
    </row>
    <row r="15" spans="1:12" x14ac:dyDescent="0.25">
      <c r="A15">
        <v>1706</v>
      </c>
      <c r="B15" t="s">
        <v>14</v>
      </c>
      <c r="C15" t="s">
        <v>92</v>
      </c>
      <c r="D15" t="s">
        <v>39</v>
      </c>
      <c r="H15">
        <v>100941</v>
      </c>
      <c r="J15">
        <f t="shared" si="0"/>
        <v>100941</v>
      </c>
      <c r="L15">
        <f t="shared" si="1"/>
        <v>45.062946428571429</v>
      </c>
    </row>
    <row r="16" spans="1:12" x14ac:dyDescent="0.25">
      <c r="A16">
        <v>1706</v>
      </c>
      <c r="B16" t="s">
        <v>54</v>
      </c>
      <c r="C16" t="s">
        <v>92</v>
      </c>
      <c r="D16" t="s">
        <v>39</v>
      </c>
      <c r="J16">
        <f t="shared" si="0"/>
        <v>0</v>
      </c>
      <c r="L16">
        <f t="shared" si="1"/>
        <v>0</v>
      </c>
    </row>
    <row r="17" spans="1:12" x14ac:dyDescent="0.25">
      <c r="A17">
        <v>1706</v>
      </c>
      <c r="B17" t="s">
        <v>15</v>
      </c>
      <c r="C17" t="s">
        <v>92</v>
      </c>
      <c r="D17" t="s">
        <v>39</v>
      </c>
      <c r="E17">
        <v>9</v>
      </c>
      <c r="F17">
        <v>10</v>
      </c>
      <c r="G17">
        <v>1</v>
      </c>
      <c r="H17">
        <v>14</v>
      </c>
      <c r="J17">
        <f t="shared" si="0"/>
        <v>21322</v>
      </c>
      <c r="L17">
        <f t="shared" si="1"/>
        <v>9.5187500000000007</v>
      </c>
    </row>
    <row r="18" spans="1:12" x14ac:dyDescent="0.25">
      <c r="A18">
        <v>1706</v>
      </c>
      <c r="B18" t="s">
        <v>16</v>
      </c>
      <c r="C18" t="s">
        <v>92</v>
      </c>
      <c r="D18" t="s">
        <v>39</v>
      </c>
      <c r="H18">
        <v>55741</v>
      </c>
      <c r="I18" t="s">
        <v>70</v>
      </c>
      <c r="J18">
        <f t="shared" si="0"/>
        <v>55741</v>
      </c>
      <c r="L18">
        <f t="shared" si="1"/>
        <v>24.884374999999999</v>
      </c>
    </row>
    <row r="19" spans="1:12" x14ac:dyDescent="0.25">
      <c r="A19">
        <v>1706</v>
      </c>
      <c r="B19" t="s">
        <v>30</v>
      </c>
      <c r="C19" t="s">
        <v>92</v>
      </c>
      <c r="D19" t="s">
        <v>39</v>
      </c>
      <c r="H19">
        <v>838</v>
      </c>
      <c r="I19" t="s">
        <v>67</v>
      </c>
      <c r="J19">
        <f t="shared" si="0"/>
        <v>838</v>
      </c>
      <c r="L19">
        <f t="shared" si="1"/>
        <v>0.37410714285714286</v>
      </c>
    </row>
    <row r="20" spans="1:12" x14ac:dyDescent="0.25">
      <c r="A20">
        <v>1706</v>
      </c>
      <c r="B20" t="s">
        <v>17</v>
      </c>
      <c r="C20" t="s">
        <v>92</v>
      </c>
      <c r="D20" t="s">
        <v>39</v>
      </c>
      <c r="J20">
        <f t="shared" si="0"/>
        <v>0</v>
      </c>
      <c r="L20">
        <f t="shared" si="1"/>
        <v>0</v>
      </c>
    </row>
    <row r="21" spans="1:12" x14ac:dyDescent="0.25">
      <c r="A21">
        <v>1706</v>
      </c>
      <c r="B21" t="s">
        <v>18</v>
      </c>
      <c r="C21" t="s">
        <v>92</v>
      </c>
      <c r="D21" t="s">
        <v>39</v>
      </c>
      <c r="H21">
        <v>95627</v>
      </c>
      <c r="J21">
        <f t="shared" si="0"/>
        <v>95627</v>
      </c>
      <c r="L21">
        <f t="shared" si="1"/>
        <v>42.690624999999997</v>
      </c>
    </row>
    <row r="22" spans="1:12" x14ac:dyDescent="0.25">
      <c r="A22">
        <v>1706</v>
      </c>
      <c r="B22" t="s">
        <v>19</v>
      </c>
      <c r="C22" t="s">
        <v>92</v>
      </c>
      <c r="D22" t="s">
        <v>39</v>
      </c>
      <c r="J22">
        <f t="shared" si="0"/>
        <v>0</v>
      </c>
      <c r="L22">
        <f t="shared" si="1"/>
        <v>0</v>
      </c>
    </row>
    <row r="23" spans="1:12" x14ac:dyDescent="0.25">
      <c r="A23">
        <v>1706</v>
      </c>
      <c r="B23" t="s">
        <v>20</v>
      </c>
      <c r="C23" t="s">
        <v>92</v>
      </c>
      <c r="D23" t="s">
        <v>39</v>
      </c>
      <c r="H23">
        <v>9109</v>
      </c>
      <c r="I23" t="s">
        <v>71</v>
      </c>
      <c r="J23">
        <f t="shared" si="0"/>
        <v>9109</v>
      </c>
      <c r="L23">
        <f t="shared" si="1"/>
        <v>4.0665178571428573</v>
      </c>
    </row>
    <row r="24" spans="1:12" x14ac:dyDescent="0.25">
      <c r="A24">
        <v>1706</v>
      </c>
      <c r="B24" t="s">
        <v>29</v>
      </c>
      <c r="C24" t="s">
        <v>92</v>
      </c>
      <c r="D24" t="s">
        <v>39</v>
      </c>
      <c r="H24">
        <v>14877</v>
      </c>
      <c r="J24">
        <f t="shared" si="0"/>
        <v>14877</v>
      </c>
      <c r="L24">
        <f t="shared" si="1"/>
        <v>6.6415178571428575</v>
      </c>
    </row>
    <row r="25" spans="1:12" x14ac:dyDescent="0.25">
      <c r="A25">
        <v>1706</v>
      </c>
      <c r="B25" t="s">
        <v>21</v>
      </c>
      <c r="C25" t="s">
        <v>92</v>
      </c>
      <c r="D25" t="s">
        <v>39</v>
      </c>
      <c r="F25">
        <v>14</v>
      </c>
      <c r="G25">
        <v>2</v>
      </c>
      <c r="J25">
        <f t="shared" si="0"/>
        <v>1624</v>
      </c>
      <c r="L25">
        <f t="shared" si="1"/>
        <v>0.72499999999999998</v>
      </c>
    </row>
    <row r="26" spans="1:12" x14ac:dyDescent="0.25">
      <c r="A26">
        <v>1706</v>
      </c>
      <c r="B26" t="s">
        <v>51</v>
      </c>
      <c r="C26" t="s">
        <v>92</v>
      </c>
      <c r="D26" t="s">
        <v>39</v>
      </c>
      <c r="J26">
        <f t="shared" si="0"/>
        <v>0</v>
      </c>
      <c r="L26">
        <f t="shared" si="1"/>
        <v>0</v>
      </c>
    </row>
    <row r="27" spans="1:12" x14ac:dyDescent="0.25">
      <c r="A27">
        <v>1706</v>
      </c>
      <c r="B27" t="s">
        <v>96</v>
      </c>
      <c r="C27" t="s">
        <v>92</v>
      </c>
      <c r="D27" t="s">
        <v>39</v>
      </c>
      <c r="H27">
        <v>312</v>
      </c>
      <c r="J27">
        <f t="shared" si="0"/>
        <v>312</v>
      </c>
      <c r="L27">
        <f t="shared" si="1"/>
        <v>0.13928571428571429</v>
      </c>
    </row>
    <row r="28" spans="1:12" x14ac:dyDescent="0.25">
      <c r="A28">
        <v>1706</v>
      </c>
      <c r="B28" t="s">
        <v>26</v>
      </c>
      <c r="C28" t="s">
        <v>92</v>
      </c>
      <c r="D28" t="s">
        <v>39</v>
      </c>
      <c r="J28">
        <f t="shared" si="0"/>
        <v>0</v>
      </c>
      <c r="L28">
        <f t="shared" si="1"/>
        <v>0</v>
      </c>
    </row>
    <row r="29" spans="1:12" x14ac:dyDescent="0.25">
      <c r="A29">
        <v>1706</v>
      </c>
      <c r="B29" t="s">
        <v>22</v>
      </c>
      <c r="C29" t="s">
        <v>92</v>
      </c>
      <c r="D29" t="s">
        <v>39</v>
      </c>
      <c r="H29">
        <v>8836</v>
      </c>
      <c r="J29">
        <f t="shared" si="0"/>
        <v>8836</v>
      </c>
      <c r="L29">
        <f t="shared" si="1"/>
        <v>3.9446428571428571</v>
      </c>
    </row>
    <row r="30" spans="1:12" x14ac:dyDescent="0.25">
      <c r="A30">
        <v>1706</v>
      </c>
      <c r="B30" t="s">
        <v>23</v>
      </c>
      <c r="C30" t="s">
        <v>92</v>
      </c>
      <c r="D30" t="s">
        <v>39</v>
      </c>
      <c r="H30">
        <v>765</v>
      </c>
      <c r="J30">
        <f t="shared" si="0"/>
        <v>765</v>
      </c>
      <c r="L30">
        <f t="shared" si="1"/>
        <v>0.34151785714285715</v>
      </c>
    </row>
    <row r="31" spans="1:12" x14ac:dyDescent="0.25">
      <c r="A31">
        <v>1706</v>
      </c>
      <c r="B31" t="s">
        <v>24</v>
      </c>
      <c r="C31" t="s">
        <v>92</v>
      </c>
      <c r="D31" t="s">
        <v>39</v>
      </c>
      <c r="F31">
        <v>13</v>
      </c>
      <c r="H31">
        <v>1</v>
      </c>
      <c r="J31">
        <f t="shared" si="0"/>
        <v>1457</v>
      </c>
      <c r="L31">
        <f t="shared" si="1"/>
        <v>0.65044642857142854</v>
      </c>
    </row>
    <row r="32" spans="1:12" x14ac:dyDescent="0.25">
      <c r="A32">
        <v>1706</v>
      </c>
      <c r="B32" t="s">
        <v>101</v>
      </c>
      <c r="C32" t="s">
        <v>92</v>
      </c>
      <c r="D32" t="s">
        <v>39</v>
      </c>
      <c r="F32">
        <v>10</v>
      </c>
      <c r="J32">
        <f t="shared" si="0"/>
        <v>1120</v>
      </c>
      <c r="L32">
        <f t="shared" si="1"/>
        <v>0.5</v>
      </c>
    </row>
    <row r="33" spans="1:12" x14ac:dyDescent="0.25">
      <c r="A33">
        <v>1706</v>
      </c>
      <c r="B33" t="s">
        <v>97</v>
      </c>
      <c r="C33" t="s">
        <v>92</v>
      </c>
      <c r="D33" t="s">
        <v>39</v>
      </c>
      <c r="F33">
        <v>2448</v>
      </c>
      <c r="H33">
        <v>15</v>
      </c>
      <c r="J33">
        <f t="shared" si="0"/>
        <v>274191</v>
      </c>
      <c r="L33">
        <f t="shared" si="1"/>
        <v>122.40669642857142</v>
      </c>
    </row>
    <row r="34" spans="1:12" x14ac:dyDescent="0.25">
      <c r="A34">
        <v>1706</v>
      </c>
      <c r="B34" t="s">
        <v>98</v>
      </c>
      <c r="C34" t="s">
        <v>92</v>
      </c>
      <c r="D34" t="s">
        <v>39</v>
      </c>
      <c r="E34">
        <v>100</v>
      </c>
      <c r="G34">
        <v>1</v>
      </c>
      <c r="H34">
        <v>7</v>
      </c>
      <c r="J34">
        <f t="shared" ref="J34:J64" si="2">(E34*2240)+(F34*112)+(G34*28)+H34</f>
        <v>224035</v>
      </c>
      <c r="L34">
        <f t="shared" ref="L34:L64" si="3">J34/2240</f>
        <v>100.015625</v>
      </c>
    </row>
    <row r="35" spans="1:12" x14ac:dyDescent="0.25">
      <c r="A35">
        <v>1706</v>
      </c>
      <c r="B35" t="s">
        <v>100</v>
      </c>
      <c r="C35" t="s">
        <v>92</v>
      </c>
      <c r="D35" t="s">
        <v>39</v>
      </c>
      <c r="E35">
        <v>8</v>
      </c>
      <c r="F35">
        <v>14</v>
      </c>
      <c r="J35">
        <f t="shared" si="2"/>
        <v>19488</v>
      </c>
      <c r="L35">
        <f t="shared" si="3"/>
        <v>8.6999999999999993</v>
      </c>
    </row>
    <row r="36" spans="1:12" x14ac:dyDescent="0.25">
      <c r="A36">
        <v>1706</v>
      </c>
      <c r="B36" t="s">
        <v>99</v>
      </c>
      <c r="C36" t="s">
        <v>92</v>
      </c>
      <c r="D36" t="s">
        <v>39</v>
      </c>
      <c r="E36">
        <v>2</v>
      </c>
      <c r="F36">
        <v>10</v>
      </c>
      <c r="G36">
        <v>2</v>
      </c>
      <c r="H36">
        <v>21</v>
      </c>
      <c r="J36">
        <f t="shared" si="2"/>
        <v>5677</v>
      </c>
      <c r="L36">
        <f t="shared" si="3"/>
        <v>2.5343749999999998</v>
      </c>
    </row>
    <row r="37" spans="1:12" x14ac:dyDescent="0.25">
      <c r="A37">
        <v>1706</v>
      </c>
      <c r="B37" t="s">
        <v>53</v>
      </c>
      <c r="C37" t="s">
        <v>92</v>
      </c>
      <c r="D37" t="s">
        <v>39</v>
      </c>
      <c r="J37">
        <f t="shared" si="2"/>
        <v>0</v>
      </c>
      <c r="L37">
        <f t="shared" si="3"/>
        <v>0</v>
      </c>
    </row>
    <row r="38" spans="1:12" x14ac:dyDescent="0.25">
      <c r="A38">
        <v>1706</v>
      </c>
      <c r="B38" t="s">
        <v>7</v>
      </c>
      <c r="C38" t="s">
        <v>92</v>
      </c>
      <c r="D38" t="s">
        <v>41</v>
      </c>
      <c r="F38">
        <v>31644</v>
      </c>
      <c r="G38">
        <v>3</v>
      </c>
      <c r="H38">
        <v>19</v>
      </c>
      <c r="J38">
        <f t="shared" si="2"/>
        <v>3544231</v>
      </c>
      <c r="L38">
        <f t="shared" si="3"/>
        <v>1582.2459821428572</v>
      </c>
    </row>
    <row r="39" spans="1:12" x14ac:dyDescent="0.25">
      <c r="A39">
        <v>1706</v>
      </c>
      <c r="B39" t="s">
        <v>9</v>
      </c>
      <c r="C39" t="s">
        <v>92</v>
      </c>
      <c r="D39" t="s">
        <v>41</v>
      </c>
      <c r="J39">
        <f t="shared" si="2"/>
        <v>0</v>
      </c>
      <c r="L39">
        <f t="shared" si="3"/>
        <v>0</v>
      </c>
    </row>
    <row r="40" spans="1:12" x14ac:dyDescent="0.25">
      <c r="A40">
        <v>1706</v>
      </c>
      <c r="B40" t="s">
        <v>10</v>
      </c>
      <c r="C40" t="s">
        <v>92</v>
      </c>
      <c r="D40" t="s">
        <v>41</v>
      </c>
      <c r="F40">
        <v>28</v>
      </c>
      <c r="G40">
        <v>1</v>
      </c>
      <c r="H40">
        <v>23</v>
      </c>
      <c r="J40">
        <f t="shared" si="2"/>
        <v>3187</v>
      </c>
      <c r="L40">
        <f t="shared" si="3"/>
        <v>1.4227678571428573</v>
      </c>
    </row>
    <row r="41" spans="1:12" x14ac:dyDescent="0.25">
      <c r="A41">
        <v>1706</v>
      </c>
      <c r="B41" t="s">
        <v>52</v>
      </c>
      <c r="C41" t="s">
        <v>92</v>
      </c>
      <c r="D41" t="s">
        <v>41</v>
      </c>
      <c r="J41">
        <f t="shared" si="2"/>
        <v>0</v>
      </c>
      <c r="L41">
        <f t="shared" si="3"/>
        <v>0</v>
      </c>
    </row>
    <row r="42" spans="1:12" x14ac:dyDescent="0.25">
      <c r="A42">
        <v>1706</v>
      </c>
      <c r="B42" t="s">
        <v>55</v>
      </c>
      <c r="C42" t="s">
        <v>92</v>
      </c>
      <c r="D42" t="s">
        <v>41</v>
      </c>
      <c r="J42">
        <f t="shared" si="2"/>
        <v>0</v>
      </c>
      <c r="L42">
        <f t="shared" si="3"/>
        <v>0</v>
      </c>
    </row>
    <row r="43" spans="1:12" x14ac:dyDescent="0.25">
      <c r="A43">
        <v>1706</v>
      </c>
      <c r="B43" t="s">
        <v>11</v>
      </c>
      <c r="C43" t="s">
        <v>92</v>
      </c>
      <c r="D43" t="s">
        <v>41</v>
      </c>
      <c r="F43">
        <v>494</v>
      </c>
      <c r="G43">
        <v>2</v>
      </c>
      <c r="H43">
        <v>23</v>
      </c>
      <c r="J43">
        <f t="shared" si="2"/>
        <v>55407</v>
      </c>
      <c r="L43">
        <f t="shared" si="3"/>
        <v>24.735267857142858</v>
      </c>
    </row>
    <row r="44" spans="1:12" x14ac:dyDescent="0.25">
      <c r="A44">
        <v>1706</v>
      </c>
      <c r="B44" t="s">
        <v>12</v>
      </c>
      <c r="C44" t="s">
        <v>92</v>
      </c>
      <c r="D44" t="s">
        <v>41</v>
      </c>
      <c r="F44">
        <v>2125</v>
      </c>
      <c r="G44">
        <v>3</v>
      </c>
      <c r="H44">
        <v>10</v>
      </c>
      <c r="J44">
        <f t="shared" si="2"/>
        <v>238094</v>
      </c>
      <c r="L44">
        <f t="shared" si="3"/>
        <v>106.29196428571429</v>
      </c>
    </row>
    <row r="45" spans="1:12" x14ac:dyDescent="0.25">
      <c r="A45">
        <v>1706</v>
      </c>
      <c r="B45" t="s">
        <v>13</v>
      </c>
      <c r="C45" t="s">
        <v>92</v>
      </c>
      <c r="D45" t="s">
        <v>41</v>
      </c>
      <c r="F45">
        <v>21</v>
      </c>
      <c r="G45">
        <v>2</v>
      </c>
      <c r="H45">
        <v>14</v>
      </c>
      <c r="J45">
        <f t="shared" si="2"/>
        <v>2422</v>
      </c>
      <c r="L45">
        <f t="shared" si="3"/>
        <v>1.08125</v>
      </c>
    </row>
    <row r="46" spans="1:12" x14ac:dyDescent="0.25">
      <c r="A46">
        <v>1706</v>
      </c>
      <c r="B46" t="s">
        <v>14</v>
      </c>
      <c r="C46" t="s">
        <v>92</v>
      </c>
      <c r="D46" t="s">
        <v>41</v>
      </c>
      <c r="H46">
        <v>139050</v>
      </c>
      <c r="J46">
        <f t="shared" si="2"/>
        <v>139050</v>
      </c>
      <c r="L46">
        <f t="shared" si="3"/>
        <v>62.075892857142854</v>
      </c>
    </row>
    <row r="47" spans="1:12" x14ac:dyDescent="0.25">
      <c r="A47">
        <v>1706</v>
      </c>
      <c r="B47" t="s">
        <v>15</v>
      </c>
      <c r="C47" t="s">
        <v>92</v>
      </c>
      <c r="D47" t="s">
        <v>41</v>
      </c>
      <c r="F47">
        <v>70</v>
      </c>
      <c r="G47">
        <v>1</v>
      </c>
      <c r="H47">
        <v>19</v>
      </c>
      <c r="J47">
        <f t="shared" si="2"/>
        <v>7887</v>
      </c>
      <c r="L47">
        <f t="shared" si="3"/>
        <v>3.5209821428571431</v>
      </c>
    </row>
    <row r="48" spans="1:12" x14ac:dyDescent="0.25">
      <c r="A48">
        <v>1706</v>
      </c>
      <c r="B48" t="s">
        <v>16</v>
      </c>
      <c r="C48" t="s">
        <v>92</v>
      </c>
      <c r="D48" t="s">
        <v>41</v>
      </c>
      <c r="H48">
        <v>37161</v>
      </c>
      <c r="I48" t="s">
        <v>80</v>
      </c>
      <c r="J48">
        <f t="shared" si="2"/>
        <v>37161</v>
      </c>
      <c r="L48">
        <f t="shared" si="3"/>
        <v>16.589732142857144</v>
      </c>
    </row>
    <row r="49" spans="1:12" x14ac:dyDescent="0.25">
      <c r="A49">
        <v>1706</v>
      </c>
      <c r="B49" t="s">
        <v>30</v>
      </c>
      <c r="C49" t="s">
        <v>92</v>
      </c>
      <c r="D49" t="s">
        <v>41</v>
      </c>
      <c r="H49">
        <v>908</v>
      </c>
      <c r="I49" t="s">
        <v>79</v>
      </c>
      <c r="J49">
        <f t="shared" si="2"/>
        <v>908</v>
      </c>
      <c r="L49">
        <f t="shared" si="3"/>
        <v>0.40535714285714286</v>
      </c>
    </row>
    <row r="50" spans="1:12" x14ac:dyDescent="0.25">
      <c r="A50">
        <v>1706</v>
      </c>
      <c r="B50" t="s">
        <v>17</v>
      </c>
      <c r="C50" t="s">
        <v>92</v>
      </c>
      <c r="D50" t="s">
        <v>41</v>
      </c>
      <c r="J50">
        <f t="shared" si="2"/>
        <v>0</v>
      </c>
      <c r="L50">
        <f t="shared" si="3"/>
        <v>0</v>
      </c>
    </row>
    <row r="51" spans="1:12" x14ac:dyDescent="0.25">
      <c r="A51">
        <v>1706</v>
      </c>
      <c r="B51" t="s">
        <v>18</v>
      </c>
      <c r="C51" t="s">
        <v>92</v>
      </c>
      <c r="D51" t="s">
        <v>41</v>
      </c>
      <c r="H51">
        <v>64644</v>
      </c>
      <c r="J51">
        <f t="shared" si="2"/>
        <v>64644</v>
      </c>
      <c r="L51">
        <f t="shared" si="3"/>
        <v>28.858928571428571</v>
      </c>
    </row>
    <row r="52" spans="1:12" x14ac:dyDescent="0.25">
      <c r="A52">
        <v>1706</v>
      </c>
      <c r="B52" t="s">
        <v>19</v>
      </c>
      <c r="C52" t="s">
        <v>92</v>
      </c>
      <c r="D52" t="s">
        <v>41</v>
      </c>
      <c r="J52">
        <f t="shared" si="2"/>
        <v>0</v>
      </c>
      <c r="L52">
        <f t="shared" si="3"/>
        <v>0</v>
      </c>
    </row>
    <row r="53" spans="1:12" x14ac:dyDescent="0.25">
      <c r="A53">
        <v>1706</v>
      </c>
      <c r="B53" t="s">
        <v>20</v>
      </c>
      <c r="C53" t="s">
        <v>92</v>
      </c>
      <c r="D53" t="s">
        <v>41</v>
      </c>
      <c r="H53">
        <v>1741</v>
      </c>
      <c r="I53" t="s">
        <v>81</v>
      </c>
      <c r="J53">
        <f t="shared" si="2"/>
        <v>1741</v>
      </c>
      <c r="L53">
        <f t="shared" si="3"/>
        <v>0.77723214285714282</v>
      </c>
    </row>
    <row r="54" spans="1:12" x14ac:dyDescent="0.25">
      <c r="A54">
        <v>1706</v>
      </c>
      <c r="B54" t="s">
        <v>29</v>
      </c>
      <c r="C54" t="s">
        <v>92</v>
      </c>
      <c r="D54" t="s">
        <v>41</v>
      </c>
      <c r="J54">
        <f t="shared" si="2"/>
        <v>0</v>
      </c>
      <c r="L54">
        <f t="shared" si="3"/>
        <v>0</v>
      </c>
    </row>
    <row r="55" spans="1:12" x14ac:dyDescent="0.25">
      <c r="A55">
        <v>1706</v>
      </c>
      <c r="B55" t="s">
        <v>21</v>
      </c>
      <c r="C55" t="s">
        <v>92</v>
      </c>
      <c r="D55" t="s">
        <v>41</v>
      </c>
      <c r="F55">
        <v>11</v>
      </c>
      <c r="H55">
        <v>15</v>
      </c>
      <c r="J55">
        <f t="shared" si="2"/>
        <v>1247</v>
      </c>
      <c r="L55">
        <f t="shared" si="3"/>
        <v>0.55669642857142854</v>
      </c>
    </row>
    <row r="56" spans="1:12" x14ac:dyDescent="0.25">
      <c r="A56">
        <v>1706</v>
      </c>
      <c r="B56" t="s">
        <v>51</v>
      </c>
      <c r="C56" t="s">
        <v>92</v>
      </c>
      <c r="D56" t="s">
        <v>41</v>
      </c>
      <c r="J56">
        <f t="shared" si="2"/>
        <v>0</v>
      </c>
      <c r="L56">
        <f t="shared" si="3"/>
        <v>0</v>
      </c>
    </row>
    <row r="57" spans="1:12" x14ac:dyDescent="0.25">
      <c r="A57">
        <v>1706</v>
      </c>
      <c r="B57" t="s">
        <v>96</v>
      </c>
      <c r="C57" t="s">
        <v>92</v>
      </c>
      <c r="D57" t="s">
        <v>41</v>
      </c>
      <c r="H57">
        <v>318</v>
      </c>
      <c r="J57">
        <f t="shared" si="2"/>
        <v>318</v>
      </c>
      <c r="L57">
        <f t="shared" si="3"/>
        <v>0.14196428571428571</v>
      </c>
    </row>
    <row r="58" spans="1:12" x14ac:dyDescent="0.25">
      <c r="A58">
        <v>1706</v>
      </c>
      <c r="B58" t="s">
        <v>28</v>
      </c>
      <c r="C58" t="s">
        <v>92</v>
      </c>
      <c r="D58" t="s">
        <v>41</v>
      </c>
      <c r="J58">
        <f t="shared" si="2"/>
        <v>0</v>
      </c>
      <c r="L58">
        <f t="shared" si="3"/>
        <v>0</v>
      </c>
    </row>
    <row r="59" spans="1:12" x14ac:dyDescent="0.25">
      <c r="A59">
        <v>1706</v>
      </c>
      <c r="B59" t="s">
        <v>22</v>
      </c>
      <c r="C59" t="s">
        <v>92</v>
      </c>
      <c r="D59" t="s">
        <v>41</v>
      </c>
      <c r="H59">
        <v>20</v>
      </c>
      <c r="J59">
        <f t="shared" si="2"/>
        <v>20</v>
      </c>
      <c r="L59">
        <f t="shared" si="3"/>
        <v>8.9285714285714281E-3</v>
      </c>
    </row>
    <row r="60" spans="1:12" x14ac:dyDescent="0.25">
      <c r="A60">
        <v>1706</v>
      </c>
      <c r="B60" t="s">
        <v>23</v>
      </c>
      <c r="C60" t="s">
        <v>92</v>
      </c>
      <c r="D60" t="s">
        <v>41</v>
      </c>
      <c r="H60">
        <v>183</v>
      </c>
      <c r="J60">
        <f t="shared" si="2"/>
        <v>183</v>
      </c>
      <c r="L60">
        <f t="shared" si="3"/>
        <v>8.1696428571428573E-2</v>
      </c>
    </row>
    <row r="61" spans="1:12" x14ac:dyDescent="0.25">
      <c r="A61">
        <v>1706</v>
      </c>
      <c r="B61" t="s">
        <v>24</v>
      </c>
      <c r="C61" t="s">
        <v>92</v>
      </c>
      <c r="D61" t="s">
        <v>41</v>
      </c>
      <c r="F61">
        <v>99</v>
      </c>
      <c r="G61">
        <v>3</v>
      </c>
      <c r="H61">
        <v>14</v>
      </c>
      <c r="J61">
        <f t="shared" si="2"/>
        <v>11186</v>
      </c>
      <c r="L61">
        <f t="shared" si="3"/>
        <v>4.9937500000000004</v>
      </c>
    </row>
    <row r="62" spans="1:12" x14ac:dyDescent="0.25">
      <c r="A62">
        <v>1706</v>
      </c>
      <c r="B62" t="s">
        <v>101</v>
      </c>
      <c r="C62" t="s">
        <v>92</v>
      </c>
      <c r="D62" t="s">
        <v>41</v>
      </c>
      <c r="E62">
        <v>5</v>
      </c>
      <c r="J62">
        <f t="shared" si="2"/>
        <v>11200</v>
      </c>
      <c r="L62">
        <f t="shared" si="3"/>
        <v>5</v>
      </c>
    </row>
    <row r="63" spans="1:12" x14ac:dyDescent="0.25">
      <c r="A63">
        <v>1706</v>
      </c>
      <c r="B63" t="s">
        <v>97</v>
      </c>
      <c r="C63" t="s">
        <v>92</v>
      </c>
      <c r="D63" t="s">
        <v>41</v>
      </c>
      <c r="E63">
        <v>145</v>
      </c>
      <c r="G63">
        <v>3</v>
      </c>
      <c r="H63">
        <v>22</v>
      </c>
      <c r="J63">
        <f t="shared" si="2"/>
        <v>324906</v>
      </c>
      <c r="L63">
        <f t="shared" si="3"/>
        <v>145.04732142857142</v>
      </c>
    </row>
    <row r="64" spans="1:12" x14ac:dyDescent="0.25">
      <c r="A64">
        <v>1706</v>
      </c>
      <c r="B64" t="s">
        <v>98</v>
      </c>
      <c r="C64" t="s">
        <v>92</v>
      </c>
      <c r="D64" t="s">
        <v>41</v>
      </c>
      <c r="F64">
        <v>169</v>
      </c>
      <c r="G64">
        <v>2</v>
      </c>
      <c r="H64">
        <v>16</v>
      </c>
      <c r="J64">
        <f t="shared" si="2"/>
        <v>19000</v>
      </c>
      <c r="L64">
        <f t="shared" si="3"/>
        <v>8.4821428571428577</v>
      </c>
    </row>
  </sheetData>
  <autoFilter ref="A1:L64" xr:uid="{F1CA30DD-B439-4D0D-A79E-805D40D33689}">
    <sortState xmlns:xlrd2="http://schemas.microsoft.com/office/spreadsheetml/2017/richdata2" ref="A2:L64">
      <sortCondition ref="D1:D6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28"/>
  <sheetViews>
    <sheetView zoomScaleNormal="100" workbookViewId="0">
      <selection activeCell="E12" sqref="E12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89</v>
      </c>
    </row>
    <row r="2" spans="1:12" x14ac:dyDescent="0.25">
      <c r="A2">
        <v>1706</v>
      </c>
      <c r="B2" t="s">
        <v>7</v>
      </c>
      <c r="C2" t="s">
        <v>93</v>
      </c>
      <c r="D2" t="s">
        <v>39</v>
      </c>
      <c r="F2">
        <v>2091</v>
      </c>
      <c r="G2">
        <v>2</v>
      </c>
      <c r="H2">
        <v>24</v>
      </c>
      <c r="J2">
        <f t="shared" ref="J2:J28" si="0">(E2*2240)+(F2*112)+(G2*28)+H2</f>
        <v>234272</v>
      </c>
      <c r="L2">
        <f t="shared" ref="L2:L28" si="1">J2/2240</f>
        <v>104.58571428571429</v>
      </c>
    </row>
    <row r="3" spans="1:12" x14ac:dyDescent="0.25">
      <c r="A3">
        <v>1706</v>
      </c>
      <c r="B3" t="s">
        <v>9</v>
      </c>
      <c r="C3" t="s">
        <v>93</v>
      </c>
      <c r="D3" t="s">
        <v>39</v>
      </c>
      <c r="J3">
        <f t="shared" si="0"/>
        <v>0</v>
      </c>
      <c r="L3">
        <f t="shared" si="1"/>
        <v>0</v>
      </c>
    </row>
    <row r="4" spans="1:12" x14ac:dyDescent="0.25">
      <c r="A4">
        <v>1706</v>
      </c>
      <c r="B4" t="s">
        <v>10</v>
      </c>
      <c r="C4" t="s">
        <v>93</v>
      </c>
      <c r="D4" t="s">
        <v>39</v>
      </c>
      <c r="J4">
        <f t="shared" si="0"/>
        <v>0</v>
      </c>
      <c r="L4">
        <f t="shared" si="1"/>
        <v>0</v>
      </c>
    </row>
    <row r="5" spans="1:12" x14ac:dyDescent="0.25">
      <c r="A5">
        <v>1706</v>
      </c>
      <c r="B5" t="s">
        <v>55</v>
      </c>
      <c r="C5" t="s">
        <v>93</v>
      </c>
      <c r="D5" t="s">
        <v>39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1706</v>
      </c>
      <c r="B6" t="s">
        <v>11</v>
      </c>
      <c r="C6" t="s">
        <v>93</v>
      </c>
      <c r="D6" t="s">
        <v>39</v>
      </c>
      <c r="J6">
        <f t="shared" si="0"/>
        <v>0</v>
      </c>
      <c r="L6">
        <f t="shared" si="1"/>
        <v>0</v>
      </c>
    </row>
    <row r="7" spans="1:12" x14ac:dyDescent="0.25">
      <c r="A7">
        <v>1706</v>
      </c>
      <c r="B7" t="s">
        <v>12</v>
      </c>
      <c r="C7" t="s">
        <v>93</v>
      </c>
      <c r="D7" t="s">
        <v>39</v>
      </c>
      <c r="F7">
        <v>32</v>
      </c>
      <c r="G7">
        <v>1</v>
      </c>
      <c r="H7">
        <v>21</v>
      </c>
      <c r="J7">
        <f t="shared" si="0"/>
        <v>3633</v>
      </c>
      <c r="L7">
        <f t="shared" si="1"/>
        <v>1.621875</v>
      </c>
    </row>
    <row r="8" spans="1:12" x14ac:dyDescent="0.25">
      <c r="A8">
        <v>1706</v>
      </c>
      <c r="B8" t="s">
        <v>56</v>
      </c>
      <c r="C8" t="s">
        <v>93</v>
      </c>
      <c r="D8" t="s">
        <v>39</v>
      </c>
      <c r="J8">
        <f t="shared" si="0"/>
        <v>0</v>
      </c>
      <c r="L8">
        <f t="shared" si="1"/>
        <v>0</v>
      </c>
    </row>
    <row r="9" spans="1:12" x14ac:dyDescent="0.25">
      <c r="A9">
        <v>1706</v>
      </c>
      <c r="B9" t="s">
        <v>14</v>
      </c>
      <c r="C9" t="s">
        <v>93</v>
      </c>
      <c r="D9" t="s">
        <v>39</v>
      </c>
      <c r="H9">
        <v>475</v>
      </c>
      <c r="J9">
        <f t="shared" si="0"/>
        <v>475</v>
      </c>
      <c r="L9">
        <f t="shared" si="1"/>
        <v>0.21205357142857142</v>
      </c>
    </row>
    <row r="10" spans="1:12" x14ac:dyDescent="0.25">
      <c r="A10">
        <v>1706</v>
      </c>
      <c r="B10" t="s">
        <v>15</v>
      </c>
      <c r="C10" t="s">
        <v>93</v>
      </c>
      <c r="D10" t="s">
        <v>39</v>
      </c>
      <c r="J10">
        <f t="shared" si="0"/>
        <v>0</v>
      </c>
      <c r="L10">
        <f t="shared" si="1"/>
        <v>0</v>
      </c>
    </row>
    <row r="11" spans="1:12" x14ac:dyDescent="0.25">
      <c r="A11">
        <v>1706</v>
      </c>
      <c r="B11" t="s">
        <v>16</v>
      </c>
      <c r="C11" t="s">
        <v>93</v>
      </c>
      <c r="D11" t="s">
        <v>39</v>
      </c>
      <c r="H11">
        <v>757</v>
      </c>
      <c r="I11" t="s">
        <v>72</v>
      </c>
      <c r="J11">
        <f t="shared" si="0"/>
        <v>757</v>
      </c>
      <c r="L11">
        <f t="shared" si="1"/>
        <v>0.33794642857142859</v>
      </c>
    </row>
    <row r="12" spans="1:12" x14ac:dyDescent="0.25">
      <c r="A12">
        <v>1706</v>
      </c>
      <c r="B12" t="s">
        <v>30</v>
      </c>
      <c r="C12" t="s">
        <v>93</v>
      </c>
      <c r="D12" t="s">
        <v>39</v>
      </c>
      <c r="J12">
        <f t="shared" si="0"/>
        <v>0</v>
      </c>
      <c r="L12">
        <f t="shared" si="1"/>
        <v>0</v>
      </c>
    </row>
    <row r="13" spans="1:12" x14ac:dyDescent="0.25">
      <c r="A13">
        <v>1706</v>
      </c>
      <c r="B13" t="s">
        <v>17</v>
      </c>
      <c r="C13" t="s">
        <v>93</v>
      </c>
      <c r="D13" t="s">
        <v>39</v>
      </c>
      <c r="F13">
        <v>2</v>
      </c>
      <c r="G13">
        <v>2</v>
      </c>
      <c r="J13">
        <f t="shared" si="0"/>
        <v>280</v>
      </c>
      <c r="L13">
        <f t="shared" si="1"/>
        <v>0.125</v>
      </c>
    </row>
    <row r="14" spans="1:12" x14ac:dyDescent="0.25">
      <c r="A14">
        <v>1706</v>
      </c>
      <c r="B14" t="s">
        <v>18</v>
      </c>
      <c r="C14" t="s">
        <v>93</v>
      </c>
      <c r="D14" t="s">
        <v>39</v>
      </c>
      <c r="H14">
        <v>2448</v>
      </c>
      <c r="J14">
        <f t="shared" si="0"/>
        <v>2448</v>
      </c>
      <c r="L14">
        <f t="shared" si="1"/>
        <v>1.0928571428571427</v>
      </c>
    </row>
    <row r="15" spans="1:12" x14ac:dyDescent="0.25">
      <c r="A15">
        <v>1706</v>
      </c>
      <c r="B15" t="s">
        <v>20</v>
      </c>
      <c r="C15" t="s">
        <v>93</v>
      </c>
      <c r="D15" t="s">
        <v>39</v>
      </c>
      <c r="J15">
        <f t="shared" si="0"/>
        <v>0</v>
      </c>
      <c r="L15">
        <f t="shared" si="1"/>
        <v>0</v>
      </c>
    </row>
    <row r="16" spans="1:12" x14ac:dyDescent="0.25">
      <c r="A16">
        <v>1706</v>
      </c>
      <c r="B16" t="s">
        <v>21</v>
      </c>
      <c r="C16" t="s">
        <v>93</v>
      </c>
      <c r="D16" t="s">
        <v>39</v>
      </c>
      <c r="J16">
        <f t="shared" si="0"/>
        <v>0</v>
      </c>
      <c r="L16">
        <f t="shared" si="1"/>
        <v>0</v>
      </c>
    </row>
    <row r="17" spans="1:12" x14ac:dyDescent="0.25">
      <c r="A17">
        <v>1706</v>
      </c>
      <c r="B17" t="s">
        <v>96</v>
      </c>
      <c r="C17" t="s">
        <v>93</v>
      </c>
      <c r="D17" t="s">
        <v>39</v>
      </c>
      <c r="J17">
        <f t="shared" si="0"/>
        <v>0</v>
      </c>
      <c r="L17">
        <f t="shared" si="1"/>
        <v>0</v>
      </c>
    </row>
    <row r="18" spans="1:12" x14ac:dyDescent="0.25">
      <c r="A18">
        <v>1706</v>
      </c>
      <c r="B18" t="s">
        <v>23</v>
      </c>
      <c r="C18" t="s">
        <v>93</v>
      </c>
      <c r="D18" t="s">
        <v>39</v>
      </c>
      <c r="J18">
        <f t="shared" si="0"/>
        <v>0</v>
      </c>
      <c r="L18">
        <f t="shared" si="1"/>
        <v>0</v>
      </c>
    </row>
    <row r="19" spans="1:12" x14ac:dyDescent="0.25">
      <c r="A19">
        <v>1706</v>
      </c>
      <c r="B19" t="s">
        <v>24</v>
      </c>
      <c r="C19" t="s">
        <v>93</v>
      </c>
      <c r="D19" t="s">
        <v>39</v>
      </c>
      <c r="J19">
        <f t="shared" si="0"/>
        <v>0</v>
      </c>
      <c r="L19">
        <f t="shared" si="1"/>
        <v>0</v>
      </c>
    </row>
    <row r="20" spans="1:12" x14ac:dyDescent="0.25">
      <c r="A20">
        <v>1706</v>
      </c>
      <c r="B20" t="s">
        <v>7</v>
      </c>
      <c r="C20" t="s">
        <v>93</v>
      </c>
      <c r="D20" t="s">
        <v>41</v>
      </c>
      <c r="F20">
        <v>6723</v>
      </c>
      <c r="G20">
        <v>2</v>
      </c>
      <c r="H20">
        <v>15</v>
      </c>
      <c r="J20">
        <f t="shared" si="0"/>
        <v>753047</v>
      </c>
      <c r="L20">
        <f t="shared" si="1"/>
        <v>336.18169642857146</v>
      </c>
    </row>
    <row r="21" spans="1:12" x14ac:dyDescent="0.25">
      <c r="A21">
        <v>1706</v>
      </c>
      <c r="B21" t="s">
        <v>42</v>
      </c>
      <c r="C21" t="s">
        <v>93</v>
      </c>
      <c r="D21" t="s">
        <v>41</v>
      </c>
      <c r="J21">
        <f t="shared" si="0"/>
        <v>0</v>
      </c>
      <c r="L21">
        <f t="shared" si="1"/>
        <v>0</v>
      </c>
    </row>
    <row r="22" spans="1:12" x14ac:dyDescent="0.25">
      <c r="A22">
        <v>1706</v>
      </c>
      <c r="B22" t="s">
        <v>10</v>
      </c>
      <c r="C22" t="s">
        <v>93</v>
      </c>
      <c r="D22" t="s">
        <v>41</v>
      </c>
      <c r="J22">
        <f t="shared" si="0"/>
        <v>0</v>
      </c>
      <c r="L22">
        <f t="shared" si="1"/>
        <v>0</v>
      </c>
    </row>
    <row r="23" spans="1:12" x14ac:dyDescent="0.25">
      <c r="A23">
        <v>1706</v>
      </c>
      <c r="B23" t="s">
        <v>11</v>
      </c>
      <c r="C23" t="s">
        <v>93</v>
      </c>
      <c r="D23" t="s">
        <v>41</v>
      </c>
      <c r="H23">
        <v>244</v>
      </c>
      <c r="J23">
        <f t="shared" si="0"/>
        <v>244</v>
      </c>
      <c r="L23">
        <f t="shared" si="1"/>
        <v>0.10892857142857143</v>
      </c>
    </row>
    <row r="24" spans="1:12" x14ac:dyDescent="0.25">
      <c r="A24">
        <v>1706</v>
      </c>
      <c r="B24" t="s">
        <v>12</v>
      </c>
      <c r="C24" t="s">
        <v>93</v>
      </c>
      <c r="D24" t="s">
        <v>41</v>
      </c>
      <c r="F24">
        <v>29</v>
      </c>
      <c r="H24">
        <v>9</v>
      </c>
      <c r="J24">
        <f t="shared" si="0"/>
        <v>3257</v>
      </c>
      <c r="L24">
        <f t="shared" si="1"/>
        <v>1.4540178571428573</v>
      </c>
    </row>
    <row r="25" spans="1:12" x14ac:dyDescent="0.25">
      <c r="A25">
        <v>1706</v>
      </c>
      <c r="B25" t="s">
        <v>56</v>
      </c>
      <c r="C25" t="s">
        <v>93</v>
      </c>
      <c r="D25" t="s">
        <v>41</v>
      </c>
      <c r="J25">
        <f t="shared" si="0"/>
        <v>0</v>
      </c>
      <c r="L25">
        <f t="shared" si="1"/>
        <v>0</v>
      </c>
    </row>
    <row r="26" spans="1:12" x14ac:dyDescent="0.25">
      <c r="A26">
        <v>1706</v>
      </c>
      <c r="B26" t="s">
        <v>14</v>
      </c>
      <c r="C26" t="s">
        <v>93</v>
      </c>
      <c r="D26" t="s">
        <v>41</v>
      </c>
      <c r="H26">
        <v>9474</v>
      </c>
      <c r="J26">
        <f t="shared" si="0"/>
        <v>9474</v>
      </c>
      <c r="L26">
        <f t="shared" si="1"/>
        <v>4.2294642857142861</v>
      </c>
    </row>
    <row r="27" spans="1:12" x14ac:dyDescent="0.25">
      <c r="A27">
        <v>1706</v>
      </c>
      <c r="B27" t="s">
        <v>16</v>
      </c>
      <c r="C27" t="s">
        <v>93</v>
      </c>
      <c r="D27" t="s">
        <v>41</v>
      </c>
      <c r="H27">
        <v>2271</v>
      </c>
      <c r="I27" t="s">
        <v>82</v>
      </c>
      <c r="J27">
        <f t="shared" si="0"/>
        <v>2271</v>
      </c>
      <c r="L27">
        <f t="shared" si="1"/>
        <v>1.0138392857142857</v>
      </c>
    </row>
    <row r="28" spans="1:12" x14ac:dyDescent="0.25">
      <c r="A28">
        <v>1706</v>
      </c>
      <c r="B28" t="s">
        <v>18</v>
      </c>
      <c r="C28" t="s">
        <v>93</v>
      </c>
      <c r="D28" t="s">
        <v>41</v>
      </c>
      <c r="H28">
        <v>665</v>
      </c>
      <c r="J28">
        <f t="shared" si="0"/>
        <v>665</v>
      </c>
      <c r="L28">
        <f t="shared" si="1"/>
        <v>0.296875</v>
      </c>
    </row>
  </sheetData>
  <autoFilter ref="A1:L28" xr:uid="{FC113998-4536-4659-A938-5514675D65BA}">
    <sortState xmlns:xlrd2="http://schemas.microsoft.com/office/spreadsheetml/2017/richdata2" ref="A2:L28">
      <sortCondition ref="D1:D2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34"/>
  <sheetViews>
    <sheetView zoomScaleNormal="100" workbookViewId="0">
      <selection activeCell="H7" sqref="H7"/>
    </sheetView>
  </sheetViews>
  <sheetFormatPr defaultRowHeight="15" x14ac:dyDescent="0.25"/>
  <cols>
    <col min="2" max="2" width="15.85546875" customWidth="1"/>
  </cols>
  <sheetData>
    <row r="1" spans="1:12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89</v>
      </c>
    </row>
    <row r="2" spans="1:12" x14ac:dyDescent="0.25">
      <c r="A2">
        <v>1706</v>
      </c>
      <c r="B2" t="s">
        <v>7</v>
      </c>
      <c r="C2" t="s">
        <v>94</v>
      </c>
      <c r="D2" t="s">
        <v>39</v>
      </c>
      <c r="F2">
        <v>8791</v>
      </c>
      <c r="H2">
        <v>20</v>
      </c>
      <c r="J2">
        <f t="shared" ref="J2:J34" si="0">(E2*2240)+(F2*112)+(G2*28)+(H2)</f>
        <v>984612</v>
      </c>
      <c r="L2">
        <f t="shared" ref="L2:L34" si="1">J2/2240</f>
        <v>439.55892857142857</v>
      </c>
    </row>
    <row r="3" spans="1:12" x14ac:dyDescent="0.25">
      <c r="A3">
        <v>1706</v>
      </c>
      <c r="B3" t="s">
        <v>9</v>
      </c>
      <c r="C3" t="s">
        <v>94</v>
      </c>
      <c r="D3" t="s">
        <v>39</v>
      </c>
      <c r="J3">
        <f t="shared" si="0"/>
        <v>0</v>
      </c>
      <c r="L3">
        <f t="shared" si="1"/>
        <v>0</v>
      </c>
    </row>
    <row r="4" spans="1:12" x14ac:dyDescent="0.25">
      <c r="A4">
        <v>1706</v>
      </c>
      <c r="B4" t="s">
        <v>10</v>
      </c>
      <c r="C4" t="s">
        <v>94</v>
      </c>
      <c r="D4" t="s">
        <v>39</v>
      </c>
      <c r="F4">
        <v>13</v>
      </c>
      <c r="H4">
        <v>11</v>
      </c>
      <c r="J4">
        <f t="shared" si="0"/>
        <v>1467</v>
      </c>
      <c r="L4">
        <f t="shared" si="1"/>
        <v>0.65491071428571423</v>
      </c>
    </row>
    <row r="5" spans="1:12" x14ac:dyDescent="0.25">
      <c r="A5">
        <v>1706</v>
      </c>
      <c r="B5" t="s">
        <v>55</v>
      </c>
      <c r="C5" t="s">
        <v>94</v>
      </c>
      <c r="D5" t="s">
        <v>39</v>
      </c>
      <c r="J5">
        <f t="shared" si="0"/>
        <v>0</v>
      </c>
      <c r="L5">
        <f t="shared" si="1"/>
        <v>0</v>
      </c>
    </row>
    <row r="6" spans="1:12" x14ac:dyDescent="0.25">
      <c r="A6">
        <v>1706</v>
      </c>
      <c r="B6" t="s">
        <v>11</v>
      </c>
      <c r="C6" t="s">
        <v>94</v>
      </c>
      <c r="D6" t="s">
        <v>39</v>
      </c>
      <c r="H6">
        <f>13*200</f>
        <v>2600</v>
      </c>
      <c r="I6" t="s">
        <v>73</v>
      </c>
      <c r="J6">
        <f t="shared" si="0"/>
        <v>2600</v>
      </c>
      <c r="L6">
        <f t="shared" si="1"/>
        <v>1.1607142857142858</v>
      </c>
    </row>
    <row r="7" spans="1:12" x14ac:dyDescent="0.25">
      <c r="A7">
        <v>1706</v>
      </c>
      <c r="B7" t="s">
        <v>13</v>
      </c>
      <c r="C7" t="s">
        <v>94</v>
      </c>
      <c r="D7" t="s">
        <v>39</v>
      </c>
      <c r="F7">
        <v>11</v>
      </c>
      <c r="G7">
        <v>2</v>
      </c>
      <c r="J7">
        <f t="shared" si="0"/>
        <v>1288</v>
      </c>
      <c r="L7">
        <f t="shared" si="1"/>
        <v>0.57499999999999996</v>
      </c>
    </row>
    <row r="8" spans="1:12" x14ac:dyDescent="0.25">
      <c r="A8">
        <v>1706</v>
      </c>
      <c r="B8" t="s">
        <v>46</v>
      </c>
      <c r="C8" t="s">
        <v>94</v>
      </c>
      <c r="D8" t="s">
        <v>39</v>
      </c>
      <c r="H8">
        <v>28</v>
      </c>
      <c r="J8">
        <f t="shared" si="0"/>
        <v>28</v>
      </c>
      <c r="L8">
        <f t="shared" si="1"/>
        <v>1.2500000000000001E-2</v>
      </c>
    </row>
    <row r="9" spans="1:12" x14ac:dyDescent="0.25">
      <c r="A9">
        <v>1706</v>
      </c>
      <c r="B9" t="s">
        <v>14</v>
      </c>
      <c r="C9" t="s">
        <v>94</v>
      </c>
      <c r="D9" t="s">
        <v>39</v>
      </c>
      <c r="H9">
        <v>140</v>
      </c>
      <c r="J9">
        <f t="shared" si="0"/>
        <v>140</v>
      </c>
      <c r="L9">
        <f t="shared" si="1"/>
        <v>6.25E-2</v>
      </c>
    </row>
    <row r="10" spans="1:12" x14ac:dyDescent="0.25">
      <c r="A10">
        <v>1706</v>
      </c>
      <c r="B10" t="s">
        <v>15</v>
      </c>
      <c r="C10" t="s">
        <v>94</v>
      </c>
      <c r="D10" t="s">
        <v>39</v>
      </c>
      <c r="J10">
        <f t="shared" si="0"/>
        <v>0</v>
      </c>
      <c r="L10">
        <f t="shared" si="1"/>
        <v>0</v>
      </c>
    </row>
    <row r="11" spans="1:12" x14ac:dyDescent="0.25">
      <c r="A11">
        <v>1706</v>
      </c>
      <c r="B11" t="s">
        <v>16</v>
      </c>
      <c r="C11" t="s">
        <v>94</v>
      </c>
      <c r="D11" t="s">
        <v>39</v>
      </c>
      <c r="J11">
        <f t="shared" si="0"/>
        <v>0</v>
      </c>
      <c r="L11">
        <f t="shared" si="1"/>
        <v>0</v>
      </c>
    </row>
    <row r="12" spans="1:12" x14ac:dyDescent="0.25">
      <c r="A12">
        <v>1706</v>
      </c>
      <c r="B12" t="s">
        <v>30</v>
      </c>
      <c r="C12" t="s">
        <v>94</v>
      </c>
      <c r="D12" t="s">
        <v>39</v>
      </c>
      <c r="J12">
        <f t="shared" si="0"/>
        <v>0</v>
      </c>
      <c r="L12">
        <f t="shared" si="1"/>
        <v>0</v>
      </c>
    </row>
    <row r="13" spans="1:12" x14ac:dyDescent="0.25">
      <c r="A13">
        <v>1706</v>
      </c>
      <c r="B13" t="s">
        <v>17</v>
      </c>
      <c r="C13" t="s">
        <v>94</v>
      </c>
      <c r="D13" t="s">
        <v>39</v>
      </c>
      <c r="J13">
        <f t="shared" si="0"/>
        <v>0</v>
      </c>
      <c r="L13">
        <f t="shared" si="1"/>
        <v>0</v>
      </c>
    </row>
    <row r="14" spans="1:12" x14ac:dyDescent="0.25">
      <c r="A14">
        <v>1706</v>
      </c>
      <c r="B14" t="s">
        <v>57</v>
      </c>
      <c r="C14" t="s">
        <v>94</v>
      </c>
      <c r="D14" t="s">
        <v>39</v>
      </c>
      <c r="J14">
        <f t="shared" si="0"/>
        <v>0</v>
      </c>
      <c r="L14">
        <f t="shared" si="1"/>
        <v>0</v>
      </c>
    </row>
    <row r="15" spans="1:12" x14ac:dyDescent="0.25">
      <c r="A15">
        <v>1706</v>
      </c>
      <c r="B15" t="s">
        <v>20</v>
      </c>
      <c r="C15" t="s">
        <v>94</v>
      </c>
      <c r="D15" t="s">
        <v>39</v>
      </c>
      <c r="J15">
        <f t="shared" si="0"/>
        <v>0</v>
      </c>
      <c r="L15">
        <f t="shared" si="1"/>
        <v>0</v>
      </c>
    </row>
    <row r="16" spans="1:12" x14ac:dyDescent="0.25">
      <c r="A16">
        <v>1706</v>
      </c>
      <c r="B16" t="s">
        <v>21</v>
      </c>
      <c r="C16" t="s">
        <v>94</v>
      </c>
      <c r="D16" t="s">
        <v>39</v>
      </c>
      <c r="J16">
        <f t="shared" si="0"/>
        <v>0</v>
      </c>
      <c r="L16">
        <f t="shared" si="1"/>
        <v>0</v>
      </c>
    </row>
    <row r="17" spans="1:12" x14ac:dyDescent="0.25">
      <c r="A17">
        <v>1706</v>
      </c>
      <c r="B17" t="s">
        <v>96</v>
      </c>
      <c r="C17" t="s">
        <v>94</v>
      </c>
      <c r="D17" t="s">
        <v>39</v>
      </c>
      <c r="H17">
        <v>129</v>
      </c>
      <c r="J17">
        <f t="shared" si="0"/>
        <v>129</v>
      </c>
      <c r="L17">
        <f t="shared" si="1"/>
        <v>5.7589285714285711E-2</v>
      </c>
    </row>
    <row r="18" spans="1:12" x14ac:dyDescent="0.25">
      <c r="A18">
        <v>1706</v>
      </c>
      <c r="B18" t="s">
        <v>26</v>
      </c>
      <c r="C18" t="s">
        <v>94</v>
      </c>
      <c r="D18" t="s">
        <v>39</v>
      </c>
      <c r="J18">
        <f t="shared" si="0"/>
        <v>0</v>
      </c>
      <c r="L18">
        <f t="shared" si="1"/>
        <v>0</v>
      </c>
    </row>
    <row r="19" spans="1:12" x14ac:dyDescent="0.25">
      <c r="A19">
        <v>1706</v>
      </c>
      <c r="B19" t="s">
        <v>22</v>
      </c>
      <c r="C19" t="s">
        <v>94</v>
      </c>
      <c r="D19" t="s">
        <v>39</v>
      </c>
      <c r="J19">
        <f t="shared" si="0"/>
        <v>0</v>
      </c>
      <c r="L19">
        <f t="shared" si="1"/>
        <v>0</v>
      </c>
    </row>
    <row r="20" spans="1:12" x14ac:dyDescent="0.25">
      <c r="A20">
        <v>1706</v>
      </c>
      <c r="B20" t="s">
        <v>23</v>
      </c>
      <c r="C20" t="s">
        <v>94</v>
      </c>
      <c r="D20" t="s">
        <v>39</v>
      </c>
      <c r="H20">
        <v>89</v>
      </c>
      <c r="J20">
        <f t="shared" si="0"/>
        <v>89</v>
      </c>
      <c r="L20">
        <f t="shared" si="1"/>
        <v>3.9732142857142855E-2</v>
      </c>
    </row>
    <row r="21" spans="1:12" x14ac:dyDescent="0.25">
      <c r="A21">
        <v>1706</v>
      </c>
      <c r="B21" t="s">
        <v>24</v>
      </c>
      <c r="C21" t="s">
        <v>94</v>
      </c>
      <c r="D21" t="s">
        <v>39</v>
      </c>
      <c r="F21">
        <v>10</v>
      </c>
      <c r="G21">
        <v>1</v>
      </c>
      <c r="H21">
        <v>7</v>
      </c>
      <c r="J21">
        <f t="shared" si="0"/>
        <v>1155</v>
      </c>
      <c r="L21">
        <f t="shared" si="1"/>
        <v>0.515625</v>
      </c>
    </row>
    <row r="22" spans="1:12" x14ac:dyDescent="0.25">
      <c r="A22">
        <v>1706</v>
      </c>
      <c r="B22" t="s">
        <v>7</v>
      </c>
      <c r="C22" t="s">
        <v>94</v>
      </c>
      <c r="D22" t="s">
        <v>41</v>
      </c>
      <c r="F22">
        <v>2878</v>
      </c>
      <c r="H22">
        <v>8</v>
      </c>
      <c r="J22">
        <f t="shared" si="0"/>
        <v>322344</v>
      </c>
      <c r="L22">
        <f t="shared" si="1"/>
        <v>143.90357142857144</v>
      </c>
    </row>
    <row r="23" spans="1:12" x14ac:dyDescent="0.25">
      <c r="A23">
        <v>1706</v>
      </c>
      <c r="B23" t="s">
        <v>9</v>
      </c>
      <c r="C23" t="s">
        <v>94</v>
      </c>
      <c r="D23" t="s">
        <v>41</v>
      </c>
      <c r="H23">
        <v>16</v>
      </c>
      <c r="J23">
        <f t="shared" si="0"/>
        <v>16</v>
      </c>
      <c r="L23">
        <f t="shared" si="1"/>
        <v>7.1428571428571426E-3</v>
      </c>
    </row>
    <row r="24" spans="1:12" x14ac:dyDescent="0.25">
      <c r="A24">
        <v>1706</v>
      </c>
      <c r="B24" t="s">
        <v>10</v>
      </c>
      <c r="C24" t="s">
        <v>94</v>
      </c>
      <c r="D24" t="s">
        <v>41</v>
      </c>
      <c r="G24">
        <v>3</v>
      </c>
      <c r="H24">
        <v>7</v>
      </c>
      <c r="J24">
        <f t="shared" si="0"/>
        <v>91</v>
      </c>
      <c r="L24">
        <f t="shared" si="1"/>
        <v>4.0625000000000001E-2</v>
      </c>
    </row>
    <row r="25" spans="1:12" x14ac:dyDescent="0.25">
      <c r="A25">
        <v>1706</v>
      </c>
      <c r="B25" t="s">
        <v>11</v>
      </c>
      <c r="C25" t="s">
        <v>94</v>
      </c>
      <c r="D25" t="s">
        <v>41</v>
      </c>
      <c r="H25">
        <v>1600</v>
      </c>
      <c r="J25">
        <f t="shared" si="0"/>
        <v>1600</v>
      </c>
      <c r="L25">
        <f t="shared" si="1"/>
        <v>0.7142857142857143</v>
      </c>
    </row>
    <row r="26" spans="1:12" x14ac:dyDescent="0.25">
      <c r="A26">
        <v>1706</v>
      </c>
      <c r="B26" t="s">
        <v>13</v>
      </c>
      <c r="C26" t="s">
        <v>94</v>
      </c>
      <c r="D26" t="s">
        <v>41</v>
      </c>
      <c r="J26">
        <f t="shared" si="0"/>
        <v>0</v>
      </c>
      <c r="L26">
        <f t="shared" si="1"/>
        <v>0</v>
      </c>
    </row>
    <row r="27" spans="1:12" x14ac:dyDescent="0.25">
      <c r="A27">
        <v>1706</v>
      </c>
      <c r="B27" t="s">
        <v>14</v>
      </c>
      <c r="C27" t="s">
        <v>94</v>
      </c>
      <c r="D27" t="s">
        <v>41</v>
      </c>
      <c r="H27">
        <v>1223</v>
      </c>
      <c r="J27">
        <f t="shared" si="0"/>
        <v>1223</v>
      </c>
      <c r="L27">
        <f t="shared" si="1"/>
        <v>0.54598214285714286</v>
      </c>
    </row>
    <row r="28" spans="1:12" x14ac:dyDescent="0.25">
      <c r="A28">
        <v>1706</v>
      </c>
      <c r="B28" t="s">
        <v>15</v>
      </c>
      <c r="C28" t="s">
        <v>94</v>
      </c>
      <c r="D28" t="s">
        <v>41</v>
      </c>
      <c r="J28">
        <f t="shared" si="0"/>
        <v>0</v>
      </c>
      <c r="L28">
        <f t="shared" si="1"/>
        <v>0</v>
      </c>
    </row>
    <row r="29" spans="1:12" x14ac:dyDescent="0.25">
      <c r="A29">
        <v>1706</v>
      </c>
      <c r="B29" t="s">
        <v>16</v>
      </c>
      <c r="C29" t="s">
        <v>94</v>
      </c>
      <c r="D29" t="s">
        <v>41</v>
      </c>
      <c r="H29">
        <v>4733</v>
      </c>
      <c r="I29" t="s">
        <v>83</v>
      </c>
      <c r="J29">
        <f t="shared" si="0"/>
        <v>4733</v>
      </c>
      <c r="L29">
        <f t="shared" si="1"/>
        <v>2.1129464285714286</v>
      </c>
    </row>
    <row r="30" spans="1:12" x14ac:dyDescent="0.25">
      <c r="A30">
        <v>1706</v>
      </c>
      <c r="B30" t="s">
        <v>17</v>
      </c>
      <c r="C30" t="s">
        <v>94</v>
      </c>
      <c r="D30" t="s">
        <v>41</v>
      </c>
      <c r="J30">
        <f t="shared" si="0"/>
        <v>0</v>
      </c>
      <c r="L30">
        <f t="shared" si="1"/>
        <v>0</v>
      </c>
    </row>
    <row r="31" spans="1:12" x14ac:dyDescent="0.25">
      <c r="A31">
        <v>1706</v>
      </c>
      <c r="B31" t="s">
        <v>20</v>
      </c>
      <c r="C31" t="s">
        <v>94</v>
      </c>
      <c r="D31" t="s">
        <v>41</v>
      </c>
      <c r="J31">
        <f t="shared" si="0"/>
        <v>0</v>
      </c>
      <c r="L31">
        <f t="shared" si="1"/>
        <v>0</v>
      </c>
    </row>
    <row r="32" spans="1:12" x14ac:dyDescent="0.25">
      <c r="A32">
        <v>1706</v>
      </c>
      <c r="B32" t="s">
        <v>21</v>
      </c>
      <c r="C32" t="s">
        <v>94</v>
      </c>
      <c r="D32" t="s">
        <v>41</v>
      </c>
      <c r="F32">
        <v>17</v>
      </c>
      <c r="J32">
        <f t="shared" si="0"/>
        <v>1904</v>
      </c>
      <c r="L32">
        <f t="shared" si="1"/>
        <v>0.85</v>
      </c>
    </row>
    <row r="33" spans="1:12" x14ac:dyDescent="0.25">
      <c r="A33">
        <v>1706</v>
      </c>
      <c r="B33" t="s">
        <v>96</v>
      </c>
      <c r="C33" t="s">
        <v>94</v>
      </c>
      <c r="D33" t="s">
        <v>41</v>
      </c>
      <c r="J33">
        <f t="shared" si="0"/>
        <v>0</v>
      </c>
      <c r="L33">
        <f t="shared" si="1"/>
        <v>0</v>
      </c>
    </row>
    <row r="34" spans="1:12" x14ac:dyDescent="0.25">
      <c r="A34">
        <v>1706</v>
      </c>
      <c r="B34" t="s">
        <v>23</v>
      </c>
      <c r="C34" t="s">
        <v>94</v>
      </c>
      <c r="D34" t="s">
        <v>41</v>
      </c>
      <c r="J34">
        <f t="shared" si="0"/>
        <v>0</v>
      </c>
      <c r="L34">
        <f t="shared" si="1"/>
        <v>0</v>
      </c>
    </row>
  </sheetData>
  <autoFilter ref="A1:L34" xr:uid="{BA078D41-F260-45DD-BAFF-5C983F846926}">
    <sortState xmlns:xlrd2="http://schemas.microsoft.com/office/spreadsheetml/2017/richdata2" ref="A2:L34">
      <sortCondition ref="D1:D3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23"/>
  <sheetViews>
    <sheetView zoomScaleNormal="100" workbookViewId="0">
      <selection activeCell="H7" sqref="H7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33</v>
      </c>
      <c r="F1" s="1" t="s">
        <v>34</v>
      </c>
      <c r="G1" s="1" t="s">
        <v>35</v>
      </c>
      <c r="H1" s="1" t="s">
        <v>36</v>
      </c>
      <c r="I1" s="1"/>
      <c r="J1" s="1" t="s">
        <v>37</v>
      </c>
      <c r="K1" s="1"/>
      <c r="L1" s="1" t="s">
        <v>38</v>
      </c>
    </row>
    <row r="2" spans="1:12" x14ac:dyDescent="0.25">
      <c r="A2">
        <v>1706</v>
      </c>
      <c r="B2" t="s">
        <v>4</v>
      </c>
      <c r="C2" t="s">
        <v>95</v>
      </c>
      <c r="D2" t="s">
        <v>39</v>
      </c>
      <c r="J2">
        <f t="shared" ref="J2:J23" si="0">(E2*2240)+(F2*112)+(G2*28)+(H2/16)</f>
        <v>0</v>
      </c>
      <c r="L2">
        <f t="shared" ref="L2:L23" si="1">J2/2240</f>
        <v>0</v>
      </c>
    </row>
    <row r="3" spans="1:12" x14ac:dyDescent="0.25">
      <c r="A3">
        <v>1706</v>
      </c>
      <c r="B3" t="s">
        <v>5</v>
      </c>
      <c r="C3" t="s">
        <v>95</v>
      </c>
      <c r="D3" t="s">
        <v>39</v>
      </c>
      <c r="J3">
        <f t="shared" si="0"/>
        <v>0</v>
      </c>
      <c r="L3">
        <f t="shared" si="1"/>
        <v>0</v>
      </c>
    </row>
    <row r="4" spans="1:12" x14ac:dyDescent="0.25">
      <c r="A4">
        <v>1706</v>
      </c>
      <c r="B4" t="s">
        <v>7</v>
      </c>
      <c r="C4" t="s">
        <v>95</v>
      </c>
      <c r="D4" t="s">
        <v>39</v>
      </c>
      <c r="F4">
        <v>4559</v>
      </c>
      <c r="G4">
        <v>2</v>
      </c>
      <c r="H4">
        <v>14</v>
      </c>
      <c r="J4">
        <f t="shared" si="0"/>
        <v>510664.875</v>
      </c>
      <c r="L4">
        <f t="shared" si="1"/>
        <v>227.97539062499999</v>
      </c>
    </row>
    <row r="5" spans="1:12" x14ac:dyDescent="0.25">
      <c r="A5">
        <v>1706</v>
      </c>
      <c r="B5" t="s">
        <v>10</v>
      </c>
      <c r="C5" t="s">
        <v>95</v>
      </c>
      <c r="D5" t="s">
        <v>39</v>
      </c>
      <c r="G5">
        <v>1</v>
      </c>
      <c r="H5">
        <v>24</v>
      </c>
      <c r="J5">
        <f t="shared" si="0"/>
        <v>29.5</v>
      </c>
      <c r="L5">
        <f t="shared" si="1"/>
        <v>1.3169642857142857E-2</v>
      </c>
    </row>
    <row r="6" spans="1:12" x14ac:dyDescent="0.25">
      <c r="A6">
        <v>1706</v>
      </c>
      <c r="B6" t="s">
        <v>11</v>
      </c>
      <c r="C6" t="s">
        <v>95</v>
      </c>
      <c r="D6" t="s">
        <v>39</v>
      </c>
      <c r="H6">
        <f>16*200</f>
        <v>3200</v>
      </c>
      <c r="I6" t="s">
        <v>74</v>
      </c>
      <c r="J6">
        <f t="shared" si="0"/>
        <v>200</v>
      </c>
      <c r="L6">
        <f t="shared" si="1"/>
        <v>8.9285714285714288E-2</v>
      </c>
    </row>
    <row r="7" spans="1:12" x14ac:dyDescent="0.25">
      <c r="A7">
        <v>1706</v>
      </c>
      <c r="B7" t="s">
        <v>12</v>
      </c>
      <c r="C7" t="s">
        <v>95</v>
      </c>
      <c r="D7" t="s">
        <v>39</v>
      </c>
      <c r="J7">
        <f t="shared" si="0"/>
        <v>0</v>
      </c>
      <c r="L7">
        <f t="shared" si="1"/>
        <v>0</v>
      </c>
    </row>
    <row r="8" spans="1:12" x14ac:dyDescent="0.25">
      <c r="A8">
        <v>1706</v>
      </c>
      <c r="B8" t="s">
        <v>13</v>
      </c>
      <c r="C8" t="s">
        <v>95</v>
      </c>
      <c r="D8" t="s">
        <v>39</v>
      </c>
      <c r="J8">
        <f t="shared" si="0"/>
        <v>0</v>
      </c>
      <c r="L8">
        <f t="shared" si="1"/>
        <v>0</v>
      </c>
    </row>
    <row r="9" spans="1:12" x14ac:dyDescent="0.25">
      <c r="A9">
        <v>1706</v>
      </c>
      <c r="B9" t="s">
        <v>14</v>
      </c>
      <c r="C9" t="s">
        <v>95</v>
      </c>
      <c r="D9" t="s">
        <v>39</v>
      </c>
      <c r="J9">
        <f t="shared" si="0"/>
        <v>0</v>
      </c>
      <c r="L9">
        <f t="shared" si="1"/>
        <v>0</v>
      </c>
    </row>
    <row r="10" spans="1:12" x14ac:dyDescent="0.25">
      <c r="A10">
        <v>1706</v>
      </c>
      <c r="B10" t="s">
        <v>15</v>
      </c>
      <c r="C10" t="s">
        <v>95</v>
      </c>
      <c r="D10" t="s">
        <v>39</v>
      </c>
      <c r="J10">
        <f t="shared" si="0"/>
        <v>0</v>
      </c>
      <c r="L10">
        <f t="shared" si="1"/>
        <v>0</v>
      </c>
    </row>
    <row r="11" spans="1:12" x14ac:dyDescent="0.25">
      <c r="A11">
        <v>1706</v>
      </c>
      <c r="B11" t="s">
        <v>17</v>
      </c>
      <c r="C11" t="s">
        <v>95</v>
      </c>
      <c r="D11" t="s">
        <v>39</v>
      </c>
      <c r="J11">
        <f t="shared" si="0"/>
        <v>0</v>
      </c>
      <c r="L11">
        <f t="shared" si="1"/>
        <v>0</v>
      </c>
    </row>
    <row r="12" spans="1:12" x14ac:dyDescent="0.25">
      <c r="A12">
        <v>1706</v>
      </c>
      <c r="B12" t="s">
        <v>18</v>
      </c>
      <c r="C12" t="s">
        <v>95</v>
      </c>
      <c r="D12" t="s">
        <v>39</v>
      </c>
      <c r="J12">
        <f t="shared" si="0"/>
        <v>0</v>
      </c>
      <c r="L12">
        <f t="shared" si="1"/>
        <v>0</v>
      </c>
    </row>
    <row r="13" spans="1:12" x14ac:dyDescent="0.25">
      <c r="A13">
        <v>1706</v>
      </c>
      <c r="B13" t="s">
        <v>20</v>
      </c>
      <c r="C13" t="s">
        <v>95</v>
      </c>
      <c r="D13" t="s">
        <v>39</v>
      </c>
      <c r="J13">
        <f t="shared" si="0"/>
        <v>0</v>
      </c>
      <c r="L13">
        <f t="shared" si="1"/>
        <v>0</v>
      </c>
    </row>
    <row r="14" spans="1:12" x14ac:dyDescent="0.25">
      <c r="A14">
        <v>1706</v>
      </c>
      <c r="B14" t="s">
        <v>21</v>
      </c>
      <c r="C14" t="s">
        <v>95</v>
      </c>
      <c r="D14" t="s">
        <v>39</v>
      </c>
      <c r="J14">
        <f t="shared" si="0"/>
        <v>0</v>
      </c>
      <c r="L14">
        <f t="shared" si="1"/>
        <v>0</v>
      </c>
    </row>
    <row r="15" spans="1:12" x14ac:dyDescent="0.25">
      <c r="A15">
        <v>1706</v>
      </c>
      <c r="B15" t="s">
        <v>96</v>
      </c>
      <c r="C15" t="s">
        <v>95</v>
      </c>
      <c r="D15" t="s">
        <v>39</v>
      </c>
      <c r="J15">
        <f t="shared" si="0"/>
        <v>0</v>
      </c>
      <c r="L15">
        <f t="shared" si="1"/>
        <v>0</v>
      </c>
    </row>
    <row r="16" spans="1:12" x14ac:dyDescent="0.25">
      <c r="A16">
        <v>1706</v>
      </c>
      <c r="B16" t="s">
        <v>98</v>
      </c>
      <c r="C16" t="s">
        <v>95</v>
      </c>
      <c r="D16" t="s">
        <v>39</v>
      </c>
      <c r="J16">
        <f t="shared" si="0"/>
        <v>0</v>
      </c>
      <c r="L16">
        <f t="shared" si="1"/>
        <v>0</v>
      </c>
    </row>
    <row r="17" spans="1:12" x14ac:dyDescent="0.25">
      <c r="A17">
        <v>1706</v>
      </c>
      <c r="B17" t="s">
        <v>7</v>
      </c>
      <c r="C17" t="s">
        <v>95</v>
      </c>
      <c r="D17" t="s">
        <v>41</v>
      </c>
      <c r="F17">
        <v>3653</v>
      </c>
      <c r="J17">
        <f t="shared" si="0"/>
        <v>409136</v>
      </c>
      <c r="L17">
        <f t="shared" si="1"/>
        <v>182.65</v>
      </c>
    </row>
    <row r="18" spans="1:12" x14ac:dyDescent="0.25">
      <c r="A18">
        <v>1706</v>
      </c>
      <c r="B18" t="s">
        <v>10</v>
      </c>
      <c r="C18" t="s">
        <v>95</v>
      </c>
      <c r="D18" t="s">
        <v>41</v>
      </c>
      <c r="F18">
        <v>18</v>
      </c>
      <c r="H18">
        <v>22</v>
      </c>
      <c r="J18">
        <f t="shared" si="0"/>
        <v>2017.375</v>
      </c>
      <c r="L18">
        <f t="shared" si="1"/>
        <v>0.90061383928571426</v>
      </c>
    </row>
    <row r="19" spans="1:12" x14ac:dyDescent="0.25">
      <c r="A19">
        <v>1706</v>
      </c>
      <c r="B19" t="s">
        <v>11</v>
      </c>
      <c r="C19" t="s">
        <v>95</v>
      </c>
      <c r="D19" t="s">
        <v>41</v>
      </c>
      <c r="H19">
        <v>3500</v>
      </c>
      <c r="J19">
        <f t="shared" si="0"/>
        <v>218.75</v>
      </c>
      <c r="L19">
        <f t="shared" si="1"/>
        <v>9.765625E-2</v>
      </c>
    </row>
    <row r="20" spans="1:12" x14ac:dyDescent="0.25">
      <c r="A20">
        <v>1706</v>
      </c>
      <c r="B20" t="s">
        <v>12</v>
      </c>
      <c r="C20" t="s">
        <v>95</v>
      </c>
      <c r="D20" t="s">
        <v>41</v>
      </c>
      <c r="F20">
        <v>45</v>
      </c>
      <c r="J20">
        <f t="shared" si="0"/>
        <v>5040</v>
      </c>
      <c r="L20">
        <f t="shared" si="1"/>
        <v>2.25</v>
      </c>
    </row>
    <row r="21" spans="1:12" x14ac:dyDescent="0.25">
      <c r="A21">
        <v>1706</v>
      </c>
      <c r="B21" t="s">
        <v>84</v>
      </c>
      <c r="C21" t="s">
        <v>95</v>
      </c>
      <c r="D21" t="s">
        <v>41</v>
      </c>
      <c r="F21">
        <v>2</v>
      </c>
      <c r="G21">
        <v>3</v>
      </c>
      <c r="H21">
        <v>14</v>
      </c>
      <c r="J21">
        <f t="shared" si="0"/>
        <v>308.875</v>
      </c>
      <c r="L21">
        <f t="shared" si="1"/>
        <v>0.13789062499999999</v>
      </c>
    </row>
    <row r="22" spans="1:12" x14ac:dyDescent="0.25">
      <c r="A22">
        <v>1706</v>
      </c>
      <c r="B22" t="s">
        <v>14</v>
      </c>
      <c r="C22" t="s">
        <v>95</v>
      </c>
      <c r="D22" t="s">
        <v>41</v>
      </c>
      <c r="H22">
        <v>200</v>
      </c>
      <c r="J22">
        <f t="shared" si="0"/>
        <v>12.5</v>
      </c>
      <c r="L22">
        <f t="shared" si="1"/>
        <v>5.580357142857143E-3</v>
      </c>
    </row>
    <row r="23" spans="1:12" x14ac:dyDescent="0.25">
      <c r="A23">
        <v>1706</v>
      </c>
      <c r="B23" t="s">
        <v>17</v>
      </c>
      <c r="C23" t="s">
        <v>95</v>
      </c>
      <c r="D23" t="s">
        <v>41</v>
      </c>
      <c r="F23">
        <v>434</v>
      </c>
      <c r="G23">
        <v>2</v>
      </c>
      <c r="H23">
        <v>19</v>
      </c>
      <c r="J23">
        <f t="shared" si="0"/>
        <v>48665.1875</v>
      </c>
      <c r="L23">
        <f t="shared" si="1"/>
        <v>21.725530133928572</v>
      </c>
    </row>
  </sheetData>
  <autoFilter ref="A1:L23" xr:uid="{44AC988A-EF5D-4D8D-966B-955CB5EB687E}">
    <sortState xmlns:xlrd2="http://schemas.microsoft.com/office/spreadsheetml/2017/richdata2" ref="A2:L23">
      <sortCondition ref="D1:D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Goods Sheet</vt:lpstr>
      <vt:lpstr>Antigua</vt:lpstr>
      <vt:lpstr>Barbados</vt:lpstr>
      <vt:lpstr>Bermuda</vt:lpstr>
      <vt:lpstr>Jamaica</vt:lpstr>
      <vt:lpstr>Mountserat</vt:lpstr>
      <vt:lpstr>Nevis</vt:lpstr>
      <vt:lpstr>St Kitts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2025-04-29T18:37:01Z</dcterms:modified>
</cp:coreProperties>
</file>