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75" documentId="8_{CEB2232A-5280-4575-962E-B32AE27275E3}" xr6:coauthVersionLast="47" xr6:coauthVersionMax="47" xr10:uidLastSave="{B1326184-3775-41D4-A459-F633CBA7D2A3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Barbados!$A$1:$N$55</definedName>
    <definedName name="_xlnm._FilterDatabase" localSheetId="5" hidden="1">Jamaica!$A$1:$O$62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1" l="1"/>
  <c r="H22" i="8"/>
  <c r="H22" i="7"/>
  <c r="H22" i="6"/>
  <c r="H23" i="5"/>
  <c r="H18" i="3"/>
  <c r="H23" i="2"/>
  <c r="L91" i="3"/>
  <c r="J91" i="3"/>
  <c r="J95" i="3"/>
  <c r="L95" i="3" s="1"/>
  <c r="J9" i="11"/>
  <c r="L9" i="11" s="1"/>
  <c r="L29" i="5"/>
  <c r="J29" i="5"/>
  <c r="L14" i="4"/>
  <c r="J14" i="4"/>
  <c r="J8" i="4"/>
  <c r="L8" i="4" s="1"/>
  <c r="J44" i="3"/>
  <c r="L44" i="3" s="1"/>
  <c r="J22" i="3"/>
  <c r="L22" i="3" s="1"/>
  <c r="J119" i="5"/>
  <c r="L119" i="5" s="1"/>
  <c r="J73" i="5"/>
  <c r="L73" i="5" s="1"/>
  <c r="J84" i="3"/>
  <c r="L84" i="3" s="1"/>
  <c r="J117" i="2"/>
  <c r="L117" i="2" s="1"/>
  <c r="J55" i="11"/>
  <c r="L55" i="11" s="1"/>
  <c r="J11" i="11"/>
  <c r="L11" i="11" s="1"/>
  <c r="J55" i="5"/>
  <c r="L55" i="5" s="1"/>
  <c r="J8" i="5"/>
  <c r="L8" i="5" s="1"/>
  <c r="J16" i="4"/>
  <c r="L16" i="4" s="1"/>
  <c r="J18" i="4"/>
  <c r="L18" i="4" s="1"/>
  <c r="J13" i="4"/>
  <c r="L13" i="4" s="1"/>
  <c r="J10" i="4"/>
  <c r="L10" i="4" s="1"/>
  <c r="J6" i="4"/>
  <c r="L6" i="4" s="1"/>
  <c r="J23" i="3"/>
  <c r="L23" i="3" s="1"/>
  <c r="J29" i="2"/>
  <c r="L29" i="2" s="1"/>
  <c r="J8" i="2"/>
  <c r="L8" i="2" s="1"/>
  <c r="C23" i="1"/>
  <c r="C24" i="1"/>
  <c r="B23" i="1"/>
  <c r="B24" i="1"/>
  <c r="J129" i="11"/>
  <c r="L129" i="11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4" i="11"/>
  <c r="L54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0" i="11"/>
  <c r="L10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L92" i="8"/>
  <c r="J92" i="8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L84" i="8"/>
  <c r="J84" i="8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L68" i="8"/>
  <c r="J68" i="8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L20" i="8"/>
  <c r="J20" i="8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L4" i="8"/>
  <c r="J4" i="8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8" i="2"/>
  <c r="L118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2" i="3"/>
  <c r="L92" i="3" s="1"/>
  <c r="J93" i="3"/>
  <c r="L93" i="3" s="1"/>
  <c r="J94" i="3"/>
  <c r="L94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J3" i="4"/>
  <c r="L3" i="4" s="1"/>
  <c r="J4" i="4"/>
  <c r="L4" i="4" s="1"/>
  <c r="J5" i="4"/>
  <c r="L5" i="4" s="1"/>
  <c r="J7" i="4"/>
  <c r="L7" i="4" s="1"/>
  <c r="J9" i="4"/>
  <c r="L9" i="4" s="1"/>
  <c r="J11" i="4"/>
  <c r="L11" i="4" s="1"/>
  <c r="J12" i="4"/>
  <c r="L12" i="4" s="1"/>
  <c r="J15" i="4"/>
  <c r="L15" i="4" s="1"/>
  <c r="J17" i="4"/>
  <c r="L17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0" i="4"/>
  <c r="L30" i="4" s="1"/>
  <c r="J3" i="5"/>
  <c r="L3" i="5" s="1"/>
  <c r="J4" i="5"/>
  <c r="L4" i="5" s="1"/>
  <c r="J5" i="5"/>
  <c r="L5" i="5" s="1"/>
  <c r="J6" i="5"/>
  <c r="L6" i="5" s="1"/>
  <c r="J7" i="5"/>
  <c r="L7" i="5" s="1"/>
  <c r="J9" i="5"/>
  <c r="L9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4" i="5"/>
  <c r="L74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13" i="1" l="1"/>
  <c r="D5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<sst xmlns="http://schemas.openxmlformats.org/spreadsheetml/2006/main" count="3492" uniqueCount="155">
  <si>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</si>
  <si>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</si>
  <si>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</si>
  <si>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</si>
  <si>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</si>
  <si>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</si>
  <si>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</si>
  <si>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</si>
  <si>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</si>
  <si>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</si>
  <si>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</si>
  <si>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</si>
  <si>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</si>
  <si>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</si>
  <si>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</si>
  <si>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</si>
  <si>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</si>
  <si>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</si>
  <si>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</si>
  <si>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</si>
  <si>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</si>
  <si>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</si>
  <si>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</si>
  <si>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</si>
  <si>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</si>
  <si>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</si>
  <si>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</si>
  <si>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</si>
  <si>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</si>
  <si>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</si>
  <si>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</si>
  <si>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</si>
  <si>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</si>
  <si>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</si>
  <si>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</si>
  <si>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</si>
  <si>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</si>
  <si>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</si>
  <si>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</si>
  <si>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</si>
  <si>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</si>
  <si>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</si>
  <si>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</si>
  <si>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</si>
  <si>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</si>
  <si>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</si>
  <si>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</si>
  <si>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</si>
  <si>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</si>
  <si>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</si>
  <si>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</si>
  <si>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</si>
  <si>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</si>
  <si>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</si>
  <si>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</si>
  <si>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</si>
  <si>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</si>
  <si>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</si>
  <si>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</si>
  <si>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</si>
  <si>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</si>
  <si>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</si>
  <si>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</si>
  <si>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</si>
  <si>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</si>
  <si>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</si>
  <si>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</si>
  <si>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</si>
  <si>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</si>
  <si>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</si>
  <si>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</si>
  <si>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</si>
  <si>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</si>
  <si>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</si>
  <si>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</si>
  <si>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</si>
  <si>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</si>
  <si>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</si>
  <si>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</si>
  <si>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</si>
  <si>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</si>
  <si>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</si>
  <si>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</si>
  <si>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</si>
  <si>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</si>
  <si>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</si>
  <si>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</si>
  <si>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</si>
  <si>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</si>
  <si>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</si>
  <si>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</si>
  <si>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</si>
  <si>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</si>
  <si>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</si>
  <si>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</si>
  <si>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</si>
  <si>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</si>
  <si>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</si>
  <si>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</si>
  <si>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</si>
  <si>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</si>
  <si>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</si>
  <si>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</si>
  <si>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</si>
  <si>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</si>
  <si>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</si>
  <si>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</si>
  <si>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20g</t>
  </si>
  <si>
    <t>7163g</t>
  </si>
  <si>
    <t>15t 27g</t>
  </si>
  <si>
    <t>238bags</t>
  </si>
  <si>
    <t>Gum Arabick</t>
  </si>
  <si>
    <t>381g</t>
  </si>
  <si>
    <t>11582g</t>
  </si>
  <si>
    <t>11t 53g</t>
  </si>
  <si>
    <t>162bags</t>
  </si>
  <si>
    <t>78g</t>
  </si>
  <si>
    <t>42g</t>
  </si>
  <si>
    <t>4h 4g</t>
  </si>
  <si>
    <t>Gum Elemni</t>
  </si>
  <si>
    <t>Jollop</t>
  </si>
  <si>
    <t>1981.5g</t>
  </si>
  <si>
    <t>25.5g</t>
  </si>
  <si>
    <t>61351g</t>
  </si>
  <si>
    <t>17t 54g</t>
  </si>
  <si>
    <t>Wood, Crocus</t>
  </si>
  <si>
    <t>756bags</t>
  </si>
  <si>
    <t>77g</t>
  </si>
  <si>
    <t>1076g</t>
  </si>
  <si>
    <t>21g</t>
  </si>
  <si>
    <t>9bags</t>
  </si>
  <si>
    <t>183g</t>
  </si>
  <si>
    <t>1t 11g</t>
  </si>
  <si>
    <t>38bags</t>
  </si>
  <si>
    <t>2g</t>
  </si>
  <si>
    <t>12g</t>
  </si>
  <si>
    <t>2370.5g</t>
  </si>
  <si>
    <t>6t 2h 57g</t>
  </si>
  <si>
    <t>229.3bags</t>
  </si>
  <si>
    <t>33g</t>
  </si>
  <si>
    <t>6bags</t>
  </si>
  <si>
    <t>1045.25g</t>
  </si>
  <si>
    <t>1h 53g</t>
  </si>
  <si>
    <t>4t 1h 10g</t>
  </si>
  <si>
    <t>2244g</t>
  </si>
  <si>
    <t>9g</t>
  </si>
  <si>
    <t>8079.5g</t>
  </si>
  <si>
    <t>2t 1h 40g</t>
  </si>
  <si>
    <t>91g</t>
  </si>
  <si>
    <t>16g</t>
  </si>
  <si>
    <t>11g</t>
  </si>
  <si>
    <t>90g</t>
  </si>
  <si>
    <t>501.25g</t>
  </si>
  <si>
    <t>24g</t>
  </si>
  <si>
    <t>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</si>
</sst>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D7" sqref="D7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3.05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3.05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1.4995535714285715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6.1857142857142859</v>
      </c>
      <c r="D3">
        <f t="shared" ref="D3:D31" si="0">B3+C3</f>
        <v>7.6852678571428577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24541.051785714288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8706.580803571429</v>
      </c>
      <c r="D4">
        <f t="shared" si="0"/>
        <v>33247.632589285713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119.22008928571428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7.1258928571428575</v>
      </c>
      <c r="D6">
        <f t="shared" si="0"/>
        <v>126.34598214285714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128.42258928571428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185.64419642857143</v>
      </c>
      <c r="D7">
        <f t="shared" si="0"/>
        <v>314.06678571428574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263.58348214285718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533.24821428571431</v>
      </c>
      <c r="D8">
        <f t="shared" si="0"/>
        <v>796.83169642857149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49.923660714285724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28.013839285714287</v>
      </c>
      <c r="D9">
        <f t="shared" si="0"/>
        <v>77.937500000000014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123.72321428571429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53.245312499999997</v>
      </c>
      <c r="D10">
        <f t="shared" si="0"/>
        <v>176.96852678571429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0.6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38.52276785714286</v>
      </c>
      <c r="D11">
        <f t="shared" si="0"/>
        <v>39.122767857142861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11.339732142857143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10.828571428571427</v>
      </c>
      <c r="D12">
        <f t="shared" si="0"/>
        <v>22.16830357142857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0.1875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0</v>
      </c>
      <c r="D13">
        <f t="shared" si="0"/>
        <v>0.1875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57.071428571428577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61.972321428571433</v>
      </c>
      <c r="D14">
        <f t="shared" si="0"/>
        <v>119.04375000000002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21.8125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4.8187500000000005</v>
      </c>
      <c r="D15">
        <f t="shared" si="0"/>
        <v>26.631250000000001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374.20558035714288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43.256696428571431</v>
      </c>
      <c r="D16">
        <f t="shared" si="0"/>
        <v>417.46227678571432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8.5075892857142854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1.9446428571428573</v>
      </c>
      <c r="D17">
        <f t="shared" si="0"/>
        <v>10.452232142857143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2.5964285714285711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0.22276785714285716</v>
      </c>
      <c r="D18">
        <f t="shared" si="0"/>
        <v>2.8191964285714284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1.9620535714285716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0.8258928571428571</v>
      </c>
      <c r="D19">
        <f t="shared" si="0"/>
        <v>2.7879464285714288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2.0415178571428569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0.33348214285714289</v>
      </c>
      <c r="D20">
        <f t="shared" si="0"/>
        <v>2.375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0.1125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1.421875</v>
      </c>
      <c r="D21">
        <f t="shared" si="0"/>
        <v>1.534375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18.712499999999999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2.3491071428571431</v>
      </c>
      <c r="D25">
        <f t="shared" si="0"/>
        <v>21.061607142857142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58.966071428571425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8.2120535714285712</v>
      </c>
      <c r="D26">
        <f t="shared" si="0"/>
        <v>67.178124999999994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54.25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20.204017857142858</v>
      </c>
      <c r="D27">
        <f t="shared" si="0"/>
        <v>74.454017857142858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1347.7058035714285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943.72812499999998</v>
      </c>
      <c r="D28">
        <f t="shared" si="0"/>
        <v>2291.4339285714286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961.34598214285711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509.52321428571429</v>
      </c>
      <c r="D29">
        <f t="shared" si="0"/>
        <v>1470.8691964285713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42.379910714285714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54.477678571428569</v>
      </c>
      <c r="D30">
        <f t="shared" si="0"/>
        <v>96.857589285714283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5.6</v>
      </c>
      <c r="D31">
        <f t="shared" si="0"/>
        <v>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29"/>
  <sheetViews>
    <sheetView topLeftCell="A23" workbookViewId="0">
      <selection activeCell="H24" sqref="H2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1726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1726</v>
      </c>
      <c r="B3" t="s">
        <v>57</v>
      </c>
      <c r="C3" t="s">
        <v>53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1726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1726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1726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1726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1726</v>
      </c>
      <c r="B8" t="s">
        <v>101</v>
      </c>
      <c r="C8" t="s">
        <v>53</v>
      </c>
      <c r="D8" t="s">
        <v>33</v>
      </c>
      <c r="H8">
        <v>29</v>
      </c>
      <c r="J8">
        <f t="shared" si="0"/>
        <v>29</v>
      </c>
      <c r="L8">
        <f t="shared" si="1"/>
        <v>1.2946428571428572E-2</v>
      </c>
    </row>
    <row r="9" spans="1:15" x14ac:dyDescent="0.25">
      <c r="A9">
        <v>1726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1726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1726</v>
      </c>
      <c r="B11" t="s">
        <v>5</v>
      </c>
      <c r="C11" t="s">
        <v>53</v>
      </c>
      <c r="D11" t="s">
        <v>33</v>
      </c>
      <c r="F11">
        <v>2</v>
      </c>
      <c r="H11">
        <v>20</v>
      </c>
      <c r="J11">
        <f t="shared" si="0"/>
        <v>244</v>
      </c>
      <c r="L11">
        <f t="shared" si="1"/>
        <v>0.10892857142857143</v>
      </c>
    </row>
    <row r="12" spans="1:15" x14ac:dyDescent="0.25">
      <c r="A12">
        <v>1726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1726</v>
      </c>
      <c r="B13" t="s">
        <v>6</v>
      </c>
      <c r="C13" t="s">
        <v>53</v>
      </c>
      <c r="D13" t="s">
        <v>33</v>
      </c>
      <c r="F13">
        <v>54343</v>
      </c>
      <c r="G13">
        <v>3</v>
      </c>
      <c r="H13">
        <v>25</v>
      </c>
      <c r="J13">
        <f t="shared" si="0"/>
        <v>6086525</v>
      </c>
      <c r="L13">
        <f t="shared" si="1"/>
        <v>2717.1986607142858</v>
      </c>
    </row>
    <row r="14" spans="1:15" x14ac:dyDescent="0.25">
      <c r="A14">
        <v>1726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1726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1726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1726</v>
      </c>
      <c r="B17" t="s">
        <v>37</v>
      </c>
      <c r="C17" t="s">
        <v>53</v>
      </c>
      <c r="D17" t="s">
        <v>33</v>
      </c>
      <c r="H17">
        <v>400</v>
      </c>
      <c r="J17">
        <f t="shared" si="0"/>
        <v>400</v>
      </c>
      <c r="L17">
        <f t="shared" si="1"/>
        <v>0.17857142857142858</v>
      </c>
    </row>
    <row r="18" spans="1:12" x14ac:dyDescent="0.25">
      <c r="A18">
        <v>1726</v>
      </c>
      <c r="B18" t="s">
        <v>8</v>
      </c>
      <c r="C18" t="s">
        <v>53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1726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1726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1726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1726</v>
      </c>
      <c r="B22" t="s">
        <v>46</v>
      </c>
      <c r="C22" t="s">
        <v>53</v>
      </c>
      <c r="D22" t="s">
        <v>33</v>
      </c>
      <c r="H22">
        <v>149</v>
      </c>
      <c r="J22">
        <f t="shared" si="0"/>
        <v>149</v>
      </c>
      <c r="L22">
        <f t="shared" si="1"/>
        <v>6.6517857142857142E-2</v>
      </c>
    </row>
    <row r="23" spans="1:12" x14ac:dyDescent="0.25">
      <c r="A23">
        <v>1726</v>
      </c>
      <c r="B23" t="s">
        <v>9</v>
      </c>
      <c r="C23" t="s">
        <v>53</v>
      </c>
      <c r="D23" t="s">
        <v>33</v>
      </c>
      <c r="H23">
        <f>238*200</f>
        <v>47600</v>
      </c>
      <c r="I23" t="s">
        <v>110</v>
      </c>
      <c r="J23">
        <f t="shared" si="0"/>
        <v>47600</v>
      </c>
      <c r="L23">
        <f t="shared" si="1"/>
        <v>21.25</v>
      </c>
    </row>
    <row r="24" spans="1:12" x14ac:dyDescent="0.25">
      <c r="A24">
        <v>1726</v>
      </c>
      <c r="B24" t="s">
        <v>10</v>
      </c>
      <c r="C24" t="s">
        <v>53</v>
      </c>
      <c r="D24" t="s">
        <v>33</v>
      </c>
      <c r="F24">
        <v>394</v>
      </c>
      <c r="H24">
        <v>11</v>
      </c>
      <c r="J24">
        <f t="shared" si="0"/>
        <v>44139</v>
      </c>
      <c r="L24">
        <f t="shared" si="1"/>
        <v>19.704910714285713</v>
      </c>
    </row>
    <row r="25" spans="1:12" x14ac:dyDescent="0.25">
      <c r="A25">
        <v>1726</v>
      </c>
      <c r="B25" t="s">
        <v>11</v>
      </c>
      <c r="C25" t="s">
        <v>53</v>
      </c>
      <c r="D25" t="s">
        <v>33</v>
      </c>
      <c r="F25">
        <v>36</v>
      </c>
      <c r="G25">
        <v>1</v>
      </c>
      <c r="H25">
        <v>19</v>
      </c>
      <c r="J25">
        <f t="shared" si="0"/>
        <v>4079</v>
      </c>
      <c r="L25">
        <f t="shared" si="1"/>
        <v>1.8209821428571429</v>
      </c>
    </row>
    <row r="26" spans="1:12" x14ac:dyDescent="0.25">
      <c r="A26">
        <v>1726</v>
      </c>
      <c r="B26" t="s">
        <v>39</v>
      </c>
      <c r="C26" t="s">
        <v>53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1726</v>
      </c>
      <c r="B27" t="s">
        <v>79</v>
      </c>
      <c r="C27" t="s">
        <v>53</v>
      </c>
      <c r="D27" t="s">
        <v>33</v>
      </c>
      <c r="F27">
        <v>2</v>
      </c>
      <c r="G27">
        <v>3</v>
      </c>
      <c r="H27">
        <v>18</v>
      </c>
      <c r="J27">
        <f t="shared" si="0"/>
        <v>326</v>
      </c>
      <c r="L27">
        <f t="shared" si="1"/>
        <v>0.1455357142857143</v>
      </c>
    </row>
    <row r="28" spans="1:12" x14ac:dyDescent="0.25">
      <c r="A28">
        <v>1726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1726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1726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1726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1726</v>
      </c>
      <c r="B32" t="s">
        <v>12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1726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1726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1726</v>
      </c>
      <c r="B35" t="s">
        <v>13</v>
      </c>
      <c r="C35" t="s">
        <v>53</v>
      </c>
      <c r="D35" t="s">
        <v>33</v>
      </c>
      <c r="F35">
        <v>7</v>
      </c>
      <c r="J35">
        <f t="shared" si="0"/>
        <v>784</v>
      </c>
      <c r="L35">
        <f t="shared" si="1"/>
        <v>0.35</v>
      </c>
    </row>
    <row r="36" spans="1:12" x14ac:dyDescent="0.25">
      <c r="A36">
        <v>1726</v>
      </c>
      <c r="B36" t="s">
        <v>14</v>
      </c>
      <c r="C36" t="s">
        <v>53</v>
      </c>
      <c r="D36" t="s">
        <v>33</v>
      </c>
      <c r="H36">
        <v>200</v>
      </c>
      <c r="I36" t="s">
        <v>107</v>
      </c>
      <c r="J36">
        <f t="shared" si="0"/>
        <v>200</v>
      </c>
      <c r="L36">
        <f t="shared" si="1"/>
        <v>8.9285714285714288E-2</v>
      </c>
    </row>
    <row r="37" spans="1:12" x14ac:dyDescent="0.25">
      <c r="A37">
        <v>1726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1726</v>
      </c>
      <c r="B38" t="s">
        <v>27</v>
      </c>
      <c r="C38" t="s">
        <v>53</v>
      </c>
      <c r="D38" t="s">
        <v>33</v>
      </c>
      <c r="H38">
        <v>38080</v>
      </c>
      <c r="I38" t="s">
        <v>109</v>
      </c>
      <c r="J38">
        <f t="shared" si="0"/>
        <v>38080</v>
      </c>
      <c r="L38">
        <f t="shared" si="1"/>
        <v>17</v>
      </c>
    </row>
    <row r="39" spans="1:12" x14ac:dyDescent="0.25">
      <c r="A39">
        <v>1726</v>
      </c>
      <c r="B39" t="s">
        <v>15</v>
      </c>
      <c r="C39" t="s">
        <v>53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1726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1726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1726</v>
      </c>
      <c r="B42" t="s">
        <v>47</v>
      </c>
      <c r="C42" t="s">
        <v>53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1726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1726</v>
      </c>
      <c r="B44" t="s">
        <v>17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1726</v>
      </c>
      <c r="B45" t="s">
        <v>18</v>
      </c>
      <c r="C45" t="s">
        <v>53</v>
      </c>
      <c r="D45" t="s">
        <v>33</v>
      </c>
      <c r="H45">
        <v>71648.5</v>
      </c>
      <c r="I45" t="s">
        <v>108</v>
      </c>
      <c r="J45">
        <f t="shared" si="0"/>
        <v>71648.5</v>
      </c>
      <c r="L45">
        <f t="shared" si="1"/>
        <v>31.985937499999999</v>
      </c>
    </row>
    <row r="46" spans="1:12" x14ac:dyDescent="0.25">
      <c r="A46">
        <v>1726</v>
      </c>
      <c r="B46" t="s">
        <v>26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1726</v>
      </c>
      <c r="B47" t="s">
        <v>84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1726</v>
      </c>
      <c r="B48" t="s">
        <v>19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1726</v>
      </c>
      <c r="B49" t="s">
        <v>45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1726</v>
      </c>
      <c r="B50" t="s">
        <v>85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1726</v>
      </c>
      <c r="B51" t="s">
        <v>54</v>
      </c>
      <c r="C51" t="s">
        <v>53</v>
      </c>
      <c r="D51" t="s">
        <v>33</v>
      </c>
      <c r="H51">
        <v>571</v>
      </c>
      <c r="J51">
        <f t="shared" si="0"/>
        <v>571</v>
      </c>
      <c r="L51">
        <f t="shared" si="1"/>
        <v>0.25491071428571427</v>
      </c>
    </row>
    <row r="52" spans="1:12" x14ac:dyDescent="0.25">
      <c r="A52">
        <v>1726</v>
      </c>
      <c r="B52" t="s">
        <v>95</v>
      </c>
      <c r="C52" t="s">
        <v>53</v>
      </c>
      <c r="D52" t="s">
        <v>33</v>
      </c>
      <c r="H52">
        <v>30</v>
      </c>
      <c r="J52">
        <f t="shared" si="0"/>
        <v>30</v>
      </c>
      <c r="L52">
        <f t="shared" si="1"/>
        <v>1.3392857142857142E-2</v>
      </c>
    </row>
    <row r="53" spans="1:12" x14ac:dyDescent="0.25">
      <c r="A53">
        <v>1726</v>
      </c>
      <c r="B53" t="s">
        <v>20</v>
      </c>
      <c r="C53" t="s">
        <v>53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1726</v>
      </c>
      <c r="B54" t="s">
        <v>21</v>
      </c>
      <c r="C54" t="s">
        <v>53</v>
      </c>
      <c r="D54" t="s">
        <v>33</v>
      </c>
      <c r="H54">
        <v>39</v>
      </c>
      <c r="J54">
        <f t="shared" si="0"/>
        <v>39</v>
      </c>
      <c r="L54">
        <f t="shared" si="1"/>
        <v>1.7410714285714286E-2</v>
      </c>
    </row>
    <row r="55" spans="1:12" x14ac:dyDescent="0.25">
      <c r="A55">
        <v>1726</v>
      </c>
      <c r="B55" t="s">
        <v>22</v>
      </c>
      <c r="C55" t="s">
        <v>53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1726</v>
      </c>
      <c r="B56" t="s">
        <v>61</v>
      </c>
      <c r="C56" t="s">
        <v>53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1726</v>
      </c>
      <c r="B57" t="s">
        <v>99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1726</v>
      </c>
      <c r="B58" t="s">
        <v>87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1726</v>
      </c>
      <c r="B59" t="s">
        <v>62</v>
      </c>
      <c r="C59" t="s">
        <v>53</v>
      </c>
      <c r="D59" t="s">
        <v>33</v>
      </c>
      <c r="E59">
        <v>69</v>
      </c>
      <c r="F59">
        <v>9</v>
      </c>
      <c r="G59">
        <v>1</v>
      </c>
      <c r="J59">
        <f t="shared" si="0"/>
        <v>155596</v>
      </c>
      <c r="L59">
        <f t="shared" si="1"/>
        <v>69.462500000000006</v>
      </c>
    </row>
    <row r="60" spans="1:12" x14ac:dyDescent="0.25">
      <c r="A60">
        <v>1726</v>
      </c>
      <c r="B60" t="s">
        <v>88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1726</v>
      </c>
      <c r="B61" t="s">
        <v>63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1726</v>
      </c>
      <c r="B62" t="s">
        <v>89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1726</v>
      </c>
      <c r="B63" t="s">
        <v>70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1726</v>
      </c>
      <c r="B64" t="s">
        <v>64</v>
      </c>
      <c r="C64" t="s">
        <v>53</v>
      </c>
      <c r="D64" t="s">
        <v>33</v>
      </c>
      <c r="E64">
        <v>26</v>
      </c>
      <c r="F64">
        <v>8</v>
      </c>
      <c r="H64">
        <v>25</v>
      </c>
      <c r="J64">
        <f t="shared" si="0"/>
        <v>59161</v>
      </c>
      <c r="L64">
        <f t="shared" si="1"/>
        <v>26.411160714285714</v>
      </c>
    </row>
    <row r="65" spans="1:12" x14ac:dyDescent="0.25">
      <c r="A65">
        <v>1726</v>
      </c>
      <c r="B65" t="s">
        <v>65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1726</v>
      </c>
      <c r="B66" t="s">
        <v>55</v>
      </c>
      <c r="C66" t="s">
        <v>53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1726</v>
      </c>
      <c r="B67" t="s">
        <v>57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1726</v>
      </c>
      <c r="B68" t="s">
        <v>36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1726</v>
      </c>
      <c r="B69" t="s">
        <v>4</v>
      </c>
      <c r="C69" t="s">
        <v>53</v>
      </c>
      <c r="D69" t="s">
        <v>35</v>
      </c>
      <c r="J69">
        <f t="shared" ref="J69:J129" si="2">(E69*2240)+(F69*112)+(G69*28)+H69</f>
        <v>0</v>
      </c>
      <c r="L69">
        <f t="shared" ref="L69:L129" si="3">J69/2240</f>
        <v>0</v>
      </c>
    </row>
    <row r="70" spans="1:12" x14ac:dyDescent="0.25">
      <c r="A70">
        <v>1726</v>
      </c>
      <c r="B70" t="s">
        <v>58</v>
      </c>
      <c r="C70" t="s">
        <v>53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1726</v>
      </c>
      <c r="B71" t="s">
        <v>69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1726</v>
      </c>
      <c r="B72" t="s">
        <v>43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1726</v>
      </c>
      <c r="B73" t="s">
        <v>76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1726</v>
      </c>
      <c r="B74" t="s">
        <v>5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1726</v>
      </c>
      <c r="B75" t="s">
        <v>59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1726</v>
      </c>
      <c r="B76" t="s">
        <v>6</v>
      </c>
      <c r="C76" t="s">
        <v>53</v>
      </c>
      <c r="D76" t="s">
        <v>35</v>
      </c>
      <c r="F76">
        <v>13334</v>
      </c>
      <c r="H76">
        <v>25</v>
      </c>
      <c r="J76">
        <f t="shared" si="2"/>
        <v>1493433</v>
      </c>
      <c r="L76">
        <f t="shared" si="3"/>
        <v>666.71116071428571</v>
      </c>
    </row>
    <row r="77" spans="1:12" x14ac:dyDescent="0.25">
      <c r="A77">
        <v>1726</v>
      </c>
      <c r="B77" t="s">
        <v>60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1726</v>
      </c>
      <c r="B78" t="s">
        <v>7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1726</v>
      </c>
      <c r="B79" t="s">
        <v>37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1726</v>
      </c>
      <c r="B80" t="s">
        <v>8</v>
      </c>
      <c r="C80" t="s">
        <v>53</v>
      </c>
      <c r="D80" t="s">
        <v>35</v>
      </c>
      <c r="F80">
        <v>6</v>
      </c>
      <c r="G80">
        <v>1</v>
      </c>
      <c r="H80">
        <v>1</v>
      </c>
      <c r="J80">
        <f t="shared" si="2"/>
        <v>701</v>
      </c>
      <c r="L80">
        <f t="shared" si="3"/>
        <v>0.31294642857142857</v>
      </c>
    </row>
    <row r="81" spans="1:12" x14ac:dyDescent="0.25">
      <c r="A81">
        <v>1726</v>
      </c>
      <c r="B81" t="s">
        <v>40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1726</v>
      </c>
      <c r="B82" t="s">
        <v>77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1726</v>
      </c>
      <c r="B83" t="s">
        <v>78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1726</v>
      </c>
      <c r="B84" t="s">
        <v>46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1726</v>
      </c>
      <c r="B85" t="s">
        <v>9</v>
      </c>
      <c r="C85" t="s">
        <v>53</v>
      </c>
      <c r="D85" t="s">
        <v>35</v>
      </c>
      <c r="F85">
        <v>507</v>
      </c>
      <c r="G85">
        <v>3</v>
      </c>
      <c r="H85">
        <v>3</v>
      </c>
      <c r="J85">
        <f t="shared" si="2"/>
        <v>56871</v>
      </c>
      <c r="L85">
        <f t="shared" si="3"/>
        <v>25.388839285714287</v>
      </c>
    </row>
    <row r="86" spans="1:12" x14ac:dyDescent="0.25">
      <c r="A86">
        <v>1726</v>
      </c>
      <c r="B86" t="s">
        <v>10</v>
      </c>
      <c r="C86" t="s">
        <v>53</v>
      </c>
      <c r="D86" t="s">
        <v>35</v>
      </c>
      <c r="F86">
        <v>475</v>
      </c>
      <c r="G86">
        <v>2</v>
      </c>
      <c r="H86">
        <v>18</v>
      </c>
      <c r="J86">
        <f t="shared" si="2"/>
        <v>53274</v>
      </c>
      <c r="L86">
        <f t="shared" si="3"/>
        <v>23.783035714285713</v>
      </c>
    </row>
    <row r="87" spans="1:12" x14ac:dyDescent="0.25">
      <c r="A87">
        <v>1726</v>
      </c>
      <c r="B87" t="s">
        <v>11</v>
      </c>
      <c r="C87" t="s">
        <v>53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1726</v>
      </c>
      <c r="B88" t="s">
        <v>39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1726</v>
      </c>
      <c r="B89" t="s">
        <v>79</v>
      </c>
      <c r="C89" t="s">
        <v>53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1726</v>
      </c>
      <c r="B90" t="s">
        <v>103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1726</v>
      </c>
      <c r="B91" t="s">
        <v>44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1726</v>
      </c>
      <c r="B92" t="s">
        <v>97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1726</v>
      </c>
      <c r="B93" t="s">
        <v>12</v>
      </c>
      <c r="C93" t="s">
        <v>53</v>
      </c>
      <c r="D93" t="s">
        <v>35</v>
      </c>
      <c r="H93">
        <v>280</v>
      </c>
      <c r="J93">
        <f t="shared" si="2"/>
        <v>280</v>
      </c>
      <c r="L93">
        <f t="shared" si="3"/>
        <v>0.125</v>
      </c>
    </row>
    <row r="94" spans="1:12" x14ac:dyDescent="0.25">
      <c r="A94">
        <v>1726</v>
      </c>
      <c r="B94" t="s">
        <v>82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1726</v>
      </c>
      <c r="B95" t="s">
        <v>34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1726</v>
      </c>
      <c r="B96" t="s">
        <v>13</v>
      </c>
      <c r="C96" t="s">
        <v>53</v>
      </c>
      <c r="D96" t="s">
        <v>35</v>
      </c>
      <c r="F96">
        <v>189</v>
      </c>
      <c r="G96">
        <v>2</v>
      </c>
      <c r="H96">
        <v>27</v>
      </c>
      <c r="J96">
        <f t="shared" si="2"/>
        <v>21251</v>
      </c>
      <c r="L96">
        <f t="shared" si="3"/>
        <v>9.4870535714285715</v>
      </c>
    </row>
    <row r="97" spans="1:12" x14ac:dyDescent="0.25">
      <c r="A97">
        <v>1726</v>
      </c>
      <c r="B97" t="s">
        <v>14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1726</v>
      </c>
      <c r="B98" t="s">
        <v>23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1726</v>
      </c>
      <c r="B99" t="s">
        <v>27</v>
      </c>
      <c r="C99" t="s">
        <v>53</v>
      </c>
      <c r="D99" t="s">
        <v>35</v>
      </c>
      <c r="H99">
        <v>1160.5</v>
      </c>
      <c r="I99" t="s">
        <v>142</v>
      </c>
      <c r="J99">
        <f t="shared" si="2"/>
        <v>1160.5</v>
      </c>
      <c r="L99">
        <f t="shared" si="3"/>
        <v>0.51808035714285716</v>
      </c>
    </row>
    <row r="100" spans="1:12" x14ac:dyDescent="0.25">
      <c r="A100">
        <v>1726</v>
      </c>
      <c r="B100" t="s">
        <v>15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1726</v>
      </c>
      <c r="B101" t="s">
        <v>93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1726</v>
      </c>
      <c r="B102" t="s">
        <v>42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1726</v>
      </c>
      <c r="B103" t="s">
        <v>83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1726</v>
      </c>
      <c r="B104" t="s">
        <v>47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1726</v>
      </c>
      <c r="B105" t="s">
        <v>16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1726</v>
      </c>
      <c r="B106" t="s">
        <v>17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1726</v>
      </c>
      <c r="B107" t="s">
        <v>18</v>
      </c>
      <c r="C107" t="s">
        <v>53</v>
      </c>
      <c r="D107" t="s">
        <v>35</v>
      </c>
      <c r="H107">
        <v>10455</v>
      </c>
      <c r="I107" t="s">
        <v>141</v>
      </c>
      <c r="J107">
        <f t="shared" si="2"/>
        <v>10455</v>
      </c>
      <c r="L107">
        <f t="shared" si="3"/>
        <v>4.6674107142857144</v>
      </c>
    </row>
    <row r="108" spans="1:12" x14ac:dyDescent="0.25">
      <c r="A108">
        <v>1726</v>
      </c>
      <c r="B108" t="s">
        <v>26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1726</v>
      </c>
      <c r="B109" t="s">
        <v>84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1726</v>
      </c>
      <c r="B110" t="s">
        <v>19</v>
      </c>
      <c r="C110" t="s">
        <v>53</v>
      </c>
      <c r="D110" t="s">
        <v>35</v>
      </c>
      <c r="F110">
        <v>7</v>
      </c>
      <c r="G110">
        <v>1</v>
      </c>
      <c r="H110">
        <v>26</v>
      </c>
      <c r="J110">
        <f t="shared" si="2"/>
        <v>838</v>
      </c>
      <c r="L110">
        <f t="shared" si="3"/>
        <v>0.37410714285714286</v>
      </c>
    </row>
    <row r="111" spans="1:12" x14ac:dyDescent="0.25">
      <c r="A111">
        <v>1726</v>
      </c>
      <c r="B111" t="s">
        <v>45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1726</v>
      </c>
      <c r="B112" t="s">
        <v>85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1726</v>
      </c>
      <c r="B113" t="s">
        <v>54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1726</v>
      </c>
      <c r="B114" t="s">
        <v>95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1726</v>
      </c>
      <c r="B115" t="s">
        <v>20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1726</v>
      </c>
      <c r="B116" t="s">
        <v>21</v>
      </c>
      <c r="C116" t="s">
        <v>53</v>
      </c>
      <c r="D116" t="s">
        <v>35</v>
      </c>
      <c r="H116">
        <v>20</v>
      </c>
      <c r="J116">
        <f t="shared" si="2"/>
        <v>20</v>
      </c>
      <c r="L116">
        <f t="shared" si="3"/>
        <v>8.9285714285714281E-3</v>
      </c>
    </row>
    <row r="117" spans="1:12" x14ac:dyDescent="0.25">
      <c r="A117">
        <v>1726</v>
      </c>
      <c r="B117" t="s">
        <v>105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1726</v>
      </c>
      <c r="B118" t="s">
        <v>22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1726</v>
      </c>
      <c r="B119" t="s">
        <v>61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1726</v>
      </c>
      <c r="B120" t="s">
        <v>91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1726</v>
      </c>
      <c r="B121" t="s">
        <v>98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1726</v>
      </c>
      <c r="B122" t="s">
        <v>87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1726</v>
      </c>
      <c r="B123" t="s">
        <v>62</v>
      </c>
      <c r="C123" t="s">
        <v>53</v>
      </c>
      <c r="D123" t="s">
        <v>35</v>
      </c>
      <c r="E123">
        <v>99</v>
      </c>
      <c r="F123">
        <v>9</v>
      </c>
      <c r="H123">
        <v>20</v>
      </c>
      <c r="J123">
        <f t="shared" si="2"/>
        <v>222788</v>
      </c>
      <c r="L123">
        <f t="shared" si="3"/>
        <v>99.458928571428572</v>
      </c>
    </row>
    <row r="124" spans="1:12" x14ac:dyDescent="0.25">
      <c r="A124">
        <v>1726</v>
      </c>
      <c r="B124" t="s">
        <v>88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1726</v>
      </c>
      <c r="B125" t="s">
        <v>63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1726</v>
      </c>
      <c r="B126" t="s">
        <v>89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1726</v>
      </c>
      <c r="B127" t="s">
        <v>70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1726</v>
      </c>
      <c r="B128" t="s">
        <v>64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1726</v>
      </c>
      <c r="B129" t="s">
        <v>65</v>
      </c>
      <c r="C129" t="s">
        <v>53</v>
      </c>
      <c r="D129" t="s">
        <v>35</v>
      </c>
      <c r="E129">
        <v>5</v>
      </c>
      <c r="F129">
        <v>12</v>
      </c>
      <c r="J129">
        <f t="shared" si="2"/>
        <v>12544</v>
      </c>
      <c r="L129">
        <f t="shared" si="3"/>
        <v>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3"/>
  <sheetViews>
    <sheetView topLeftCell="A18" workbookViewId="0">
      <selection activeCell="I18" sqref="I1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1726</v>
      </c>
      <c r="B2" t="s">
        <v>55</v>
      </c>
      <c r="C2" t="s">
        <v>56</v>
      </c>
      <c r="D2" t="s">
        <v>33</v>
      </c>
      <c r="J2">
        <f t="shared" ref="J2:J68" si="0">(E2*2240)+(F2*112)+(G2*28)+H2</f>
        <v>0</v>
      </c>
      <c r="L2">
        <f t="shared" ref="L2:L68" si="1">J2/2240</f>
        <v>0</v>
      </c>
    </row>
    <row r="3" spans="1:12" x14ac:dyDescent="0.25">
      <c r="A3">
        <v>1726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1726</v>
      </c>
      <c r="B4" t="s">
        <v>36</v>
      </c>
      <c r="C4" t="s">
        <v>56</v>
      </c>
      <c r="D4" t="s">
        <v>33</v>
      </c>
      <c r="H4">
        <v>21179</v>
      </c>
      <c r="J4">
        <f t="shared" si="0"/>
        <v>21179</v>
      </c>
      <c r="L4">
        <f t="shared" si="1"/>
        <v>9.4549107142857149</v>
      </c>
    </row>
    <row r="5" spans="1:12" x14ac:dyDescent="0.25">
      <c r="A5">
        <v>1726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1726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1726</v>
      </c>
      <c r="B7" t="s">
        <v>92</v>
      </c>
      <c r="C7" t="s">
        <v>56</v>
      </c>
      <c r="D7" t="s">
        <v>33</v>
      </c>
      <c r="H7">
        <v>2476</v>
      </c>
      <c r="J7">
        <f t="shared" si="0"/>
        <v>2476</v>
      </c>
      <c r="L7">
        <f t="shared" si="1"/>
        <v>1.1053571428571429</v>
      </c>
    </row>
    <row r="8" spans="1:12" x14ac:dyDescent="0.25">
      <c r="A8">
        <v>1726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1726</v>
      </c>
      <c r="B9" t="s">
        <v>5</v>
      </c>
      <c r="C9" t="s">
        <v>56</v>
      </c>
      <c r="D9" t="s">
        <v>33</v>
      </c>
      <c r="F9">
        <v>11</v>
      </c>
      <c r="G9">
        <v>3</v>
      </c>
      <c r="H9">
        <v>18</v>
      </c>
      <c r="J9">
        <f t="shared" si="0"/>
        <v>1334</v>
      </c>
      <c r="L9">
        <f t="shared" si="1"/>
        <v>0.59553571428571428</v>
      </c>
    </row>
    <row r="10" spans="1:12" x14ac:dyDescent="0.25">
      <c r="A10">
        <v>1726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1726</v>
      </c>
      <c r="B11" t="s">
        <v>6</v>
      </c>
      <c r="C11" t="s">
        <v>56</v>
      </c>
      <c r="D11" t="s">
        <v>33</v>
      </c>
      <c r="F11">
        <v>125131</v>
      </c>
      <c r="G11">
        <v>3</v>
      </c>
      <c r="H11">
        <v>26</v>
      </c>
      <c r="J11">
        <f t="shared" si="0"/>
        <v>14014782</v>
      </c>
      <c r="L11">
        <f t="shared" si="1"/>
        <v>6256.5991071428571</v>
      </c>
    </row>
    <row r="12" spans="1:12" x14ac:dyDescent="0.25">
      <c r="A12">
        <v>1726</v>
      </c>
      <c r="B12" t="s">
        <v>60</v>
      </c>
      <c r="C12" t="s">
        <v>56</v>
      </c>
      <c r="D12" t="s">
        <v>33</v>
      </c>
      <c r="H12">
        <v>991</v>
      </c>
      <c r="J12">
        <f t="shared" si="0"/>
        <v>991</v>
      </c>
      <c r="L12">
        <f t="shared" si="1"/>
        <v>0.44241071428571427</v>
      </c>
    </row>
    <row r="13" spans="1:12" x14ac:dyDescent="0.25">
      <c r="A13">
        <v>1726</v>
      </c>
      <c r="B13" t="s">
        <v>7</v>
      </c>
      <c r="C13" t="s">
        <v>56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1726</v>
      </c>
      <c r="B14" t="s">
        <v>37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1726</v>
      </c>
      <c r="B15" t="s">
        <v>8</v>
      </c>
      <c r="C15" t="s">
        <v>56</v>
      </c>
      <c r="D15" t="s">
        <v>33</v>
      </c>
      <c r="F15">
        <v>904</v>
      </c>
      <c r="G15">
        <v>3</v>
      </c>
      <c r="H15">
        <v>4</v>
      </c>
      <c r="J15">
        <f t="shared" si="0"/>
        <v>101336</v>
      </c>
      <c r="L15">
        <f t="shared" si="1"/>
        <v>45.239285714285714</v>
      </c>
    </row>
    <row r="16" spans="1:12" x14ac:dyDescent="0.25">
      <c r="A16">
        <v>1726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1726</v>
      </c>
      <c r="B17" t="s">
        <v>78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1726</v>
      </c>
      <c r="B18" t="s">
        <v>9</v>
      </c>
      <c r="C18" t="s">
        <v>56</v>
      </c>
      <c r="D18" t="s">
        <v>33</v>
      </c>
      <c r="H18">
        <f>162*200</f>
        <v>32400</v>
      </c>
      <c r="I18" t="s">
        <v>115</v>
      </c>
      <c r="J18">
        <f t="shared" si="0"/>
        <v>32400</v>
      </c>
      <c r="L18">
        <f t="shared" si="1"/>
        <v>14.464285714285714</v>
      </c>
    </row>
    <row r="19" spans="1:12" x14ac:dyDescent="0.25">
      <c r="A19">
        <v>1726</v>
      </c>
      <c r="B19" t="s">
        <v>10</v>
      </c>
      <c r="C19" t="s">
        <v>56</v>
      </c>
      <c r="D19" t="s">
        <v>33</v>
      </c>
      <c r="F19">
        <v>1396</v>
      </c>
      <c r="G19">
        <v>3</v>
      </c>
      <c r="H19">
        <v>2</v>
      </c>
      <c r="J19">
        <f t="shared" si="0"/>
        <v>156438</v>
      </c>
      <c r="L19">
        <f t="shared" si="1"/>
        <v>69.838392857142864</v>
      </c>
    </row>
    <row r="20" spans="1:12" x14ac:dyDescent="0.25">
      <c r="A20">
        <v>1726</v>
      </c>
      <c r="B20" t="s">
        <v>11</v>
      </c>
      <c r="C20" t="s">
        <v>56</v>
      </c>
      <c r="D20" t="s">
        <v>33</v>
      </c>
      <c r="F20">
        <v>517</v>
      </c>
      <c r="G20">
        <v>2</v>
      </c>
      <c r="H20">
        <v>20</v>
      </c>
      <c r="J20">
        <f t="shared" si="0"/>
        <v>57980</v>
      </c>
      <c r="L20">
        <f t="shared" si="1"/>
        <v>25.883928571428573</v>
      </c>
    </row>
    <row r="21" spans="1:12" x14ac:dyDescent="0.25">
      <c r="A21">
        <v>1726</v>
      </c>
      <c r="B21" t="s">
        <v>39</v>
      </c>
      <c r="C21" t="s">
        <v>56</v>
      </c>
      <c r="D21" t="s">
        <v>33</v>
      </c>
      <c r="H21">
        <v>39</v>
      </c>
      <c r="J21">
        <f t="shared" si="0"/>
        <v>39</v>
      </c>
      <c r="L21">
        <f t="shared" si="1"/>
        <v>1.7410714285714286E-2</v>
      </c>
    </row>
    <row r="22" spans="1:12" x14ac:dyDescent="0.25">
      <c r="A22">
        <v>1726</v>
      </c>
      <c r="B22" t="s">
        <v>111</v>
      </c>
      <c r="C22" t="s">
        <v>56</v>
      </c>
      <c r="D22" t="s">
        <v>33</v>
      </c>
      <c r="F22">
        <v>254</v>
      </c>
      <c r="G22">
        <v>3</v>
      </c>
      <c r="J22">
        <f t="shared" si="0"/>
        <v>28532</v>
      </c>
      <c r="L22">
        <f t="shared" si="1"/>
        <v>12.737500000000001</v>
      </c>
    </row>
    <row r="23" spans="1:12" x14ac:dyDescent="0.25">
      <c r="A23">
        <v>1726</v>
      </c>
      <c r="B23" t="s">
        <v>102</v>
      </c>
      <c r="C23" t="s">
        <v>56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1726</v>
      </c>
      <c r="B24" t="s">
        <v>44</v>
      </c>
      <c r="C24" t="s">
        <v>56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1726</v>
      </c>
      <c r="B25" t="s">
        <v>12</v>
      </c>
      <c r="C25" t="s">
        <v>56</v>
      </c>
      <c r="D25" t="s">
        <v>33</v>
      </c>
      <c r="H25">
        <v>5090</v>
      </c>
      <c r="J25">
        <f t="shared" si="0"/>
        <v>5090</v>
      </c>
      <c r="L25">
        <f t="shared" si="1"/>
        <v>2.2723214285714284</v>
      </c>
    </row>
    <row r="26" spans="1:12" x14ac:dyDescent="0.25">
      <c r="A26">
        <v>1726</v>
      </c>
      <c r="B26" t="s">
        <v>34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1726</v>
      </c>
      <c r="B27" t="s">
        <v>13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1726</v>
      </c>
      <c r="B28" t="s">
        <v>14</v>
      </c>
      <c r="C28" t="s">
        <v>56</v>
      </c>
      <c r="D28" t="s">
        <v>33</v>
      </c>
      <c r="H28">
        <v>3811</v>
      </c>
      <c r="I28" t="s">
        <v>112</v>
      </c>
      <c r="J28">
        <f t="shared" si="0"/>
        <v>3811</v>
      </c>
      <c r="L28">
        <f t="shared" si="1"/>
        <v>1.7013392857142857</v>
      </c>
    </row>
    <row r="29" spans="1:12" x14ac:dyDescent="0.25">
      <c r="A29">
        <v>1726</v>
      </c>
      <c r="B29" t="s">
        <v>23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1726</v>
      </c>
      <c r="B30" t="s">
        <v>27</v>
      </c>
      <c r="C30" t="s">
        <v>56</v>
      </c>
      <c r="D30" t="s">
        <v>33</v>
      </c>
      <c r="H30">
        <v>28257.5</v>
      </c>
      <c r="I30" t="s">
        <v>114</v>
      </c>
      <c r="J30">
        <f t="shared" si="0"/>
        <v>28257.5</v>
      </c>
      <c r="L30">
        <f t="shared" si="1"/>
        <v>12.614955357142858</v>
      </c>
    </row>
    <row r="31" spans="1:12" x14ac:dyDescent="0.25">
      <c r="A31">
        <v>1726</v>
      </c>
      <c r="B31" t="s">
        <v>15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1726</v>
      </c>
      <c r="B32" t="s">
        <v>42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1726</v>
      </c>
      <c r="B33" t="s">
        <v>47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1726</v>
      </c>
      <c r="B34" t="s">
        <v>16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1726</v>
      </c>
      <c r="B35" t="s">
        <v>17</v>
      </c>
      <c r="C35" t="s">
        <v>56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1726</v>
      </c>
      <c r="B36" t="s">
        <v>18</v>
      </c>
      <c r="C36" t="s">
        <v>56</v>
      </c>
      <c r="D36" t="s">
        <v>33</v>
      </c>
      <c r="H36">
        <v>115850</v>
      </c>
      <c r="I36" t="s">
        <v>113</v>
      </c>
      <c r="J36">
        <f t="shared" si="0"/>
        <v>115850</v>
      </c>
      <c r="L36">
        <f t="shared" si="1"/>
        <v>51.71875</v>
      </c>
    </row>
    <row r="37" spans="1:12" x14ac:dyDescent="0.25">
      <c r="A37">
        <v>1726</v>
      </c>
      <c r="B37" t="s">
        <v>26</v>
      </c>
      <c r="C37" t="s">
        <v>56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1726</v>
      </c>
      <c r="B38" t="s">
        <v>19</v>
      </c>
      <c r="C38" t="s">
        <v>56</v>
      </c>
      <c r="D38" t="s">
        <v>33</v>
      </c>
      <c r="F38">
        <v>81</v>
      </c>
      <c r="G38">
        <v>3</v>
      </c>
      <c r="H38">
        <v>26</v>
      </c>
      <c r="J38">
        <f t="shared" si="0"/>
        <v>9182</v>
      </c>
      <c r="L38">
        <f t="shared" si="1"/>
        <v>4.0991071428571431</v>
      </c>
    </row>
    <row r="39" spans="1:12" x14ac:dyDescent="0.25">
      <c r="A39">
        <v>1726</v>
      </c>
      <c r="B39" t="s">
        <v>45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1726</v>
      </c>
      <c r="B40" t="s">
        <v>54</v>
      </c>
      <c r="C40" t="s">
        <v>56</v>
      </c>
      <c r="D40" t="s">
        <v>33</v>
      </c>
      <c r="H40">
        <v>2900</v>
      </c>
      <c r="J40">
        <f t="shared" si="0"/>
        <v>2900</v>
      </c>
      <c r="L40">
        <f t="shared" si="1"/>
        <v>1.2946428571428572</v>
      </c>
    </row>
    <row r="41" spans="1:12" x14ac:dyDescent="0.25">
      <c r="A41">
        <v>1726</v>
      </c>
      <c r="B41" t="s">
        <v>95</v>
      </c>
      <c r="C41" t="s">
        <v>56</v>
      </c>
      <c r="D41" t="s">
        <v>33</v>
      </c>
      <c r="H41">
        <v>304</v>
      </c>
      <c r="J41">
        <f t="shared" si="0"/>
        <v>304</v>
      </c>
      <c r="L41">
        <f t="shared" si="1"/>
        <v>0.1357142857142857</v>
      </c>
    </row>
    <row r="42" spans="1:12" x14ac:dyDescent="0.25">
      <c r="A42">
        <v>1726</v>
      </c>
      <c r="B42" t="s">
        <v>20</v>
      </c>
      <c r="C42" t="s">
        <v>56</v>
      </c>
      <c r="D42" t="s">
        <v>33</v>
      </c>
      <c r="H42">
        <v>124</v>
      </c>
      <c r="J42">
        <f t="shared" si="0"/>
        <v>124</v>
      </c>
      <c r="L42">
        <f t="shared" si="1"/>
        <v>5.5357142857142855E-2</v>
      </c>
    </row>
    <row r="43" spans="1:12" x14ac:dyDescent="0.25">
      <c r="A43">
        <v>1726</v>
      </c>
      <c r="B43" t="s">
        <v>21</v>
      </c>
      <c r="C43" t="s">
        <v>56</v>
      </c>
      <c r="D43" t="s">
        <v>33</v>
      </c>
      <c r="H43">
        <v>30</v>
      </c>
      <c r="J43">
        <f t="shared" si="0"/>
        <v>30</v>
      </c>
      <c r="L43">
        <f t="shared" si="1"/>
        <v>1.3392857142857142E-2</v>
      </c>
    </row>
    <row r="44" spans="1:12" x14ac:dyDescent="0.25">
      <c r="A44">
        <v>1726</v>
      </c>
      <c r="B44" t="s">
        <v>90</v>
      </c>
      <c r="C44" t="s">
        <v>56</v>
      </c>
      <c r="D44" t="s">
        <v>33</v>
      </c>
      <c r="F44">
        <v>7</v>
      </c>
      <c r="H44">
        <v>27</v>
      </c>
      <c r="J44">
        <f t="shared" si="0"/>
        <v>811</v>
      </c>
      <c r="L44">
        <f t="shared" si="1"/>
        <v>0.36205357142857142</v>
      </c>
    </row>
    <row r="45" spans="1:12" x14ac:dyDescent="0.25">
      <c r="A45">
        <v>1726</v>
      </c>
      <c r="B45" t="s">
        <v>22</v>
      </c>
      <c r="C45" t="s">
        <v>56</v>
      </c>
      <c r="D45" t="s">
        <v>33</v>
      </c>
      <c r="F45">
        <v>2</v>
      </c>
      <c r="G45">
        <v>1</v>
      </c>
      <c r="J45">
        <f t="shared" si="0"/>
        <v>252</v>
      </c>
      <c r="L45">
        <f t="shared" si="1"/>
        <v>0.1125</v>
      </c>
    </row>
    <row r="46" spans="1:12" x14ac:dyDescent="0.25">
      <c r="A46">
        <v>1726</v>
      </c>
      <c r="B46" t="s">
        <v>61</v>
      </c>
      <c r="C46" t="s">
        <v>56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1726</v>
      </c>
      <c r="B47" t="s">
        <v>62</v>
      </c>
      <c r="C47" t="s">
        <v>56</v>
      </c>
      <c r="D47" t="s">
        <v>33</v>
      </c>
      <c r="E47">
        <v>176</v>
      </c>
      <c r="F47">
        <v>16</v>
      </c>
      <c r="G47">
        <v>3</v>
      </c>
      <c r="H47">
        <v>14</v>
      </c>
      <c r="J47">
        <f t="shared" si="0"/>
        <v>396130</v>
      </c>
      <c r="L47">
        <f t="shared" si="1"/>
        <v>176.84375</v>
      </c>
    </row>
    <row r="48" spans="1:12" x14ac:dyDescent="0.25">
      <c r="A48">
        <v>1726</v>
      </c>
      <c r="B48" t="s">
        <v>63</v>
      </c>
      <c r="C48" t="s">
        <v>56</v>
      </c>
      <c r="D48" t="s">
        <v>33</v>
      </c>
      <c r="E48">
        <v>1</v>
      </c>
      <c r="F48">
        <v>9</v>
      </c>
      <c r="H48">
        <v>7</v>
      </c>
      <c r="J48">
        <f t="shared" si="0"/>
        <v>3255</v>
      </c>
      <c r="L48">
        <f t="shared" si="1"/>
        <v>1.453125</v>
      </c>
    </row>
    <row r="49" spans="1:12" x14ac:dyDescent="0.25">
      <c r="A49">
        <v>1726</v>
      </c>
      <c r="B49" t="s">
        <v>70</v>
      </c>
      <c r="C49" t="s">
        <v>56</v>
      </c>
      <c r="D49" t="s">
        <v>33</v>
      </c>
      <c r="E49">
        <v>25</v>
      </c>
      <c r="J49">
        <f t="shared" si="0"/>
        <v>56000</v>
      </c>
      <c r="L49">
        <f t="shared" si="1"/>
        <v>25</v>
      </c>
    </row>
    <row r="50" spans="1:12" x14ac:dyDescent="0.25">
      <c r="A50">
        <v>1726</v>
      </c>
      <c r="B50" t="s">
        <v>64</v>
      </c>
      <c r="C50" t="s">
        <v>56</v>
      </c>
      <c r="D50" t="s">
        <v>33</v>
      </c>
      <c r="H50">
        <v>66</v>
      </c>
      <c r="J50">
        <f t="shared" si="0"/>
        <v>66</v>
      </c>
      <c r="L50">
        <f t="shared" si="1"/>
        <v>2.9464285714285714E-2</v>
      </c>
    </row>
    <row r="51" spans="1:12" x14ac:dyDescent="0.25">
      <c r="A51">
        <v>1726</v>
      </c>
      <c r="B51" t="s">
        <v>65</v>
      </c>
      <c r="C51" t="s">
        <v>56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1726</v>
      </c>
      <c r="B52" t="s">
        <v>55</v>
      </c>
      <c r="C52" t="s">
        <v>56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1726</v>
      </c>
      <c r="B53" t="s">
        <v>57</v>
      </c>
      <c r="C53" t="s">
        <v>56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1726</v>
      </c>
      <c r="B54" t="s">
        <v>36</v>
      </c>
      <c r="C54" t="s">
        <v>56</v>
      </c>
      <c r="D54" t="s">
        <v>35</v>
      </c>
      <c r="H54">
        <v>450</v>
      </c>
      <c r="J54">
        <f t="shared" si="0"/>
        <v>450</v>
      </c>
      <c r="L54">
        <f t="shared" si="1"/>
        <v>0.20089285714285715</v>
      </c>
    </row>
    <row r="55" spans="1:12" x14ac:dyDescent="0.25">
      <c r="A55">
        <v>1726</v>
      </c>
      <c r="B55" t="s">
        <v>4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1726</v>
      </c>
      <c r="B56" t="s">
        <v>58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1726</v>
      </c>
      <c r="B57" t="s">
        <v>92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1726</v>
      </c>
      <c r="B58" t="s">
        <v>43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1726</v>
      </c>
      <c r="B59" t="s">
        <v>5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1726</v>
      </c>
      <c r="B60" t="s">
        <v>59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1726</v>
      </c>
      <c r="B61" t="s">
        <v>6</v>
      </c>
      <c r="C61" t="s">
        <v>56</v>
      </c>
      <c r="D61" t="s">
        <v>35</v>
      </c>
      <c r="F61">
        <v>52500</v>
      </c>
      <c r="G61">
        <v>3</v>
      </c>
      <c r="H61">
        <v>19</v>
      </c>
      <c r="J61">
        <f t="shared" si="0"/>
        <v>5880103</v>
      </c>
      <c r="L61">
        <f t="shared" si="1"/>
        <v>2625.0459821428572</v>
      </c>
    </row>
    <row r="62" spans="1:12" x14ac:dyDescent="0.25">
      <c r="A62">
        <v>1726</v>
      </c>
      <c r="B62" t="s">
        <v>60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1726</v>
      </c>
      <c r="B63" t="s">
        <v>38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1726</v>
      </c>
      <c r="B64" t="s">
        <v>37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1726</v>
      </c>
      <c r="B65" t="s">
        <v>8</v>
      </c>
      <c r="C65" t="s">
        <v>56</v>
      </c>
      <c r="D65" t="s">
        <v>35</v>
      </c>
      <c r="F65">
        <v>101</v>
      </c>
      <c r="G65">
        <v>1</v>
      </c>
      <c r="H65">
        <v>2</v>
      </c>
      <c r="J65">
        <f t="shared" si="0"/>
        <v>11342</v>
      </c>
      <c r="L65">
        <f t="shared" si="1"/>
        <v>5.0633928571428575</v>
      </c>
    </row>
    <row r="66" spans="1:12" x14ac:dyDescent="0.25">
      <c r="A66">
        <v>1726</v>
      </c>
      <c r="B66" t="s">
        <v>40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1726</v>
      </c>
      <c r="B67" t="s">
        <v>9</v>
      </c>
      <c r="C67" t="s">
        <v>56</v>
      </c>
      <c r="D67" t="s">
        <v>35</v>
      </c>
      <c r="H67">
        <v>43028</v>
      </c>
      <c r="J67">
        <f t="shared" si="0"/>
        <v>43028</v>
      </c>
      <c r="L67">
        <f t="shared" si="1"/>
        <v>19.208928571428572</v>
      </c>
    </row>
    <row r="68" spans="1:12" x14ac:dyDescent="0.25">
      <c r="A68">
        <v>1726</v>
      </c>
      <c r="B68" t="s">
        <v>10</v>
      </c>
      <c r="C68" t="s">
        <v>56</v>
      </c>
      <c r="D68" t="s">
        <v>35</v>
      </c>
      <c r="F68">
        <v>1051</v>
      </c>
      <c r="G68">
        <v>3</v>
      </c>
      <c r="H68">
        <v>20</v>
      </c>
      <c r="J68">
        <f t="shared" si="0"/>
        <v>117816</v>
      </c>
      <c r="L68">
        <f t="shared" si="1"/>
        <v>52.596428571428568</v>
      </c>
    </row>
    <row r="69" spans="1:12" x14ac:dyDescent="0.25">
      <c r="A69">
        <v>1726</v>
      </c>
      <c r="B69" t="s">
        <v>11</v>
      </c>
      <c r="C69" t="s">
        <v>56</v>
      </c>
      <c r="D69" t="s">
        <v>35</v>
      </c>
      <c r="F69">
        <v>179</v>
      </c>
      <c r="G69">
        <v>2</v>
      </c>
      <c r="H69">
        <v>11</v>
      </c>
      <c r="J69">
        <f t="shared" ref="J69:J103" si="2">(E69*2240)+(F69*112)+(G69*28)+H69</f>
        <v>20115</v>
      </c>
      <c r="L69">
        <f t="shared" ref="L69:L103" si="3">J69/2240</f>
        <v>8.9799107142857135</v>
      </c>
    </row>
    <row r="70" spans="1:12" x14ac:dyDescent="0.25">
      <c r="A70">
        <v>1726</v>
      </c>
      <c r="B70" t="s">
        <v>39</v>
      </c>
      <c r="C70" t="s">
        <v>56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1726</v>
      </c>
      <c r="B71" t="s">
        <v>79</v>
      </c>
      <c r="C71" t="s">
        <v>56</v>
      </c>
      <c r="D71" t="s">
        <v>35</v>
      </c>
      <c r="H71">
        <v>3444</v>
      </c>
      <c r="J71">
        <f t="shared" si="2"/>
        <v>3444</v>
      </c>
      <c r="L71">
        <f t="shared" si="3"/>
        <v>1.5375000000000001</v>
      </c>
    </row>
    <row r="72" spans="1:12" x14ac:dyDescent="0.25">
      <c r="A72">
        <v>1726</v>
      </c>
      <c r="B72" t="s">
        <v>44</v>
      </c>
      <c r="C72" t="s">
        <v>56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1726</v>
      </c>
      <c r="B73" t="s">
        <v>12</v>
      </c>
      <c r="C73" t="s">
        <v>56</v>
      </c>
      <c r="D73" t="s">
        <v>35</v>
      </c>
      <c r="H73">
        <v>800</v>
      </c>
      <c r="J73">
        <f t="shared" si="2"/>
        <v>800</v>
      </c>
      <c r="L73">
        <f t="shared" si="3"/>
        <v>0.35714285714285715</v>
      </c>
    </row>
    <row r="74" spans="1:12" x14ac:dyDescent="0.25">
      <c r="A74">
        <v>1726</v>
      </c>
      <c r="B74" t="s">
        <v>34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1726</v>
      </c>
      <c r="B75" t="s">
        <v>13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1726</v>
      </c>
      <c r="B76" t="s">
        <v>14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1726</v>
      </c>
      <c r="B77" t="s">
        <v>23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1726</v>
      </c>
      <c r="B78" t="s">
        <v>27</v>
      </c>
      <c r="C78" t="s">
        <v>56</v>
      </c>
      <c r="D78" t="s">
        <v>35</v>
      </c>
      <c r="H78">
        <v>10813</v>
      </c>
      <c r="I78" t="s">
        <v>143</v>
      </c>
      <c r="J78">
        <f t="shared" si="2"/>
        <v>10813</v>
      </c>
      <c r="L78">
        <f t="shared" si="3"/>
        <v>4.8272321428571425</v>
      </c>
    </row>
    <row r="79" spans="1:12" x14ac:dyDescent="0.25">
      <c r="A79">
        <v>1726</v>
      </c>
      <c r="B79" t="s">
        <v>15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1726</v>
      </c>
      <c r="B80" t="s">
        <v>93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1726</v>
      </c>
      <c r="B81" t="s">
        <v>42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1726</v>
      </c>
      <c r="B82" t="s">
        <v>47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1726</v>
      </c>
      <c r="B83" t="s">
        <v>16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1726</v>
      </c>
      <c r="B84" t="s">
        <v>106</v>
      </c>
      <c r="C84" t="s">
        <v>56</v>
      </c>
      <c r="D84" t="s">
        <v>35</v>
      </c>
      <c r="F84">
        <v>2</v>
      </c>
      <c r="H84">
        <v>16</v>
      </c>
      <c r="J84">
        <f t="shared" si="2"/>
        <v>240</v>
      </c>
      <c r="L84">
        <f t="shared" si="3"/>
        <v>0.10714285714285714</v>
      </c>
    </row>
    <row r="85" spans="1:12" x14ac:dyDescent="0.25">
      <c r="A85">
        <v>1726</v>
      </c>
      <c r="B85" t="s">
        <v>17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1726</v>
      </c>
      <c r="B86" t="s">
        <v>18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1726</v>
      </c>
      <c r="B87" t="s">
        <v>26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1726</v>
      </c>
      <c r="B88" t="s">
        <v>19</v>
      </c>
      <c r="C88" t="s">
        <v>56</v>
      </c>
      <c r="D88" t="s">
        <v>35</v>
      </c>
      <c r="F88">
        <v>1</v>
      </c>
      <c r="G88">
        <v>3</v>
      </c>
      <c r="J88">
        <f t="shared" si="2"/>
        <v>196</v>
      </c>
      <c r="L88">
        <f t="shared" si="3"/>
        <v>8.7499999999999994E-2</v>
      </c>
    </row>
    <row r="89" spans="1:12" x14ac:dyDescent="0.25">
      <c r="A89">
        <v>1726</v>
      </c>
      <c r="B89" t="s">
        <v>45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1726</v>
      </c>
      <c r="B90" t="s">
        <v>54</v>
      </c>
      <c r="C90" t="s">
        <v>56</v>
      </c>
      <c r="D90" t="s">
        <v>35</v>
      </c>
      <c r="H90">
        <v>64</v>
      </c>
      <c r="J90">
        <f t="shared" si="2"/>
        <v>64</v>
      </c>
      <c r="L90">
        <f t="shared" si="3"/>
        <v>2.8571428571428571E-2</v>
      </c>
    </row>
    <row r="91" spans="1:12" x14ac:dyDescent="0.25">
      <c r="A91">
        <v>1726</v>
      </c>
      <c r="B91" t="s">
        <v>71</v>
      </c>
      <c r="C91" t="s">
        <v>56</v>
      </c>
      <c r="D91" t="s">
        <v>35</v>
      </c>
      <c r="G91">
        <v>3</v>
      </c>
      <c r="J91">
        <f t="shared" si="2"/>
        <v>84</v>
      </c>
      <c r="L91">
        <f t="shared" si="3"/>
        <v>3.7499999999999999E-2</v>
      </c>
    </row>
    <row r="92" spans="1:12" x14ac:dyDescent="0.25">
      <c r="A92">
        <v>1726</v>
      </c>
      <c r="B92" t="s">
        <v>95</v>
      </c>
      <c r="C92" t="s">
        <v>56</v>
      </c>
      <c r="D92" t="s">
        <v>35</v>
      </c>
      <c r="H92">
        <v>20</v>
      </c>
      <c r="J92">
        <f t="shared" si="2"/>
        <v>20</v>
      </c>
      <c r="L92">
        <f t="shared" si="3"/>
        <v>8.9285714285714281E-3</v>
      </c>
    </row>
    <row r="93" spans="1:12" x14ac:dyDescent="0.25">
      <c r="A93">
        <v>1726</v>
      </c>
      <c r="B93" t="s">
        <v>20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1726</v>
      </c>
      <c r="B94" t="s">
        <v>21</v>
      </c>
      <c r="C94" t="s">
        <v>56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1726</v>
      </c>
      <c r="B95" t="s">
        <v>90</v>
      </c>
      <c r="C95" t="s">
        <v>56</v>
      </c>
      <c r="D95" t="s">
        <v>35</v>
      </c>
      <c r="H95">
        <v>14</v>
      </c>
      <c r="J95">
        <f t="shared" si="2"/>
        <v>14</v>
      </c>
      <c r="L95">
        <f t="shared" si="3"/>
        <v>6.2500000000000003E-3</v>
      </c>
    </row>
    <row r="96" spans="1:12" x14ac:dyDescent="0.25">
      <c r="A96">
        <v>1726</v>
      </c>
      <c r="B96" t="s">
        <v>22</v>
      </c>
      <c r="C96" t="s">
        <v>56</v>
      </c>
      <c r="D96" t="s">
        <v>35</v>
      </c>
      <c r="F96">
        <v>28</v>
      </c>
      <c r="J96">
        <f t="shared" si="2"/>
        <v>3136</v>
      </c>
      <c r="L96">
        <f t="shared" si="3"/>
        <v>1.4</v>
      </c>
    </row>
    <row r="97" spans="1:12" x14ac:dyDescent="0.25">
      <c r="A97">
        <v>1726</v>
      </c>
      <c r="B97" t="s">
        <v>61</v>
      </c>
      <c r="C97" t="s">
        <v>56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1726</v>
      </c>
      <c r="B98" t="s">
        <v>62</v>
      </c>
      <c r="C98" t="s">
        <v>56</v>
      </c>
      <c r="D98" t="s">
        <v>35</v>
      </c>
      <c r="E98">
        <v>390</v>
      </c>
      <c r="F98">
        <v>6</v>
      </c>
      <c r="G98">
        <v>3</v>
      </c>
      <c r="H98">
        <v>9</v>
      </c>
      <c r="J98">
        <f t="shared" si="2"/>
        <v>874365</v>
      </c>
      <c r="L98">
        <f t="shared" si="3"/>
        <v>390.34151785714283</v>
      </c>
    </row>
    <row r="99" spans="1:12" x14ac:dyDescent="0.25">
      <c r="A99">
        <v>1726</v>
      </c>
      <c r="B99" t="s">
        <v>63</v>
      </c>
      <c r="C99" t="s">
        <v>56</v>
      </c>
      <c r="D99" t="s">
        <v>35</v>
      </c>
      <c r="E99">
        <v>12</v>
      </c>
      <c r="F99">
        <v>9</v>
      </c>
      <c r="J99">
        <f t="shared" si="2"/>
        <v>27888</v>
      </c>
      <c r="L99">
        <f t="shared" si="3"/>
        <v>12.45</v>
      </c>
    </row>
    <row r="100" spans="1:12" x14ac:dyDescent="0.25">
      <c r="A100">
        <v>1726</v>
      </c>
      <c r="B100" t="s">
        <v>89</v>
      </c>
      <c r="C100" t="s">
        <v>56</v>
      </c>
      <c r="D100" t="s">
        <v>35</v>
      </c>
      <c r="F100">
        <v>11</v>
      </c>
      <c r="G100">
        <v>2</v>
      </c>
      <c r="J100">
        <f t="shared" si="2"/>
        <v>1288</v>
      </c>
      <c r="L100">
        <f t="shared" si="3"/>
        <v>0.57499999999999996</v>
      </c>
    </row>
    <row r="101" spans="1:12" x14ac:dyDescent="0.25">
      <c r="A101">
        <v>1726</v>
      </c>
      <c r="B101" t="s">
        <v>70</v>
      </c>
      <c r="C101" t="s">
        <v>56</v>
      </c>
      <c r="D101" t="s">
        <v>35</v>
      </c>
      <c r="E101">
        <v>9</v>
      </c>
      <c r="J101">
        <f t="shared" si="2"/>
        <v>20160</v>
      </c>
      <c r="L101">
        <f t="shared" si="3"/>
        <v>9</v>
      </c>
    </row>
    <row r="102" spans="1:12" x14ac:dyDescent="0.25">
      <c r="A102">
        <v>1726</v>
      </c>
      <c r="B102" t="s">
        <v>64</v>
      </c>
      <c r="C102" t="s">
        <v>56</v>
      </c>
      <c r="D102" t="s">
        <v>35</v>
      </c>
      <c r="E102">
        <v>11</v>
      </c>
      <c r="F102">
        <v>2</v>
      </c>
      <c r="H102">
        <v>3</v>
      </c>
      <c r="J102">
        <f t="shared" si="2"/>
        <v>24867</v>
      </c>
      <c r="L102">
        <f t="shared" si="3"/>
        <v>11.101339285714285</v>
      </c>
    </row>
    <row r="103" spans="1:12" x14ac:dyDescent="0.25">
      <c r="A103">
        <v>1726</v>
      </c>
      <c r="B103" t="s">
        <v>65</v>
      </c>
      <c r="C103" t="s">
        <v>56</v>
      </c>
      <c r="D103" t="s">
        <v>35</v>
      </c>
      <c r="J103">
        <f t="shared" si="2"/>
        <v>0</v>
      </c>
      <c r="L103">
        <f t="shared" si="3"/>
        <v>0</v>
      </c>
    </row>
  </sheetData>
  <autoFilter ref="A1:N55" xr:uid="{AAD1F908-12B8-4B3A-A65D-184CD229ACD4}">
    <sortState xmlns:xlrd2="http://schemas.microsoft.com/office/spreadsheetml/2017/richdata2" ref="A2:N55">
      <sortCondition ref="B1:B5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30"/>
  <sheetViews>
    <sheetView workbookViewId="0">
      <selection activeCell="H14" sqref="H14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1726</v>
      </c>
      <c r="B2" t="s">
        <v>66</v>
      </c>
      <c r="C2" t="s">
        <v>67</v>
      </c>
      <c r="D2" t="s">
        <v>33</v>
      </c>
      <c r="J2">
        <f t="shared" ref="J2:J30" si="0">(E2*2240)+(F2*112)+(G2*28)+H2</f>
        <v>0</v>
      </c>
      <c r="L2">
        <f t="shared" ref="L2:L30" si="1">J2/2240</f>
        <v>0</v>
      </c>
    </row>
    <row r="3" spans="1:12" x14ac:dyDescent="0.25">
      <c r="A3">
        <v>1726</v>
      </c>
      <c r="B3" t="s">
        <v>6</v>
      </c>
      <c r="C3" t="s">
        <v>67</v>
      </c>
      <c r="D3" t="s">
        <v>33</v>
      </c>
      <c r="E3" s="1"/>
      <c r="F3">
        <v>378</v>
      </c>
      <c r="H3">
        <v>6</v>
      </c>
      <c r="I3" s="1"/>
      <c r="J3">
        <f t="shared" si="0"/>
        <v>42342</v>
      </c>
      <c r="K3" s="1"/>
      <c r="L3">
        <f t="shared" si="1"/>
        <v>18.90267857142857</v>
      </c>
    </row>
    <row r="4" spans="1:12" x14ac:dyDescent="0.25">
      <c r="A4">
        <v>1726</v>
      </c>
      <c r="B4" t="s">
        <v>8</v>
      </c>
      <c r="C4" t="s">
        <v>67</v>
      </c>
      <c r="D4" t="s">
        <v>33</v>
      </c>
      <c r="E4" s="1"/>
      <c r="F4">
        <v>540</v>
      </c>
      <c r="G4" s="1"/>
      <c r="I4" s="1"/>
      <c r="J4">
        <f t="shared" si="0"/>
        <v>60480</v>
      </c>
      <c r="K4" s="1"/>
      <c r="L4">
        <f t="shared" si="1"/>
        <v>27</v>
      </c>
    </row>
    <row r="5" spans="1:12" x14ac:dyDescent="0.25">
      <c r="A5">
        <v>1726</v>
      </c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1726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1726</v>
      </c>
      <c r="B7" t="s">
        <v>12</v>
      </c>
      <c r="C7" t="s">
        <v>67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1726</v>
      </c>
      <c r="B8" t="s">
        <v>14</v>
      </c>
      <c r="C8" t="s">
        <v>67</v>
      </c>
      <c r="D8" t="s">
        <v>33</v>
      </c>
      <c r="H8">
        <v>780</v>
      </c>
      <c r="I8" t="s">
        <v>116</v>
      </c>
      <c r="J8">
        <f t="shared" si="0"/>
        <v>780</v>
      </c>
      <c r="L8">
        <f t="shared" si="1"/>
        <v>0.3482142857142857</v>
      </c>
    </row>
    <row r="9" spans="1:12" x14ac:dyDescent="0.25">
      <c r="A9">
        <v>1726</v>
      </c>
      <c r="B9" t="s">
        <v>27</v>
      </c>
      <c r="C9" t="s">
        <v>67</v>
      </c>
      <c r="D9" t="s">
        <v>33</v>
      </c>
      <c r="H9">
        <v>2560.5</v>
      </c>
      <c r="I9" t="s">
        <v>118</v>
      </c>
      <c r="J9">
        <f t="shared" si="0"/>
        <v>2560.5</v>
      </c>
      <c r="K9" s="1"/>
      <c r="L9">
        <f t="shared" si="1"/>
        <v>1.1430803571428572</v>
      </c>
    </row>
    <row r="10" spans="1:12" x14ac:dyDescent="0.25">
      <c r="A10">
        <v>1726</v>
      </c>
      <c r="B10" t="s">
        <v>15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1726</v>
      </c>
      <c r="B11" t="s">
        <v>17</v>
      </c>
      <c r="C11" t="s">
        <v>67</v>
      </c>
      <c r="D11" t="s">
        <v>33</v>
      </c>
      <c r="F11">
        <v>436</v>
      </c>
      <c r="G11">
        <v>1</v>
      </c>
      <c r="J11">
        <f t="shared" si="0"/>
        <v>48860</v>
      </c>
      <c r="K11" s="1"/>
      <c r="L11">
        <f t="shared" si="1"/>
        <v>21.8125</v>
      </c>
    </row>
    <row r="12" spans="1:12" x14ac:dyDescent="0.25">
      <c r="A12">
        <v>1726</v>
      </c>
      <c r="B12" t="s">
        <v>18</v>
      </c>
      <c r="C12" t="s">
        <v>67</v>
      </c>
      <c r="D12" t="s">
        <v>33</v>
      </c>
      <c r="H12">
        <v>420</v>
      </c>
      <c r="I12" t="s">
        <v>117</v>
      </c>
      <c r="J12">
        <f t="shared" si="0"/>
        <v>420</v>
      </c>
      <c r="L12">
        <f t="shared" si="1"/>
        <v>0.1875</v>
      </c>
    </row>
    <row r="13" spans="1:12" x14ac:dyDescent="0.25">
      <c r="A13">
        <v>1726</v>
      </c>
      <c r="B13" t="s">
        <v>19</v>
      </c>
      <c r="C13" t="s">
        <v>67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1726</v>
      </c>
      <c r="B14" t="s">
        <v>54</v>
      </c>
      <c r="C14" t="s">
        <v>67</v>
      </c>
      <c r="D14" t="s">
        <v>33</v>
      </c>
      <c r="H14">
        <v>8</v>
      </c>
      <c r="J14">
        <f t="shared" si="0"/>
        <v>8</v>
      </c>
      <c r="L14">
        <f t="shared" si="1"/>
        <v>3.5714285714285713E-3</v>
      </c>
    </row>
    <row r="15" spans="1:12" x14ac:dyDescent="0.25">
      <c r="A15">
        <v>1726</v>
      </c>
      <c r="B15" t="s">
        <v>21</v>
      </c>
      <c r="C15" t="s">
        <v>67</v>
      </c>
      <c r="D15" t="s">
        <v>33</v>
      </c>
      <c r="H15">
        <v>221</v>
      </c>
      <c r="J15">
        <f t="shared" si="0"/>
        <v>221</v>
      </c>
      <c r="L15">
        <f t="shared" si="1"/>
        <v>9.8660714285714282E-2</v>
      </c>
    </row>
    <row r="16" spans="1:12" x14ac:dyDescent="0.25">
      <c r="A16">
        <v>1726</v>
      </c>
      <c r="B16" t="s">
        <v>90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1726</v>
      </c>
      <c r="B17" t="s">
        <v>61</v>
      </c>
      <c r="C17" t="s">
        <v>67</v>
      </c>
      <c r="D17" t="s">
        <v>33</v>
      </c>
      <c r="E17">
        <v>30</v>
      </c>
      <c r="F17">
        <v>5</v>
      </c>
      <c r="J17">
        <f t="shared" si="0"/>
        <v>67760</v>
      </c>
      <c r="L17">
        <f t="shared" si="1"/>
        <v>30.25</v>
      </c>
    </row>
    <row r="18" spans="1:12" x14ac:dyDescent="0.25">
      <c r="A18">
        <v>1726</v>
      </c>
      <c r="B18" t="s">
        <v>62</v>
      </c>
      <c r="C18" t="s">
        <v>67</v>
      </c>
      <c r="D18" t="s">
        <v>33</v>
      </c>
      <c r="E18">
        <v>35</v>
      </c>
      <c r="J18">
        <f t="shared" si="0"/>
        <v>78400</v>
      </c>
      <c r="L18">
        <f t="shared" si="1"/>
        <v>35</v>
      </c>
    </row>
    <row r="19" spans="1:12" x14ac:dyDescent="0.25">
      <c r="A19">
        <v>1726</v>
      </c>
      <c r="B19" t="s">
        <v>63</v>
      </c>
      <c r="C19" t="s">
        <v>67</v>
      </c>
      <c r="D19" t="s">
        <v>33</v>
      </c>
      <c r="E19">
        <v>149</v>
      </c>
      <c r="F19">
        <v>17</v>
      </c>
      <c r="J19">
        <f t="shared" si="0"/>
        <v>335664</v>
      </c>
      <c r="L19">
        <f t="shared" si="1"/>
        <v>149.85</v>
      </c>
    </row>
    <row r="20" spans="1:12" x14ac:dyDescent="0.25">
      <c r="A20">
        <v>1726</v>
      </c>
      <c r="B20" t="s">
        <v>6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1726</v>
      </c>
      <c r="B21" t="s">
        <v>12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1726</v>
      </c>
      <c r="B22" t="s">
        <v>41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1726</v>
      </c>
      <c r="B23" t="s">
        <v>27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1726</v>
      </c>
      <c r="B24" t="s">
        <v>17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1726</v>
      </c>
      <c r="B25" t="s">
        <v>19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1726</v>
      </c>
      <c r="B26" t="s">
        <v>54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1726</v>
      </c>
      <c r="B27" t="s">
        <v>9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1726</v>
      </c>
      <c r="B28" t="s">
        <v>8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1726</v>
      </c>
      <c r="B29" t="s">
        <v>61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  <row r="30" spans="1:12" x14ac:dyDescent="0.25">
      <c r="A30">
        <v>1726</v>
      </c>
      <c r="B30" t="s">
        <v>63</v>
      </c>
      <c r="C30" t="s">
        <v>67</v>
      </c>
      <c r="D30" t="s">
        <v>35</v>
      </c>
      <c r="J30">
        <f t="shared" si="0"/>
        <v>0</v>
      </c>
      <c r="L30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1"/>
  <sheetViews>
    <sheetView topLeftCell="A23" zoomScaleNormal="100" workbookViewId="0">
      <selection activeCell="H24" sqref="H2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1726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1726</v>
      </c>
      <c r="B3" t="s">
        <v>57</v>
      </c>
      <c r="C3" t="s">
        <v>68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2" x14ac:dyDescent="0.25">
      <c r="A4">
        <v>1726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1726</v>
      </c>
      <c r="B5" t="s">
        <v>4</v>
      </c>
      <c r="C5" t="s">
        <v>68</v>
      </c>
      <c r="D5" t="s">
        <v>33</v>
      </c>
      <c r="H5">
        <v>6832</v>
      </c>
      <c r="J5">
        <f t="shared" si="0"/>
        <v>6832</v>
      </c>
      <c r="L5">
        <f t="shared" si="1"/>
        <v>3.05</v>
      </c>
    </row>
    <row r="6" spans="1:12" x14ac:dyDescent="0.25">
      <c r="A6">
        <v>1726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1726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1726</v>
      </c>
      <c r="B8" t="s">
        <v>101</v>
      </c>
      <c r="C8" t="s">
        <v>68</v>
      </c>
      <c r="D8" t="s">
        <v>33</v>
      </c>
      <c r="H8">
        <v>847</v>
      </c>
      <c r="J8">
        <f t="shared" si="0"/>
        <v>847</v>
      </c>
      <c r="L8">
        <f t="shared" si="1"/>
        <v>0.37812499999999999</v>
      </c>
    </row>
    <row r="9" spans="1:12" x14ac:dyDescent="0.25">
      <c r="A9">
        <v>1726</v>
      </c>
      <c r="B9" t="s">
        <v>43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1726</v>
      </c>
      <c r="B10" t="s">
        <v>76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1726</v>
      </c>
      <c r="B11" t="s">
        <v>5</v>
      </c>
      <c r="C11" t="s">
        <v>68</v>
      </c>
      <c r="D11" t="s">
        <v>33</v>
      </c>
      <c r="F11">
        <v>15</v>
      </c>
      <c r="G11">
        <v>3</v>
      </c>
      <c r="H11">
        <v>17</v>
      </c>
      <c r="J11">
        <f t="shared" si="0"/>
        <v>1781</v>
      </c>
      <c r="L11">
        <f t="shared" si="1"/>
        <v>0.79508928571428572</v>
      </c>
    </row>
    <row r="12" spans="1:12" x14ac:dyDescent="0.25">
      <c r="A12">
        <v>1726</v>
      </c>
      <c r="B12" t="s">
        <v>59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1726</v>
      </c>
      <c r="B13" t="s">
        <v>6</v>
      </c>
      <c r="C13" t="s">
        <v>68</v>
      </c>
      <c r="D13" t="s">
        <v>33</v>
      </c>
      <c r="F13">
        <v>155858</v>
      </c>
      <c r="G13">
        <v>1</v>
      </c>
      <c r="H13">
        <v>11</v>
      </c>
      <c r="J13">
        <f t="shared" si="0"/>
        <v>17456135</v>
      </c>
      <c r="L13">
        <f t="shared" si="1"/>
        <v>7792.9174107142853</v>
      </c>
    </row>
    <row r="14" spans="1:12" x14ac:dyDescent="0.25">
      <c r="A14">
        <v>1726</v>
      </c>
      <c r="B14" t="s">
        <v>96</v>
      </c>
      <c r="C14" t="s">
        <v>68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1726</v>
      </c>
      <c r="B15" t="s">
        <v>60</v>
      </c>
      <c r="C15" t="s">
        <v>68</v>
      </c>
      <c r="D15" t="s">
        <v>33</v>
      </c>
      <c r="H15">
        <v>223</v>
      </c>
      <c r="J15">
        <f t="shared" si="0"/>
        <v>223</v>
      </c>
      <c r="L15">
        <f t="shared" si="1"/>
        <v>9.9553571428571422E-2</v>
      </c>
    </row>
    <row r="16" spans="1:12" x14ac:dyDescent="0.25">
      <c r="A16">
        <v>1726</v>
      </c>
      <c r="B16" t="s">
        <v>7</v>
      </c>
      <c r="C16" t="s">
        <v>68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1726</v>
      </c>
      <c r="B17" t="s">
        <v>37</v>
      </c>
      <c r="C17" t="s">
        <v>68</v>
      </c>
      <c r="D17" t="s">
        <v>33</v>
      </c>
      <c r="H17">
        <v>27746</v>
      </c>
      <c r="J17">
        <f t="shared" si="0"/>
        <v>27746</v>
      </c>
      <c r="L17">
        <f t="shared" si="1"/>
        <v>12.386607142857143</v>
      </c>
    </row>
    <row r="18" spans="1:12" x14ac:dyDescent="0.25">
      <c r="A18">
        <v>1726</v>
      </c>
      <c r="B18" t="s">
        <v>8</v>
      </c>
      <c r="C18" t="s">
        <v>68</v>
      </c>
      <c r="D18" t="s">
        <v>33</v>
      </c>
      <c r="F18">
        <v>524</v>
      </c>
      <c r="G18">
        <v>3</v>
      </c>
      <c r="H18">
        <v>27</v>
      </c>
      <c r="J18">
        <f t="shared" si="0"/>
        <v>58799</v>
      </c>
      <c r="L18">
        <f t="shared" si="1"/>
        <v>26.249553571428571</v>
      </c>
    </row>
    <row r="19" spans="1:12" x14ac:dyDescent="0.25">
      <c r="A19">
        <v>1726</v>
      </c>
      <c r="B19" t="s">
        <v>40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1726</v>
      </c>
      <c r="B20" t="s">
        <v>77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1726</v>
      </c>
      <c r="B21" t="s">
        <v>78</v>
      </c>
      <c r="C21" t="s">
        <v>68</v>
      </c>
      <c r="D21" t="s">
        <v>33</v>
      </c>
      <c r="H21">
        <v>2852</v>
      </c>
      <c r="J21">
        <f t="shared" si="0"/>
        <v>2852</v>
      </c>
      <c r="L21">
        <f t="shared" si="1"/>
        <v>1.2732142857142856</v>
      </c>
    </row>
    <row r="22" spans="1:12" x14ac:dyDescent="0.25">
      <c r="A22">
        <v>1726</v>
      </c>
      <c r="B22" t="s">
        <v>46</v>
      </c>
      <c r="C22" t="s">
        <v>68</v>
      </c>
      <c r="D22" t="s">
        <v>33</v>
      </c>
      <c r="H22">
        <v>1982</v>
      </c>
      <c r="J22">
        <f t="shared" si="0"/>
        <v>1982</v>
      </c>
      <c r="L22">
        <f t="shared" si="1"/>
        <v>0.88482142857142854</v>
      </c>
    </row>
    <row r="23" spans="1:12" x14ac:dyDescent="0.25">
      <c r="A23">
        <v>1726</v>
      </c>
      <c r="B23" t="s">
        <v>9</v>
      </c>
      <c r="C23" t="s">
        <v>68</v>
      </c>
      <c r="D23" t="s">
        <v>33</v>
      </c>
      <c r="H23">
        <f>756*200</f>
        <v>151200</v>
      </c>
      <c r="I23" t="s">
        <v>126</v>
      </c>
      <c r="J23">
        <f t="shared" si="0"/>
        <v>151200</v>
      </c>
      <c r="L23">
        <f t="shared" si="1"/>
        <v>67.5</v>
      </c>
    </row>
    <row r="24" spans="1:12" x14ac:dyDescent="0.25">
      <c r="A24">
        <v>1726</v>
      </c>
      <c r="B24" t="s">
        <v>10</v>
      </c>
      <c r="C24" t="s">
        <v>68</v>
      </c>
      <c r="D24" t="s">
        <v>33</v>
      </c>
      <c r="F24">
        <v>3436</v>
      </c>
      <c r="H24">
        <v>13</v>
      </c>
      <c r="J24">
        <f t="shared" si="0"/>
        <v>384845</v>
      </c>
      <c r="L24">
        <f t="shared" si="1"/>
        <v>171.80580357142858</v>
      </c>
    </row>
    <row r="25" spans="1:12" x14ac:dyDescent="0.25">
      <c r="A25">
        <v>1726</v>
      </c>
      <c r="B25" t="s">
        <v>11</v>
      </c>
      <c r="C25" t="s">
        <v>68</v>
      </c>
      <c r="D25" t="s">
        <v>33</v>
      </c>
      <c r="F25">
        <v>330</v>
      </c>
      <c r="G25">
        <v>3</v>
      </c>
      <c r="H25">
        <v>18</v>
      </c>
      <c r="J25">
        <f t="shared" si="0"/>
        <v>37062</v>
      </c>
      <c r="L25">
        <f t="shared" si="1"/>
        <v>16.545535714285716</v>
      </c>
    </row>
    <row r="26" spans="1:12" x14ac:dyDescent="0.25">
      <c r="A26">
        <v>1726</v>
      </c>
      <c r="B26" t="s">
        <v>39</v>
      </c>
      <c r="C26" t="s">
        <v>68</v>
      </c>
      <c r="D26" t="s">
        <v>33</v>
      </c>
      <c r="H26">
        <v>10</v>
      </c>
      <c r="J26">
        <f t="shared" si="0"/>
        <v>10</v>
      </c>
      <c r="L26">
        <f t="shared" si="1"/>
        <v>4.464285714285714E-3</v>
      </c>
    </row>
    <row r="27" spans="1:12" x14ac:dyDescent="0.25">
      <c r="A27">
        <v>1726</v>
      </c>
      <c r="B27" t="s">
        <v>79</v>
      </c>
      <c r="C27" t="s">
        <v>68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1726</v>
      </c>
      <c r="B28" t="s">
        <v>119</v>
      </c>
      <c r="C28" t="s">
        <v>68</v>
      </c>
      <c r="D28" t="s">
        <v>33</v>
      </c>
      <c r="H28">
        <v>2029</v>
      </c>
      <c r="J28">
        <f t="shared" si="0"/>
        <v>2029</v>
      </c>
      <c r="L28">
        <f t="shared" si="1"/>
        <v>0.90580357142857137</v>
      </c>
    </row>
    <row r="29" spans="1:12" x14ac:dyDescent="0.25">
      <c r="A29">
        <v>1726</v>
      </c>
      <c r="B29" t="s">
        <v>103</v>
      </c>
      <c r="C29" t="s">
        <v>68</v>
      </c>
      <c r="D29" t="s">
        <v>33</v>
      </c>
      <c r="H29">
        <v>1230</v>
      </c>
      <c r="J29">
        <f t="shared" si="0"/>
        <v>1230</v>
      </c>
      <c r="L29">
        <f t="shared" si="1"/>
        <v>0.5491071428571429</v>
      </c>
    </row>
    <row r="30" spans="1:12" x14ac:dyDescent="0.25">
      <c r="A30">
        <v>1726</v>
      </c>
      <c r="B30" t="s">
        <v>44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1726</v>
      </c>
      <c r="B31" t="s">
        <v>97</v>
      </c>
      <c r="C31" t="s">
        <v>68</v>
      </c>
      <c r="D31" t="s">
        <v>33</v>
      </c>
      <c r="H31">
        <v>310</v>
      </c>
      <c r="J31">
        <f t="shared" si="0"/>
        <v>310</v>
      </c>
      <c r="L31">
        <f t="shared" si="1"/>
        <v>0.13839285714285715</v>
      </c>
    </row>
    <row r="32" spans="1:12" x14ac:dyDescent="0.25">
      <c r="A32">
        <v>1726</v>
      </c>
      <c r="B32" t="s">
        <v>12</v>
      </c>
      <c r="C32" t="s">
        <v>68</v>
      </c>
      <c r="D32" t="s">
        <v>33</v>
      </c>
      <c r="H32">
        <v>266077</v>
      </c>
      <c r="J32">
        <f t="shared" si="0"/>
        <v>266077</v>
      </c>
      <c r="L32">
        <f t="shared" si="1"/>
        <v>118.784375</v>
      </c>
    </row>
    <row r="33" spans="1:12" x14ac:dyDescent="0.25">
      <c r="A33">
        <v>1726</v>
      </c>
      <c r="B33" t="s">
        <v>120</v>
      </c>
      <c r="C33" t="s">
        <v>68</v>
      </c>
      <c r="D33" t="s">
        <v>33</v>
      </c>
      <c r="H33">
        <v>2130</v>
      </c>
      <c r="J33">
        <f t="shared" si="0"/>
        <v>2130</v>
      </c>
      <c r="L33">
        <f t="shared" si="1"/>
        <v>0.9508928571428571</v>
      </c>
    </row>
    <row r="34" spans="1:12" x14ac:dyDescent="0.25">
      <c r="A34">
        <v>1726</v>
      </c>
      <c r="B34" t="s">
        <v>34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1726</v>
      </c>
      <c r="B35" t="s">
        <v>13</v>
      </c>
      <c r="C35" t="s">
        <v>68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1726</v>
      </c>
      <c r="B36" t="s">
        <v>14</v>
      </c>
      <c r="C36" t="s">
        <v>68</v>
      </c>
      <c r="D36" t="s">
        <v>33</v>
      </c>
      <c r="H36">
        <v>19820</v>
      </c>
      <c r="I36" t="s">
        <v>121</v>
      </c>
      <c r="J36">
        <f t="shared" si="0"/>
        <v>19820</v>
      </c>
      <c r="L36">
        <f t="shared" si="1"/>
        <v>8.8482142857142865</v>
      </c>
    </row>
    <row r="37" spans="1:12" x14ac:dyDescent="0.25">
      <c r="A37">
        <v>1726</v>
      </c>
      <c r="B37" t="s">
        <v>23</v>
      </c>
      <c r="C37" t="s">
        <v>68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1726</v>
      </c>
      <c r="B38" t="s">
        <v>27</v>
      </c>
      <c r="C38" t="s">
        <v>68</v>
      </c>
      <c r="D38" t="s">
        <v>33</v>
      </c>
      <c r="H38">
        <v>43391</v>
      </c>
      <c r="I38" t="s">
        <v>124</v>
      </c>
      <c r="J38">
        <f t="shared" si="0"/>
        <v>43391</v>
      </c>
      <c r="L38">
        <f t="shared" si="1"/>
        <v>19.370982142857144</v>
      </c>
    </row>
    <row r="39" spans="1:12" x14ac:dyDescent="0.25">
      <c r="A39">
        <v>1726</v>
      </c>
      <c r="B39" t="s">
        <v>15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1726</v>
      </c>
      <c r="B40" t="s">
        <v>42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1726</v>
      </c>
      <c r="B41" t="s">
        <v>83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1726</v>
      </c>
      <c r="B42" t="s">
        <v>47</v>
      </c>
      <c r="C42" t="s">
        <v>68</v>
      </c>
      <c r="D42" t="s">
        <v>33</v>
      </c>
      <c r="H42">
        <v>255</v>
      </c>
      <c r="I42" t="s">
        <v>122</v>
      </c>
      <c r="J42">
        <f t="shared" si="0"/>
        <v>255</v>
      </c>
      <c r="L42">
        <f t="shared" si="1"/>
        <v>0.11383928571428571</v>
      </c>
    </row>
    <row r="43" spans="1:12" x14ac:dyDescent="0.25">
      <c r="A43">
        <v>1726</v>
      </c>
      <c r="B43" t="s">
        <v>16</v>
      </c>
      <c r="C43" t="s">
        <v>68</v>
      </c>
      <c r="D43" t="s">
        <v>33</v>
      </c>
      <c r="H43">
        <v>124670</v>
      </c>
      <c r="J43">
        <f t="shared" si="0"/>
        <v>124670</v>
      </c>
      <c r="L43">
        <f t="shared" si="1"/>
        <v>55.65625</v>
      </c>
    </row>
    <row r="44" spans="1:12" x14ac:dyDescent="0.25">
      <c r="A44">
        <v>1726</v>
      </c>
      <c r="B44" t="s">
        <v>17</v>
      </c>
      <c r="C44" t="s">
        <v>68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1726</v>
      </c>
      <c r="B45" t="s">
        <v>18</v>
      </c>
      <c r="C45" t="s">
        <v>68</v>
      </c>
      <c r="D45" t="s">
        <v>33</v>
      </c>
      <c r="H45">
        <v>613667.5</v>
      </c>
      <c r="I45" t="s">
        <v>123</v>
      </c>
      <c r="J45">
        <f t="shared" si="0"/>
        <v>613667.5</v>
      </c>
      <c r="L45">
        <f t="shared" si="1"/>
        <v>273.95870535714283</v>
      </c>
    </row>
    <row r="46" spans="1:12" x14ac:dyDescent="0.25">
      <c r="A46">
        <v>1726</v>
      </c>
      <c r="B46" t="s">
        <v>26</v>
      </c>
      <c r="C46" t="s">
        <v>68</v>
      </c>
      <c r="D46" t="s">
        <v>33</v>
      </c>
      <c r="H46">
        <v>41916</v>
      </c>
      <c r="J46">
        <f t="shared" si="0"/>
        <v>41916</v>
      </c>
      <c r="L46">
        <f t="shared" si="1"/>
        <v>18.712499999999999</v>
      </c>
    </row>
    <row r="47" spans="1:12" x14ac:dyDescent="0.25">
      <c r="A47">
        <v>1726</v>
      </c>
      <c r="B47" t="s">
        <v>84</v>
      </c>
      <c r="C47" t="s">
        <v>68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1726</v>
      </c>
      <c r="B48" t="s">
        <v>19</v>
      </c>
      <c r="C48" t="s">
        <v>68</v>
      </c>
      <c r="D48" t="s">
        <v>33</v>
      </c>
      <c r="F48">
        <v>59</v>
      </c>
      <c r="H48">
        <v>6</v>
      </c>
      <c r="J48">
        <f t="shared" si="0"/>
        <v>6614</v>
      </c>
      <c r="L48">
        <f t="shared" si="1"/>
        <v>2.9526785714285713</v>
      </c>
    </row>
    <row r="49" spans="1:12" x14ac:dyDescent="0.25">
      <c r="A49">
        <v>1726</v>
      </c>
      <c r="B49" t="s">
        <v>45</v>
      </c>
      <c r="C49" t="s">
        <v>68</v>
      </c>
      <c r="D49" t="s">
        <v>33</v>
      </c>
      <c r="H49">
        <v>101011</v>
      </c>
      <c r="J49">
        <f t="shared" si="0"/>
        <v>101011</v>
      </c>
      <c r="L49">
        <f t="shared" si="1"/>
        <v>45.094196428571429</v>
      </c>
    </row>
    <row r="50" spans="1:12" x14ac:dyDescent="0.25">
      <c r="A50">
        <v>1726</v>
      </c>
      <c r="B50" t="s">
        <v>85</v>
      </c>
      <c r="C50" t="s">
        <v>68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1726</v>
      </c>
      <c r="B51" t="s">
        <v>54</v>
      </c>
      <c r="C51" t="s">
        <v>68</v>
      </c>
      <c r="D51" t="s">
        <v>33</v>
      </c>
      <c r="H51">
        <v>1835</v>
      </c>
      <c r="J51">
        <f t="shared" si="0"/>
        <v>1835</v>
      </c>
      <c r="L51">
        <f t="shared" si="1"/>
        <v>0.8191964285714286</v>
      </c>
    </row>
    <row r="52" spans="1:12" x14ac:dyDescent="0.25">
      <c r="A52">
        <v>1726</v>
      </c>
      <c r="B52" t="s">
        <v>95</v>
      </c>
      <c r="C52" t="s">
        <v>68</v>
      </c>
      <c r="D52" t="s">
        <v>33</v>
      </c>
      <c r="H52">
        <v>717</v>
      </c>
      <c r="J52">
        <f t="shared" si="0"/>
        <v>717</v>
      </c>
      <c r="L52">
        <f t="shared" si="1"/>
        <v>0.32008928571428569</v>
      </c>
    </row>
    <row r="53" spans="1:12" x14ac:dyDescent="0.25">
      <c r="A53">
        <v>1726</v>
      </c>
      <c r="B53" t="s">
        <v>20</v>
      </c>
      <c r="C53" t="s">
        <v>68</v>
      </c>
      <c r="D53" t="s">
        <v>33</v>
      </c>
      <c r="H53">
        <v>2421</v>
      </c>
      <c r="J53">
        <f t="shared" si="0"/>
        <v>2421</v>
      </c>
      <c r="L53">
        <f t="shared" si="1"/>
        <v>1.0808035714285715</v>
      </c>
    </row>
    <row r="54" spans="1:12" x14ac:dyDescent="0.25">
      <c r="A54">
        <v>1726</v>
      </c>
      <c r="B54" t="s">
        <v>21</v>
      </c>
      <c r="C54" t="s">
        <v>68</v>
      </c>
      <c r="D54" t="s">
        <v>33</v>
      </c>
      <c r="H54">
        <v>4249</v>
      </c>
      <c r="J54">
        <f t="shared" si="0"/>
        <v>4249</v>
      </c>
      <c r="L54">
        <f t="shared" si="1"/>
        <v>1.8968750000000001</v>
      </c>
    </row>
    <row r="55" spans="1:12" x14ac:dyDescent="0.25">
      <c r="A55">
        <v>1726</v>
      </c>
      <c r="B55" t="s">
        <v>90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1726</v>
      </c>
      <c r="B56" t="s">
        <v>22</v>
      </c>
      <c r="C56" t="s">
        <v>68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1726</v>
      </c>
      <c r="B57" t="s">
        <v>61</v>
      </c>
      <c r="C57" t="s">
        <v>68</v>
      </c>
      <c r="D57" t="s">
        <v>33</v>
      </c>
      <c r="E57">
        <v>24</v>
      </c>
      <c r="J57">
        <f t="shared" si="0"/>
        <v>53760</v>
      </c>
      <c r="L57">
        <f t="shared" si="1"/>
        <v>24</v>
      </c>
    </row>
    <row r="58" spans="1:12" x14ac:dyDescent="0.25">
      <c r="A58">
        <v>1726</v>
      </c>
      <c r="B58" t="s">
        <v>125</v>
      </c>
      <c r="C58" t="s">
        <v>68</v>
      </c>
      <c r="D58" t="s">
        <v>33</v>
      </c>
      <c r="E58">
        <v>94</v>
      </c>
      <c r="F58">
        <v>18</v>
      </c>
      <c r="G58">
        <v>1</v>
      </c>
      <c r="H58">
        <v>18</v>
      </c>
      <c r="J58">
        <f t="shared" si="0"/>
        <v>212622</v>
      </c>
      <c r="L58">
        <f t="shared" si="1"/>
        <v>94.92053571428572</v>
      </c>
    </row>
    <row r="59" spans="1:12" x14ac:dyDescent="0.25">
      <c r="A59">
        <v>1726</v>
      </c>
      <c r="B59" t="s">
        <v>87</v>
      </c>
      <c r="C59" t="s">
        <v>68</v>
      </c>
      <c r="D59" t="s">
        <v>33</v>
      </c>
      <c r="E59">
        <v>19</v>
      </c>
      <c r="F59">
        <v>2</v>
      </c>
      <c r="J59">
        <f t="shared" si="0"/>
        <v>42784</v>
      </c>
      <c r="L59">
        <f t="shared" si="1"/>
        <v>19.100000000000001</v>
      </c>
    </row>
    <row r="60" spans="1:12" x14ac:dyDescent="0.25">
      <c r="A60">
        <v>1726</v>
      </c>
      <c r="B60" t="s">
        <v>62</v>
      </c>
      <c r="C60" t="s">
        <v>68</v>
      </c>
      <c r="D60" t="s">
        <v>33</v>
      </c>
      <c r="E60">
        <v>199</v>
      </c>
      <c r="F60">
        <v>14</v>
      </c>
      <c r="G60">
        <v>1</v>
      </c>
      <c r="H60">
        <v>13</v>
      </c>
      <c r="J60">
        <f t="shared" si="0"/>
        <v>447369</v>
      </c>
      <c r="L60">
        <f t="shared" si="1"/>
        <v>199.71830357142858</v>
      </c>
    </row>
    <row r="61" spans="1:12" x14ac:dyDescent="0.25">
      <c r="A61">
        <v>1726</v>
      </c>
      <c r="B61" t="s">
        <v>88</v>
      </c>
      <c r="C61" t="s">
        <v>68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1726</v>
      </c>
      <c r="B62" t="s">
        <v>63</v>
      </c>
      <c r="C62" t="s">
        <v>68</v>
      </c>
      <c r="D62" t="s">
        <v>33</v>
      </c>
      <c r="E62">
        <v>809</v>
      </c>
      <c r="F62">
        <v>10</v>
      </c>
      <c r="G62">
        <v>3</v>
      </c>
      <c r="H62">
        <v>12</v>
      </c>
      <c r="J62">
        <f t="shared" si="0"/>
        <v>1813376</v>
      </c>
      <c r="L62">
        <f t="shared" si="1"/>
        <v>809.54285714285709</v>
      </c>
    </row>
    <row r="63" spans="1:12" x14ac:dyDescent="0.25">
      <c r="A63">
        <v>1726</v>
      </c>
      <c r="B63" t="s">
        <v>89</v>
      </c>
      <c r="C63" t="s">
        <v>68</v>
      </c>
      <c r="D63" t="s">
        <v>33</v>
      </c>
      <c r="E63">
        <v>335</v>
      </c>
      <c r="F63">
        <v>2</v>
      </c>
      <c r="G63">
        <v>1</v>
      </c>
      <c r="H63">
        <v>8</v>
      </c>
      <c r="J63">
        <f t="shared" si="0"/>
        <v>750660</v>
      </c>
      <c r="L63">
        <f t="shared" si="1"/>
        <v>335.11607142857144</v>
      </c>
    </row>
    <row r="64" spans="1:12" x14ac:dyDescent="0.25">
      <c r="A64">
        <v>1726</v>
      </c>
      <c r="B64" t="s">
        <v>70</v>
      </c>
      <c r="C64" t="s">
        <v>68</v>
      </c>
      <c r="D64" t="s">
        <v>33</v>
      </c>
      <c r="E64">
        <v>83</v>
      </c>
      <c r="F64">
        <v>16</v>
      </c>
      <c r="G64">
        <v>3</v>
      </c>
      <c r="H64">
        <v>21</v>
      </c>
      <c r="J64">
        <f t="shared" si="0"/>
        <v>187817</v>
      </c>
      <c r="L64">
        <f t="shared" si="1"/>
        <v>83.846874999999997</v>
      </c>
    </row>
    <row r="65" spans="1:12" x14ac:dyDescent="0.25">
      <c r="A65">
        <v>1726</v>
      </c>
      <c r="B65" t="s">
        <v>64</v>
      </c>
      <c r="C65" t="s">
        <v>68</v>
      </c>
      <c r="D65" t="s">
        <v>33</v>
      </c>
      <c r="E65">
        <v>14</v>
      </c>
      <c r="F65">
        <v>16</v>
      </c>
      <c r="G65">
        <v>1</v>
      </c>
      <c r="H65">
        <v>4</v>
      </c>
      <c r="J65">
        <f t="shared" si="0"/>
        <v>33184</v>
      </c>
      <c r="L65">
        <f t="shared" si="1"/>
        <v>14.814285714285715</v>
      </c>
    </row>
    <row r="66" spans="1:12" x14ac:dyDescent="0.25">
      <c r="A66">
        <v>1726</v>
      </c>
      <c r="B66" t="s">
        <v>65</v>
      </c>
      <c r="C66" t="s">
        <v>68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1726</v>
      </c>
      <c r="B67" t="s">
        <v>55</v>
      </c>
      <c r="C67" t="s">
        <v>68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1726</v>
      </c>
      <c r="B68" t="s">
        <v>57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1726</v>
      </c>
      <c r="B69" t="s">
        <v>36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1726</v>
      </c>
      <c r="B70" t="s">
        <v>4</v>
      </c>
      <c r="C70" t="s">
        <v>68</v>
      </c>
      <c r="D70" t="s">
        <v>35</v>
      </c>
      <c r="J70">
        <f t="shared" ref="J70:J131" si="2">(E70*2240)+(F70*112)+(G70*28)+H70</f>
        <v>0</v>
      </c>
      <c r="L70">
        <f t="shared" ref="L70:L131" si="3">J70/2240</f>
        <v>0</v>
      </c>
    </row>
    <row r="71" spans="1:12" x14ac:dyDescent="0.25">
      <c r="A71">
        <v>1726</v>
      </c>
      <c r="B71" t="s">
        <v>58</v>
      </c>
      <c r="C71" t="s">
        <v>68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1726</v>
      </c>
      <c r="B72" t="s">
        <v>69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1726</v>
      </c>
      <c r="B73" t="s">
        <v>101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1726</v>
      </c>
      <c r="B74" t="s">
        <v>43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1726</v>
      </c>
      <c r="B75" t="s">
        <v>76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1726</v>
      </c>
      <c r="B76" t="s">
        <v>5</v>
      </c>
      <c r="C76" t="s">
        <v>68</v>
      </c>
      <c r="D76" t="s">
        <v>35</v>
      </c>
      <c r="F76">
        <v>120</v>
      </c>
      <c r="J76">
        <f t="shared" si="2"/>
        <v>13440</v>
      </c>
      <c r="L76">
        <f t="shared" si="3"/>
        <v>6</v>
      </c>
    </row>
    <row r="77" spans="1:12" x14ac:dyDescent="0.25">
      <c r="A77">
        <v>1726</v>
      </c>
      <c r="B77" t="s">
        <v>59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1726</v>
      </c>
      <c r="B78" t="s">
        <v>6</v>
      </c>
      <c r="C78" t="s">
        <v>68</v>
      </c>
      <c r="D78" t="s">
        <v>35</v>
      </c>
      <c r="F78">
        <v>84142</v>
      </c>
      <c r="G78">
        <v>2</v>
      </c>
      <c r="H78">
        <v>4</v>
      </c>
      <c r="J78">
        <f t="shared" si="2"/>
        <v>9423964</v>
      </c>
      <c r="L78">
        <f t="shared" si="3"/>
        <v>4207.1267857142857</v>
      </c>
    </row>
    <row r="79" spans="1:12" x14ac:dyDescent="0.25">
      <c r="A79">
        <v>1726</v>
      </c>
      <c r="B79" t="s">
        <v>60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1726</v>
      </c>
      <c r="B80" t="s">
        <v>38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1726</v>
      </c>
      <c r="B81" t="s">
        <v>37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1726</v>
      </c>
      <c r="B82" t="s">
        <v>8</v>
      </c>
      <c r="C82" t="s">
        <v>68</v>
      </c>
      <c r="D82" t="s">
        <v>35</v>
      </c>
      <c r="F82">
        <v>5</v>
      </c>
      <c r="G82">
        <v>3</v>
      </c>
      <c r="H82">
        <v>10</v>
      </c>
      <c r="J82">
        <f t="shared" si="2"/>
        <v>654</v>
      </c>
      <c r="L82">
        <f t="shared" si="3"/>
        <v>0.29196428571428573</v>
      </c>
    </row>
    <row r="83" spans="1:12" x14ac:dyDescent="0.25">
      <c r="A83">
        <v>1726</v>
      </c>
      <c r="B83" t="s">
        <v>40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1726</v>
      </c>
      <c r="B84" t="s">
        <v>77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1726</v>
      </c>
      <c r="B85" t="s">
        <v>78</v>
      </c>
      <c r="C85" t="s">
        <v>68</v>
      </c>
      <c r="D85" t="s">
        <v>35</v>
      </c>
      <c r="H85">
        <v>392</v>
      </c>
      <c r="J85">
        <f t="shared" si="2"/>
        <v>392</v>
      </c>
      <c r="L85">
        <f t="shared" si="3"/>
        <v>0.17499999999999999</v>
      </c>
    </row>
    <row r="86" spans="1:12" x14ac:dyDescent="0.25">
      <c r="A86">
        <v>1726</v>
      </c>
      <c r="B86" t="s">
        <v>46</v>
      </c>
      <c r="C86" t="s">
        <v>68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1726</v>
      </c>
      <c r="B87" t="s">
        <v>9</v>
      </c>
      <c r="C87" t="s">
        <v>68</v>
      </c>
      <c r="D87" t="s">
        <v>35</v>
      </c>
      <c r="H87">
        <v>272692</v>
      </c>
      <c r="J87">
        <f t="shared" si="2"/>
        <v>272692</v>
      </c>
      <c r="L87">
        <f t="shared" si="3"/>
        <v>121.7375</v>
      </c>
    </row>
    <row r="88" spans="1:12" x14ac:dyDescent="0.25">
      <c r="A88">
        <v>1726</v>
      </c>
      <c r="B88" t="s">
        <v>10</v>
      </c>
      <c r="C88" t="s">
        <v>68</v>
      </c>
      <c r="D88" t="s">
        <v>35</v>
      </c>
      <c r="F88">
        <v>9137</v>
      </c>
      <c r="G88">
        <v>1</v>
      </c>
      <c r="H88">
        <v>14</v>
      </c>
      <c r="J88">
        <f t="shared" si="2"/>
        <v>1023386</v>
      </c>
      <c r="L88">
        <f t="shared" si="3"/>
        <v>456.86874999999998</v>
      </c>
    </row>
    <row r="89" spans="1:12" x14ac:dyDescent="0.25">
      <c r="A89">
        <v>1726</v>
      </c>
      <c r="B89" t="s">
        <v>11</v>
      </c>
      <c r="C89" t="s">
        <v>68</v>
      </c>
      <c r="D89" t="s">
        <v>35</v>
      </c>
      <c r="F89">
        <v>344</v>
      </c>
      <c r="H89">
        <v>3</v>
      </c>
      <c r="J89">
        <f t="shared" si="2"/>
        <v>38531</v>
      </c>
      <c r="L89">
        <f t="shared" si="3"/>
        <v>17.201339285714287</v>
      </c>
    </row>
    <row r="90" spans="1:12" x14ac:dyDescent="0.25">
      <c r="A90">
        <v>1726</v>
      </c>
      <c r="B90" t="s">
        <v>39</v>
      </c>
      <c r="C90" t="s">
        <v>68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1726</v>
      </c>
      <c r="B91" t="s">
        <v>79</v>
      </c>
      <c r="C91" t="s">
        <v>68</v>
      </c>
      <c r="D91" t="s">
        <v>35</v>
      </c>
      <c r="H91">
        <v>285</v>
      </c>
      <c r="J91">
        <f t="shared" si="2"/>
        <v>285</v>
      </c>
      <c r="L91">
        <f t="shared" si="3"/>
        <v>0.12723214285714285</v>
      </c>
    </row>
    <row r="92" spans="1:12" x14ac:dyDescent="0.25">
      <c r="A92">
        <v>1726</v>
      </c>
      <c r="B92" t="s">
        <v>103</v>
      </c>
      <c r="C92" t="s">
        <v>68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1726</v>
      </c>
      <c r="B93" t="s">
        <v>44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1726</v>
      </c>
      <c r="B94" t="s">
        <v>97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1726</v>
      </c>
      <c r="B95" t="s">
        <v>12</v>
      </c>
      <c r="C95" t="s">
        <v>68</v>
      </c>
      <c r="D95" t="s">
        <v>35</v>
      </c>
      <c r="H95">
        <v>117301.5</v>
      </c>
      <c r="J95">
        <f t="shared" si="2"/>
        <v>117301.5</v>
      </c>
      <c r="L95">
        <f t="shared" si="3"/>
        <v>52.366741071428571</v>
      </c>
    </row>
    <row r="96" spans="1:12" x14ac:dyDescent="0.25">
      <c r="A96">
        <v>1726</v>
      </c>
      <c r="B96" t="s">
        <v>82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1726</v>
      </c>
      <c r="B97" t="s">
        <v>34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1726</v>
      </c>
      <c r="B98" t="s">
        <v>13</v>
      </c>
      <c r="C98" t="s">
        <v>68</v>
      </c>
      <c r="D98" t="s">
        <v>35</v>
      </c>
      <c r="F98">
        <v>331</v>
      </c>
      <c r="G98">
        <v>1</v>
      </c>
      <c r="H98">
        <v>1</v>
      </c>
      <c r="J98">
        <f t="shared" si="2"/>
        <v>37101</v>
      </c>
      <c r="L98">
        <f t="shared" si="3"/>
        <v>16.562946428571429</v>
      </c>
    </row>
    <row r="99" spans="1:12" x14ac:dyDescent="0.25">
      <c r="A99">
        <v>1726</v>
      </c>
      <c r="B99" t="s">
        <v>14</v>
      </c>
      <c r="C99" t="s">
        <v>68</v>
      </c>
      <c r="D99" t="s">
        <v>35</v>
      </c>
      <c r="H99">
        <v>22446</v>
      </c>
      <c r="I99" t="s">
        <v>144</v>
      </c>
      <c r="J99">
        <f t="shared" si="2"/>
        <v>22446</v>
      </c>
      <c r="L99">
        <f t="shared" si="3"/>
        <v>10.020535714285714</v>
      </c>
    </row>
    <row r="100" spans="1:12" x14ac:dyDescent="0.25">
      <c r="A100">
        <v>1726</v>
      </c>
      <c r="B100" t="s">
        <v>23</v>
      </c>
      <c r="C100" t="s">
        <v>68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1726</v>
      </c>
      <c r="B101" t="s">
        <v>27</v>
      </c>
      <c r="C101" t="s">
        <v>68</v>
      </c>
      <c r="D101" t="s">
        <v>35</v>
      </c>
      <c r="H101">
        <v>6071.5</v>
      </c>
      <c r="I101" t="s">
        <v>147</v>
      </c>
      <c r="J101">
        <f t="shared" si="2"/>
        <v>6071.5</v>
      </c>
      <c r="L101">
        <f t="shared" si="3"/>
        <v>2.7104910714285713</v>
      </c>
    </row>
    <row r="102" spans="1:12" x14ac:dyDescent="0.25">
      <c r="A102">
        <v>1726</v>
      </c>
      <c r="B102" t="s">
        <v>15</v>
      </c>
      <c r="C102" t="s">
        <v>68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1726</v>
      </c>
      <c r="B103" t="s">
        <v>93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1726</v>
      </c>
      <c r="B104" t="s">
        <v>42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1726</v>
      </c>
      <c r="B105" t="s">
        <v>83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1726</v>
      </c>
      <c r="B106" t="s">
        <v>47</v>
      </c>
      <c r="C106" t="s">
        <v>68</v>
      </c>
      <c r="D106" t="s">
        <v>35</v>
      </c>
      <c r="H106">
        <v>90</v>
      </c>
      <c r="I106" t="s">
        <v>145</v>
      </c>
      <c r="J106">
        <f t="shared" si="2"/>
        <v>90</v>
      </c>
      <c r="L106">
        <f t="shared" si="3"/>
        <v>4.0178571428571432E-2</v>
      </c>
    </row>
    <row r="107" spans="1:12" x14ac:dyDescent="0.25">
      <c r="A107">
        <v>1726</v>
      </c>
      <c r="B107" t="s">
        <v>16</v>
      </c>
      <c r="C107" t="s">
        <v>68</v>
      </c>
      <c r="D107" t="s">
        <v>35</v>
      </c>
      <c r="H107">
        <v>135908</v>
      </c>
      <c r="J107">
        <f t="shared" si="2"/>
        <v>135908</v>
      </c>
      <c r="L107">
        <f t="shared" si="3"/>
        <v>60.673214285714288</v>
      </c>
    </row>
    <row r="108" spans="1:12" x14ac:dyDescent="0.25">
      <c r="A108">
        <v>1726</v>
      </c>
      <c r="B108" t="s">
        <v>17</v>
      </c>
      <c r="C108" t="s">
        <v>68</v>
      </c>
      <c r="D108" t="s">
        <v>35</v>
      </c>
      <c r="F108">
        <v>93</v>
      </c>
      <c r="G108">
        <v>1</v>
      </c>
      <c r="H108">
        <v>14</v>
      </c>
      <c r="J108">
        <f t="shared" si="2"/>
        <v>10458</v>
      </c>
      <c r="L108">
        <f t="shared" si="3"/>
        <v>4.6687500000000002</v>
      </c>
    </row>
    <row r="109" spans="1:12" x14ac:dyDescent="0.25">
      <c r="A109">
        <v>1726</v>
      </c>
      <c r="B109" t="s">
        <v>18</v>
      </c>
      <c r="C109" t="s">
        <v>68</v>
      </c>
      <c r="D109" t="s">
        <v>35</v>
      </c>
      <c r="H109">
        <v>80816</v>
      </c>
      <c r="I109" t="s">
        <v>146</v>
      </c>
      <c r="J109">
        <f t="shared" si="2"/>
        <v>80816</v>
      </c>
      <c r="L109">
        <f t="shared" si="3"/>
        <v>36.078571428571429</v>
      </c>
    </row>
    <row r="110" spans="1:12" x14ac:dyDescent="0.25">
      <c r="A110">
        <v>1726</v>
      </c>
      <c r="B110" t="s">
        <v>26</v>
      </c>
      <c r="C110" t="s">
        <v>68</v>
      </c>
      <c r="D110" t="s">
        <v>35</v>
      </c>
      <c r="H110">
        <v>5262</v>
      </c>
      <c r="J110">
        <f t="shared" si="2"/>
        <v>5262</v>
      </c>
      <c r="L110">
        <f t="shared" si="3"/>
        <v>2.3491071428571431</v>
      </c>
    </row>
    <row r="111" spans="1:12" x14ac:dyDescent="0.25">
      <c r="A111">
        <v>1726</v>
      </c>
      <c r="B111" t="s">
        <v>84</v>
      </c>
      <c r="C111" t="s">
        <v>68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1726</v>
      </c>
      <c r="B112" t="s">
        <v>19</v>
      </c>
      <c r="C112" t="s">
        <v>68</v>
      </c>
      <c r="D112" t="s">
        <v>35</v>
      </c>
      <c r="F112">
        <v>11</v>
      </c>
      <c r="G112">
        <v>1</v>
      </c>
      <c r="H112">
        <v>9</v>
      </c>
      <c r="J112">
        <f t="shared" si="2"/>
        <v>1269</v>
      </c>
      <c r="L112">
        <f t="shared" si="3"/>
        <v>0.56651785714285718</v>
      </c>
    </row>
    <row r="113" spans="1:12" x14ac:dyDescent="0.25">
      <c r="A113">
        <v>1726</v>
      </c>
      <c r="B113" t="s">
        <v>45</v>
      </c>
      <c r="C113" t="s">
        <v>68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1726</v>
      </c>
      <c r="B114" t="s">
        <v>85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1726</v>
      </c>
      <c r="B115" t="s">
        <v>54</v>
      </c>
      <c r="C115" t="s">
        <v>68</v>
      </c>
      <c r="D115" t="s">
        <v>35</v>
      </c>
      <c r="H115">
        <v>435</v>
      </c>
      <c r="J115">
        <f t="shared" si="2"/>
        <v>435</v>
      </c>
      <c r="L115">
        <f t="shared" si="3"/>
        <v>0.19419642857142858</v>
      </c>
    </row>
    <row r="116" spans="1:12" x14ac:dyDescent="0.25">
      <c r="A116">
        <v>1726</v>
      </c>
      <c r="B116" t="s">
        <v>95</v>
      </c>
      <c r="C116" t="s">
        <v>68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1726</v>
      </c>
      <c r="B117" t="s">
        <v>20</v>
      </c>
      <c r="C117" t="s">
        <v>68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1726</v>
      </c>
      <c r="B118" t="s">
        <v>21</v>
      </c>
      <c r="C118" t="s">
        <v>68</v>
      </c>
      <c r="D118" t="s">
        <v>35</v>
      </c>
      <c r="H118">
        <v>727</v>
      </c>
      <c r="J118">
        <f t="shared" si="2"/>
        <v>727</v>
      </c>
      <c r="L118">
        <f t="shared" si="3"/>
        <v>0.32455357142857144</v>
      </c>
    </row>
    <row r="119" spans="1:12" x14ac:dyDescent="0.25">
      <c r="A119">
        <v>1726</v>
      </c>
      <c r="B119" t="s">
        <v>90</v>
      </c>
      <c r="C119" t="s">
        <v>68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1726</v>
      </c>
      <c r="B120" t="s">
        <v>22</v>
      </c>
      <c r="C120" t="s">
        <v>68</v>
      </c>
      <c r="D120" t="s">
        <v>35</v>
      </c>
      <c r="G120">
        <v>1</v>
      </c>
      <c r="H120">
        <v>21</v>
      </c>
      <c r="J120">
        <f t="shared" si="2"/>
        <v>49</v>
      </c>
      <c r="L120">
        <f t="shared" si="3"/>
        <v>2.1874999999999999E-2</v>
      </c>
    </row>
    <row r="121" spans="1:12" x14ac:dyDescent="0.25">
      <c r="A121">
        <v>1726</v>
      </c>
      <c r="B121" t="s">
        <v>61</v>
      </c>
      <c r="C121" t="s">
        <v>68</v>
      </c>
      <c r="D121" t="s">
        <v>35</v>
      </c>
      <c r="E121">
        <v>20</v>
      </c>
      <c r="F121">
        <v>4</v>
      </c>
      <c r="H121">
        <v>9</v>
      </c>
      <c r="J121">
        <f t="shared" si="2"/>
        <v>45257</v>
      </c>
      <c r="L121">
        <f t="shared" si="3"/>
        <v>20.204017857142858</v>
      </c>
    </row>
    <row r="122" spans="1:12" x14ac:dyDescent="0.25">
      <c r="A122">
        <v>1726</v>
      </c>
      <c r="B122" t="s">
        <v>91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1726</v>
      </c>
      <c r="B123" t="s">
        <v>98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1726</v>
      </c>
      <c r="B124" t="s">
        <v>87</v>
      </c>
      <c r="C124" t="s">
        <v>68</v>
      </c>
      <c r="D124" t="s">
        <v>35</v>
      </c>
      <c r="E124">
        <v>40</v>
      </c>
      <c r="F124">
        <v>19</v>
      </c>
      <c r="G124">
        <v>3</v>
      </c>
      <c r="H124">
        <v>14</v>
      </c>
      <c r="J124">
        <f t="shared" si="2"/>
        <v>91826</v>
      </c>
      <c r="L124">
        <f t="shared" si="3"/>
        <v>40.993749999999999</v>
      </c>
    </row>
    <row r="125" spans="1:12" x14ac:dyDescent="0.25">
      <c r="A125">
        <v>1726</v>
      </c>
      <c r="B125" t="s">
        <v>62</v>
      </c>
      <c r="C125" t="s">
        <v>68</v>
      </c>
      <c r="D125" t="s">
        <v>35</v>
      </c>
      <c r="E125">
        <v>212</v>
      </c>
      <c r="F125">
        <v>19</v>
      </c>
      <c r="G125">
        <v>3</v>
      </c>
      <c r="H125">
        <v>22</v>
      </c>
      <c r="J125">
        <f t="shared" si="2"/>
        <v>477114</v>
      </c>
      <c r="L125">
        <f t="shared" si="3"/>
        <v>212.99732142857144</v>
      </c>
    </row>
    <row r="126" spans="1:12" x14ac:dyDescent="0.25">
      <c r="A126">
        <v>1726</v>
      </c>
      <c r="B126" t="s">
        <v>88</v>
      </c>
      <c r="C126" t="s">
        <v>68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1726</v>
      </c>
      <c r="B127" t="s">
        <v>63</v>
      </c>
      <c r="C127" t="s">
        <v>68</v>
      </c>
      <c r="D127" t="s">
        <v>35</v>
      </c>
      <c r="E127">
        <v>497</v>
      </c>
      <c r="F127">
        <v>1</v>
      </c>
      <c r="G127">
        <v>1</v>
      </c>
      <c r="H127">
        <v>24</v>
      </c>
      <c r="J127">
        <f t="shared" si="2"/>
        <v>1113444</v>
      </c>
      <c r="L127">
        <f t="shared" si="3"/>
        <v>497.0732142857143</v>
      </c>
    </row>
    <row r="128" spans="1:12" x14ac:dyDescent="0.25">
      <c r="A128">
        <v>1726</v>
      </c>
      <c r="B128" t="s">
        <v>89</v>
      </c>
      <c r="C128" t="s">
        <v>68</v>
      </c>
      <c r="D128" t="s">
        <v>35</v>
      </c>
      <c r="E128">
        <v>61</v>
      </c>
      <c r="F128">
        <v>5</v>
      </c>
      <c r="G128">
        <v>2</v>
      </c>
      <c r="J128">
        <f t="shared" si="2"/>
        <v>137256</v>
      </c>
      <c r="L128">
        <f t="shared" si="3"/>
        <v>61.274999999999999</v>
      </c>
    </row>
    <row r="129" spans="1:12" x14ac:dyDescent="0.25">
      <c r="A129">
        <v>1726</v>
      </c>
      <c r="B129" t="s">
        <v>70</v>
      </c>
      <c r="C129" t="s">
        <v>68</v>
      </c>
      <c r="D129" t="s">
        <v>35</v>
      </c>
      <c r="E129">
        <v>79</v>
      </c>
      <c r="F129">
        <v>9</v>
      </c>
      <c r="H129">
        <v>27</v>
      </c>
      <c r="J129">
        <f t="shared" si="2"/>
        <v>177995</v>
      </c>
      <c r="L129">
        <f t="shared" si="3"/>
        <v>79.462053571428569</v>
      </c>
    </row>
    <row r="130" spans="1:12" x14ac:dyDescent="0.25">
      <c r="A130">
        <v>1726</v>
      </c>
      <c r="B130" t="s">
        <v>64</v>
      </c>
      <c r="C130" t="s">
        <v>68</v>
      </c>
      <c r="D130" t="s">
        <v>35</v>
      </c>
      <c r="E130">
        <v>43</v>
      </c>
      <c r="F130">
        <v>7</v>
      </c>
      <c r="G130">
        <v>2</v>
      </c>
      <c r="H130">
        <v>3</v>
      </c>
      <c r="J130">
        <f t="shared" si="2"/>
        <v>97163</v>
      </c>
      <c r="L130">
        <f t="shared" si="3"/>
        <v>43.376339285714288</v>
      </c>
    </row>
    <row r="131" spans="1:12" x14ac:dyDescent="0.25">
      <c r="A131">
        <v>1726</v>
      </c>
      <c r="B131" t="s">
        <v>65</v>
      </c>
      <c r="C131" t="s">
        <v>68</v>
      </c>
      <c r="D131" t="s">
        <v>35</v>
      </c>
      <c r="J131">
        <f t="shared" si="2"/>
        <v>0</v>
      </c>
      <c r="L131">
        <f t="shared" si="3"/>
        <v>0</v>
      </c>
    </row>
  </sheetData>
  <autoFilter ref="A1:O62" xr:uid="{8C2F7725-5A61-4A1B-A740-CC887BCB0E68}">
    <sortState xmlns:xlrd2="http://schemas.microsoft.com/office/spreadsheetml/2017/richdata2" ref="A2:O62">
      <sortCondition ref="B1:B6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22" workbookViewId="0">
      <selection activeCell="H22" sqref="H2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1726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1726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1726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1726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1726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1726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1726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1726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1726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1726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1726</v>
      </c>
      <c r="B12" t="s">
        <v>6</v>
      </c>
      <c r="C12" t="s">
        <v>72</v>
      </c>
      <c r="D12" t="s">
        <v>33</v>
      </c>
      <c r="F12">
        <v>23142</v>
      </c>
      <c r="G12">
        <v>1</v>
      </c>
      <c r="J12">
        <f t="shared" si="0"/>
        <v>2591932</v>
      </c>
      <c r="L12">
        <f t="shared" si="1"/>
        <v>1157.1125</v>
      </c>
    </row>
    <row r="13" spans="1:15" x14ac:dyDescent="0.25">
      <c r="A13">
        <v>1726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1726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1726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1726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1726</v>
      </c>
      <c r="B17" t="s">
        <v>8</v>
      </c>
      <c r="C17" t="s">
        <v>72</v>
      </c>
      <c r="D17" t="s">
        <v>33</v>
      </c>
      <c r="F17">
        <v>1</v>
      </c>
      <c r="G17">
        <v>2</v>
      </c>
      <c r="J17">
        <f t="shared" si="0"/>
        <v>168</v>
      </c>
      <c r="L17">
        <f t="shared" si="1"/>
        <v>7.4999999999999997E-2</v>
      </c>
    </row>
    <row r="18" spans="1:12" x14ac:dyDescent="0.25">
      <c r="A18">
        <v>1726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1726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1726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1726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1726</v>
      </c>
      <c r="B22" t="s">
        <v>9</v>
      </c>
      <c r="C22" t="s">
        <v>72</v>
      </c>
      <c r="D22" t="s">
        <v>33</v>
      </c>
      <c r="H22">
        <f>9*200</f>
        <v>1800</v>
      </c>
      <c r="I22" t="s">
        <v>130</v>
      </c>
      <c r="J22">
        <f t="shared" si="0"/>
        <v>1800</v>
      </c>
      <c r="L22">
        <f t="shared" si="1"/>
        <v>0.8035714285714286</v>
      </c>
    </row>
    <row r="23" spans="1:12" x14ac:dyDescent="0.25">
      <c r="A23">
        <v>1726</v>
      </c>
      <c r="B23" t="s">
        <v>10</v>
      </c>
      <c r="C23" t="s">
        <v>72</v>
      </c>
      <c r="D23" t="s">
        <v>33</v>
      </c>
      <c r="F23">
        <v>18</v>
      </c>
      <c r="G23">
        <v>2</v>
      </c>
      <c r="H23">
        <v>4</v>
      </c>
      <c r="J23">
        <f t="shared" si="0"/>
        <v>2076</v>
      </c>
      <c r="L23">
        <f t="shared" si="1"/>
        <v>0.92678571428571432</v>
      </c>
    </row>
    <row r="24" spans="1:12" x14ac:dyDescent="0.25">
      <c r="A24">
        <v>1726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1726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1726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1726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1726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1726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1726</v>
      </c>
      <c r="B30" t="s">
        <v>12</v>
      </c>
      <c r="C30" t="s">
        <v>72</v>
      </c>
      <c r="D30" t="s">
        <v>33</v>
      </c>
      <c r="H30">
        <v>4240</v>
      </c>
      <c r="J30">
        <f t="shared" si="0"/>
        <v>4240</v>
      </c>
      <c r="L30">
        <f t="shared" si="1"/>
        <v>1.8928571428571428</v>
      </c>
    </row>
    <row r="31" spans="1:12" x14ac:dyDescent="0.25">
      <c r="A31">
        <v>1726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1726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1726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1726</v>
      </c>
      <c r="B34" t="s">
        <v>14</v>
      </c>
      <c r="C34" t="s">
        <v>72</v>
      </c>
      <c r="D34" t="s">
        <v>33</v>
      </c>
      <c r="H34">
        <v>770</v>
      </c>
      <c r="I34" t="s">
        <v>127</v>
      </c>
      <c r="J34">
        <f t="shared" si="0"/>
        <v>770</v>
      </c>
      <c r="L34">
        <f t="shared" si="1"/>
        <v>0.34375</v>
      </c>
    </row>
    <row r="35" spans="1:12" x14ac:dyDescent="0.25">
      <c r="A35">
        <v>1726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1726</v>
      </c>
      <c r="B36" t="s">
        <v>27</v>
      </c>
      <c r="C36" t="s">
        <v>72</v>
      </c>
      <c r="D36" t="s">
        <v>33</v>
      </c>
      <c r="H36">
        <v>210</v>
      </c>
      <c r="I36" t="s">
        <v>129</v>
      </c>
      <c r="J36">
        <f t="shared" si="0"/>
        <v>210</v>
      </c>
      <c r="L36">
        <f t="shared" si="1"/>
        <v>9.375E-2</v>
      </c>
    </row>
    <row r="37" spans="1:12" x14ac:dyDescent="0.25">
      <c r="A37">
        <v>1726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1726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1726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1726</v>
      </c>
      <c r="B40" t="s">
        <v>47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1726</v>
      </c>
      <c r="B41" t="s">
        <v>16</v>
      </c>
      <c r="C41" t="s">
        <v>72</v>
      </c>
      <c r="D41" t="s">
        <v>33</v>
      </c>
      <c r="H41">
        <v>260</v>
      </c>
      <c r="J41">
        <f t="shared" si="0"/>
        <v>260</v>
      </c>
      <c r="L41">
        <f t="shared" si="1"/>
        <v>0.11607142857142858</v>
      </c>
    </row>
    <row r="42" spans="1:12" x14ac:dyDescent="0.25">
      <c r="A42">
        <v>1726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1726</v>
      </c>
      <c r="B43" t="s">
        <v>18</v>
      </c>
      <c r="C43" t="s">
        <v>72</v>
      </c>
      <c r="D43" t="s">
        <v>33</v>
      </c>
      <c r="H43">
        <v>10763</v>
      </c>
      <c r="I43" t="s">
        <v>128</v>
      </c>
      <c r="J43">
        <f t="shared" si="0"/>
        <v>10763</v>
      </c>
      <c r="L43">
        <f t="shared" si="1"/>
        <v>4.8049107142857146</v>
      </c>
    </row>
    <row r="44" spans="1:12" x14ac:dyDescent="0.25">
      <c r="A44">
        <v>1726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1726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1726</v>
      </c>
      <c r="B46" t="s">
        <v>19</v>
      </c>
      <c r="C46" t="s">
        <v>72</v>
      </c>
      <c r="D46" t="s">
        <v>33</v>
      </c>
      <c r="F46">
        <v>3</v>
      </c>
      <c r="G46">
        <v>3</v>
      </c>
      <c r="H46">
        <v>24</v>
      </c>
      <c r="J46">
        <f t="shared" si="0"/>
        <v>444</v>
      </c>
      <c r="L46">
        <f t="shared" si="1"/>
        <v>0.1982142857142857</v>
      </c>
    </row>
    <row r="47" spans="1:12" x14ac:dyDescent="0.25">
      <c r="A47">
        <v>1726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1726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1726</v>
      </c>
      <c r="B49" t="s">
        <v>54</v>
      </c>
      <c r="C49" t="s">
        <v>72</v>
      </c>
      <c r="D49" t="s">
        <v>33</v>
      </c>
      <c r="H49">
        <v>18</v>
      </c>
      <c r="J49">
        <f t="shared" si="0"/>
        <v>18</v>
      </c>
      <c r="L49">
        <f t="shared" si="1"/>
        <v>8.0357142857142849E-3</v>
      </c>
    </row>
    <row r="50" spans="1:12" x14ac:dyDescent="0.25">
      <c r="A50">
        <v>1726</v>
      </c>
      <c r="B50" t="s">
        <v>95</v>
      </c>
      <c r="C50" t="s">
        <v>72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1726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1726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1726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1726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1726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1726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1726</v>
      </c>
      <c r="B57" t="s">
        <v>62</v>
      </c>
      <c r="C57" t="s">
        <v>72</v>
      </c>
      <c r="D57" t="s">
        <v>33</v>
      </c>
      <c r="E57">
        <v>24</v>
      </c>
      <c r="F57">
        <v>8</v>
      </c>
      <c r="G57">
        <v>3</v>
      </c>
      <c r="H57">
        <v>18</v>
      </c>
      <c r="J57">
        <f t="shared" si="0"/>
        <v>54758</v>
      </c>
      <c r="L57">
        <f t="shared" si="1"/>
        <v>24.445535714285715</v>
      </c>
    </row>
    <row r="58" spans="1:12" x14ac:dyDescent="0.25">
      <c r="A58">
        <v>1726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1726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1726</v>
      </c>
      <c r="B60" t="s">
        <v>89</v>
      </c>
      <c r="C60" t="s">
        <v>72</v>
      </c>
      <c r="D60" t="s">
        <v>33</v>
      </c>
      <c r="F60">
        <v>5</v>
      </c>
      <c r="G60">
        <v>2</v>
      </c>
      <c r="H60">
        <v>6</v>
      </c>
      <c r="J60">
        <f t="shared" si="0"/>
        <v>622</v>
      </c>
      <c r="L60">
        <f t="shared" si="1"/>
        <v>0.27767857142857144</v>
      </c>
    </row>
    <row r="61" spans="1:12" x14ac:dyDescent="0.25">
      <c r="A61">
        <v>1726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1726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1726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1726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1726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1726</v>
      </c>
      <c r="B66" t="s">
        <v>36</v>
      </c>
      <c r="C66" t="s">
        <v>72</v>
      </c>
      <c r="D66" t="s">
        <v>35</v>
      </c>
      <c r="H66">
        <v>60</v>
      </c>
      <c r="J66">
        <f t="shared" si="0"/>
        <v>60</v>
      </c>
      <c r="L66">
        <f t="shared" si="1"/>
        <v>2.6785714285714284E-2</v>
      </c>
    </row>
    <row r="67" spans="1:12" x14ac:dyDescent="0.25">
      <c r="A67">
        <v>1726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1726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1726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1726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1726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1726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1726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1726</v>
      </c>
      <c r="B74" t="s">
        <v>6</v>
      </c>
      <c r="C74" t="s">
        <v>72</v>
      </c>
      <c r="D74" t="s">
        <v>35</v>
      </c>
      <c r="F74">
        <v>2905</v>
      </c>
      <c r="H74">
        <v>7</v>
      </c>
      <c r="J74">
        <f t="shared" si="2"/>
        <v>325367</v>
      </c>
      <c r="L74">
        <f t="shared" si="3"/>
        <v>145.25312500000001</v>
      </c>
    </row>
    <row r="75" spans="1:12" x14ac:dyDescent="0.25">
      <c r="A75">
        <v>1726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1726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1726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1726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1726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1726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1726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1726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1726</v>
      </c>
      <c r="B83" t="s">
        <v>9</v>
      </c>
      <c r="C83" t="s">
        <v>72</v>
      </c>
      <c r="D83" t="s">
        <v>35</v>
      </c>
      <c r="F83">
        <v>28</v>
      </c>
      <c r="J83">
        <f t="shared" si="2"/>
        <v>3136</v>
      </c>
      <c r="L83">
        <f t="shared" si="3"/>
        <v>1.4</v>
      </c>
    </row>
    <row r="84" spans="1:12" x14ac:dyDescent="0.25">
      <c r="A84">
        <v>1726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1726</v>
      </c>
      <c r="B85" t="s">
        <v>11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1726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1726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1726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1726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1726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1726</v>
      </c>
      <c r="B91" t="s">
        <v>12</v>
      </c>
      <c r="C91" t="s">
        <v>72</v>
      </c>
      <c r="D91" t="s">
        <v>35</v>
      </c>
      <c r="H91">
        <v>290</v>
      </c>
      <c r="J91">
        <f t="shared" si="2"/>
        <v>290</v>
      </c>
      <c r="L91">
        <f t="shared" si="3"/>
        <v>0.12946428571428573</v>
      </c>
    </row>
    <row r="92" spans="1:12" x14ac:dyDescent="0.25">
      <c r="A92">
        <v>1726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1726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1726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1726</v>
      </c>
      <c r="B95" t="s">
        <v>14</v>
      </c>
      <c r="C95" t="s">
        <v>72</v>
      </c>
      <c r="D95" t="s">
        <v>35</v>
      </c>
      <c r="H95">
        <v>910</v>
      </c>
      <c r="I95" t="s">
        <v>148</v>
      </c>
      <c r="J95">
        <f t="shared" si="2"/>
        <v>910</v>
      </c>
      <c r="L95">
        <f t="shared" si="3"/>
        <v>0.40625</v>
      </c>
    </row>
    <row r="96" spans="1:12" x14ac:dyDescent="0.25">
      <c r="A96">
        <v>1726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1726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1726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1726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1726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1726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1726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1726</v>
      </c>
      <c r="B103" t="s">
        <v>16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1726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1726</v>
      </c>
      <c r="B105" t="s">
        <v>18</v>
      </c>
      <c r="C105" t="s">
        <v>72</v>
      </c>
      <c r="D105" t="s">
        <v>35</v>
      </c>
      <c r="H105">
        <v>160</v>
      </c>
      <c r="I105" t="s">
        <v>149</v>
      </c>
      <c r="J105">
        <f t="shared" si="2"/>
        <v>160</v>
      </c>
      <c r="L105">
        <f t="shared" si="3"/>
        <v>7.1428571428571425E-2</v>
      </c>
    </row>
    <row r="106" spans="1:12" x14ac:dyDescent="0.25">
      <c r="A106">
        <v>1726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1726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1726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1726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1726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1726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1726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1726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1726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1726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1726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1726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1726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1726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1726</v>
      </c>
      <c r="B120" t="s">
        <v>62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1726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1726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1726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1726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1726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1726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22" workbookViewId="0">
      <selection activeCell="I22" sqref="I2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1726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1726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1726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1726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1726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1726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1726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1726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1726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1726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1726</v>
      </c>
      <c r="B12" t="s">
        <v>6</v>
      </c>
      <c r="C12" t="s">
        <v>73</v>
      </c>
      <c r="D12" t="s">
        <v>33</v>
      </c>
      <c r="F12">
        <v>18071</v>
      </c>
      <c r="G12">
        <v>1</v>
      </c>
      <c r="H12">
        <v>21</v>
      </c>
      <c r="J12">
        <f t="shared" si="0"/>
        <v>2024001</v>
      </c>
      <c r="L12">
        <f t="shared" si="1"/>
        <v>903.57187499999998</v>
      </c>
    </row>
    <row r="13" spans="1:15" x14ac:dyDescent="0.25">
      <c r="A13">
        <v>1726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1726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1726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1726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1726</v>
      </c>
      <c r="B17" t="s">
        <v>8</v>
      </c>
      <c r="C17" t="s">
        <v>73</v>
      </c>
      <c r="D17" t="s">
        <v>33</v>
      </c>
      <c r="F17">
        <v>7</v>
      </c>
      <c r="G17">
        <v>1</v>
      </c>
      <c r="H17">
        <v>23</v>
      </c>
      <c r="J17">
        <f t="shared" si="0"/>
        <v>835</v>
      </c>
      <c r="L17">
        <f t="shared" si="1"/>
        <v>0.37276785714285715</v>
      </c>
    </row>
    <row r="18" spans="1:12" x14ac:dyDescent="0.25">
      <c r="A18">
        <v>1726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1726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1726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1726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1726</v>
      </c>
      <c r="B22" t="s">
        <v>9</v>
      </c>
      <c r="C22" t="s">
        <v>73</v>
      </c>
      <c r="D22" t="s">
        <v>33</v>
      </c>
      <c r="H22">
        <f>38*200</f>
        <v>7600</v>
      </c>
      <c r="I22" t="s">
        <v>133</v>
      </c>
      <c r="J22">
        <f t="shared" si="0"/>
        <v>7600</v>
      </c>
      <c r="L22">
        <f t="shared" si="1"/>
        <v>3.3928571428571428</v>
      </c>
    </row>
    <row r="23" spans="1:12" x14ac:dyDescent="0.25">
      <c r="A23">
        <v>1726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1726</v>
      </c>
      <c r="B24" t="s">
        <v>11</v>
      </c>
      <c r="C24" t="s">
        <v>73</v>
      </c>
      <c r="D24" t="s">
        <v>33</v>
      </c>
      <c r="F24">
        <v>7</v>
      </c>
      <c r="G24">
        <v>2</v>
      </c>
      <c r="H24">
        <v>24</v>
      </c>
      <c r="J24">
        <f t="shared" si="0"/>
        <v>864</v>
      </c>
      <c r="L24">
        <f t="shared" si="1"/>
        <v>0.38571428571428573</v>
      </c>
    </row>
    <row r="25" spans="1:12" x14ac:dyDescent="0.25">
      <c r="A25">
        <v>1726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1726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1726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1726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1726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1726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1726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1726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1726</v>
      </c>
      <c r="B33" t="s">
        <v>13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1726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1726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1726</v>
      </c>
      <c r="B36" t="s">
        <v>27</v>
      </c>
      <c r="C36" t="s">
        <v>73</v>
      </c>
      <c r="D36" t="s">
        <v>33</v>
      </c>
      <c r="H36">
        <v>2630.5</v>
      </c>
      <c r="I36" t="s">
        <v>132</v>
      </c>
      <c r="J36">
        <f t="shared" si="0"/>
        <v>2630.5</v>
      </c>
      <c r="L36">
        <f t="shared" si="1"/>
        <v>1.1743303571428572</v>
      </c>
    </row>
    <row r="37" spans="1:12" x14ac:dyDescent="0.25">
      <c r="A37">
        <v>1726</v>
      </c>
      <c r="B37" t="s">
        <v>15</v>
      </c>
      <c r="C37" t="s">
        <v>73</v>
      </c>
      <c r="D37" t="s">
        <v>33</v>
      </c>
      <c r="F37">
        <v>3</v>
      </c>
      <c r="G37">
        <v>3</v>
      </c>
      <c r="J37">
        <f t="shared" si="0"/>
        <v>420</v>
      </c>
      <c r="L37">
        <f t="shared" si="1"/>
        <v>0.1875</v>
      </c>
    </row>
    <row r="38" spans="1:12" x14ac:dyDescent="0.25">
      <c r="A38">
        <v>1726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1726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1726</v>
      </c>
      <c r="B40" t="s">
        <v>47</v>
      </c>
      <c r="C40" t="s">
        <v>73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1726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1726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1726</v>
      </c>
      <c r="B43" t="s">
        <v>18</v>
      </c>
      <c r="C43" t="s">
        <v>73</v>
      </c>
      <c r="D43" t="s">
        <v>33</v>
      </c>
      <c r="H43">
        <v>1830.5</v>
      </c>
      <c r="I43" t="s">
        <v>131</v>
      </c>
      <c r="J43">
        <f t="shared" si="0"/>
        <v>1830.5</v>
      </c>
      <c r="L43">
        <f t="shared" si="1"/>
        <v>0.81718749999999996</v>
      </c>
    </row>
    <row r="44" spans="1:12" x14ac:dyDescent="0.25">
      <c r="A44">
        <v>1726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1726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1726</v>
      </c>
      <c r="B46" t="s">
        <v>19</v>
      </c>
      <c r="C46" t="s">
        <v>73</v>
      </c>
      <c r="D46" t="s">
        <v>33</v>
      </c>
      <c r="F46">
        <v>9</v>
      </c>
      <c r="G46">
        <v>2</v>
      </c>
      <c r="H46">
        <v>14</v>
      </c>
      <c r="J46">
        <f t="shared" si="0"/>
        <v>1078</v>
      </c>
      <c r="L46">
        <f t="shared" si="1"/>
        <v>0.48125000000000001</v>
      </c>
    </row>
    <row r="47" spans="1:12" x14ac:dyDescent="0.25">
      <c r="A47">
        <v>1726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1726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1726</v>
      </c>
      <c r="B49" t="s">
        <v>54</v>
      </c>
      <c r="C49" t="s">
        <v>73</v>
      </c>
      <c r="D49" t="s">
        <v>33</v>
      </c>
      <c r="H49">
        <v>10</v>
      </c>
      <c r="J49">
        <f t="shared" si="0"/>
        <v>10</v>
      </c>
      <c r="L49">
        <f t="shared" si="1"/>
        <v>4.464285714285714E-3</v>
      </c>
    </row>
    <row r="50" spans="1:12" x14ac:dyDescent="0.25">
      <c r="A50">
        <v>1726</v>
      </c>
      <c r="B50" t="s">
        <v>95</v>
      </c>
      <c r="C50" t="s">
        <v>73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1726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1726</v>
      </c>
      <c r="B52" t="s">
        <v>21</v>
      </c>
      <c r="C52" t="s">
        <v>73</v>
      </c>
      <c r="D52" t="s">
        <v>33</v>
      </c>
      <c r="H52">
        <v>34</v>
      </c>
      <c r="J52">
        <f t="shared" si="0"/>
        <v>34</v>
      </c>
      <c r="L52">
        <f t="shared" si="1"/>
        <v>1.5178571428571428E-2</v>
      </c>
    </row>
    <row r="53" spans="1:12" x14ac:dyDescent="0.25">
      <c r="A53">
        <v>1726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1726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1726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1726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1726</v>
      </c>
      <c r="B57" t="s">
        <v>62</v>
      </c>
      <c r="C57" t="s">
        <v>73</v>
      </c>
      <c r="D57" t="s">
        <v>33</v>
      </c>
      <c r="E57">
        <v>297</v>
      </c>
      <c r="F57">
        <v>17</v>
      </c>
      <c r="J57">
        <f t="shared" si="0"/>
        <v>667184</v>
      </c>
      <c r="L57">
        <f t="shared" si="1"/>
        <v>297.85000000000002</v>
      </c>
    </row>
    <row r="58" spans="1:12" x14ac:dyDescent="0.25">
      <c r="A58">
        <v>1726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1726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1726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1726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1726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1726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1726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1726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1726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1726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1726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1726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1726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1726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1726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1726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1726</v>
      </c>
      <c r="B74" t="s">
        <v>6</v>
      </c>
      <c r="C74" t="s">
        <v>73</v>
      </c>
      <c r="D74" t="s">
        <v>35</v>
      </c>
      <c r="F74">
        <v>7784</v>
      </c>
      <c r="G74">
        <v>3</v>
      </c>
      <c r="H74">
        <v>25</v>
      </c>
      <c r="J74">
        <f t="shared" si="2"/>
        <v>871917</v>
      </c>
      <c r="L74">
        <f t="shared" si="3"/>
        <v>389.24866071428573</v>
      </c>
    </row>
    <row r="75" spans="1:12" x14ac:dyDescent="0.25">
      <c r="A75">
        <v>1726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1726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1726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1726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1726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1726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1726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1726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1726</v>
      </c>
      <c r="B83" t="s">
        <v>9</v>
      </c>
      <c r="C83" t="s">
        <v>73</v>
      </c>
      <c r="D83" t="s">
        <v>35</v>
      </c>
      <c r="F83">
        <v>45</v>
      </c>
      <c r="G83">
        <v>3</v>
      </c>
      <c r="J83">
        <f t="shared" si="2"/>
        <v>5124</v>
      </c>
      <c r="L83">
        <f t="shared" si="3"/>
        <v>2.2875000000000001</v>
      </c>
    </row>
    <row r="84" spans="1:12" x14ac:dyDescent="0.25">
      <c r="A84">
        <v>1726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1726</v>
      </c>
      <c r="B85" t="s">
        <v>11</v>
      </c>
      <c r="C85" t="s">
        <v>73</v>
      </c>
      <c r="D85" t="s">
        <v>35</v>
      </c>
      <c r="F85">
        <v>16</v>
      </c>
      <c r="G85">
        <v>3</v>
      </c>
      <c r="H85">
        <v>5</v>
      </c>
      <c r="J85">
        <f t="shared" si="2"/>
        <v>1881</v>
      </c>
      <c r="L85">
        <f t="shared" si="3"/>
        <v>0.83973214285714282</v>
      </c>
    </row>
    <row r="86" spans="1:12" x14ac:dyDescent="0.25">
      <c r="A86">
        <v>1726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1726</v>
      </c>
      <c r="B87" t="s">
        <v>79</v>
      </c>
      <c r="C87" t="s">
        <v>73</v>
      </c>
      <c r="D87" t="s">
        <v>35</v>
      </c>
      <c r="H87">
        <v>290</v>
      </c>
      <c r="J87">
        <f t="shared" si="2"/>
        <v>290</v>
      </c>
      <c r="L87">
        <f t="shared" si="3"/>
        <v>0.12946428571428573</v>
      </c>
    </row>
    <row r="88" spans="1:12" x14ac:dyDescent="0.25">
      <c r="A88">
        <v>1726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1726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1726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1726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1726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1726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1726</v>
      </c>
      <c r="B94" t="s">
        <v>13</v>
      </c>
      <c r="C94" t="s">
        <v>73</v>
      </c>
      <c r="D94" t="s">
        <v>35</v>
      </c>
      <c r="F94">
        <v>98</v>
      </c>
      <c r="G94">
        <v>3</v>
      </c>
      <c r="H94">
        <v>2</v>
      </c>
      <c r="J94">
        <f t="shared" si="2"/>
        <v>11062</v>
      </c>
      <c r="L94">
        <f t="shared" si="3"/>
        <v>4.9383928571428575</v>
      </c>
    </row>
    <row r="95" spans="1:12" x14ac:dyDescent="0.25">
      <c r="A95">
        <v>1726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1726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1726</v>
      </c>
      <c r="B97" t="s">
        <v>27</v>
      </c>
      <c r="C97" t="s">
        <v>73</v>
      </c>
      <c r="D97" t="s">
        <v>35</v>
      </c>
      <c r="H97">
        <v>110</v>
      </c>
      <c r="I97" t="s">
        <v>150</v>
      </c>
      <c r="J97">
        <f t="shared" si="2"/>
        <v>110</v>
      </c>
      <c r="L97">
        <f t="shared" si="3"/>
        <v>4.9107142857142856E-2</v>
      </c>
    </row>
    <row r="98" spans="1:12" x14ac:dyDescent="0.25">
      <c r="A98">
        <v>1726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1726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1726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1726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1726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1726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1726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1726</v>
      </c>
      <c r="B105" t="s">
        <v>18</v>
      </c>
      <c r="C105" t="s">
        <v>73</v>
      </c>
      <c r="D105" t="s">
        <v>35</v>
      </c>
      <c r="H105">
        <v>120</v>
      </c>
      <c r="I105" t="s">
        <v>135</v>
      </c>
      <c r="J105">
        <f t="shared" si="2"/>
        <v>120</v>
      </c>
      <c r="L105">
        <f t="shared" si="3"/>
        <v>5.3571428571428568E-2</v>
      </c>
    </row>
    <row r="106" spans="1:12" x14ac:dyDescent="0.25">
      <c r="A106">
        <v>1726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1726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1726</v>
      </c>
      <c r="B108" t="s">
        <v>19</v>
      </c>
      <c r="C108" t="s">
        <v>73</v>
      </c>
      <c r="D108" t="s">
        <v>35</v>
      </c>
      <c r="F108">
        <v>16</v>
      </c>
      <c r="G108">
        <v>3</v>
      </c>
      <c r="H108">
        <v>9</v>
      </c>
      <c r="J108">
        <f t="shared" si="2"/>
        <v>1885</v>
      </c>
      <c r="L108">
        <f t="shared" si="3"/>
        <v>0.8415178571428571</v>
      </c>
    </row>
    <row r="109" spans="1:12" x14ac:dyDescent="0.25">
      <c r="A109">
        <v>1726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1726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1726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1726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1726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1726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1726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1726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1726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1726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1726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1726</v>
      </c>
      <c r="B120" t="s">
        <v>62</v>
      </c>
      <c r="C120" t="s">
        <v>73</v>
      </c>
      <c r="D120" t="s">
        <v>35</v>
      </c>
      <c r="E120">
        <v>77</v>
      </c>
      <c r="F120">
        <v>7</v>
      </c>
      <c r="G120">
        <v>3</v>
      </c>
      <c r="H120">
        <v>4</v>
      </c>
      <c r="J120">
        <f t="shared" si="2"/>
        <v>173352</v>
      </c>
      <c r="L120">
        <f t="shared" si="3"/>
        <v>77.38928571428572</v>
      </c>
    </row>
    <row r="121" spans="1:12" x14ac:dyDescent="0.25">
      <c r="A121">
        <v>1726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1726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1726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1726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1726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1726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6"/>
  <sheetViews>
    <sheetView topLeftCell="A22" workbookViewId="0">
      <selection activeCell="H23" sqref="H23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1726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1726</v>
      </c>
      <c r="B3" t="s">
        <v>57</v>
      </c>
      <c r="C3" t="s">
        <v>74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1726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1726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1726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1726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1726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1726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1726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1726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1726</v>
      </c>
      <c r="B12" t="s">
        <v>6</v>
      </c>
      <c r="C12" t="s">
        <v>74</v>
      </c>
      <c r="D12" t="s">
        <v>33</v>
      </c>
      <c r="F12">
        <v>113799</v>
      </c>
      <c r="G12">
        <v>2</v>
      </c>
      <c r="H12">
        <v>27</v>
      </c>
      <c r="J12">
        <f t="shared" si="0"/>
        <v>12745571</v>
      </c>
      <c r="L12">
        <f t="shared" si="1"/>
        <v>5689.987053571429</v>
      </c>
    </row>
    <row r="13" spans="1:15" x14ac:dyDescent="0.25">
      <c r="A13">
        <v>1726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1726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1726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1726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1726</v>
      </c>
      <c r="B17" t="s">
        <v>8</v>
      </c>
      <c r="C17" t="s">
        <v>74</v>
      </c>
      <c r="D17" t="s">
        <v>33</v>
      </c>
      <c r="F17">
        <v>378</v>
      </c>
      <c r="G17">
        <v>3</v>
      </c>
      <c r="H17">
        <v>9</v>
      </c>
      <c r="J17">
        <f t="shared" si="0"/>
        <v>42429</v>
      </c>
      <c r="L17">
        <f t="shared" si="1"/>
        <v>18.941517857142856</v>
      </c>
    </row>
    <row r="18" spans="1:12" x14ac:dyDescent="0.25">
      <c r="A18">
        <v>1726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1726</v>
      </c>
      <c r="B19" t="s">
        <v>77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1726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1726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1726</v>
      </c>
      <c r="B22" t="s">
        <v>9</v>
      </c>
      <c r="C22" t="s">
        <v>74</v>
      </c>
      <c r="D22" t="s">
        <v>33</v>
      </c>
      <c r="H22">
        <f>229.333*200</f>
        <v>45866.6</v>
      </c>
      <c r="I22" t="s">
        <v>138</v>
      </c>
      <c r="J22">
        <f t="shared" si="0"/>
        <v>45866.6</v>
      </c>
      <c r="L22">
        <f t="shared" si="1"/>
        <v>20.476160714285715</v>
      </c>
    </row>
    <row r="23" spans="1:12" x14ac:dyDescent="0.25">
      <c r="A23">
        <v>1726</v>
      </c>
      <c r="B23" t="s">
        <v>10</v>
      </c>
      <c r="C23" t="s">
        <v>74</v>
      </c>
      <c r="D23" t="s">
        <v>33</v>
      </c>
      <c r="F23">
        <v>26</v>
      </c>
      <c r="H23">
        <v>17</v>
      </c>
      <c r="J23">
        <f t="shared" si="0"/>
        <v>2929</v>
      </c>
      <c r="L23">
        <f t="shared" si="1"/>
        <v>1.3075892857142857</v>
      </c>
    </row>
    <row r="24" spans="1:12" x14ac:dyDescent="0.25">
      <c r="A24">
        <v>1726</v>
      </c>
      <c r="B24" t="s">
        <v>11</v>
      </c>
      <c r="C24" t="s">
        <v>74</v>
      </c>
      <c r="D24" t="s">
        <v>33</v>
      </c>
      <c r="F24">
        <v>105</v>
      </c>
      <c r="G24">
        <v>3</v>
      </c>
      <c r="J24">
        <f t="shared" si="0"/>
        <v>11844</v>
      </c>
      <c r="L24">
        <f t="shared" si="1"/>
        <v>5.2874999999999996</v>
      </c>
    </row>
    <row r="25" spans="1:12" x14ac:dyDescent="0.25">
      <c r="A25">
        <v>1726</v>
      </c>
      <c r="B25" t="s">
        <v>39</v>
      </c>
      <c r="C25" t="s">
        <v>74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1726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1726</v>
      </c>
      <c r="B27" t="s">
        <v>103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1726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1726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1726</v>
      </c>
      <c r="B30" t="s">
        <v>12</v>
      </c>
      <c r="C30" t="s">
        <v>74</v>
      </c>
      <c r="D30" t="s">
        <v>33</v>
      </c>
      <c r="H30">
        <v>1583</v>
      </c>
      <c r="J30">
        <f t="shared" si="0"/>
        <v>1583</v>
      </c>
      <c r="L30">
        <f t="shared" si="1"/>
        <v>0.70669642857142856</v>
      </c>
    </row>
    <row r="31" spans="1:12" x14ac:dyDescent="0.25">
      <c r="A31">
        <v>1726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1726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1726</v>
      </c>
      <c r="B33" t="s">
        <v>13</v>
      </c>
      <c r="C33" t="s">
        <v>74</v>
      </c>
      <c r="D33" t="s">
        <v>33</v>
      </c>
      <c r="F33">
        <v>5</v>
      </c>
      <c r="J33">
        <f t="shared" si="0"/>
        <v>560</v>
      </c>
      <c r="L33">
        <f t="shared" si="1"/>
        <v>0.25</v>
      </c>
    </row>
    <row r="34" spans="1:12" x14ac:dyDescent="0.25">
      <c r="A34">
        <v>1726</v>
      </c>
      <c r="B34" t="s">
        <v>14</v>
      </c>
      <c r="C34" t="s">
        <v>74</v>
      </c>
      <c r="D34" t="s">
        <v>33</v>
      </c>
      <c r="H34">
        <v>20</v>
      </c>
      <c r="I34" t="s">
        <v>134</v>
      </c>
      <c r="J34">
        <f t="shared" si="0"/>
        <v>20</v>
      </c>
      <c r="L34">
        <f t="shared" si="1"/>
        <v>8.9285714285714281E-3</v>
      </c>
    </row>
    <row r="35" spans="1:12" x14ac:dyDescent="0.25">
      <c r="A35">
        <v>1726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1726</v>
      </c>
      <c r="B36" t="s">
        <v>27</v>
      </c>
      <c r="C36" t="s">
        <v>74</v>
      </c>
      <c r="D36" t="s">
        <v>33</v>
      </c>
      <c r="H36">
        <v>16954.5</v>
      </c>
      <c r="I36" t="s">
        <v>137</v>
      </c>
      <c r="J36">
        <f t="shared" si="0"/>
        <v>16954.5</v>
      </c>
      <c r="L36">
        <f t="shared" si="1"/>
        <v>7.5689732142857142</v>
      </c>
    </row>
    <row r="37" spans="1:12" x14ac:dyDescent="0.25">
      <c r="A37">
        <v>1726</v>
      </c>
      <c r="B37" t="s">
        <v>15</v>
      </c>
      <c r="C37" t="s">
        <v>74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1726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1726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1726</v>
      </c>
      <c r="B40" t="s">
        <v>47</v>
      </c>
      <c r="C40" t="s">
        <v>74</v>
      </c>
      <c r="D40" t="s">
        <v>33</v>
      </c>
      <c r="H40">
        <v>120</v>
      </c>
      <c r="I40" t="s">
        <v>135</v>
      </c>
      <c r="J40">
        <f t="shared" si="0"/>
        <v>120</v>
      </c>
      <c r="L40">
        <f t="shared" si="1"/>
        <v>5.3571428571428568E-2</v>
      </c>
    </row>
    <row r="41" spans="1:12" x14ac:dyDescent="0.25">
      <c r="A41">
        <v>1726</v>
      </c>
      <c r="B41" t="s">
        <v>16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1726</v>
      </c>
      <c r="B42" t="s">
        <v>17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1726</v>
      </c>
      <c r="B43" t="s">
        <v>18</v>
      </c>
      <c r="C43" t="s">
        <v>74</v>
      </c>
      <c r="D43" t="s">
        <v>33</v>
      </c>
      <c r="H43">
        <v>23711</v>
      </c>
      <c r="I43" t="s">
        <v>136</v>
      </c>
      <c r="J43">
        <f t="shared" si="0"/>
        <v>23711</v>
      </c>
      <c r="L43">
        <f t="shared" si="1"/>
        <v>10.585267857142858</v>
      </c>
    </row>
    <row r="44" spans="1:12" x14ac:dyDescent="0.25">
      <c r="A44">
        <v>1726</v>
      </c>
      <c r="B44" t="s">
        <v>26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1726</v>
      </c>
      <c r="B45" t="s">
        <v>84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1726</v>
      </c>
      <c r="B46" t="s">
        <v>19</v>
      </c>
      <c r="C46" t="s">
        <v>74</v>
      </c>
      <c r="D46" t="s">
        <v>33</v>
      </c>
      <c r="F46">
        <v>14</v>
      </c>
      <c r="H46">
        <v>3</v>
      </c>
      <c r="J46">
        <f t="shared" si="0"/>
        <v>1571</v>
      </c>
      <c r="L46">
        <f t="shared" si="1"/>
        <v>0.70133928571428572</v>
      </c>
    </row>
    <row r="47" spans="1:12" x14ac:dyDescent="0.25">
      <c r="A47">
        <v>1726</v>
      </c>
      <c r="B47" t="s">
        <v>45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1726</v>
      </c>
      <c r="B48" t="s">
        <v>85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1726</v>
      </c>
      <c r="B49" t="s">
        <v>54</v>
      </c>
      <c r="C49" t="s">
        <v>74</v>
      </c>
      <c r="D49" t="s">
        <v>33</v>
      </c>
      <c r="H49">
        <v>474</v>
      </c>
      <c r="J49">
        <f t="shared" si="0"/>
        <v>474</v>
      </c>
      <c r="L49">
        <f t="shared" si="1"/>
        <v>0.21160714285714285</v>
      </c>
    </row>
    <row r="50" spans="1:12" x14ac:dyDescent="0.25">
      <c r="A50">
        <v>1726</v>
      </c>
      <c r="B50" t="s">
        <v>95</v>
      </c>
      <c r="C50" t="s">
        <v>74</v>
      </c>
      <c r="D50" t="s">
        <v>33</v>
      </c>
      <c r="H50">
        <v>38</v>
      </c>
      <c r="J50">
        <f t="shared" si="0"/>
        <v>38</v>
      </c>
      <c r="L50">
        <f t="shared" si="1"/>
        <v>1.6964285714285713E-2</v>
      </c>
    </row>
    <row r="51" spans="1:12" x14ac:dyDescent="0.25">
      <c r="A51">
        <v>1726</v>
      </c>
      <c r="B51" t="s">
        <v>20</v>
      </c>
      <c r="C51" t="s">
        <v>74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1726</v>
      </c>
      <c r="B52" t="s">
        <v>21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1726</v>
      </c>
      <c r="B53" t="s">
        <v>22</v>
      </c>
      <c r="C53" t="s">
        <v>74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1726</v>
      </c>
      <c r="B54" t="s">
        <v>61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1726</v>
      </c>
      <c r="B55" t="s">
        <v>99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1726</v>
      </c>
      <c r="B56" t="s">
        <v>87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1726</v>
      </c>
      <c r="B57" t="s">
        <v>62</v>
      </c>
      <c r="C57" t="s">
        <v>74</v>
      </c>
      <c r="D57" t="s">
        <v>33</v>
      </c>
      <c r="E57">
        <v>544</v>
      </c>
      <c r="F57">
        <v>7</v>
      </c>
      <c r="G57">
        <v>2</v>
      </c>
      <c r="H57">
        <v>24</v>
      </c>
      <c r="J57">
        <f t="shared" si="0"/>
        <v>1219424</v>
      </c>
      <c r="L57">
        <f t="shared" si="1"/>
        <v>544.38571428571424</v>
      </c>
    </row>
    <row r="58" spans="1:12" x14ac:dyDescent="0.25">
      <c r="A58">
        <v>1726</v>
      </c>
      <c r="B58" t="s">
        <v>88</v>
      </c>
      <c r="C58" t="s">
        <v>74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1726</v>
      </c>
      <c r="B59" t="s">
        <v>63</v>
      </c>
      <c r="C59" t="s">
        <v>74</v>
      </c>
      <c r="D59" t="s">
        <v>33</v>
      </c>
      <c r="F59">
        <v>10</v>
      </c>
      <c r="J59">
        <f t="shared" si="0"/>
        <v>1120</v>
      </c>
      <c r="L59">
        <f t="shared" si="1"/>
        <v>0.5</v>
      </c>
    </row>
    <row r="60" spans="1:12" x14ac:dyDescent="0.25">
      <c r="A60">
        <v>1726</v>
      </c>
      <c r="B60" t="s">
        <v>89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1726</v>
      </c>
      <c r="B61" t="s">
        <v>70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1726</v>
      </c>
      <c r="B62" t="s">
        <v>64</v>
      </c>
      <c r="C62" t="s">
        <v>74</v>
      </c>
      <c r="D62" t="s">
        <v>33</v>
      </c>
      <c r="E62">
        <v>1</v>
      </c>
      <c r="F62">
        <v>2</v>
      </c>
      <c r="G62">
        <v>2</v>
      </c>
      <c r="J62">
        <f t="shared" si="0"/>
        <v>2520</v>
      </c>
      <c r="L62">
        <f t="shared" si="1"/>
        <v>1.125</v>
      </c>
    </row>
    <row r="63" spans="1:12" x14ac:dyDescent="0.25">
      <c r="A63">
        <v>1726</v>
      </c>
      <c r="B63" t="s">
        <v>65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1726</v>
      </c>
      <c r="B64" t="s">
        <v>55</v>
      </c>
      <c r="C64" t="s">
        <v>74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1726</v>
      </c>
      <c r="B65" t="s">
        <v>57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1726</v>
      </c>
      <c r="B66" t="s">
        <v>36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1726</v>
      </c>
      <c r="B67" t="s">
        <v>4</v>
      </c>
      <c r="C67" t="s">
        <v>74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1726</v>
      </c>
      <c r="B68" t="s">
        <v>58</v>
      </c>
      <c r="C68" t="s">
        <v>74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1726</v>
      </c>
      <c r="B69" t="s">
        <v>69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1726</v>
      </c>
      <c r="B70" t="s">
        <v>43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1726</v>
      </c>
      <c r="B71" t="s">
        <v>76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1726</v>
      </c>
      <c r="B72" t="s">
        <v>5</v>
      </c>
      <c r="C72" t="s">
        <v>74</v>
      </c>
      <c r="D72" t="s">
        <v>35</v>
      </c>
      <c r="F72">
        <v>3</v>
      </c>
      <c r="G72">
        <v>2</v>
      </c>
      <c r="H72">
        <v>24</v>
      </c>
      <c r="J72">
        <f t="shared" si="2"/>
        <v>416</v>
      </c>
      <c r="L72">
        <f t="shared" si="3"/>
        <v>0.18571428571428572</v>
      </c>
    </row>
    <row r="73" spans="1:12" x14ac:dyDescent="0.25">
      <c r="A73">
        <v>1726</v>
      </c>
      <c r="B73" t="s">
        <v>59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1726</v>
      </c>
      <c r="B74" t="s">
        <v>6</v>
      </c>
      <c r="C74" t="s">
        <v>74</v>
      </c>
      <c r="D74" t="s">
        <v>35</v>
      </c>
      <c r="F74">
        <v>13368</v>
      </c>
      <c r="G74">
        <v>2</v>
      </c>
      <c r="H74">
        <v>17</v>
      </c>
      <c r="J74">
        <f t="shared" si="2"/>
        <v>1497289</v>
      </c>
      <c r="L74">
        <f t="shared" si="3"/>
        <v>668.43258928571424</v>
      </c>
    </row>
    <row r="75" spans="1:12" x14ac:dyDescent="0.25">
      <c r="A75">
        <v>1726</v>
      </c>
      <c r="B75" t="s">
        <v>60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1726</v>
      </c>
      <c r="B76" t="s">
        <v>7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1726</v>
      </c>
      <c r="B77" t="s">
        <v>37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1726</v>
      </c>
      <c r="B78" t="s">
        <v>8</v>
      </c>
      <c r="C78" t="s">
        <v>74</v>
      </c>
      <c r="D78" t="s">
        <v>35</v>
      </c>
      <c r="F78">
        <v>2</v>
      </c>
      <c r="G78">
        <v>1</v>
      </c>
      <c r="H78">
        <v>7</v>
      </c>
      <c r="J78">
        <f t="shared" si="2"/>
        <v>259</v>
      </c>
      <c r="L78">
        <f t="shared" si="3"/>
        <v>0.11562500000000001</v>
      </c>
    </row>
    <row r="79" spans="1:12" x14ac:dyDescent="0.25">
      <c r="A79">
        <v>1726</v>
      </c>
      <c r="B79" t="s">
        <v>40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1726</v>
      </c>
      <c r="B80" t="s">
        <v>77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1726</v>
      </c>
      <c r="B81" t="s">
        <v>78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1726</v>
      </c>
      <c r="B82" t="s">
        <v>46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1726</v>
      </c>
      <c r="B83" t="s">
        <v>9</v>
      </c>
      <c r="C83" t="s">
        <v>74</v>
      </c>
      <c r="D83" t="s">
        <v>35</v>
      </c>
      <c r="F83">
        <v>301</v>
      </c>
      <c r="G83">
        <v>2</v>
      </c>
      <c r="H83">
        <v>24</v>
      </c>
      <c r="J83">
        <f t="shared" si="2"/>
        <v>33792</v>
      </c>
      <c r="L83">
        <f t="shared" si="3"/>
        <v>15.085714285714285</v>
      </c>
    </row>
    <row r="84" spans="1:12" x14ac:dyDescent="0.25">
      <c r="A84">
        <v>1726</v>
      </c>
      <c r="B84" t="s">
        <v>10</v>
      </c>
      <c r="C84" t="s">
        <v>74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1726</v>
      </c>
      <c r="B85" t="s">
        <v>11</v>
      </c>
      <c r="C85" t="s">
        <v>74</v>
      </c>
      <c r="D85" t="s">
        <v>35</v>
      </c>
      <c r="F85">
        <v>19</v>
      </c>
      <c r="G85">
        <v>3</v>
      </c>
      <c r="H85">
        <v>12</v>
      </c>
      <c r="J85">
        <f t="shared" si="2"/>
        <v>2224</v>
      </c>
      <c r="L85">
        <f t="shared" si="3"/>
        <v>0.99285714285714288</v>
      </c>
    </row>
    <row r="86" spans="1:12" x14ac:dyDescent="0.25">
      <c r="A86">
        <v>1726</v>
      </c>
      <c r="B86" t="s">
        <v>39</v>
      </c>
      <c r="C86" t="s">
        <v>74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1726</v>
      </c>
      <c r="B87" t="s">
        <v>79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1726</v>
      </c>
      <c r="B88" t="s">
        <v>103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1726</v>
      </c>
      <c r="B89" t="s">
        <v>44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1726</v>
      </c>
      <c r="B90" t="s">
        <v>97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1726</v>
      </c>
      <c r="B91" t="s">
        <v>12</v>
      </c>
      <c r="C91" t="s">
        <v>74</v>
      </c>
      <c r="D91" t="s">
        <v>35</v>
      </c>
      <c r="H91">
        <v>448</v>
      </c>
      <c r="J91">
        <f t="shared" si="2"/>
        <v>448</v>
      </c>
      <c r="L91">
        <f t="shared" si="3"/>
        <v>0.2</v>
      </c>
    </row>
    <row r="92" spans="1:12" x14ac:dyDescent="0.25">
      <c r="A92">
        <v>1726</v>
      </c>
      <c r="B92" t="s">
        <v>82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1726</v>
      </c>
      <c r="B93" t="s">
        <v>34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1726</v>
      </c>
      <c r="B94" t="s">
        <v>13</v>
      </c>
      <c r="C94" t="s">
        <v>74</v>
      </c>
      <c r="D94" t="s">
        <v>35</v>
      </c>
      <c r="E94">
        <v>7</v>
      </c>
      <c r="F94">
        <v>10</v>
      </c>
      <c r="G94">
        <v>2</v>
      </c>
      <c r="H94">
        <v>21</v>
      </c>
      <c r="J94">
        <f t="shared" si="2"/>
        <v>16877</v>
      </c>
      <c r="L94">
        <f t="shared" si="3"/>
        <v>7.5343749999999998</v>
      </c>
    </row>
    <row r="95" spans="1:12" x14ac:dyDescent="0.25">
      <c r="A95">
        <v>1726</v>
      </c>
      <c r="B95" t="s">
        <v>14</v>
      </c>
      <c r="C95" t="s">
        <v>74</v>
      </c>
      <c r="D95" t="s">
        <v>35</v>
      </c>
      <c r="H95">
        <v>900</v>
      </c>
      <c r="I95" t="s">
        <v>151</v>
      </c>
      <c r="J95">
        <f t="shared" si="2"/>
        <v>900</v>
      </c>
      <c r="L95">
        <f t="shared" si="3"/>
        <v>0.4017857142857143</v>
      </c>
    </row>
    <row r="96" spans="1:12" x14ac:dyDescent="0.25">
      <c r="A96">
        <v>1726</v>
      </c>
      <c r="B96" t="s">
        <v>23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1726</v>
      </c>
      <c r="B97" t="s">
        <v>27</v>
      </c>
      <c r="C97" t="s">
        <v>74</v>
      </c>
      <c r="D97" t="s">
        <v>35</v>
      </c>
      <c r="H97">
        <v>240</v>
      </c>
      <c r="I97" t="s">
        <v>153</v>
      </c>
      <c r="J97">
        <f t="shared" si="2"/>
        <v>240</v>
      </c>
      <c r="L97">
        <f t="shared" si="3"/>
        <v>0.10714285714285714</v>
      </c>
    </row>
    <row r="98" spans="1:12" x14ac:dyDescent="0.25">
      <c r="A98">
        <v>1726</v>
      </c>
      <c r="B98" t="s">
        <v>15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1726</v>
      </c>
      <c r="B99" t="s">
        <v>93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1726</v>
      </c>
      <c r="B100" t="s">
        <v>42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1726</v>
      </c>
      <c r="B101" t="s">
        <v>83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1726</v>
      </c>
      <c r="B102" t="s">
        <v>47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1726</v>
      </c>
      <c r="B103" t="s">
        <v>16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1726</v>
      </c>
      <c r="B104" t="s">
        <v>17</v>
      </c>
      <c r="C104" t="s">
        <v>74</v>
      </c>
      <c r="D104" t="s">
        <v>35</v>
      </c>
      <c r="F104">
        <v>3</v>
      </c>
      <c r="J104">
        <f t="shared" si="2"/>
        <v>336</v>
      </c>
      <c r="L104">
        <f t="shared" si="3"/>
        <v>0.15</v>
      </c>
    </row>
    <row r="105" spans="1:12" x14ac:dyDescent="0.25">
      <c r="A105">
        <v>1726</v>
      </c>
      <c r="B105" t="s">
        <v>18</v>
      </c>
      <c r="C105" t="s">
        <v>74</v>
      </c>
      <c r="D105" t="s">
        <v>35</v>
      </c>
      <c r="H105">
        <v>5014</v>
      </c>
      <c r="I105" t="s">
        <v>152</v>
      </c>
      <c r="J105">
        <f t="shared" si="2"/>
        <v>5014</v>
      </c>
      <c r="L105">
        <f t="shared" si="3"/>
        <v>2.2383928571428573</v>
      </c>
    </row>
    <row r="106" spans="1:12" x14ac:dyDescent="0.25">
      <c r="A106">
        <v>1726</v>
      </c>
      <c r="B106" t="s">
        <v>26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1726</v>
      </c>
      <c r="B107" t="s">
        <v>84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1726</v>
      </c>
      <c r="B108" t="s">
        <v>19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1726</v>
      </c>
      <c r="B109" t="s">
        <v>45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1726</v>
      </c>
      <c r="B110" t="s">
        <v>85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1726</v>
      </c>
      <c r="B111" t="s">
        <v>54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1726</v>
      </c>
      <c r="B112" t="s">
        <v>95</v>
      </c>
      <c r="C112" t="s">
        <v>74</v>
      </c>
      <c r="D112" t="s">
        <v>35</v>
      </c>
      <c r="H112">
        <v>160</v>
      </c>
      <c r="J112">
        <f t="shared" si="2"/>
        <v>160</v>
      </c>
      <c r="L112">
        <f t="shared" si="3"/>
        <v>7.1428571428571425E-2</v>
      </c>
    </row>
    <row r="113" spans="1:12" x14ac:dyDescent="0.25">
      <c r="A113">
        <v>1726</v>
      </c>
      <c r="B113" t="s">
        <v>20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1726</v>
      </c>
      <c r="B114" t="s">
        <v>21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1726</v>
      </c>
      <c r="B115" t="s">
        <v>22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1726</v>
      </c>
      <c r="B116" t="s">
        <v>61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1726</v>
      </c>
      <c r="B117" t="s">
        <v>91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1726</v>
      </c>
      <c r="B118" t="s">
        <v>98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1726</v>
      </c>
      <c r="B119" t="s">
        <v>87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1726</v>
      </c>
      <c r="B120" t="s">
        <v>62</v>
      </c>
      <c r="C120" t="s">
        <v>74</v>
      </c>
      <c r="D120" t="s">
        <v>35</v>
      </c>
      <c r="E120">
        <v>163</v>
      </c>
      <c r="F120">
        <v>10</v>
      </c>
      <c r="G120">
        <v>3</v>
      </c>
      <c r="H120">
        <v>8</v>
      </c>
      <c r="J120">
        <f t="shared" si="2"/>
        <v>366332</v>
      </c>
      <c r="L120">
        <f t="shared" si="3"/>
        <v>163.54107142857143</v>
      </c>
    </row>
    <row r="121" spans="1:12" x14ac:dyDescent="0.25">
      <c r="A121">
        <v>1726</v>
      </c>
      <c r="B121" t="s">
        <v>88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1726</v>
      </c>
      <c r="B122" t="s">
        <v>63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1726</v>
      </c>
      <c r="B123" t="s">
        <v>89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1726</v>
      </c>
      <c r="B124" t="s">
        <v>70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1726</v>
      </c>
      <c r="B125" t="s">
        <v>64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1726</v>
      </c>
      <c r="B126" t="s">
        <v>65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9"/>
  <sheetViews>
    <sheetView topLeftCell="A24" workbookViewId="0">
      <selection activeCell="H25" sqref="H25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1726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1726</v>
      </c>
      <c r="B3" t="s">
        <v>57</v>
      </c>
      <c r="C3" t="s">
        <v>100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1726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1726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1726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1726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1726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1726</v>
      </c>
      <c r="B9" t="s">
        <v>101</v>
      </c>
      <c r="C9" t="s">
        <v>100</v>
      </c>
      <c r="D9" t="s">
        <v>33</v>
      </c>
      <c r="H9">
        <v>80</v>
      </c>
      <c r="J9">
        <f t="shared" si="0"/>
        <v>80</v>
      </c>
      <c r="L9">
        <f t="shared" si="1"/>
        <v>3.5714285714285712E-2</v>
      </c>
    </row>
    <row r="10" spans="1:15" x14ac:dyDescent="0.25">
      <c r="A10">
        <v>1726</v>
      </c>
      <c r="B10" t="s">
        <v>76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1726</v>
      </c>
      <c r="B11" t="s">
        <v>104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1726</v>
      </c>
      <c r="B12" t="s">
        <v>5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1726</v>
      </c>
      <c r="B13" t="s">
        <v>59</v>
      </c>
      <c r="C13" t="s">
        <v>100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1726</v>
      </c>
      <c r="B14" t="s">
        <v>6</v>
      </c>
      <c r="C14" t="s">
        <v>100</v>
      </c>
      <c r="D14" t="s">
        <v>33</v>
      </c>
      <c r="F14">
        <v>95</v>
      </c>
      <c r="G14">
        <v>1</v>
      </c>
      <c r="J14">
        <f t="shared" si="0"/>
        <v>10668</v>
      </c>
      <c r="L14">
        <f t="shared" si="1"/>
        <v>4.7625000000000002</v>
      </c>
    </row>
    <row r="15" spans="1:15" x14ac:dyDescent="0.25">
      <c r="A15">
        <v>1726</v>
      </c>
      <c r="B15" t="s">
        <v>96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1726</v>
      </c>
      <c r="B16" t="s">
        <v>60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1726</v>
      </c>
      <c r="B17" t="s">
        <v>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1726</v>
      </c>
      <c r="B18" t="s">
        <v>37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1726</v>
      </c>
      <c r="B19" t="s">
        <v>8</v>
      </c>
      <c r="C19" t="s">
        <v>100</v>
      </c>
      <c r="D19" t="s">
        <v>33</v>
      </c>
      <c r="F19">
        <v>26</v>
      </c>
      <c r="G19">
        <v>3</v>
      </c>
      <c r="H19">
        <v>10</v>
      </c>
      <c r="J19">
        <f t="shared" si="0"/>
        <v>3006</v>
      </c>
      <c r="L19">
        <f t="shared" si="1"/>
        <v>1.3419642857142857</v>
      </c>
    </row>
    <row r="20" spans="1:12" x14ac:dyDescent="0.25">
      <c r="A20">
        <v>1726</v>
      </c>
      <c r="B20" t="s">
        <v>40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1726</v>
      </c>
      <c r="B21" t="s">
        <v>77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1726</v>
      </c>
      <c r="B22" t="s">
        <v>78</v>
      </c>
      <c r="C22" t="s">
        <v>100</v>
      </c>
      <c r="D22" t="s">
        <v>33</v>
      </c>
      <c r="H22">
        <v>316</v>
      </c>
      <c r="J22">
        <f t="shared" si="0"/>
        <v>316</v>
      </c>
      <c r="L22">
        <f t="shared" si="1"/>
        <v>0.14107142857142857</v>
      </c>
    </row>
    <row r="23" spans="1:12" x14ac:dyDescent="0.25">
      <c r="A23">
        <v>1726</v>
      </c>
      <c r="B23" t="s">
        <v>46</v>
      </c>
      <c r="C23" t="s">
        <v>100</v>
      </c>
      <c r="D23" t="s">
        <v>33</v>
      </c>
      <c r="H23">
        <v>6470</v>
      </c>
      <c r="J23">
        <f t="shared" si="0"/>
        <v>6470</v>
      </c>
      <c r="L23">
        <f t="shared" si="1"/>
        <v>2.8883928571428572</v>
      </c>
    </row>
    <row r="24" spans="1:12" x14ac:dyDescent="0.25">
      <c r="A24">
        <v>1726</v>
      </c>
      <c r="B24" t="s">
        <v>9</v>
      </c>
      <c r="C24" t="s">
        <v>100</v>
      </c>
      <c r="D24" t="s">
        <v>33</v>
      </c>
      <c r="H24">
        <f>6*200</f>
        <v>1200</v>
      </c>
      <c r="I24" t="s">
        <v>140</v>
      </c>
      <c r="J24">
        <f t="shared" si="0"/>
        <v>1200</v>
      </c>
      <c r="L24">
        <f t="shared" si="1"/>
        <v>0.5357142857142857</v>
      </c>
    </row>
    <row r="25" spans="1:12" x14ac:dyDescent="0.25">
      <c r="A25">
        <v>1726</v>
      </c>
      <c r="B25" t="s">
        <v>10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1726</v>
      </c>
      <c r="B26" t="s">
        <v>11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1726</v>
      </c>
      <c r="B27" t="s">
        <v>39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1726</v>
      </c>
      <c r="B28" t="s">
        <v>79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1726</v>
      </c>
      <c r="B29" t="s">
        <v>103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1726</v>
      </c>
      <c r="B30" t="s">
        <v>44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1726</v>
      </c>
      <c r="B31" t="s">
        <v>97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1726</v>
      </c>
      <c r="B32" t="s">
        <v>12</v>
      </c>
      <c r="C32" t="s">
        <v>100</v>
      </c>
      <c r="D32" t="s">
        <v>33</v>
      </c>
      <c r="H32">
        <v>150</v>
      </c>
      <c r="J32">
        <f t="shared" si="0"/>
        <v>150</v>
      </c>
      <c r="L32">
        <f t="shared" si="1"/>
        <v>6.6964285714285712E-2</v>
      </c>
    </row>
    <row r="33" spans="1:12" x14ac:dyDescent="0.25">
      <c r="A33">
        <v>1726</v>
      </c>
      <c r="B33" t="s">
        <v>82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1726</v>
      </c>
      <c r="B34" t="s">
        <v>34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1726</v>
      </c>
      <c r="B35" t="s">
        <v>13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1726</v>
      </c>
      <c r="B36" t="s">
        <v>14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1726</v>
      </c>
      <c r="B37" t="s">
        <v>23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1726</v>
      </c>
      <c r="B38" t="s">
        <v>27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1726</v>
      </c>
      <c r="B39" t="s">
        <v>15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1726</v>
      </c>
      <c r="B40" t="s">
        <v>42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1726</v>
      </c>
      <c r="B41" t="s">
        <v>83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1726</v>
      </c>
      <c r="B42" t="s">
        <v>47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1726</v>
      </c>
      <c r="B43" t="s">
        <v>16</v>
      </c>
      <c r="C43" t="s">
        <v>100</v>
      </c>
      <c r="D43" t="s">
        <v>33</v>
      </c>
      <c r="H43">
        <v>2910</v>
      </c>
      <c r="J43">
        <f t="shared" si="0"/>
        <v>2910</v>
      </c>
      <c r="L43">
        <f t="shared" si="1"/>
        <v>1.2991071428571428</v>
      </c>
    </row>
    <row r="44" spans="1:12" x14ac:dyDescent="0.25">
      <c r="A44">
        <v>1726</v>
      </c>
      <c r="B44" t="s">
        <v>17</v>
      </c>
      <c r="C44" t="s">
        <v>100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1726</v>
      </c>
      <c r="B45" t="s">
        <v>18</v>
      </c>
      <c r="C45" t="s">
        <v>100</v>
      </c>
      <c r="D45" t="s">
        <v>33</v>
      </c>
      <c r="H45">
        <v>330</v>
      </c>
      <c r="I45" t="s">
        <v>139</v>
      </c>
      <c r="J45">
        <f t="shared" si="0"/>
        <v>330</v>
      </c>
      <c r="L45">
        <f t="shared" si="1"/>
        <v>0.14732142857142858</v>
      </c>
    </row>
    <row r="46" spans="1:12" x14ac:dyDescent="0.25">
      <c r="A46">
        <v>1726</v>
      </c>
      <c r="B46" t="s">
        <v>26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1726</v>
      </c>
      <c r="B47" t="s">
        <v>84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1726</v>
      </c>
      <c r="B48" t="s">
        <v>19</v>
      </c>
      <c r="C48" t="s">
        <v>100</v>
      </c>
      <c r="D48" t="s">
        <v>33</v>
      </c>
      <c r="F48">
        <v>1</v>
      </c>
      <c r="G48">
        <v>2</v>
      </c>
      <c r="J48">
        <f t="shared" si="0"/>
        <v>168</v>
      </c>
      <c r="L48">
        <f t="shared" si="1"/>
        <v>7.4999999999999997E-2</v>
      </c>
    </row>
    <row r="49" spans="1:12" x14ac:dyDescent="0.25">
      <c r="A49">
        <v>1726</v>
      </c>
      <c r="B49" t="s">
        <v>45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1726</v>
      </c>
      <c r="B50" t="s">
        <v>85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1726</v>
      </c>
      <c r="B51" t="s">
        <v>54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1726</v>
      </c>
      <c r="B52" t="s">
        <v>95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1726</v>
      </c>
      <c r="B53" t="s">
        <v>20</v>
      </c>
      <c r="C53" t="s">
        <v>100</v>
      </c>
      <c r="D53" t="s">
        <v>33</v>
      </c>
      <c r="H53">
        <v>1850</v>
      </c>
      <c r="J53">
        <f t="shared" si="0"/>
        <v>1850</v>
      </c>
      <c r="L53">
        <f t="shared" si="1"/>
        <v>0.8258928571428571</v>
      </c>
    </row>
    <row r="54" spans="1:12" x14ac:dyDescent="0.25">
      <c r="A54">
        <v>1726</v>
      </c>
      <c r="B54" t="s">
        <v>21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1726</v>
      </c>
      <c r="B55" t="s">
        <v>90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1726</v>
      </c>
      <c r="B56" t="s">
        <v>22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1726</v>
      </c>
      <c r="B57" t="s">
        <v>61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1726</v>
      </c>
      <c r="B58" t="s">
        <v>98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1726</v>
      </c>
      <c r="B59" t="s">
        <v>87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1726</v>
      </c>
      <c r="B60" t="s">
        <v>62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1726</v>
      </c>
      <c r="B61" t="s">
        <v>88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1726</v>
      </c>
      <c r="B62" t="s">
        <v>63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1726</v>
      </c>
      <c r="B63" t="s">
        <v>89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1726</v>
      </c>
      <c r="B64" t="s">
        <v>70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1726</v>
      </c>
      <c r="B65" t="s">
        <v>64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1726</v>
      </c>
      <c r="B66" t="s">
        <v>65</v>
      </c>
      <c r="C66" t="s">
        <v>100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1726</v>
      </c>
      <c r="B67" t="s">
        <v>55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1726</v>
      </c>
      <c r="B68" t="s">
        <v>57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1726</v>
      </c>
      <c r="B69" t="s">
        <v>36</v>
      </c>
      <c r="C69" t="s">
        <v>100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1726</v>
      </c>
      <c r="B70" t="s">
        <v>4</v>
      </c>
      <c r="C70" t="s">
        <v>100</v>
      </c>
      <c r="D70" t="s">
        <v>35</v>
      </c>
      <c r="J70">
        <f t="shared" ref="J70:J129" si="2">(E70*2240)+(F70*112)+(G70*28)+H70</f>
        <v>0</v>
      </c>
      <c r="L70">
        <f t="shared" ref="L70:L129" si="3">J70/2240</f>
        <v>0</v>
      </c>
    </row>
    <row r="71" spans="1:12" x14ac:dyDescent="0.25">
      <c r="A71">
        <v>1726</v>
      </c>
      <c r="B71" t="s">
        <v>58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1726</v>
      </c>
      <c r="B72" t="s">
        <v>69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1726</v>
      </c>
      <c r="B73" t="s">
        <v>43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1726</v>
      </c>
      <c r="B74" t="s">
        <v>76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1726</v>
      </c>
      <c r="B75" t="s">
        <v>5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1726</v>
      </c>
      <c r="B76" t="s">
        <v>59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1726</v>
      </c>
      <c r="B77" t="s">
        <v>6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1726</v>
      </c>
      <c r="B78" t="s">
        <v>60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1726</v>
      </c>
      <c r="B79" t="s">
        <v>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1726</v>
      </c>
      <c r="B80" t="s">
        <v>37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1726</v>
      </c>
      <c r="B81" t="s">
        <v>8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1726</v>
      </c>
      <c r="B82" t="s">
        <v>40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1726</v>
      </c>
      <c r="B83" t="s">
        <v>77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1726</v>
      </c>
      <c r="B84" t="s">
        <v>78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1726</v>
      </c>
      <c r="B85" t="s">
        <v>46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1726</v>
      </c>
      <c r="B86" t="s">
        <v>9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1726</v>
      </c>
      <c r="B87" t="s">
        <v>10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1726</v>
      </c>
      <c r="B88" t="s">
        <v>11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1726</v>
      </c>
      <c r="B89" t="s">
        <v>39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1726</v>
      </c>
      <c r="B90" t="s">
        <v>79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1726</v>
      </c>
      <c r="B91" t="s">
        <v>103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1726</v>
      </c>
      <c r="B92" t="s">
        <v>44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1726</v>
      </c>
      <c r="B93" t="s">
        <v>97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1726</v>
      </c>
      <c r="B94" t="s">
        <v>12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1726</v>
      </c>
      <c r="B95" t="s">
        <v>82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1726</v>
      </c>
      <c r="B96" t="s">
        <v>34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1726</v>
      </c>
      <c r="B97" t="s">
        <v>13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1726</v>
      </c>
      <c r="B98" t="s">
        <v>14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1726</v>
      </c>
      <c r="B99" t="s">
        <v>23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1726</v>
      </c>
      <c r="B100" t="s">
        <v>27</v>
      </c>
      <c r="C100" t="s">
        <v>100</v>
      </c>
      <c r="D100" t="s">
        <v>35</v>
      </c>
      <c r="H100">
        <v>20</v>
      </c>
      <c r="I100" t="s">
        <v>134</v>
      </c>
      <c r="J100">
        <f t="shared" si="2"/>
        <v>20</v>
      </c>
      <c r="L100">
        <f t="shared" si="3"/>
        <v>8.9285714285714281E-3</v>
      </c>
    </row>
    <row r="101" spans="1:12" x14ac:dyDescent="0.25">
      <c r="A101">
        <v>1726</v>
      </c>
      <c r="B101" t="s">
        <v>15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1726</v>
      </c>
      <c r="B102" t="s">
        <v>93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1726</v>
      </c>
      <c r="B103" t="s">
        <v>42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1726</v>
      </c>
      <c r="B104" t="s">
        <v>83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1726</v>
      </c>
      <c r="B105" t="s">
        <v>47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1726</v>
      </c>
      <c r="B106" t="s">
        <v>16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1726</v>
      </c>
      <c r="B107" t="s">
        <v>17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1726</v>
      </c>
      <c r="B108" t="s">
        <v>18</v>
      </c>
      <c r="C108" t="s">
        <v>100</v>
      </c>
      <c r="D108" t="s">
        <v>35</v>
      </c>
      <c r="H108">
        <v>60</v>
      </c>
      <c r="I108" t="s">
        <v>154</v>
      </c>
      <c r="J108">
        <f t="shared" si="2"/>
        <v>60</v>
      </c>
      <c r="L108">
        <f t="shared" si="3"/>
        <v>2.6785714285714284E-2</v>
      </c>
    </row>
    <row r="109" spans="1:12" x14ac:dyDescent="0.25">
      <c r="A109">
        <v>1726</v>
      </c>
      <c r="B109" t="s">
        <v>26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1726</v>
      </c>
      <c r="B110" t="s">
        <v>84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1726</v>
      </c>
      <c r="B111" t="s">
        <v>19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1726</v>
      </c>
      <c r="B112" t="s">
        <v>45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1726</v>
      </c>
      <c r="B113" t="s">
        <v>85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1726</v>
      </c>
      <c r="B114" t="s">
        <v>54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1726</v>
      </c>
      <c r="B115" t="s">
        <v>95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1726</v>
      </c>
      <c r="B116" t="s">
        <v>20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1726</v>
      </c>
      <c r="B117" t="s">
        <v>21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1726</v>
      </c>
      <c r="B118" t="s">
        <v>22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1726</v>
      </c>
      <c r="B119" t="s">
        <v>61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1726</v>
      </c>
      <c r="B120" t="s">
        <v>91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1726</v>
      </c>
      <c r="B121" t="s">
        <v>98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1726</v>
      </c>
      <c r="B122" t="s">
        <v>87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1726</v>
      </c>
      <c r="B123" t="s">
        <v>62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1726</v>
      </c>
      <c r="B124" t="s">
        <v>88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1726</v>
      </c>
      <c r="B125" t="s">
        <v>63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1726</v>
      </c>
      <c r="B126" t="s">
        <v>89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1726</v>
      </c>
      <c r="B127" t="s">
        <v>70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1726</v>
      </c>
      <c r="B128" t="s">
        <v>64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1726</v>
      </c>
      <c r="B129" t="s">
        <v>65</v>
      </c>
      <c r="C129" t="s">
        <v>100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027515-1FC5-43D6-AAF4-C6246F4C3F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C66808-B31B-45D4-B9A4-CD1DB366D171}">
  <ds:schemaRefs>
    <ds:schemaRef ds:uri="http://schemas.openxmlformats.org/package/2006/metadata/core-properties"/>
    <ds:schemaRef ds:uri="http://purl.org/dc/terms/"/>
    <ds:schemaRef ds:uri="cefc4363-6422-4cdd-96f6-49f865293ffe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E42E6F3-A239-4300-9CDC-20D8D74CD0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