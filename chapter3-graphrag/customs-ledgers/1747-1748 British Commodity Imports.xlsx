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58" documentId="8_{AFC8DE6C-0699-47EC-9AA0-34C02578CB7F}" xr6:coauthVersionLast="47" xr6:coauthVersionMax="47" xr10:uidLastSave="{10E09D0D-544F-47EA-A750-9E4540C47BF7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Barbados!$A$1:$N$59</definedName>
    <definedName name="_xlnm._FilterDatabase" localSheetId="5" hidden="1">Jamaica!$A$1:$O$64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  <c r="B3" i="1"/>
  <c r="H22" i="10"/>
  <c r="H67" i="9"/>
  <c r="J132" i="9"/>
  <c r="L132" i="9" s="1"/>
  <c r="L131" i="9"/>
  <c r="J131" i="9"/>
  <c r="J130" i="9"/>
  <c r="L130" i="9" s="1"/>
  <c r="J129" i="9"/>
  <c r="L129" i="9" s="1"/>
  <c r="J128" i="9"/>
  <c r="L128" i="9" s="1"/>
  <c r="J127" i="9"/>
  <c r="L127" i="9" s="1"/>
  <c r="J126" i="9"/>
  <c r="L126" i="9" s="1"/>
  <c r="J125" i="9"/>
  <c r="L125" i="9" s="1"/>
  <c r="J124" i="9"/>
  <c r="L124" i="9" s="1"/>
  <c r="L123" i="9"/>
  <c r="J123" i="9"/>
  <c r="J122" i="9"/>
  <c r="L122" i="9" s="1"/>
  <c r="J121" i="9"/>
  <c r="L121" i="9" s="1"/>
  <c r="J120" i="9"/>
  <c r="L120" i="9" s="1"/>
  <c r="L119" i="9"/>
  <c r="J119" i="9"/>
  <c r="J118" i="9"/>
  <c r="L118" i="9" s="1"/>
  <c r="J117" i="9"/>
  <c r="L117" i="9" s="1"/>
  <c r="J116" i="9"/>
  <c r="L116" i="9" s="1"/>
  <c r="L115" i="9"/>
  <c r="J115" i="9"/>
  <c r="J114" i="9"/>
  <c r="L114" i="9" s="1"/>
  <c r="J113" i="9"/>
  <c r="L113" i="9" s="1"/>
  <c r="J112" i="9"/>
  <c r="L112" i="9" s="1"/>
  <c r="L111" i="9"/>
  <c r="J111" i="9"/>
  <c r="J110" i="9"/>
  <c r="L110" i="9" s="1"/>
  <c r="J109" i="9"/>
  <c r="L109" i="9" s="1"/>
  <c r="J108" i="9"/>
  <c r="L108" i="9" s="1"/>
  <c r="L107" i="9"/>
  <c r="J107" i="9"/>
  <c r="J106" i="9"/>
  <c r="L106" i="9" s="1"/>
  <c r="J105" i="9"/>
  <c r="L105" i="9" s="1"/>
  <c r="J104" i="9"/>
  <c r="L104" i="9" s="1"/>
  <c r="L103" i="9"/>
  <c r="J103" i="9"/>
  <c r="J102" i="9"/>
  <c r="L102" i="9" s="1"/>
  <c r="J101" i="9"/>
  <c r="L101" i="9" s="1"/>
  <c r="J100" i="9"/>
  <c r="L100" i="9" s="1"/>
  <c r="L99" i="9"/>
  <c r="J99" i="9"/>
  <c r="J98" i="9"/>
  <c r="L98" i="9" s="1"/>
  <c r="J97" i="9"/>
  <c r="L97" i="9" s="1"/>
  <c r="J96" i="9"/>
  <c r="L96" i="9" s="1"/>
  <c r="L95" i="9"/>
  <c r="J95" i="9"/>
  <c r="J94" i="9"/>
  <c r="L94" i="9" s="1"/>
  <c r="J93" i="9"/>
  <c r="L93" i="9" s="1"/>
  <c r="J92" i="9"/>
  <c r="L92" i="9" s="1"/>
  <c r="L91" i="9"/>
  <c r="J91" i="9"/>
  <c r="J90" i="9"/>
  <c r="L90" i="9" s="1"/>
  <c r="J89" i="9"/>
  <c r="L89" i="9" s="1"/>
  <c r="J88" i="9"/>
  <c r="L88" i="9" s="1"/>
  <c r="L87" i="9"/>
  <c r="J87" i="9"/>
  <c r="J86" i="9"/>
  <c r="L86" i="9" s="1"/>
  <c r="J85" i="9"/>
  <c r="L85" i="9" s="1"/>
  <c r="J84" i="9"/>
  <c r="L84" i="9" s="1"/>
  <c r="L83" i="9"/>
  <c r="J83" i="9"/>
  <c r="J82" i="9"/>
  <c r="L82" i="9" s="1"/>
  <c r="J81" i="9"/>
  <c r="L81" i="9" s="1"/>
  <c r="J80" i="9"/>
  <c r="L80" i="9" s="1"/>
  <c r="L79" i="9"/>
  <c r="J79" i="9"/>
  <c r="J78" i="9"/>
  <c r="L78" i="9" s="1"/>
  <c r="J77" i="9"/>
  <c r="L77" i="9" s="1"/>
  <c r="J76" i="9"/>
  <c r="L76" i="9" s="1"/>
  <c r="L75" i="9"/>
  <c r="J75" i="9"/>
  <c r="J74" i="9"/>
  <c r="L74" i="9" s="1"/>
  <c r="J73" i="9"/>
  <c r="L73" i="9" s="1"/>
  <c r="J72" i="9"/>
  <c r="L72" i="9" s="1"/>
  <c r="J71" i="9"/>
  <c r="L71" i="9" s="1"/>
  <c r="J70" i="9"/>
  <c r="L70" i="9" s="1"/>
  <c r="J69" i="9"/>
  <c r="L69" i="9" s="1"/>
  <c r="J68" i="9"/>
  <c r="L68" i="9" s="1"/>
  <c r="L67" i="9"/>
  <c r="J67" i="9"/>
  <c r="J66" i="9"/>
  <c r="L66" i="9" s="1"/>
  <c r="J65" i="9"/>
  <c r="L65" i="9" s="1"/>
  <c r="J64" i="9"/>
  <c r="L64" i="9" s="1"/>
  <c r="J63" i="9"/>
  <c r="L63" i="9" s="1"/>
  <c r="J62" i="9"/>
  <c r="L62" i="9" s="1"/>
  <c r="J61" i="9"/>
  <c r="L61" i="9" s="1"/>
  <c r="J60" i="9"/>
  <c r="L60" i="9" s="1"/>
  <c r="L59" i="9"/>
  <c r="J59" i="9"/>
  <c r="J58" i="9"/>
  <c r="L58" i="9" s="1"/>
  <c r="J57" i="9"/>
  <c r="L57" i="9" s="1"/>
  <c r="J56" i="9"/>
  <c r="L56" i="9" s="1"/>
  <c r="L55" i="9"/>
  <c r="J55" i="9"/>
  <c r="J54" i="9"/>
  <c r="L54" i="9" s="1"/>
  <c r="J53" i="9"/>
  <c r="L53" i="9" s="1"/>
  <c r="J52" i="9"/>
  <c r="L52" i="9" s="1"/>
  <c r="L51" i="9"/>
  <c r="J51" i="9"/>
  <c r="J50" i="9"/>
  <c r="L50" i="9" s="1"/>
  <c r="J49" i="9"/>
  <c r="L49" i="9" s="1"/>
  <c r="J48" i="9"/>
  <c r="L48" i="9" s="1"/>
  <c r="L47" i="9"/>
  <c r="J47" i="9"/>
  <c r="J46" i="9"/>
  <c r="L46" i="9" s="1"/>
  <c r="J45" i="9"/>
  <c r="L45" i="9" s="1"/>
  <c r="J44" i="9"/>
  <c r="L44" i="9" s="1"/>
  <c r="L43" i="9"/>
  <c r="J43" i="9"/>
  <c r="J42" i="9"/>
  <c r="L42" i="9" s="1"/>
  <c r="J41" i="9"/>
  <c r="L41" i="9" s="1"/>
  <c r="J40" i="9"/>
  <c r="L40" i="9" s="1"/>
  <c r="L39" i="9"/>
  <c r="J39" i="9"/>
  <c r="J38" i="9"/>
  <c r="L38" i="9" s="1"/>
  <c r="J37" i="9"/>
  <c r="L37" i="9" s="1"/>
  <c r="J36" i="9"/>
  <c r="L36" i="9" s="1"/>
  <c r="L35" i="9"/>
  <c r="J35" i="9"/>
  <c r="J34" i="9"/>
  <c r="L34" i="9" s="1"/>
  <c r="J33" i="9"/>
  <c r="L33" i="9" s="1"/>
  <c r="J32" i="9"/>
  <c r="L32" i="9" s="1"/>
  <c r="J31" i="9"/>
  <c r="L31" i="9" s="1"/>
  <c r="J30" i="9"/>
  <c r="L30" i="9" s="1"/>
  <c r="J29" i="9"/>
  <c r="L29" i="9" s="1"/>
  <c r="J28" i="9"/>
  <c r="L28" i="9" s="1"/>
  <c r="L27" i="9"/>
  <c r="J27" i="9"/>
  <c r="J26" i="9"/>
  <c r="L26" i="9" s="1"/>
  <c r="J25" i="9"/>
  <c r="L25" i="9" s="1"/>
  <c r="J24" i="9"/>
  <c r="L24" i="9" s="1"/>
  <c r="L23" i="9"/>
  <c r="J23" i="9"/>
  <c r="J22" i="9"/>
  <c r="L22" i="9" s="1"/>
  <c r="J21" i="9"/>
  <c r="L21" i="9" s="1"/>
  <c r="J20" i="9"/>
  <c r="L20" i="9" s="1"/>
  <c r="J19" i="9"/>
  <c r="L19" i="9" s="1"/>
  <c r="J18" i="9"/>
  <c r="L18" i="9" s="1"/>
  <c r="J17" i="9"/>
  <c r="L17" i="9" s="1"/>
  <c r="J16" i="9"/>
  <c r="L16" i="9" s="1"/>
  <c r="J15" i="9"/>
  <c r="L15" i="9" s="1"/>
  <c r="J14" i="9"/>
  <c r="L14" i="9" s="1"/>
  <c r="J13" i="9"/>
  <c r="L13" i="9" s="1"/>
  <c r="J12" i="9"/>
  <c r="L12" i="9" s="1"/>
  <c r="J11" i="9"/>
  <c r="L11" i="9" s="1"/>
  <c r="J10" i="9"/>
  <c r="L10" i="9" s="1"/>
  <c r="J9" i="9"/>
  <c r="L9" i="9" s="1"/>
  <c r="J8" i="9"/>
  <c r="L8" i="9" s="1"/>
  <c r="J7" i="9"/>
  <c r="L7" i="9" s="1"/>
  <c r="J6" i="9"/>
  <c r="L6" i="9" s="1"/>
  <c r="J5" i="9"/>
  <c r="L5" i="9" s="1"/>
  <c r="J4" i="9"/>
  <c r="L4" i="9" s="1"/>
  <c r="L3" i="9"/>
  <c r="J3" i="9"/>
  <c r="J2" i="9"/>
  <c r="L2" i="9" s="1"/>
  <c r="H86" i="8"/>
  <c r="H84" i="7"/>
  <c r="H83" i="6"/>
  <c r="H90" i="5"/>
  <c r="J112" i="5"/>
  <c r="L112" i="5" s="1"/>
  <c r="J95" i="5"/>
  <c r="L95" i="5" s="1"/>
  <c r="J75" i="5"/>
  <c r="L75" i="5" s="1"/>
  <c r="H71" i="3"/>
  <c r="L100" i="3"/>
  <c r="J100" i="3"/>
  <c r="H87" i="2"/>
  <c r="J119" i="2"/>
  <c r="L119" i="2" s="1"/>
  <c r="H23" i="11"/>
  <c r="H22" i="8"/>
  <c r="J42" i="8"/>
  <c r="L42" i="8" s="1"/>
  <c r="J55" i="8"/>
  <c r="L55" i="8" s="1"/>
  <c r="J43" i="8"/>
  <c r="L43" i="8" s="1"/>
  <c r="J42" i="7"/>
  <c r="L42" i="7" s="1"/>
  <c r="H22" i="6"/>
  <c r="H24" i="5"/>
  <c r="J44" i="5"/>
  <c r="L44" i="5" s="1"/>
  <c r="J45" i="5"/>
  <c r="L45" i="5" s="1"/>
  <c r="J8" i="5"/>
  <c r="L8" i="5" s="1"/>
  <c r="H5" i="4"/>
  <c r="H21" i="3"/>
  <c r="J52" i="3"/>
  <c r="L52" i="3" s="1"/>
  <c r="J38" i="3"/>
  <c r="L38" i="3" s="1"/>
  <c r="J28" i="3"/>
  <c r="L28" i="3" s="1"/>
  <c r="J8" i="3"/>
  <c r="L8" i="3" s="1"/>
  <c r="J7" i="3"/>
  <c r="L7" i="3" s="1"/>
  <c r="J19" i="3"/>
  <c r="L19" i="3" s="1"/>
  <c r="H23" i="2"/>
  <c r="J44" i="2"/>
  <c r="L44" i="2" s="1"/>
  <c r="J45" i="2"/>
  <c r="L45" i="2" s="1"/>
  <c r="J124" i="5"/>
  <c r="L124" i="5" s="1"/>
  <c r="J76" i="5"/>
  <c r="L76" i="5" s="1"/>
  <c r="J88" i="3"/>
  <c r="L88" i="3" s="1"/>
  <c r="J120" i="2"/>
  <c r="L120" i="2" s="1"/>
  <c r="L54" i="11"/>
  <c r="J54" i="11"/>
  <c r="J10" i="11"/>
  <c r="L10" i="11" s="1"/>
  <c r="J57" i="5"/>
  <c r="L57" i="5" s="1"/>
  <c r="J9" i="5"/>
  <c r="L9" i="5" s="1"/>
  <c r="J14" i="4"/>
  <c r="L14" i="4" s="1"/>
  <c r="J16" i="4"/>
  <c r="L16" i="4" s="1"/>
  <c r="J12" i="4"/>
  <c r="L12" i="4" s="1"/>
  <c r="J9" i="4"/>
  <c r="L9" i="4" s="1"/>
  <c r="J6" i="4"/>
  <c r="L6" i="4" s="1"/>
  <c r="J25" i="3"/>
  <c r="L25" i="3" s="1"/>
  <c r="J29" i="2"/>
  <c r="L29" i="2" s="1"/>
  <c r="J8" i="2"/>
  <c r="L8" i="2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J52" i="10"/>
  <c r="L52" i="10" s="1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9" i="8"/>
  <c r="L129" i="8" s="1"/>
  <c r="J128" i="8"/>
  <c r="L128" i="8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7" i="7"/>
  <c r="L127" i="7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L113" i="7"/>
  <c r="J113" i="7"/>
  <c r="J112" i="7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J104" i="7"/>
  <c r="L104" i="7" s="1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20" i="3"/>
  <c r="L20" i="3" s="1"/>
  <c r="J21" i="3"/>
  <c r="L21" i="3" s="1"/>
  <c r="J22" i="3"/>
  <c r="L22" i="3" s="1"/>
  <c r="J23" i="3"/>
  <c r="L23" i="3" s="1"/>
  <c r="J24" i="3"/>
  <c r="L24" i="3" s="1"/>
  <c r="J26" i="3"/>
  <c r="L26" i="3" s="1"/>
  <c r="J27" i="3"/>
  <c r="L27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1" i="3"/>
  <c r="L101" i="3" s="1"/>
  <c r="J102" i="3"/>
  <c r="L102" i="3" s="1"/>
  <c r="J103" i="3"/>
  <c r="L103" i="3" s="1"/>
  <c r="J104" i="3"/>
  <c r="L104" i="3" s="1"/>
  <c r="J105" i="3"/>
  <c r="L105" i="3" s="1"/>
  <c r="J106" i="3"/>
  <c r="L106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3" i="5"/>
  <c r="L123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J134" i="5"/>
  <c r="L134" i="5" s="1"/>
  <c r="J135" i="5"/>
  <c r="L135" i="5" s="1"/>
  <c r="J136" i="5"/>
  <c r="L136" i="5" s="1"/>
  <c r="B31" i="1" l="1"/>
  <c r="D24" i="1"/>
  <c r="D23" i="1"/>
  <c r="J2" i="5"/>
  <c r="L2" i="5" s="1"/>
  <c r="J2" i="4"/>
  <c r="L2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<sst xmlns="http://schemas.openxmlformats.org/spreadsheetml/2006/main" count="3533" uniqueCount="165">
  <si>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</si>
  <si>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</si>
  <si>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</si>
  <si>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</si>
  <si>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</si>
  <si>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</si>
  <si>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</si>
  <si>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</si>
  <si>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</si>
  <si>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</si>
  <si>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</si>
  <si>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</si>
  <si>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</si>
  <si>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</si>
  <si>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</si>
  <si>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</si>
  <si>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</si>
  <si>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</si>
  <si>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</si>
  <si>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</si>
  <si>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</si>
  <si>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</si>
  <si>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</si>
  <si>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</si>
  <si>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</si>
  <si>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</si>
  <si>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</si>
  <si>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</si>
  <si>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</si>
  <si>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</si>
  <si>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</si>
  <si>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</si>
  <si>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</si>
  <si>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</si>
  <si>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</si>
  <si>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</si>
  <si>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</si>
  <si>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</si>
  <si>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</si>
  <si>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</si>
  <si>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</si>
  <si>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</si>
  <si>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</si>
  <si>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</si>
  <si>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</si>
  <si>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</si>
  <si>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</si>
  <si>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</si>
  <si>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</si>
  <si>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</si>
  <si>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</si>
  <si>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</si>
  <si>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</si>
  <si>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</si>
  <si>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</si>
  <si>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</si>
  <si>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</si>
  <si>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</si>
  <si>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</si>
  <si>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</si>
  <si>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</si>
  <si>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</si>
  <si>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</si>
  <si>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</si>
  <si>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</si>
  <si>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</si>
  <si>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</si>
  <si>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</si>
  <si>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</si>
  <si>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</si>
  <si>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</si>
  <si>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</si>
  <si>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</si>
  <si>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</si>
  <si>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</si>
  <si>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</si>
  <si>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</si>
  <si>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</si>
  <si>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</si>
  <si>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</si>
  <si>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</si>
  <si>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</si>
  <si>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</si>
  <si>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</si>
  <si>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</si>
  <si>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</si>
  <si>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</si>
  <si>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</si>
  <si>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</si>
  <si>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</si>
  <si>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</si>
  <si>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</si>
  <si>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</si>
  <si>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</si>
  <si>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</si>
  <si>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</si>
  <si>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</si>
  <si>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</si>
  <si>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</si>
  <si>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</si>
  <si>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</si>
  <si>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</si>
  <si>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</si>
  <si>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</si>
  <si>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</si>
  <si>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</si>
  <si>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</si>
  <si>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15g</t>
  </si>
  <si>
    <t>61432g</t>
  </si>
  <si>
    <t>42t 43g</t>
  </si>
  <si>
    <t>Port</t>
  </si>
  <si>
    <t>20g</t>
  </si>
  <si>
    <t>119.75bags</t>
  </si>
  <si>
    <t>Balsam Artificial</t>
  </si>
  <si>
    <t>Balsam Capavia</t>
  </si>
  <si>
    <t>Gum Elemni</t>
  </si>
  <si>
    <t>Jollop</t>
  </si>
  <si>
    <t>51g</t>
  </si>
  <si>
    <t>44505g</t>
  </si>
  <si>
    <t>77t 3h 30g</t>
  </si>
  <si>
    <t>14t 1h 2g</t>
  </si>
  <si>
    <t>223bags</t>
  </si>
  <si>
    <t>147g</t>
  </si>
  <si>
    <t>3h</t>
  </si>
  <si>
    <t>1.25bags</t>
  </si>
  <si>
    <t>Quicksilver</t>
  </si>
  <si>
    <t>28.5g</t>
  </si>
  <si>
    <t>361115g</t>
  </si>
  <si>
    <t>19t 2h 9g</t>
  </si>
  <si>
    <t>1t 2h 32g</t>
  </si>
  <si>
    <t>205bags</t>
  </si>
  <si>
    <t>2g</t>
  </si>
  <si>
    <t>3032g</t>
  </si>
  <si>
    <t>1t 1h 12g</t>
  </si>
  <si>
    <t>76bags</t>
  </si>
  <si>
    <t>5.5g</t>
  </si>
  <si>
    <t>2396.5g</t>
  </si>
  <si>
    <t>1h 48g</t>
  </si>
  <si>
    <t>20238g</t>
  </si>
  <si>
    <t>4t 2h 51g</t>
  </si>
  <si>
    <t>2h 58g</t>
  </si>
  <si>
    <t>386bags</t>
  </si>
  <si>
    <t>606g</t>
  </si>
  <si>
    <t>378.5bags</t>
  </si>
  <si>
    <t>22431g</t>
  </si>
  <si>
    <t>7t 2h 28g</t>
  </si>
  <si>
    <t>Wood, Camwood</t>
  </si>
  <si>
    <t>398bags</t>
  </si>
  <si>
    <t>13359g</t>
  </si>
  <si>
    <t>1t 26g</t>
  </si>
  <si>
    <t>800bags</t>
  </si>
  <si>
    <t>Gum Balsam</t>
  </si>
  <si>
    <t>13g</t>
  </si>
  <si>
    <t>86436g</t>
  </si>
  <si>
    <t>6t 1h 50g</t>
  </si>
  <si>
    <t>971bags</t>
  </si>
  <si>
    <t>4616g</t>
  </si>
  <si>
    <t>151bags</t>
  </si>
  <si>
    <t>2305g</t>
  </si>
  <si>
    <t>14bags</t>
  </si>
  <si>
    <t>5271g</t>
  </si>
  <si>
    <t>3h 33g</t>
  </si>
  <si>
    <t>11032bags</t>
  </si>
  <si>
    <t>52bags</t>
  </si>
  <si>
    <t>575bags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</si>
</sst>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I23" sqref="I23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 + SUMIFS(Tortola!$L:$L, Tortola!$B:$B, $A2, Tortola!$D:$D, "London") + SUMIFS(Anguilla!$L:$L, Anguilla!$B:$B, $A2, Anguilla!$D:$D,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"Out Ports") + SUMIFS(Tortola!$L:$L, Tortola!$B:$B, $A2, Tortola!$D:$D, "Out Ports") + SUMIFS(Anguilla!$L:$L, Anguilla!$B:$B, $A2, Anguilla!$D:$D, "Out Ports")</f>
        <v>0</v>
      </c>
      <c r="D2">
        <f>B2+C2</f>
        <v>0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 + SUMIFS(Tortola!$L:$L, Tortola!$B:$B, $A3, Tortola!$D:$D, "London") + SUMIFS(Anguilla!$L:$L, Anguilla!$B:$B, $A3, Anguilla!$D:$D, "London")</f>
        <v>2.0375000000000001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"Out Ports") + SUMIFS(Tortola!$L:$L, Tortola!$B:$B, $A3, Tortola!$D:$D, "Out Ports") + SUMIFS(Anguilla!$L:$L, Anguilla!$B:$B, $A3, Anguilla!$D:$D, "Out Ports")</f>
        <v>3.2446428571428569</v>
      </c>
      <c r="D3">
        <f t="shared" ref="D3:D31" si="0">B3+C3</f>
        <v>5.2821428571428566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 + SUMIFS(Tortola!$L:$L, Tortola!$B:$B, $A4, Tortola!$D:$D, "London") + SUMIFS(Anguilla!$L:$L, Anguilla!$B:$B, $A4, Anguilla!$D:$D, "London")</f>
        <v>35830.193303571425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"Out Ports") + SUMIFS(Tortola!$L:$L, Tortola!$B:$B, $A4, Tortola!$D:$D, "Out Ports") + SUMIFS(Anguilla!$L:$L, Anguilla!$B:$B, $A4, Anguilla!$D:$D, "Out Ports")</f>
        <v>13204.5625</v>
      </c>
      <c r="D4">
        <f t="shared" si="0"/>
        <v>49034.755803571425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 + SUMIFS(Tortola!$L:$L, Tortola!$B:$B, $A5, Tortola!$D:$D, "London") + SUMIFS(Anguilla!$L:$L, Anguilla!$B:$B, $A5, Anguilla!$D:$D,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"Out Ports") + SUMIFS(Tortola!$L:$L, Tortola!$B:$B, $A5, Tortola!$D:$D, "Out Ports") + SUMIFS(Anguilla!$L:$L, Anguilla!$B:$B, $A5, Anguilla!$D:$D,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 + SUMIFS(Tortola!$L:$L, Tortola!$B:$B, $A6, Tortola!$D:$D, "London") + SUMIFS(Anguilla!$L:$L, Anguilla!$B:$B, $A6, Anguilla!$D:$D, "London")</f>
        <v>256.04508928571431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"Out Ports") + SUMIFS(Tortola!$L:$L, Tortola!$B:$B, $A6, Tortola!$D:$D, "Out Ports") + SUMIFS(Anguilla!$L:$L, Anguilla!$B:$B, $A6, Anguilla!$D:$D, "Out Ports")</f>
        <v>3.1066964285714285</v>
      </c>
      <c r="D6">
        <f t="shared" si="0"/>
        <v>259.15178571428572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 + SUMIFS(Tortola!$L:$L, Tortola!$B:$B, $A7, Tortola!$D:$D, "London") + SUMIFS(Anguilla!$L:$L, Anguilla!$B:$B, $A7, Anguilla!$D:$D, "London")</f>
        <v>175.40178571428572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"Out Ports") + SUMIFS(Tortola!$L:$L, Tortola!$B:$B, $A7, Tortola!$D:$D, "Out Ports") + SUMIFS(Anguilla!$L:$L, Anguilla!$B:$B, $A7, Anguilla!$D:$D, "Out Ports")</f>
        <v>1198.0357142857142</v>
      </c>
      <c r="D7">
        <f t="shared" si="0"/>
        <v>1373.4375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 + SUMIFS(Tortola!$L:$L, Tortola!$B:$B, $A8, Tortola!$D:$D, "London") + SUMIFS(Anguilla!$L:$L, Anguilla!$B:$B, $A8, Anguilla!$D:$D, "London")</f>
        <v>183.61607142857142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"Out Ports") + SUMIFS(Tortola!$L:$L, Tortola!$B:$B, $A8, Tortola!$D:$D, "Out Ports") + SUMIFS(Anguilla!$L:$L, Anguilla!$B:$B, $A8, Anguilla!$D:$D, "Out Ports")</f>
        <v>86.53125</v>
      </c>
      <c r="D8">
        <f t="shared" si="0"/>
        <v>270.14732142857144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 + SUMIFS(Tortola!$L:$L, Tortola!$B:$B, $A9, Tortola!$D:$D, "London") + SUMIFS(Anguilla!$L:$L, Anguilla!$B:$B, $A9, Anguilla!$D:$D, "London")</f>
        <v>27.625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"Out Ports") + SUMIFS(Tortola!$L:$L, Tortola!$B:$B, $A9, Tortola!$D:$D, "Out Ports") + SUMIFS(Anguilla!$L:$L, Anguilla!$B:$B, $A9, Anguilla!$D:$D, "Out Ports")</f>
        <v>41.290178571428569</v>
      </c>
      <c r="D9">
        <f t="shared" si="0"/>
        <v>68.915178571428569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 + SUMIFS(Tortola!$L:$L, Tortola!$B:$B, $A10, Tortola!$D:$D, "London") + SUMIFS(Anguilla!$L:$L, Anguilla!$B:$B, $A10, Anguilla!$D:$D, "London")</f>
        <v>83.066964285714292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"Out Ports") + SUMIFS(Tortola!$L:$L, Tortola!$B:$B, $A10, Tortola!$D:$D, "Out Ports") + SUMIFS(Anguilla!$L:$L, Anguilla!$B:$B, $A10, Anguilla!$D:$D, "Out Ports")</f>
        <v>43.133035714285711</v>
      </c>
      <c r="D10">
        <f t="shared" si="0"/>
        <v>126.2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 + SUMIFS(Tortola!$L:$L, Tortola!$B:$B, $A11, Tortola!$D:$D, "London") + SUMIFS(Anguilla!$L:$L, Anguilla!$B:$B, $A11, Anguilla!$D:$D, "London")</f>
        <v>106.36875000000001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"Out Ports") + SUMIFS(Tortola!$L:$L, Tortola!$B:$B, $A11, Tortola!$D:$D, "Out Ports") + SUMIFS(Anguilla!$L:$L, Anguilla!$B:$B, $A11, Anguilla!$D:$D, "Out Ports")</f>
        <v>26.15</v>
      </c>
      <c r="D11">
        <f t="shared" si="0"/>
        <v>132.51875000000001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 + SUMIFS(Tortola!$L:$L, Tortola!$B:$B, $A12, Tortola!$D:$D, "London") + SUMIFS(Anguilla!$L:$L, Anguilla!$B:$B, $A12, Anguilla!$D:$D, "London")</f>
        <v>0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"Out Ports") + SUMIFS(Tortola!$L:$L, Tortola!$B:$B, $A12, Tortola!$D:$D, "Out Ports") + SUMIFS(Anguilla!$L:$L, Anguilla!$B:$B, $A12, Anguilla!$D:$D, "Out Ports")</f>
        <v>0</v>
      </c>
      <c r="D12">
        <f t="shared" si="0"/>
        <v>0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 + SUMIFS(Tortola!$L:$L, Tortola!$B:$B, $A13, Tortola!$D:$D, "London") + SUMIFS(Anguilla!$L:$L, Anguilla!$B:$B, $A13, Anguilla!$D:$D, "London")</f>
        <v>0.64375000000000004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"Out Ports") + SUMIFS(Tortola!$L:$L, Tortola!$B:$B, $A13, Tortola!$D:$D, "Out Ports") + SUMIFS(Anguilla!$L:$L, Anguilla!$B:$B, $A13, Anguilla!$D:$D, "Out Ports")</f>
        <v>0</v>
      </c>
      <c r="D13">
        <f t="shared" si="0"/>
        <v>0.64375000000000004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 + SUMIFS(Tortola!$L:$L, Tortola!$B:$B, $A14, Tortola!$D:$D, "London") + SUMIFS(Anguilla!$L:$L, Anguilla!$B:$B, $A14, Anguilla!$D:$D, "London")</f>
        <v>28.894642857142856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"Out Ports") + SUMIFS(Tortola!$L:$L, Tortola!$B:$B, $A14, Tortola!$D:$D, "Out Ports") + SUMIFS(Anguilla!$L:$L, Anguilla!$B:$B, $A14, Anguilla!$D:$D, "Out Ports")</f>
        <v>74.071428571428569</v>
      </c>
      <c r="D14">
        <f t="shared" si="0"/>
        <v>102.96607142857142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 + SUMIFS(Tortola!$L:$L, Tortola!$B:$B, $A15, Tortola!$D:$D, "London") + SUMIFS(Anguilla!$L:$L, Anguilla!$B:$B, $A15, Anguilla!$D:$D, "London")</f>
        <v>0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"Out Ports") + SUMIFS(Tortola!$L:$L, Tortola!$B:$B, $A15, Tortola!$D:$D, "Out Ports") + SUMIFS(Anguilla!$L:$L, Anguilla!$B:$B, $A15, Anguilla!$D:$D, "Out Ports")</f>
        <v>0</v>
      </c>
      <c r="D15">
        <f t="shared" si="0"/>
        <v>0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 + SUMIFS(Tortola!$L:$L, Tortola!$B:$B, $A16, Tortola!$D:$D, "London") + SUMIFS(Anguilla!$L:$L, Anguilla!$B:$B, $A16, Anguilla!$D:$D, "London")</f>
        <v>2200.8578124999999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"Out Ports") + SUMIFS(Tortola!$L:$L, Tortola!$B:$B, $A16, Tortola!$D:$D, "Out Ports") + SUMIFS(Anguilla!$L:$L, Anguilla!$B:$B, $A16, Anguilla!$D:$D, "Out Ports")</f>
        <v>600.2345982142856</v>
      </c>
      <c r="D16">
        <f t="shared" si="0"/>
        <v>2801.0924107142855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 + SUMIFS(Tortola!$L:$L, Tortola!$B:$B, $A17, Tortola!$D:$D, "London") + SUMIFS(Anguilla!$L:$L, Anguilla!$B:$B, $A17, Anguilla!$D:$D,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"Out Ports") + SUMIFS(Tortola!$L:$L, Tortola!$B:$B, $A17, Tortola!$D:$D, "Out Ports") + SUMIFS(Anguilla!$L:$L, Anguilla!$B:$B, $A17, Anguilla!$D:$D, "Out Ports")</f>
        <v>2.7223214285714286</v>
      </c>
      <c r="D17">
        <f t="shared" si="0"/>
        <v>2.7223214285714286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 + SUMIFS(Tortola!$L:$L, Tortola!$B:$B, $A18, Tortola!$D:$D, "London") + SUMIFS(Anguilla!$L:$L, Anguilla!$B:$B, $A18, Anguilla!$D:$D, "London")</f>
        <v>1.4794642857142857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"Out Ports") + SUMIFS(Tortola!$L:$L, Tortola!$B:$B, $A18, Tortola!$D:$D, "Out Ports") + SUMIFS(Anguilla!$L:$L, Anguilla!$B:$B, $A18, Anguilla!$D:$D, "Out Ports")</f>
        <v>0.1830357142857143</v>
      </c>
      <c r="D18">
        <f t="shared" si="0"/>
        <v>1.6625000000000001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 + SUMIFS(Tortola!$L:$L, Tortola!$B:$B, $A19, Tortola!$D:$D, "London") + SUMIFS(Anguilla!$L:$L, Anguilla!$B:$B, $A19, Anguilla!$D:$D, "London")</f>
        <v>2.7424107142857146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"Out Ports") + SUMIFS(Tortola!$L:$L, Tortola!$B:$B, $A19, Tortola!$D:$D, "Out Ports") + SUMIFS(Anguilla!$L:$L, Anguilla!$B:$B, $A19, Anguilla!$D:$D, "Out Ports")</f>
        <v>0</v>
      </c>
      <c r="D19">
        <f t="shared" si="0"/>
        <v>2.7424107142857146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 + SUMIFS(Tortola!$L:$L, Tortola!$B:$B, $A20, Tortola!$D:$D, "London") + SUMIFS(Anguilla!$L:$L, Anguilla!$B:$B, $A20, Anguilla!$D:$D, "London")</f>
        <v>1.8848214285714286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"Out Ports") + SUMIFS(Tortola!$L:$L, Tortola!$B:$B, $A20, Tortola!$D:$D, "Out Ports") + SUMIFS(Anguilla!$L:$L, Anguilla!$B:$B, $A20, Anguilla!$D:$D, "Out Ports")</f>
        <v>0.55758928571428568</v>
      </c>
      <c r="D20">
        <f t="shared" si="0"/>
        <v>2.4424107142857143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 + SUMIFS(Tortola!$L:$L, Tortola!$B:$B, $A21, Tortola!$D:$D, "London") + SUMIFS(Anguilla!$L:$L, Anguilla!$B:$B, $A21, Anguilla!$D:$D,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"Out Ports") + SUMIFS(Tortola!$L:$L, Tortola!$B:$B, $A21, Tortola!$D:$D, "Out Ports") + SUMIFS(Anguilla!$L:$L, Anguilla!$B:$B, $A21, Anguilla!$D:$D, "Out Ports")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 + SUMIFS(Tortola!$L:$L, Tortola!$B:$B, $A22, Tortola!$D:$D, "London") + SUMIFS(Anguilla!$L:$L, Anguilla!$B:$B, $A22, Anguilla!$D:$D,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"Out Ports") + SUMIFS(Tortola!$L:$L, Tortola!$B:$B, $A22, Tortola!$D:$D, "Out Ports") + SUMIFS(Anguilla!$L:$L, Anguilla!$B:$B, $A22, Anguilla!$D:$D,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 + SUMIFS(Tortola!$L:$L, Tortola!$B:$B, $A23, Tortola!$D:$D, "London") + SUMIFS(Anguilla!$L:$L, Anguilla!$B:$B, $A23, Anguilla!$D:$D,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"Out Ports") + SUMIFS(Tortola!$L:$L, Tortola!$B:$B, $A23, Tortola!$D:$D, "Out Ports") + SUMIFS(Anguilla!$L:$L, Anguilla!$B:$B, $A23, Anguilla!$D:$D,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 + SUMIFS(Tortola!$L:$L, Tortola!$B:$B, $A24, Tortola!$D:$D, "London") + SUMIFS(Anguilla!$L:$L, Anguilla!$B:$B, $A24, Anguilla!$D:$D,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"Out Ports") + SUMIFS(Tortola!$L:$L, Tortola!$B:$B, $A24, Tortola!$D:$D, "Out Ports") + SUMIFS(Anguilla!$L:$L, Anguilla!$B:$B, $A24, Anguilla!$D:$D,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 + SUMIFS(Tortola!$L:$L, Tortola!$B:$B, $A25, Tortola!$D:$D, "London") + SUMIFS(Anguilla!$L:$L, Anguilla!$B:$B, $A25, Anguilla!$D:$D, "London")</f>
        <v>0.35714285714285715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"Out Ports") + SUMIFS(Tortola!$L:$L, Tortola!$B:$B, $A25, Tortola!$D:$D, "Out Ports") + SUMIFS(Anguilla!$L:$L, Anguilla!$B:$B, $A25, Anguilla!$D:$D, "Out Ports")</f>
        <v>0</v>
      </c>
      <c r="D25">
        <f t="shared" si="0"/>
        <v>0.35714285714285715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 + SUMIFS(Tortola!$L:$L, Tortola!$B:$B, $A26, Tortola!$D:$D, "London") + SUMIFS(Anguilla!$L:$L, Anguilla!$B:$B, $A26, Anguilla!$D:$D, "London")</f>
        <v>165.15424107142854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"Out Ports") + SUMIFS(Tortola!$L:$L, Tortola!$B:$B, $A26, Tortola!$D:$D, "Out Ports") + SUMIFS(Anguilla!$L:$L, Anguilla!$B:$B, $A26, Anguilla!$D:$D, "Out Ports")</f>
        <v>18.053571428571427</v>
      </c>
      <c r="D26">
        <f t="shared" si="0"/>
        <v>183.20781249999996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 + SUMIFS(Tortola!$L:$L, Tortola!$B:$B, $A27, Tortola!$D:$D, "London") + SUMIFS(Anguilla!$L:$L, Anguilla!$B:$B, $A27, Anguilla!$D:$D, "London")</f>
        <v>15.6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"Out Ports") + SUMIFS(Tortola!$L:$L, Tortola!$B:$B, $A27, Tortola!$D:$D, "Out Ports") + SUMIFS(Anguilla!$L:$L, Anguilla!$B:$B, $A27, Anguilla!$D:$D, "Out Ports")</f>
        <v>0</v>
      </c>
      <c r="D27">
        <f t="shared" si="0"/>
        <v>15.6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 + SUMIFS(Tortola!$L:$L, Tortola!$B:$B, $A28, Tortola!$D:$D, "London") + SUMIFS(Anguilla!$L:$L, Anguilla!$B:$B, $A28, Anguilla!$D:$D, "London")</f>
        <v>658.84464285714296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"Out Ports") + SUMIFS(Tortola!$L:$L, Tortola!$B:$B, $A28, Tortola!$D:$D, "Out Ports") + SUMIFS(Anguilla!$L:$L, Anguilla!$B:$B, $A28, Anguilla!$D:$D, "Out Ports")</f>
        <v>541.42098214285716</v>
      </c>
      <c r="D28">
        <f t="shared" si="0"/>
        <v>1200.265625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 + SUMIFS(Tortola!$L:$L, Tortola!$B:$B, $A29, Tortola!$D:$D, "London") + SUMIFS(Anguilla!$L:$L, Anguilla!$B:$B, $A29, Anguilla!$D:$D, "London")</f>
        <v>431.01517857142858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"Out Ports") + SUMIFS(Tortola!$L:$L, Tortola!$B:$B, $A29, Tortola!$D:$D, "Out Ports") + SUMIFS(Anguilla!$L:$L, Anguilla!$B:$B, $A29, Anguilla!$D:$D, "Out Ports")</f>
        <v>383.98839285714286</v>
      </c>
      <c r="D29">
        <f t="shared" si="0"/>
        <v>815.00357142857138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 + SUMIFS(Tortola!$L:$L, Tortola!$B:$B, $A30, Tortola!$D:$D, "London") + SUMIFS(Anguilla!$L:$L, Anguilla!$B:$B, $A30, Anguilla!$D:$D, "London")</f>
        <v>18.899999999999999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"Out Ports") + SUMIFS(Tortola!$L:$L, Tortola!$B:$B, $A30, Tortola!$D:$D, "Out Ports") + SUMIFS(Anguilla!$L:$L, Anguilla!$B:$B, $A30, Anguilla!$D:$D, "Out Ports")</f>
        <v>56.070089285714289</v>
      </c>
      <c r="D30">
        <f t="shared" si="0"/>
        <v>74.970089285714295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"Out Ports") + SUMIFS(Tortola!$L:$L, Tortola!$B:$B, $A31, Tortola!$D:$D, "Out Ports") + SUMIFS(Anguilla!$L:$L, Anguilla!$B:$B, $A31, Anguilla!$D:$D,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132"/>
  <sheetViews>
    <sheetView topLeftCell="A52" workbookViewId="0">
      <selection activeCell="H68" sqref="H68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1748</v>
      </c>
      <c r="B2" t="s">
        <v>55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1748</v>
      </c>
      <c r="B3" t="s">
        <v>57</v>
      </c>
      <c r="C3" t="s">
        <v>75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2" x14ac:dyDescent="0.25">
      <c r="A4">
        <v>1748</v>
      </c>
      <c r="B4" t="s">
        <v>36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1748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1748</v>
      </c>
      <c r="B6" t="s">
        <v>58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1748</v>
      </c>
      <c r="B7" t="s">
        <v>69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1748</v>
      </c>
      <c r="B8" t="s">
        <v>43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1748</v>
      </c>
      <c r="B9" t="s">
        <v>76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1748</v>
      </c>
      <c r="B10" t="s">
        <v>5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1748</v>
      </c>
      <c r="B11" t="s">
        <v>59</v>
      </c>
      <c r="C11" t="s">
        <v>75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1748</v>
      </c>
      <c r="B12" t="s">
        <v>6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1748</v>
      </c>
      <c r="B13" t="s">
        <v>60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1748</v>
      </c>
      <c r="B14" t="s">
        <v>38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1748</v>
      </c>
      <c r="B15" t="s">
        <v>37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1748</v>
      </c>
      <c r="B16" t="s">
        <v>8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1748</v>
      </c>
      <c r="B17" t="s">
        <v>40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1748</v>
      </c>
      <c r="B18" t="s">
        <v>77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1748</v>
      </c>
      <c r="B19" t="s">
        <v>78</v>
      </c>
      <c r="C19" t="s">
        <v>75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1748</v>
      </c>
      <c r="B20" t="s">
        <v>46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9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1748</v>
      </c>
      <c r="B22" t="s">
        <v>10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1748</v>
      </c>
      <c r="B23" t="s">
        <v>11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1748</v>
      </c>
      <c r="B24" t="s">
        <v>39</v>
      </c>
      <c r="C24" t="s">
        <v>75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1748</v>
      </c>
      <c r="B25" t="s">
        <v>79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1748</v>
      </c>
      <c r="B26" t="s">
        <v>103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1748</v>
      </c>
      <c r="B27" t="s">
        <v>44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1748</v>
      </c>
      <c r="B28" t="s">
        <v>80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1748</v>
      </c>
      <c r="B29" t="s">
        <v>81</v>
      </c>
      <c r="C29" t="s">
        <v>75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1748</v>
      </c>
      <c r="B30" t="s">
        <v>82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1748</v>
      </c>
      <c r="B31" t="s">
        <v>34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1748</v>
      </c>
      <c r="B32" t="s">
        <v>13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1748</v>
      </c>
      <c r="B33" t="s">
        <v>14</v>
      </c>
      <c r="C33" t="s">
        <v>75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1748</v>
      </c>
      <c r="B34" t="s">
        <v>23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1748</v>
      </c>
      <c r="B35" t="s">
        <v>27</v>
      </c>
      <c r="C35" t="s">
        <v>75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1748</v>
      </c>
      <c r="B36" t="s">
        <v>15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1748</v>
      </c>
      <c r="B37" t="s">
        <v>42</v>
      </c>
      <c r="C37" t="s">
        <v>75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1748</v>
      </c>
      <c r="B38" t="s">
        <v>83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1748</v>
      </c>
      <c r="B39" t="s">
        <v>47</v>
      </c>
      <c r="C39" t="s">
        <v>75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1748</v>
      </c>
      <c r="B40" t="s">
        <v>16</v>
      </c>
      <c r="C40" t="s">
        <v>75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1748</v>
      </c>
      <c r="B41" t="s">
        <v>17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1748</v>
      </c>
      <c r="B42" t="s">
        <v>18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1748</v>
      </c>
      <c r="B43" t="s">
        <v>26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1748</v>
      </c>
      <c r="B44" t="s">
        <v>84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1748</v>
      </c>
      <c r="B45" t="s">
        <v>19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1748</v>
      </c>
      <c r="B46" t="s">
        <v>45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1748</v>
      </c>
      <c r="B47" t="s">
        <v>85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1748</v>
      </c>
      <c r="B48" t="s">
        <v>54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1748</v>
      </c>
      <c r="B49" t="s">
        <v>86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1748</v>
      </c>
      <c r="B50" t="s">
        <v>20</v>
      </c>
      <c r="C50" t="s">
        <v>75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1748</v>
      </c>
      <c r="B51" t="s">
        <v>21</v>
      </c>
      <c r="C51" t="s">
        <v>75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1748</v>
      </c>
      <c r="B52" t="s">
        <v>22</v>
      </c>
      <c r="C52" t="s">
        <v>75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1748</v>
      </c>
      <c r="B53" t="s">
        <v>61</v>
      </c>
      <c r="C53" t="s">
        <v>75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1748</v>
      </c>
      <c r="B54" t="s">
        <v>87</v>
      </c>
      <c r="C54" t="s">
        <v>75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1748</v>
      </c>
      <c r="B55" t="s">
        <v>62</v>
      </c>
      <c r="C55" t="s">
        <v>75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1748</v>
      </c>
      <c r="B56" t="s">
        <v>88</v>
      </c>
      <c r="C56" t="s">
        <v>75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1748</v>
      </c>
      <c r="B57" t="s">
        <v>63</v>
      </c>
      <c r="C57" t="s">
        <v>75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1748</v>
      </c>
      <c r="B58" t="s">
        <v>89</v>
      </c>
      <c r="C58" t="s">
        <v>75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1748</v>
      </c>
      <c r="B59" t="s">
        <v>70</v>
      </c>
      <c r="C59" t="s">
        <v>75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1748</v>
      </c>
      <c r="B60" t="s">
        <v>64</v>
      </c>
      <c r="C60" t="s">
        <v>75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1748</v>
      </c>
      <c r="B61" t="s">
        <v>65</v>
      </c>
      <c r="C61" t="s">
        <v>75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1748</v>
      </c>
      <c r="B62" t="s">
        <v>4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1748</v>
      </c>
      <c r="B63" t="s">
        <v>6</v>
      </c>
      <c r="C63" t="s">
        <v>75</v>
      </c>
      <c r="D63" t="s">
        <v>35</v>
      </c>
      <c r="F63">
        <v>280</v>
      </c>
      <c r="J63">
        <f t="shared" si="0"/>
        <v>31360</v>
      </c>
      <c r="L63">
        <f t="shared" si="1"/>
        <v>14</v>
      </c>
    </row>
    <row r="64" spans="1:12" x14ac:dyDescent="0.25">
      <c r="A64">
        <v>1748</v>
      </c>
      <c r="B64" t="s">
        <v>60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1748</v>
      </c>
      <c r="B65" t="s">
        <v>7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1748</v>
      </c>
      <c r="B66" t="s">
        <v>8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1748</v>
      </c>
      <c r="B67" t="s">
        <v>9</v>
      </c>
      <c r="C67" t="s">
        <v>75</v>
      </c>
      <c r="D67" t="s">
        <v>35</v>
      </c>
      <c r="H67">
        <f>52*200</f>
        <v>10400</v>
      </c>
      <c r="I67" t="s">
        <v>163</v>
      </c>
      <c r="J67">
        <f t="shared" si="0"/>
        <v>10400</v>
      </c>
      <c r="L67">
        <f t="shared" si="1"/>
        <v>4.6428571428571432</v>
      </c>
    </row>
    <row r="68" spans="1:12" x14ac:dyDescent="0.25">
      <c r="A68">
        <v>1748</v>
      </c>
      <c r="B68" t="s">
        <v>10</v>
      </c>
      <c r="C68" t="s">
        <v>75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1748</v>
      </c>
      <c r="B69" t="s">
        <v>11</v>
      </c>
      <c r="C69" t="s">
        <v>75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1748</v>
      </c>
      <c r="B70" t="s">
        <v>12</v>
      </c>
      <c r="C70" t="s">
        <v>75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1748</v>
      </c>
      <c r="B71" t="s">
        <v>13</v>
      </c>
      <c r="C71" t="s">
        <v>75</v>
      </c>
      <c r="D71" t="s">
        <v>35</v>
      </c>
      <c r="E71">
        <v>2</v>
      </c>
      <c r="J71">
        <f t="shared" ref="J71:J132" si="2">(E71*2240)+(F71*112)+(G71*28)+H71</f>
        <v>4480</v>
      </c>
      <c r="L71">
        <f t="shared" ref="L71:L132" si="3">J71/2240</f>
        <v>2</v>
      </c>
    </row>
    <row r="72" spans="1:12" x14ac:dyDescent="0.25">
      <c r="A72">
        <v>1748</v>
      </c>
      <c r="B72" t="s">
        <v>14</v>
      </c>
      <c r="C72" t="s">
        <v>75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1748</v>
      </c>
      <c r="B73" t="s">
        <v>27</v>
      </c>
      <c r="C73" t="s">
        <v>75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1748</v>
      </c>
      <c r="B74" t="s">
        <v>15</v>
      </c>
      <c r="C74" t="s">
        <v>75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1748</v>
      </c>
      <c r="B75" t="s">
        <v>16</v>
      </c>
      <c r="C75" t="s">
        <v>75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1748</v>
      </c>
      <c r="B76" t="s">
        <v>17</v>
      </c>
      <c r="C76" t="s">
        <v>75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1748</v>
      </c>
      <c r="B77" t="s">
        <v>18</v>
      </c>
      <c r="C77" t="s">
        <v>75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1748</v>
      </c>
      <c r="B78" t="s">
        <v>19</v>
      </c>
      <c r="C78" t="s">
        <v>75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1748</v>
      </c>
      <c r="B79" t="s">
        <v>45</v>
      </c>
      <c r="C79" t="s">
        <v>75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1748</v>
      </c>
      <c r="B80" t="s">
        <v>54</v>
      </c>
      <c r="C80" t="s">
        <v>75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1748</v>
      </c>
      <c r="B81" t="s">
        <v>71</v>
      </c>
      <c r="C81" t="s">
        <v>75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1748</v>
      </c>
      <c r="B82" t="s">
        <v>21</v>
      </c>
      <c r="C82" t="s">
        <v>75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1748</v>
      </c>
      <c r="B83" t="s">
        <v>22</v>
      </c>
      <c r="C83" t="s">
        <v>75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1748</v>
      </c>
      <c r="B84" t="s">
        <v>61</v>
      </c>
      <c r="C84" t="s">
        <v>75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1748</v>
      </c>
      <c r="B85" t="s">
        <v>62</v>
      </c>
      <c r="C85" t="s">
        <v>75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1748</v>
      </c>
      <c r="B86" t="s">
        <v>63</v>
      </c>
      <c r="C86" t="s">
        <v>75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1748</v>
      </c>
      <c r="B87" t="s">
        <v>70</v>
      </c>
      <c r="C87" t="s">
        <v>75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1748</v>
      </c>
      <c r="B88" t="s">
        <v>64</v>
      </c>
      <c r="C88" t="s">
        <v>75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J89">
        <f t="shared" si="2"/>
        <v>0</v>
      </c>
      <c r="L89">
        <f t="shared" si="3"/>
        <v>0</v>
      </c>
    </row>
    <row r="90" spans="1:12" x14ac:dyDescent="0.25">
      <c r="J90">
        <f t="shared" si="2"/>
        <v>0</v>
      </c>
      <c r="L90">
        <f t="shared" si="3"/>
        <v>0</v>
      </c>
    </row>
    <row r="91" spans="1:12" x14ac:dyDescent="0.25">
      <c r="J91">
        <f t="shared" si="2"/>
        <v>0</v>
      </c>
      <c r="L91">
        <f t="shared" si="3"/>
        <v>0</v>
      </c>
    </row>
    <row r="92" spans="1:12" x14ac:dyDescent="0.25">
      <c r="J92">
        <f t="shared" si="2"/>
        <v>0</v>
      </c>
      <c r="L92">
        <f t="shared" si="3"/>
        <v>0</v>
      </c>
    </row>
    <row r="93" spans="1:12" x14ac:dyDescent="0.25">
      <c r="J93">
        <f t="shared" si="2"/>
        <v>0</v>
      </c>
      <c r="L93">
        <f t="shared" si="3"/>
        <v>0</v>
      </c>
    </row>
    <row r="94" spans="1:12" x14ac:dyDescent="0.25">
      <c r="J94">
        <f t="shared" si="2"/>
        <v>0</v>
      </c>
      <c r="L94">
        <f t="shared" si="3"/>
        <v>0</v>
      </c>
    </row>
    <row r="95" spans="1:12" x14ac:dyDescent="0.25">
      <c r="J95">
        <f t="shared" si="2"/>
        <v>0</v>
      </c>
      <c r="L95">
        <f t="shared" si="3"/>
        <v>0</v>
      </c>
    </row>
    <row r="96" spans="1:12" x14ac:dyDescent="0.25">
      <c r="J96">
        <f t="shared" si="2"/>
        <v>0</v>
      </c>
      <c r="L96">
        <f t="shared" si="3"/>
        <v>0</v>
      </c>
    </row>
    <row r="97" spans="10:12" x14ac:dyDescent="0.25">
      <c r="J97">
        <f t="shared" si="2"/>
        <v>0</v>
      </c>
      <c r="L97">
        <f t="shared" si="3"/>
        <v>0</v>
      </c>
    </row>
    <row r="98" spans="10:12" x14ac:dyDescent="0.25">
      <c r="J98">
        <f t="shared" si="2"/>
        <v>0</v>
      </c>
      <c r="L98">
        <f t="shared" si="3"/>
        <v>0</v>
      </c>
    </row>
    <row r="99" spans="10:12" x14ac:dyDescent="0.25">
      <c r="J99">
        <f t="shared" si="2"/>
        <v>0</v>
      </c>
      <c r="L99">
        <f t="shared" si="3"/>
        <v>0</v>
      </c>
    </row>
    <row r="100" spans="10:12" x14ac:dyDescent="0.25">
      <c r="J100">
        <f t="shared" si="2"/>
        <v>0</v>
      </c>
      <c r="L100">
        <f t="shared" si="3"/>
        <v>0</v>
      </c>
    </row>
    <row r="101" spans="10:12" x14ac:dyDescent="0.25">
      <c r="J101">
        <f t="shared" si="2"/>
        <v>0</v>
      </c>
      <c r="L101">
        <f t="shared" si="3"/>
        <v>0</v>
      </c>
    </row>
    <row r="102" spans="10:12" x14ac:dyDescent="0.25">
      <c r="J102">
        <f t="shared" si="2"/>
        <v>0</v>
      </c>
      <c r="L102">
        <f t="shared" si="3"/>
        <v>0</v>
      </c>
    </row>
    <row r="103" spans="10:12" x14ac:dyDescent="0.25">
      <c r="J103">
        <f t="shared" si="2"/>
        <v>0</v>
      </c>
      <c r="L103">
        <f t="shared" si="3"/>
        <v>0</v>
      </c>
    </row>
    <row r="104" spans="10:12" x14ac:dyDescent="0.25">
      <c r="J104">
        <f t="shared" si="2"/>
        <v>0</v>
      </c>
      <c r="L104">
        <f t="shared" si="3"/>
        <v>0</v>
      </c>
    </row>
    <row r="105" spans="10:12" x14ac:dyDescent="0.25">
      <c r="J105">
        <f t="shared" si="2"/>
        <v>0</v>
      </c>
      <c r="L105">
        <f t="shared" si="3"/>
        <v>0</v>
      </c>
    </row>
    <row r="106" spans="10:12" x14ac:dyDescent="0.25">
      <c r="J106">
        <f t="shared" si="2"/>
        <v>0</v>
      </c>
      <c r="L106">
        <f t="shared" si="3"/>
        <v>0</v>
      </c>
    </row>
    <row r="107" spans="10:12" x14ac:dyDescent="0.25">
      <c r="J107">
        <f t="shared" si="2"/>
        <v>0</v>
      </c>
      <c r="L107">
        <f t="shared" si="3"/>
        <v>0</v>
      </c>
    </row>
    <row r="108" spans="10:12" x14ac:dyDescent="0.25">
      <c r="J108">
        <f t="shared" si="2"/>
        <v>0</v>
      </c>
      <c r="L108">
        <f t="shared" si="3"/>
        <v>0</v>
      </c>
    </row>
    <row r="109" spans="10:12" x14ac:dyDescent="0.25">
      <c r="J109">
        <f t="shared" si="2"/>
        <v>0</v>
      </c>
      <c r="L109">
        <f t="shared" si="3"/>
        <v>0</v>
      </c>
    </row>
    <row r="110" spans="10:12" x14ac:dyDescent="0.25">
      <c r="J110">
        <f t="shared" si="2"/>
        <v>0</v>
      </c>
      <c r="L110">
        <f t="shared" si="3"/>
        <v>0</v>
      </c>
    </row>
    <row r="111" spans="10:12" x14ac:dyDescent="0.25">
      <c r="J111">
        <f t="shared" si="2"/>
        <v>0</v>
      </c>
      <c r="L111">
        <f t="shared" si="3"/>
        <v>0</v>
      </c>
    </row>
    <row r="112" spans="10:12" x14ac:dyDescent="0.25">
      <c r="J112">
        <f t="shared" si="2"/>
        <v>0</v>
      </c>
      <c r="L112">
        <f t="shared" si="3"/>
        <v>0</v>
      </c>
    </row>
    <row r="113" spans="10:12" x14ac:dyDescent="0.25">
      <c r="J113">
        <f t="shared" si="2"/>
        <v>0</v>
      </c>
      <c r="L113">
        <f t="shared" si="3"/>
        <v>0</v>
      </c>
    </row>
    <row r="114" spans="10:12" x14ac:dyDescent="0.25">
      <c r="J114">
        <f t="shared" si="2"/>
        <v>0</v>
      </c>
      <c r="L114">
        <f t="shared" si="3"/>
        <v>0</v>
      </c>
    </row>
    <row r="115" spans="10:12" x14ac:dyDescent="0.25">
      <c r="J115">
        <f t="shared" si="2"/>
        <v>0</v>
      </c>
      <c r="L115">
        <f t="shared" si="3"/>
        <v>0</v>
      </c>
    </row>
    <row r="116" spans="10:12" x14ac:dyDescent="0.25">
      <c r="J116">
        <f t="shared" si="2"/>
        <v>0</v>
      </c>
      <c r="L116">
        <f t="shared" si="3"/>
        <v>0</v>
      </c>
    </row>
    <row r="117" spans="10:12" x14ac:dyDescent="0.25">
      <c r="J117">
        <f t="shared" si="2"/>
        <v>0</v>
      </c>
      <c r="L117">
        <f t="shared" si="3"/>
        <v>0</v>
      </c>
    </row>
    <row r="118" spans="10:12" x14ac:dyDescent="0.25">
      <c r="J118">
        <f t="shared" si="2"/>
        <v>0</v>
      </c>
      <c r="L118">
        <f t="shared" si="3"/>
        <v>0</v>
      </c>
    </row>
    <row r="119" spans="10:12" x14ac:dyDescent="0.25">
      <c r="J119">
        <f t="shared" si="2"/>
        <v>0</v>
      </c>
      <c r="L119">
        <f t="shared" si="3"/>
        <v>0</v>
      </c>
    </row>
    <row r="120" spans="10:12" x14ac:dyDescent="0.25">
      <c r="J120">
        <f t="shared" si="2"/>
        <v>0</v>
      </c>
      <c r="L120">
        <f t="shared" si="3"/>
        <v>0</v>
      </c>
    </row>
    <row r="121" spans="10:12" x14ac:dyDescent="0.25">
      <c r="J121">
        <f t="shared" si="2"/>
        <v>0</v>
      </c>
      <c r="L121">
        <f t="shared" si="3"/>
        <v>0</v>
      </c>
    </row>
    <row r="122" spans="10:12" x14ac:dyDescent="0.25">
      <c r="J122">
        <f t="shared" si="2"/>
        <v>0</v>
      </c>
      <c r="L122">
        <f t="shared" si="3"/>
        <v>0</v>
      </c>
    </row>
    <row r="123" spans="10:12" x14ac:dyDescent="0.25">
      <c r="J123">
        <f t="shared" si="2"/>
        <v>0</v>
      </c>
      <c r="L123">
        <f t="shared" si="3"/>
        <v>0</v>
      </c>
    </row>
    <row r="124" spans="10:12" x14ac:dyDescent="0.25">
      <c r="J124">
        <f t="shared" si="2"/>
        <v>0</v>
      </c>
      <c r="L124">
        <f t="shared" si="3"/>
        <v>0</v>
      </c>
    </row>
    <row r="125" spans="10:12" x14ac:dyDescent="0.25">
      <c r="J125">
        <f t="shared" si="2"/>
        <v>0</v>
      </c>
      <c r="L125">
        <f t="shared" si="3"/>
        <v>0</v>
      </c>
    </row>
    <row r="126" spans="10:12" x14ac:dyDescent="0.25">
      <c r="J126">
        <f t="shared" si="2"/>
        <v>0</v>
      </c>
      <c r="L126">
        <f t="shared" si="3"/>
        <v>0</v>
      </c>
    </row>
    <row r="127" spans="10:12" x14ac:dyDescent="0.25">
      <c r="J127">
        <f t="shared" si="2"/>
        <v>0</v>
      </c>
      <c r="L127">
        <f t="shared" si="3"/>
        <v>0</v>
      </c>
    </row>
    <row r="128" spans="10:12" x14ac:dyDescent="0.25">
      <c r="J128">
        <f t="shared" si="2"/>
        <v>0</v>
      </c>
      <c r="L128">
        <f t="shared" si="3"/>
        <v>0</v>
      </c>
    </row>
    <row r="129" spans="10:12" x14ac:dyDescent="0.25">
      <c r="J129">
        <f t="shared" si="2"/>
        <v>0</v>
      </c>
      <c r="L129">
        <f t="shared" si="3"/>
        <v>0</v>
      </c>
    </row>
    <row r="130" spans="10:12" x14ac:dyDescent="0.25">
      <c r="J130">
        <f t="shared" si="2"/>
        <v>0</v>
      </c>
      <c r="L130">
        <f t="shared" si="3"/>
        <v>0</v>
      </c>
    </row>
    <row r="131" spans="10:12" x14ac:dyDescent="0.25">
      <c r="J131">
        <f t="shared" si="2"/>
        <v>0</v>
      </c>
      <c r="L131">
        <f t="shared" si="3"/>
        <v>0</v>
      </c>
    </row>
    <row r="132" spans="10:12" x14ac:dyDescent="0.25">
      <c r="J132">
        <f t="shared" si="2"/>
        <v>0</v>
      </c>
      <c r="L132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2"/>
  <sheetViews>
    <sheetView topLeftCell="A115" workbookViewId="0">
      <selection activeCell="N28" sqref="N2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1748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1748</v>
      </c>
      <c r="B3" t="s">
        <v>57</v>
      </c>
      <c r="C3" t="s">
        <v>53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5" x14ac:dyDescent="0.25">
      <c r="A4">
        <v>1748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1748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1748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1748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1748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1748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1748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1748</v>
      </c>
      <c r="B11" t="s">
        <v>5</v>
      </c>
      <c r="C11" t="s">
        <v>53</v>
      </c>
      <c r="D11" t="s">
        <v>33</v>
      </c>
      <c r="G11">
        <v>2</v>
      </c>
      <c r="J11">
        <f t="shared" si="0"/>
        <v>56</v>
      </c>
      <c r="L11">
        <f t="shared" si="1"/>
        <v>2.5000000000000001E-2</v>
      </c>
    </row>
    <row r="12" spans="1:15" x14ac:dyDescent="0.25">
      <c r="A12">
        <v>1748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1748</v>
      </c>
      <c r="B13" t="s">
        <v>6</v>
      </c>
      <c r="C13" t="s">
        <v>53</v>
      </c>
      <c r="D13" t="s">
        <v>33</v>
      </c>
      <c r="F13">
        <v>142551</v>
      </c>
      <c r="G13">
        <v>2</v>
      </c>
      <c r="J13">
        <f t="shared" si="0"/>
        <v>15965768</v>
      </c>
      <c r="L13">
        <f t="shared" si="1"/>
        <v>7127.5749999999998</v>
      </c>
    </row>
    <row r="14" spans="1:15" x14ac:dyDescent="0.25">
      <c r="A14">
        <v>1748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1748</v>
      </c>
      <c r="B15" t="s">
        <v>60</v>
      </c>
      <c r="C15" t="s">
        <v>53</v>
      </c>
      <c r="D15" t="s">
        <v>33</v>
      </c>
      <c r="H15">
        <v>8948</v>
      </c>
      <c r="J15">
        <f t="shared" si="0"/>
        <v>8948</v>
      </c>
      <c r="L15">
        <f t="shared" si="1"/>
        <v>3.9946428571428569</v>
      </c>
    </row>
    <row r="16" spans="1:15" x14ac:dyDescent="0.25">
      <c r="A16">
        <v>1748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1748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1748</v>
      </c>
      <c r="B18" t="s">
        <v>8</v>
      </c>
      <c r="C18" t="s">
        <v>53</v>
      </c>
      <c r="D18" t="s">
        <v>33</v>
      </c>
      <c r="F18">
        <v>130</v>
      </c>
      <c r="G18">
        <v>3</v>
      </c>
      <c r="H18">
        <v>10</v>
      </c>
      <c r="J18">
        <f t="shared" si="0"/>
        <v>14654</v>
      </c>
      <c r="L18">
        <f t="shared" si="1"/>
        <v>6.5419642857142861</v>
      </c>
    </row>
    <row r="19" spans="1:12" x14ac:dyDescent="0.25">
      <c r="A19">
        <v>1748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1748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1748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1748</v>
      </c>
      <c r="B23" t="s">
        <v>9</v>
      </c>
      <c r="C23" t="s">
        <v>53</v>
      </c>
      <c r="D23" t="s">
        <v>33</v>
      </c>
      <c r="H23">
        <f>119.75*200</f>
        <v>23950</v>
      </c>
      <c r="I23" t="s">
        <v>112</v>
      </c>
      <c r="J23">
        <f t="shared" si="0"/>
        <v>23950</v>
      </c>
      <c r="L23">
        <f t="shared" si="1"/>
        <v>10.691964285714286</v>
      </c>
    </row>
    <row r="24" spans="1:12" x14ac:dyDescent="0.25">
      <c r="A24">
        <v>1748</v>
      </c>
      <c r="B24" t="s">
        <v>10</v>
      </c>
      <c r="C24" t="s">
        <v>53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1748</v>
      </c>
      <c r="B25" t="s">
        <v>11</v>
      </c>
      <c r="C25" t="s">
        <v>53</v>
      </c>
      <c r="D25" t="s">
        <v>33</v>
      </c>
      <c r="F25">
        <v>17</v>
      </c>
      <c r="H25">
        <v>16</v>
      </c>
      <c r="J25">
        <f t="shared" si="0"/>
        <v>1920</v>
      </c>
      <c r="L25">
        <f t="shared" si="1"/>
        <v>0.8571428571428571</v>
      </c>
    </row>
    <row r="26" spans="1:12" x14ac:dyDescent="0.25">
      <c r="A26">
        <v>1748</v>
      </c>
      <c r="B26" t="s">
        <v>39</v>
      </c>
      <c r="C26" t="s">
        <v>53</v>
      </c>
      <c r="D26" t="s">
        <v>33</v>
      </c>
      <c r="H26">
        <v>133</v>
      </c>
      <c r="J26">
        <f t="shared" si="0"/>
        <v>133</v>
      </c>
      <c r="L26">
        <f t="shared" si="1"/>
        <v>5.9374999999999997E-2</v>
      </c>
    </row>
    <row r="27" spans="1:12" x14ac:dyDescent="0.25">
      <c r="A27">
        <v>1748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1748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1748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1748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1748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1748</v>
      </c>
      <c r="B32" t="s">
        <v>12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1748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1748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1748</v>
      </c>
      <c r="B35" t="s">
        <v>13</v>
      </c>
      <c r="C35" t="s">
        <v>53</v>
      </c>
      <c r="D35" t="s">
        <v>33</v>
      </c>
      <c r="E35">
        <v>12</v>
      </c>
      <c r="F35">
        <v>15</v>
      </c>
      <c r="G35">
        <v>3</v>
      </c>
      <c r="H35">
        <v>12</v>
      </c>
      <c r="J35">
        <f t="shared" si="0"/>
        <v>28656</v>
      </c>
      <c r="L35">
        <f t="shared" si="1"/>
        <v>12.792857142857143</v>
      </c>
    </row>
    <row r="36" spans="1:12" x14ac:dyDescent="0.25">
      <c r="A36">
        <v>1748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1748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1748</v>
      </c>
      <c r="B38" t="s">
        <v>27</v>
      </c>
      <c r="C38" t="s">
        <v>53</v>
      </c>
      <c r="D38" t="s">
        <v>33</v>
      </c>
      <c r="H38">
        <v>106297.5</v>
      </c>
      <c r="I38" t="s">
        <v>109</v>
      </c>
      <c r="J38">
        <f t="shared" si="0"/>
        <v>106297.5</v>
      </c>
      <c r="L38">
        <f t="shared" si="1"/>
        <v>47.454241071428569</v>
      </c>
    </row>
    <row r="39" spans="1:12" x14ac:dyDescent="0.25">
      <c r="A39">
        <v>1748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1748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1748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1748</v>
      </c>
      <c r="B42" t="s">
        <v>47</v>
      </c>
      <c r="C42" t="s">
        <v>53</v>
      </c>
      <c r="D42" t="s">
        <v>33</v>
      </c>
      <c r="H42">
        <v>150</v>
      </c>
      <c r="I42" t="s">
        <v>107</v>
      </c>
      <c r="J42">
        <f t="shared" si="0"/>
        <v>150</v>
      </c>
      <c r="L42">
        <f t="shared" si="1"/>
        <v>6.6964285714285712E-2</v>
      </c>
    </row>
    <row r="43" spans="1:12" x14ac:dyDescent="0.25">
      <c r="A43">
        <v>1748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1748</v>
      </c>
      <c r="B44" t="s">
        <v>110</v>
      </c>
      <c r="C44" t="s">
        <v>53</v>
      </c>
      <c r="D44" t="s">
        <v>33</v>
      </c>
      <c r="H44">
        <v>200</v>
      </c>
      <c r="I44" t="s">
        <v>111</v>
      </c>
      <c r="J44">
        <f t="shared" si="0"/>
        <v>200</v>
      </c>
      <c r="L44">
        <f t="shared" si="1"/>
        <v>8.9285714285714288E-2</v>
      </c>
    </row>
    <row r="45" spans="1:12" x14ac:dyDescent="0.25">
      <c r="A45">
        <v>1748</v>
      </c>
      <c r="B45" t="s">
        <v>106</v>
      </c>
      <c r="C45" t="s">
        <v>53</v>
      </c>
      <c r="D45" t="s">
        <v>33</v>
      </c>
      <c r="F45">
        <v>1</v>
      </c>
      <c r="J45">
        <f t="shared" si="0"/>
        <v>112</v>
      </c>
      <c r="L45">
        <f t="shared" si="1"/>
        <v>0.05</v>
      </c>
    </row>
    <row r="46" spans="1:12" x14ac:dyDescent="0.25">
      <c r="A46">
        <v>1748</v>
      </c>
      <c r="B46" t="s">
        <v>17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1748</v>
      </c>
      <c r="B47" t="s">
        <v>18</v>
      </c>
      <c r="C47" t="s">
        <v>53</v>
      </c>
      <c r="D47" t="s">
        <v>33</v>
      </c>
      <c r="H47">
        <v>614478</v>
      </c>
      <c r="I47" t="s">
        <v>108</v>
      </c>
      <c r="J47">
        <f t="shared" si="0"/>
        <v>614478</v>
      </c>
      <c r="L47">
        <f t="shared" si="1"/>
        <v>274.32053571428571</v>
      </c>
    </row>
    <row r="48" spans="1:12" x14ac:dyDescent="0.25">
      <c r="A48">
        <v>1748</v>
      </c>
      <c r="B48" t="s">
        <v>26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1748</v>
      </c>
      <c r="B49" t="s">
        <v>84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1748</v>
      </c>
      <c r="B50" t="s">
        <v>19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1748</v>
      </c>
      <c r="B51" t="s">
        <v>45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1748</v>
      </c>
      <c r="B52" t="s">
        <v>85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1748</v>
      </c>
      <c r="B53" t="s">
        <v>54</v>
      </c>
      <c r="C53" t="s">
        <v>53</v>
      </c>
      <c r="D53" t="s">
        <v>33</v>
      </c>
      <c r="H53">
        <v>686</v>
      </c>
      <c r="J53">
        <f t="shared" si="0"/>
        <v>686</v>
      </c>
      <c r="L53">
        <f t="shared" si="1"/>
        <v>0.30625000000000002</v>
      </c>
    </row>
    <row r="54" spans="1:12" x14ac:dyDescent="0.25">
      <c r="A54">
        <v>1748</v>
      </c>
      <c r="B54" t="s">
        <v>95</v>
      </c>
      <c r="C54" t="s">
        <v>53</v>
      </c>
      <c r="D54" t="s">
        <v>33</v>
      </c>
      <c r="H54">
        <v>207</v>
      </c>
      <c r="J54">
        <f t="shared" si="0"/>
        <v>207</v>
      </c>
      <c r="L54">
        <f t="shared" si="1"/>
        <v>9.241071428571429E-2</v>
      </c>
    </row>
    <row r="55" spans="1:12" x14ac:dyDescent="0.25">
      <c r="A55">
        <v>1748</v>
      </c>
      <c r="B55" t="s">
        <v>20</v>
      </c>
      <c r="C55" t="s">
        <v>53</v>
      </c>
      <c r="D55" t="s">
        <v>33</v>
      </c>
      <c r="H55">
        <v>3584</v>
      </c>
      <c r="J55">
        <f t="shared" si="0"/>
        <v>3584</v>
      </c>
      <c r="L55">
        <f t="shared" si="1"/>
        <v>1.6</v>
      </c>
    </row>
    <row r="56" spans="1:12" x14ac:dyDescent="0.25">
      <c r="A56">
        <v>1748</v>
      </c>
      <c r="B56" t="s">
        <v>21</v>
      </c>
      <c r="C56" t="s">
        <v>53</v>
      </c>
      <c r="D56" t="s">
        <v>33</v>
      </c>
      <c r="H56">
        <v>51</v>
      </c>
      <c r="J56">
        <f t="shared" si="0"/>
        <v>51</v>
      </c>
      <c r="L56">
        <f t="shared" si="1"/>
        <v>2.2767857142857142E-2</v>
      </c>
    </row>
    <row r="57" spans="1:12" x14ac:dyDescent="0.25">
      <c r="A57">
        <v>1748</v>
      </c>
      <c r="B57" t="s">
        <v>22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1748</v>
      </c>
      <c r="B58" t="s">
        <v>61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1748</v>
      </c>
      <c r="B59" t="s">
        <v>99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1748</v>
      </c>
      <c r="B60" t="s">
        <v>87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1748</v>
      </c>
      <c r="B61" t="s">
        <v>62</v>
      </c>
      <c r="C61" t="s">
        <v>53</v>
      </c>
      <c r="D61" t="s">
        <v>33</v>
      </c>
      <c r="E61">
        <v>23</v>
      </c>
      <c r="J61">
        <f t="shared" si="0"/>
        <v>51520</v>
      </c>
      <c r="L61">
        <f t="shared" si="1"/>
        <v>23</v>
      </c>
    </row>
    <row r="62" spans="1:12" x14ac:dyDescent="0.25">
      <c r="A62">
        <v>1748</v>
      </c>
      <c r="B62" t="s">
        <v>88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1748</v>
      </c>
      <c r="B63" t="s">
        <v>63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1748</v>
      </c>
      <c r="B64" t="s">
        <v>89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1748</v>
      </c>
      <c r="B65" t="s">
        <v>70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1748</v>
      </c>
      <c r="B66" t="s">
        <v>64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1748</v>
      </c>
      <c r="B67" t="s">
        <v>65</v>
      </c>
      <c r="C67" t="s">
        <v>53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1748</v>
      </c>
      <c r="B68" t="s">
        <v>55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1748</v>
      </c>
      <c r="B69" t="s">
        <v>57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1748</v>
      </c>
      <c r="B70" t="s">
        <v>36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1748</v>
      </c>
      <c r="B71" t="s">
        <v>4</v>
      </c>
      <c r="C71" t="s">
        <v>53</v>
      </c>
      <c r="D71" t="s">
        <v>35</v>
      </c>
      <c r="J71">
        <f t="shared" ref="J71:J132" si="2">(E71*2240)+(F71*112)+(G71*28)+H71</f>
        <v>0</v>
      </c>
      <c r="L71">
        <f t="shared" ref="L71:L132" si="3">J71/2240</f>
        <v>0</v>
      </c>
    </row>
    <row r="72" spans="1:12" x14ac:dyDescent="0.25">
      <c r="A72">
        <v>1748</v>
      </c>
      <c r="B72" t="s">
        <v>58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1748</v>
      </c>
      <c r="B73" t="s">
        <v>69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1748</v>
      </c>
      <c r="B74" t="s">
        <v>43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1748</v>
      </c>
      <c r="B75" t="s">
        <v>76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1748</v>
      </c>
      <c r="B76" t="s">
        <v>5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1748</v>
      </c>
      <c r="B77" t="s">
        <v>59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1748</v>
      </c>
      <c r="B78" t="s">
        <v>6</v>
      </c>
      <c r="C78" t="s">
        <v>53</v>
      </c>
      <c r="D78" t="s">
        <v>35</v>
      </c>
      <c r="F78">
        <v>35490</v>
      </c>
      <c r="G78">
        <v>3</v>
      </c>
      <c r="H78">
        <v>6</v>
      </c>
      <c r="J78">
        <f t="shared" si="2"/>
        <v>3974970</v>
      </c>
      <c r="L78">
        <f t="shared" si="3"/>
        <v>1774.5401785714287</v>
      </c>
    </row>
    <row r="79" spans="1:12" x14ac:dyDescent="0.25">
      <c r="A79">
        <v>1748</v>
      </c>
      <c r="B79" t="s">
        <v>60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1748</v>
      </c>
      <c r="B80" t="s">
        <v>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1748</v>
      </c>
      <c r="B81" t="s">
        <v>37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1748</v>
      </c>
      <c r="B82" t="s">
        <v>8</v>
      </c>
      <c r="C82" t="s">
        <v>53</v>
      </c>
      <c r="D82" t="s">
        <v>35</v>
      </c>
      <c r="F82">
        <v>62</v>
      </c>
      <c r="H82">
        <v>15</v>
      </c>
      <c r="J82">
        <f t="shared" si="2"/>
        <v>6959</v>
      </c>
      <c r="L82">
        <f t="shared" si="3"/>
        <v>3.1066964285714285</v>
      </c>
    </row>
    <row r="83" spans="1:12" x14ac:dyDescent="0.25">
      <c r="A83">
        <v>1748</v>
      </c>
      <c r="B83" t="s">
        <v>40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1748</v>
      </c>
      <c r="B84" t="s">
        <v>77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1748</v>
      </c>
      <c r="B85" t="s">
        <v>78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1748</v>
      </c>
      <c r="B86" t="s">
        <v>46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1748</v>
      </c>
      <c r="B87" t="s">
        <v>9</v>
      </c>
      <c r="C87" t="s">
        <v>53</v>
      </c>
      <c r="D87" t="s">
        <v>35</v>
      </c>
      <c r="H87">
        <f>398*200</f>
        <v>79600</v>
      </c>
      <c r="I87" t="s">
        <v>147</v>
      </c>
      <c r="J87">
        <f t="shared" si="2"/>
        <v>79600</v>
      </c>
      <c r="L87">
        <f t="shared" si="3"/>
        <v>35.535714285714285</v>
      </c>
    </row>
    <row r="88" spans="1:12" x14ac:dyDescent="0.25">
      <c r="A88">
        <v>1748</v>
      </c>
      <c r="B88" t="s">
        <v>10</v>
      </c>
      <c r="C88" t="s">
        <v>53</v>
      </c>
      <c r="D88" t="s">
        <v>35</v>
      </c>
      <c r="G88">
        <v>3</v>
      </c>
      <c r="H88">
        <v>21</v>
      </c>
      <c r="J88">
        <f t="shared" si="2"/>
        <v>105</v>
      </c>
      <c r="L88">
        <f t="shared" si="3"/>
        <v>4.6875E-2</v>
      </c>
    </row>
    <row r="89" spans="1:12" x14ac:dyDescent="0.25">
      <c r="A89">
        <v>1748</v>
      </c>
      <c r="B89" t="s">
        <v>11</v>
      </c>
      <c r="C89" t="s">
        <v>53</v>
      </c>
      <c r="D89" t="s">
        <v>35</v>
      </c>
      <c r="F89">
        <v>88</v>
      </c>
      <c r="G89">
        <v>1</v>
      </c>
      <c r="H89">
        <v>10</v>
      </c>
      <c r="J89">
        <f t="shared" si="2"/>
        <v>9894</v>
      </c>
      <c r="L89">
        <f t="shared" si="3"/>
        <v>4.4169642857142861</v>
      </c>
    </row>
    <row r="90" spans="1:12" x14ac:dyDescent="0.25">
      <c r="A90">
        <v>1748</v>
      </c>
      <c r="B90" t="s">
        <v>39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1748</v>
      </c>
      <c r="B91" t="s">
        <v>79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1748</v>
      </c>
      <c r="B92" t="s">
        <v>103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1748</v>
      </c>
      <c r="B93" t="s">
        <v>44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1748</v>
      </c>
      <c r="B94" t="s">
        <v>97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1748</v>
      </c>
      <c r="B95" t="s">
        <v>12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1748</v>
      </c>
      <c r="B96" t="s">
        <v>82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1748</v>
      </c>
      <c r="B97" t="s">
        <v>34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1748</v>
      </c>
      <c r="B98" t="s">
        <v>13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1748</v>
      </c>
      <c r="B99" t="s">
        <v>14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1748</v>
      </c>
      <c r="B100" t="s">
        <v>23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1748</v>
      </c>
      <c r="B101" t="s">
        <v>27</v>
      </c>
      <c r="C101" t="s">
        <v>53</v>
      </c>
      <c r="D101" t="s">
        <v>35</v>
      </c>
      <c r="H101">
        <v>19185</v>
      </c>
      <c r="I101" t="s">
        <v>145</v>
      </c>
      <c r="J101">
        <f t="shared" si="2"/>
        <v>19185</v>
      </c>
      <c r="L101">
        <f t="shared" si="3"/>
        <v>8.5647321428571423</v>
      </c>
    </row>
    <row r="102" spans="1:12" x14ac:dyDescent="0.25">
      <c r="A102">
        <v>1748</v>
      </c>
      <c r="B102" t="s">
        <v>15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1748</v>
      </c>
      <c r="B103" t="s">
        <v>93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1748</v>
      </c>
      <c r="B104" t="s">
        <v>42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1748</v>
      </c>
      <c r="B105" t="s">
        <v>83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1748</v>
      </c>
      <c r="B106" t="s">
        <v>47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1748</v>
      </c>
      <c r="B107" t="s">
        <v>16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1748</v>
      </c>
      <c r="B108" t="s">
        <v>17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1748</v>
      </c>
      <c r="B109" t="s">
        <v>18</v>
      </c>
      <c r="C109" t="s">
        <v>53</v>
      </c>
      <c r="D109" t="s">
        <v>35</v>
      </c>
      <c r="H109">
        <v>224367.5</v>
      </c>
      <c r="I109" t="s">
        <v>144</v>
      </c>
      <c r="J109">
        <f t="shared" si="2"/>
        <v>224367.5</v>
      </c>
      <c r="L109">
        <f t="shared" si="3"/>
        <v>100.1640625</v>
      </c>
    </row>
    <row r="110" spans="1:12" x14ac:dyDescent="0.25">
      <c r="A110">
        <v>1748</v>
      </c>
      <c r="B110" t="s">
        <v>26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1748</v>
      </c>
      <c r="B111" t="s">
        <v>84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1748</v>
      </c>
      <c r="B112" t="s">
        <v>19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1748</v>
      </c>
      <c r="B113" t="s">
        <v>45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1748</v>
      </c>
      <c r="B114" t="s">
        <v>85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1748</v>
      </c>
      <c r="B115" t="s">
        <v>54</v>
      </c>
      <c r="C115" t="s">
        <v>53</v>
      </c>
      <c r="D115" t="s">
        <v>35</v>
      </c>
      <c r="H115">
        <v>44</v>
      </c>
      <c r="J115">
        <f t="shared" si="2"/>
        <v>44</v>
      </c>
      <c r="L115">
        <f t="shared" si="3"/>
        <v>1.9642857142857142E-2</v>
      </c>
    </row>
    <row r="116" spans="1:12" x14ac:dyDescent="0.25">
      <c r="A116">
        <v>1748</v>
      </c>
      <c r="B116" t="s">
        <v>95</v>
      </c>
      <c r="C116" t="s">
        <v>53</v>
      </c>
      <c r="D116" t="s">
        <v>35</v>
      </c>
      <c r="H116">
        <v>19</v>
      </c>
      <c r="J116">
        <f t="shared" si="2"/>
        <v>19</v>
      </c>
      <c r="L116">
        <f t="shared" si="3"/>
        <v>8.4821428571428565E-3</v>
      </c>
    </row>
    <row r="117" spans="1:12" x14ac:dyDescent="0.25">
      <c r="A117">
        <v>1748</v>
      </c>
      <c r="B117" t="s">
        <v>20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1748</v>
      </c>
      <c r="B118" t="s">
        <v>21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1748</v>
      </c>
      <c r="B119" t="s">
        <v>90</v>
      </c>
      <c r="C119" t="s">
        <v>53</v>
      </c>
      <c r="D119" t="s">
        <v>35</v>
      </c>
      <c r="F119">
        <v>20</v>
      </c>
      <c r="J119">
        <f t="shared" si="2"/>
        <v>2240</v>
      </c>
      <c r="L119">
        <f t="shared" si="3"/>
        <v>1</v>
      </c>
    </row>
    <row r="120" spans="1:12" x14ac:dyDescent="0.25">
      <c r="A120">
        <v>1748</v>
      </c>
      <c r="B120" t="s">
        <v>105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1748</v>
      </c>
      <c r="B121" t="s">
        <v>22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1748</v>
      </c>
      <c r="B122" t="s">
        <v>61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1748</v>
      </c>
      <c r="B123" t="s">
        <v>146</v>
      </c>
      <c r="C123" t="s">
        <v>53</v>
      </c>
      <c r="D123" t="s">
        <v>35</v>
      </c>
      <c r="F123">
        <v>50</v>
      </c>
      <c r="J123">
        <f t="shared" si="2"/>
        <v>5600</v>
      </c>
      <c r="L123">
        <f t="shared" si="3"/>
        <v>2.5</v>
      </c>
    </row>
    <row r="124" spans="1:12" x14ac:dyDescent="0.25">
      <c r="A124">
        <v>1748</v>
      </c>
      <c r="B124" t="s">
        <v>98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1748</v>
      </c>
      <c r="B125" t="s">
        <v>87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1748</v>
      </c>
      <c r="B126" t="s">
        <v>62</v>
      </c>
      <c r="C126" t="s">
        <v>53</v>
      </c>
      <c r="D126" t="s">
        <v>35</v>
      </c>
      <c r="E126">
        <v>20</v>
      </c>
      <c r="J126">
        <f t="shared" si="2"/>
        <v>44800</v>
      </c>
      <c r="L126">
        <f t="shared" si="3"/>
        <v>20</v>
      </c>
    </row>
    <row r="127" spans="1:12" x14ac:dyDescent="0.25">
      <c r="A127">
        <v>1748</v>
      </c>
      <c r="B127" t="s">
        <v>88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1748</v>
      </c>
      <c r="B128" t="s">
        <v>63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1748</v>
      </c>
      <c r="B129" t="s">
        <v>89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1748</v>
      </c>
      <c r="B130" t="s">
        <v>70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1748</v>
      </c>
      <c r="B131" t="s">
        <v>64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  <row r="132" spans="1:12" x14ac:dyDescent="0.25">
      <c r="A132">
        <v>1748</v>
      </c>
      <c r="B132" t="s">
        <v>65</v>
      </c>
      <c r="C132" t="s">
        <v>53</v>
      </c>
      <c r="D132" t="s">
        <v>35</v>
      </c>
      <c r="J132">
        <f t="shared" si="2"/>
        <v>0</v>
      </c>
      <c r="L132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6"/>
  <sheetViews>
    <sheetView topLeftCell="A79" workbookViewId="0">
      <selection activeCell="H91" sqref="H9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1748</v>
      </c>
      <c r="B2" t="s">
        <v>55</v>
      </c>
      <c r="C2" t="s">
        <v>56</v>
      </c>
      <c r="D2" t="s">
        <v>33</v>
      </c>
      <c r="J2">
        <f t="shared" ref="J2:J72" si="0">(E2*2240)+(F2*112)+(G2*28)+H2</f>
        <v>0</v>
      </c>
      <c r="L2">
        <f t="shared" ref="L2:L72" si="1">J2/2240</f>
        <v>0</v>
      </c>
    </row>
    <row r="3" spans="1:12" x14ac:dyDescent="0.25">
      <c r="A3">
        <v>1748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1748</v>
      </c>
      <c r="B4" t="s">
        <v>36</v>
      </c>
      <c r="C4" t="s">
        <v>56</v>
      </c>
      <c r="D4" t="s">
        <v>33</v>
      </c>
      <c r="H4">
        <v>12332</v>
      </c>
      <c r="J4">
        <f t="shared" si="0"/>
        <v>12332</v>
      </c>
      <c r="L4">
        <f t="shared" si="1"/>
        <v>5.5053571428571431</v>
      </c>
    </row>
    <row r="5" spans="1:12" x14ac:dyDescent="0.25">
      <c r="A5">
        <v>1748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1748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1748</v>
      </c>
      <c r="B7" t="s">
        <v>113</v>
      </c>
      <c r="C7" t="s">
        <v>56</v>
      </c>
      <c r="D7" t="s">
        <v>33</v>
      </c>
      <c r="H7">
        <v>225</v>
      </c>
      <c r="J7">
        <f t="shared" si="0"/>
        <v>225</v>
      </c>
      <c r="L7">
        <f t="shared" si="1"/>
        <v>0.10044642857142858</v>
      </c>
    </row>
    <row r="8" spans="1:12" x14ac:dyDescent="0.25">
      <c r="A8">
        <v>1748</v>
      </c>
      <c r="B8" t="s">
        <v>114</v>
      </c>
      <c r="C8" t="s">
        <v>56</v>
      </c>
      <c r="D8" t="s">
        <v>33</v>
      </c>
      <c r="H8">
        <v>210</v>
      </c>
      <c r="J8">
        <f t="shared" si="0"/>
        <v>210</v>
      </c>
      <c r="L8">
        <f t="shared" si="1"/>
        <v>9.375E-2</v>
      </c>
    </row>
    <row r="9" spans="1:12" x14ac:dyDescent="0.25">
      <c r="A9">
        <v>1748</v>
      </c>
      <c r="B9" t="s">
        <v>92</v>
      </c>
      <c r="C9" t="s">
        <v>56</v>
      </c>
      <c r="D9" t="s">
        <v>33</v>
      </c>
      <c r="H9">
        <v>5241</v>
      </c>
      <c r="J9">
        <f t="shared" si="0"/>
        <v>5241</v>
      </c>
      <c r="L9">
        <f t="shared" si="1"/>
        <v>2.3397321428571427</v>
      </c>
    </row>
    <row r="10" spans="1:12" x14ac:dyDescent="0.25">
      <c r="A10">
        <v>1748</v>
      </c>
      <c r="B10" t="s">
        <v>43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1748</v>
      </c>
      <c r="B11" t="s">
        <v>5</v>
      </c>
      <c r="C11" t="s">
        <v>56</v>
      </c>
      <c r="D11" t="s">
        <v>33</v>
      </c>
      <c r="F11">
        <v>40</v>
      </c>
      <c r="G11">
        <v>1</v>
      </c>
      <c r="J11">
        <f t="shared" si="0"/>
        <v>4508</v>
      </c>
      <c r="L11">
        <f t="shared" si="1"/>
        <v>2.0125000000000002</v>
      </c>
    </row>
    <row r="12" spans="1:12" x14ac:dyDescent="0.25">
      <c r="A12">
        <v>1748</v>
      </c>
      <c r="B12" t="s">
        <v>59</v>
      </c>
      <c r="C12" t="s">
        <v>56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1748</v>
      </c>
      <c r="B13" t="s">
        <v>6</v>
      </c>
      <c r="C13" t="s">
        <v>56</v>
      </c>
      <c r="D13" t="s">
        <v>33</v>
      </c>
      <c r="F13">
        <v>114251</v>
      </c>
      <c r="G13">
        <v>1</v>
      </c>
      <c r="H13">
        <v>7</v>
      </c>
      <c r="J13">
        <f t="shared" si="0"/>
        <v>12796147</v>
      </c>
      <c r="L13">
        <f t="shared" si="1"/>
        <v>5712.5656250000002</v>
      </c>
    </row>
    <row r="14" spans="1:12" x14ac:dyDescent="0.25">
      <c r="A14">
        <v>1748</v>
      </c>
      <c r="B14" t="s">
        <v>60</v>
      </c>
      <c r="C14" t="s">
        <v>56</v>
      </c>
      <c r="D14" t="s">
        <v>33</v>
      </c>
      <c r="H14">
        <v>3580</v>
      </c>
      <c r="J14">
        <f t="shared" si="0"/>
        <v>3580</v>
      </c>
      <c r="L14">
        <f t="shared" si="1"/>
        <v>1.5982142857142858</v>
      </c>
    </row>
    <row r="15" spans="1:12" x14ac:dyDescent="0.25">
      <c r="A15">
        <v>1748</v>
      </c>
      <c r="B15" t="s">
        <v>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1748</v>
      </c>
      <c r="B16" t="s">
        <v>37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1748</v>
      </c>
      <c r="B17" t="s">
        <v>8</v>
      </c>
      <c r="C17" t="s">
        <v>56</v>
      </c>
      <c r="D17" t="s">
        <v>33</v>
      </c>
      <c r="F17">
        <v>371</v>
      </c>
      <c r="J17">
        <f t="shared" si="0"/>
        <v>41552</v>
      </c>
      <c r="L17">
        <f t="shared" si="1"/>
        <v>18.55</v>
      </c>
    </row>
    <row r="18" spans="1:12" x14ac:dyDescent="0.25">
      <c r="A18">
        <v>1748</v>
      </c>
      <c r="B18" t="s">
        <v>40</v>
      </c>
      <c r="C18" t="s">
        <v>56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1748</v>
      </c>
      <c r="B19" t="s">
        <v>77</v>
      </c>
      <c r="C19" t="s">
        <v>56</v>
      </c>
      <c r="D19" t="s">
        <v>33</v>
      </c>
      <c r="H19">
        <v>11</v>
      </c>
      <c r="J19">
        <f t="shared" si="0"/>
        <v>11</v>
      </c>
      <c r="L19">
        <f t="shared" si="1"/>
        <v>4.9107142857142856E-3</v>
      </c>
    </row>
    <row r="20" spans="1:12" x14ac:dyDescent="0.25">
      <c r="A20">
        <v>1748</v>
      </c>
      <c r="B20" t="s">
        <v>78</v>
      </c>
      <c r="C20" t="s">
        <v>56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9</v>
      </c>
      <c r="C21" t="s">
        <v>56</v>
      </c>
      <c r="D21" t="s">
        <v>33</v>
      </c>
      <c r="H21">
        <f>223*200</f>
        <v>44600</v>
      </c>
      <c r="I21" t="s">
        <v>121</v>
      </c>
      <c r="J21">
        <f t="shared" si="0"/>
        <v>44600</v>
      </c>
      <c r="L21">
        <f t="shared" si="1"/>
        <v>19.910714285714285</v>
      </c>
    </row>
    <row r="22" spans="1:12" x14ac:dyDescent="0.25">
      <c r="A22">
        <v>1748</v>
      </c>
      <c r="B22" t="s">
        <v>10</v>
      </c>
      <c r="C22" t="s">
        <v>56</v>
      </c>
      <c r="D22" t="s">
        <v>33</v>
      </c>
      <c r="F22">
        <v>2508</v>
      </c>
      <c r="G22">
        <v>3</v>
      </c>
      <c r="H22">
        <v>18</v>
      </c>
      <c r="J22">
        <f t="shared" si="0"/>
        <v>280998</v>
      </c>
      <c r="L22">
        <f t="shared" si="1"/>
        <v>125.44553571428571</v>
      </c>
    </row>
    <row r="23" spans="1:12" x14ac:dyDescent="0.25">
      <c r="A23">
        <v>1748</v>
      </c>
      <c r="B23" t="s">
        <v>11</v>
      </c>
      <c r="C23" t="s">
        <v>56</v>
      </c>
      <c r="D23" t="s">
        <v>33</v>
      </c>
      <c r="F23">
        <v>327</v>
      </c>
      <c r="G23">
        <v>3</v>
      </c>
      <c r="J23">
        <f t="shared" si="0"/>
        <v>36708</v>
      </c>
      <c r="L23">
        <f t="shared" si="1"/>
        <v>16.387499999999999</v>
      </c>
    </row>
    <row r="24" spans="1:12" x14ac:dyDescent="0.25">
      <c r="A24">
        <v>1748</v>
      </c>
      <c r="B24" t="s">
        <v>39</v>
      </c>
      <c r="C24" t="s">
        <v>56</v>
      </c>
      <c r="D24" t="s">
        <v>33</v>
      </c>
      <c r="H24">
        <v>547</v>
      </c>
      <c r="J24">
        <f t="shared" si="0"/>
        <v>547</v>
      </c>
      <c r="L24">
        <f t="shared" si="1"/>
        <v>0.24419642857142856</v>
      </c>
    </row>
    <row r="25" spans="1:12" x14ac:dyDescent="0.25">
      <c r="A25">
        <v>1748</v>
      </c>
      <c r="B25" t="s">
        <v>115</v>
      </c>
      <c r="C25" t="s">
        <v>56</v>
      </c>
      <c r="D25" t="s">
        <v>33</v>
      </c>
      <c r="H25">
        <v>1497</v>
      </c>
      <c r="J25">
        <f t="shared" si="0"/>
        <v>1497</v>
      </c>
      <c r="L25">
        <f t="shared" si="1"/>
        <v>0.66830357142857144</v>
      </c>
    </row>
    <row r="26" spans="1:12" x14ac:dyDescent="0.25">
      <c r="A26">
        <v>1748</v>
      </c>
      <c r="B26" t="s">
        <v>44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1748</v>
      </c>
      <c r="B27" t="s">
        <v>12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1748</v>
      </c>
      <c r="B28" t="s">
        <v>116</v>
      </c>
      <c r="C28" t="s">
        <v>56</v>
      </c>
      <c r="D28" t="s">
        <v>33</v>
      </c>
      <c r="H28">
        <v>985</v>
      </c>
      <c r="J28">
        <f t="shared" ref="J28" si="2">(E28*2240)+(F28*112)+(G28*28)+H28</f>
        <v>985</v>
      </c>
      <c r="L28">
        <f t="shared" ref="L28" si="3">J28/2240</f>
        <v>0.43973214285714285</v>
      </c>
    </row>
    <row r="29" spans="1:12" x14ac:dyDescent="0.25">
      <c r="A29">
        <v>1748</v>
      </c>
      <c r="B29" t="s">
        <v>34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1748</v>
      </c>
      <c r="B30" t="s">
        <v>13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1748</v>
      </c>
      <c r="B31" t="s">
        <v>14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1748</v>
      </c>
      <c r="B32" t="s">
        <v>23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1748</v>
      </c>
      <c r="B33" t="s">
        <v>27</v>
      </c>
      <c r="C33" t="s">
        <v>56</v>
      </c>
      <c r="D33" t="s">
        <v>33</v>
      </c>
      <c r="H33">
        <v>196280.5</v>
      </c>
      <c r="I33" t="s">
        <v>119</v>
      </c>
      <c r="J33">
        <f t="shared" si="0"/>
        <v>196280.5</v>
      </c>
      <c r="L33">
        <f t="shared" si="1"/>
        <v>87.625223214285711</v>
      </c>
    </row>
    <row r="34" spans="1:12" x14ac:dyDescent="0.25">
      <c r="A34">
        <v>1748</v>
      </c>
      <c r="B34" t="s">
        <v>15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1748</v>
      </c>
      <c r="B35" t="s">
        <v>42</v>
      </c>
      <c r="C35" t="s">
        <v>56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1748</v>
      </c>
      <c r="B36" t="s">
        <v>47</v>
      </c>
      <c r="C36" t="s">
        <v>56</v>
      </c>
      <c r="D36" t="s">
        <v>33</v>
      </c>
      <c r="H36">
        <v>510</v>
      </c>
      <c r="I36" t="s">
        <v>117</v>
      </c>
      <c r="J36">
        <f t="shared" si="0"/>
        <v>510</v>
      </c>
      <c r="L36">
        <f t="shared" si="1"/>
        <v>0.22767857142857142</v>
      </c>
    </row>
    <row r="37" spans="1:12" x14ac:dyDescent="0.25">
      <c r="A37">
        <v>1748</v>
      </c>
      <c r="B37" t="s">
        <v>16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1748</v>
      </c>
      <c r="B38" t="s">
        <v>110</v>
      </c>
      <c r="C38" t="s">
        <v>56</v>
      </c>
      <c r="D38" t="s">
        <v>33</v>
      </c>
      <c r="H38">
        <v>35939</v>
      </c>
      <c r="I38" t="s">
        <v>120</v>
      </c>
      <c r="J38">
        <f t="shared" si="0"/>
        <v>35939</v>
      </c>
      <c r="L38">
        <f t="shared" si="1"/>
        <v>16.044196428571428</v>
      </c>
    </row>
    <row r="39" spans="1:12" x14ac:dyDescent="0.25">
      <c r="A39">
        <v>1748</v>
      </c>
      <c r="B39" t="s">
        <v>17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1748</v>
      </c>
      <c r="B40" t="s">
        <v>18</v>
      </c>
      <c r="C40" t="s">
        <v>56</v>
      </c>
      <c r="D40" t="s">
        <v>33</v>
      </c>
      <c r="H40">
        <v>445164.5</v>
      </c>
      <c r="I40" t="s">
        <v>118</v>
      </c>
      <c r="J40">
        <f t="shared" si="0"/>
        <v>445164.5</v>
      </c>
      <c r="L40">
        <f t="shared" si="1"/>
        <v>198.73415178571429</v>
      </c>
    </row>
    <row r="41" spans="1:12" x14ac:dyDescent="0.25">
      <c r="A41">
        <v>1748</v>
      </c>
      <c r="B41" t="s">
        <v>26</v>
      </c>
      <c r="C41" t="s">
        <v>56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1748</v>
      </c>
      <c r="B42" t="s">
        <v>19</v>
      </c>
      <c r="C42" t="s">
        <v>56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1748</v>
      </c>
      <c r="B43" t="s">
        <v>45</v>
      </c>
      <c r="C43" t="s">
        <v>56</v>
      </c>
      <c r="D43" t="s">
        <v>33</v>
      </c>
      <c r="H43">
        <v>25</v>
      </c>
      <c r="J43">
        <f t="shared" si="0"/>
        <v>25</v>
      </c>
      <c r="L43">
        <f t="shared" si="1"/>
        <v>1.1160714285714286E-2</v>
      </c>
    </row>
    <row r="44" spans="1:12" x14ac:dyDescent="0.25">
      <c r="A44">
        <v>1748</v>
      </c>
      <c r="B44" t="s">
        <v>54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1748</v>
      </c>
      <c r="B45" t="s">
        <v>95</v>
      </c>
      <c r="C45" t="s">
        <v>56</v>
      </c>
      <c r="D45" t="s">
        <v>33</v>
      </c>
      <c r="H45">
        <v>5287</v>
      </c>
      <c r="J45">
        <f t="shared" si="0"/>
        <v>5287</v>
      </c>
      <c r="L45">
        <f t="shared" si="1"/>
        <v>2.360267857142857</v>
      </c>
    </row>
    <row r="46" spans="1:12" x14ac:dyDescent="0.25">
      <c r="A46">
        <v>1748</v>
      </c>
      <c r="B46" t="s">
        <v>20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1748</v>
      </c>
      <c r="B47" t="s">
        <v>21</v>
      </c>
      <c r="C47" t="s">
        <v>56</v>
      </c>
      <c r="D47" t="s">
        <v>33</v>
      </c>
      <c r="H47">
        <v>37</v>
      </c>
      <c r="J47">
        <f t="shared" si="0"/>
        <v>37</v>
      </c>
      <c r="L47">
        <f t="shared" si="1"/>
        <v>1.6517857142857143E-2</v>
      </c>
    </row>
    <row r="48" spans="1:12" x14ac:dyDescent="0.25">
      <c r="A48">
        <v>1748</v>
      </c>
      <c r="B48" t="s">
        <v>22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1748</v>
      </c>
      <c r="B49" t="s">
        <v>61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1748</v>
      </c>
      <c r="B50" t="s">
        <v>62</v>
      </c>
      <c r="C50" t="s">
        <v>56</v>
      </c>
      <c r="D50" t="s">
        <v>33</v>
      </c>
      <c r="E50">
        <v>10</v>
      </c>
      <c r="F50">
        <v>4</v>
      </c>
      <c r="J50">
        <f t="shared" si="0"/>
        <v>22848</v>
      </c>
      <c r="L50">
        <f t="shared" si="1"/>
        <v>10.199999999999999</v>
      </c>
    </row>
    <row r="51" spans="1:12" x14ac:dyDescent="0.25">
      <c r="A51">
        <v>1748</v>
      </c>
      <c r="B51" t="s">
        <v>63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1748</v>
      </c>
      <c r="B52" t="s">
        <v>89</v>
      </c>
      <c r="C52" t="s">
        <v>56</v>
      </c>
      <c r="D52" t="s">
        <v>33</v>
      </c>
      <c r="E52">
        <v>3</v>
      </c>
      <c r="J52">
        <f t="shared" si="0"/>
        <v>6720</v>
      </c>
      <c r="L52">
        <f t="shared" si="1"/>
        <v>3</v>
      </c>
    </row>
    <row r="53" spans="1:12" x14ac:dyDescent="0.25">
      <c r="A53">
        <v>1748</v>
      </c>
      <c r="B53" t="s">
        <v>70</v>
      </c>
      <c r="C53" t="s">
        <v>56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1748</v>
      </c>
      <c r="B54" t="s">
        <v>64</v>
      </c>
      <c r="C54" t="s">
        <v>56</v>
      </c>
      <c r="D54" t="s">
        <v>33</v>
      </c>
      <c r="E54">
        <v>2</v>
      </c>
      <c r="J54">
        <f t="shared" si="0"/>
        <v>4480</v>
      </c>
      <c r="L54">
        <f t="shared" si="1"/>
        <v>2</v>
      </c>
    </row>
    <row r="55" spans="1:12" x14ac:dyDescent="0.25">
      <c r="A55">
        <v>1748</v>
      </c>
      <c r="B55" t="s">
        <v>65</v>
      </c>
      <c r="C55" t="s">
        <v>56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1748</v>
      </c>
      <c r="B56" t="s">
        <v>55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1748</v>
      </c>
      <c r="B57" t="s">
        <v>57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1748</v>
      </c>
      <c r="B58" t="s">
        <v>36</v>
      </c>
      <c r="C58" t="s">
        <v>56</v>
      </c>
      <c r="D58" t="s">
        <v>35</v>
      </c>
      <c r="H58">
        <v>83</v>
      </c>
      <c r="J58">
        <f t="shared" si="0"/>
        <v>83</v>
      </c>
      <c r="L58">
        <f t="shared" si="1"/>
        <v>3.7053571428571429E-2</v>
      </c>
    </row>
    <row r="59" spans="1:12" x14ac:dyDescent="0.25">
      <c r="A59">
        <v>1748</v>
      </c>
      <c r="B59" t="s">
        <v>4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1748</v>
      </c>
      <c r="B60" t="s">
        <v>58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1748</v>
      </c>
      <c r="B61" t="s">
        <v>92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1748</v>
      </c>
      <c r="B62" t="s">
        <v>43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1748</v>
      </c>
      <c r="B63" t="s">
        <v>5</v>
      </c>
      <c r="C63" t="s">
        <v>56</v>
      </c>
      <c r="D63" t="s">
        <v>35</v>
      </c>
      <c r="F63">
        <v>64</v>
      </c>
      <c r="G63">
        <v>3</v>
      </c>
      <c r="H63">
        <v>16</v>
      </c>
      <c r="J63">
        <f t="shared" si="0"/>
        <v>7268</v>
      </c>
      <c r="L63">
        <f t="shared" si="1"/>
        <v>3.2446428571428569</v>
      </c>
    </row>
    <row r="64" spans="1:12" x14ac:dyDescent="0.25">
      <c r="A64">
        <v>1748</v>
      </c>
      <c r="B64" t="s">
        <v>59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1748</v>
      </c>
      <c r="B65" t="s">
        <v>6</v>
      </c>
      <c r="C65" t="s">
        <v>56</v>
      </c>
      <c r="D65" t="s">
        <v>35</v>
      </c>
      <c r="F65">
        <v>38781</v>
      </c>
      <c r="G65">
        <v>2</v>
      </c>
      <c r="H65">
        <v>2</v>
      </c>
      <c r="J65">
        <f t="shared" si="0"/>
        <v>4343530</v>
      </c>
      <c r="L65">
        <f t="shared" si="1"/>
        <v>1939.0758928571429</v>
      </c>
    </row>
    <row r="66" spans="1:12" x14ac:dyDescent="0.25">
      <c r="A66">
        <v>1748</v>
      </c>
      <c r="B66" t="s">
        <v>60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1748</v>
      </c>
      <c r="B67" t="s">
        <v>38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1748</v>
      </c>
      <c r="B68" t="s">
        <v>37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1748</v>
      </c>
      <c r="B69" t="s">
        <v>8</v>
      </c>
      <c r="C69" t="s">
        <v>56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1748</v>
      </c>
      <c r="B70" t="s">
        <v>40</v>
      </c>
      <c r="C70" t="s">
        <v>56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1748</v>
      </c>
      <c r="B71" t="s">
        <v>9</v>
      </c>
      <c r="C71" t="s">
        <v>56</v>
      </c>
      <c r="D71" t="s">
        <v>35</v>
      </c>
      <c r="H71">
        <f>800*200</f>
        <v>160000</v>
      </c>
      <c r="I71" t="s">
        <v>150</v>
      </c>
      <c r="J71">
        <f t="shared" si="0"/>
        <v>160000</v>
      </c>
      <c r="L71">
        <f t="shared" si="1"/>
        <v>71.428571428571431</v>
      </c>
    </row>
    <row r="72" spans="1:12" x14ac:dyDescent="0.25">
      <c r="A72">
        <v>1748</v>
      </c>
      <c r="B72" t="s">
        <v>10</v>
      </c>
      <c r="C72" t="s">
        <v>56</v>
      </c>
      <c r="D72" t="s">
        <v>35</v>
      </c>
      <c r="F72">
        <v>929</v>
      </c>
      <c r="H72">
        <v>26</v>
      </c>
      <c r="J72">
        <f t="shared" si="0"/>
        <v>104074</v>
      </c>
      <c r="L72">
        <f t="shared" si="1"/>
        <v>46.46160714285714</v>
      </c>
    </row>
    <row r="73" spans="1:12" x14ac:dyDescent="0.25">
      <c r="A73">
        <v>1748</v>
      </c>
      <c r="B73" t="s">
        <v>11</v>
      </c>
      <c r="C73" t="s">
        <v>56</v>
      </c>
      <c r="D73" t="s">
        <v>35</v>
      </c>
      <c r="F73">
        <v>213</v>
      </c>
      <c r="G73">
        <v>2</v>
      </c>
      <c r="H73">
        <v>14</v>
      </c>
      <c r="J73">
        <f t="shared" ref="J73:J106" si="4">(E73*2240)+(F73*112)+(G73*28)+H73</f>
        <v>23926</v>
      </c>
      <c r="L73">
        <f t="shared" ref="L73:L106" si="5">J73/2240</f>
        <v>10.68125</v>
      </c>
    </row>
    <row r="74" spans="1:12" x14ac:dyDescent="0.25">
      <c r="A74">
        <v>1748</v>
      </c>
      <c r="B74" t="s">
        <v>39</v>
      </c>
      <c r="C74" t="s">
        <v>56</v>
      </c>
      <c r="D74" t="s">
        <v>35</v>
      </c>
      <c r="H74">
        <v>18</v>
      </c>
      <c r="J74">
        <f t="shared" si="4"/>
        <v>18</v>
      </c>
      <c r="L74">
        <f t="shared" si="5"/>
        <v>8.0357142857142849E-3</v>
      </c>
    </row>
    <row r="75" spans="1:12" x14ac:dyDescent="0.25">
      <c r="A75">
        <v>1748</v>
      </c>
      <c r="B75" t="s">
        <v>79</v>
      </c>
      <c r="C75" t="s">
        <v>56</v>
      </c>
      <c r="D75" t="s">
        <v>35</v>
      </c>
      <c r="J75">
        <f t="shared" si="4"/>
        <v>0</v>
      </c>
      <c r="L75">
        <f t="shared" si="5"/>
        <v>0</v>
      </c>
    </row>
    <row r="76" spans="1:12" x14ac:dyDescent="0.25">
      <c r="A76">
        <v>1748</v>
      </c>
      <c r="B76" t="s">
        <v>44</v>
      </c>
      <c r="C76" t="s">
        <v>56</v>
      </c>
      <c r="D76" t="s">
        <v>35</v>
      </c>
      <c r="J76">
        <f t="shared" si="4"/>
        <v>0</v>
      </c>
      <c r="L76">
        <f t="shared" si="5"/>
        <v>0</v>
      </c>
    </row>
    <row r="77" spans="1:12" x14ac:dyDescent="0.25">
      <c r="A77">
        <v>1748</v>
      </c>
      <c r="B77" t="s">
        <v>12</v>
      </c>
      <c r="C77" t="s">
        <v>56</v>
      </c>
      <c r="D77" t="s">
        <v>35</v>
      </c>
      <c r="J77">
        <f t="shared" si="4"/>
        <v>0</v>
      </c>
      <c r="L77">
        <f t="shared" si="5"/>
        <v>0</v>
      </c>
    </row>
    <row r="78" spans="1:12" x14ac:dyDescent="0.25">
      <c r="A78">
        <v>1748</v>
      </c>
      <c r="B78" t="s">
        <v>34</v>
      </c>
      <c r="C78" t="s">
        <v>56</v>
      </c>
      <c r="D78" t="s">
        <v>35</v>
      </c>
      <c r="J78">
        <f t="shared" si="4"/>
        <v>0</v>
      </c>
      <c r="L78">
        <f t="shared" si="5"/>
        <v>0</v>
      </c>
    </row>
    <row r="79" spans="1:12" x14ac:dyDescent="0.25">
      <c r="A79">
        <v>1748</v>
      </c>
      <c r="B79" t="s">
        <v>13</v>
      </c>
      <c r="C79" t="s">
        <v>56</v>
      </c>
      <c r="D79" t="s">
        <v>35</v>
      </c>
      <c r="J79">
        <f t="shared" si="4"/>
        <v>0</v>
      </c>
      <c r="L79">
        <f t="shared" si="5"/>
        <v>0</v>
      </c>
    </row>
    <row r="80" spans="1:12" x14ac:dyDescent="0.25">
      <c r="A80">
        <v>1748</v>
      </c>
      <c r="B80" t="s">
        <v>14</v>
      </c>
      <c r="C80" t="s">
        <v>56</v>
      </c>
      <c r="D80" t="s">
        <v>35</v>
      </c>
      <c r="J80">
        <f t="shared" si="4"/>
        <v>0</v>
      </c>
      <c r="L80">
        <f t="shared" si="5"/>
        <v>0</v>
      </c>
    </row>
    <row r="81" spans="1:12" x14ac:dyDescent="0.25">
      <c r="A81">
        <v>1748</v>
      </c>
      <c r="B81" t="s">
        <v>23</v>
      </c>
      <c r="C81" t="s">
        <v>56</v>
      </c>
      <c r="D81" t="s">
        <v>35</v>
      </c>
      <c r="J81">
        <f t="shared" si="4"/>
        <v>0</v>
      </c>
      <c r="L81">
        <f t="shared" si="5"/>
        <v>0</v>
      </c>
    </row>
    <row r="82" spans="1:12" x14ac:dyDescent="0.25">
      <c r="A82">
        <v>1748</v>
      </c>
      <c r="B82" t="s">
        <v>27</v>
      </c>
      <c r="C82" t="s">
        <v>56</v>
      </c>
      <c r="D82" t="s">
        <v>35</v>
      </c>
      <c r="H82">
        <v>2780.5</v>
      </c>
      <c r="I82" t="s">
        <v>149</v>
      </c>
      <c r="J82">
        <f t="shared" si="4"/>
        <v>2780.5</v>
      </c>
      <c r="L82">
        <f t="shared" si="5"/>
        <v>1.2412946428571427</v>
      </c>
    </row>
    <row r="83" spans="1:12" x14ac:dyDescent="0.25">
      <c r="A83">
        <v>1748</v>
      </c>
      <c r="B83" t="s">
        <v>15</v>
      </c>
      <c r="C83" t="s">
        <v>56</v>
      </c>
      <c r="D83" t="s">
        <v>35</v>
      </c>
      <c r="J83">
        <f t="shared" si="4"/>
        <v>0</v>
      </c>
      <c r="L83">
        <f t="shared" si="5"/>
        <v>0</v>
      </c>
    </row>
    <row r="84" spans="1:12" x14ac:dyDescent="0.25">
      <c r="A84">
        <v>1748</v>
      </c>
      <c r="B84" t="s">
        <v>93</v>
      </c>
      <c r="C84" t="s">
        <v>56</v>
      </c>
      <c r="D84" t="s">
        <v>35</v>
      </c>
      <c r="J84">
        <f t="shared" si="4"/>
        <v>0</v>
      </c>
      <c r="L84">
        <f t="shared" si="5"/>
        <v>0</v>
      </c>
    </row>
    <row r="85" spans="1:12" x14ac:dyDescent="0.25">
      <c r="A85">
        <v>1748</v>
      </c>
      <c r="B85" t="s">
        <v>42</v>
      </c>
      <c r="C85" t="s">
        <v>56</v>
      </c>
      <c r="D85" t="s">
        <v>35</v>
      </c>
      <c r="J85">
        <f t="shared" si="4"/>
        <v>0</v>
      </c>
      <c r="L85">
        <f t="shared" si="5"/>
        <v>0</v>
      </c>
    </row>
    <row r="86" spans="1:12" x14ac:dyDescent="0.25">
      <c r="A86">
        <v>1748</v>
      </c>
      <c r="B86" t="s">
        <v>47</v>
      </c>
      <c r="C86" t="s">
        <v>56</v>
      </c>
      <c r="D86" t="s">
        <v>35</v>
      </c>
      <c r="J86">
        <f t="shared" si="4"/>
        <v>0</v>
      </c>
      <c r="L86">
        <f t="shared" si="5"/>
        <v>0</v>
      </c>
    </row>
    <row r="87" spans="1:12" x14ac:dyDescent="0.25">
      <c r="A87">
        <v>1748</v>
      </c>
      <c r="B87" t="s">
        <v>16</v>
      </c>
      <c r="C87" t="s">
        <v>56</v>
      </c>
      <c r="D87" t="s">
        <v>35</v>
      </c>
      <c r="J87">
        <f t="shared" si="4"/>
        <v>0</v>
      </c>
      <c r="L87">
        <f t="shared" si="5"/>
        <v>0</v>
      </c>
    </row>
    <row r="88" spans="1:12" x14ac:dyDescent="0.25">
      <c r="A88">
        <v>1748</v>
      </c>
      <c r="B88" t="s">
        <v>106</v>
      </c>
      <c r="C88" t="s">
        <v>56</v>
      </c>
      <c r="D88" t="s">
        <v>35</v>
      </c>
      <c r="J88">
        <f t="shared" si="4"/>
        <v>0</v>
      </c>
      <c r="L88">
        <f t="shared" si="5"/>
        <v>0</v>
      </c>
    </row>
    <row r="89" spans="1:12" x14ac:dyDescent="0.25">
      <c r="A89">
        <v>1748</v>
      </c>
      <c r="B89" t="s">
        <v>17</v>
      </c>
      <c r="C89" t="s">
        <v>56</v>
      </c>
      <c r="D89" t="s">
        <v>35</v>
      </c>
      <c r="J89">
        <f t="shared" si="4"/>
        <v>0</v>
      </c>
      <c r="L89">
        <f t="shared" si="5"/>
        <v>0</v>
      </c>
    </row>
    <row r="90" spans="1:12" x14ac:dyDescent="0.25">
      <c r="A90">
        <v>1748</v>
      </c>
      <c r="B90" t="s">
        <v>18</v>
      </c>
      <c r="C90" t="s">
        <v>56</v>
      </c>
      <c r="D90" t="s">
        <v>35</v>
      </c>
      <c r="H90">
        <v>133624.5</v>
      </c>
      <c r="I90" t="s">
        <v>148</v>
      </c>
      <c r="J90">
        <f t="shared" si="4"/>
        <v>133624.5</v>
      </c>
      <c r="L90">
        <f t="shared" si="5"/>
        <v>59.653794642857143</v>
      </c>
    </row>
    <row r="91" spans="1:12" x14ac:dyDescent="0.25">
      <c r="A91">
        <v>1748</v>
      </c>
      <c r="B91" t="s">
        <v>26</v>
      </c>
      <c r="C91" t="s">
        <v>56</v>
      </c>
      <c r="D91" t="s">
        <v>35</v>
      </c>
      <c r="J91">
        <f t="shared" si="4"/>
        <v>0</v>
      </c>
      <c r="L91">
        <f t="shared" si="5"/>
        <v>0</v>
      </c>
    </row>
    <row r="92" spans="1:12" x14ac:dyDescent="0.25">
      <c r="A92">
        <v>1748</v>
      </c>
      <c r="B92" t="s">
        <v>19</v>
      </c>
      <c r="C92" t="s">
        <v>56</v>
      </c>
      <c r="D92" t="s">
        <v>35</v>
      </c>
      <c r="F92">
        <v>1</v>
      </c>
      <c r="G92">
        <v>2</v>
      </c>
      <c r="H92">
        <v>25</v>
      </c>
      <c r="J92">
        <f t="shared" si="4"/>
        <v>193</v>
      </c>
      <c r="L92">
        <f t="shared" si="5"/>
        <v>8.6160714285714285E-2</v>
      </c>
    </row>
    <row r="93" spans="1:12" x14ac:dyDescent="0.25">
      <c r="A93">
        <v>1748</v>
      </c>
      <c r="B93" t="s">
        <v>45</v>
      </c>
      <c r="C93" t="s">
        <v>56</v>
      </c>
      <c r="D93" t="s">
        <v>35</v>
      </c>
      <c r="J93">
        <f t="shared" si="4"/>
        <v>0</v>
      </c>
      <c r="L93">
        <f t="shared" si="5"/>
        <v>0</v>
      </c>
    </row>
    <row r="94" spans="1:12" x14ac:dyDescent="0.25">
      <c r="A94">
        <v>1748</v>
      </c>
      <c r="B94" t="s">
        <v>54</v>
      </c>
      <c r="C94" t="s">
        <v>56</v>
      </c>
      <c r="D94" t="s">
        <v>35</v>
      </c>
      <c r="J94">
        <f t="shared" si="4"/>
        <v>0</v>
      </c>
      <c r="L94">
        <f t="shared" si="5"/>
        <v>0</v>
      </c>
    </row>
    <row r="95" spans="1:12" x14ac:dyDescent="0.25">
      <c r="A95">
        <v>1748</v>
      </c>
      <c r="B95" t="s">
        <v>95</v>
      </c>
      <c r="C95" t="s">
        <v>56</v>
      </c>
      <c r="D95" t="s">
        <v>35</v>
      </c>
      <c r="H95">
        <v>450</v>
      </c>
      <c r="J95">
        <f t="shared" si="4"/>
        <v>450</v>
      </c>
      <c r="L95">
        <f t="shared" si="5"/>
        <v>0.20089285714285715</v>
      </c>
    </row>
    <row r="96" spans="1:12" x14ac:dyDescent="0.25">
      <c r="A96">
        <v>1748</v>
      </c>
      <c r="B96" t="s">
        <v>20</v>
      </c>
      <c r="C96" t="s">
        <v>56</v>
      </c>
      <c r="D96" t="s">
        <v>35</v>
      </c>
      <c r="J96">
        <f t="shared" si="4"/>
        <v>0</v>
      </c>
      <c r="L96">
        <f t="shared" si="5"/>
        <v>0</v>
      </c>
    </row>
    <row r="97" spans="1:12" x14ac:dyDescent="0.25">
      <c r="A97">
        <v>1748</v>
      </c>
      <c r="B97" t="s">
        <v>21</v>
      </c>
      <c r="C97" t="s">
        <v>56</v>
      </c>
      <c r="D97" t="s">
        <v>35</v>
      </c>
      <c r="J97">
        <f t="shared" si="4"/>
        <v>0</v>
      </c>
      <c r="L97">
        <f t="shared" si="5"/>
        <v>0</v>
      </c>
    </row>
    <row r="98" spans="1:12" x14ac:dyDescent="0.25">
      <c r="A98">
        <v>1748</v>
      </c>
      <c r="B98" t="s">
        <v>22</v>
      </c>
      <c r="C98" t="s">
        <v>56</v>
      </c>
      <c r="D98" t="s">
        <v>35</v>
      </c>
      <c r="J98">
        <f t="shared" si="4"/>
        <v>0</v>
      </c>
      <c r="L98">
        <f t="shared" si="5"/>
        <v>0</v>
      </c>
    </row>
    <row r="99" spans="1:12" x14ac:dyDescent="0.25">
      <c r="A99">
        <v>1748</v>
      </c>
      <c r="B99" t="s">
        <v>61</v>
      </c>
      <c r="C99" t="s">
        <v>56</v>
      </c>
      <c r="D99" t="s">
        <v>35</v>
      </c>
      <c r="J99">
        <f t="shared" si="4"/>
        <v>0</v>
      </c>
      <c r="L99">
        <f t="shared" si="5"/>
        <v>0</v>
      </c>
    </row>
    <row r="100" spans="1:12" x14ac:dyDescent="0.25">
      <c r="A100">
        <v>1748</v>
      </c>
      <c r="B100" t="s">
        <v>146</v>
      </c>
      <c r="C100" t="s">
        <v>56</v>
      </c>
      <c r="D100" t="s">
        <v>35</v>
      </c>
      <c r="F100">
        <v>30</v>
      </c>
      <c r="J100">
        <f t="shared" si="4"/>
        <v>3360</v>
      </c>
      <c r="L100">
        <f t="shared" si="5"/>
        <v>1.5</v>
      </c>
    </row>
    <row r="101" spans="1:12" x14ac:dyDescent="0.25">
      <c r="A101">
        <v>1748</v>
      </c>
      <c r="B101" t="s">
        <v>62</v>
      </c>
      <c r="C101" t="s">
        <v>56</v>
      </c>
      <c r="D101" t="s">
        <v>35</v>
      </c>
      <c r="E101">
        <v>4</v>
      </c>
      <c r="F101">
        <v>10</v>
      </c>
      <c r="J101">
        <f t="shared" si="4"/>
        <v>10080</v>
      </c>
      <c r="L101">
        <f t="shared" si="5"/>
        <v>4.5</v>
      </c>
    </row>
    <row r="102" spans="1:12" x14ac:dyDescent="0.25">
      <c r="A102">
        <v>1748</v>
      </c>
      <c r="B102" t="s">
        <v>63</v>
      </c>
      <c r="C102" t="s">
        <v>56</v>
      </c>
      <c r="D102" t="s">
        <v>35</v>
      </c>
      <c r="F102">
        <v>18</v>
      </c>
      <c r="H102">
        <v>13</v>
      </c>
      <c r="J102">
        <f t="shared" si="4"/>
        <v>2029</v>
      </c>
      <c r="L102">
        <f t="shared" si="5"/>
        <v>0.90580357142857137</v>
      </c>
    </row>
    <row r="103" spans="1:12" x14ac:dyDescent="0.25">
      <c r="A103">
        <v>1748</v>
      </c>
      <c r="B103" t="s">
        <v>89</v>
      </c>
      <c r="C103" t="s">
        <v>56</v>
      </c>
      <c r="D103" t="s">
        <v>35</v>
      </c>
      <c r="F103">
        <v>23</v>
      </c>
      <c r="J103">
        <f t="shared" si="4"/>
        <v>2576</v>
      </c>
      <c r="L103">
        <f t="shared" si="5"/>
        <v>1.1499999999999999</v>
      </c>
    </row>
    <row r="104" spans="1:12" x14ac:dyDescent="0.25">
      <c r="A104">
        <v>1748</v>
      </c>
      <c r="B104" t="s">
        <v>70</v>
      </c>
      <c r="C104" t="s">
        <v>56</v>
      </c>
      <c r="D104" t="s">
        <v>35</v>
      </c>
      <c r="J104">
        <f t="shared" si="4"/>
        <v>0</v>
      </c>
      <c r="L104">
        <f t="shared" si="5"/>
        <v>0</v>
      </c>
    </row>
    <row r="105" spans="1:12" x14ac:dyDescent="0.25">
      <c r="A105">
        <v>1748</v>
      </c>
      <c r="B105" t="s">
        <v>64</v>
      </c>
      <c r="C105" t="s">
        <v>56</v>
      </c>
      <c r="D105" t="s">
        <v>35</v>
      </c>
      <c r="J105">
        <f t="shared" si="4"/>
        <v>0</v>
      </c>
      <c r="L105">
        <f t="shared" si="5"/>
        <v>0</v>
      </c>
    </row>
    <row r="106" spans="1:12" x14ac:dyDescent="0.25">
      <c r="A106">
        <v>1748</v>
      </c>
      <c r="B106" t="s">
        <v>65</v>
      </c>
      <c r="C106" t="s">
        <v>56</v>
      </c>
      <c r="D106" t="s">
        <v>35</v>
      </c>
      <c r="J106">
        <f t="shared" si="4"/>
        <v>0</v>
      </c>
      <c r="L106">
        <f t="shared" si="5"/>
        <v>0</v>
      </c>
    </row>
  </sheetData>
  <autoFilter ref="A1:N59" xr:uid="{AAD1F908-12B8-4B3A-A65D-184CD229ACD4}">
    <sortState xmlns:xlrd2="http://schemas.microsoft.com/office/spreadsheetml/2017/richdata2" ref="A2:N59">
      <sortCondition ref="B1:B5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8"/>
  <sheetViews>
    <sheetView workbookViewId="0">
      <selection activeCell="H12" sqref="H12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1748</v>
      </c>
      <c r="B2" t="s">
        <v>66</v>
      </c>
      <c r="C2" t="s">
        <v>67</v>
      </c>
      <c r="D2" t="s">
        <v>33</v>
      </c>
      <c r="J2">
        <f t="shared" ref="J2:J28" si="0">(E2*2240)+(F2*112)+(G2*28)+H2</f>
        <v>0</v>
      </c>
      <c r="L2">
        <f t="shared" ref="L2:L28" si="1">J2/2240</f>
        <v>0</v>
      </c>
    </row>
    <row r="3" spans="1:12" x14ac:dyDescent="0.25">
      <c r="A3">
        <v>1748</v>
      </c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1748</v>
      </c>
      <c r="B4" t="s">
        <v>8</v>
      </c>
      <c r="C4" t="s">
        <v>67</v>
      </c>
      <c r="D4" t="s">
        <v>33</v>
      </c>
      <c r="E4" s="1"/>
      <c r="F4" s="2">
        <v>1</v>
      </c>
      <c r="G4" s="2">
        <v>2</v>
      </c>
      <c r="H4">
        <v>20</v>
      </c>
      <c r="I4" s="1"/>
      <c r="J4">
        <f t="shared" si="0"/>
        <v>188</v>
      </c>
      <c r="K4" s="1"/>
      <c r="L4">
        <f t="shared" si="1"/>
        <v>8.3928571428571422E-2</v>
      </c>
    </row>
    <row r="5" spans="1:12" x14ac:dyDescent="0.25">
      <c r="A5">
        <v>1748</v>
      </c>
      <c r="B5" t="s">
        <v>9</v>
      </c>
      <c r="C5" t="s">
        <v>67</v>
      </c>
      <c r="D5" t="s">
        <v>33</v>
      </c>
      <c r="H5">
        <f>1.25*200</f>
        <v>250</v>
      </c>
      <c r="I5" t="s">
        <v>124</v>
      </c>
      <c r="J5">
        <f t="shared" si="0"/>
        <v>250</v>
      </c>
      <c r="L5">
        <f t="shared" si="1"/>
        <v>0.11160714285714286</v>
      </c>
    </row>
    <row r="6" spans="1:12" x14ac:dyDescent="0.25">
      <c r="A6">
        <v>1748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1748</v>
      </c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1748</v>
      </c>
      <c r="B8" t="s">
        <v>27</v>
      </c>
      <c r="C8" t="s">
        <v>67</v>
      </c>
      <c r="D8" t="s">
        <v>33</v>
      </c>
      <c r="H8">
        <v>1890.5</v>
      </c>
      <c r="I8" t="s">
        <v>123</v>
      </c>
      <c r="J8">
        <f t="shared" si="0"/>
        <v>1890.5</v>
      </c>
      <c r="K8" s="1"/>
      <c r="L8">
        <f t="shared" si="1"/>
        <v>0.84397321428571426</v>
      </c>
    </row>
    <row r="9" spans="1:12" x14ac:dyDescent="0.25">
      <c r="A9">
        <v>1748</v>
      </c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1748</v>
      </c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1748</v>
      </c>
      <c r="B11" t="s">
        <v>18</v>
      </c>
      <c r="C11" t="s">
        <v>67</v>
      </c>
      <c r="D11" t="s">
        <v>33</v>
      </c>
      <c r="H11">
        <v>1470.5</v>
      </c>
      <c r="I11" t="s">
        <v>122</v>
      </c>
      <c r="J11">
        <f t="shared" si="0"/>
        <v>1470.5</v>
      </c>
      <c r="L11">
        <f t="shared" si="1"/>
        <v>0.65647321428571426</v>
      </c>
    </row>
    <row r="12" spans="1:12" x14ac:dyDescent="0.25">
      <c r="A12">
        <v>1748</v>
      </c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1748</v>
      </c>
      <c r="B13" t="s">
        <v>21</v>
      </c>
      <c r="C13" t="s">
        <v>67</v>
      </c>
      <c r="D13" t="s">
        <v>33</v>
      </c>
      <c r="H13">
        <v>12</v>
      </c>
      <c r="J13">
        <f t="shared" si="0"/>
        <v>12</v>
      </c>
      <c r="L13">
        <f t="shared" si="1"/>
        <v>5.3571428571428572E-3</v>
      </c>
    </row>
    <row r="14" spans="1:12" x14ac:dyDescent="0.25">
      <c r="A14">
        <v>1748</v>
      </c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1748</v>
      </c>
      <c r="B15" t="s">
        <v>61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1748</v>
      </c>
      <c r="B16" t="s">
        <v>62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1748</v>
      </c>
      <c r="B17" t="s">
        <v>63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1748</v>
      </c>
      <c r="B18" t="s">
        <v>6</v>
      </c>
      <c r="C18" t="s">
        <v>67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1748</v>
      </c>
      <c r="B19" t="s">
        <v>12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1748</v>
      </c>
      <c r="B20" t="s">
        <v>41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27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1748</v>
      </c>
      <c r="B22" t="s">
        <v>17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1748</v>
      </c>
      <c r="B23" t="s">
        <v>19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1748</v>
      </c>
      <c r="B24" t="s">
        <v>54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1748</v>
      </c>
      <c r="B25" t="s">
        <v>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1748</v>
      </c>
      <c r="B26" t="s">
        <v>8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1748</v>
      </c>
      <c r="B27" t="s">
        <v>61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1748</v>
      </c>
      <c r="B28" t="s">
        <v>63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6"/>
  <sheetViews>
    <sheetView topLeftCell="A112" zoomScaleNormal="100" workbookViewId="0">
      <selection activeCell="H115" sqref="H1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1748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1748</v>
      </c>
      <c r="B3" t="s">
        <v>57</v>
      </c>
      <c r="C3" t="s">
        <v>68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2" x14ac:dyDescent="0.25">
      <c r="A4">
        <v>1748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1748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1748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1748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1748</v>
      </c>
      <c r="B8" t="s">
        <v>113</v>
      </c>
      <c r="C8" t="s">
        <v>68</v>
      </c>
      <c r="D8" t="s">
        <v>33</v>
      </c>
      <c r="H8">
        <v>246</v>
      </c>
      <c r="J8">
        <f t="shared" si="0"/>
        <v>246</v>
      </c>
      <c r="L8">
        <f t="shared" si="1"/>
        <v>0.10982142857142857</v>
      </c>
    </row>
    <row r="9" spans="1:12" x14ac:dyDescent="0.25">
      <c r="A9">
        <v>1748</v>
      </c>
      <c r="B9" t="s">
        <v>101</v>
      </c>
      <c r="C9" t="s">
        <v>68</v>
      </c>
      <c r="D9" t="s">
        <v>33</v>
      </c>
      <c r="H9">
        <v>31.5</v>
      </c>
      <c r="J9">
        <f t="shared" si="0"/>
        <v>31.5</v>
      </c>
      <c r="L9">
        <f t="shared" si="1"/>
        <v>1.40625E-2</v>
      </c>
    </row>
    <row r="10" spans="1:12" x14ac:dyDescent="0.25">
      <c r="A10">
        <v>1748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1748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1748</v>
      </c>
      <c r="B12" t="s">
        <v>5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1748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1748</v>
      </c>
      <c r="B14" t="s">
        <v>6</v>
      </c>
      <c r="C14" t="s">
        <v>68</v>
      </c>
      <c r="D14" t="s">
        <v>33</v>
      </c>
      <c r="F14">
        <v>223527</v>
      </c>
      <c r="H14">
        <v>18</v>
      </c>
      <c r="J14">
        <f t="shared" si="0"/>
        <v>25035042</v>
      </c>
      <c r="L14">
        <f t="shared" si="1"/>
        <v>11176.358035714286</v>
      </c>
    </row>
    <row r="15" spans="1:12" x14ac:dyDescent="0.25">
      <c r="A15">
        <v>1748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1748</v>
      </c>
      <c r="B16" t="s">
        <v>60</v>
      </c>
      <c r="C16" t="s">
        <v>68</v>
      </c>
      <c r="D16" t="s">
        <v>33</v>
      </c>
      <c r="H16">
        <v>2</v>
      </c>
      <c r="J16">
        <f t="shared" si="0"/>
        <v>2</v>
      </c>
      <c r="L16">
        <f t="shared" si="1"/>
        <v>8.9285714285714283E-4</v>
      </c>
    </row>
    <row r="17" spans="1:12" x14ac:dyDescent="0.25">
      <c r="A17">
        <v>1748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1748</v>
      </c>
      <c r="B18" t="s">
        <v>37</v>
      </c>
      <c r="C18" t="s">
        <v>68</v>
      </c>
      <c r="D18" t="s">
        <v>33</v>
      </c>
      <c r="H18">
        <v>20</v>
      </c>
      <c r="J18">
        <f t="shared" si="0"/>
        <v>20</v>
      </c>
      <c r="L18">
        <f t="shared" si="1"/>
        <v>8.9285714285714281E-3</v>
      </c>
    </row>
    <row r="19" spans="1:12" x14ac:dyDescent="0.25">
      <c r="A19">
        <v>1748</v>
      </c>
      <c r="B19" t="s">
        <v>8</v>
      </c>
      <c r="C19" t="s">
        <v>68</v>
      </c>
      <c r="D19" t="s">
        <v>33</v>
      </c>
      <c r="F19">
        <v>4590</v>
      </c>
      <c r="G19">
        <v>1</v>
      </c>
      <c r="H19">
        <v>10</v>
      </c>
      <c r="J19">
        <f t="shared" si="0"/>
        <v>514118</v>
      </c>
      <c r="L19">
        <f t="shared" si="1"/>
        <v>229.51696428571429</v>
      </c>
    </row>
    <row r="20" spans="1:12" x14ac:dyDescent="0.25">
      <c r="A20">
        <v>1748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77</v>
      </c>
      <c r="C21" t="s">
        <v>68</v>
      </c>
      <c r="D21" t="s">
        <v>33</v>
      </c>
      <c r="F21">
        <v>319</v>
      </c>
      <c r="G21">
        <v>1</v>
      </c>
      <c r="J21">
        <f t="shared" si="0"/>
        <v>35756</v>
      </c>
      <c r="L21">
        <f t="shared" si="1"/>
        <v>15.9625</v>
      </c>
    </row>
    <row r="22" spans="1:12" x14ac:dyDescent="0.25">
      <c r="A22">
        <v>1748</v>
      </c>
      <c r="B22" t="s">
        <v>78</v>
      </c>
      <c r="C22" t="s">
        <v>68</v>
      </c>
      <c r="D22" t="s">
        <v>33</v>
      </c>
      <c r="H22">
        <v>12261</v>
      </c>
      <c r="J22">
        <f t="shared" si="0"/>
        <v>12261</v>
      </c>
      <c r="L22">
        <f t="shared" si="1"/>
        <v>5.4736607142857139</v>
      </c>
    </row>
    <row r="23" spans="1:12" x14ac:dyDescent="0.25">
      <c r="A23">
        <v>1748</v>
      </c>
      <c r="B23" t="s">
        <v>46</v>
      </c>
      <c r="C23" t="s">
        <v>68</v>
      </c>
      <c r="D23" t="s">
        <v>33</v>
      </c>
      <c r="H23">
        <v>250</v>
      </c>
      <c r="J23">
        <f t="shared" si="0"/>
        <v>250</v>
      </c>
      <c r="L23">
        <f t="shared" si="1"/>
        <v>0.11160714285714286</v>
      </c>
    </row>
    <row r="24" spans="1:12" x14ac:dyDescent="0.25">
      <c r="A24">
        <v>1748</v>
      </c>
      <c r="B24" t="s">
        <v>9</v>
      </c>
      <c r="C24" t="s">
        <v>68</v>
      </c>
      <c r="D24" t="s">
        <v>33</v>
      </c>
      <c r="H24">
        <f>205*200</f>
        <v>41000</v>
      </c>
      <c r="I24" t="s">
        <v>130</v>
      </c>
      <c r="J24">
        <f t="shared" si="0"/>
        <v>41000</v>
      </c>
      <c r="L24">
        <f t="shared" si="1"/>
        <v>18.303571428571427</v>
      </c>
    </row>
    <row r="25" spans="1:12" x14ac:dyDescent="0.25">
      <c r="A25">
        <v>1748</v>
      </c>
      <c r="B25" t="s">
        <v>10</v>
      </c>
      <c r="C25" t="s">
        <v>68</v>
      </c>
      <c r="D25" t="s">
        <v>33</v>
      </c>
      <c r="F25">
        <v>1163</v>
      </c>
      <c r="G25">
        <v>1</v>
      </c>
      <c r="H25">
        <v>18</v>
      </c>
      <c r="J25">
        <f t="shared" si="0"/>
        <v>130302</v>
      </c>
      <c r="L25">
        <f t="shared" si="1"/>
        <v>58.170535714285712</v>
      </c>
    </row>
    <row r="26" spans="1:12" x14ac:dyDescent="0.25">
      <c r="A26">
        <v>1748</v>
      </c>
      <c r="B26" t="s">
        <v>11</v>
      </c>
      <c r="C26" t="s">
        <v>68</v>
      </c>
      <c r="D26" t="s">
        <v>33</v>
      </c>
      <c r="F26">
        <v>124</v>
      </c>
      <c r="G26">
        <v>2</v>
      </c>
      <c r="H26">
        <v>10</v>
      </c>
      <c r="J26">
        <f t="shared" si="0"/>
        <v>13954</v>
      </c>
      <c r="L26">
        <f t="shared" si="1"/>
        <v>6.2294642857142861</v>
      </c>
    </row>
    <row r="27" spans="1:12" x14ac:dyDescent="0.25">
      <c r="A27">
        <v>1748</v>
      </c>
      <c r="B27" t="s">
        <v>39</v>
      </c>
      <c r="C27" t="s">
        <v>68</v>
      </c>
      <c r="D27" t="s">
        <v>33</v>
      </c>
      <c r="H27">
        <v>250</v>
      </c>
      <c r="J27">
        <f t="shared" si="0"/>
        <v>250</v>
      </c>
      <c r="L27">
        <f t="shared" si="1"/>
        <v>0.11160714285714286</v>
      </c>
    </row>
    <row r="28" spans="1:12" x14ac:dyDescent="0.25">
      <c r="A28">
        <v>1748</v>
      </c>
      <c r="B28" t="s">
        <v>79</v>
      </c>
      <c r="C28" t="s">
        <v>68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1748</v>
      </c>
      <c r="B29" t="s">
        <v>103</v>
      </c>
      <c r="C29" t="s">
        <v>68</v>
      </c>
      <c r="D29" t="s">
        <v>33</v>
      </c>
      <c r="H29">
        <v>522</v>
      </c>
      <c r="J29">
        <f t="shared" si="0"/>
        <v>522</v>
      </c>
      <c r="L29">
        <f t="shared" si="1"/>
        <v>0.23303571428571429</v>
      </c>
    </row>
    <row r="30" spans="1:12" x14ac:dyDescent="0.25">
      <c r="A30">
        <v>1748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1748</v>
      </c>
      <c r="B31" t="s">
        <v>97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1748</v>
      </c>
      <c r="B32" t="s">
        <v>12</v>
      </c>
      <c r="C32" t="s">
        <v>68</v>
      </c>
      <c r="D32" t="s">
        <v>33</v>
      </c>
      <c r="H32">
        <v>181270</v>
      </c>
      <c r="J32">
        <f t="shared" si="0"/>
        <v>181270</v>
      </c>
      <c r="L32">
        <f t="shared" si="1"/>
        <v>80.924107142857139</v>
      </c>
    </row>
    <row r="33" spans="1:12" x14ac:dyDescent="0.25">
      <c r="A33">
        <v>1748</v>
      </c>
      <c r="B33" t="s">
        <v>82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1748</v>
      </c>
      <c r="B34" t="s">
        <v>34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1748</v>
      </c>
      <c r="B35" t="s">
        <v>13</v>
      </c>
      <c r="C35" t="s">
        <v>68</v>
      </c>
      <c r="D35" t="s">
        <v>33</v>
      </c>
      <c r="E35">
        <v>40</v>
      </c>
      <c r="F35">
        <v>11</v>
      </c>
      <c r="G35">
        <v>1</v>
      </c>
      <c r="H35">
        <v>18</v>
      </c>
      <c r="J35">
        <f t="shared" si="0"/>
        <v>90878</v>
      </c>
      <c r="L35">
        <f t="shared" si="1"/>
        <v>40.570535714285711</v>
      </c>
    </row>
    <row r="36" spans="1:12" x14ac:dyDescent="0.25">
      <c r="A36">
        <v>1748</v>
      </c>
      <c r="B36" t="s">
        <v>14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1748</v>
      </c>
      <c r="B37" t="s">
        <v>23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1748</v>
      </c>
      <c r="B38" t="s">
        <v>27</v>
      </c>
      <c r="C38" t="s">
        <v>68</v>
      </c>
      <c r="D38" t="s">
        <v>33</v>
      </c>
      <c r="H38">
        <v>49242.5</v>
      </c>
      <c r="I38" t="s">
        <v>128</v>
      </c>
      <c r="J38">
        <f t="shared" si="0"/>
        <v>49242.5</v>
      </c>
      <c r="L38">
        <f t="shared" si="1"/>
        <v>21.983258928571427</v>
      </c>
    </row>
    <row r="39" spans="1:12" x14ac:dyDescent="0.25">
      <c r="A39">
        <v>1748</v>
      </c>
      <c r="B39" t="s">
        <v>15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1748</v>
      </c>
      <c r="B40" t="s">
        <v>42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1748</v>
      </c>
      <c r="B41" t="s">
        <v>83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1748</v>
      </c>
      <c r="B42" t="s">
        <v>47</v>
      </c>
      <c r="C42" t="s">
        <v>68</v>
      </c>
      <c r="D42" t="s">
        <v>33</v>
      </c>
      <c r="H42">
        <v>285</v>
      </c>
      <c r="I42" t="s">
        <v>126</v>
      </c>
      <c r="J42">
        <f t="shared" si="0"/>
        <v>285</v>
      </c>
      <c r="L42">
        <f t="shared" si="1"/>
        <v>0.12723214285714285</v>
      </c>
    </row>
    <row r="43" spans="1:12" x14ac:dyDescent="0.25">
      <c r="A43">
        <v>1748</v>
      </c>
      <c r="B43" t="s">
        <v>16</v>
      </c>
      <c r="C43" t="s">
        <v>68</v>
      </c>
      <c r="D43" t="s">
        <v>33</v>
      </c>
      <c r="H43">
        <v>50410</v>
      </c>
      <c r="J43">
        <f t="shared" si="0"/>
        <v>50410</v>
      </c>
      <c r="L43">
        <f t="shared" si="1"/>
        <v>22.504464285714285</v>
      </c>
    </row>
    <row r="44" spans="1:12" x14ac:dyDescent="0.25">
      <c r="A44">
        <v>1748</v>
      </c>
      <c r="B44" t="s">
        <v>110</v>
      </c>
      <c r="C44" t="s">
        <v>68</v>
      </c>
      <c r="D44" t="s">
        <v>33</v>
      </c>
      <c r="H44">
        <v>4101</v>
      </c>
      <c r="I44" t="s">
        <v>129</v>
      </c>
      <c r="J44">
        <f t="shared" si="0"/>
        <v>4101</v>
      </c>
      <c r="L44">
        <f t="shared" si="1"/>
        <v>1.8308035714285715</v>
      </c>
    </row>
    <row r="45" spans="1:12" x14ac:dyDescent="0.25">
      <c r="A45">
        <v>1748</v>
      </c>
      <c r="B45" t="s">
        <v>125</v>
      </c>
      <c r="C45" t="s">
        <v>68</v>
      </c>
      <c r="D45" t="s">
        <v>33</v>
      </c>
      <c r="H45">
        <v>73</v>
      </c>
      <c r="J45">
        <f t="shared" si="0"/>
        <v>73</v>
      </c>
      <c r="L45">
        <f t="shared" si="1"/>
        <v>3.2589285714285716E-2</v>
      </c>
    </row>
    <row r="46" spans="1:12" x14ac:dyDescent="0.25">
      <c r="A46">
        <v>1748</v>
      </c>
      <c r="B46" t="s">
        <v>17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1748</v>
      </c>
      <c r="B47" t="s">
        <v>18</v>
      </c>
      <c r="C47" t="s">
        <v>68</v>
      </c>
      <c r="D47" t="s">
        <v>33</v>
      </c>
      <c r="H47">
        <v>3612077.5</v>
      </c>
      <c r="I47" t="s">
        <v>127</v>
      </c>
      <c r="J47">
        <f t="shared" si="0"/>
        <v>3612077.5</v>
      </c>
      <c r="L47">
        <f t="shared" si="1"/>
        <v>1612.5345982142858</v>
      </c>
    </row>
    <row r="48" spans="1:12" x14ac:dyDescent="0.25">
      <c r="A48">
        <v>1748</v>
      </c>
      <c r="B48" t="s">
        <v>26</v>
      </c>
      <c r="C48" t="s">
        <v>68</v>
      </c>
      <c r="D48" t="s">
        <v>33</v>
      </c>
      <c r="H48">
        <v>800</v>
      </c>
      <c r="J48">
        <f t="shared" si="0"/>
        <v>800</v>
      </c>
      <c r="L48">
        <f t="shared" si="1"/>
        <v>0.35714285714285715</v>
      </c>
    </row>
    <row r="49" spans="1:12" x14ac:dyDescent="0.25">
      <c r="A49">
        <v>1748</v>
      </c>
      <c r="B49" t="s">
        <v>84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1748</v>
      </c>
      <c r="B50" t="s">
        <v>19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1748</v>
      </c>
      <c r="B51" t="s">
        <v>45</v>
      </c>
      <c r="C51" t="s">
        <v>68</v>
      </c>
      <c r="D51" t="s">
        <v>33</v>
      </c>
      <c r="H51">
        <v>171</v>
      </c>
      <c r="J51">
        <f t="shared" si="0"/>
        <v>171</v>
      </c>
      <c r="L51">
        <f t="shared" si="1"/>
        <v>7.6339285714285721E-2</v>
      </c>
    </row>
    <row r="52" spans="1:12" x14ac:dyDescent="0.25">
      <c r="A52">
        <v>1748</v>
      </c>
      <c r="B52" t="s">
        <v>85</v>
      </c>
      <c r="C52" t="s">
        <v>68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1748</v>
      </c>
      <c r="B53" t="s">
        <v>54</v>
      </c>
      <c r="C53" t="s">
        <v>68</v>
      </c>
      <c r="D53" t="s">
        <v>33</v>
      </c>
      <c r="H53">
        <v>1327</v>
      </c>
      <c r="J53">
        <f t="shared" si="0"/>
        <v>1327</v>
      </c>
      <c r="L53">
        <f t="shared" si="1"/>
        <v>0.59241071428571423</v>
      </c>
    </row>
    <row r="54" spans="1:12" x14ac:dyDescent="0.25">
      <c r="A54">
        <v>1748</v>
      </c>
      <c r="B54" t="s">
        <v>95</v>
      </c>
      <c r="C54" t="s">
        <v>68</v>
      </c>
      <c r="D54" t="s">
        <v>33</v>
      </c>
      <c r="H54">
        <v>1572</v>
      </c>
      <c r="J54">
        <f t="shared" si="0"/>
        <v>1572</v>
      </c>
      <c r="L54">
        <f t="shared" si="1"/>
        <v>0.70178571428571423</v>
      </c>
    </row>
    <row r="55" spans="1:12" x14ac:dyDescent="0.25">
      <c r="A55">
        <v>1748</v>
      </c>
      <c r="B55" t="s">
        <v>20</v>
      </c>
      <c r="C55" t="s">
        <v>68</v>
      </c>
      <c r="D55" t="s">
        <v>33</v>
      </c>
      <c r="H55">
        <v>2259</v>
      </c>
      <c r="J55">
        <f t="shared" si="0"/>
        <v>2259</v>
      </c>
      <c r="L55">
        <f t="shared" si="1"/>
        <v>1.0084821428571429</v>
      </c>
    </row>
    <row r="56" spans="1:12" x14ac:dyDescent="0.25">
      <c r="A56">
        <v>1748</v>
      </c>
      <c r="B56" t="s">
        <v>21</v>
      </c>
      <c r="C56" t="s">
        <v>68</v>
      </c>
      <c r="D56" t="s">
        <v>33</v>
      </c>
      <c r="H56">
        <v>4052</v>
      </c>
      <c r="J56">
        <f t="shared" si="0"/>
        <v>4052</v>
      </c>
      <c r="L56">
        <f t="shared" si="1"/>
        <v>1.8089285714285714</v>
      </c>
    </row>
    <row r="57" spans="1:12" x14ac:dyDescent="0.25">
      <c r="A57">
        <v>1748</v>
      </c>
      <c r="B57" t="s">
        <v>90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1748</v>
      </c>
      <c r="B58" t="s">
        <v>22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1748</v>
      </c>
      <c r="B59" t="s">
        <v>61</v>
      </c>
      <c r="C59" t="s">
        <v>68</v>
      </c>
      <c r="D59" t="s">
        <v>33</v>
      </c>
      <c r="E59">
        <v>15</v>
      </c>
      <c r="F59">
        <v>12</v>
      </c>
      <c r="J59">
        <f t="shared" si="0"/>
        <v>34944</v>
      </c>
      <c r="L59">
        <f t="shared" si="1"/>
        <v>15.6</v>
      </c>
    </row>
    <row r="60" spans="1:12" x14ac:dyDescent="0.25">
      <c r="A60">
        <v>1748</v>
      </c>
      <c r="B60" t="s">
        <v>98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1748</v>
      </c>
      <c r="B61" t="s">
        <v>87</v>
      </c>
      <c r="C61" t="s">
        <v>68</v>
      </c>
      <c r="D61" t="s">
        <v>33</v>
      </c>
      <c r="E61">
        <v>59</v>
      </c>
      <c r="F61">
        <v>9</v>
      </c>
      <c r="G61">
        <v>1</v>
      </c>
      <c r="J61">
        <f t="shared" si="0"/>
        <v>133196</v>
      </c>
      <c r="L61">
        <f t="shared" si="1"/>
        <v>59.462499999999999</v>
      </c>
    </row>
    <row r="62" spans="1:12" x14ac:dyDescent="0.25">
      <c r="A62">
        <v>1748</v>
      </c>
      <c r="B62" t="s">
        <v>62</v>
      </c>
      <c r="C62" t="s">
        <v>68</v>
      </c>
      <c r="D62" t="s">
        <v>33</v>
      </c>
      <c r="E62">
        <v>527</v>
      </c>
      <c r="F62">
        <v>18</v>
      </c>
      <c r="G62">
        <v>3</v>
      </c>
      <c r="H62">
        <v>16</v>
      </c>
      <c r="J62">
        <f t="shared" si="0"/>
        <v>1182596</v>
      </c>
      <c r="L62">
        <f t="shared" si="1"/>
        <v>527.94464285714287</v>
      </c>
    </row>
    <row r="63" spans="1:12" x14ac:dyDescent="0.25">
      <c r="A63">
        <v>1748</v>
      </c>
      <c r="B63" t="s">
        <v>88</v>
      </c>
      <c r="C63" t="s">
        <v>68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1748</v>
      </c>
      <c r="B64" t="s">
        <v>63</v>
      </c>
      <c r="C64" t="s">
        <v>68</v>
      </c>
      <c r="D64" t="s">
        <v>33</v>
      </c>
      <c r="E64">
        <v>431</v>
      </c>
      <c r="G64">
        <v>1</v>
      </c>
      <c r="H64">
        <v>6</v>
      </c>
      <c r="J64">
        <f t="shared" si="0"/>
        <v>965474</v>
      </c>
      <c r="L64">
        <f t="shared" si="1"/>
        <v>431.01517857142858</v>
      </c>
    </row>
    <row r="65" spans="1:12" x14ac:dyDescent="0.25">
      <c r="A65">
        <v>1748</v>
      </c>
      <c r="B65" t="s">
        <v>89</v>
      </c>
      <c r="C65" t="s">
        <v>68</v>
      </c>
      <c r="D65" t="s">
        <v>33</v>
      </c>
      <c r="E65">
        <v>358</v>
      </c>
      <c r="F65">
        <v>13</v>
      </c>
      <c r="H65">
        <v>32041</v>
      </c>
      <c r="J65">
        <f t="shared" si="0"/>
        <v>835417</v>
      </c>
      <c r="L65">
        <f t="shared" si="1"/>
        <v>372.95401785714284</v>
      </c>
    </row>
    <row r="66" spans="1:12" x14ac:dyDescent="0.25">
      <c r="A66">
        <v>1748</v>
      </c>
      <c r="B66" t="s">
        <v>70</v>
      </c>
      <c r="C66" t="s">
        <v>68</v>
      </c>
      <c r="D66" t="s">
        <v>33</v>
      </c>
      <c r="E66">
        <v>9</v>
      </c>
      <c r="F66">
        <v>10</v>
      </c>
      <c r="J66">
        <f t="shared" si="0"/>
        <v>21280</v>
      </c>
      <c r="L66">
        <f t="shared" si="1"/>
        <v>9.5</v>
      </c>
    </row>
    <row r="67" spans="1:12" x14ac:dyDescent="0.25">
      <c r="A67">
        <v>1748</v>
      </c>
      <c r="B67" t="s">
        <v>64</v>
      </c>
      <c r="C67" t="s">
        <v>68</v>
      </c>
      <c r="D67" t="s">
        <v>33</v>
      </c>
      <c r="E67">
        <v>1</v>
      </c>
      <c r="F67">
        <v>18</v>
      </c>
      <c r="J67">
        <f t="shared" si="0"/>
        <v>4256</v>
      </c>
      <c r="L67">
        <f t="shared" si="1"/>
        <v>1.9</v>
      </c>
    </row>
    <row r="68" spans="1:12" x14ac:dyDescent="0.25">
      <c r="A68">
        <v>1748</v>
      </c>
      <c r="B68" t="s">
        <v>65</v>
      </c>
      <c r="C68" t="s">
        <v>68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1748</v>
      </c>
      <c r="B69" t="s">
        <v>55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1748</v>
      </c>
      <c r="B70" t="s">
        <v>57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1748</v>
      </c>
      <c r="B71" t="s">
        <v>36</v>
      </c>
      <c r="C71" t="s">
        <v>68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1748</v>
      </c>
      <c r="B72" t="s">
        <v>4</v>
      </c>
      <c r="C72" t="s">
        <v>68</v>
      </c>
      <c r="D72" t="s">
        <v>35</v>
      </c>
      <c r="J72">
        <f t="shared" ref="J72:J136" si="2">(E72*2240)+(F72*112)+(G72*28)+H72</f>
        <v>0</v>
      </c>
      <c r="L72">
        <f t="shared" ref="L72:L136" si="3">J72/2240</f>
        <v>0</v>
      </c>
    </row>
    <row r="73" spans="1:12" x14ac:dyDescent="0.25">
      <c r="A73">
        <v>1748</v>
      </c>
      <c r="B73" t="s">
        <v>58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1748</v>
      </c>
      <c r="B74" t="s">
        <v>69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1748</v>
      </c>
      <c r="B75" t="s">
        <v>113</v>
      </c>
      <c r="C75" t="s">
        <v>68</v>
      </c>
      <c r="D75" t="s">
        <v>35</v>
      </c>
      <c r="H75">
        <v>156</v>
      </c>
      <c r="J75">
        <f t="shared" si="2"/>
        <v>156</v>
      </c>
      <c r="L75">
        <f t="shared" si="3"/>
        <v>6.9642857142857145E-2</v>
      </c>
    </row>
    <row r="76" spans="1:12" x14ac:dyDescent="0.25">
      <c r="A76">
        <v>1748</v>
      </c>
      <c r="B76" t="s">
        <v>101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1748</v>
      </c>
      <c r="B77" t="s">
        <v>43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1748</v>
      </c>
      <c r="B78" t="s">
        <v>76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1748</v>
      </c>
      <c r="B79" t="s">
        <v>5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1748</v>
      </c>
      <c r="B80" t="s">
        <v>59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1748</v>
      </c>
      <c r="B81" t="s">
        <v>6</v>
      </c>
      <c r="C81" t="s">
        <v>68</v>
      </c>
      <c r="D81" t="s">
        <v>35</v>
      </c>
      <c r="F81">
        <v>157687</v>
      </c>
      <c r="G81">
        <v>1</v>
      </c>
      <c r="H81">
        <v>12</v>
      </c>
      <c r="J81">
        <f t="shared" si="2"/>
        <v>17660984</v>
      </c>
      <c r="L81">
        <f t="shared" si="3"/>
        <v>7884.3678571428572</v>
      </c>
    </row>
    <row r="82" spans="1:12" x14ac:dyDescent="0.25">
      <c r="A82">
        <v>1748</v>
      </c>
      <c r="B82" t="s">
        <v>60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1748</v>
      </c>
      <c r="B83" t="s">
        <v>38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1748</v>
      </c>
      <c r="B84" t="s">
        <v>37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1748</v>
      </c>
      <c r="B85" t="s">
        <v>8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1748</v>
      </c>
      <c r="B86" t="s">
        <v>40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1748</v>
      </c>
      <c r="B87" t="s">
        <v>77</v>
      </c>
      <c r="C87" t="s">
        <v>68</v>
      </c>
      <c r="D87" t="s">
        <v>35</v>
      </c>
      <c r="F87">
        <v>4</v>
      </c>
      <c r="H87">
        <v>11</v>
      </c>
      <c r="J87">
        <f t="shared" si="2"/>
        <v>459</v>
      </c>
      <c r="L87">
        <f t="shared" si="3"/>
        <v>0.20491071428571428</v>
      </c>
    </row>
    <row r="88" spans="1:12" x14ac:dyDescent="0.25">
      <c r="A88">
        <v>1748</v>
      </c>
      <c r="B88" t="s">
        <v>78</v>
      </c>
      <c r="C88" t="s">
        <v>68</v>
      </c>
      <c r="D88" t="s">
        <v>35</v>
      </c>
      <c r="H88">
        <v>2500</v>
      </c>
      <c r="J88">
        <f t="shared" si="2"/>
        <v>2500</v>
      </c>
      <c r="L88">
        <f t="shared" si="3"/>
        <v>1.1160714285714286</v>
      </c>
    </row>
    <row r="89" spans="1:12" x14ac:dyDescent="0.25">
      <c r="A89">
        <v>1748</v>
      </c>
      <c r="B89" t="s">
        <v>46</v>
      </c>
      <c r="C89" t="s">
        <v>68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1748</v>
      </c>
      <c r="B90" t="s">
        <v>9</v>
      </c>
      <c r="C90" t="s">
        <v>68</v>
      </c>
      <c r="D90" t="s">
        <v>35</v>
      </c>
      <c r="H90">
        <f>971*200</f>
        <v>194200</v>
      </c>
      <c r="I90" t="s">
        <v>155</v>
      </c>
      <c r="J90">
        <f t="shared" si="2"/>
        <v>194200</v>
      </c>
      <c r="L90">
        <f t="shared" si="3"/>
        <v>86.696428571428569</v>
      </c>
    </row>
    <row r="91" spans="1:12" x14ac:dyDescent="0.25">
      <c r="A91">
        <v>1748</v>
      </c>
      <c r="B91" t="s">
        <v>10</v>
      </c>
      <c r="C91" t="s">
        <v>68</v>
      </c>
      <c r="D91" t="s">
        <v>35</v>
      </c>
      <c r="F91">
        <v>800</v>
      </c>
      <c r="G91">
        <v>1</v>
      </c>
      <c r="H91">
        <v>23</v>
      </c>
      <c r="J91">
        <f t="shared" si="2"/>
        <v>89651</v>
      </c>
      <c r="L91">
        <f t="shared" si="3"/>
        <v>40.02276785714286</v>
      </c>
    </row>
    <row r="92" spans="1:12" x14ac:dyDescent="0.25">
      <c r="A92">
        <v>1748</v>
      </c>
      <c r="B92" t="s">
        <v>11</v>
      </c>
      <c r="C92" t="s">
        <v>68</v>
      </c>
      <c r="D92" t="s">
        <v>35</v>
      </c>
      <c r="F92">
        <v>442</v>
      </c>
      <c r="H92">
        <v>11</v>
      </c>
      <c r="J92">
        <f t="shared" si="2"/>
        <v>49515</v>
      </c>
      <c r="L92">
        <f t="shared" si="3"/>
        <v>22.104910714285715</v>
      </c>
    </row>
    <row r="93" spans="1:12" x14ac:dyDescent="0.25">
      <c r="A93">
        <v>1748</v>
      </c>
      <c r="B93" t="s">
        <v>39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1748</v>
      </c>
      <c r="B94" t="s">
        <v>79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1748</v>
      </c>
      <c r="B95" t="s">
        <v>151</v>
      </c>
      <c r="C95" t="s">
        <v>68</v>
      </c>
      <c r="D95" t="s">
        <v>35</v>
      </c>
      <c r="H95">
        <v>60</v>
      </c>
      <c r="J95">
        <f t="shared" si="2"/>
        <v>60</v>
      </c>
      <c r="L95">
        <f t="shared" si="3"/>
        <v>2.6785714285714284E-2</v>
      </c>
    </row>
    <row r="96" spans="1:12" x14ac:dyDescent="0.25">
      <c r="A96">
        <v>1748</v>
      </c>
      <c r="B96" t="s">
        <v>103</v>
      </c>
      <c r="C96" t="s">
        <v>68</v>
      </c>
      <c r="D96" t="s">
        <v>35</v>
      </c>
      <c r="H96">
        <v>40</v>
      </c>
      <c r="J96">
        <f t="shared" si="2"/>
        <v>40</v>
      </c>
      <c r="L96">
        <f t="shared" si="3"/>
        <v>1.7857142857142856E-2</v>
      </c>
    </row>
    <row r="97" spans="1:12" x14ac:dyDescent="0.25">
      <c r="A97">
        <v>1748</v>
      </c>
      <c r="B97" t="s">
        <v>44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1748</v>
      </c>
      <c r="B98" t="s">
        <v>97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1748</v>
      </c>
      <c r="B99" t="s">
        <v>12</v>
      </c>
      <c r="C99" t="s">
        <v>68</v>
      </c>
      <c r="D99" t="s">
        <v>35</v>
      </c>
      <c r="H99">
        <v>96538</v>
      </c>
      <c r="J99">
        <f t="shared" si="2"/>
        <v>96538</v>
      </c>
      <c r="L99">
        <f t="shared" si="3"/>
        <v>43.097321428571426</v>
      </c>
    </row>
    <row r="100" spans="1:12" x14ac:dyDescent="0.25">
      <c r="A100">
        <v>1748</v>
      </c>
      <c r="B100" t="s">
        <v>82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1748</v>
      </c>
      <c r="B101" t="s">
        <v>34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1748</v>
      </c>
      <c r="B102" t="s">
        <v>13</v>
      </c>
      <c r="C102" t="s">
        <v>68</v>
      </c>
      <c r="D102" t="s">
        <v>35</v>
      </c>
      <c r="E102">
        <v>24</v>
      </c>
      <c r="F102">
        <v>3</v>
      </c>
      <c r="J102">
        <f t="shared" si="2"/>
        <v>54096</v>
      </c>
      <c r="L102">
        <f t="shared" si="3"/>
        <v>24.15</v>
      </c>
    </row>
    <row r="103" spans="1:12" x14ac:dyDescent="0.25">
      <c r="A103">
        <v>1748</v>
      </c>
      <c r="B103" t="s">
        <v>14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1748</v>
      </c>
      <c r="B104" t="s">
        <v>23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1748</v>
      </c>
      <c r="B105" t="s">
        <v>27</v>
      </c>
      <c r="C105" t="s">
        <v>68</v>
      </c>
      <c r="D105" t="s">
        <v>35</v>
      </c>
      <c r="H105">
        <v>16254</v>
      </c>
      <c r="I105" t="s">
        <v>154</v>
      </c>
      <c r="J105">
        <f t="shared" si="2"/>
        <v>16254</v>
      </c>
      <c r="L105">
        <f t="shared" si="3"/>
        <v>7.2562499999999996</v>
      </c>
    </row>
    <row r="106" spans="1:12" x14ac:dyDescent="0.25">
      <c r="A106">
        <v>1748</v>
      </c>
      <c r="B106" t="s">
        <v>15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1748</v>
      </c>
      <c r="B107" t="s">
        <v>93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1748</v>
      </c>
      <c r="B108" t="s">
        <v>42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1748</v>
      </c>
      <c r="B109" t="s">
        <v>83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1748</v>
      </c>
      <c r="B110" t="s">
        <v>47</v>
      </c>
      <c r="C110" t="s">
        <v>68</v>
      </c>
      <c r="D110" t="s">
        <v>35</v>
      </c>
      <c r="H110">
        <v>130</v>
      </c>
      <c r="I110" t="s">
        <v>152</v>
      </c>
      <c r="J110">
        <f t="shared" si="2"/>
        <v>130</v>
      </c>
      <c r="L110">
        <f t="shared" si="3"/>
        <v>5.8035714285714288E-2</v>
      </c>
    </row>
    <row r="111" spans="1:12" x14ac:dyDescent="0.25">
      <c r="A111">
        <v>1748</v>
      </c>
      <c r="B111" t="s">
        <v>16</v>
      </c>
      <c r="C111" t="s">
        <v>68</v>
      </c>
      <c r="D111" t="s">
        <v>35</v>
      </c>
      <c r="H111">
        <v>165920</v>
      </c>
      <c r="J111">
        <f t="shared" si="2"/>
        <v>165920</v>
      </c>
      <c r="L111">
        <f t="shared" si="3"/>
        <v>74.071428571428569</v>
      </c>
    </row>
    <row r="112" spans="1:12" x14ac:dyDescent="0.25">
      <c r="A112">
        <v>1748</v>
      </c>
      <c r="B112" t="s">
        <v>125</v>
      </c>
      <c r="C112" t="s">
        <v>68</v>
      </c>
      <c r="D112" t="s">
        <v>35</v>
      </c>
      <c r="H112">
        <v>11730</v>
      </c>
      <c r="J112">
        <f t="shared" si="2"/>
        <v>11730</v>
      </c>
      <c r="L112">
        <f t="shared" si="3"/>
        <v>5.2366071428571432</v>
      </c>
    </row>
    <row r="113" spans="1:12" x14ac:dyDescent="0.25">
      <c r="A113">
        <v>1748</v>
      </c>
      <c r="B113" t="s">
        <v>17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1748</v>
      </c>
      <c r="B114" t="s">
        <v>18</v>
      </c>
      <c r="C114" t="s">
        <v>68</v>
      </c>
      <c r="D114" t="s">
        <v>35</v>
      </c>
      <c r="H114">
        <v>864582</v>
      </c>
      <c r="I114" t="s">
        <v>153</v>
      </c>
      <c r="J114">
        <f t="shared" si="2"/>
        <v>864582</v>
      </c>
      <c r="L114">
        <f t="shared" si="3"/>
        <v>385.97410714285712</v>
      </c>
    </row>
    <row r="115" spans="1:12" x14ac:dyDescent="0.25">
      <c r="A115">
        <v>1748</v>
      </c>
      <c r="B115" t="s">
        <v>26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1748</v>
      </c>
      <c r="B116" t="s">
        <v>84</v>
      </c>
      <c r="C116" t="s">
        <v>68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1748</v>
      </c>
      <c r="B117" t="s">
        <v>19</v>
      </c>
      <c r="C117" t="s">
        <v>68</v>
      </c>
      <c r="D117" t="s">
        <v>35</v>
      </c>
      <c r="F117">
        <v>48</v>
      </c>
      <c r="H117">
        <v>5</v>
      </c>
      <c r="J117">
        <f t="shared" si="2"/>
        <v>5381</v>
      </c>
      <c r="L117">
        <f t="shared" si="3"/>
        <v>2.4022321428571427</v>
      </c>
    </row>
    <row r="118" spans="1:12" x14ac:dyDescent="0.25">
      <c r="A118">
        <v>1748</v>
      </c>
      <c r="B118" t="s">
        <v>45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1748</v>
      </c>
      <c r="B119" t="s">
        <v>85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1748</v>
      </c>
      <c r="B120" t="s">
        <v>54</v>
      </c>
      <c r="C120" t="s">
        <v>68</v>
      </c>
      <c r="D120" t="s">
        <v>35</v>
      </c>
      <c r="H120">
        <v>336</v>
      </c>
      <c r="J120">
        <f t="shared" si="2"/>
        <v>336</v>
      </c>
      <c r="L120">
        <f t="shared" si="3"/>
        <v>0.15</v>
      </c>
    </row>
    <row r="121" spans="1:12" x14ac:dyDescent="0.25">
      <c r="A121">
        <v>1748</v>
      </c>
      <c r="B121" t="s">
        <v>95</v>
      </c>
      <c r="C121" t="s">
        <v>68</v>
      </c>
      <c r="D121" t="s">
        <v>35</v>
      </c>
      <c r="H121">
        <v>137</v>
      </c>
      <c r="J121">
        <f t="shared" si="2"/>
        <v>137</v>
      </c>
      <c r="L121">
        <f t="shared" si="3"/>
        <v>6.1160714285714284E-2</v>
      </c>
    </row>
    <row r="122" spans="1:12" x14ac:dyDescent="0.25">
      <c r="A122">
        <v>1748</v>
      </c>
      <c r="B122" t="s">
        <v>20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1748</v>
      </c>
      <c r="B123" t="s">
        <v>21</v>
      </c>
      <c r="C123" t="s">
        <v>68</v>
      </c>
      <c r="D123" t="s">
        <v>35</v>
      </c>
      <c r="H123">
        <v>1249</v>
      </c>
      <c r="J123">
        <f t="shared" si="2"/>
        <v>1249</v>
      </c>
      <c r="L123">
        <f t="shared" si="3"/>
        <v>0.55758928571428568</v>
      </c>
    </row>
    <row r="124" spans="1:12" x14ac:dyDescent="0.25">
      <c r="A124">
        <v>1748</v>
      </c>
      <c r="B124" t="s">
        <v>90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1748</v>
      </c>
      <c r="B125" t="s">
        <v>22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1748</v>
      </c>
      <c r="B126" t="s">
        <v>61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1748</v>
      </c>
      <c r="B127" t="s">
        <v>91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1748</v>
      </c>
      <c r="B128" t="s">
        <v>98</v>
      </c>
      <c r="C128" t="s">
        <v>68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1748</v>
      </c>
      <c r="B129" t="s">
        <v>87</v>
      </c>
      <c r="C129" t="s">
        <v>68</v>
      </c>
      <c r="D129" t="s">
        <v>35</v>
      </c>
      <c r="E129">
        <v>11</v>
      </c>
      <c r="F129">
        <v>5</v>
      </c>
      <c r="J129">
        <f t="shared" si="2"/>
        <v>25200</v>
      </c>
      <c r="L129">
        <f t="shared" si="3"/>
        <v>11.25</v>
      </c>
    </row>
    <row r="130" spans="1:12" x14ac:dyDescent="0.25">
      <c r="A130">
        <v>1748</v>
      </c>
      <c r="B130" t="s">
        <v>62</v>
      </c>
      <c r="C130" t="s">
        <v>68</v>
      </c>
      <c r="D130" t="s">
        <v>35</v>
      </c>
      <c r="E130">
        <v>508</v>
      </c>
      <c r="F130">
        <v>5</v>
      </c>
      <c r="G130">
        <v>3</v>
      </c>
      <c r="H130">
        <v>18</v>
      </c>
      <c r="J130">
        <f t="shared" si="2"/>
        <v>1138582</v>
      </c>
      <c r="L130">
        <f t="shared" si="3"/>
        <v>508.29553571428573</v>
      </c>
    </row>
    <row r="131" spans="1:12" x14ac:dyDescent="0.25">
      <c r="A131">
        <v>1748</v>
      </c>
      <c r="B131" t="s">
        <v>88</v>
      </c>
      <c r="C131" t="s">
        <v>68</v>
      </c>
      <c r="D131" t="s">
        <v>35</v>
      </c>
      <c r="J131">
        <f t="shared" si="2"/>
        <v>0</v>
      </c>
      <c r="L131">
        <f t="shared" si="3"/>
        <v>0</v>
      </c>
    </row>
    <row r="132" spans="1:12" x14ac:dyDescent="0.25">
      <c r="A132">
        <v>1748</v>
      </c>
      <c r="B132" t="s">
        <v>63</v>
      </c>
      <c r="C132" t="s">
        <v>68</v>
      </c>
      <c r="D132" t="s">
        <v>35</v>
      </c>
      <c r="E132">
        <v>383</v>
      </c>
      <c r="F132">
        <v>1</v>
      </c>
      <c r="G132">
        <v>2</v>
      </c>
      <c r="H132">
        <v>17</v>
      </c>
      <c r="J132">
        <f t="shared" si="2"/>
        <v>858105</v>
      </c>
      <c r="L132">
        <f t="shared" si="3"/>
        <v>383.08258928571428</v>
      </c>
    </row>
    <row r="133" spans="1:12" x14ac:dyDescent="0.25">
      <c r="A133">
        <v>1748</v>
      </c>
      <c r="B133" t="s">
        <v>89</v>
      </c>
      <c r="C133" t="s">
        <v>68</v>
      </c>
      <c r="D133" t="s">
        <v>35</v>
      </c>
      <c r="E133">
        <v>260</v>
      </c>
      <c r="F133">
        <v>15</v>
      </c>
      <c r="H133">
        <v>6</v>
      </c>
      <c r="J133">
        <f t="shared" si="2"/>
        <v>584086</v>
      </c>
      <c r="L133">
        <f t="shared" si="3"/>
        <v>260.75267857142859</v>
      </c>
    </row>
    <row r="134" spans="1:12" x14ac:dyDescent="0.25">
      <c r="A134">
        <v>1748</v>
      </c>
      <c r="B134" t="s">
        <v>70</v>
      </c>
      <c r="C134" t="s">
        <v>68</v>
      </c>
      <c r="D134" t="s">
        <v>35</v>
      </c>
      <c r="J134">
        <f t="shared" si="2"/>
        <v>0</v>
      </c>
      <c r="L134">
        <f t="shared" si="3"/>
        <v>0</v>
      </c>
    </row>
    <row r="135" spans="1:12" x14ac:dyDescent="0.25">
      <c r="A135">
        <v>1748</v>
      </c>
      <c r="B135" t="s">
        <v>64</v>
      </c>
      <c r="C135" t="s">
        <v>68</v>
      </c>
      <c r="D135" t="s">
        <v>35</v>
      </c>
      <c r="E135">
        <v>26</v>
      </c>
      <c r="J135">
        <f t="shared" si="2"/>
        <v>58240</v>
      </c>
      <c r="L135">
        <f t="shared" si="3"/>
        <v>26</v>
      </c>
    </row>
    <row r="136" spans="1:12" x14ac:dyDescent="0.25">
      <c r="A136">
        <v>1748</v>
      </c>
      <c r="B136" t="s">
        <v>65</v>
      </c>
      <c r="C136" t="s">
        <v>68</v>
      </c>
      <c r="D136" t="s">
        <v>35</v>
      </c>
      <c r="J136">
        <f t="shared" si="2"/>
        <v>0</v>
      </c>
      <c r="L136">
        <f t="shared" si="3"/>
        <v>0</v>
      </c>
    </row>
  </sheetData>
  <autoFilter ref="A1:O64" xr:uid="{8C2F7725-5A61-4A1B-A740-CC887BCB0E68}">
    <sortState xmlns:xlrd2="http://schemas.microsoft.com/office/spreadsheetml/2017/richdata2" ref="A2:O64">
      <sortCondition ref="B1:B6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52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1748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1748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1748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1748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1748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1748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1748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1748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1748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1748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1748</v>
      </c>
      <c r="B12" t="s">
        <v>6</v>
      </c>
      <c r="C12" t="s">
        <v>72</v>
      </c>
      <c r="D12" t="s">
        <v>33</v>
      </c>
      <c r="F12">
        <v>41003</v>
      </c>
      <c r="G12">
        <v>1</v>
      </c>
      <c r="H12">
        <v>12</v>
      </c>
      <c r="J12">
        <f t="shared" si="0"/>
        <v>4592376</v>
      </c>
      <c r="L12">
        <f t="shared" si="1"/>
        <v>2050.167857142857</v>
      </c>
    </row>
    <row r="13" spans="1:15" x14ac:dyDescent="0.25">
      <c r="A13">
        <v>1748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1748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1748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1748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1748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1748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1748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1748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1748</v>
      </c>
      <c r="B22" t="s">
        <v>9</v>
      </c>
      <c r="C22" t="s">
        <v>72</v>
      </c>
      <c r="D22" t="s">
        <v>33</v>
      </c>
      <c r="H22">
        <f>76*200</f>
        <v>15200</v>
      </c>
      <c r="I22" t="s">
        <v>134</v>
      </c>
      <c r="J22">
        <f t="shared" si="0"/>
        <v>15200</v>
      </c>
      <c r="L22">
        <f t="shared" si="1"/>
        <v>6.7857142857142856</v>
      </c>
    </row>
    <row r="23" spans="1:12" x14ac:dyDescent="0.25">
      <c r="A23">
        <v>1748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1748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1748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1748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1748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1748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1748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1748</v>
      </c>
      <c r="B30" t="s">
        <v>12</v>
      </c>
      <c r="C30" t="s">
        <v>72</v>
      </c>
      <c r="D30" t="s">
        <v>33</v>
      </c>
      <c r="H30">
        <v>1900</v>
      </c>
      <c r="J30">
        <f t="shared" si="0"/>
        <v>1900</v>
      </c>
      <c r="L30">
        <f t="shared" si="1"/>
        <v>0.8482142857142857</v>
      </c>
    </row>
    <row r="31" spans="1:12" x14ac:dyDescent="0.25">
      <c r="A31">
        <v>1748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1748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1748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1748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1748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1748</v>
      </c>
      <c r="B36" t="s">
        <v>27</v>
      </c>
      <c r="C36" t="s">
        <v>72</v>
      </c>
      <c r="D36" t="s">
        <v>33</v>
      </c>
      <c r="H36">
        <v>3271</v>
      </c>
      <c r="I36" t="s">
        <v>133</v>
      </c>
      <c r="J36">
        <f t="shared" si="0"/>
        <v>3271</v>
      </c>
      <c r="L36">
        <f t="shared" si="1"/>
        <v>1.4602678571428571</v>
      </c>
    </row>
    <row r="37" spans="1:12" x14ac:dyDescent="0.25">
      <c r="A37">
        <v>1748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1748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1748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1748</v>
      </c>
      <c r="B40" t="s">
        <v>47</v>
      </c>
      <c r="C40" t="s">
        <v>72</v>
      </c>
      <c r="D40" t="s">
        <v>33</v>
      </c>
      <c r="H40">
        <v>20</v>
      </c>
      <c r="I40" t="s">
        <v>131</v>
      </c>
      <c r="J40">
        <f t="shared" si="0"/>
        <v>20</v>
      </c>
      <c r="L40">
        <f t="shared" si="1"/>
        <v>8.9285714285714281E-3</v>
      </c>
    </row>
    <row r="41" spans="1:12" x14ac:dyDescent="0.25">
      <c r="A41">
        <v>1748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1748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1748</v>
      </c>
      <c r="B43" t="s">
        <v>18</v>
      </c>
      <c r="C43" t="s">
        <v>72</v>
      </c>
      <c r="D43" t="s">
        <v>33</v>
      </c>
      <c r="H43">
        <v>30328</v>
      </c>
      <c r="I43" t="s">
        <v>132</v>
      </c>
      <c r="J43">
        <f t="shared" si="0"/>
        <v>30328</v>
      </c>
      <c r="L43">
        <f t="shared" si="1"/>
        <v>13.539285714285715</v>
      </c>
    </row>
    <row r="44" spans="1:12" x14ac:dyDescent="0.25">
      <c r="A44">
        <v>1748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1748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1748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1748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1748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1748</v>
      </c>
      <c r="B49" t="s">
        <v>54</v>
      </c>
      <c r="C49" t="s">
        <v>72</v>
      </c>
      <c r="D49" t="s">
        <v>33</v>
      </c>
      <c r="H49">
        <v>300</v>
      </c>
      <c r="J49">
        <f t="shared" si="0"/>
        <v>300</v>
      </c>
      <c r="L49">
        <f t="shared" si="1"/>
        <v>0.13392857142857142</v>
      </c>
    </row>
    <row r="50" spans="1:12" x14ac:dyDescent="0.25">
      <c r="A50">
        <v>1748</v>
      </c>
      <c r="B50" t="s">
        <v>95</v>
      </c>
      <c r="C50" t="s">
        <v>72</v>
      </c>
      <c r="D50" t="s">
        <v>33</v>
      </c>
      <c r="H50">
        <v>4</v>
      </c>
      <c r="J50">
        <f t="shared" si="0"/>
        <v>4</v>
      </c>
      <c r="L50">
        <f t="shared" si="1"/>
        <v>1.7857142857142857E-3</v>
      </c>
    </row>
    <row r="51" spans="1:12" x14ac:dyDescent="0.25">
      <c r="A51">
        <v>1748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1748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1748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1748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1748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1748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1748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1748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1748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1748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1748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1748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1748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1748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1748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1748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1748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1748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1748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1748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1748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1748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1748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1748</v>
      </c>
      <c r="B74" t="s">
        <v>6</v>
      </c>
      <c r="C74" t="s">
        <v>72</v>
      </c>
      <c r="D74" t="s">
        <v>35</v>
      </c>
      <c r="F74">
        <v>8464</v>
      </c>
      <c r="G74">
        <v>2</v>
      </c>
      <c r="H74">
        <v>15</v>
      </c>
      <c r="J74">
        <f t="shared" si="2"/>
        <v>948039</v>
      </c>
      <c r="L74">
        <f t="shared" si="3"/>
        <v>423.23169642857141</v>
      </c>
    </row>
    <row r="75" spans="1:12" x14ac:dyDescent="0.25">
      <c r="A75">
        <v>1748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1748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1748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1748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1748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1748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1748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1748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1748</v>
      </c>
      <c r="B83" t="s">
        <v>9</v>
      </c>
      <c r="C83" t="s">
        <v>72</v>
      </c>
      <c r="D83" t="s">
        <v>35</v>
      </c>
      <c r="H83">
        <f>151*200</f>
        <v>30200</v>
      </c>
      <c r="I83" t="s">
        <v>157</v>
      </c>
      <c r="J83">
        <f t="shared" si="2"/>
        <v>30200</v>
      </c>
      <c r="L83">
        <f t="shared" si="3"/>
        <v>13.482142857142858</v>
      </c>
    </row>
    <row r="84" spans="1:12" x14ac:dyDescent="0.25">
      <c r="A84">
        <v>1748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1748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1748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1748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1748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1748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1748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1748</v>
      </c>
      <c r="B91" t="s">
        <v>12</v>
      </c>
      <c r="C91" t="s">
        <v>72</v>
      </c>
      <c r="D91" t="s">
        <v>35</v>
      </c>
      <c r="H91">
        <v>80</v>
      </c>
      <c r="J91">
        <f t="shared" si="2"/>
        <v>80</v>
      </c>
      <c r="L91">
        <f t="shared" si="3"/>
        <v>3.5714285714285712E-2</v>
      </c>
    </row>
    <row r="92" spans="1:12" x14ac:dyDescent="0.25">
      <c r="A92">
        <v>1748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1748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1748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1748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1748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1748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1748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1748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1748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1748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1748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1748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1748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1748</v>
      </c>
      <c r="B105" t="s">
        <v>18</v>
      </c>
      <c r="C105" t="s">
        <v>72</v>
      </c>
      <c r="D105" t="s">
        <v>35</v>
      </c>
      <c r="H105">
        <v>46172</v>
      </c>
      <c r="I105" t="s">
        <v>156</v>
      </c>
      <c r="J105">
        <f t="shared" si="2"/>
        <v>46172</v>
      </c>
      <c r="L105">
        <f t="shared" si="3"/>
        <v>20.612500000000001</v>
      </c>
    </row>
    <row r="106" spans="1:12" x14ac:dyDescent="0.25">
      <c r="A106">
        <v>1748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1748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1748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1748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1748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1748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1748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1748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1748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1748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1748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1748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1748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1748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1748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1748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1748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1748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1748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1748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1748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7"/>
  <sheetViews>
    <sheetView topLeftCell="A17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1748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1748</v>
      </c>
      <c r="B3" t="s">
        <v>57</v>
      </c>
      <c r="C3" t="s">
        <v>73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1748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1748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1748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1748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1748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1748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1748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1748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1748</v>
      </c>
      <c r="B12" t="s">
        <v>6</v>
      </c>
      <c r="C12" t="s">
        <v>73</v>
      </c>
      <c r="D12" t="s">
        <v>33</v>
      </c>
      <c r="F12">
        <v>35382</v>
      </c>
      <c r="G12">
        <v>1</v>
      </c>
      <c r="H12">
        <v>12</v>
      </c>
      <c r="J12">
        <f t="shared" si="0"/>
        <v>3962824</v>
      </c>
      <c r="L12">
        <f t="shared" si="1"/>
        <v>1769.1178571428572</v>
      </c>
    </row>
    <row r="13" spans="1:15" x14ac:dyDescent="0.25">
      <c r="A13">
        <v>1748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1748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1748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1748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1748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1748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1748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1748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1748</v>
      </c>
      <c r="B22" t="s">
        <v>9</v>
      </c>
      <c r="C22" t="s">
        <v>73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1748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1748</v>
      </c>
      <c r="B24" t="s">
        <v>11</v>
      </c>
      <c r="C24" t="s">
        <v>73</v>
      </c>
      <c r="D24" t="s">
        <v>33</v>
      </c>
      <c r="F24">
        <v>3</v>
      </c>
      <c r="G24">
        <v>1</v>
      </c>
      <c r="H24">
        <v>20</v>
      </c>
      <c r="J24">
        <f t="shared" si="0"/>
        <v>384</v>
      </c>
      <c r="L24">
        <f t="shared" si="1"/>
        <v>0.17142857142857143</v>
      </c>
    </row>
    <row r="25" spans="1:12" x14ac:dyDescent="0.25">
      <c r="A25">
        <v>1748</v>
      </c>
      <c r="B25" t="s">
        <v>39</v>
      </c>
      <c r="C25" t="s">
        <v>73</v>
      </c>
      <c r="D25" t="s">
        <v>33</v>
      </c>
      <c r="H25">
        <v>27</v>
      </c>
      <c r="J25">
        <f t="shared" si="0"/>
        <v>27</v>
      </c>
      <c r="L25">
        <f t="shared" si="1"/>
        <v>1.2053571428571429E-2</v>
      </c>
    </row>
    <row r="26" spans="1:12" x14ac:dyDescent="0.25">
      <c r="A26">
        <v>1748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1748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1748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1748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1748</v>
      </c>
      <c r="B30" t="s">
        <v>12</v>
      </c>
      <c r="C30" t="s">
        <v>73</v>
      </c>
      <c r="D30" t="s">
        <v>33</v>
      </c>
      <c r="H30">
        <v>1200</v>
      </c>
      <c r="J30">
        <f t="shared" si="0"/>
        <v>1200</v>
      </c>
      <c r="L30">
        <f t="shared" si="1"/>
        <v>0.5357142857142857</v>
      </c>
    </row>
    <row r="31" spans="1:12" x14ac:dyDescent="0.25">
      <c r="A31">
        <v>1748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1748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1748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1748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1748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1748</v>
      </c>
      <c r="B36" t="s">
        <v>27</v>
      </c>
      <c r="C36" t="s">
        <v>73</v>
      </c>
      <c r="D36" t="s">
        <v>33</v>
      </c>
      <c r="H36">
        <v>1110.5</v>
      </c>
      <c r="I36" t="s">
        <v>137</v>
      </c>
      <c r="J36">
        <f t="shared" si="0"/>
        <v>1110.5</v>
      </c>
      <c r="L36">
        <f t="shared" si="1"/>
        <v>0.49575892857142856</v>
      </c>
    </row>
    <row r="37" spans="1:12" x14ac:dyDescent="0.25">
      <c r="A37">
        <v>1748</v>
      </c>
      <c r="B37" t="s">
        <v>15</v>
      </c>
      <c r="C37" t="s">
        <v>73</v>
      </c>
      <c r="D37" t="s">
        <v>33</v>
      </c>
      <c r="F37">
        <v>9</v>
      </c>
      <c r="G37">
        <v>2</v>
      </c>
      <c r="J37">
        <f t="shared" si="0"/>
        <v>1064</v>
      </c>
      <c r="L37">
        <f t="shared" si="1"/>
        <v>0.47499999999999998</v>
      </c>
    </row>
    <row r="38" spans="1:12" x14ac:dyDescent="0.25">
      <c r="A38">
        <v>1748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1748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1748</v>
      </c>
      <c r="B40" t="s">
        <v>47</v>
      </c>
      <c r="C40" t="s">
        <v>73</v>
      </c>
      <c r="D40" t="s">
        <v>33</v>
      </c>
      <c r="H40">
        <v>55</v>
      </c>
      <c r="I40" t="s">
        <v>135</v>
      </c>
      <c r="J40">
        <f t="shared" si="0"/>
        <v>55</v>
      </c>
      <c r="L40">
        <f t="shared" si="1"/>
        <v>2.4553571428571428E-2</v>
      </c>
    </row>
    <row r="41" spans="1:12" x14ac:dyDescent="0.25">
      <c r="A41">
        <v>1748</v>
      </c>
      <c r="B41" t="s">
        <v>16</v>
      </c>
      <c r="C41" t="s">
        <v>73</v>
      </c>
      <c r="D41" t="s">
        <v>33</v>
      </c>
      <c r="H41">
        <v>14300</v>
      </c>
      <c r="J41">
        <f t="shared" si="0"/>
        <v>14300</v>
      </c>
      <c r="L41">
        <f t="shared" si="1"/>
        <v>6.3839285714285712</v>
      </c>
    </row>
    <row r="42" spans="1:12" x14ac:dyDescent="0.25">
      <c r="A42">
        <v>1748</v>
      </c>
      <c r="B42" t="s">
        <v>106</v>
      </c>
      <c r="C42" t="s">
        <v>73</v>
      </c>
      <c r="D42" t="s">
        <v>33</v>
      </c>
      <c r="F42">
        <v>1</v>
      </c>
      <c r="H42">
        <v>14</v>
      </c>
      <c r="J42">
        <f t="shared" si="0"/>
        <v>126</v>
      </c>
      <c r="L42">
        <f t="shared" si="1"/>
        <v>5.6250000000000001E-2</v>
      </c>
    </row>
    <row r="43" spans="1:12" x14ac:dyDescent="0.25">
      <c r="A43">
        <v>1748</v>
      </c>
      <c r="B43" t="s">
        <v>17</v>
      </c>
      <c r="C43" t="s">
        <v>73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1748</v>
      </c>
      <c r="B44" t="s">
        <v>18</v>
      </c>
      <c r="C44" t="s">
        <v>73</v>
      </c>
      <c r="D44" t="s">
        <v>33</v>
      </c>
      <c r="H44">
        <v>23971</v>
      </c>
      <c r="I44" t="s">
        <v>136</v>
      </c>
      <c r="J44">
        <f t="shared" si="0"/>
        <v>23971</v>
      </c>
      <c r="L44">
        <f t="shared" si="1"/>
        <v>10.701339285714285</v>
      </c>
    </row>
    <row r="45" spans="1:12" x14ac:dyDescent="0.25">
      <c r="A45">
        <v>1748</v>
      </c>
      <c r="B45" t="s">
        <v>26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1748</v>
      </c>
      <c r="B46" t="s">
        <v>84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1748</v>
      </c>
      <c r="B47" t="s">
        <v>19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1748</v>
      </c>
      <c r="B48" t="s">
        <v>45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1748</v>
      </c>
      <c r="B49" t="s">
        <v>85</v>
      </c>
      <c r="C49" t="s">
        <v>73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1748</v>
      </c>
      <c r="B50" t="s">
        <v>54</v>
      </c>
      <c r="C50" t="s">
        <v>73</v>
      </c>
      <c r="D50" t="s">
        <v>33</v>
      </c>
      <c r="H50">
        <v>155</v>
      </c>
      <c r="J50">
        <f t="shared" si="0"/>
        <v>155</v>
      </c>
      <c r="L50">
        <f t="shared" si="1"/>
        <v>6.9196428571428575E-2</v>
      </c>
    </row>
    <row r="51" spans="1:12" x14ac:dyDescent="0.25">
      <c r="A51">
        <v>1748</v>
      </c>
      <c r="B51" t="s">
        <v>95</v>
      </c>
      <c r="C51" t="s">
        <v>73</v>
      </c>
      <c r="D51" t="s">
        <v>33</v>
      </c>
      <c r="H51">
        <v>34</v>
      </c>
      <c r="J51">
        <f t="shared" si="0"/>
        <v>34</v>
      </c>
      <c r="L51">
        <f t="shared" si="1"/>
        <v>1.5178571428571428E-2</v>
      </c>
    </row>
    <row r="52" spans="1:12" x14ac:dyDescent="0.25">
      <c r="A52">
        <v>1748</v>
      </c>
      <c r="B52" t="s">
        <v>20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1748</v>
      </c>
      <c r="B53" t="s">
        <v>21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1748</v>
      </c>
      <c r="B54" t="s">
        <v>22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1748</v>
      </c>
      <c r="B55" t="s">
        <v>61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1748</v>
      </c>
      <c r="B56" t="s">
        <v>99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1748</v>
      </c>
      <c r="B57" t="s">
        <v>87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1748</v>
      </c>
      <c r="B58" t="s">
        <v>62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1748</v>
      </c>
      <c r="B59" t="s">
        <v>88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1748</v>
      </c>
      <c r="B60" t="s">
        <v>63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1748</v>
      </c>
      <c r="B61" t="s">
        <v>89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1748</v>
      </c>
      <c r="B62" t="s">
        <v>70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1748</v>
      </c>
      <c r="B63" t="s">
        <v>64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1748</v>
      </c>
      <c r="B64" t="s">
        <v>65</v>
      </c>
      <c r="C64" t="s">
        <v>73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1748</v>
      </c>
      <c r="B65" t="s">
        <v>55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1748</v>
      </c>
      <c r="B66" t="s">
        <v>57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1748</v>
      </c>
      <c r="B67" t="s">
        <v>36</v>
      </c>
      <c r="C67" t="s">
        <v>73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1748</v>
      </c>
      <c r="B68" t="s">
        <v>4</v>
      </c>
      <c r="C68" t="s">
        <v>73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1748</v>
      </c>
      <c r="B69" t="s">
        <v>58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1748</v>
      </c>
      <c r="B70" t="s">
        <v>69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1748</v>
      </c>
      <c r="B71" t="s">
        <v>43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1748</v>
      </c>
      <c r="B72" t="s">
        <v>76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1748</v>
      </c>
      <c r="B73" t="s">
        <v>5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1748</v>
      </c>
      <c r="B74" t="s">
        <v>59</v>
      </c>
      <c r="C74" t="s">
        <v>73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1748</v>
      </c>
      <c r="B75" t="s">
        <v>6</v>
      </c>
      <c r="C75" t="s">
        <v>73</v>
      </c>
      <c r="D75" t="s">
        <v>35</v>
      </c>
      <c r="F75">
        <v>4852</v>
      </c>
      <c r="G75">
        <v>2</v>
      </c>
      <c r="J75">
        <f t="shared" si="2"/>
        <v>543480</v>
      </c>
      <c r="L75">
        <f t="shared" si="3"/>
        <v>242.625</v>
      </c>
    </row>
    <row r="76" spans="1:12" x14ac:dyDescent="0.25">
      <c r="A76">
        <v>1748</v>
      </c>
      <c r="B76" t="s">
        <v>60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1748</v>
      </c>
      <c r="B77" t="s">
        <v>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1748</v>
      </c>
      <c r="B78" t="s">
        <v>37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1748</v>
      </c>
      <c r="B79" t="s">
        <v>8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1748</v>
      </c>
      <c r="B80" t="s">
        <v>40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1748</v>
      </c>
      <c r="B81" t="s">
        <v>77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1748</v>
      </c>
      <c r="B82" t="s">
        <v>78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1748</v>
      </c>
      <c r="B83" t="s">
        <v>46</v>
      </c>
      <c r="C83" t="s">
        <v>73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1748</v>
      </c>
      <c r="B84" t="s">
        <v>9</v>
      </c>
      <c r="C84" t="s">
        <v>73</v>
      </c>
      <c r="D84" t="s">
        <v>35</v>
      </c>
      <c r="H84">
        <f>14*200</f>
        <v>2800</v>
      </c>
      <c r="I84" t="s">
        <v>159</v>
      </c>
      <c r="J84">
        <f t="shared" si="2"/>
        <v>2800</v>
      </c>
      <c r="L84">
        <f t="shared" si="3"/>
        <v>1.25</v>
      </c>
    </row>
    <row r="85" spans="1:12" x14ac:dyDescent="0.25">
      <c r="A85">
        <v>1748</v>
      </c>
      <c r="B85" t="s">
        <v>10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1748</v>
      </c>
      <c r="B86" t="s">
        <v>11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1748</v>
      </c>
      <c r="B87" t="s">
        <v>39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1748</v>
      </c>
      <c r="B88" t="s">
        <v>79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1748</v>
      </c>
      <c r="B89" t="s">
        <v>103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1748</v>
      </c>
      <c r="B90" t="s">
        <v>44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1748</v>
      </c>
      <c r="B91" t="s">
        <v>97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1748</v>
      </c>
      <c r="B92" t="s">
        <v>12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1748</v>
      </c>
      <c r="B93" t="s">
        <v>82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1748</v>
      </c>
      <c r="B94" t="s">
        <v>34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1748</v>
      </c>
      <c r="B95" t="s">
        <v>13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1748</v>
      </c>
      <c r="B96" t="s">
        <v>14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1748</v>
      </c>
      <c r="B97" t="s">
        <v>23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1748</v>
      </c>
      <c r="B98" t="s">
        <v>27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1748</v>
      </c>
      <c r="B99" t="s">
        <v>15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1748</v>
      </c>
      <c r="B100" t="s">
        <v>93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1748</v>
      </c>
      <c r="B101" t="s">
        <v>42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1748</v>
      </c>
      <c r="B102" t="s">
        <v>83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1748</v>
      </c>
      <c r="B103" t="s">
        <v>47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1748</v>
      </c>
      <c r="B104" t="s">
        <v>16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1748</v>
      </c>
      <c r="B105" t="s">
        <v>17</v>
      </c>
      <c r="C105" t="s">
        <v>73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1748</v>
      </c>
      <c r="B106" t="s">
        <v>18</v>
      </c>
      <c r="C106" t="s">
        <v>73</v>
      </c>
      <c r="D106" t="s">
        <v>35</v>
      </c>
      <c r="H106">
        <v>23056</v>
      </c>
      <c r="I106" t="s">
        <v>158</v>
      </c>
      <c r="J106">
        <f t="shared" si="2"/>
        <v>23056</v>
      </c>
      <c r="L106">
        <f t="shared" si="3"/>
        <v>10.292857142857143</v>
      </c>
    </row>
    <row r="107" spans="1:12" x14ac:dyDescent="0.25">
      <c r="A107">
        <v>1748</v>
      </c>
      <c r="B107" t="s">
        <v>26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1748</v>
      </c>
      <c r="B108" t="s">
        <v>84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1748</v>
      </c>
      <c r="B109" t="s">
        <v>19</v>
      </c>
      <c r="C109" t="s">
        <v>73</v>
      </c>
      <c r="D109" t="s">
        <v>35</v>
      </c>
      <c r="F109">
        <v>1</v>
      </c>
      <c r="G109">
        <v>2</v>
      </c>
      <c r="J109">
        <f t="shared" si="2"/>
        <v>168</v>
      </c>
      <c r="L109">
        <f t="shared" si="3"/>
        <v>7.4999999999999997E-2</v>
      </c>
    </row>
    <row r="110" spans="1:12" x14ac:dyDescent="0.25">
      <c r="A110">
        <v>1748</v>
      </c>
      <c r="B110" t="s">
        <v>45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1748</v>
      </c>
      <c r="B111" t="s">
        <v>85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1748</v>
      </c>
      <c r="B112" t="s">
        <v>54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1748</v>
      </c>
      <c r="B113" t="s">
        <v>95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1748</v>
      </c>
      <c r="B114" t="s">
        <v>20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1748</v>
      </c>
      <c r="B115" t="s">
        <v>21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1748</v>
      </c>
      <c r="B116" t="s">
        <v>22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1748</v>
      </c>
      <c r="B117" t="s">
        <v>61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1748</v>
      </c>
      <c r="B118" t="s">
        <v>91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1748</v>
      </c>
      <c r="B119" t="s">
        <v>98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1748</v>
      </c>
      <c r="B120" t="s">
        <v>87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1748</v>
      </c>
      <c r="B121" t="s">
        <v>62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1748</v>
      </c>
      <c r="B122" t="s">
        <v>88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1748</v>
      </c>
      <c r="B123" t="s">
        <v>63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1748</v>
      </c>
      <c r="B124" t="s">
        <v>89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1748</v>
      </c>
      <c r="B125" t="s">
        <v>70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1748</v>
      </c>
      <c r="B126" t="s">
        <v>64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1748</v>
      </c>
      <c r="B127" t="s">
        <v>65</v>
      </c>
      <c r="C127" t="s">
        <v>73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9"/>
  <sheetViews>
    <sheetView workbookViewId="0">
      <selection activeCell="H109" sqref="H10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1748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1748</v>
      </c>
      <c r="B3" t="s">
        <v>57</v>
      </c>
      <c r="C3" t="s">
        <v>74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1748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1748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1748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1748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1748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1748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1748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1748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1748</v>
      </c>
      <c r="B12" t="s">
        <v>6</v>
      </c>
      <c r="C12" t="s">
        <v>74</v>
      </c>
      <c r="D12" t="s">
        <v>33</v>
      </c>
      <c r="F12">
        <v>157263</v>
      </c>
      <c r="G12">
        <v>1</v>
      </c>
      <c r="H12">
        <v>20</v>
      </c>
      <c r="J12">
        <f t="shared" si="0"/>
        <v>17613504</v>
      </c>
      <c r="L12">
        <f t="shared" si="1"/>
        <v>7863.1714285714288</v>
      </c>
    </row>
    <row r="13" spans="1:15" x14ac:dyDescent="0.25">
      <c r="A13">
        <v>1748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1748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1748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1748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1748</v>
      </c>
      <c r="B17" t="s">
        <v>8</v>
      </c>
      <c r="C17" t="s">
        <v>74</v>
      </c>
      <c r="D17" t="s">
        <v>33</v>
      </c>
      <c r="F17">
        <v>7</v>
      </c>
      <c r="H17">
        <v>5</v>
      </c>
      <c r="J17">
        <f t="shared" si="0"/>
        <v>789</v>
      </c>
      <c r="L17">
        <f t="shared" si="1"/>
        <v>0.35223214285714288</v>
      </c>
    </row>
    <row r="18" spans="1:12" x14ac:dyDescent="0.25">
      <c r="A18">
        <v>1748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1748</v>
      </c>
      <c r="B19" t="s">
        <v>77</v>
      </c>
      <c r="C19" t="s">
        <v>74</v>
      </c>
      <c r="D19" t="s">
        <v>33</v>
      </c>
      <c r="F19">
        <v>1</v>
      </c>
      <c r="H19">
        <v>8</v>
      </c>
      <c r="J19">
        <f t="shared" si="0"/>
        <v>120</v>
      </c>
      <c r="L19">
        <f t="shared" si="1"/>
        <v>5.3571428571428568E-2</v>
      </c>
    </row>
    <row r="20" spans="1:12" x14ac:dyDescent="0.25">
      <c r="A20">
        <v>1748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1748</v>
      </c>
      <c r="B22" t="s">
        <v>9</v>
      </c>
      <c r="C22" t="s">
        <v>74</v>
      </c>
      <c r="D22" t="s">
        <v>33</v>
      </c>
      <c r="H22">
        <f>386*200</f>
        <v>77200</v>
      </c>
      <c r="I22" t="s">
        <v>141</v>
      </c>
      <c r="J22">
        <f t="shared" si="0"/>
        <v>77200</v>
      </c>
      <c r="L22">
        <f t="shared" si="1"/>
        <v>34.464285714285715</v>
      </c>
    </row>
    <row r="23" spans="1:12" x14ac:dyDescent="0.25">
      <c r="A23">
        <v>1748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1748</v>
      </c>
      <c r="B24" t="s">
        <v>11</v>
      </c>
      <c r="C24" t="s">
        <v>74</v>
      </c>
      <c r="D24" t="s">
        <v>33</v>
      </c>
      <c r="F24">
        <v>18</v>
      </c>
      <c r="G24">
        <v>3</v>
      </c>
      <c r="H24">
        <v>10</v>
      </c>
      <c r="J24">
        <f t="shared" si="0"/>
        <v>2110</v>
      </c>
      <c r="L24">
        <f t="shared" si="1"/>
        <v>0.9419642857142857</v>
      </c>
    </row>
    <row r="25" spans="1:12" x14ac:dyDescent="0.25">
      <c r="A25">
        <v>1748</v>
      </c>
      <c r="B25" t="s">
        <v>39</v>
      </c>
      <c r="C25" t="s">
        <v>74</v>
      </c>
      <c r="D25" t="s">
        <v>33</v>
      </c>
      <c r="H25">
        <v>87</v>
      </c>
      <c r="J25">
        <f t="shared" si="0"/>
        <v>87</v>
      </c>
      <c r="L25">
        <f t="shared" si="1"/>
        <v>3.8839285714285715E-2</v>
      </c>
    </row>
    <row r="26" spans="1:12" x14ac:dyDescent="0.25">
      <c r="A26">
        <v>1748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1748</v>
      </c>
      <c r="B27" t="s">
        <v>103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1748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1748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1748</v>
      </c>
      <c r="B30" t="s">
        <v>12</v>
      </c>
      <c r="C30" t="s">
        <v>74</v>
      </c>
      <c r="D30" t="s">
        <v>33</v>
      </c>
      <c r="H30">
        <v>1700</v>
      </c>
      <c r="J30">
        <f t="shared" si="0"/>
        <v>1700</v>
      </c>
      <c r="L30">
        <f t="shared" si="1"/>
        <v>0.7589285714285714</v>
      </c>
    </row>
    <row r="31" spans="1:12" x14ac:dyDescent="0.25">
      <c r="A31">
        <v>1748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1748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1748</v>
      </c>
      <c r="B33" t="s">
        <v>13</v>
      </c>
      <c r="C33" t="s">
        <v>74</v>
      </c>
      <c r="D33" t="s">
        <v>33</v>
      </c>
      <c r="E33">
        <v>49</v>
      </c>
      <c r="H33">
        <v>12</v>
      </c>
      <c r="J33">
        <f t="shared" si="0"/>
        <v>109772</v>
      </c>
      <c r="L33">
        <f t="shared" si="1"/>
        <v>49.005357142857143</v>
      </c>
    </row>
    <row r="34" spans="1:12" x14ac:dyDescent="0.25">
      <c r="A34">
        <v>1748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1748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1748</v>
      </c>
      <c r="B36" t="s">
        <v>27</v>
      </c>
      <c r="C36" t="s">
        <v>74</v>
      </c>
      <c r="D36" t="s">
        <v>33</v>
      </c>
      <c r="H36">
        <v>11853</v>
      </c>
      <c r="I36" t="s">
        <v>139</v>
      </c>
      <c r="J36">
        <f t="shared" si="0"/>
        <v>11853</v>
      </c>
      <c r="L36">
        <f t="shared" si="1"/>
        <v>5.2915178571428569</v>
      </c>
    </row>
    <row r="37" spans="1:12" x14ac:dyDescent="0.25">
      <c r="A37">
        <v>1748</v>
      </c>
      <c r="B37" t="s">
        <v>15</v>
      </c>
      <c r="C37" t="s">
        <v>74</v>
      </c>
      <c r="D37" t="s">
        <v>33</v>
      </c>
      <c r="F37">
        <v>3</v>
      </c>
      <c r="G37">
        <v>1</v>
      </c>
      <c r="H37">
        <v>14</v>
      </c>
      <c r="J37">
        <f t="shared" si="0"/>
        <v>378</v>
      </c>
      <c r="L37">
        <f t="shared" si="1"/>
        <v>0.16875000000000001</v>
      </c>
    </row>
    <row r="38" spans="1:12" x14ac:dyDescent="0.25">
      <c r="A38">
        <v>1748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1748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1748</v>
      </c>
      <c r="B40" t="s">
        <v>47</v>
      </c>
      <c r="C40" t="s">
        <v>74</v>
      </c>
      <c r="D40" t="s">
        <v>33</v>
      </c>
      <c r="H40">
        <v>55</v>
      </c>
      <c r="I40" t="s">
        <v>135</v>
      </c>
      <c r="J40">
        <f t="shared" si="0"/>
        <v>55</v>
      </c>
      <c r="L40">
        <f t="shared" si="1"/>
        <v>2.4553571428571428E-2</v>
      </c>
    </row>
    <row r="41" spans="1:12" x14ac:dyDescent="0.25">
      <c r="A41">
        <v>1748</v>
      </c>
      <c r="B41" t="s">
        <v>16</v>
      </c>
      <c r="C41" t="s">
        <v>74</v>
      </c>
      <c r="D41" t="s">
        <v>33</v>
      </c>
      <c r="H41">
        <v>14</v>
      </c>
      <c r="J41">
        <f t="shared" si="0"/>
        <v>14</v>
      </c>
      <c r="L41">
        <f t="shared" si="1"/>
        <v>6.2500000000000003E-3</v>
      </c>
    </row>
    <row r="42" spans="1:12" x14ac:dyDescent="0.25">
      <c r="A42">
        <v>1748</v>
      </c>
      <c r="B42" t="s">
        <v>110</v>
      </c>
      <c r="C42" t="s">
        <v>74</v>
      </c>
      <c r="D42" t="s">
        <v>33</v>
      </c>
      <c r="H42">
        <v>1840.5</v>
      </c>
      <c r="I42" t="s">
        <v>140</v>
      </c>
      <c r="J42">
        <f t="shared" si="0"/>
        <v>1840.5</v>
      </c>
      <c r="L42">
        <f t="shared" si="1"/>
        <v>0.82165178571428577</v>
      </c>
    </row>
    <row r="43" spans="1:12" x14ac:dyDescent="0.25">
      <c r="A43">
        <v>1748</v>
      </c>
      <c r="B43" t="s">
        <v>106</v>
      </c>
      <c r="C43" t="s">
        <v>74</v>
      </c>
      <c r="D43" t="s">
        <v>33</v>
      </c>
      <c r="H43">
        <v>20</v>
      </c>
      <c r="J43">
        <f t="shared" si="0"/>
        <v>20</v>
      </c>
      <c r="L43">
        <f t="shared" si="1"/>
        <v>8.9285714285714281E-3</v>
      </c>
    </row>
    <row r="44" spans="1:12" x14ac:dyDescent="0.25">
      <c r="A44">
        <v>1748</v>
      </c>
      <c r="B44" t="s">
        <v>17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1748</v>
      </c>
      <c r="B45" t="s">
        <v>18</v>
      </c>
      <c r="C45" t="s">
        <v>74</v>
      </c>
      <c r="D45" t="s">
        <v>33</v>
      </c>
      <c r="H45">
        <v>202432</v>
      </c>
      <c r="I45" t="s">
        <v>138</v>
      </c>
      <c r="J45">
        <f t="shared" si="0"/>
        <v>202432</v>
      </c>
      <c r="L45">
        <f t="shared" si="1"/>
        <v>90.371428571428567</v>
      </c>
    </row>
    <row r="46" spans="1:12" x14ac:dyDescent="0.25">
      <c r="A46">
        <v>1748</v>
      </c>
      <c r="B46" t="s">
        <v>26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1748</v>
      </c>
      <c r="B47" t="s">
        <v>84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1748</v>
      </c>
      <c r="B48" t="s">
        <v>19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1748</v>
      </c>
      <c r="B49" t="s">
        <v>45</v>
      </c>
      <c r="C49" t="s">
        <v>74</v>
      </c>
      <c r="D49" t="s">
        <v>33</v>
      </c>
      <c r="H49">
        <v>25</v>
      </c>
      <c r="J49">
        <f t="shared" si="0"/>
        <v>25</v>
      </c>
      <c r="L49">
        <f t="shared" si="1"/>
        <v>1.1160714285714286E-2</v>
      </c>
    </row>
    <row r="50" spans="1:12" x14ac:dyDescent="0.25">
      <c r="A50">
        <v>1748</v>
      </c>
      <c r="B50" t="s">
        <v>85</v>
      </c>
      <c r="C50" t="s">
        <v>74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1748</v>
      </c>
      <c r="B51" t="s">
        <v>54</v>
      </c>
      <c r="C51" t="s">
        <v>74</v>
      </c>
      <c r="D51" t="s">
        <v>33</v>
      </c>
      <c r="H51">
        <v>846</v>
      </c>
      <c r="J51">
        <f t="shared" si="0"/>
        <v>846</v>
      </c>
      <c r="L51">
        <f t="shared" si="1"/>
        <v>0.37767857142857142</v>
      </c>
    </row>
    <row r="52" spans="1:12" x14ac:dyDescent="0.25">
      <c r="A52">
        <v>1748</v>
      </c>
      <c r="B52" t="s">
        <v>95</v>
      </c>
      <c r="C52" t="s">
        <v>74</v>
      </c>
      <c r="D52" t="s">
        <v>33</v>
      </c>
      <c r="H52">
        <v>207</v>
      </c>
      <c r="J52">
        <f t="shared" si="0"/>
        <v>207</v>
      </c>
      <c r="L52">
        <f t="shared" si="1"/>
        <v>9.241071428571429E-2</v>
      </c>
    </row>
    <row r="53" spans="1:12" x14ac:dyDescent="0.25">
      <c r="A53">
        <v>1748</v>
      </c>
      <c r="B53" t="s">
        <v>20</v>
      </c>
      <c r="C53" t="s">
        <v>74</v>
      </c>
      <c r="D53" t="s">
        <v>33</v>
      </c>
      <c r="H53">
        <v>300</v>
      </c>
      <c r="J53">
        <f t="shared" si="0"/>
        <v>300</v>
      </c>
      <c r="L53">
        <f t="shared" si="1"/>
        <v>0.13392857142857142</v>
      </c>
    </row>
    <row r="54" spans="1:12" x14ac:dyDescent="0.25">
      <c r="A54">
        <v>1748</v>
      </c>
      <c r="B54" t="s">
        <v>21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1748</v>
      </c>
      <c r="B55" t="s">
        <v>105</v>
      </c>
      <c r="C55" t="s">
        <v>74</v>
      </c>
      <c r="D55" t="s">
        <v>33</v>
      </c>
      <c r="F55">
        <v>9</v>
      </c>
      <c r="J55">
        <f t="shared" si="0"/>
        <v>1008</v>
      </c>
      <c r="L55">
        <f t="shared" si="1"/>
        <v>0.45</v>
      </c>
    </row>
    <row r="56" spans="1:12" x14ac:dyDescent="0.25">
      <c r="A56">
        <v>1748</v>
      </c>
      <c r="B56" t="s">
        <v>22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1748</v>
      </c>
      <c r="B57" t="s">
        <v>61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1748</v>
      </c>
      <c r="B58" t="s">
        <v>99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1748</v>
      </c>
      <c r="B59" t="s">
        <v>87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1748</v>
      </c>
      <c r="B60" t="s">
        <v>62</v>
      </c>
      <c r="C60" t="s">
        <v>74</v>
      </c>
      <c r="D60" t="s">
        <v>33</v>
      </c>
      <c r="E60">
        <v>78</v>
      </c>
      <c r="F60">
        <v>14</v>
      </c>
      <c r="J60">
        <f t="shared" si="0"/>
        <v>176288</v>
      </c>
      <c r="L60">
        <f t="shared" si="1"/>
        <v>78.7</v>
      </c>
    </row>
    <row r="61" spans="1:12" x14ac:dyDescent="0.25">
      <c r="A61">
        <v>1748</v>
      </c>
      <c r="B61" t="s">
        <v>88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1748</v>
      </c>
      <c r="B62" t="s">
        <v>63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1748</v>
      </c>
      <c r="B63" t="s">
        <v>89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1748</v>
      </c>
      <c r="B64" t="s">
        <v>70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1748</v>
      </c>
      <c r="B65" t="s">
        <v>64</v>
      </c>
      <c r="C65" t="s">
        <v>74</v>
      </c>
      <c r="D65" t="s">
        <v>33</v>
      </c>
      <c r="E65">
        <v>15</v>
      </c>
      <c r="J65">
        <f t="shared" si="0"/>
        <v>33600</v>
      </c>
      <c r="L65">
        <f t="shared" si="1"/>
        <v>15</v>
      </c>
    </row>
    <row r="66" spans="1:12" x14ac:dyDescent="0.25">
      <c r="A66">
        <v>1748</v>
      </c>
      <c r="B66" t="s">
        <v>65</v>
      </c>
      <c r="C66" t="s">
        <v>74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1748</v>
      </c>
      <c r="B67" t="s">
        <v>55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1748</v>
      </c>
      <c r="B68" t="s">
        <v>57</v>
      </c>
      <c r="C68" t="s">
        <v>74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1748</v>
      </c>
      <c r="B69" t="s">
        <v>36</v>
      </c>
      <c r="C69" t="s">
        <v>74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1748</v>
      </c>
      <c r="B70" t="s">
        <v>4</v>
      </c>
      <c r="C70" t="s">
        <v>74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1748</v>
      </c>
      <c r="B71" t="s">
        <v>58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1748</v>
      </c>
      <c r="B72" t="s">
        <v>69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1748</v>
      </c>
      <c r="B73" t="s">
        <v>43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1748</v>
      </c>
      <c r="B74" t="s">
        <v>76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1748</v>
      </c>
      <c r="B75" t="s">
        <v>5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1748</v>
      </c>
      <c r="B76" t="s">
        <v>59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1748</v>
      </c>
      <c r="B77" t="s">
        <v>6</v>
      </c>
      <c r="C77" t="s">
        <v>74</v>
      </c>
      <c r="D77" t="s">
        <v>35</v>
      </c>
      <c r="F77">
        <v>18534</v>
      </c>
      <c r="G77">
        <v>1</v>
      </c>
      <c r="H77">
        <v>21</v>
      </c>
      <c r="J77">
        <f t="shared" si="2"/>
        <v>2075857</v>
      </c>
      <c r="L77">
        <f t="shared" si="3"/>
        <v>926.72187499999995</v>
      </c>
    </row>
    <row r="78" spans="1:12" x14ac:dyDescent="0.25">
      <c r="A78">
        <v>1748</v>
      </c>
      <c r="B78" t="s">
        <v>60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1748</v>
      </c>
      <c r="B79" t="s">
        <v>7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1748</v>
      </c>
      <c r="B80" t="s">
        <v>37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1748</v>
      </c>
      <c r="B81" t="s">
        <v>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1748</v>
      </c>
      <c r="B82" t="s">
        <v>40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1748</v>
      </c>
      <c r="B83" t="s">
        <v>77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1748</v>
      </c>
      <c r="B84" t="s">
        <v>78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1748</v>
      </c>
      <c r="B85" t="s">
        <v>46</v>
      </c>
      <c r="C85" t="s">
        <v>74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1748</v>
      </c>
      <c r="B86" t="s">
        <v>9</v>
      </c>
      <c r="C86" t="s">
        <v>74</v>
      </c>
      <c r="D86" t="s">
        <v>35</v>
      </c>
      <c r="H86">
        <f>11032*200</f>
        <v>2206400</v>
      </c>
      <c r="I86" t="s">
        <v>162</v>
      </c>
      <c r="J86">
        <f t="shared" si="2"/>
        <v>2206400</v>
      </c>
      <c r="L86">
        <f t="shared" si="3"/>
        <v>985</v>
      </c>
    </row>
    <row r="87" spans="1:12" x14ac:dyDescent="0.25">
      <c r="A87">
        <v>1748</v>
      </c>
      <c r="B87" t="s">
        <v>10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1748</v>
      </c>
      <c r="B88" t="s">
        <v>11</v>
      </c>
      <c r="C88" t="s">
        <v>74</v>
      </c>
      <c r="D88" t="s">
        <v>35</v>
      </c>
      <c r="F88">
        <v>81</v>
      </c>
      <c r="G88">
        <v>2</v>
      </c>
      <c r="H88">
        <v>27</v>
      </c>
      <c r="J88">
        <f t="shared" si="2"/>
        <v>9155</v>
      </c>
      <c r="L88">
        <f t="shared" si="3"/>
        <v>4.0870535714285712</v>
      </c>
    </row>
    <row r="89" spans="1:12" x14ac:dyDescent="0.25">
      <c r="A89">
        <v>1748</v>
      </c>
      <c r="B89" t="s">
        <v>39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1748</v>
      </c>
      <c r="B90" t="s">
        <v>79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1748</v>
      </c>
      <c r="B91" t="s">
        <v>103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1748</v>
      </c>
      <c r="B92" t="s">
        <v>44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1748</v>
      </c>
      <c r="B93" t="s">
        <v>97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1748</v>
      </c>
      <c r="B94" t="s">
        <v>12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1748</v>
      </c>
      <c r="B95" t="s">
        <v>82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1748</v>
      </c>
      <c r="B96" t="s">
        <v>34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1748</v>
      </c>
      <c r="B97" t="s">
        <v>13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1748</v>
      </c>
      <c r="B98" t="s">
        <v>14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1748</v>
      </c>
      <c r="B99" t="s">
        <v>23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1748</v>
      </c>
      <c r="B100" t="s">
        <v>27</v>
      </c>
      <c r="C100" t="s">
        <v>74</v>
      </c>
      <c r="D100" t="s">
        <v>35</v>
      </c>
      <c r="H100">
        <v>2220.5</v>
      </c>
      <c r="I100" t="s">
        <v>161</v>
      </c>
      <c r="J100">
        <f t="shared" si="2"/>
        <v>2220.5</v>
      </c>
      <c r="L100">
        <f t="shared" si="3"/>
        <v>0.99129464285714286</v>
      </c>
    </row>
    <row r="101" spans="1:12" x14ac:dyDescent="0.25">
      <c r="A101">
        <v>1748</v>
      </c>
      <c r="B101" t="s">
        <v>15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1748</v>
      </c>
      <c r="B102" t="s">
        <v>93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1748</v>
      </c>
      <c r="B103" t="s">
        <v>42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1748</v>
      </c>
      <c r="B104" t="s">
        <v>83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1748</v>
      </c>
      <c r="B105" t="s">
        <v>47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1748</v>
      </c>
      <c r="B106" t="s">
        <v>16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1748</v>
      </c>
      <c r="B107" t="s">
        <v>17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1748</v>
      </c>
      <c r="B108" t="s">
        <v>18</v>
      </c>
      <c r="C108" t="s">
        <v>74</v>
      </c>
      <c r="D108" t="s">
        <v>35</v>
      </c>
      <c r="H108">
        <v>52723.5</v>
      </c>
      <c r="I108" t="s">
        <v>160</v>
      </c>
      <c r="J108">
        <f t="shared" si="2"/>
        <v>52723.5</v>
      </c>
      <c r="L108">
        <f t="shared" si="3"/>
        <v>23.537276785714287</v>
      </c>
    </row>
    <row r="109" spans="1:12" x14ac:dyDescent="0.25">
      <c r="A109">
        <v>1748</v>
      </c>
      <c r="B109" t="s">
        <v>26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1748</v>
      </c>
      <c r="B110" t="s">
        <v>84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1748</v>
      </c>
      <c r="B111" t="s">
        <v>19</v>
      </c>
      <c r="C111" t="s">
        <v>74</v>
      </c>
      <c r="D111" t="s">
        <v>35</v>
      </c>
      <c r="F111">
        <v>3</v>
      </c>
      <c r="H111">
        <v>20</v>
      </c>
      <c r="J111">
        <f t="shared" si="2"/>
        <v>356</v>
      </c>
      <c r="L111">
        <f t="shared" si="3"/>
        <v>0.15892857142857142</v>
      </c>
    </row>
    <row r="112" spans="1:12" x14ac:dyDescent="0.25">
      <c r="A112">
        <v>1748</v>
      </c>
      <c r="B112" t="s">
        <v>45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1748</v>
      </c>
      <c r="B113" t="s">
        <v>85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1748</v>
      </c>
      <c r="B114" t="s">
        <v>54</v>
      </c>
      <c r="C114" t="s">
        <v>74</v>
      </c>
      <c r="D114" t="s">
        <v>35</v>
      </c>
      <c r="H114">
        <v>30</v>
      </c>
      <c r="J114">
        <f t="shared" si="2"/>
        <v>30</v>
      </c>
      <c r="L114">
        <f t="shared" si="3"/>
        <v>1.3392857142857142E-2</v>
      </c>
    </row>
    <row r="115" spans="1:12" x14ac:dyDescent="0.25">
      <c r="A115">
        <v>1748</v>
      </c>
      <c r="B115" t="s">
        <v>95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1748</v>
      </c>
      <c r="B116" t="s">
        <v>20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1748</v>
      </c>
      <c r="B117" t="s">
        <v>21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1748</v>
      </c>
      <c r="B118" t="s">
        <v>22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1748</v>
      </c>
      <c r="B119" t="s">
        <v>61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1748</v>
      </c>
      <c r="B120" t="s">
        <v>91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1748</v>
      </c>
      <c r="B121" t="s">
        <v>98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1748</v>
      </c>
      <c r="B122" t="s">
        <v>87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1748</v>
      </c>
      <c r="B123" t="s">
        <v>62</v>
      </c>
      <c r="C123" t="s">
        <v>74</v>
      </c>
      <c r="D123" t="s">
        <v>35</v>
      </c>
      <c r="E123">
        <v>8</v>
      </c>
      <c r="F123">
        <v>12</v>
      </c>
      <c r="G123">
        <v>2</v>
      </c>
      <c r="H123">
        <v>1</v>
      </c>
      <c r="J123">
        <f t="shared" si="2"/>
        <v>19321</v>
      </c>
      <c r="L123">
        <f t="shared" si="3"/>
        <v>8.6254464285714292</v>
      </c>
    </row>
    <row r="124" spans="1:12" x14ac:dyDescent="0.25">
      <c r="A124">
        <v>1748</v>
      </c>
      <c r="B124" t="s">
        <v>88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1748</v>
      </c>
      <c r="B125" t="s">
        <v>63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1748</v>
      </c>
      <c r="B126" t="s">
        <v>89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1748</v>
      </c>
      <c r="B127" t="s">
        <v>70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1748</v>
      </c>
      <c r="B128" t="s">
        <v>64</v>
      </c>
      <c r="C128" t="s">
        <v>74</v>
      </c>
      <c r="D128" t="s">
        <v>35</v>
      </c>
      <c r="E128">
        <v>30</v>
      </c>
      <c r="F128">
        <v>1</v>
      </c>
      <c r="G128">
        <v>1</v>
      </c>
      <c r="H128">
        <v>17</v>
      </c>
      <c r="J128">
        <f t="shared" si="2"/>
        <v>67357</v>
      </c>
      <c r="L128">
        <f t="shared" si="3"/>
        <v>30.070089285714285</v>
      </c>
    </row>
    <row r="129" spans="1:12" x14ac:dyDescent="0.25">
      <c r="A129">
        <v>1748</v>
      </c>
      <c r="B129" t="s">
        <v>65</v>
      </c>
      <c r="C129" t="s">
        <v>74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H23" sqref="H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1748</v>
      </c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1748</v>
      </c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1748</v>
      </c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1748</v>
      </c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1748</v>
      </c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1748</v>
      </c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1748</v>
      </c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1748</v>
      </c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1748</v>
      </c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1748</v>
      </c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1748</v>
      </c>
      <c r="B12" t="s">
        <v>6</v>
      </c>
      <c r="C12" t="s">
        <v>94</v>
      </c>
      <c r="D12" t="s">
        <v>33</v>
      </c>
      <c r="F12">
        <v>1475</v>
      </c>
      <c r="G12">
        <v>1</v>
      </c>
      <c r="J12">
        <f t="shared" si="0"/>
        <v>165228</v>
      </c>
      <c r="L12">
        <f t="shared" si="1"/>
        <v>73.762500000000003</v>
      </c>
    </row>
    <row r="13" spans="1:15" x14ac:dyDescent="0.25">
      <c r="A13">
        <v>1748</v>
      </c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1748</v>
      </c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1748</v>
      </c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1748</v>
      </c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1748</v>
      </c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1748</v>
      </c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1748</v>
      </c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1748</v>
      </c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1748</v>
      </c>
      <c r="B22" t="s">
        <v>9</v>
      </c>
      <c r="C22" t="s">
        <v>94</v>
      </c>
      <c r="D22" t="s">
        <v>33</v>
      </c>
      <c r="H22">
        <f>575*200</f>
        <v>115000</v>
      </c>
      <c r="I22" t="s">
        <v>164</v>
      </c>
      <c r="J22">
        <f t="shared" si="0"/>
        <v>115000</v>
      </c>
      <c r="L22">
        <f t="shared" si="1"/>
        <v>51.339285714285715</v>
      </c>
    </row>
    <row r="23" spans="1:12" x14ac:dyDescent="0.25">
      <c r="A23">
        <v>1748</v>
      </c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1748</v>
      </c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1748</v>
      </c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1748</v>
      </c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1748</v>
      </c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1748</v>
      </c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1748</v>
      </c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1748</v>
      </c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1748</v>
      </c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1748</v>
      </c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1748</v>
      </c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1748</v>
      </c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1748</v>
      </c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1748</v>
      </c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1748</v>
      </c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1748</v>
      </c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1748</v>
      </c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1748</v>
      </c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1748</v>
      </c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1748</v>
      </c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1748</v>
      </c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1748</v>
      </c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1748</v>
      </c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1748</v>
      </c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1748</v>
      </c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1748</v>
      </c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1748</v>
      </c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1748</v>
      </c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1748</v>
      </c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1748</v>
      </c>
      <c r="B52" t="s">
        <v>21</v>
      </c>
      <c r="C52" t="s">
        <v>94</v>
      </c>
      <c r="D52" t="s">
        <v>33</v>
      </c>
      <c r="H52">
        <v>10</v>
      </c>
      <c r="J52">
        <f t="shared" si="0"/>
        <v>10</v>
      </c>
      <c r="L52">
        <f t="shared" si="1"/>
        <v>4.464285714285714E-3</v>
      </c>
    </row>
    <row r="53" spans="1:12" x14ac:dyDescent="0.25">
      <c r="A53">
        <v>1748</v>
      </c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1748</v>
      </c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1748</v>
      </c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1748</v>
      </c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1748</v>
      </c>
      <c r="B57" t="s">
        <v>62</v>
      </c>
      <c r="C57" t="s">
        <v>94</v>
      </c>
      <c r="D57" t="s">
        <v>33</v>
      </c>
      <c r="E57">
        <v>19</v>
      </c>
      <c r="J57">
        <f t="shared" si="0"/>
        <v>42560</v>
      </c>
      <c r="L57">
        <f t="shared" si="1"/>
        <v>19</v>
      </c>
    </row>
    <row r="58" spans="1:12" x14ac:dyDescent="0.25">
      <c r="A58">
        <v>1748</v>
      </c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1748</v>
      </c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1748</v>
      </c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1748</v>
      </c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1748</v>
      </c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1748</v>
      </c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1748</v>
      </c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1748</v>
      </c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1748</v>
      </c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1748</v>
      </c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1748</v>
      </c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1748</v>
      </c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1748</v>
      </c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1748</v>
      </c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1748</v>
      </c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1748</v>
      </c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1748</v>
      </c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1748</v>
      </c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1748</v>
      </c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1748</v>
      </c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1748</v>
      </c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1748</v>
      </c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1748</v>
      </c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1748</v>
      </c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1748</v>
      </c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1748</v>
      </c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1748</v>
      </c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1748</v>
      </c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1748</v>
      </c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1748</v>
      </c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1748</v>
      </c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1748</v>
      </c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1748</v>
      </c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1748</v>
      </c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1748</v>
      </c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1748</v>
      </c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1748</v>
      </c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1748</v>
      </c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1748</v>
      </c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1748</v>
      </c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1748</v>
      </c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1748</v>
      </c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1748</v>
      </c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1748</v>
      </c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1748</v>
      </c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1748</v>
      </c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1748</v>
      </c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1748</v>
      </c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1748</v>
      </c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1748</v>
      </c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1748</v>
      </c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1748</v>
      </c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1748</v>
      </c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1748</v>
      </c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1748</v>
      </c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1748</v>
      </c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1748</v>
      </c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1748</v>
      </c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1748</v>
      </c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1748</v>
      </c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1748</v>
      </c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1748</v>
      </c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1748</v>
      </c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1748</v>
      </c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1748</v>
      </c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1748</v>
      </c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1748</v>
      </c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1748</v>
      </c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1748</v>
      </c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33" workbookViewId="0">
      <selection activeCell="H24" sqref="H2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1748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1748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1748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1748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1748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1748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1748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1748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1748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1748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1748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1748</v>
      </c>
      <c r="B13" t="s">
        <v>6</v>
      </c>
      <c r="C13" t="s">
        <v>100</v>
      </c>
      <c r="D13" t="s">
        <v>33</v>
      </c>
      <c r="F13">
        <v>1149</v>
      </c>
      <c r="G13">
        <v>2</v>
      </c>
      <c r="J13">
        <f t="shared" si="0"/>
        <v>128744</v>
      </c>
      <c r="L13">
        <f t="shared" si="1"/>
        <v>57.475000000000001</v>
      </c>
    </row>
    <row r="14" spans="1:15" x14ac:dyDescent="0.25">
      <c r="A14">
        <v>1748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1748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1748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1748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1748</v>
      </c>
      <c r="B18" t="s">
        <v>8</v>
      </c>
      <c r="C18" t="s">
        <v>100</v>
      </c>
      <c r="D18" t="s">
        <v>33</v>
      </c>
      <c r="F18">
        <v>20</v>
      </c>
      <c r="J18">
        <f t="shared" si="0"/>
        <v>2240</v>
      </c>
      <c r="L18">
        <f t="shared" si="1"/>
        <v>1</v>
      </c>
    </row>
    <row r="19" spans="1:12" x14ac:dyDescent="0.25">
      <c r="A19">
        <v>1748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1748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1748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1748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1748</v>
      </c>
      <c r="B23" t="s">
        <v>9</v>
      </c>
      <c r="C23" t="s">
        <v>100</v>
      </c>
      <c r="D23" t="s">
        <v>33</v>
      </c>
      <c r="H23">
        <f>378.5*200</f>
        <v>75700</v>
      </c>
      <c r="I23" t="s">
        <v>143</v>
      </c>
      <c r="J23">
        <f t="shared" si="0"/>
        <v>75700</v>
      </c>
      <c r="L23">
        <f t="shared" si="1"/>
        <v>33.794642857142854</v>
      </c>
    </row>
    <row r="24" spans="1:12" x14ac:dyDescent="0.25">
      <c r="A24">
        <v>1748</v>
      </c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1748</v>
      </c>
      <c r="B25" t="s">
        <v>11</v>
      </c>
      <c r="C25" t="s">
        <v>100</v>
      </c>
      <c r="D25" t="s">
        <v>33</v>
      </c>
      <c r="F25">
        <v>60</v>
      </c>
      <c r="G25">
        <v>3</v>
      </c>
      <c r="J25">
        <f t="shared" si="0"/>
        <v>6804</v>
      </c>
      <c r="L25">
        <f t="shared" si="1"/>
        <v>3.0375000000000001</v>
      </c>
    </row>
    <row r="26" spans="1:12" x14ac:dyDescent="0.25">
      <c r="A26">
        <v>1748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1748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1748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1748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1748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1748</v>
      </c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1748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1748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1748</v>
      </c>
      <c r="B34" t="s">
        <v>13</v>
      </c>
      <c r="C34" t="s">
        <v>100</v>
      </c>
      <c r="D34" t="s">
        <v>33</v>
      </c>
      <c r="E34">
        <v>4</v>
      </c>
      <c r="J34">
        <f t="shared" si="0"/>
        <v>8960</v>
      </c>
      <c r="L34">
        <f t="shared" si="1"/>
        <v>4</v>
      </c>
    </row>
    <row r="35" spans="1:12" x14ac:dyDescent="0.25">
      <c r="A35">
        <v>1748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1748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1748</v>
      </c>
      <c r="B37" t="s">
        <v>27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1748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1748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1748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1748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1748</v>
      </c>
      <c r="B42" t="s">
        <v>16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1748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1748</v>
      </c>
      <c r="B44" t="s">
        <v>18</v>
      </c>
      <c r="C44" t="s">
        <v>100</v>
      </c>
      <c r="D44" t="s">
        <v>33</v>
      </c>
      <c r="I44" t="s">
        <v>142</v>
      </c>
      <c r="J44">
        <f t="shared" si="0"/>
        <v>0</v>
      </c>
      <c r="L44">
        <f t="shared" si="1"/>
        <v>0</v>
      </c>
    </row>
    <row r="45" spans="1:12" x14ac:dyDescent="0.25">
      <c r="A45">
        <v>1748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1748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1748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1748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1748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1748</v>
      </c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1748</v>
      </c>
      <c r="B51" t="s">
        <v>95</v>
      </c>
      <c r="C51" t="s">
        <v>100</v>
      </c>
      <c r="D51" t="s">
        <v>33</v>
      </c>
      <c r="H51">
        <v>224</v>
      </c>
      <c r="J51">
        <f t="shared" si="0"/>
        <v>224</v>
      </c>
      <c r="L51">
        <f t="shared" si="1"/>
        <v>0.1</v>
      </c>
    </row>
    <row r="52" spans="1:12" x14ac:dyDescent="0.25">
      <c r="A52">
        <v>1748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1748</v>
      </c>
      <c r="B53" t="s">
        <v>21</v>
      </c>
      <c r="C53" t="s">
        <v>100</v>
      </c>
      <c r="D53" t="s">
        <v>33</v>
      </c>
      <c r="H53">
        <v>60</v>
      </c>
      <c r="J53">
        <f t="shared" si="0"/>
        <v>60</v>
      </c>
      <c r="L53">
        <f t="shared" si="1"/>
        <v>2.6785714285714284E-2</v>
      </c>
    </row>
    <row r="54" spans="1:12" x14ac:dyDescent="0.25">
      <c r="A54">
        <v>1748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1748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1748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1748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1748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1748</v>
      </c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1748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1748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1748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1748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1748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1748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1748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1748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1748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1748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1748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1748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1748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1748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1748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1748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1748</v>
      </c>
      <c r="B76" t="s">
        <v>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1748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1748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1748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1748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1748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1748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1748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1748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1748</v>
      </c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1748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1748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1748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1748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1748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1748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1748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1748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1748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1748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1748</v>
      </c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1748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1748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1748</v>
      </c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1748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1748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1748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1748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1748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1748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1748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1748</v>
      </c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1748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1748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1748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1748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1748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1748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1748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1748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1748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1748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1748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1748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1748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1748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1748</v>
      </c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1748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1748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1748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1748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1748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1748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2025-04-30T21:44:13Z</dcterms:modified>
</cp:coreProperties>
</file>