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30" documentId="8_{D08C678F-8208-43D8-81AF-939C38349D24}" xr6:coauthVersionLast="47" xr6:coauthVersionMax="47" xr10:uidLastSave="{69631B71-56CE-4DA4-9C16-F1C36DD90AE0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Barbados!$A$1:$N$54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8" l="1"/>
  <c r="H19" i="8"/>
  <c r="H53" i="7"/>
  <c r="H18" i="7"/>
  <c r="H53" i="6"/>
  <c r="H19" i="6"/>
  <c r="H83" i="5"/>
  <c r="H21" i="5"/>
  <c r="H65" i="3"/>
  <c r="H17" i="3"/>
  <c r="H38" i="2"/>
  <c r="H10" i="2"/>
  <c r="H62" i="7"/>
  <c r="L66" i="8"/>
  <c r="L67" i="8"/>
  <c r="L68" i="8"/>
  <c r="L70" i="8"/>
  <c r="J66" i="8"/>
  <c r="J67" i="8"/>
  <c r="J68" i="8"/>
  <c r="J69" i="8"/>
  <c r="L69" i="8" s="1"/>
  <c r="J70" i="8"/>
  <c r="H90" i="5"/>
  <c r="J42" i="6"/>
  <c r="L42" i="6" s="1"/>
  <c r="L47" i="5"/>
  <c r="L48" i="5"/>
  <c r="L49" i="5"/>
  <c r="L50" i="5"/>
  <c r="L51" i="5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J48" i="5"/>
  <c r="J49" i="5"/>
  <c r="J50" i="5"/>
  <c r="J51" i="5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L5" i="4"/>
  <c r="J5" i="4"/>
  <c r="J42" i="3"/>
  <c r="L42" i="3" s="1"/>
  <c r="L77" i="3"/>
  <c r="L78" i="3"/>
  <c r="L80" i="3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J78" i="3"/>
  <c r="J79" i="3"/>
  <c r="L79" i="3" s="1"/>
  <c r="J80" i="3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L31" i="2"/>
  <c r="J31" i="2"/>
  <c r="J21" i="2"/>
  <c r="L21" i="2" s="1"/>
  <c r="J26" i="2"/>
  <c r="L26" i="2" s="1"/>
  <c r="J4" i="2"/>
  <c r="L4" i="2" s="1"/>
  <c r="J5" i="2"/>
  <c r="L5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19" i="1"/>
  <c r="C22" i="1"/>
  <c r="C23" i="1"/>
  <c r="C24" i="1"/>
  <c r="C25" i="1"/>
  <c r="C30" i="1"/>
  <c r="C31" i="1"/>
  <c r="B23" i="1"/>
  <c r="B24" i="1"/>
  <c r="D24" i="1" l="1"/>
  <c r="D23" i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L16" i="8"/>
  <c r="J16" i="8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67" i="6"/>
  <c r="L67" i="6" s="1"/>
  <c r="C28" i="1" s="1"/>
  <c r="J66" i="6"/>
  <c r="L66" i="6" s="1"/>
  <c r="C21" i="1" s="1"/>
  <c r="J65" i="6"/>
  <c r="L65" i="6" s="1"/>
  <c r="C20" i="1" s="1"/>
  <c r="J64" i="6"/>
  <c r="L64" i="6" s="1"/>
  <c r="J63" i="6"/>
  <c r="L63" i="6" s="1"/>
  <c r="J62" i="6"/>
  <c r="L62" i="6" s="1"/>
  <c r="C16" i="1" s="1"/>
  <c r="J61" i="6"/>
  <c r="L61" i="6" s="1"/>
  <c r="C15" i="1" s="1"/>
  <c r="J60" i="6"/>
  <c r="L60" i="6" s="1"/>
  <c r="C13" i="1" s="1"/>
  <c r="J59" i="6"/>
  <c r="L59" i="6" s="1"/>
  <c r="C26" i="1" s="1"/>
  <c r="J58" i="6"/>
  <c r="L58" i="6" s="1"/>
  <c r="C12" i="1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76" i="5"/>
  <c r="L76" i="5" s="1"/>
  <c r="J75" i="5"/>
  <c r="L75" i="5" s="1"/>
  <c r="J74" i="5"/>
  <c r="L74" i="5" s="1"/>
  <c r="J73" i="5"/>
  <c r="L73" i="5" s="1"/>
  <c r="J72" i="5"/>
  <c r="L72" i="5" s="1"/>
  <c r="J71" i="5"/>
  <c r="L71" i="5" s="1"/>
  <c r="J70" i="5"/>
  <c r="L70" i="5" s="1"/>
  <c r="J69" i="5"/>
  <c r="L69" i="5" s="1"/>
  <c r="J68" i="5"/>
  <c r="L68" i="5" s="1"/>
  <c r="J67" i="5"/>
  <c r="L67" i="5" s="1"/>
  <c r="J66" i="5"/>
  <c r="L66" i="5" s="1"/>
  <c r="J65" i="5"/>
  <c r="L65" i="5" s="1"/>
  <c r="J64" i="5"/>
  <c r="L64" i="5" s="1"/>
  <c r="J63" i="5"/>
  <c r="L63" i="5" s="1"/>
  <c r="J62" i="5"/>
  <c r="L62" i="5" s="1"/>
  <c r="J61" i="5"/>
  <c r="L61" i="5" s="1"/>
  <c r="J60" i="5"/>
  <c r="L60" i="5" s="1"/>
  <c r="J59" i="5"/>
  <c r="L59" i="5" s="1"/>
  <c r="J37" i="5"/>
  <c r="L37" i="5" s="1"/>
  <c r="J36" i="5"/>
  <c r="L36" i="5" s="1"/>
  <c r="J35" i="5"/>
  <c r="L35" i="5" s="1"/>
  <c r="J34" i="5"/>
  <c r="L34" i="5" s="1"/>
  <c r="J33" i="5"/>
  <c r="L33" i="5" s="1"/>
  <c r="J32" i="5"/>
  <c r="L32" i="5" s="1"/>
  <c r="J31" i="5"/>
  <c r="L31" i="5" s="1"/>
  <c r="J30" i="5"/>
  <c r="L30" i="5" s="1"/>
  <c r="J29" i="5"/>
  <c r="L29" i="5" s="1"/>
  <c r="J28" i="5"/>
  <c r="L28" i="5" s="1"/>
  <c r="J27" i="5"/>
  <c r="L27" i="5" s="1"/>
  <c r="J26" i="5"/>
  <c r="L26" i="5" s="1"/>
  <c r="J25" i="5"/>
  <c r="L25" i="5" s="1"/>
  <c r="J24" i="5"/>
  <c r="L24" i="5" s="1"/>
  <c r="J23" i="5"/>
  <c r="L23" i="5" s="1"/>
  <c r="J22" i="5"/>
  <c r="L22" i="5" s="1"/>
  <c r="J21" i="5"/>
  <c r="L21" i="5" s="1"/>
  <c r="J20" i="5"/>
  <c r="L20" i="5" s="1"/>
  <c r="J19" i="5"/>
  <c r="L19" i="5" s="1"/>
  <c r="J18" i="5"/>
  <c r="L18" i="5" s="1"/>
  <c r="J17" i="5"/>
  <c r="L17" i="5" s="1"/>
  <c r="J16" i="5"/>
  <c r="L16" i="5" s="1"/>
  <c r="J15" i="5"/>
  <c r="L15" i="5" s="1"/>
  <c r="J14" i="5"/>
  <c r="L14" i="5" s="1"/>
  <c r="J13" i="5"/>
  <c r="L13" i="5" s="1"/>
  <c r="J12" i="5"/>
  <c r="L12" i="5" s="1"/>
  <c r="J11" i="5"/>
  <c r="L11" i="5" s="1"/>
  <c r="J10" i="5"/>
  <c r="L10" i="5" s="1"/>
  <c r="J9" i="5"/>
  <c r="L9" i="5" s="1"/>
  <c r="J8" i="5"/>
  <c r="L8" i="5" s="1"/>
  <c r="J7" i="5"/>
  <c r="L7" i="5" s="1"/>
  <c r="J6" i="5"/>
  <c r="L6" i="5" s="1"/>
  <c r="J5" i="5"/>
  <c r="L5" i="5" s="1"/>
  <c r="J4" i="5"/>
  <c r="L4" i="5" s="1"/>
  <c r="J3" i="5"/>
  <c r="L3" i="5" s="1"/>
  <c r="J2" i="5"/>
  <c r="L2" i="5" s="1"/>
  <c r="J15" i="4"/>
  <c r="L15" i="4" s="1"/>
  <c r="C29" i="1" s="1"/>
  <c r="J14" i="4"/>
  <c r="L14" i="4" s="1"/>
  <c r="C27" i="1" s="1"/>
  <c r="J13" i="4"/>
  <c r="L13" i="4" s="1"/>
  <c r="J12" i="4"/>
  <c r="L12" i="4" s="1"/>
  <c r="J11" i="4"/>
  <c r="L11" i="4" s="1"/>
  <c r="C18" i="1" s="1"/>
  <c r="J10" i="4"/>
  <c r="L10" i="4" s="1"/>
  <c r="C17" i="1" s="1"/>
  <c r="J9" i="4"/>
  <c r="L9" i="4" s="1"/>
  <c r="J8" i="4"/>
  <c r="L8" i="4" s="1"/>
  <c r="J7" i="4"/>
  <c r="L7" i="4" s="1"/>
  <c r="J6" i="4"/>
  <c r="L6" i="4" s="1"/>
  <c r="J4" i="4"/>
  <c r="L4" i="4" s="1"/>
  <c r="J3" i="4"/>
  <c r="L3" i="4" s="1"/>
  <c r="J2" i="4"/>
  <c r="L2" i="4" s="1"/>
  <c r="J66" i="3"/>
  <c r="L66" i="3" s="1"/>
  <c r="J65" i="3"/>
  <c r="L65" i="3" s="1"/>
  <c r="J64" i="3"/>
  <c r="L64" i="3" s="1"/>
  <c r="J63" i="3"/>
  <c r="L63" i="3" s="1"/>
  <c r="J62" i="3"/>
  <c r="L62" i="3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C2" i="1" s="1"/>
  <c r="J52" i="3"/>
  <c r="L52" i="3" s="1"/>
  <c r="J51" i="3"/>
  <c r="L51" i="3" s="1"/>
  <c r="J50" i="3"/>
  <c r="L50" i="3" s="1"/>
  <c r="J49" i="3"/>
  <c r="L49" i="3" s="1"/>
  <c r="B31" i="1" s="1"/>
  <c r="D31" i="1" s="1"/>
  <c r="J48" i="3"/>
  <c r="L48" i="3" s="1"/>
  <c r="J47" i="3"/>
  <c r="L47" i="3" s="1"/>
  <c r="J46" i="3"/>
  <c r="L46" i="3" s="1"/>
  <c r="J45" i="3"/>
  <c r="L45" i="3" s="1"/>
  <c r="J44" i="3"/>
  <c r="L44" i="3" s="1"/>
  <c r="J43" i="3"/>
  <c r="L43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1" i="3"/>
  <c r="L31" i="3" s="1"/>
  <c r="B14" i="1" s="1"/>
  <c r="D14" i="1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8" i="3"/>
  <c r="L18" i="3" s="1"/>
  <c r="J17" i="3"/>
  <c r="L17" i="3" s="1"/>
  <c r="J16" i="3"/>
  <c r="L16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  <c r="J4" i="3"/>
  <c r="L4" i="3" s="1"/>
  <c r="J3" i="3"/>
  <c r="L3" i="3" s="1"/>
  <c r="J2" i="3"/>
  <c r="L2" i="3" s="1"/>
  <c r="J44" i="2"/>
  <c r="L44" i="2" s="1"/>
  <c r="C11" i="1" s="1"/>
  <c r="J43" i="2"/>
  <c r="L43" i="2" s="1"/>
  <c r="C10" i="1" s="1"/>
  <c r="J42" i="2"/>
  <c r="L42" i="2" s="1"/>
  <c r="J41" i="2"/>
  <c r="L41" i="2" s="1"/>
  <c r="J40" i="2"/>
  <c r="L40" i="2" s="1"/>
  <c r="C9" i="1" s="1"/>
  <c r="J39" i="2"/>
  <c r="L39" i="2" s="1"/>
  <c r="C8" i="1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0" i="2"/>
  <c r="L30" i="2" s="1"/>
  <c r="J29" i="2"/>
  <c r="L29" i="2" s="1"/>
  <c r="J28" i="2"/>
  <c r="L28" i="2" s="1"/>
  <c r="J27" i="2"/>
  <c r="L27" i="2" s="1"/>
  <c r="B19" i="1" s="1"/>
  <c r="D19" i="1" s="1"/>
  <c r="J25" i="2"/>
  <c r="L25" i="2" s="1"/>
  <c r="B18" i="1" s="1"/>
  <c r="J24" i="2"/>
  <c r="L24" i="2" s="1"/>
  <c r="B17" i="1" s="1"/>
  <c r="J23" i="2"/>
  <c r="L23" i="2" s="1"/>
  <c r="B16" i="1" s="1"/>
  <c r="J22" i="2"/>
  <c r="L22" i="2" s="1"/>
  <c r="B15" i="1" s="1"/>
  <c r="J20" i="2"/>
  <c r="L20" i="2" s="1"/>
  <c r="J19" i="2"/>
  <c r="L19" i="2" s="1"/>
  <c r="J18" i="2"/>
  <c r="L18" i="2" s="1"/>
  <c r="J17" i="2"/>
  <c r="L17" i="2" s="1"/>
  <c r="B12" i="1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8" i="2"/>
  <c r="L8" i="2" s="1"/>
  <c r="J7" i="2"/>
  <c r="L7" i="2" s="1"/>
  <c r="B5" i="1" s="1"/>
  <c r="J6" i="2"/>
  <c r="L6" i="2" s="1"/>
  <c r="J3" i="2"/>
  <c r="L3" i="2" s="1"/>
  <c r="J2" i="2"/>
  <c r="L2" i="2" s="1"/>
  <c r="C7" i="1" l="1"/>
  <c r="D17" i="1"/>
  <c r="C5" i="1"/>
  <c r="D5" i="1" s="1"/>
  <c r="B10" i="1"/>
  <c r="D10" i="1" s="1"/>
  <c r="C6" i="1"/>
  <c r="D15" i="1"/>
  <c r="C4" i="1"/>
  <c r="D12" i="1"/>
  <c r="D16" i="1"/>
  <c r="B22" i="1"/>
  <c r="D22" i="1" s="1"/>
  <c r="B27" i="1"/>
  <c r="D27" i="1" s="1"/>
  <c r="B30" i="1"/>
  <c r="D30" i="1" s="1"/>
  <c r="B2" i="1"/>
  <c r="D2" i="1" s="1"/>
  <c r="B26" i="1"/>
  <c r="D26" i="1" s="1"/>
  <c r="B3" i="1"/>
  <c r="B29" i="1"/>
  <c r="D29" i="1" s="1"/>
  <c r="D18" i="1"/>
  <c r="B25" i="1"/>
  <c r="D25" i="1" s="1"/>
  <c r="B6" i="1"/>
  <c r="B13" i="1"/>
  <c r="D13" i="1" s="1"/>
  <c r="B8" i="1"/>
  <c r="D8" i="1" s="1"/>
  <c r="B4" i="1"/>
  <c r="B7" i="1"/>
  <c r="D7" i="1" s="1"/>
  <c r="B20" i="1"/>
  <c r="D20" i="1" s="1"/>
  <c r="B9" i="1"/>
  <c r="D9" i="1" s="1"/>
  <c r="B21" i="1"/>
  <c r="D21" i="1" s="1"/>
  <c r="B28" i="1"/>
  <c r="D28" i="1" s="1"/>
  <c r="C3" i="1"/>
  <c r="B11" i="1"/>
  <c r="D11" i="1" s="1"/>
  <c r="D6" i="1" l="1"/>
  <c r="D4" i="1"/>
  <c r="D3" i="1"/>
</calcChain>
</file>

<file path=xl/sharedStrings.xml><?xml version="1.0" encoding="utf-8"?>
<sst xmlns="http://schemas.openxmlformats.org/spreadsheetml/2006/main" count="2121" uniqueCount="147">
  <si>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</si>
  <si>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</si>
  <si>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</si>
  <si>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</si>
  <si>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</si>
  <si>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</si>
  <si>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</si>
  <si>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</si>
  <si>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</si>
  <si>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</si>
  <si>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</si>
  <si>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</si>
  <si>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</si>
  <si>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</si>
  <si>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</si>
  <si>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</si>
  <si>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</si>
  <si>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</si>
  <si>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</si>
  <si>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</si>
  <si>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</si>
  <si>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</si>
  <si>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</si>
  <si>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</si>
  <si>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</si>
  <si>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</si>
  <si>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</si>
  <si>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</si>
  <si>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</si>
  <si>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</si>
  <si>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</si>
  <si>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</si>
  <si>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</si>
  <si>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</si>
  <si>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</si>
  <si>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</si>
  <si>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</si>
  <si>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</si>
  <si>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</si>
  <si>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</si>
  <si>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</si>
  <si>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</si>
  <si>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</si>
  <si>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</si>
  <si>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</si>
  <si>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</si>
  <si>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</si>
  <si>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</si>
  <si>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</si>
  <si>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</si>
  <si>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</si>
  <si>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</si>
  <si>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</si>
  <si>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</si>
  <si>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</si>
  <si>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</si>
  <si>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</si>
  <si>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</si>
  <si>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</si>
  <si>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</si>
  <si>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</si>
  <si>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</si>
  <si>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</si>
  <si>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</si>
  <si>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</si>
  <si>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</si>
  <si>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</si>
  <si>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</si>
  <si>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</si>
  <si>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</si>
  <si>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</si>
  <si>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</si>
  <si>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</si>
  <si>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</si>
  <si>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</si>
  <si>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</si>
  <si>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</si>
  <si>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</si>
  <si>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</si>
  <si>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</si>
  <si>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</si>
  <si>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</si>
  <si>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</si>
  <si>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</si>
  <si>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</si>
  <si>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</si>
  <si>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</si>
  <si>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</si>
  <si>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</si>
  <si>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</si>
  <si>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</si>
  <si>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</si>
  <si>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</si>
  <si>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</si>
  <si>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</si>
  <si>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</si>
  <si>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</si>
  <si>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</si>
  <si>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</si>
  <si>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</si>
  <si>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</si>
  <si>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</si>
  <si>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Barbados Turp</t>
  </si>
  <si>
    <t>17g</t>
  </si>
  <si>
    <t>Potatoes</t>
  </si>
  <si>
    <t>79449g</t>
  </si>
  <si>
    <t>8t 2h 6g</t>
  </si>
  <si>
    <t>342.5 bags</t>
  </si>
  <si>
    <t>68g</t>
  </si>
  <si>
    <t>29804g</t>
  </si>
  <si>
    <t>54t 1h 22g</t>
  </si>
  <si>
    <t>70g</t>
  </si>
  <si>
    <t>124bags</t>
  </si>
  <si>
    <t>24g</t>
  </si>
  <si>
    <t>202666.5g</t>
  </si>
  <si>
    <t>13t 3h 31g</t>
  </si>
  <si>
    <t>Wood, Cocus</t>
  </si>
  <si>
    <t>765bag</t>
  </si>
  <si>
    <t>13373g</t>
  </si>
  <si>
    <t>Vinegar</t>
  </si>
  <si>
    <t>22g</t>
  </si>
  <si>
    <t>14t 35g</t>
  </si>
  <si>
    <t>55 bags</t>
  </si>
  <si>
    <t>8g</t>
  </si>
  <si>
    <t>1274g</t>
  </si>
  <si>
    <t>1t 45g</t>
  </si>
  <si>
    <t>8 bags</t>
  </si>
  <si>
    <t>4.25g</t>
  </si>
  <si>
    <t>33974g</t>
  </si>
  <si>
    <t>1h 50g</t>
  </si>
  <si>
    <t>284.5bags</t>
  </si>
  <si>
    <t>9693g</t>
  </si>
  <si>
    <t>6t 1h</t>
  </si>
  <si>
    <t>685 bags</t>
  </si>
  <si>
    <t>15448g</t>
  </si>
  <si>
    <t>6t 1h 25g</t>
  </si>
  <si>
    <t>680bags</t>
  </si>
  <si>
    <t>85g</t>
  </si>
  <si>
    <t>52687g</t>
  </si>
  <si>
    <t>7t 1h 6g</t>
  </si>
  <si>
    <t>844bags</t>
  </si>
  <si>
    <t>3189g</t>
  </si>
  <si>
    <t>23bags</t>
  </si>
  <si>
    <t>2520g</t>
  </si>
  <si>
    <t>44bags</t>
  </si>
  <si>
    <t>5903g</t>
  </si>
  <si>
    <t>350bags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</si>
</sst>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1.4285714285714286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1.4285714285714286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0.97499999999999998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1.2749999999999999</v>
      </c>
      <c r="D3">
        <f t="shared" ref="D3:D31" si="0">B3+C3</f>
        <v>2.25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23118.951339285715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9125.2040178571424</v>
      </c>
      <c r="D4">
        <f t="shared" si="0"/>
        <v>32244.155357142859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83.491071428571431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9.8656250000000014</v>
      </c>
      <c r="D6">
        <f t="shared" si="0"/>
        <v>93.356696428571439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145.68214285714285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240.96428571428569</v>
      </c>
      <c r="D7">
        <f t="shared" si="0"/>
        <v>386.64642857142854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75.255357142857136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48.124107142857142</v>
      </c>
      <c r="D8">
        <f t="shared" si="0"/>
        <v>123.37946428571428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10.11875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23.287500000000001</v>
      </c>
      <c r="D9">
        <f t="shared" si="0"/>
        <v>33.40625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47.773214285714282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13.649999999999999</v>
      </c>
      <c r="D10">
        <f t="shared" si="0"/>
        <v>61.42321428571428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405.1875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111.85178571428571</v>
      </c>
      <c r="D11">
        <f t="shared" si="0"/>
        <v>517.03928571428571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0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0.3794642857142857</v>
      </c>
      <c r="D12">
        <f t="shared" si="0"/>
        <v>0.3794642857142857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8.9285714285714281E-3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0.30669642857142859</v>
      </c>
      <c r="D13">
        <f t="shared" si="0"/>
        <v>0.31562500000000004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61.513392857142854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85.702678571428578</v>
      </c>
      <c r="D14">
        <f t="shared" si="0"/>
        <v>147.21607142857144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8.5500000000000007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0</v>
      </c>
      <c r="D15">
        <f t="shared" si="0"/>
        <v>8.5500000000000007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1609.9691964285714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399.38794642857141</v>
      </c>
      <c r="D16">
        <f t="shared" si="0"/>
        <v>2009.3571428571429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1.0375000000000001</v>
      </c>
      <c r="D17">
        <f t="shared" si="0"/>
        <v>1.0375000000000001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8.0866071428571438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0.16160714285714287</v>
      </c>
      <c r="D18">
        <f t="shared" si="0"/>
        <v>8.2482142857142868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1.7857142857142857E-3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</v>
      </c>
      <c r="D19">
        <f t="shared" si="0"/>
        <v>1.7857142857142857E-3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0.99419642857142865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</v>
      </c>
      <c r="D20">
        <f t="shared" si="0"/>
        <v>0.99419642857142865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0.43125000000000002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0.43125000000000002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89.340178571428581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19.187946428571429</v>
      </c>
      <c r="D26">
        <f t="shared" si="0"/>
        <v>108.52812500000002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5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358.58348214285718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164.87410714285713</v>
      </c>
      <c r="D28">
        <f t="shared" si="0"/>
        <v>523.45758928571433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155.27500000000001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86.804464285714289</v>
      </c>
      <c r="D29">
        <f t="shared" si="0"/>
        <v>242.07946428571429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10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36.170982142857142</v>
      </c>
      <c r="D30">
        <f t="shared" si="0"/>
        <v>46.170982142857142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topLeftCell="A46"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1"/>
  <sheetViews>
    <sheetView workbookViewId="0">
      <pane ySplit="1" topLeftCell="A6" activePane="bottomLeft" state="frozen"/>
      <selection pane="bottomLeft" activeCell="H39" sqref="H39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1745</v>
      </c>
      <c r="B2" t="s">
        <v>38</v>
      </c>
      <c r="C2" t="s">
        <v>55</v>
      </c>
      <c r="D2" t="s">
        <v>33</v>
      </c>
      <c r="J2">
        <f t="shared" ref="J2:J61" si="0">(E2*2240)+(F2*112)+(G2*28)+H2</f>
        <v>0</v>
      </c>
      <c r="L2">
        <f t="shared" ref="L2:L61" si="1">J2/2240</f>
        <v>0</v>
      </c>
    </row>
    <row r="3" spans="1:15" x14ac:dyDescent="0.25">
      <c r="A3">
        <v>1745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1745</v>
      </c>
      <c r="B4" t="s">
        <v>102</v>
      </c>
      <c r="C4" t="s">
        <v>55</v>
      </c>
      <c r="D4" t="s">
        <v>33</v>
      </c>
      <c r="H4">
        <v>85</v>
      </c>
      <c r="J4">
        <f t="shared" si="0"/>
        <v>85</v>
      </c>
      <c r="L4">
        <f t="shared" si="1"/>
        <v>3.7946428571428568E-2</v>
      </c>
    </row>
    <row r="5" spans="1:15" x14ac:dyDescent="0.25">
      <c r="A5">
        <v>1745</v>
      </c>
      <c r="B5" t="s">
        <v>5</v>
      </c>
      <c r="C5" t="s">
        <v>55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1745</v>
      </c>
      <c r="B6" t="s">
        <v>6</v>
      </c>
      <c r="C6" t="s">
        <v>55</v>
      </c>
      <c r="D6" t="s">
        <v>33</v>
      </c>
      <c r="F6">
        <v>106865</v>
      </c>
      <c r="G6">
        <v>1</v>
      </c>
      <c r="H6">
        <v>5</v>
      </c>
      <c r="J6">
        <f t="shared" si="0"/>
        <v>11968913</v>
      </c>
      <c r="L6">
        <f t="shared" si="1"/>
        <v>5343.2647321428567</v>
      </c>
    </row>
    <row r="7" spans="1:15" x14ac:dyDescent="0.25">
      <c r="A7">
        <v>1745</v>
      </c>
      <c r="B7" t="s">
        <v>7</v>
      </c>
      <c r="C7" t="s">
        <v>55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1745</v>
      </c>
      <c r="B8" t="s">
        <v>8</v>
      </c>
      <c r="C8" t="s">
        <v>55</v>
      </c>
      <c r="D8" t="s">
        <v>33</v>
      </c>
      <c r="F8">
        <v>2</v>
      </c>
      <c r="J8">
        <f t="shared" si="0"/>
        <v>224</v>
      </c>
      <c r="L8">
        <f t="shared" si="1"/>
        <v>0.1</v>
      </c>
    </row>
    <row r="9" spans="1:15" x14ac:dyDescent="0.25">
      <c r="A9">
        <v>1745</v>
      </c>
      <c r="B9" t="s">
        <v>48</v>
      </c>
      <c r="C9" t="s">
        <v>55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1745</v>
      </c>
      <c r="B10" t="s">
        <v>9</v>
      </c>
      <c r="C10" t="s">
        <v>55</v>
      </c>
      <c r="D10" t="s">
        <v>33</v>
      </c>
      <c r="H10">
        <f>342.5*200</f>
        <v>68500</v>
      </c>
      <c r="I10" t="s">
        <v>107</v>
      </c>
      <c r="J10">
        <f t="shared" si="0"/>
        <v>68500</v>
      </c>
      <c r="L10">
        <f t="shared" si="1"/>
        <v>30.580357142857142</v>
      </c>
    </row>
    <row r="11" spans="1:15" x14ac:dyDescent="0.25">
      <c r="A11">
        <v>1745</v>
      </c>
      <c r="B11" t="s">
        <v>10</v>
      </c>
      <c r="C11" t="s">
        <v>55</v>
      </c>
      <c r="D11" t="s">
        <v>33</v>
      </c>
      <c r="F11">
        <v>128</v>
      </c>
      <c r="G11">
        <v>3</v>
      </c>
      <c r="J11">
        <f t="shared" si="0"/>
        <v>14420</v>
      </c>
      <c r="L11">
        <f t="shared" si="1"/>
        <v>6.4375</v>
      </c>
    </row>
    <row r="12" spans="1:15" x14ac:dyDescent="0.25">
      <c r="A12">
        <v>1745</v>
      </c>
      <c r="B12" t="s">
        <v>11</v>
      </c>
      <c r="C12" t="s">
        <v>55</v>
      </c>
      <c r="D12" t="s">
        <v>33</v>
      </c>
      <c r="F12">
        <v>5</v>
      </c>
      <c r="J12">
        <f t="shared" si="0"/>
        <v>560</v>
      </c>
      <c r="L12">
        <f t="shared" si="1"/>
        <v>0.25</v>
      </c>
    </row>
    <row r="13" spans="1:15" x14ac:dyDescent="0.25">
      <c r="A13">
        <v>1745</v>
      </c>
      <c r="B13" t="s">
        <v>41</v>
      </c>
      <c r="C13" t="s">
        <v>55</v>
      </c>
      <c r="D13" t="s">
        <v>33</v>
      </c>
      <c r="H13">
        <v>96</v>
      </c>
      <c r="J13">
        <f t="shared" si="0"/>
        <v>96</v>
      </c>
      <c r="L13">
        <f t="shared" si="1"/>
        <v>4.2857142857142858E-2</v>
      </c>
    </row>
    <row r="14" spans="1:15" x14ac:dyDescent="0.25">
      <c r="A14">
        <v>1745</v>
      </c>
      <c r="B14" t="s">
        <v>12</v>
      </c>
      <c r="C14" t="s">
        <v>55</v>
      </c>
      <c r="D14" t="s">
        <v>33</v>
      </c>
      <c r="H14">
        <v>2220</v>
      </c>
      <c r="J14">
        <f t="shared" si="0"/>
        <v>2220</v>
      </c>
      <c r="L14">
        <f t="shared" si="1"/>
        <v>0.9910714285714286</v>
      </c>
    </row>
    <row r="15" spans="1:15" x14ac:dyDescent="0.25">
      <c r="A15">
        <v>1745</v>
      </c>
      <c r="B15" t="s">
        <v>34</v>
      </c>
      <c r="C15" t="s">
        <v>55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1745</v>
      </c>
      <c r="B16" t="s">
        <v>13</v>
      </c>
      <c r="C16" t="s">
        <v>55</v>
      </c>
      <c r="D16" t="s">
        <v>33</v>
      </c>
      <c r="E16">
        <v>118</v>
      </c>
      <c r="F16">
        <v>10</v>
      </c>
      <c r="J16">
        <f t="shared" si="0"/>
        <v>265440</v>
      </c>
      <c r="L16">
        <f t="shared" si="1"/>
        <v>118.5</v>
      </c>
    </row>
    <row r="17" spans="1:12" x14ac:dyDescent="0.25">
      <c r="A17">
        <v>1745</v>
      </c>
      <c r="B17" t="s">
        <v>14</v>
      </c>
      <c r="C17" t="s">
        <v>55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1745</v>
      </c>
      <c r="B18" t="s">
        <v>27</v>
      </c>
      <c r="C18" t="s">
        <v>55</v>
      </c>
      <c r="D18" t="s">
        <v>33</v>
      </c>
      <c r="H18">
        <v>18425</v>
      </c>
      <c r="I18" t="s">
        <v>106</v>
      </c>
      <c r="J18">
        <f t="shared" si="0"/>
        <v>18425</v>
      </c>
      <c r="L18">
        <f t="shared" si="1"/>
        <v>8.2254464285714288</v>
      </c>
    </row>
    <row r="19" spans="1:12" x14ac:dyDescent="0.25">
      <c r="A19">
        <v>1745</v>
      </c>
      <c r="B19" t="s">
        <v>15</v>
      </c>
      <c r="C19" t="s">
        <v>55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1745</v>
      </c>
      <c r="B20" t="s">
        <v>49</v>
      </c>
      <c r="C20" t="s">
        <v>55</v>
      </c>
      <c r="D20" t="s">
        <v>33</v>
      </c>
      <c r="H20">
        <v>170</v>
      </c>
      <c r="I20" t="s">
        <v>103</v>
      </c>
      <c r="J20">
        <f t="shared" si="0"/>
        <v>170</v>
      </c>
      <c r="L20">
        <f t="shared" si="1"/>
        <v>7.5892857142857137E-2</v>
      </c>
    </row>
    <row r="21" spans="1:12" x14ac:dyDescent="0.25">
      <c r="A21">
        <v>1745</v>
      </c>
      <c r="B21" t="s">
        <v>104</v>
      </c>
      <c r="C21" t="s">
        <v>55</v>
      </c>
      <c r="D21" t="s">
        <v>33</v>
      </c>
      <c r="F21">
        <v>1</v>
      </c>
      <c r="H21">
        <v>14</v>
      </c>
      <c r="J21">
        <f t="shared" si="0"/>
        <v>126</v>
      </c>
      <c r="L21">
        <f t="shared" si="1"/>
        <v>5.6250000000000001E-2</v>
      </c>
    </row>
    <row r="22" spans="1:12" x14ac:dyDescent="0.25">
      <c r="A22">
        <v>1745</v>
      </c>
      <c r="B22" t="s">
        <v>17</v>
      </c>
      <c r="C22" t="s">
        <v>55</v>
      </c>
      <c r="D22" t="s">
        <v>33</v>
      </c>
      <c r="F22">
        <v>30</v>
      </c>
      <c r="J22">
        <f t="shared" si="0"/>
        <v>3360</v>
      </c>
      <c r="L22">
        <f t="shared" si="1"/>
        <v>1.5</v>
      </c>
    </row>
    <row r="23" spans="1:12" x14ac:dyDescent="0.25">
      <c r="A23">
        <v>1745</v>
      </c>
      <c r="B23" t="s">
        <v>18</v>
      </c>
      <c r="C23" t="s">
        <v>55</v>
      </c>
      <c r="D23" t="s">
        <v>33</v>
      </c>
      <c r="H23">
        <v>794694</v>
      </c>
      <c r="I23" t="s">
        <v>105</v>
      </c>
      <c r="J23">
        <f t="shared" si="0"/>
        <v>794694</v>
      </c>
      <c r="L23">
        <f t="shared" si="1"/>
        <v>354.77410714285713</v>
      </c>
    </row>
    <row r="24" spans="1:12" x14ac:dyDescent="0.25">
      <c r="A24">
        <v>1745</v>
      </c>
      <c r="B24" t="s">
        <v>19</v>
      </c>
      <c r="C24" t="s">
        <v>55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1745</v>
      </c>
      <c r="B25" t="s">
        <v>56</v>
      </c>
      <c r="C25" t="s">
        <v>55</v>
      </c>
      <c r="D25" t="s">
        <v>33</v>
      </c>
      <c r="H25">
        <v>577</v>
      </c>
      <c r="J25">
        <f t="shared" si="0"/>
        <v>577</v>
      </c>
      <c r="L25">
        <f t="shared" si="1"/>
        <v>0.25758928571428569</v>
      </c>
    </row>
    <row r="26" spans="1:12" x14ac:dyDescent="0.25">
      <c r="A26">
        <v>1745</v>
      </c>
      <c r="B26" t="s">
        <v>90</v>
      </c>
      <c r="C26" t="s">
        <v>55</v>
      </c>
      <c r="D26" t="s">
        <v>33</v>
      </c>
      <c r="H26">
        <v>159</v>
      </c>
      <c r="J26">
        <f t="shared" si="0"/>
        <v>159</v>
      </c>
      <c r="L26">
        <f t="shared" si="1"/>
        <v>7.0982142857142855E-2</v>
      </c>
    </row>
    <row r="27" spans="1:12" x14ac:dyDescent="0.25">
      <c r="A27">
        <v>1745</v>
      </c>
      <c r="B27" t="s">
        <v>20</v>
      </c>
      <c r="C27" t="s">
        <v>55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1745</v>
      </c>
      <c r="B28" t="s">
        <v>21</v>
      </c>
      <c r="C28" t="s">
        <v>55</v>
      </c>
      <c r="D28" t="s">
        <v>33</v>
      </c>
      <c r="H28">
        <v>76</v>
      </c>
      <c r="J28">
        <f t="shared" si="0"/>
        <v>76</v>
      </c>
      <c r="L28">
        <f t="shared" si="1"/>
        <v>3.3928571428571426E-2</v>
      </c>
    </row>
    <row r="29" spans="1:12" x14ac:dyDescent="0.25">
      <c r="A29">
        <v>1745</v>
      </c>
      <c r="B29" t="s">
        <v>94</v>
      </c>
      <c r="C29" t="s">
        <v>55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1745</v>
      </c>
      <c r="B30" t="s">
        <v>22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1745</v>
      </c>
      <c r="B31" t="s">
        <v>96</v>
      </c>
      <c r="C31" t="s">
        <v>55</v>
      </c>
      <c r="D31" t="s">
        <v>33</v>
      </c>
      <c r="E31">
        <v>2</v>
      </c>
      <c r="J31">
        <f t="shared" si="0"/>
        <v>4480</v>
      </c>
      <c r="L31">
        <f t="shared" si="1"/>
        <v>2</v>
      </c>
    </row>
    <row r="32" spans="1:12" x14ac:dyDescent="0.25">
      <c r="A32">
        <v>1745</v>
      </c>
      <c r="B32" t="s">
        <v>64</v>
      </c>
      <c r="C32" t="s">
        <v>55</v>
      </c>
      <c r="D32" t="s">
        <v>33</v>
      </c>
      <c r="E32">
        <v>121</v>
      </c>
      <c r="F32">
        <v>10</v>
      </c>
      <c r="G32">
        <v>3</v>
      </c>
      <c r="H32">
        <v>10</v>
      </c>
      <c r="J32">
        <f t="shared" si="0"/>
        <v>272254</v>
      </c>
      <c r="L32">
        <f t="shared" si="1"/>
        <v>121.54196428571429</v>
      </c>
    </row>
    <row r="33" spans="1:12" x14ac:dyDescent="0.25">
      <c r="A33">
        <v>1745</v>
      </c>
      <c r="B33" t="s">
        <v>93</v>
      </c>
      <c r="C33" t="s">
        <v>55</v>
      </c>
      <c r="D33" t="s">
        <v>33</v>
      </c>
      <c r="E33">
        <v>12</v>
      </c>
      <c r="J33">
        <f t="shared" si="0"/>
        <v>26880</v>
      </c>
      <c r="L33">
        <f t="shared" si="1"/>
        <v>12</v>
      </c>
    </row>
    <row r="34" spans="1:12" x14ac:dyDescent="0.25">
      <c r="A34">
        <v>1745</v>
      </c>
      <c r="B34" t="s">
        <v>5</v>
      </c>
      <c r="C34" t="s">
        <v>55</v>
      </c>
      <c r="D34" t="s">
        <v>35</v>
      </c>
      <c r="J34">
        <f t="shared" si="0"/>
        <v>0</v>
      </c>
      <c r="L34">
        <f t="shared" si="1"/>
        <v>0</v>
      </c>
    </row>
    <row r="35" spans="1:12" x14ac:dyDescent="0.25">
      <c r="A35">
        <v>1745</v>
      </c>
      <c r="B35" t="s">
        <v>6</v>
      </c>
      <c r="C35" t="s">
        <v>55</v>
      </c>
      <c r="D35" t="s">
        <v>35</v>
      </c>
      <c r="F35">
        <v>16343</v>
      </c>
      <c r="G35">
        <v>3</v>
      </c>
      <c r="J35">
        <f t="shared" si="0"/>
        <v>1830500</v>
      </c>
      <c r="L35">
        <f t="shared" si="1"/>
        <v>817.1875</v>
      </c>
    </row>
    <row r="36" spans="1:12" x14ac:dyDescent="0.25">
      <c r="A36">
        <v>1745</v>
      </c>
      <c r="B36" t="s">
        <v>37</v>
      </c>
      <c r="C36" t="s">
        <v>55</v>
      </c>
      <c r="D36" t="s">
        <v>35</v>
      </c>
      <c r="J36">
        <f t="shared" si="0"/>
        <v>0</v>
      </c>
      <c r="L36">
        <f t="shared" si="1"/>
        <v>0</v>
      </c>
    </row>
    <row r="37" spans="1:12" x14ac:dyDescent="0.25">
      <c r="A37">
        <v>1745</v>
      </c>
      <c r="B37" t="s">
        <v>8</v>
      </c>
      <c r="C37" t="s">
        <v>55</v>
      </c>
      <c r="D37" t="s">
        <v>35</v>
      </c>
      <c r="J37">
        <f t="shared" si="0"/>
        <v>0</v>
      </c>
      <c r="L37">
        <f t="shared" si="1"/>
        <v>0</v>
      </c>
    </row>
    <row r="38" spans="1:12" x14ac:dyDescent="0.25">
      <c r="A38">
        <v>1745</v>
      </c>
      <c r="B38" t="s">
        <v>9</v>
      </c>
      <c r="C38" t="s">
        <v>55</v>
      </c>
      <c r="D38" t="s">
        <v>35</v>
      </c>
      <c r="H38">
        <f>685*200</f>
        <v>137000</v>
      </c>
      <c r="I38" t="s">
        <v>133</v>
      </c>
      <c r="J38">
        <f t="shared" si="0"/>
        <v>137000</v>
      </c>
      <c r="L38">
        <f t="shared" si="1"/>
        <v>61.160714285714285</v>
      </c>
    </row>
    <row r="39" spans="1:12" x14ac:dyDescent="0.25">
      <c r="A39">
        <v>1745</v>
      </c>
      <c r="B39" t="s">
        <v>10</v>
      </c>
      <c r="C39" t="s">
        <v>55</v>
      </c>
      <c r="D39" t="s">
        <v>35</v>
      </c>
      <c r="F39">
        <v>38</v>
      </c>
      <c r="G39">
        <v>2</v>
      </c>
      <c r="H39">
        <v>23</v>
      </c>
      <c r="J39">
        <f t="shared" si="0"/>
        <v>4335</v>
      </c>
      <c r="L39">
        <f t="shared" si="1"/>
        <v>1.9352678571428572</v>
      </c>
    </row>
    <row r="40" spans="1:12" x14ac:dyDescent="0.25">
      <c r="A40">
        <v>1745</v>
      </c>
      <c r="B40" t="s">
        <v>11</v>
      </c>
      <c r="C40" t="s">
        <v>55</v>
      </c>
      <c r="D40" t="s">
        <v>35</v>
      </c>
      <c r="J40">
        <f t="shared" si="0"/>
        <v>0</v>
      </c>
      <c r="L40">
        <f t="shared" si="1"/>
        <v>0</v>
      </c>
    </row>
    <row r="41" spans="1:12" x14ac:dyDescent="0.25">
      <c r="A41">
        <v>1745</v>
      </c>
      <c r="B41" t="s">
        <v>36</v>
      </c>
      <c r="C41" t="s">
        <v>55</v>
      </c>
      <c r="D41" t="s">
        <v>35</v>
      </c>
      <c r="J41">
        <f t="shared" si="0"/>
        <v>0</v>
      </c>
      <c r="L41">
        <f t="shared" si="1"/>
        <v>0</v>
      </c>
    </row>
    <row r="42" spans="1:12" x14ac:dyDescent="0.25">
      <c r="A42">
        <v>1745</v>
      </c>
      <c r="B42" t="s">
        <v>41</v>
      </c>
      <c r="C42" t="s">
        <v>55</v>
      </c>
      <c r="D42" t="s">
        <v>35</v>
      </c>
      <c r="J42">
        <f t="shared" si="0"/>
        <v>0</v>
      </c>
      <c r="L42">
        <f t="shared" si="1"/>
        <v>0</v>
      </c>
    </row>
    <row r="43" spans="1:12" x14ac:dyDescent="0.25">
      <c r="A43">
        <v>1745</v>
      </c>
      <c r="B43" t="s">
        <v>12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1745</v>
      </c>
      <c r="B44" t="s">
        <v>13</v>
      </c>
      <c r="C44" t="s">
        <v>55</v>
      </c>
      <c r="D44" t="s">
        <v>35</v>
      </c>
      <c r="E44">
        <v>22</v>
      </c>
      <c r="F44">
        <v>19</v>
      </c>
      <c r="G44">
        <v>1</v>
      </c>
      <c r="H44">
        <v>4</v>
      </c>
      <c r="J44">
        <f t="shared" si="0"/>
        <v>51440</v>
      </c>
      <c r="L44">
        <f t="shared" si="1"/>
        <v>22.964285714285715</v>
      </c>
    </row>
    <row r="45" spans="1:12" x14ac:dyDescent="0.25">
      <c r="A45">
        <v>1745</v>
      </c>
      <c r="B45" t="s">
        <v>14</v>
      </c>
      <c r="C45" t="s">
        <v>55</v>
      </c>
      <c r="D45" t="s">
        <v>35</v>
      </c>
      <c r="J45">
        <f t="shared" si="0"/>
        <v>0</v>
      </c>
      <c r="L45">
        <f t="shared" si="1"/>
        <v>0</v>
      </c>
    </row>
    <row r="46" spans="1:12" x14ac:dyDescent="0.25">
      <c r="A46">
        <v>1745</v>
      </c>
      <c r="B46" t="s">
        <v>27</v>
      </c>
      <c r="C46" t="s">
        <v>55</v>
      </c>
      <c r="D46" t="s">
        <v>35</v>
      </c>
      <c r="H46">
        <v>13503</v>
      </c>
      <c r="I46" t="s">
        <v>132</v>
      </c>
      <c r="J46">
        <f t="shared" si="0"/>
        <v>13503</v>
      </c>
      <c r="L46">
        <f t="shared" si="1"/>
        <v>6.0281250000000002</v>
      </c>
    </row>
    <row r="47" spans="1:12" x14ac:dyDescent="0.25">
      <c r="A47">
        <v>1745</v>
      </c>
      <c r="B47" t="s">
        <v>15</v>
      </c>
      <c r="C47" t="s">
        <v>55</v>
      </c>
      <c r="D47" t="s">
        <v>35</v>
      </c>
      <c r="J47">
        <f t="shared" si="0"/>
        <v>0</v>
      </c>
      <c r="L47">
        <f t="shared" si="1"/>
        <v>0</v>
      </c>
    </row>
    <row r="48" spans="1:12" x14ac:dyDescent="0.25">
      <c r="A48">
        <v>1745</v>
      </c>
      <c r="B48" t="s">
        <v>49</v>
      </c>
      <c r="C48" t="s">
        <v>55</v>
      </c>
      <c r="D48" t="s">
        <v>35</v>
      </c>
      <c r="J48">
        <f t="shared" si="0"/>
        <v>0</v>
      </c>
      <c r="L48">
        <f t="shared" si="1"/>
        <v>0</v>
      </c>
    </row>
    <row r="49" spans="1:12" x14ac:dyDescent="0.25">
      <c r="A49">
        <v>1745</v>
      </c>
      <c r="B49" t="s">
        <v>17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1745</v>
      </c>
      <c r="B50" t="s">
        <v>18</v>
      </c>
      <c r="C50" t="s">
        <v>55</v>
      </c>
      <c r="D50" t="s">
        <v>35</v>
      </c>
      <c r="H50">
        <v>96955</v>
      </c>
      <c r="I50" t="s">
        <v>131</v>
      </c>
      <c r="J50">
        <f t="shared" si="0"/>
        <v>96955</v>
      </c>
      <c r="L50">
        <f t="shared" si="1"/>
        <v>43.283482142857146</v>
      </c>
    </row>
    <row r="51" spans="1:12" x14ac:dyDescent="0.25">
      <c r="A51">
        <v>1745</v>
      </c>
      <c r="B51" t="s">
        <v>19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1745</v>
      </c>
      <c r="B52" t="s">
        <v>56</v>
      </c>
      <c r="C52" t="s">
        <v>55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1745</v>
      </c>
      <c r="B53" t="s">
        <v>90</v>
      </c>
      <c r="C53" t="s">
        <v>55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1745</v>
      </c>
      <c r="B54" t="s">
        <v>20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1745</v>
      </c>
      <c r="B55" t="s">
        <v>21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1745</v>
      </c>
      <c r="B56" t="s">
        <v>95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1745</v>
      </c>
      <c r="B57" t="s">
        <v>22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1745</v>
      </c>
      <c r="B58" t="s">
        <v>63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1745</v>
      </c>
      <c r="B59" t="s">
        <v>96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1745</v>
      </c>
      <c r="B60" t="s">
        <v>64</v>
      </c>
      <c r="C60" t="s">
        <v>55</v>
      </c>
      <c r="D60" t="s">
        <v>35</v>
      </c>
      <c r="E60">
        <v>49</v>
      </c>
      <c r="F60">
        <v>13</v>
      </c>
      <c r="H60">
        <v>12</v>
      </c>
      <c r="J60">
        <f t="shared" si="0"/>
        <v>111228</v>
      </c>
      <c r="L60">
        <f t="shared" si="1"/>
        <v>49.655357142857142</v>
      </c>
    </row>
    <row r="61" spans="1:12" x14ac:dyDescent="0.25">
      <c r="A61">
        <v>1745</v>
      </c>
      <c r="B61" t="s">
        <v>65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8"/>
  <sheetViews>
    <sheetView topLeftCell="A32" workbookViewId="0">
      <selection activeCell="I65" sqref="I6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1745</v>
      </c>
      <c r="B2" t="s">
        <v>57</v>
      </c>
      <c r="C2" t="s">
        <v>58</v>
      </c>
      <c r="D2" t="s">
        <v>33</v>
      </c>
      <c r="J2">
        <f t="shared" ref="J2:J51" si="0">(E2*2240)+(F2*112)+(G2*28)+H2</f>
        <v>0</v>
      </c>
      <c r="L2">
        <f t="shared" ref="L2:L7" si="1">J2/2240</f>
        <v>0</v>
      </c>
    </row>
    <row r="3" spans="1:12" x14ac:dyDescent="0.25">
      <c r="A3">
        <v>1745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1745</v>
      </c>
      <c r="B4" t="s">
        <v>38</v>
      </c>
      <c r="C4" t="s">
        <v>58</v>
      </c>
      <c r="D4" t="s">
        <v>33</v>
      </c>
      <c r="H4">
        <v>21889</v>
      </c>
      <c r="J4">
        <f t="shared" si="0"/>
        <v>21889</v>
      </c>
      <c r="L4">
        <f t="shared" si="1"/>
        <v>9.7718749999999996</v>
      </c>
    </row>
    <row r="5" spans="1:12" x14ac:dyDescent="0.25">
      <c r="A5">
        <v>1745</v>
      </c>
      <c r="B5" t="s">
        <v>4</v>
      </c>
      <c r="C5" t="s">
        <v>58</v>
      </c>
      <c r="D5" t="s">
        <v>33</v>
      </c>
      <c r="H5">
        <v>3200</v>
      </c>
      <c r="J5">
        <f t="shared" si="0"/>
        <v>3200</v>
      </c>
      <c r="L5">
        <f t="shared" si="1"/>
        <v>1.4285714285714286</v>
      </c>
    </row>
    <row r="6" spans="1:12" x14ac:dyDescent="0.25">
      <c r="A6">
        <v>1745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1745</v>
      </c>
      <c r="B7" t="s">
        <v>97</v>
      </c>
      <c r="C7" t="s">
        <v>58</v>
      </c>
      <c r="D7" t="s">
        <v>33</v>
      </c>
      <c r="H7">
        <v>336</v>
      </c>
      <c r="J7">
        <f t="shared" si="0"/>
        <v>336</v>
      </c>
      <c r="L7">
        <f t="shared" si="1"/>
        <v>0.15</v>
      </c>
    </row>
    <row r="8" spans="1:12" x14ac:dyDescent="0.25">
      <c r="A8">
        <v>1745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ref="L8" si="2">J8/2240</f>
        <v>0</v>
      </c>
    </row>
    <row r="9" spans="1:12" x14ac:dyDescent="0.25">
      <c r="A9">
        <v>1745</v>
      </c>
      <c r="B9" t="s">
        <v>5</v>
      </c>
      <c r="C9" t="s">
        <v>58</v>
      </c>
      <c r="D9" t="s">
        <v>33</v>
      </c>
      <c r="F9">
        <v>19</v>
      </c>
      <c r="G9">
        <v>2</v>
      </c>
      <c r="J9">
        <f t="shared" si="0"/>
        <v>2184</v>
      </c>
      <c r="L9">
        <f t="shared" ref="L9:L51" si="3">J9/2240</f>
        <v>0.97499999999999998</v>
      </c>
    </row>
    <row r="10" spans="1:12" x14ac:dyDescent="0.25">
      <c r="A10">
        <v>1745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3"/>
        <v>0</v>
      </c>
    </row>
    <row r="11" spans="1:12" x14ac:dyDescent="0.25">
      <c r="A11">
        <v>1745</v>
      </c>
      <c r="B11" t="s">
        <v>6</v>
      </c>
      <c r="C11" t="s">
        <v>58</v>
      </c>
      <c r="D11" t="s">
        <v>33</v>
      </c>
      <c r="F11">
        <v>76897</v>
      </c>
      <c r="G11">
        <v>2</v>
      </c>
      <c r="H11">
        <v>18</v>
      </c>
      <c r="J11">
        <f t="shared" si="0"/>
        <v>8612538</v>
      </c>
      <c r="L11">
        <f t="shared" si="3"/>
        <v>3844.8830357142856</v>
      </c>
    </row>
    <row r="12" spans="1:12" x14ac:dyDescent="0.25">
      <c r="A12">
        <v>1745</v>
      </c>
      <c r="B12" t="s">
        <v>62</v>
      </c>
      <c r="C12" t="s">
        <v>58</v>
      </c>
      <c r="D12" t="s">
        <v>33</v>
      </c>
      <c r="H12">
        <v>657</v>
      </c>
      <c r="J12">
        <f t="shared" si="0"/>
        <v>657</v>
      </c>
      <c r="L12">
        <f t="shared" si="3"/>
        <v>0.29330357142857144</v>
      </c>
    </row>
    <row r="13" spans="1:12" x14ac:dyDescent="0.25">
      <c r="A13">
        <v>1745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3"/>
        <v>0</v>
      </c>
    </row>
    <row r="14" spans="1:12" x14ac:dyDescent="0.25">
      <c r="A14">
        <v>1745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3"/>
        <v>0</v>
      </c>
    </row>
    <row r="15" spans="1:12" x14ac:dyDescent="0.25">
      <c r="A15">
        <v>1745</v>
      </c>
      <c r="B15" t="s">
        <v>8</v>
      </c>
      <c r="C15" t="s">
        <v>58</v>
      </c>
      <c r="D15" t="s">
        <v>33</v>
      </c>
      <c r="F15">
        <v>18</v>
      </c>
      <c r="G15">
        <v>2</v>
      </c>
      <c r="H15">
        <v>24</v>
      </c>
      <c r="J15">
        <f t="shared" si="0"/>
        <v>2096</v>
      </c>
      <c r="L15">
        <f t="shared" si="3"/>
        <v>0.93571428571428572</v>
      </c>
    </row>
    <row r="16" spans="1:12" x14ac:dyDescent="0.25">
      <c r="A16">
        <v>1745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3"/>
        <v>0</v>
      </c>
    </row>
    <row r="17" spans="1:12" x14ac:dyDescent="0.25">
      <c r="A17">
        <v>1745</v>
      </c>
      <c r="B17" t="s">
        <v>9</v>
      </c>
      <c r="C17" t="s">
        <v>58</v>
      </c>
      <c r="D17" t="s">
        <v>33</v>
      </c>
      <c r="F17">
        <v>14</v>
      </c>
      <c r="H17">
        <f>124*200</f>
        <v>24800</v>
      </c>
      <c r="I17" t="s">
        <v>112</v>
      </c>
      <c r="J17">
        <f t="shared" si="0"/>
        <v>26368</v>
      </c>
      <c r="L17">
        <f t="shared" si="3"/>
        <v>11.771428571428572</v>
      </c>
    </row>
    <row r="18" spans="1:12" x14ac:dyDescent="0.25">
      <c r="A18">
        <v>1745</v>
      </c>
      <c r="B18" t="s">
        <v>10</v>
      </c>
      <c r="C18" t="s">
        <v>58</v>
      </c>
      <c r="D18" t="s">
        <v>33</v>
      </c>
      <c r="F18">
        <v>1167</v>
      </c>
      <c r="G18">
        <v>1</v>
      </c>
      <c r="H18">
        <v>12</v>
      </c>
      <c r="J18">
        <f t="shared" si="0"/>
        <v>130744</v>
      </c>
      <c r="L18">
        <f t="shared" si="3"/>
        <v>58.36785714285714</v>
      </c>
    </row>
    <row r="19" spans="1:12" x14ac:dyDescent="0.25">
      <c r="A19">
        <v>1745</v>
      </c>
      <c r="B19" t="s">
        <v>11</v>
      </c>
      <c r="C19" t="s">
        <v>58</v>
      </c>
      <c r="D19" t="s">
        <v>33</v>
      </c>
      <c r="F19">
        <v>15</v>
      </c>
      <c r="G19">
        <v>1</v>
      </c>
      <c r="J19">
        <f t="shared" si="0"/>
        <v>1708</v>
      </c>
      <c r="L19">
        <f t="shared" si="3"/>
        <v>0.76249999999999996</v>
      </c>
    </row>
    <row r="20" spans="1:12" x14ac:dyDescent="0.25">
      <c r="A20">
        <v>1745</v>
      </c>
      <c r="B20" t="s">
        <v>41</v>
      </c>
      <c r="C20" t="s">
        <v>58</v>
      </c>
      <c r="D20" t="s">
        <v>33</v>
      </c>
      <c r="H20">
        <v>780</v>
      </c>
      <c r="J20">
        <f t="shared" si="0"/>
        <v>780</v>
      </c>
      <c r="L20">
        <f t="shared" si="3"/>
        <v>0.3482142857142857</v>
      </c>
    </row>
    <row r="21" spans="1:12" x14ac:dyDescent="0.25">
      <c r="A21">
        <v>1745</v>
      </c>
      <c r="B21" t="s">
        <v>46</v>
      </c>
      <c r="C21" t="s">
        <v>58</v>
      </c>
      <c r="D21" t="s">
        <v>33</v>
      </c>
      <c r="J21">
        <f t="shared" si="0"/>
        <v>0</v>
      </c>
      <c r="L21">
        <f t="shared" si="3"/>
        <v>0</v>
      </c>
    </row>
    <row r="22" spans="1:12" x14ac:dyDescent="0.25">
      <c r="A22">
        <v>1745</v>
      </c>
      <c r="B22" t="s">
        <v>12</v>
      </c>
      <c r="C22" t="s">
        <v>58</v>
      </c>
      <c r="D22" t="s">
        <v>33</v>
      </c>
      <c r="J22">
        <f t="shared" si="0"/>
        <v>0</v>
      </c>
      <c r="L22">
        <f t="shared" si="3"/>
        <v>0</v>
      </c>
    </row>
    <row r="23" spans="1:12" x14ac:dyDescent="0.25">
      <c r="A23">
        <v>1745</v>
      </c>
      <c r="B23" t="s">
        <v>34</v>
      </c>
      <c r="C23" t="s">
        <v>58</v>
      </c>
      <c r="D23" t="s">
        <v>33</v>
      </c>
      <c r="J23">
        <f t="shared" si="0"/>
        <v>0</v>
      </c>
      <c r="L23">
        <f t="shared" si="3"/>
        <v>0</v>
      </c>
    </row>
    <row r="24" spans="1:12" x14ac:dyDescent="0.25">
      <c r="A24">
        <v>1745</v>
      </c>
      <c r="B24" t="s">
        <v>13</v>
      </c>
      <c r="C24" t="s">
        <v>58</v>
      </c>
      <c r="D24" t="s">
        <v>33</v>
      </c>
      <c r="J24">
        <f t="shared" si="0"/>
        <v>0</v>
      </c>
      <c r="L24">
        <f t="shared" si="3"/>
        <v>0</v>
      </c>
    </row>
    <row r="25" spans="1:12" x14ac:dyDescent="0.25">
      <c r="A25">
        <v>1745</v>
      </c>
      <c r="B25" t="s">
        <v>14</v>
      </c>
      <c r="C25" t="s">
        <v>58</v>
      </c>
      <c r="D25" t="s">
        <v>33</v>
      </c>
      <c r="J25">
        <f t="shared" si="0"/>
        <v>0</v>
      </c>
      <c r="L25">
        <f t="shared" si="3"/>
        <v>0</v>
      </c>
    </row>
    <row r="26" spans="1:12" x14ac:dyDescent="0.25">
      <c r="A26">
        <v>1745</v>
      </c>
      <c r="B26" t="s">
        <v>23</v>
      </c>
      <c r="C26" t="s">
        <v>58</v>
      </c>
      <c r="D26" t="s">
        <v>33</v>
      </c>
      <c r="J26">
        <f t="shared" si="0"/>
        <v>0</v>
      </c>
      <c r="L26">
        <f t="shared" si="3"/>
        <v>0</v>
      </c>
    </row>
    <row r="27" spans="1:12" x14ac:dyDescent="0.25">
      <c r="A27">
        <v>1745</v>
      </c>
      <c r="B27" t="s">
        <v>27</v>
      </c>
      <c r="C27" t="s">
        <v>58</v>
      </c>
      <c r="D27" t="s">
        <v>33</v>
      </c>
      <c r="H27">
        <v>117430</v>
      </c>
      <c r="I27" t="s">
        <v>110</v>
      </c>
      <c r="J27">
        <f t="shared" si="0"/>
        <v>117430</v>
      </c>
      <c r="L27">
        <f t="shared" si="3"/>
        <v>52.424107142857146</v>
      </c>
    </row>
    <row r="28" spans="1:12" x14ac:dyDescent="0.25">
      <c r="A28">
        <v>1745</v>
      </c>
      <c r="B28" t="s">
        <v>15</v>
      </c>
      <c r="C28" t="s">
        <v>58</v>
      </c>
      <c r="D28" t="s">
        <v>33</v>
      </c>
      <c r="H28">
        <v>20</v>
      </c>
      <c r="J28">
        <f t="shared" si="0"/>
        <v>20</v>
      </c>
      <c r="L28">
        <f t="shared" si="3"/>
        <v>8.9285714285714281E-3</v>
      </c>
    </row>
    <row r="29" spans="1:12" x14ac:dyDescent="0.25">
      <c r="A29">
        <v>1745</v>
      </c>
      <c r="B29" t="s">
        <v>44</v>
      </c>
      <c r="C29" t="s">
        <v>58</v>
      </c>
      <c r="D29" t="s">
        <v>33</v>
      </c>
      <c r="J29">
        <f t="shared" si="0"/>
        <v>0</v>
      </c>
      <c r="L29">
        <f t="shared" si="3"/>
        <v>0</v>
      </c>
    </row>
    <row r="30" spans="1:12" x14ac:dyDescent="0.25">
      <c r="A30">
        <v>1745</v>
      </c>
      <c r="B30" t="s">
        <v>49</v>
      </c>
      <c r="C30" t="s">
        <v>58</v>
      </c>
      <c r="D30" t="s">
        <v>33</v>
      </c>
      <c r="H30">
        <v>680</v>
      </c>
      <c r="I30" t="s">
        <v>108</v>
      </c>
      <c r="J30">
        <f t="shared" si="0"/>
        <v>680</v>
      </c>
      <c r="L30">
        <f t="shared" si="3"/>
        <v>0.30357142857142855</v>
      </c>
    </row>
    <row r="31" spans="1:12" x14ac:dyDescent="0.25">
      <c r="A31">
        <v>1745</v>
      </c>
      <c r="B31" t="s">
        <v>16</v>
      </c>
      <c r="C31" t="s">
        <v>58</v>
      </c>
      <c r="D31" t="s">
        <v>33</v>
      </c>
      <c r="J31">
        <f t="shared" si="0"/>
        <v>0</v>
      </c>
      <c r="L31">
        <f t="shared" si="3"/>
        <v>0</v>
      </c>
    </row>
    <row r="32" spans="1:12" x14ac:dyDescent="0.25">
      <c r="A32">
        <v>1745</v>
      </c>
      <c r="B32" t="s">
        <v>100</v>
      </c>
      <c r="C32" t="s">
        <v>58</v>
      </c>
      <c r="D32" t="s">
        <v>33</v>
      </c>
      <c r="H32">
        <v>700</v>
      </c>
      <c r="I32" t="s">
        <v>111</v>
      </c>
    </row>
    <row r="33" spans="1:12" x14ac:dyDescent="0.25">
      <c r="A33">
        <v>1745</v>
      </c>
      <c r="B33" t="s">
        <v>17</v>
      </c>
      <c r="C33" t="s">
        <v>58</v>
      </c>
      <c r="D33" t="s">
        <v>33</v>
      </c>
      <c r="J33">
        <f t="shared" si="0"/>
        <v>0</v>
      </c>
      <c r="L33">
        <f t="shared" si="3"/>
        <v>0</v>
      </c>
    </row>
    <row r="34" spans="1:12" x14ac:dyDescent="0.25">
      <c r="A34">
        <v>1745</v>
      </c>
      <c r="B34" t="s">
        <v>18</v>
      </c>
      <c r="C34" t="s">
        <v>58</v>
      </c>
      <c r="D34" t="s">
        <v>33</v>
      </c>
      <c r="H34">
        <v>298117</v>
      </c>
      <c r="I34" t="s">
        <v>109</v>
      </c>
      <c r="J34">
        <f t="shared" si="0"/>
        <v>298117</v>
      </c>
      <c r="L34">
        <f t="shared" si="3"/>
        <v>133.08794642857143</v>
      </c>
    </row>
    <row r="35" spans="1:12" x14ac:dyDescent="0.25">
      <c r="A35">
        <v>1745</v>
      </c>
      <c r="B35" t="s">
        <v>26</v>
      </c>
      <c r="C35" t="s">
        <v>58</v>
      </c>
      <c r="D35" t="s">
        <v>33</v>
      </c>
      <c r="J35">
        <f t="shared" si="0"/>
        <v>0</v>
      </c>
      <c r="L35">
        <f t="shared" si="3"/>
        <v>0</v>
      </c>
    </row>
    <row r="36" spans="1:12" x14ac:dyDescent="0.25">
      <c r="A36">
        <v>1745</v>
      </c>
      <c r="B36" t="s">
        <v>19</v>
      </c>
      <c r="C36" t="s">
        <v>58</v>
      </c>
      <c r="D36" t="s">
        <v>33</v>
      </c>
      <c r="J36">
        <f t="shared" si="0"/>
        <v>0</v>
      </c>
      <c r="L36">
        <f t="shared" si="3"/>
        <v>0</v>
      </c>
    </row>
    <row r="37" spans="1:12" x14ac:dyDescent="0.25">
      <c r="A37">
        <v>1745</v>
      </c>
      <c r="B37" t="s">
        <v>47</v>
      </c>
      <c r="C37" t="s">
        <v>58</v>
      </c>
      <c r="D37" t="s">
        <v>33</v>
      </c>
      <c r="J37">
        <f t="shared" si="0"/>
        <v>0</v>
      </c>
      <c r="L37">
        <f t="shared" si="3"/>
        <v>0</v>
      </c>
    </row>
    <row r="38" spans="1:12" x14ac:dyDescent="0.25">
      <c r="A38">
        <v>1745</v>
      </c>
      <c r="B38" t="s">
        <v>56</v>
      </c>
      <c r="C38" t="s">
        <v>58</v>
      </c>
      <c r="D38" t="s">
        <v>33</v>
      </c>
      <c r="H38">
        <v>16778</v>
      </c>
      <c r="J38">
        <f t="shared" si="0"/>
        <v>16778</v>
      </c>
      <c r="L38">
        <f t="shared" si="3"/>
        <v>7.4901785714285714</v>
      </c>
    </row>
    <row r="39" spans="1:12" x14ac:dyDescent="0.25">
      <c r="A39">
        <v>1745</v>
      </c>
      <c r="B39" t="s">
        <v>90</v>
      </c>
      <c r="C39" t="s">
        <v>58</v>
      </c>
      <c r="D39" t="s">
        <v>33</v>
      </c>
      <c r="H39">
        <v>2347</v>
      </c>
      <c r="J39">
        <f t="shared" si="0"/>
        <v>2347</v>
      </c>
      <c r="L39">
        <f t="shared" si="3"/>
        <v>1.0477678571428573</v>
      </c>
    </row>
    <row r="40" spans="1:12" x14ac:dyDescent="0.25">
      <c r="A40">
        <v>1745</v>
      </c>
      <c r="B40" t="s">
        <v>20</v>
      </c>
      <c r="C40" t="s">
        <v>58</v>
      </c>
      <c r="D40" t="s">
        <v>33</v>
      </c>
      <c r="J40">
        <f t="shared" si="0"/>
        <v>0</v>
      </c>
      <c r="L40">
        <f t="shared" si="3"/>
        <v>0</v>
      </c>
    </row>
    <row r="41" spans="1:12" x14ac:dyDescent="0.25">
      <c r="A41">
        <v>1745</v>
      </c>
      <c r="B41" t="s">
        <v>21</v>
      </c>
      <c r="C41" t="s">
        <v>58</v>
      </c>
      <c r="D41" t="s">
        <v>33</v>
      </c>
      <c r="J41">
        <f t="shared" si="0"/>
        <v>0</v>
      </c>
      <c r="L41">
        <f t="shared" si="3"/>
        <v>0</v>
      </c>
    </row>
    <row r="42" spans="1:12" x14ac:dyDescent="0.25">
      <c r="A42">
        <v>1745</v>
      </c>
      <c r="B42" t="s">
        <v>95</v>
      </c>
      <c r="C42" t="s">
        <v>58</v>
      </c>
      <c r="D42" t="s">
        <v>33</v>
      </c>
      <c r="F42">
        <v>140</v>
      </c>
      <c r="J42">
        <f t="shared" si="0"/>
        <v>15680</v>
      </c>
      <c r="L42">
        <f t="shared" si="3"/>
        <v>7</v>
      </c>
    </row>
    <row r="43" spans="1:12" x14ac:dyDescent="0.25">
      <c r="A43">
        <v>1745</v>
      </c>
      <c r="B43" t="s">
        <v>22</v>
      </c>
      <c r="C43" t="s">
        <v>58</v>
      </c>
      <c r="D43" t="s">
        <v>33</v>
      </c>
      <c r="J43">
        <f t="shared" si="0"/>
        <v>0</v>
      </c>
      <c r="L43">
        <f t="shared" si="3"/>
        <v>0</v>
      </c>
    </row>
    <row r="44" spans="1:12" x14ac:dyDescent="0.25">
      <c r="A44">
        <v>1745</v>
      </c>
      <c r="B44" t="s">
        <v>63</v>
      </c>
      <c r="C44" t="s">
        <v>58</v>
      </c>
      <c r="D44" t="s">
        <v>33</v>
      </c>
      <c r="J44">
        <f t="shared" si="0"/>
        <v>0</v>
      </c>
      <c r="L44">
        <f t="shared" si="3"/>
        <v>0</v>
      </c>
    </row>
    <row r="45" spans="1:12" x14ac:dyDescent="0.25">
      <c r="A45">
        <v>1745</v>
      </c>
      <c r="B45" t="s">
        <v>64</v>
      </c>
      <c r="C45" t="s">
        <v>58</v>
      </c>
      <c r="D45" t="s">
        <v>33</v>
      </c>
      <c r="E45">
        <v>43</v>
      </c>
      <c r="F45">
        <v>12</v>
      </c>
      <c r="J45">
        <f t="shared" si="0"/>
        <v>97664</v>
      </c>
      <c r="L45">
        <f t="shared" si="3"/>
        <v>43.6</v>
      </c>
    </row>
    <row r="46" spans="1:12" x14ac:dyDescent="0.25">
      <c r="A46">
        <v>1745</v>
      </c>
      <c r="B46" t="s">
        <v>65</v>
      </c>
      <c r="C46" t="s">
        <v>58</v>
      </c>
      <c r="D46" t="s">
        <v>33</v>
      </c>
      <c r="J46">
        <f t="shared" si="0"/>
        <v>0</v>
      </c>
      <c r="L46">
        <f t="shared" si="3"/>
        <v>0</v>
      </c>
    </row>
    <row r="47" spans="1:12" x14ac:dyDescent="0.25">
      <c r="A47">
        <v>1745</v>
      </c>
      <c r="B47" t="s">
        <v>73</v>
      </c>
      <c r="C47" t="s">
        <v>58</v>
      </c>
      <c r="D47" t="s">
        <v>33</v>
      </c>
      <c r="J47">
        <f t="shared" si="0"/>
        <v>0</v>
      </c>
      <c r="L47">
        <f t="shared" si="3"/>
        <v>0</v>
      </c>
    </row>
    <row r="48" spans="1:12" x14ac:dyDescent="0.25">
      <c r="A48">
        <v>1745</v>
      </c>
      <c r="B48" t="s">
        <v>66</v>
      </c>
      <c r="C48" t="s">
        <v>58</v>
      </c>
      <c r="D48" t="s">
        <v>33</v>
      </c>
      <c r="J48">
        <f t="shared" si="0"/>
        <v>0</v>
      </c>
      <c r="L48">
        <f t="shared" si="3"/>
        <v>0</v>
      </c>
    </row>
    <row r="49" spans="1:12" x14ac:dyDescent="0.25">
      <c r="A49">
        <v>1745</v>
      </c>
      <c r="B49" t="s">
        <v>67</v>
      </c>
      <c r="C49" t="s">
        <v>58</v>
      </c>
      <c r="D49" t="s">
        <v>33</v>
      </c>
      <c r="J49">
        <f t="shared" si="0"/>
        <v>0</v>
      </c>
      <c r="L49">
        <f t="shared" si="3"/>
        <v>0</v>
      </c>
    </row>
    <row r="50" spans="1:12" x14ac:dyDescent="0.25">
      <c r="A50">
        <v>1745</v>
      </c>
      <c r="B50" t="s">
        <v>57</v>
      </c>
      <c r="C50" t="s">
        <v>58</v>
      </c>
      <c r="D50" t="s">
        <v>35</v>
      </c>
      <c r="J50">
        <f t="shared" si="0"/>
        <v>0</v>
      </c>
      <c r="L50">
        <f t="shared" si="3"/>
        <v>0</v>
      </c>
    </row>
    <row r="51" spans="1:12" x14ac:dyDescent="0.25">
      <c r="A51">
        <v>1745</v>
      </c>
      <c r="B51" t="s">
        <v>59</v>
      </c>
      <c r="C51" t="s">
        <v>58</v>
      </c>
      <c r="D51" t="s">
        <v>35</v>
      </c>
      <c r="J51">
        <f t="shared" si="0"/>
        <v>0</v>
      </c>
      <c r="L51">
        <f t="shared" si="3"/>
        <v>0</v>
      </c>
    </row>
    <row r="52" spans="1:12" x14ac:dyDescent="0.25">
      <c r="A52">
        <v>1745</v>
      </c>
      <c r="B52" t="s">
        <v>38</v>
      </c>
      <c r="C52" t="s">
        <v>58</v>
      </c>
      <c r="D52" t="s">
        <v>35</v>
      </c>
      <c r="J52">
        <f t="shared" ref="J52:J53" si="4">(E52*2240)+(F52*112)+(G52*28)+H52</f>
        <v>0</v>
      </c>
      <c r="L52">
        <f t="shared" ref="L52:L53" si="5">J52/2240</f>
        <v>0</v>
      </c>
    </row>
    <row r="53" spans="1:12" x14ac:dyDescent="0.25">
      <c r="A53">
        <v>1745</v>
      </c>
      <c r="B53" t="s">
        <v>4</v>
      </c>
      <c r="C53" t="s">
        <v>58</v>
      </c>
      <c r="D53" t="s">
        <v>35</v>
      </c>
      <c r="J53">
        <f t="shared" si="4"/>
        <v>0</v>
      </c>
      <c r="L53">
        <f t="shared" si="5"/>
        <v>0</v>
      </c>
    </row>
    <row r="54" spans="1:12" x14ac:dyDescent="0.25">
      <c r="A54">
        <v>1745</v>
      </c>
      <c r="B54" t="s">
        <v>60</v>
      </c>
      <c r="C54" t="s">
        <v>58</v>
      </c>
      <c r="D54" t="s">
        <v>35</v>
      </c>
      <c r="J54">
        <f t="shared" ref="J54:J64" si="6">(E54*2240)+(F54*112)+(G54*28)+H54</f>
        <v>0</v>
      </c>
      <c r="L54">
        <f t="shared" ref="L54:L64" si="7">J54/2240</f>
        <v>0</v>
      </c>
    </row>
    <row r="55" spans="1:12" x14ac:dyDescent="0.25">
      <c r="A55">
        <v>1745</v>
      </c>
      <c r="B55" t="s">
        <v>97</v>
      </c>
      <c r="C55" t="s">
        <v>58</v>
      </c>
      <c r="D55" t="s">
        <v>35</v>
      </c>
      <c r="J55">
        <f t="shared" si="6"/>
        <v>0</v>
      </c>
      <c r="L55">
        <f t="shared" si="7"/>
        <v>0</v>
      </c>
    </row>
    <row r="56" spans="1:12" x14ac:dyDescent="0.25">
      <c r="A56">
        <v>1745</v>
      </c>
      <c r="B56" t="s">
        <v>45</v>
      </c>
      <c r="C56" t="s">
        <v>58</v>
      </c>
      <c r="D56" t="s">
        <v>35</v>
      </c>
      <c r="J56">
        <f t="shared" si="6"/>
        <v>0</v>
      </c>
      <c r="L56">
        <f t="shared" si="7"/>
        <v>0</v>
      </c>
    </row>
    <row r="57" spans="1:12" x14ac:dyDescent="0.25">
      <c r="A57">
        <v>1745</v>
      </c>
      <c r="B57" t="s">
        <v>5</v>
      </c>
      <c r="C57" t="s">
        <v>58</v>
      </c>
      <c r="D57" t="s">
        <v>35</v>
      </c>
      <c r="J57">
        <f t="shared" si="6"/>
        <v>0</v>
      </c>
      <c r="L57">
        <f t="shared" si="7"/>
        <v>0</v>
      </c>
    </row>
    <row r="58" spans="1:12" x14ac:dyDescent="0.25">
      <c r="A58">
        <v>1745</v>
      </c>
      <c r="B58" t="s">
        <v>61</v>
      </c>
      <c r="C58" t="s">
        <v>58</v>
      </c>
      <c r="D58" t="s">
        <v>35</v>
      </c>
      <c r="J58">
        <f t="shared" si="6"/>
        <v>0</v>
      </c>
      <c r="L58">
        <f t="shared" si="7"/>
        <v>0</v>
      </c>
    </row>
    <row r="59" spans="1:12" x14ac:dyDescent="0.25">
      <c r="A59">
        <v>1745</v>
      </c>
      <c r="B59" t="s">
        <v>6</v>
      </c>
      <c r="C59" t="s">
        <v>58</v>
      </c>
      <c r="D59" t="s">
        <v>35</v>
      </c>
      <c r="F59">
        <v>32609</v>
      </c>
      <c r="H59">
        <v>21</v>
      </c>
      <c r="J59">
        <f t="shared" si="6"/>
        <v>3652229</v>
      </c>
      <c r="L59">
        <f t="shared" si="7"/>
        <v>1630.4593749999999</v>
      </c>
    </row>
    <row r="60" spans="1:12" x14ac:dyDescent="0.25">
      <c r="A60">
        <v>1745</v>
      </c>
      <c r="B60" t="s">
        <v>62</v>
      </c>
      <c r="C60" t="s">
        <v>58</v>
      </c>
      <c r="D60" t="s">
        <v>35</v>
      </c>
      <c r="J60">
        <f t="shared" si="6"/>
        <v>0</v>
      </c>
      <c r="L60">
        <f t="shared" si="7"/>
        <v>0</v>
      </c>
    </row>
    <row r="61" spans="1:12" x14ac:dyDescent="0.25">
      <c r="A61">
        <v>1745</v>
      </c>
      <c r="B61" t="s">
        <v>40</v>
      </c>
      <c r="C61" t="s">
        <v>58</v>
      </c>
      <c r="D61" t="s">
        <v>35</v>
      </c>
      <c r="J61">
        <f t="shared" si="6"/>
        <v>0</v>
      </c>
      <c r="L61">
        <f t="shared" si="7"/>
        <v>0</v>
      </c>
    </row>
    <row r="62" spans="1:12" x14ac:dyDescent="0.25">
      <c r="A62">
        <v>1745</v>
      </c>
      <c r="B62" t="s">
        <v>39</v>
      </c>
      <c r="C62" t="s">
        <v>58</v>
      </c>
      <c r="D62" t="s">
        <v>35</v>
      </c>
      <c r="J62">
        <f t="shared" si="6"/>
        <v>0</v>
      </c>
      <c r="L62">
        <f t="shared" si="7"/>
        <v>0</v>
      </c>
    </row>
    <row r="63" spans="1:12" x14ac:dyDescent="0.25">
      <c r="A63">
        <v>1745</v>
      </c>
      <c r="B63" t="s">
        <v>8</v>
      </c>
      <c r="C63" t="s">
        <v>58</v>
      </c>
      <c r="D63" t="s">
        <v>35</v>
      </c>
      <c r="J63">
        <f t="shared" si="6"/>
        <v>0</v>
      </c>
      <c r="L63">
        <f t="shared" si="7"/>
        <v>0</v>
      </c>
    </row>
    <row r="64" spans="1:12" x14ac:dyDescent="0.25">
      <c r="A64">
        <v>1745</v>
      </c>
      <c r="B64" t="s">
        <v>42</v>
      </c>
      <c r="C64" t="s">
        <v>58</v>
      </c>
      <c r="D64" t="s">
        <v>35</v>
      </c>
      <c r="J64">
        <f t="shared" si="6"/>
        <v>0</v>
      </c>
      <c r="L64">
        <f t="shared" si="7"/>
        <v>0</v>
      </c>
    </row>
    <row r="65" spans="1:12" x14ac:dyDescent="0.25">
      <c r="A65">
        <v>1745</v>
      </c>
      <c r="B65" t="s">
        <v>9</v>
      </c>
      <c r="C65" t="s">
        <v>58</v>
      </c>
      <c r="D65" t="s">
        <v>35</v>
      </c>
      <c r="H65">
        <f>200*680</f>
        <v>136000</v>
      </c>
      <c r="I65" t="s">
        <v>136</v>
      </c>
      <c r="J65">
        <f t="shared" ref="J65:J98" si="8">(E65*2240)+(F65*112)+(G65*28)+H65</f>
        <v>136000</v>
      </c>
      <c r="L65">
        <f t="shared" ref="L65:L98" si="9">J65/2240</f>
        <v>60.714285714285715</v>
      </c>
    </row>
    <row r="66" spans="1:12" x14ac:dyDescent="0.25">
      <c r="A66">
        <v>1745</v>
      </c>
      <c r="B66" t="s">
        <v>10</v>
      </c>
      <c r="C66" t="s">
        <v>58</v>
      </c>
      <c r="D66" t="s">
        <v>35</v>
      </c>
      <c r="F66">
        <v>54</v>
      </c>
      <c r="G66">
        <v>1</v>
      </c>
      <c r="H66">
        <v>3</v>
      </c>
      <c r="J66">
        <f t="shared" si="8"/>
        <v>6079</v>
      </c>
      <c r="L66">
        <f t="shared" si="9"/>
        <v>2.7138392857142857</v>
      </c>
    </row>
    <row r="67" spans="1:12" x14ac:dyDescent="0.25">
      <c r="A67">
        <v>1745</v>
      </c>
      <c r="B67" t="s">
        <v>11</v>
      </c>
      <c r="C67" t="s">
        <v>58</v>
      </c>
      <c r="D67" t="s">
        <v>35</v>
      </c>
      <c r="F67">
        <v>148</v>
      </c>
      <c r="G67">
        <v>1</v>
      </c>
      <c r="J67">
        <f t="shared" si="8"/>
        <v>16604</v>
      </c>
      <c r="L67">
        <f t="shared" si="9"/>
        <v>7.4124999999999996</v>
      </c>
    </row>
    <row r="68" spans="1:12" x14ac:dyDescent="0.25">
      <c r="A68">
        <v>1745</v>
      </c>
      <c r="B68" t="s">
        <v>41</v>
      </c>
      <c r="C68" t="s">
        <v>58</v>
      </c>
      <c r="D68" t="s">
        <v>35</v>
      </c>
      <c r="J68">
        <f t="shared" si="8"/>
        <v>0</v>
      </c>
      <c r="L68">
        <f t="shared" si="9"/>
        <v>0</v>
      </c>
    </row>
    <row r="69" spans="1:12" x14ac:dyDescent="0.25">
      <c r="A69">
        <v>1745</v>
      </c>
      <c r="B69" t="s">
        <v>82</v>
      </c>
      <c r="C69" t="s">
        <v>58</v>
      </c>
      <c r="D69" t="s">
        <v>35</v>
      </c>
      <c r="J69">
        <f t="shared" si="8"/>
        <v>0</v>
      </c>
      <c r="L69">
        <f t="shared" si="9"/>
        <v>0</v>
      </c>
    </row>
    <row r="70" spans="1:12" x14ac:dyDescent="0.25">
      <c r="A70">
        <v>1745</v>
      </c>
      <c r="B70" t="s">
        <v>46</v>
      </c>
      <c r="C70" t="s">
        <v>58</v>
      </c>
      <c r="D70" t="s">
        <v>35</v>
      </c>
      <c r="J70">
        <f t="shared" si="8"/>
        <v>0</v>
      </c>
      <c r="L70">
        <f t="shared" si="9"/>
        <v>0</v>
      </c>
    </row>
    <row r="71" spans="1:12" x14ac:dyDescent="0.25">
      <c r="A71">
        <v>1745</v>
      </c>
      <c r="B71" t="s">
        <v>12</v>
      </c>
      <c r="C71" t="s">
        <v>58</v>
      </c>
      <c r="D71" t="s">
        <v>35</v>
      </c>
      <c r="H71">
        <v>200</v>
      </c>
      <c r="J71">
        <f t="shared" si="8"/>
        <v>200</v>
      </c>
      <c r="L71">
        <f t="shared" si="9"/>
        <v>8.9285714285714288E-2</v>
      </c>
    </row>
    <row r="72" spans="1:12" x14ac:dyDescent="0.25">
      <c r="A72">
        <v>1745</v>
      </c>
      <c r="B72" t="s">
        <v>34</v>
      </c>
      <c r="C72" t="s">
        <v>58</v>
      </c>
      <c r="D72" t="s">
        <v>35</v>
      </c>
      <c r="J72">
        <f t="shared" si="8"/>
        <v>0</v>
      </c>
      <c r="L72">
        <f t="shared" si="9"/>
        <v>0</v>
      </c>
    </row>
    <row r="73" spans="1:12" x14ac:dyDescent="0.25">
      <c r="A73">
        <v>1745</v>
      </c>
      <c r="B73" t="s">
        <v>13</v>
      </c>
      <c r="C73" t="s">
        <v>58</v>
      </c>
      <c r="D73" t="s">
        <v>35</v>
      </c>
      <c r="J73">
        <f t="shared" si="8"/>
        <v>0</v>
      </c>
      <c r="L73">
        <f t="shared" si="9"/>
        <v>0</v>
      </c>
    </row>
    <row r="74" spans="1:12" x14ac:dyDescent="0.25">
      <c r="A74">
        <v>1745</v>
      </c>
      <c r="B74" t="s">
        <v>14</v>
      </c>
      <c r="C74" t="s">
        <v>58</v>
      </c>
      <c r="D74" t="s">
        <v>35</v>
      </c>
      <c r="J74">
        <f t="shared" si="8"/>
        <v>0</v>
      </c>
      <c r="L74">
        <f t="shared" si="9"/>
        <v>0</v>
      </c>
    </row>
    <row r="75" spans="1:12" x14ac:dyDescent="0.25">
      <c r="A75">
        <v>1745</v>
      </c>
      <c r="B75" t="s">
        <v>23</v>
      </c>
      <c r="C75" t="s">
        <v>58</v>
      </c>
      <c r="D75" t="s">
        <v>35</v>
      </c>
      <c r="J75">
        <f t="shared" si="8"/>
        <v>0</v>
      </c>
      <c r="L75">
        <f t="shared" si="9"/>
        <v>0</v>
      </c>
    </row>
    <row r="76" spans="1:12" x14ac:dyDescent="0.25">
      <c r="A76">
        <v>1745</v>
      </c>
      <c r="B76" t="s">
        <v>27</v>
      </c>
      <c r="C76" t="s">
        <v>58</v>
      </c>
      <c r="D76" t="s">
        <v>35</v>
      </c>
      <c r="H76">
        <v>13754</v>
      </c>
      <c r="I76" t="s">
        <v>135</v>
      </c>
      <c r="J76">
        <f t="shared" si="8"/>
        <v>13754</v>
      </c>
      <c r="L76">
        <f t="shared" si="9"/>
        <v>6.1401785714285717</v>
      </c>
    </row>
    <row r="77" spans="1:12" x14ac:dyDescent="0.25">
      <c r="A77">
        <v>1745</v>
      </c>
      <c r="B77" t="s">
        <v>15</v>
      </c>
      <c r="C77" t="s">
        <v>58</v>
      </c>
      <c r="D77" t="s">
        <v>35</v>
      </c>
      <c r="J77">
        <f t="shared" si="8"/>
        <v>0</v>
      </c>
      <c r="L77">
        <f t="shared" si="9"/>
        <v>0</v>
      </c>
    </row>
    <row r="78" spans="1:12" x14ac:dyDescent="0.25">
      <c r="A78">
        <v>1745</v>
      </c>
      <c r="B78" t="s">
        <v>98</v>
      </c>
      <c r="C78" t="s">
        <v>58</v>
      </c>
      <c r="D78" t="s">
        <v>35</v>
      </c>
      <c r="J78">
        <f t="shared" si="8"/>
        <v>0</v>
      </c>
      <c r="L78">
        <f t="shared" si="9"/>
        <v>0</v>
      </c>
    </row>
    <row r="79" spans="1:12" x14ac:dyDescent="0.25">
      <c r="A79">
        <v>1745</v>
      </c>
      <c r="B79" t="s">
        <v>44</v>
      </c>
      <c r="C79" t="s">
        <v>58</v>
      </c>
      <c r="D79" t="s">
        <v>35</v>
      </c>
      <c r="J79">
        <f t="shared" si="8"/>
        <v>0</v>
      </c>
      <c r="L79">
        <f t="shared" si="9"/>
        <v>0</v>
      </c>
    </row>
    <row r="80" spans="1:12" x14ac:dyDescent="0.25">
      <c r="A80">
        <v>1745</v>
      </c>
      <c r="B80" t="s">
        <v>49</v>
      </c>
      <c r="C80" t="s">
        <v>58</v>
      </c>
      <c r="D80" t="s">
        <v>35</v>
      </c>
      <c r="J80">
        <f t="shared" si="8"/>
        <v>0</v>
      </c>
      <c r="L80">
        <f t="shared" si="9"/>
        <v>0</v>
      </c>
    </row>
    <row r="81" spans="1:12" x14ac:dyDescent="0.25">
      <c r="A81">
        <v>1745</v>
      </c>
      <c r="B81" t="s">
        <v>16</v>
      </c>
      <c r="C81" t="s">
        <v>58</v>
      </c>
      <c r="D81" t="s">
        <v>35</v>
      </c>
      <c r="H81">
        <v>80</v>
      </c>
      <c r="J81">
        <f t="shared" si="8"/>
        <v>80</v>
      </c>
      <c r="L81">
        <f t="shared" si="9"/>
        <v>3.5714285714285712E-2</v>
      </c>
    </row>
    <row r="82" spans="1:12" x14ac:dyDescent="0.25">
      <c r="A82">
        <v>1745</v>
      </c>
      <c r="B82" t="s">
        <v>17</v>
      </c>
      <c r="C82" t="s">
        <v>58</v>
      </c>
      <c r="D82" t="s">
        <v>35</v>
      </c>
      <c r="J82">
        <f t="shared" si="8"/>
        <v>0</v>
      </c>
      <c r="L82">
        <f t="shared" si="9"/>
        <v>0</v>
      </c>
    </row>
    <row r="83" spans="1:12" x14ac:dyDescent="0.25">
      <c r="A83">
        <v>1745</v>
      </c>
      <c r="B83" t="s">
        <v>18</v>
      </c>
      <c r="C83" t="s">
        <v>58</v>
      </c>
      <c r="D83" t="s">
        <v>35</v>
      </c>
      <c r="H83">
        <v>154520</v>
      </c>
      <c r="I83" t="s">
        <v>134</v>
      </c>
      <c r="J83">
        <f t="shared" si="8"/>
        <v>154520</v>
      </c>
      <c r="L83">
        <f t="shared" si="9"/>
        <v>68.982142857142861</v>
      </c>
    </row>
    <row r="84" spans="1:12" x14ac:dyDescent="0.25">
      <c r="A84">
        <v>1745</v>
      </c>
      <c r="B84" t="s">
        <v>26</v>
      </c>
      <c r="C84" t="s">
        <v>58</v>
      </c>
      <c r="D84" t="s">
        <v>35</v>
      </c>
      <c r="J84">
        <f t="shared" si="8"/>
        <v>0</v>
      </c>
      <c r="L84">
        <f t="shared" si="9"/>
        <v>0</v>
      </c>
    </row>
    <row r="85" spans="1:12" x14ac:dyDescent="0.25">
      <c r="A85">
        <v>1745</v>
      </c>
      <c r="B85" t="s">
        <v>19</v>
      </c>
      <c r="C85" t="s">
        <v>58</v>
      </c>
      <c r="D85" t="s">
        <v>35</v>
      </c>
      <c r="J85">
        <f t="shared" si="8"/>
        <v>0</v>
      </c>
      <c r="L85">
        <f t="shared" si="9"/>
        <v>0</v>
      </c>
    </row>
    <row r="86" spans="1:12" x14ac:dyDescent="0.25">
      <c r="A86">
        <v>1745</v>
      </c>
      <c r="B86" t="s">
        <v>47</v>
      </c>
      <c r="C86" t="s">
        <v>58</v>
      </c>
      <c r="D86" t="s">
        <v>35</v>
      </c>
      <c r="J86">
        <f t="shared" si="8"/>
        <v>0</v>
      </c>
      <c r="L86">
        <f t="shared" si="9"/>
        <v>0</v>
      </c>
    </row>
    <row r="87" spans="1:12" x14ac:dyDescent="0.25">
      <c r="A87">
        <v>1745</v>
      </c>
      <c r="B87" t="s">
        <v>56</v>
      </c>
      <c r="C87" t="s">
        <v>58</v>
      </c>
      <c r="D87" t="s">
        <v>35</v>
      </c>
      <c r="H87">
        <v>112</v>
      </c>
      <c r="J87">
        <f t="shared" si="8"/>
        <v>112</v>
      </c>
      <c r="L87">
        <f t="shared" si="9"/>
        <v>0.05</v>
      </c>
    </row>
    <row r="88" spans="1:12" x14ac:dyDescent="0.25">
      <c r="A88">
        <v>1745</v>
      </c>
      <c r="B88" t="s">
        <v>90</v>
      </c>
      <c r="C88" t="s">
        <v>58</v>
      </c>
      <c r="D88" t="s">
        <v>35</v>
      </c>
      <c r="J88">
        <f t="shared" si="8"/>
        <v>0</v>
      </c>
      <c r="L88">
        <f t="shared" si="9"/>
        <v>0</v>
      </c>
    </row>
    <row r="89" spans="1:12" x14ac:dyDescent="0.25">
      <c r="A89">
        <v>1745</v>
      </c>
      <c r="B89" t="s">
        <v>20</v>
      </c>
      <c r="C89" t="s">
        <v>58</v>
      </c>
      <c r="D89" t="s">
        <v>35</v>
      </c>
      <c r="J89">
        <f t="shared" si="8"/>
        <v>0</v>
      </c>
      <c r="L89">
        <f t="shared" si="9"/>
        <v>0</v>
      </c>
    </row>
    <row r="90" spans="1:12" x14ac:dyDescent="0.25">
      <c r="A90">
        <v>1745</v>
      </c>
      <c r="B90" t="s">
        <v>21</v>
      </c>
      <c r="C90" t="s">
        <v>58</v>
      </c>
      <c r="D90" t="s">
        <v>35</v>
      </c>
      <c r="J90">
        <f t="shared" si="8"/>
        <v>0</v>
      </c>
      <c r="L90">
        <f t="shared" si="9"/>
        <v>0</v>
      </c>
    </row>
    <row r="91" spans="1:12" x14ac:dyDescent="0.25">
      <c r="A91">
        <v>1745</v>
      </c>
      <c r="B91" t="s">
        <v>22</v>
      </c>
      <c r="C91" t="s">
        <v>58</v>
      </c>
      <c r="D91" t="s">
        <v>35</v>
      </c>
      <c r="J91">
        <f t="shared" si="8"/>
        <v>0</v>
      </c>
      <c r="L91">
        <f t="shared" si="9"/>
        <v>0</v>
      </c>
    </row>
    <row r="92" spans="1:12" x14ac:dyDescent="0.25">
      <c r="A92">
        <v>1745</v>
      </c>
      <c r="B92" t="s">
        <v>63</v>
      </c>
      <c r="C92" t="s">
        <v>58</v>
      </c>
      <c r="D92" t="s">
        <v>35</v>
      </c>
      <c r="J92">
        <f t="shared" si="8"/>
        <v>0</v>
      </c>
      <c r="L92">
        <f t="shared" si="9"/>
        <v>0</v>
      </c>
    </row>
    <row r="93" spans="1:12" x14ac:dyDescent="0.25">
      <c r="A93">
        <v>1745</v>
      </c>
      <c r="B93" t="s">
        <v>64</v>
      </c>
      <c r="C93" t="s">
        <v>58</v>
      </c>
      <c r="D93" t="s">
        <v>35</v>
      </c>
      <c r="E93">
        <v>14</v>
      </c>
      <c r="F93">
        <v>5</v>
      </c>
      <c r="G93">
        <v>2</v>
      </c>
      <c r="H93">
        <v>10</v>
      </c>
      <c r="J93">
        <f t="shared" si="8"/>
        <v>31986</v>
      </c>
      <c r="L93">
        <f t="shared" si="9"/>
        <v>14.279464285714285</v>
      </c>
    </row>
    <row r="94" spans="1:12" x14ac:dyDescent="0.25">
      <c r="A94">
        <v>1745</v>
      </c>
      <c r="B94" t="s">
        <v>65</v>
      </c>
      <c r="C94" t="s">
        <v>58</v>
      </c>
      <c r="D94" t="s">
        <v>35</v>
      </c>
      <c r="J94">
        <f t="shared" si="8"/>
        <v>0</v>
      </c>
      <c r="L94">
        <f t="shared" si="9"/>
        <v>0</v>
      </c>
    </row>
    <row r="95" spans="1:12" x14ac:dyDescent="0.25">
      <c r="A95">
        <v>1745</v>
      </c>
      <c r="B95" t="s">
        <v>93</v>
      </c>
      <c r="C95" t="s">
        <v>58</v>
      </c>
      <c r="D95" t="s">
        <v>35</v>
      </c>
      <c r="J95">
        <f t="shared" si="8"/>
        <v>0</v>
      </c>
      <c r="L95">
        <f t="shared" si="9"/>
        <v>0</v>
      </c>
    </row>
    <row r="96" spans="1:12" x14ac:dyDescent="0.25">
      <c r="A96">
        <v>1745</v>
      </c>
      <c r="B96" t="s">
        <v>73</v>
      </c>
      <c r="C96" t="s">
        <v>58</v>
      </c>
      <c r="D96" t="s">
        <v>35</v>
      </c>
      <c r="J96">
        <f t="shared" si="8"/>
        <v>0</v>
      </c>
      <c r="L96">
        <f t="shared" si="9"/>
        <v>0</v>
      </c>
    </row>
    <row r="97" spans="1:12" x14ac:dyDescent="0.25">
      <c r="A97">
        <v>1745</v>
      </c>
      <c r="B97" t="s">
        <v>66</v>
      </c>
      <c r="C97" t="s">
        <v>58</v>
      </c>
      <c r="D97" t="s">
        <v>35</v>
      </c>
      <c r="E97">
        <v>15</v>
      </c>
      <c r="F97">
        <v>8</v>
      </c>
      <c r="G97">
        <v>3</v>
      </c>
      <c r="H97">
        <v>2</v>
      </c>
      <c r="J97">
        <f t="shared" si="8"/>
        <v>34582</v>
      </c>
      <c r="L97">
        <f t="shared" si="9"/>
        <v>15.438392857142857</v>
      </c>
    </row>
    <row r="98" spans="1:12" x14ac:dyDescent="0.25">
      <c r="A98">
        <v>1745</v>
      </c>
      <c r="B98" t="s">
        <v>67</v>
      </c>
      <c r="C98" t="s">
        <v>58</v>
      </c>
      <c r="D98" t="s">
        <v>35</v>
      </c>
      <c r="J98">
        <f t="shared" si="8"/>
        <v>0</v>
      </c>
      <c r="L98">
        <f t="shared" si="9"/>
        <v>0</v>
      </c>
    </row>
  </sheetData>
  <autoFilter ref="A1:N54" xr:uid="{AAD1F908-12B8-4B3A-A65D-184CD229ACD4}">
    <sortState xmlns:xlrd2="http://schemas.microsoft.com/office/spreadsheetml/2017/richdata2" ref="A2:N54">
      <sortCondition ref="B1:B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15"/>
  <sheetViews>
    <sheetView workbookViewId="0">
      <selection activeCell="N9" sqref="N9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1745</v>
      </c>
      <c r="B2" t="s">
        <v>68</v>
      </c>
      <c r="C2" t="s">
        <v>69</v>
      </c>
      <c r="D2" t="s">
        <v>33</v>
      </c>
      <c r="J2">
        <f t="shared" ref="J2:J9" si="0">(E2*2240)+(F2*112)+(G2*28)+H2</f>
        <v>0</v>
      </c>
      <c r="L2">
        <f t="shared" ref="L2:L9" si="1">J2/2240</f>
        <v>0</v>
      </c>
    </row>
    <row r="3" spans="1:12" x14ac:dyDescent="0.25">
      <c r="A3">
        <v>1745</v>
      </c>
      <c r="B3" t="s">
        <v>8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1745</v>
      </c>
      <c r="B4" t="s">
        <v>9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1745</v>
      </c>
      <c r="B5" t="s">
        <v>12</v>
      </c>
      <c r="C5" t="s">
        <v>69</v>
      </c>
      <c r="D5" t="s">
        <v>33</v>
      </c>
      <c r="E5" s="1"/>
      <c r="F5" s="1"/>
      <c r="G5" s="1"/>
      <c r="H5">
        <v>1920</v>
      </c>
      <c r="I5" s="1"/>
      <c r="J5">
        <f t="shared" si="0"/>
        <v>1920</v>
      </c>
      <c r="K5" s="1"/>
      <c r="L5">
        <f t="shared" si="1"/>
        <v>0.8571428571428571</v>
      </c>
    </row>
    <row r="6" spans="1:12" x14ac:dyDescent="0.25">
      <c r="A6">
        <v>1745</v>
      </c>
      <c r="B6" t="s">
        <v>63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1745</v>
      </c>
      <c r="B7" t="s">
        <v>65</v>
      </c>
      <c r="C7" t="s">
        <v>69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1745</v>
      </c>
      <c r="B8" t="s">
        <v>12</v>
      </c>
      <c r="C8" t="s">
        <v>69</v>
      </c>
      <c r="D8" t="s">
        <v>35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1745</v>
      </c>
      <c r="B9" t="s">
        <v>43</v>
      </c>
      <c r="C9" t="s">
        <v>69</v>
      </c>
      <c r="D9" t="s">
        <v>35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1745</v>
      </c>
      <c r="B10" t="s">
        <v>19</v>
      </c>
      <c r="C10" t="s">
        <v>69</v>
      </c>
      <c r="D10" t="s">
        <v>35</v>
      </c>
      <c r="J10">
        <f>(E10*2240)+(F10*112)+(G10*28)+H10</f>
        <v>0</v>
      </c>
      <c r="L10">
        <f>J10/2240</f>
        <v>0</v>
      </c>
    </row>
    <row r="11" spans="1:12" x14ac:dyDescent="0.25">
      <c r="A11">
        <v>1745</v>
      </c>
      <c r="B11" t="s">
        <v>56</v>
      </c>
      <c r="C11" t="s">
        <v>69</v>
      </c>
      <c r="D11" t="s">
        <v>35</v>
      </c>
      <c r="J11">
        <f t="shared" ref="J11:J15" si="2">(E11*2240)+(F11*112)+(G11*28)+H11</f>
        <v>0</v>
      </c>
      <c r="L11">
        <f t="shared" ref="L11:L15" si="3">J11/2240</f>
        <v>0</v>
      </c>
    </row>
    <row r="12" spans="1:12" x14ac:dyDescent="0.25">
      <c r="A12">
        <v>1745</v>
      </c>
      <c r="B12" t="s">
        <v>9</v>
      </c>
      <c r="C12" t="s">
        <v>69</v>
      </c>
      <c r="D12" t="s">
        <v>35</v>
      </c>
      <c r="J12">
        <f t="shared" si="2"/>
        <v>0</v>
      </c>
      <c r="L12">
        <f t="shared" si="3"/>
        <v>0</v>
      </c>
    </row>
    <row r="13" spans="1:12" x14ac:dyDescent="0.25">
      <c r="A13">
        <v>1745</v>
      </c>
      <c r="B13" t="s">
        <v>8</v>
      </c>
      <c r="C13" t="s">
        <v>69</v>
      </c>
      <c r="D13" t="s">
        <v>35</v>
      </c>
      <c r="J13">
        <f t="shared" si="2"/>
        <v>0</v>
      </c>
      <c r="L13">
        <f t="shared" si="3"/>
        <v>0</v>
      </c>
    </row>
    <row r="14" spans="1:12" x14ac:dyDescent="0.25">
      <c r="A14">
        <v>1745</v>
      </c>
      <c r="B14" t="s">
        <v>63</v>
      </c>
      <c r="C14" t="s">
        <v>69</v>
      </c>
      <c r="D14" t="s">
        <v>35</v>
      </c>
      <c r="J14">
        <f t="shared" si="2"/>
        <v>0</v>
      </c>
      <c r="L14">
        <f t="shared" si="3"/>
        <v>0</v>
      </c>
    </row>
    <row r="15" spans="1:12" x14ac:dyDescent="0.25">
      <c r="A15">
        <v>1745</v>
      </c>
      <c r="B15" t="s">
        <v>65</v>
      </c>
      <c r="C15" t="s">
        <v>69</v>
      </c>
      <c r="D15" t="s">
        <v>35</v>
      </c>
      <c r="J15">
        <f t="shared" si="2"/>
        <v>0</v>
      </c>
      <c r="L15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4"/>
  <sheetViews>
    <sheetView topLeftCell="A50" zoomScaleNormal="100" workbookViewId="0">
      <selection activeCell="H84" sqref="H8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1745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1745</v>
      </c>
      <c r="B3" t="s">
        <v>59</v>
      </c>
      <c r="C3" t="s">
        <v>70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1745</v>
      </c>
      <c r="B4" t="s">
        <v>38</v>
      </c>
      <c r="C4" t="s">
        <v>70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1745</v>
      </c>
      <c r="B5" t="s">
        <v>4</v>
      </c>
      <c r="C5" t="s">
        <v>70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1745</v>
      </c>
      <c r="B6" t="s">
        <v>60</v>
      </c>
      <c r="C6" t="s">
        <v>70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1745</v>
      </c>
      <c r="B7" t="s">
        <v>71</v>
      </c>
      <c r="C7" t="s">
        <v>70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1745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1745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1745</v>
      </c>
      <c r="B10" t="s">
        <v>5</v>
      </c>
      <c r="C10" t="s">
        <v>70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1745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1745</v>
      </c>
      <c r="B12" t="s">
        <v>6</v>
      </c>
      <c r="C12" t="s">
        <v>70</v>
      </c>
      <c r="D12" t="s">
        <v>33</v>
      </c>
      <c r="F12">
        <v>116512</v>
      </c>
      <c r="G12">
        <v>3</v>
      </c>
      <c r="H12">
        <v>16</v>
      </c>
      <c r="J12">
        <f t="shared" si="0"/>
        <v>13049444</v>
      </c>
      <c r="L12">
        <f t="shared" si="1"/>
        <v>5825.6446428571426</v>
      </c>
    </row>
    <row r="13" spans="1:12" x14ac:dyDescent="0.25">
      <c r="A13">
        <v>1745</v>
      </c>
      <c r="B13" t="s">
        <v>62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1745</v>
      </c>
      <c r="B14" t="s">
        <v>40</v>
      </c>
      <c r="C14" t="s">
        <v>70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1745</v>
      </c>
      <c r="B15" t="s">
        <v>39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1745</v>
      </c>
      <c r="B16" t="s">
        <v>8</v>
      </c>
      <c r="C16" t="s">
        <v>70</v>
      </c>
      <c r="D16" t="s">
        <v>33</v>
      </c>
      <c r="F16">
        <v>425</v>
      </c>
      <c r="J16">
        <f t="shared" si="0"/>
        <v>47600</v>
      </c>
      <c r="L16">
        <f t="shared" si="1"/>
        <v>21.25</v>
      </c>
    </row>
    <row r="17" spans="1:12" x14ac:dyDescent="0.25">
      <c r="A17">
        <v>1745</v>
      </c>
      <c r="B17" t="s">
        <v>42</v>
      </c>
      <c r="C17" t="s">
        <v>70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1745</v>
      </c>
      <c r="B18" t="s">
        <v>80</v>
      </c>
      <c r="C18" t="s">
        <v>70</v>
      </c>
      <c r="D18" t="s">
        <v>33</v>
      </c>
      <c r="F18">
        <v>438</v>
      </c>
      <c r="G18">
        <v>1</v>
      </c>
      <c r="J18">
        <f t="shared" si="0"/>
        <v>49084</v>
      </c>
      <c r="L18">
        <f t="shared" si="1"/>
        <v>21.912500000000001</v>
      </c>
    </row>
    <row r="19" spans="1:12" x14ac:dyDescent="0.25">
      <c r="A19">
        <v>1745</v>
      </c>
      <c r="B19" t="s">
        <v>81</v>
      </c>
      <c r="C19" t="s">
        <v>70</v>
      </c>
      <c r="D19" t="s">
        <v>33</v>
      </c>
      <c r="H19">
        <v>21758</v>
      </c>
      <c r="J19">
        <f t="shared" si="0"/>
        <v>21758</v>
      </c>
      <c r="L19">
        <f t="shared" si="1"/>
        <v>9.7133928571428569</v>
      </c>
    </row>
    <row r="20" spans="1:12" x14ac:dyDescent="0.25">
      <c r="A20">
        <v>1745</v>
      </c>
      <c r="B20" t="s">
        <v>48</v>
      </c>
      <c r="C20" t="s">
        <v>70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1745</v>
      </c>
      <c r="B21" t="s">
        <v>9</v>
      </c>
      <c r="C21" t="s">
        <v>70</v>
      </c>
      <c r="D21" t="s">
        <v>33</v>
      </c>
      <c r="F21">
        <v>80</v>
      </c>
      <c r="H21">
        <f>200*765</f>
        <v>153000</v>
      </c>
      <c r="I21" t="s">
        <v>117</v>
      </c>
      <c r="J21">
        <f t="shared" si="0"/>
        <v>161960</v>
      </c>
      <c r="L21">
        <f t="shared" si="1"/>
        <v>72.303571428571431</v>
      </c>
    </row>
    <row r="22" spans="1:12" x14ac:dyDescent="0.25">
      <c r="A22">
        <v>1745</v>
      </c>
      <c r="B22" t="s">
        <v>10</v>
      </c>
      <c r="C22" t="s">
        <v>70</v>
      </c>
      <c r="D22" t="s">
        <v>33</v>
      </c>
      <c r="F22">
        <v>209</v>
      </c>
      <c r="J22">
        <f t="shared" si="0"/>
        <v>23408</v>
      </c>
      <c r="L22">
        <f t="shared" si="1"/>
        <v>10.45</v>
      </c>
    </row>
    <row r="23" spans="1:12" x14ac:dyDescent="0.25">
      <c r="A23">
        <v>1745</v>
      </c>
      <c r="B23" t="s">
        <v>11</v>
      </c>
      <c r="C23" t="s">
        <v>70</v>
      </c>
      <c r="D23" t="s">
        <v>33</v>
      </c>
      <c r="F23">
        <v>177</v>
      </c>
      <c r="G23">
        <v>1</v>
      </c>
      <c r="J23">
        <f t="shared" si="0"/>
        <v>19852</v>
      </c>
      <c r="L23">
        <f t="shared" si="1"/>
        <v>8.8625000000000007</v>
      </c>
    </row>
    <row r="24" spans="1:12" x14ac:dyDescent="0.25">
      <c r="A24">
        <v>1745</v>
      </c>
      <c r="B24" t="s">
        <v>41</v>
      </c>
      <c r="C24" t="s">
        <v>70</v>
      </c>
      <c r="D24" t="s">
        <v>33</v>
      </c>
      <c r="H24">
        <v>336</v>
      </c>
      <c r="J24">
        <f t="shared" si="0"/>
        <v>336</v>
      </c>
      <c r="L24">
        <f t="shared" si="1"/>
        <v>0.15</v>
      </c>
    </row>
    <row r="25" spans="1:12" x14ac:dyDescent="0.25">
      <c r="A25">
        <v>1745</v>
      </c>
      <c r="B25" t="s">
        <v>82</v>
      </c>
      <c r="C25" t="s">
        <v>70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1745</v>
      </c>
      <c r="B26" t="s">
        <v>83</v>
      </c>
      <c r="C26" t="s">
        <v>70</v>
      </c>
      <c r="D26" t="s">
        <v>33</v>
      </c>
      <c r="H26">
        <v>378</v>
      </c>
      <c r="J26">
        <f t="shared" ref="J26:J58" si="2">(E26*2240)+(F26*112)+(G26*28)+H26</f>
        <v>378</v>
      </c>
      <c r="L26">
        <f t="shared" si="1"/>
        <v>0.16875000000000001</v>
      </c>
    </row>
    <row r="27" spans="1:12" x14ac:dyDescent="0.25">
      <c r="A27">
        <v>1745</v>
      </c>
      <c r="B27" t="s">
        <v>46</v>
      </c>
      <c r="C27" t="s">
        <v>70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1745</v>
      </c>
      <c r="B28" t="s">
        <v>12</v>
      </c>
      <c r="C28" t="s">
        <v>70</v>
      </c>
      <c r="D28" t="s">
        <v>33</v>
      </c>
      <c r="H28">
        <v>102199</v>
      </c>
      <c r="J28">
        <f t="shared" si="2"/>
        <v>102199</v>
      </c>
      <c r="L28">
        <f t="shared" ref="L28:L58" si="3">J28/2240</f>
        <v>45.624553571428571</v>
      </c>
    </row>
    <row r="29" spans="1:12" x14ac:dyDescent="0.25">
      <c r="A29">
        <v>1745</v>
      </c>
      <c r="B29" t="s">
        <v>86</v>
      </c>
      <c r="C29" t="s">
        <v>70</v>
      </c>
      <c r="D29" t="s">
        <v>33</v>
      </c>
      <c r="J29">
        <f t="shared" si="2"/>
        <v>0</v>
      </c>
      <c r="L29">
        <f t="shared" si="3"/>
        <v>0</v>
      </c>
    </row>
    <row r="30" spans="1:12" x14ac:dyDescent="0.25">
      <c r="A30">
        <v>1745</v>
      </c>
      <c r="B30" t="s">
        <v>34</v>
      </c>
      <c r="C30" t="s">
        <v>70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1745</v>
      </c>
      <c r="B31" t="s">
        <v>13</v>
      </c>
      <c r="C31" t="s">
        <v>70</v>
      </c>
      <c r="D31" t="s">
        <v>33</v>
      </c>
      <c r="E31">
        <v>187</v>
      </c>
      <c r="J31">
        <f t="shared" si="2"/>
        <v>418880</v>
      </c>
      <c r="L31">
        <f t="shared" si="3"/>
        <v>187</v>
      </c>
    </row>
    <row r="32" spans="1:12" x14ac:dyDescent="0.25">
      <c r="A32">
        <v>1745</v>
      </c>
      <c r="B32" t="s">
        <v>14</v>
      </c>
      <c r="C32" t="s">
        <v>70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1745</v>
      </c>
      <c r="B33" t="s">
        <v>23</v>
      </c>
      <c r="C33" t="s">
        <v>70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1745</v>
      </c>
      <c r="B34" t="s">
        <v>27</v>
      </c>
      <c r="C34" t="s">
        <v>70</v>
      </c>
      <c r="D34" t="s">
        <v>33</v>
      </c>
      <c r="H34">
        <v>30018</v>
      </c>
      <c r="I34" t="s">
        <v>115</v>
      </c>
      <c r="J34">
        <f t="shared" si="2"/>
        <v>30018</v>
      </c>
      <c r="L34">
        <f t="shared" si="3"/>
        <v>13.400892857142857</v>
      </c>
    </row>
    <row r="35" spans="1:12" x14ac:dyDescent="0.25">
      <c r="A35">
        <v>1745</v>
      </c>
      <c r="B35" t="s">
        <v>15</v>
      </c>
      <c r="C35" t="s">
        <v>70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1745</v>
      </c>
      <c r="B36" t="s">
        <v>44</v>
      </c>
      <c r="C36" t="s">
        <v>70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1745</v>
      </c>
      <c r="B37" t="s">
        <v>87</v>
      </c>
      <c r="C37" t="s">
        <v>70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1745</v>
      </c>
      <c r="B38" t="s">
        <v>104</v>
      </c>
      <c r="C38" t="s">
        <v>70</v>
      </c>
      <c r="D38" t="s">
        <v>33</v>
      </c>
      <c r="G38">
        <v>2</v>
      </c>
      <c r="J38">
        <f t="shared" si="2"/>
        <v>56</v>
      </c>
      <c r="L38">
        <f t="shared" si="3"/>
        <v>2.5000000000000001E-2</v>
      </c>
    </row>
    <row r="39" spans="1:12" x14ac:dyDescent="0.25">
      <c r="A39">
        <v>1745</v>
      </c>
      <c r="B39" t="s">
        <v>49</v>
      </c>
      <c r="C39" t="s">
        <v>70</v>
      </c>
      <c r="D39" t="s">
        <v>33</v>
      </c>
      <c r="H39">
        <v>240</v>
      </c>
      <c r="I39" t="s">
        <v>113</v>
      </c>
      <c r="J39">
        <f t="shared" si="2"/>
        <v>240</v>
      </c>
      <c r="L39">
        <f t="shared" si="3"/>
        <v>0.10714285714285714</v>
      </c>
    </row>
    <row r="40" spans="1:12" x14ac:dyDescent="0.25">
      <c r="A40">
        <v>1745</v>
      </c>
      <c r="B40" t="s">
        <v>16</v>
      </c>
      <c r="C40" t="s">
        <v>70</v>
      </c>
      <c r="D40" t="s">
        <v>33</v>
      </c>
      <c r="H40">
        <v>137290</v>
      </c>
      <c r="J40">
        <f t="shared" si="2"/>
        <v>137290</v>
      </c>
      <c r="L40">
        <f t="shared" si="3"/>
        <v>61.290178571428569</v>
      </c>
    </row>
    <row r="41" spans="1:12" x14ac:dyDescent="0.25">
      <c r="A41">
        <v>1745</v>
      </c>
      <c r="B41" t="s">
        <v>17</v>
      </c>
      <c r="C41" t="s">
        <v>70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1745</v>
      </c>
      <c r="B42" t="s">
        <v>18</v>
      </c>
      <c r="C42" t="s">
        <v>70</v>
      </c>
      <c r="D42" t="s">
        <v>33</v>
      </c>
      <c r="H42">
        <v>2027186</v>
      </c>
      <c r="I42" t="s">
        <v>114</v>
      </c>
      <c r="J42">
        <f t="shared" si="2"/>
        <v>2027186</v>
      </c>
      <c r="L42">
        <f t="shared" si="3"/>
        <v>904.99374999999998</v>
      </c>
    </row>
    <row r="43" spans="1:12" x14ac:dyDescent="0.25">
      <c r="A43">
        <v>1745</v>
      </c>
      <c r="B43" t="s">
        <v>26</v>
      </c>
      <c r="C43" t="s">
        <v>70</v>
      </c>
      <c r="D43" t="s">
        <v>33</v>
      </c>
      <c r="H43">
        <v>966</v>
      </c>
      <c r="J43">
        <f t="shared" si="2"/>
        <v>966</v>
      </c>
      <c r="L43">
        <f t="shared" si="3"/>
        <v>0.43125000000000002</v>
      </c>
    </row>
    <row r="44" spans="1:12" x14ac:dyDescent="0.25">
      <c r="A44">
        <v>1745</v>
      </c>
      <c r="B44" t="s">
        <v>88</v>
      </c>
      <c r="C44" t="s">
        <v>70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1745</v>
      </c>
      <c r="B45" t="s">
        <v>19</v>
      </c>
      <c r="C45" t="s">
        <v>70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1745</v>
      </c>
      <c r="B46" t="s">
        <v>47</v>
      </c>
      <c r="C46" t="s">
        <v>70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1745</v>
      </c>
      <c r="B47" t="s">
        <v>89</v>
      </c>
      <c r="C47" t="s">
        <v>70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1745</v>
      </c>
      <c r="B48" t="s">
        <v>56</v>
      </c>
      <c r="C48" t="s">
        <v>70</v>
      </c>
      <c r="D48" t="s">
        <v>33</v>
      </c>
      <c r="H48">
        <v>577</v>
      </c>
      <c r="J48">
        <f t="shared" si="2"/>
        <v>577</v>
      </c>
      <c r="L48">
        <f t="shared" si="3"/>
        <v>0.25758928571428569</v>
      </c>
    </row>
    <row r="49" spans="1:12" x14ac:dyDescent="0.25">
      <c r="A49">
        <v>1745</v>
      </c>
      <c r="B49" t="s">
        <v>90</v>
      </c>
      <c r="C49" t="s">
        <v>70</v>
      </c>
      <c r="D49" t="s">
        <v>33</v>
      </c>
      <c r="H49">
        <v>117</v>
      </c>
      <c r="J49">
        <f t="shared" si="2"/>
        <v>117</v>
      </c>
      <c r="L49">
        <f t="shared" si="3"/>
        <v>5.2232142857142859E-2</v>
      </c>
    </row>
    <row r="50" spans="1:12" x14ac:dyDescent="0.25">
      <c r="A50">
        <v>1745</v>
      </c>
      <c r="B50" t="s">
        <v>20</v>
      </c>
      <c r="C50" t="s">
        <v>70</v>
      </c>
      <c r="D50" t="s">
        <v>33</v>
      </c>
      <c r="H50">
        <v>4</v>
      </c>
      <c r="J50">
        <f t="shared" si="2"/>
        <v>4</v>
      </c>
      <c r="L50">
        <f t="shared" si="3"/>
        <v>1.7857142857142857E-3</v>
      </c>
    </row>
    <row r="51" spans="1:12" x14ac:dyDescent="0.25">
      <c r="A51">
        <v>1745</v>
      </c>
      <c r="B51" t="s">
        <v>21</v>
      </c>
      <c r="C51" t="s">
        <v>70</v>
      </c>
      <c r="D51" t="s">
        <v>33</v>
      </c>
      <c r="H51">
        <v>2096</v>
      </c>
      <c r="J51">
        <f t="shared" si="2"/>
        <v>2096</v>
      </c>
      <c r="L51">
        <f t="shared" si="3"/>
        <v>0.93571428571428572</v>
      </c>
    </row>
    <row r="52" spans="1:12" x14ac:dyDescent="0.25">
      <c r="A52">
        <v>1745</v>
      </c>
      <c r="B52" t="s">
        <v>22</v>
      </c>
      <c r="C52" t="s">
        <v>70</v>
      </c>
      <c r="D52" t="s">
        <v>33</v>
      </c>
      <c r="J52">
        <f t="shared" si="2"/>
        <v>0</v>
      </c>
      <c r="L52">
        <f t="shared" si="3"/>
        <v>0</v>
      </c>
    </row>
    <row r="53" spans="1:12" x14ac:dyDescent="0.25">
      <c r="A53">
        <v>1745</v>
      </c>
      <c r="B53" t="s">
        <v>63</v>
      </c>
      <c r="C53" t="s">
        <v>70</v>
      </c>
      <c r="D53" t="s">
        <v>33</v>
      </c>
      <c r="E53">
        <v>5</v>
      </c>
      <c r="J53">
        <f t="shared" si="2"/>
        <v>11200</v>
      </c>
      <c r="L53">
        <f t="shared" si="3"/>
        <v>5</v>
      </c>
    </row>
    <row r="54" spans="1:12" x14ac:dyDescent="0.25">
      <c r="A54">
        <v>1745</v>
      </c>
      <c r="B54" t="s">
        <v>96</v>
      </c>
      <c r="C54" t="s">
        <v>70</v>
      </c>
      <c r="D54" t="s">
        <v>33</v>
      </c>
      <c r="F54">
        <v>10</v>
      </c>
      <c r="J54">
        <f t="shared" si="2"/>
        <v>1120</v>
      </c>
      <c r="L54">
        <f t="shared" si="3"/>
        <v>0.5</v>
      </c>
    </row>
    <row r="55" spans="1:12" x14ac:dyDescent="0.25">
      <c r="A55">
        <v>1745</v>
      </c>
      <c r="B55" t="s">
        <v>116</v>
      </c>
      <c r="C55" t="s">
        <v>70</v>
      </c>
      <c r="D55" t="s">
        <v>33</v>
      </c>
      <c r="E55">
        <v>39</v>
      </c>
      <c r="J55">
        <f t="shared" si="2"/>
        <v>87360</v>
      </c>
      <c r="L55">
        <f t="shared" si="3"/>
        <v>39</v>
      </c>
    </row>
    <row r="56" spans="1:12" x14ac:dyDescent="0.25">
      <c r="A56">
        <v>1745</v>
      </c>
      <c r="B56" t="s">
        <v>91</v>
      </c>
      <c r="C56" t="s">
        <v>70</v>
      </c>
      <c r="D56" t="s">
        <v>33</v>
      </c>
      <c r="E56">
        <v>53</v>
      </c>
      <c r="F56">
        <v>5</v>
      </c>
      <c r="J56">
        <f t="shared" si="2"/>
        <v>119280</v>
      </c>
      <c r="L56">
        <f t="shared" si="3"/>
        <v>53.25</v>
      </c>
    </row>
    <row r="57" spans="1:12" x14ac:dyDescent="0.25">
      <c r="A57">
        <v>1745</v>
      </c>
      <c r="B57" t="s">
        <v>64</v>
      </c>
      <c r="C57" t="s">
        <v>70</v>
      </c>
      <c r="D57" t="s">
        <v>33</v>
      </c>
      <c r="E57">
        <v>96</v>
      </c>
      <c r="F57">
        <v>8</v>
      </c>
      <c r="G57">
        <v>3</v>
      </c>
      <c r="H57">
        <v>9</v>
      </c>
      <c r="J57">
        <f t="shared" si="2"/>
        <v>216029</v>
      </c>
      <c r="L57">
        <f t="shared" si="3"/>
        <v>96.441517857142856</v>
      </c>
    </row>
    <row r="58" spans="1:12" x14ac:dyDescent="0.25">
      <c r="A58">
        <v>1745</v>
      </c>
      <c r="B58" t="s">
        <v>92</v>
      </c>
      <c r="C58" t="s">
        <v>70</v>
      </c>
      <c r="D58" t="s">
        <v>33</v>
      </c>
      <c r="J58">
        <f t="shared" si="2"/>
        <v>0</v>
      </c>
      <c r="L58">
        <f t="shared" si="3"/>
        <v>0</v>
      </c>
    </row>
    <row r="59" spans="1:12" x14ac:dyDescent="0.25">
      <c r="A59">
        <v>1745</v>
      </c>
      <c r="B59" t="s">
        <v>65</v>
      </c>
      <c r="C59" t="s">
        <v>70</v>
      </c>
      <c r="D59" t="s">
        <v>33</v>
      </c>
      <c r="E59">
        <v>155</v>
      </c>
      <c r="F59">
        <v>5</v>
      </c>
      <c r="G59">
        <v>2</v>
      </c>
      <c r="J59">
        <f t="shared" ref="J59:J72" si="4">(E59*2240)+(F59*112)+(G59*28)+H59</f>
        <v>347816</v>
      </c>
      <c r="L59">
        <f t="shared" ref="L59:L72" si="5">J59/2240</f>
        <v>155.27500000000001</v>
      </c>
    </row>
    <row r="60" spans="1:12" x14ac:dyDescent="0.25">
      <c r="A60">
        <v>1745</v>
      </c>
      <c r="B60" t="s">
        <v>93</v>
      </c>
      <c r="C60" t="s">
        <v>70</v>
      </c>
      <c r="D60" t="s">
        <v>33</v>
      </c>
      <c r="E60">
        <v>242</v>
      </c>
      <c r="J60">
        <f t="shared" si="4"/>
        <v>542080</v>
      </c>
      <c r="L60">
        <f t="shared" si="5"/>
        <v>242</v>
      </c>
    </row>
    <row r="61" spans="1:12" x14ac:dyDescent="0.25">
      <c r="A61">
        <v>1745</v>
      </c>
      <c r="B61" t="s">
        <v>73</v>
      </c>
      <c r="C61" t="s">
        <v>70</v>
      </c>
      <c r="D61" t="s">
        <v>33</v>
      </c>
      <c r="J61">
        <f t="shared" si="4"/>
        <v>0</v>
      </c>
      <c r="L61">
        <f t="shared" si="5"/>
        <v>0</v>
      </c>
    </row>
    <row r="62" spans="1:12" x14ac:dyDescent="0.25">
      <c r="A62">
        <v>1745</v>
      </c>
      <c r="B62" t="s">
        <v>66</v>
      </c>
      <c r="C62" t="s">
        <v>70</v>
      </c>
      <c r="D62" t="s">
        <v>33</v>
      </c>
      <c r="E62">
        <v>10</v>
      </c>
      <c r="J62">
        <f t="shared" si="4"/>
        <v>22400</v>
      </c>
      <c r="L62">
        <f t="shared" si="5"/>
        <v>10</v>
      </c>
    </row>
    <row r="63" spans="1:12" x14ac:dyDescent="0.25">
      <c r="A63">
        <v>1745</v>
      </c>
      <c r="B63" t="s">
        <v>67</v>
      </c>
      <c r="C63" t="s">
        <v>70</v>
      </c>
      <c r="D63" t="s">
        <v>33</v>
      </c>
      <c r="J63">
        <f t="shared" si="4"/>
        <v>0</v>
      </c>
      <c r="L63">
        <f t="shared" si="5"/>
        <v>0</v>
      </c>
    </row>
    <row r="64" spans="1:12" x14ac:dyDescent="0.25">
      <c r="A64">
        <v>1745</v>
      </c>
      <c r="B64" t="s">
        <v>57</v>
      </c>
      <c r="C64" t="s">
        <v>70</v>
      </c>
      <c r="D64" t="s">
        <v>35</v>
      </c>
      <c r="J64">
        <f t="shared" si="4"/>
        <v>0</v>
      </c>
      <c r="L64">
        <f t="shared" si="5"/>
        <v>0</v>
      </c>
    </row>
    <row r="65" spans="1:12" x14ac:dyDescent="0.25">
      <c r="A65">
        <v>1745</v>
      </c>
      <c r="B65" t="s">
        <v>59</v>
      </c>
      <c r="C65" t="s">
        <v>70</v>
      </c>
      <c r="D65" t="s">
        <v>35</v>
      </c>
      <c r="J65">
        <f t="shared" si="4"/>
        <v>0</v>
      </c>
      <c r="L65">
        <f t="shared" si="5"/>
        <v>0</v>
      </c>
    </row>
    <row r="66" spans="1:12" x14ac:dyDescent="0.25">
      <c r="A66">
        <v>1745</v>
      </c>
      <c r="B66" t="s">
        <v>38</v>
      </c>
      <c r="C66" t="s">
        <v>70</v>
      </c>
      <c r="D66" t="s">
        <v>35</v>
      </c>
      <c r="J66">
        <f t="shared" si="4"/>
        <v>0</v>
      </c>
      <c r="L66">
        <f t="shared" si="5"/>
        <v>0</v>
      </c>
    </row>
    <row r="67" spans="1:12" x14ac:dyDescent="0.25">
      <c r="A67">
        <v>1745</v>
      </c>
      <c r="B67" t="s">
        <v>4</v>
      </c>
      <c r="C67" t="s">
        <v>70</v>
      </c>
      <c r="D67" t="s">
        <v>35</v>
      </c>
      <c r="J67">
        <f t="shared" si="4"/>
        <v>0</v>
      </c>
      <c r="L67">
        <f t="shared" si="5"/>
        <v>0</v>
      </c>
    </row>
    <row r="68" spans="1:12" x14ac:dyDescent="0.25">
      <c r="A68">
        <v>1745</v>
      </c>
      <c r="B68" t="s">
        <v>60</v>
      </c>
      <c r="C68" t="s">
        <v>70</v>
      </c>
      <c r="D68" t="s">
        <v>35</v>
      </c>
      <c r="J68">
        <f t="shared" si="4"/>
        <v>0</v>
      </c>
      <c r="L68">
        <f t="shared" si="5"/>
        <v>0</v>
      </c>
    </row>
    <row r="69" spans="1:12" x14ac:dyDescent="0.25">
      <c r="A69">
        <v>1745</v>
      </c>
      <c r="B69" t="s">
        <v>71</v>
      </c>
      <c r="C69" t="s">
        <v>70</v>
      </c>
      <c r="D69" t="s">
        <v>35</v>
      </c>
      <c r="J69">
        <f t="shared" si="4"/>
        <v>0</v>
      </c>
      <c r="L69">
        <f t="shared" si="5"/>
        <v>0</v>
      </c>
    </row>
    <row r="70" spans="1:12" x14ac:dyDescent="0.25">
      <c r="A70">
        <v>1745</v>
      </c>
      <c r="B70" t="s">
        <v>45</v>
      </c>
      <c r="C70" t="s">
        <v>70</v>
      </c>
      <c r="D70" t="s">
        <v>35</v>
      </c>
      <c r="J70">
        <f t="shared" si="4"/>
        <v>0</v>
      </c>
      <c r="L70">
        <f t="shared" si="5"/>
        <v>0</v>
      </c>
    </row>
    <row r="71" spans="1:12" x14ac:dyDescent="0.25">
      <c r="A71">
        <v>1745</v>
      </c>
      <c r="B71" t="s">
        <v>79</v>
      </c>
      <c r="C71" t="s">
        <v>70</v>
      </c>
      <c r="D71" t="s">
        <v>35</v>
      </c>
      <c r="J71">
        <f t="shared" si="4"/>
        <v>0</v>
      </c>
      <c r="L71">
        <f t="shared" si="5"/>
        <v>0</v>
      </c>
    </row>
    <row r="72" spans="1:12" x14ac:dyDescent="0.25">
      <c r="A72">
        <v>1745</v>
      </c>
      <c r="B72" t="s">
        <v>5</v>
      </c>
      <c r="C72" t="s">
        <v>70</v>
      </c>
      <c r="D72" t="s">
        <v>35</v>
      </c>
      <c r="F72">
        <v>25</v>
      </c>
      <c r="G72">
        <v>2</v>
      </c>
      <c r="J72">
        <f t="shared" si="4"/>
        <v>2856</v>
      </c>
      <c r="L72">
        <f t="shared" si="5"/>
        <v>1.2749999999999999</v>
      </c>
    </row>
    <row r="73" spans="1:12" x14ac:dyDescent="0.25">
      <c r="A73">
        <v>1745</v>
      </c>
      <c r="B73" t="s">
        <v>61</v>
      </c>
      <c r="C73" t="s">
        <v>70</v>
      </c>
      <c r="D73" t="s">
        <v>35</v>
      </c>
      <c r="J73">
        <f t="shared" ref="J73:J124" si="6">(E73*2240)+(F73*112)+(G73*28)+H73</f>
        <v>0</v>
      </c>
      <c r="L73">
        <f t="shared" ref="L73:L124" si="7">J73/2240</f>
        <v>0</v>
      </c>
    </row>
    <row r="74" spans="1:12" x14ac:dyDescent="0.25">
      <c r="A74">
        <v>1745</v>
      </c>
      <c r="B74" t="s">
        <v>6</v>
      </c>
      <c r="C74" t="s">
        <v>70</v>
      </c>
      <c r="D74" t="s">
        <v>35</v>
      </c>
      <c r="F74">
        <v>88490</v>
      </c>
      <c r="J74">
        <f t="shared" si="6"/>
        <v>9910880</v>
      </c>
      <c r="L74">
        <f t="shared" si="7"/>
        <v>4424.5</v>
      </c>
    </row>
    <row r="75" spans="1:12" x14ac:dyDescent="0.25">
      <c r="A75">
        <v>1745</v>
      </c>
      <c r="B75" t="s">
        <v>62</v>
      </c>
      <c r="C75" t="s">
        <v>70</v>
      </c>
      <c r="D75" t="s">
        <v>35</v>
      </c>
      <c r="H75">
        <v>295</v>
      </c>
      <c r="J75">
        <f t="shared" si="6"/>
        <v>295</v>
      </c>
      <c r="L75">
        <f t="shared" si="7"/>
        <v>0.13169642857142858</v>
      </c>
    </row>
    <row r="76" spans="1:12" x14ac:dyDescent="0.25">
      <c r="A76">
        <v>1745</v>
      </c>
      <c r="B76" t="s">
        <v>40</v>
      </c>
      <c r="C76" t="s">
        <v>70</v>
      </c>
      <c r="D76" t="s">
        <v>35</v>
      </c>
      <c r="J76">
        <f t="shared" si="6"/>
        <v>0</v>
      </c>
      <c r="L76">
        <f t="shared" si="7"/>
        <v>0</v>
      </c>
    </row>
    <row r="77" spans="1:12" x14ac:dyDescent="0.25">
      <c r="A77">
        <v>1745</v>
      </c>
      <c r="B77" t="s">
        <v>39</v>
      </c>
      <c r="C77" t="s">
        <v>70</v>
      </c>
      <c r="D77" t="s">
        <v>35</v>
      </c>
      <c r="J77">
        <f t="shared" si="6"/>
        <v>0</v>
      </c>
      <c r="L77">
        <f t="shared" si="7"/>
        <v>0</v>
      </c>
    </row>
    <row r="78" spans="1:12" x14ac:dyDescent="0.25">
      <c r="A78">
        <v>1745</v>
      </c>
      <c r="B78" t="s">
        <v>8</v>
      </c>
      <c r="C78" t="s">
        <v>70</v>
      </c>
      <c r="D78" t="s">
        <v>35</v>
      </c>
      <c r="F78">
        <v>174</v>
      </c>
      <c r="G78">
        <v>2</v>
      </c>
      <c r="H78">
        <v>19</v>
      </c>
      <c r="J78">
        <f t="shared" si="6"/>
        <v>19563</v>
      </c>
      <c r="L78">
        <f t="shared" si="7"/>
        <v>8.7334821428571434</v>
      </c>
    </row>
    <row r="79" spans="1:12" x14ac:dyDescent="0.25">
      <c r="A79">
        <v>1745</v>
      </c>
      <c r="B79" t="s">
        <v>42</v>
      </c>
      <c r="C79" t="s">
        <v>70</v>
      </c>
      <c r="D79" t="s">
        <v>35</v>
      </c>
      <c r="J79">
        <f t="shared" si="6"/>
        <v>0</v>
      </c>
      <c r="L79">
        <f t="shared" si="7"/>
        <v>0</v>
      </c>
    </row>
    <row r="80" spans="1:12" x14ac:dyDescent="0.25">
      <c r="A80">
        <v>1745</v>
      </c>
      <c r="B80" t="s">
        <v>80</v>
      </c>
      <c r="C80" t="s">
        <v>70</v>
      </c>
      <c r="D80" t="s">
        <v>35</v>
      </c>
      <c r="F80">
        <v>54</v>
      </c>
      <c r="H80">
        <v>16</v>
      </c>
      <c r="J80">
        <f t="shared" si="6"/>
        <v>6064</v>
      </c>
      <c r="L80">
        <f t="shared" si="7"/>
        <v>2.7071428571428573</v>
      </c>
    </row>
    <row r="81" spans="1:12" x14ac:dyDescent="0.25">
      <c r="A81">
        <v>1745</v>
      </c>
      <c r="B81" t="s">
        <v>81</v>
      </c>
      <c r="C81" t="s">
        <v>70</v>
      </c>
      <c r="D81" t="s">
        <v>35</v>
      </c>
      <c r="J81">
        <f t="shared" si="6"/>
        <v>0</v>
      </c>
      <c r="L81">
        <f t="shared" si="7"/>
        <v>0</v>
      </c>
    </row>
    <row r="82" spans="1:12" x14ac:dyDescent="0.25">
      <c r="A82">
        <v>1745</v>
      </c>
      <c r="B82" t="s">
        <v>48</v>
      </c>
      <c r="C82" t="s">
        <v>70</v>
      </c>
      <c r="D82" t="s">
        <v>35</v>
      </c>
      <c r="J82">
        <f t="shared" si="6"/>
        <v>0</v>
      </c>
      <c r="L82">
        <f t="shared" si="7"/>
        <v>0</v>
      </c>
    </row>
    <row r="83" spans="1:12" x14ac:dyDescent="0.25">
      <c r="A83">
        <v>1745</v>
      </c>
      <c r="B83" t="s">
        <v>9</v>
      </c>
      <c r="C83" t="s">
        <v>70</v>
      </c>
      <c r="D83" t="s">
        <v>35</v>
      </c>
      <c r="F83">
        <v>130</v>
      </c>
      <c r="H83">
        <f>200*844</f>
        <v>168800</v>
      </c>
      <c r="I83" t="s">
        <v>140</v>
      </c>
      <c r="J83">
        <f t="shared" si="6"/>
        <v>183360</v>
      </c>
      <c r="L83">
        <f t="shared" si="7"/>
        <v>81.857142857142861</v>
      </c>
    </row>
    <row r="84" spans="1:12" x14ac:dyDescent="0.25">
      <c r="A84">
        <v>1745</v>
      </c>
      <c r="B84" t="s">
        <v>10</v>
      </c>
      <c r="C84" t="s">
        <v>70</v>
      </c>
      <c r="D84" t="s">
        <v>35</v>
      </c>
      <c r="F84">
        <v>869</v>
      </c>
      <c r="G84">
        <v>2</v>
      </c>
      <c r="J84">
        <f t="shared" si="6"/>
        <v>97384</v>
      </c>
      <c r="L84">
        <f t="shared" si="7"/>
        <v>43.475000000000001</v>
      </c>
    </row>
    <row r="85" spans="1:12" x14ac:dyDescent="0.25">
      <c r="A85">
        <v>1745</v>
      </c>
      <c r="B85" t="s">
        <v>11</v>
      </c>
      <c r="C85" t="s">
        <v>70</v>
      </c>
      <c r="D85" t="s">
        <v>35</v>
      </c>
      <c r="F85">
        <v>300</v>
      </c>
      <c r="G85">
        <v>2</v>
      </c>
      <c r="H85">
        <v>14</v>
      </c>
      <c r="J85">
        <f t="shared" si="6"/>
        <v>33670</v>
      </c>
      <c r="L85">
        <f t="shared" si="7"/>
        <v>15.03125</v>
      </c>
    </row>
    <row r="86" spans="1:12" x14ac:dyDescent="0.25">
      <c r="A86">
        <v>1745</v>
      </c>
      <c r="B86" t="s">
        <v>41</v>
      </c>
      <c r="C86" t="s">
        <v>70</v>
      </c>
      <c r="D86" t="s">
        <v>35</v>
      </c>
      <c r="J86">
        <f t="shared" si="6"/>
        <v>0</v>
      </c>
      <c r="L86">
        <f t="shared" si="7"/>
        <v>0</v>
      </c>
    </row>
    <row r="87" spans="1:12" x14ac:dyDescent="0.25">
      <c r="A87">
        <v>1745</v>
      </c>
      <c r="B87" t="s">
        <v>82</v>
      </c>
      <c r="C87" t="s">
        <v>70</v>
      </c>
      <c r="D87" t="s">
        <v>35</v>
      </c>
      <c r="J87">
        <f t="shared" si="6"/>
        <v>0</v>
      </c>
      <c r="L87">
        <f t="shared" si="7"/>
        <v>0</v>
      </c>
    </row>
    <row r="88" spans="1:12" x14ac:dyDescent="0.25">
      <c r="A88">
        <v>1745</v>
      </c>
      <c r="B88" t="s">
        <v>83</v>
      </c>
      <c r="C88" t="s">
        <v>70</v>
      </c>
      <c r="D88" t="s">
        <v>35</v>
      </c>
      <c r="J88">
        <f t="shared" si="6"/>
        <v>0</v>
      </c>
      <c r="L88">
        <f t="shared" si="7"/>
        <v>0</v>
      </c>
    </row>
    <row r="89" spans="1:12" x14ac:dyDescent="0.25">
      <c r="A89">
        <v>1745</v>
      </c>
      <c r="B89" t="s">
        <v>46</v>
      </c>
      <c r="C89" t="s">
        <v>70</v>
      </c>
      <c r="D89" t="s">
        <v>35</v>
      </c>
      <c r="J89">
        <f t="shared" si="6"/>
        <v>0</v>
      </c>
      <c r="L89">
        <f t="shared" si="7"/>
        <v>0</v>
      </c>
    </row>
    <row r="90" spans="1:12" x14ac:dyDescent="0.25">
      <c r="A90">
        <v>1745</v>
      </c>
      <c r="B90" t="s">
        <v>12</v>
      </c>
      <c r="C90" t="s">
        <v>70</v>
      </c>
      <c r="D90" t="s">
        <v>35</v>
      </c>
      <c r="H90">
        <f>21899+8146</f>
        <v>30045</v>
      </c>
      <c r="J90">
        <f t="shared" si="6"/>
        <v>30045</v>
      </c>
      <c r="L90">
        <f t="shared" si="7"/>
        <v>13.412946428571429</v>
      </c>
    </row>
    <row r="91" spans="1:12" x14ac:dyDescent="0.25">
      <c r="A91">
        <v>1745</v>
      </c>
      <c r="B91" t="s">
        <v>86</v>
      </c>
      <c r="C91" t="s">
        <v>70</v>
      </c>
      <c r="D91" t="s">
        <v>35</v>
      </c>
      <c r="J91">
        <f t="shared" si="6"/>
        <v>0</v>
      </c>
      <c r="L91">
        <f t="shared" si="7"/>
        <v>0</v>
      </c>
    </row>
    <row r="92" spans="1:12" x14ac:dyDescent="0.25">
      <c r="A92">
        <v>1745</v>
      </c>
      <c r="B92" t="s">
        <v>34</v>
      </c>
      <c r="C92" t="s">
        <v>70</v>
      </c>
      <c r="D92" t="s">
        <v>35</v>
      </c>
      <c r="J92">
        <f t="shared" si="6"/>
        <v>0</v>
      </c>
      <c r="L92">
        <f t="shared" si="7"/>
        <v>0</v>
      </c>
    </row>
    <row r="93" spans="1:12" x14ac:dyDescent="0.25">
      <c r="A93">
        <v>1745</v>
      </c>
      <c r="B93" t="s">
        <v>13</v>
      </c>
      <c r="C93" t="s">
        <v>70</v>
      </c>
      <c r="D93" t="s">
        <v>35</v>
      </c>
      <c r="E93">
        <v>57</v>
      </c>
      <c r="F93">
        <v>6</v>
      </c>
      <c r="G93">
        <v>2</v>
      </c>
      <c r="J93">
        <f t="shared" si="6"/>
        <v>128408</v>
      </c>
      <c r="L93">
        <f t="shared" si="7"/>
        <v>57.325000000000003</v>
      </c>
    </row>
    <row r="94" spans="1:12" x14ac:dyDescent="0.25">
      <c r="A94">
        <v>1745</v>
      </c>
      <c r="B94" t="s">
        <v>14</v>
      </c>
      <c r="C94" t="s">
        <v>70</v>
      </c>
      <c r="D94" t="s">
        <v>35</v>
      </c>
      <c r="H94">
        <v>850</v>
      </c>
      <c r="I94" t="s">
        <v>137</v>
      </c>
      <c r="J94">
        <f t="shared" si="6"/>
        <v>850</v>
      </c>
      <c r="L94">
        <f t="shared" si="7"/>
        <v>0.3794642857142857</v>
      </c>
    </row>
    <row r="95" spans="1:12" x14ac:dyDescent="0.25">
      <c r="A95">
        <v>1745</v>
      </c>
      <c r="B95" t="s">
        <v>23</v>
      </c>
      <c r="C95" t="s">
        <v>70</v>
      </c>
      <c r="D95" t="s">
        <v>35</v>
      </c>
      <c r="J95">
        <f t="shared" si="6"/>
        <v>0</v>
      </c>
      <c r="L95">
        <f t="shared" si="7"/>
        <v>0</v>
      </c>
    </row>
    <row r="96" spans="1:12" x14ac:dyDescent="0.25">
      <c r="A96">
        <v>1745</v>
      </c>
      <c r="B96" t="s">
        <v>27</v>
      </c>
      <c r="C96" t="s">
        <v>70</v>
      </c>
      <c r="D96" t="s">
        <v>35</v>
      </c>
      <c r="H96">
        <v>15724</v>
      </c>
      <c r="I96" t="s">
        <v>139</v>
      </c>
      <c r="J96">
        <f t="shared" si="6"/>
        <v>15724</v>
      </c>
      <c r="L96">
        <f t="shared" si="7"/>
        <v>7.0196428571428573</v>
      </c>
    </row>
    <row r="97" spans="1:12" x14ac:dyDescent="0.25">
      <c r="A97">
        <v>1745</v>
      </c>
      <c r="B97" t="s">
        <v>15</v>
      </c>
      <c r="C97" t="s">
        <v>70</v>
      </c>
      <c r="D97" t="s">
        <v>35</v>
      </c>
      <c r="F97">
        <v>6</v>
      </c>
      <c r="H97">
        <v>15</v>
      </c>
      <c r="J97">
        <f t="shared" si="6"/>
        <v>687</v>
      </c>
      <c r="L97">
        <f t="shared" si="7"/>
        <v>0.30669642857142859</v>
      </c>
    </row>
    <row r="98" spans="1:12" x14ac:dyDescent="0.25">
      <c r="A98">
        <v>1745</v>
      </c>
      <c r="B98" t="s">
        <v>98</v>
      </c>
      <c r="C98" t="s">
        <v>70</v>
      </c>
      <c r="D98" t="s">
        <v>35</v>
      </c>
      <c r="J98">
        <f t="shared" si="6"/>
        <v>0</v>
      </c>
      <c r="L98">
        <f t="shared" si="7"/>
        <v>0</v>
      </c>
    </row>
    <row r="99" spans="1:12" x14ac:dyDescent="0.25">
      <c r="A99">
        <v>1745</v>
      </c>
      <c r="B99" t="s">
        <v>44</v>
      </c>
      <c r="C99" t="s">
        <v>70</v>
      </c>
      <c r="D99" t="s">
        <v>35</v>
      </c>
      <c r="J99">
        <f t="shared" si="6"/>
        <v>0</v>
      </c>
      <c r="L99">
        <f t="shared" si="7"/>
        <v>0</v>
      </c>
    </row>
    <row r="100" spans="1:12" x14ac:dyDescent="0.25">
      <c r="A100">
        <v>1745</v>
      </c>
      <c r="B100" t="s">
        <v>87</v>
      </c>
      <c r="C100" t="s">
        <v>70</v>
      </c>
      <c r="D100" t="s">
        <v>35</v>
      </c>
      <c r="J100">
        <f t="shared" si="6"/>
        <v>0</v>
      </c>
      <c r="L100">
        <f t="shared" si="7"/>
        <v>0</v>
      </c>
    </row>
    <row r="101" spans="1:12" x14ac:dyDescent="0.25">
      <c r="A101">
        <v>1745</v>
      </c>
      <c r="B101" t="s">
        <v>49</v>
      </c>
      <c r="C101" t="s">
        <v>70</v>
      </c>
      <c r="D101" t="s">
        <v>35</v>
      </c>
      <c r="J101">
        <f t="shared" si="6"/>
        <v>0</v>
      </c>
      <c r="L101">
        <f t="shared" si="7"/>
        <v>0</v>
      </c>
    </row>
    <row r="102" spans="1:12" x14ac:dyDescent="0.25">
      <c r="A102">
        <v>1745</v>
      </c>
      <c r="B102" t="s">
        <v>16</v>
      </c>
      <c r="C102" t="s">
        <v>70</v>
      </c>
      <c r="D102" t="s">
        <v>35</v>
      </c>
      <c r="H102">
        <v>191894</v>
      </c>
      <c r="J102">
        <f t="shared" si="6"/>
        <v>191894</v>
      </c>
      <c r="L102">
        <f t="shared" si="7"/>
        <v>85.666964285714286</v>
      </c>
    </row>
    <row r="103" spans="1:12" x14ac:dyDescent="0.25">
      <c r="A103">
        <v>1745</v>
      </c>
      <c r="B103" t="s">
        <v>17</v>
      </c>
      <c r="C103" t="s">
        <v>70</v>
      </c>
      <c r="D103" t="s">
        <v>35</v>
      </c>
      <c r="J103">
        <f t="shared" si="6"/>
        <v>0</v>
      </c>
      <c r="L103">
        <f t="shared" si="7"/>
        <v>0</v>
      </c>
    </row>
    <row r="104" spans="1:12" x14ac:dyDescent="0.25">
      <c r="A104">
        <v>1745</v>
      </c>
      <c r="B104" t="s">
        <v>18</v>
      </c>
      <c r="C104" t="s">
        <v>70</v>
      </c>
      <c r="D104" t="s">
        <v>35</v>
      </c>
      <c r="H104">
        <v>527005</v>
      </c>
      <c r="I104" t="s">
        <v>138</v>
      </c>
      <c r="J104">
        <f t="shared" si="6"/>
        <v>527005</v>
      </c>
      <c r="L104">
        <f t="shared" si="7"/>
        <v>235.27008928571428</v>
      </c>
    </row>
    <row r="105" spans="1:12" x14ac:dyDescent="0.25">
      <c r="A105">
        <v>1745</v>
      </c>
      <c r="B105" t="s">
        <v>26</v>
      </c>
      <c r="C105" t="s">
        <v>70</v>
      </c>
      <c r="D105" t="s">
        <v>35</v>
      </c>
      <c r="J105">
        <f t="shared" si="6"/>
        <v>0</v>
      </c>
      <c r="L105">
        <f t="shared" si="7"/>
        <v>0</v>
      </c>
    </row>
    <row r="106" spans="1:12" x14ac:dyDescent="0.25">
      <c r="A106">
        <v>1745</v>
      </c>
      <c r="B106" t="s">
        <v>88</v>
      </c>
      <c r="C106" t="s">
        <v>70</v>
      </c>
      <c r="D106" t="s">
        <v>35</v>
      </c>
      <c r="J106">
        <f t="shared" si="6"/>
        <v>0</v>
      </c>
      <c r="L106">
        <f t="shared" si="7"/>
        <v>0</v>
      </c>
    </row>
    <row r="107" spans="1:12" x14ac:dyDescent="0.25">
      <c r="A107">
        <v>1745</v>
      </c>
      <c r="B107" t="s">
        <v>19</v>
      </c>
      <c r="C107" t="s">
        <v>70</v>
      </c>
      <c r="D107" t="s">
        <v>35</v>
      </c>
      <c r="F107">
        <v>20</v>
      </c>
      <c r="G107">
        <v>3</v>
      </c>
      <c r="J107">
        <f t="shared" si="6"/>
        <v>2324</v>
      </c>
      <c r="L107">
        <f t="shared" si="7"/>
        <v>1.0375000000000001</v>
      </c>
    </row>
    <row r="108" spans="1:12" x14ac:dyDescent="0.25">
      <c r="A108">
        <v>1745</v>
      </c>
      <c r="B108" t="s">
        <v>47</v>
      </c>
      <c r="C108" t="s">
        <v>70</v>
      </c>
      <c r="D108" t="s">
        <v>35</v>
      </c>
      <c r="J108">
        <f t="shared" si="6"/>
        <v>0</v>
      </c>
      <c r="L108">
        <f t="shared" si="7"/>
        <v>0</v>
      </c>
    </row>
    <row r="109" spans="1:12" x14ac:dyDescent="0.25">
      <c r="A109">
        <v>1745</v>
      </c>
      <c r="B109" t="s">
        <v>89</v>
      </c>
      <c r="C109" t="s">
        <v>70</v>
      </c>
      <c r="D109" t="s">
        <v>35</v>
      </c>
      <c r="J109">
        <f t="shared" si="6"/>
        <v>0</v>
      </c>
      <c r="L109">
        <f t="shared" si="7"/>
        <v>0</v>
      </c>
    </row>
    <row r="110" spans="1:12" x14ac:dyDescent="0.25">
      <c r="A110">
        <v>1745</v>
      </c>
      <c r="B110" t="s">
        <v>56</v>
      </c>
      <c r="C110" t="s">
        <v>70</v>
      </c>
      <c r="D110" t="s">
        <v>35</v>
      </c>
      <c r="H110">
        <v>187</v>
      </c>
      <c r="J110">
        <f t="shared" si="6"/>
        <v>187</v>
      </c>
      <c r="L110">
        <f t="shared" si="7"/>
        <v>8.3482142857142852E-2</v>
      </c>
    </row>
    <row r="111" spans="1:12" x14ac:dyDescent="0.25">
      <c r="A111">
        <v>1745</v>
      </c>
      <c r="B111" t="s">
        <v>90</v>
      </c>
      <c r="C111" t="s">
        <v>70</v>
      </c>
      <c r="D111" t="s">
        <v>35</v>
      </c>
      <c r="J111">
        <f t="shared" si="6"/>
        <v>0</v>
      </c>
      <c r="L111">
        <f t="shared" si="7"/>
        <v>0</v>
      </c>
    </row>
    <row r="112" spans="1:12" x14ac:dyDescent="0.25">
      <c r="A112">
        <v>1745</v>
      </c>
      <c r="B112" t="s">
        <v>20</v>
      </c>
      <c r="C112" t="s">
        <v>70</v>
      </c>
      <c r="D112" t="s">
        <v>35</v>
      </c>
      <c r="J112">
        <f t="shared" si="6"/>
        <v>0</v>
      </c>
      <c r="L112">
        <f t="shared" si="7"/>
        <v>0</v>
      </c>
    </row>
    <row r="113" spans="1:12" x14ac:dyDescent="0.25">
      <c r="A113">
        <v>1745</v>
      </c>
      <c r="B113" t="s">
        <v>21</v>
      </c>
      <c r="C113" t="s">
        <v>70</v>
      </c>
      <c r="D113" t="s">
        <v>35</v>
      </c>
      <c r="J113">
        <f t="shared" si="6"/>
        <v>0</v>
      </c>
      <c r="L113">
        <f t="shared" si="7"/>
        <v>0</v>
      </c>
    </row>
    <row r="114" spans="1:12" x14ac:dyDescent="0.25">
      <c r="A114">
        <v>1745</v>
      </c>
      <c r="B114" t="s">
        <v>22</v>
      </c>
      <c r="C114" t="s">
        <v>70</v>
      </c>
      <c r="D114" t="s">
        <v>35</v>
      </c>
      <c r="J114">
        <f t="shared" si="6"/>
        <v>0</v>
      </c>
      <c r="L114">
        <f t="shared" si="7"/>
        <v>0</v>
      </c>
    </row>
    <row r="115" spans="1:12" x14ac:dyDescent="0.25">
      <c r="A115">
        <v>1745</v>
      </c>
      <c r="B115" t="s">
        <v>63</v>
      </c>
      <c r="C115" t="s">
        <v>70</v>
      </c>
      <c r="D115" t="s">
        <v>35</v>
      </c>
      <c r="J115">
        <f t="shared" si="6"/>
        <v>0</v>
      </c>
      <c r="L115">
        <f t="shared" si="7"/>
        <v>0</v>
      </c>
    </row>
    <row r="116" spans="1:12" x14ac:dyDescent="0.25">
      <c r="A116">
        <v>1745</v>
      </c>
      <c r="B116" t="s">
        <v>96</v>
      </c>
      <c r="C116" t="s">
        <v>70</v>
      </c>
      <c r="D116" t="s">
        <v>35</v>
      </c>
      <c r="J116">
        <f t="shared" si="6"/>
        <v>0</v>
      </c>
      <c r="L116">
        <f t="shared" si="7"/>
        <v>0</v>
      </c>
    </row>
    <row r="117" spans="1:12" x14ac:dyDescent="0.25">
      <c r="A117">
        <v>1745</v>
      </c>
      <c r="B117" t="s">
        <v>91</v>
      </c>
      <c r="C117" t="s">
        <v>70</v>
      </c>
      <c r="D117" t="s">
        <v>35</v>
      </c>
      <c r="E117">
        <v>18</v>
      </c>
      <c r="F117">
        <v>3</v>
      </c>
      <c r="G117">
        <v>3</v>
      </c>
      <c r="H117">
        <v>4</v>
      </c>
      <c r="J117">
        <f t="shared" si="6"/>
        <v>40744</v>
      </c>
      <c r="L117">
        <f t="shared" si="7"/>
        <v>18.189285714285713</v>
      </c>
    </row>
    <row r="118" spans="1:12" x14ac:dyDescent="0.25">
      <c r="A118">
        <v>1745</v>
      </c>
      <c r="B118" t="s">
        <v>64</v>
      </c>
      <c r="C118" t="s">
        <v>70</v>
      </c>
      <c r="D118" t="s">
        <v>35</v>
      </c>
      <c r="E118">
        <v>77</v>
      </c>
      <c r="F118">
        <v>6</v>
      </c>
      <c r="G118">
        <v>1</v>
      </c>
      <c r="H118">
        <v>16</v>
      </c>
      <c r="J118">
        <f t="shared" si="6"/>
        <v>173196</v>
      </c>
      <c r="L118">
        <f t="shared" si="7"/>
        <v>77.319642857142853</v>
      </c>
    </row>
    <row r="119" spans="1:12" x14ac:dyDescent="0.25">
      <c r="A119">
        <v>1745</v>
      </c>
      <c r="B119" t="s">
        <v>92</v>
      </c>
      <c r="C119" t="s">
        <v>70</v>
      </c>
      <c r="D119" t="s">
        <v>35</v>
      </c>
      <c r="J119">
        <f t="shared" si="6"/>
        <v>0</v>
      </c>
      <c r="L119">
        <f t="shared" si="7"/>
        <v>0</v>
      </c>
    </row>
    <row r="120" spans="1:12" x14ac:dyDescent="0.25">
      <c r="A120">
        <v>1745</v>
      </c>
      <c r="B120" t="s">
        <v>65</v>
      </c>
      <c r="C120" t="s">
        <v>70</v>
      </c>
      <c r="D120" t="s">
        <v>35</v>
      </c>
      <c r="E120">
        <v>86</v>
      </c>
      <c r="F120">
        <v>16</v>
      </c>
      <c r="H120">
        <v>10</v>
      </c>
      <c r="J120">
        <f t="shared" si="6"/>
        <v>194442</v>
      </c>
      <c r="L120">
        <f t="shared" si="7"/>
        <v>86.804464285714289</v>
      </c>
    </row>
    <row r="121" spans="1:12" x14ac:dyDescent="0.25">
      <c r="A121">
        <v>1745</v>
      </c>
      <c r="B121" t="s">
        <v>93</v>
      </c>
      <c r="C121" t="s">
        <v>70</v>
      </c>
      <c r="D121" t="s">
        <v>35</v>
      </c>
      <c r="E121">
        <v>171</v>
      </c>
      <c r="F121">
        <v>1</v>
      </c>
      <c r="J121">
        <f t="shared" si="6"/>
        <v>383152</v>
      </c>
      <c r="L121">
        <f t="shared" si="7"/>
        <v>171.05</v>
      </c>
    </row>
    <row r="122" spans="1:12" x14ac:dyDescent="0.25">
      <c r="A122">
        <v>1745</v>
      </c>
      <c r="B122" t="s">
        <v>73</v>
      </c>
      <c r="C122" t="s">
        <v>70</v>
      </c>
      <c r="D122" t="s">
        <v>35</v>
      </c>
      <c r="J122">
        <f t="shared" si="6"/>
        <v>0</v>
      </c>
      <c r="L122">
        <f t="shared" si="7"/>
        <v>0</v>
      </c>
    </row>
    <row r="123" spans="1:12" x14ac:dyDescent="0.25">
      <c r="A123">
        <v>1745</v>
      </c>
      <c r="B123" t="s">
        <v>66</v>
      </c>
      <c r="C123" t="s">
        <v>70</v>
      </c>
      <c r="D123" t="s">
        <v>35</v>
      </c>
      <c r="F123">
        <v>414</v>
      </c>
      <c r="G123">
        <v>2</v>
      </c>
      <c r="H123">
        <v>17</v>
      </c>
      <c r="J123">
        <f t="shared" si="6"/>
        <v>46441</v>
      </c>
      <c r="L123">
        <f t="shared" si="7"/>
        <v>20.732589285714287</v>
      </c>
    </row>
    <row r="124" spans="1:12" x14ac:dyDescent="0.25">
      <c r="A124">
        <v>1745</v>
      </c>
      <c r="B124" t="s">
        <v>67</v>
      </c>
      <c r="C124" t="s">
        <v>70</v>
      </c>
      <c r="D124" t="s">
        <v>35</v>
      </c>
      <c r="J124">
        <f t="shared" si="6"/>
        <v>0</v>
      </c>
      <c r="L124">
        <f t="shared" si="7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7"/>
  <sheetViews>
    <sheetView topLeftCell="A19" workbookViewId="0">
      <selection activeCell="H53" sqref="H5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1745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1745</v>
      </c>
      <c r="B3" t="s">
        <v>59</v>
      </c>
      <c r="C3" t="s">
        <v>75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1745</v>
      </c>
      <c r="B4" t="s">
        <v>38</v>
      </c>
      <c r="C4" t="s">
        <v>75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1745</v>
      </c>
      <c r="B5" t="s">
        <v>4</v>
      </c>
      <c r="C5" t="s">
        <v>75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1745</v>
      </c>
      <c r="B6" t="s">
        <v>60</v>
      </c>
      <c r="C6" t="s">
        <v>75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1745</v>
      </c>
      <c r="B7" t="s">
        <v>71</v>
      </c>
      <c r="C7" t="s">
        <v>75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1745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1745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1745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1745</v>
      </c>
      <c r="B11" t="s">
        <v>6</v>
      </c>
      <c r="C11" t="s">
        <v>75</v>
      </c>
      <c r="D11" t="s">
        <v>33</v>
      </c>
      <c r="F11">
        <v>23815</v>
      </c>
      <c r="J11">
        <f t="shared" si="0"/>
        <v>2667280</v>
      </c>
      <c r="L11">
        <f t="shared" si="1"/>
        <v>1190.75</v>
      </c>
    </row>
    <row r="12" spans="1:12" x14ac:dyDescent="0.25">
      <c r="A12">
        <v>1745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1745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1745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1745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1745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1745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1745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1745</v>
      </c>
      <c r="B19" t="s">
        <v>9</v>
      </c>
      <c r="C19" t="s">
        <v>75</v>
      </c>
      <c r="D19" t="s">
        <v>33</v>
      </c>
      <c r="H19">
        <f>200*55</f>
        <v>11000</v>
      </c>
      <c r="I19" t="s">
        <v>122</v>
      </c>
      <c r="J19">
        <f t="shared" si="0"/>
        <v>11000</v>
      </c>
      <c r="L19">
        <f t="shared" si="1"/>
        <v>4.9107142857142856</v>
      </c>
    </row>
    <row r="20" spans="1:12" x14ac:dyDescent="0.25">
      <c r="A20">
        <v>1745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1745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1745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1745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1745</v>
      </c>
      <c r="B24" t="s">
        <v>12</v>
      </c>
      <c r="C24" t="s">
        <v>75</v>
      </c>
      <c r="D24" t="s">
        <v>33</v>
      </c>
      <c r="H24">
        <v>673</v>
      </c>
      <c r="J24">
        <f t="shared" si="0"/>
        <v>673</v>
      </c>
      <c r="L24">
        <f t="shared" si="1"/>
        <v>0.30044642857142856</v>
      </c>
    </row>
    <row r="25" spans="1:12" x14ac:dyDescent="0.25">
      <c r="A25">
        <v>1745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1745</v>
      </c>
      <c r="B26" t="s">
        <v>13</v>
      </c>
      <c r="C26" t="s">
        <v>75</v>
      </c>
      <c r="D26" t="s">
        <v>33</v>
      </c>
      <c r="J26">
        <f t="shared" ref="J26:J66" si="2">(E26*2240)+(F26*112)+(G26*28)+H26</f>
        <v>0</v>
      </c>
      <c r="L26">
        <f t="shared" si="1"/>
        <v>0</v>
      </c>
    </row>
    <row r="27" spans="1:12" x14ac:dyDescent="0.25">
      <c r="A27">
        <v>1745</v>
      </c>
      <c r="B27" t="s">
        <v>14</v>
      </c>
      <c r="C27" t="s">
        <v>75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1745</v>
      </c>
      <c r="B28" t="s">
        <v>23</v>
      </c>
      <c r="C28" t="s">
        <v>75</v>
      </c>
      <c r="D28" t="s">
        <v>33</v>
      </c>
      <c r="J28">
        <f t="shared" si="2"/>
        <v>0</v>
      </c>
      <c r="L28">
        <f t="shared" ref="L28:L66" si="3">J28/2240</f>
        <v>0</v>
      </c>
    </row>
    <row r="29" spans="1:12" x14ac:dyDescent="0.25">
      <c r="A29">
        <v>1745</v>
      </c>
      <c r="B29" t="s">
        <v>27</v>
      </c>
      <c r="C29" t="s">
        <v>75</v>
      </c>
      <c r="D29" t="s">
        <v>33</v>
      </c>
      <c r="H29">
        <v>30598</v>
      </c>
      <c r="I29" t="s">
        <v>121</v>
      </c>
      <c r="J29">
        <f t="shared" si="2"/>
        <v>30598</v>
      </c>
      <c r="L29">
        <f t="shared" si="3"/>
        <v>13.659821428571428</v>
      </c>
    </row>
    <row r="30" spans="1:12" x14ac:dyDescent="0.25">
      <c r="A30">
        <v>1745</v>
      </c>
      <c r="B30" t="s">
        <v>15</v>
      </c>
      <c r="C30" t="s">
        <v>75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1745</v>
      </c>
      <c r="B31" t="s">
        <v>44</v>
      </c>
      <c r="C31" t="s">
        <v>75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1745</v>
      </c>
      <c r="B32" t="s">
        <v>49</v>
      </c>
      <c r="C32" t="s">
        <v>75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1745</v>
      </c>
      <c r="B33" t="s">
        <v>16</v>
      </c>
      <c r="C33" t="s">
        <v>75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1745</v>
      </c>
      <c r="B34" t="s">
        <v>17</v>
      </c>
      <c r="C34" t="s">
        <v>75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1745</v>
      </c>
      <c r="B35" t="s">
        <v>18</v>
      </c>
      <c r="C35" t="s">
        <v>75</v>
      </c>
      <c r="D35" t="s">
        <v>33</v>
      </c>
      <c r="H35">
        <v>133764</v>
      </c>
      <c r="I35" t="s">
        <v>118</v>
      </c>
      <c r="J35">
        <f t="shared" si="2"/>
        <v>133764</v>
      </c>
      <c r="L35">
        <f t="shared" si="3"/>
        <v>59.716071428571432</v>
      </c>
    </row>
    <row r="36" spans="1:12" x14ac:dyDescent="0.25">
      <c r="A36">
        <v>1745</v>
      </c>
      <c r="B36" t="s">
        <v>72</v>
      </c>
      <c r="C36" t="s">
        <v>75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1745</v>
      </c>
      <c r="B37" t="s">
        <v>19</v>
      </c>
      <c r="C37" t="s">
        <v>75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1745</v>
      </c>
      <c r="B38" t="s">
        <v>47</v>
      </c>
      <c r="C38" t="s">
        <v>75</v>
      </c>
      <c r="D38" t="s">
        <v>33</v>
      </c>
      <c r="J38">
        <f t="shared" si="2"/>
        <v>0</v>
      </c>
      <c r="L38">
        <f t="shared" si="3"/>
        <v>0</v>
      </c>
    </row>
    <row r="39" spans="1:12" x14ac:dyDescent="0.25">
      <c r="A39">
        <v>1745</v>
      </c>
      <c r="B39" t="s">
        <v>56</v>
      </c>
      <c r="C39" t="s">
        <v>75</v>
      </c>
      <c r="D39" t="s">
        <v>33</v>
      </c>
      <c r="H39">
        <v>67</v>
      </c>
      <c r="J39">
        <f t="shared" si="2"/>
        <v>67</v>
      </c>
      <c r="L39">
        <f t="shared" si="3"/>
        <v>2.9910714285714287E-2</v>
      </c>
    </row>
    <row r="40" spans="1:12" x14ac:dyDescent="0.25">
      <c r="A40">
        <v>1745</v>
      </c>
      <c r="B40" t="s">
        <v>20</v>
      </c>
      <c r="C40" t="s">
        <v>75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1745</v>
      </c>
      <c r="B41" t="s">
        <v>21</v>
      </c>
      <c r="C41" t="s">
        <v>75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1745</v>
      </c>
      <c r="B42" t="s">
        <v>119</v>
      </c>
      <c r="C42" t="s">
        <v>75</v>
      </c>
      <c r="D42" t="s">
        <v>33</v>
      </c>
      <c r="H42">
        <v>220</v>
      </c>
      <c r="I42" t="s">
        <v>120</v>
      </c>
      <c r="J42">
        <f t="shared" si="2"/>
        <v>220</v>
      </c>
      <c r="L42">
        <f t="shared" si="3"/>
        <v>9.8214285714285712E-2</v>
      </c>
    </row>
    <row r="43" spans="1:12" x14ac:dyDescent="0.25">
      <c r="A43">
        <v>1745</v>
      </c>
      <c r="B43" t="s">
        <v>22</v>
      </c>
      <c r="C43" t="s">
        <v>75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1745</v>
      </c>
      <c r="B44" t="s">
        <v>63</v>
      </c>
      <c r="C44" t="s">
        <v>75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1745</v>
      </c>
      <c r="B45" t="s">
        <v>64</v>
      </c>
      <c r="C45" t="s">
        <v>75</v>
      </c>
      <c r="D45" t="s">
        <v>33</v>
      </c>
      <c r="E45">
        <v>6</v>
      </c>
      <c r="J45">
        <f t="shared" si="2"/>
        <v>13440</v>
      </c>
      <c r="L45">
        <f t="shared" si="3"/>
        <v>6</v>
      </c>
    </row>
    <row r="46" spans="1:12" x14ac:dyDescent="0.25">
      <c r="A46">
        <v>1745</v>
      </c>
      <c r="B46" t="s">
        <v>65</v>
      </c>
      <c r="C46" t="s">
        <v>75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1745</v>
      </c>
      <c r="B47" t="s">
        <v>73</v>
      </c>
      <c r="C47" t="s">
        <v>75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1745</v>
      </c>
      <c r="B48" t="s">
        <v>66</v>
      </c>
      <c r="C48" t="s">
        <v>75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1745</v>
      </c>
      <c r="B49" t="s">
        <v>67</v>
      </c>
      <c r="C49" t="s">
        <v>75</v>
      </c>
      <c r="D49" t="s">
        <v>33</v>
      </c>
      <c r="J49">
        <f t="shared" si="2"/>
        <v>0</v>
      </c>
      <c r="L49">
        <f t="shared" si="3"/>
        <v>0</v>
      </c>
    </row>
    <row r="50" spans="1:12" x14ac:dyDescent="0.25">
      <c r="A50">
        <v>1745</v>
      </c>
      <c r="B50" t="s">
        <v>6</v>
      </c>
      <c r="C50" t="s">
        <v>75</v>
      </c>
      <c r="D50" t="s">
        <v>35</v>
      </c>
      <c r="F50">
        <v>9049</v>
      </c>
      <c r="H50">
        <v>19</v>
      </c>
      <c r="J50">
        <f t="shared" si="2"/>
        <v>1013507</v>
      </c>
      <c r="L50">
        <f t="shared" si="3"/>
        <v>452.45848214285712</v>
      </c>
    </row>
    <row r="51" spans="1:12" x14ac:dyDescent="0.25">
      <c r="A51">
        <v>1745</v>
      </c>
      <c r="B51" t="s">
        <v>7</v>
      </c>
      <c r="C51" t="s">
        <v>75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1745</v>
      </c>
      <c r="B52" t="s">
        <v>8</v>
      </c>
      <c r="C52" t="s">
        <v>75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1745</v>
      </c>
      <c r="B53" t="s">
        <v>9</v>
      </c>
      <c r="C53" t="s">
        <v>75</v>
      </c>
      <c r="D53" t="s">
        <v>35</v>
      </c>
      <c r="H53">
        <f>200*23</f>
        <v>4600</v>
      </c>
      <c r="I53" t="s">
        <v>142</v>
      </c>
      <c r="J53">
        <f t="shared" si="2"/>
        <v>4600</v>
      </c>
      <c r="L53">
        <f t="shared" si="3"/>
        <v>2.0535714285714284</v>
      </c>
    </row>
    <row r="54" spans="1:12" x14ac:dyDescent="0.25">
      <c r="A54">
        <v>1745</v>
      </c>
      <c r="B54" t="s">
        <v>10</v>
      </c>
      <c r="C54" t="s">
        <v>75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1745</v>
      </c>
      <c r="B55" t="s">
        <v>11</v>
      </c>
      <c r="C55" t="s">
        <v>75</v>
      </c>
      <c r="D55" t="s">
        <v>35</v>
      </c>
      <c r="J55">
        <f t="shared" si="2"/>
        <v>0</v>
      </c>
      <c r="L55">
        <f t="shared" si="3"/>
        <v>0</v>
      </c>
    </row>
    <row r="56" spans="1:12" x14ac:dyDescent="0.25">
      <c r="A56">
        <v>1745</v>
      </c>
      <c r="B56" t="s">
        <v>12</v>
      </c>
      <c r="C56" t="s">
        <v>75</v>
      </c>
      <c r="D56" t="s">
        <v>35</v>
      </c>
      <c r="H56">
        <v>311</v>
      </c>
      <c r="J56">
        <f t="shared" si="2"/>
        <v>311</v>
      </c>
      <c r="L56">
        <f t="shared" si="3"/>
        <v>0.13883928571428572</v>
      </c>
    </row>
    <row r="57" spans="1:12" x14ac:dyDescent="0.25">
      <c r="A57">
        <v>1745</v>
      </c>
      <c r="B57" t="s">
        <v>13</v>
      </c>
      <c r="C57" t="s">
        <v>75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1745</v>
      </c>
      <c r="B58" t="s">
        <v>14</v>
      </c>
      <c r="C58" t="s">
        <v>75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1745</v>
      </c>
      <c r="B59" t="s">
        <v>27</v>
      </c>
      <c r="C59" t="s">
        <v>75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1745</v>
      </c>
      <c r="B60" t="s">
        <v>15</v>
      </c>
      <c r="C60" t="s">
        <v>75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1745</v>
      </c>
      <c r="B61" t="s">
        <v>17</v>
      </c>
      <c r="C61" t="s">
        <v>75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1745</v>
      </c>
      <c r="B62" t="s">
        <v>18</v>
      </c>
      <c r="C62" t="s">
        <v>75</v>
      </c>
      <c r="D62" t="s">
        <v>35</v>
      </c>
      <c r="H62">
        <v>31898</v>
      </c>
      <c r="I62" t="s">
        <v>141</v>
      </c>
      <c r="J62">
        <f t="shared" si="2"/>
        <v>31898</v>
      </c>
      <c r="L62">
        <f t="shared" si="3"/>
        <v>14.240178571428572</v>
      </c>
    </row>
    <row r="63" spans="1:12" x14ac:dyDescent="0.25">
      <c r="A63">
        <v>1745</v>
      </c>
      <c r="B63" t="s">
        <v>19</v>
      </c>
      <c r="C63" t="s">
        <v>75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1745</v>
      </c>
      <c r="B64" t="s">
        <v>56</v>
      </c>
      <c r="C64" t="s">
        <v>75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1745</v>
      </c>
      <c r="B65" t="s">
        <v>21</v>
      </c>
      <c r="C65" t="s">
        <v>75</v>
      </c>
      <c r="D65" t="s">
        <v>35</v>
      </c>
      <c r="J65">
        <f t="shared" si="2"/>
        <v>0</v>
      </c>
      <c r="L65">
        <f t="shared" si="3"/>
        <v>0</v>
      </c>
    </row>
    <row r="66" spans="1:12" x14ac:dyDescent="0.25">
      <c r="A66">
        <v>1745</v>
      </c>
      <c r="B66" t="s">
        <v>22</v>
      </c>
      <c r="C66" t="s">
        <v>75</v>
      </c>
      <c r="D66" t="s">
        <v>35</v>
      </c>
      <c r="J66">
        <f t="shared" si="2"/>
        <v>0</v>
      </c>
      <c r="L66">
        <f t="shared" si="3"/>
        <v>0</v>
      </c>
    </row>
    <row r="67" spans="1:12" x14ac:dyDescent="0.25">
      <c r="A67">
        <v>1745</v>
      </c>
      <c r="B67" t="s">
        <v>64</v>
      </c>
      <c r="C67" t="s">
        <v>75</v>
      </c>
      <c r="D67" t="s">
        <v>35</v>
      </c>
      <c r="J67">
        <f t="shared" ref="J67" si="4">(E67*2240)+(F67*112)+(G67*28)+H67</f>
        <v>0</v>
      </c>
      <c r="L67">
        <f t="shared" ref="L67" si="5">J67/2240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1745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1745</v>
      </c>
      <c r="B3" t="s">
        <v>59</v>
      </c>
      <c r="C3" t="s">
        <v>76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1745</v>
      </c>
      <c r="B4" t="s">
        <v>38</v>
      </c>
      <c r="C4" t="s">
        <v>76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1745</v>
      </c>
      <c r="B5" t="s">
        <v>4</v>
      </c>
      <c r="C5" t="s">
        <v>76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1745</v>
      </c>
      <c r="B6" t="s">
        <v>60</v>
      </c>
      <c r="C6" t="s">
        <v>76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1745</v>
      </c>
      <c r="B7" t="s">
        <v>71</v>
      </c>
      <c r="C7" t="s">
        <v>76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1745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1745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1745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1745</v>
      </c>
      <c r="B11" t="s">
        <v>6</v>
      </c>
      <c r="C11" t="s">
        <v>76</v>
      </c>
      <c r="D11" t="s">
        <v>33</v>
      </c>
      <c r="F11">
        <v>28129</v>
      </c>
      <c r="G11">
        <v>1</v>
      </c>
      <c r="H11">
        <v>14</v>
      </c>
      <c r="J11">
        <f t="shared" si="0"/>
        <v>3150490</v>
      </c>
      <c r="L11">
        <f t="shared" si="1"/>
        <v>1406.46875</v>
      </c>
    </row>
    <row r="12" spans="1:12" x14ac:dyDescent="0.25">
      <c r="A12">
        <v>1745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1745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1745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1745</v>
      </c>
      <c r="B15" t="s">
        <v>8</v>
      </c>
      <c r="C15" t="s">
        <v>76</v>
      </c>
      <c r="D15" t="s">
        <v>33</v>
      </c>
      <c r="F15">
        <v>37</v>
      </c>
      <c r="G15">
        <v>3</v>
      </c>
      <c r="J15">
        <f t="shared" si="0"/>
        <v>4228</v>
      </c>
      <c r="L15">
        <f t="shared" si="1"/>
        <v>1.8875</v>
      </c>
    </row>
    <row r="16" spans="1:12" x14ac:dyDescent="0.25">
      <c r="A16">
        <v>1745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1745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1745</v>
      </c>
      <c r="B18" t="s">
        <v>9</v>
      </c>
      <c r="C18" t="s">
        <v>76</v>
      </c>
      <c r="D18" t="s">
        <v>33</v>
      </c>
      <c r="H18">
        <f>200*8</f>
        <v>1600</v>
      </c>
      <c r="I18" t="s">
        <v>126</v>
      </c>
      <c r="J18">
        <f t="shared" si="0"/>
        <v>1600</v>
      </c>
      <c r="L18">
        <f t="shared" si="1"/>
        <v>0.7142857142857143</v>
      </c>
    </row>
    <row r="19" spans="1:12" x14ac:dyDescent="0.25">
      <c r="A19">
        <v>1745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1745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1745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1745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1745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1745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1745</v>
      </c>
      <c r="B25" t="s">
        <v>13</v>
      </c>
      <c r="C25" t="s">
        <v>76</v>
      </c>
      <c r="D25" t="s">
        <v>33</v>
      </c>
      <c r="E25">
        <v>5</v>
      </c>
      <c r="J25">
        <f t="shared" si="0"/>
        <v>11200</v>
      </c>
      <c r="L25">
        <f t="shared" si="1"/>
        <v>5</v>
      </c>
    </row>
    <row r="26" spans="1:12" x14ac:dyDescent="0.25">
      <c r="A26">
        <v>1745</v>
      </c>
      <c r="B26" t="s">
        <v>14</v>
      </c>
      <c r="C26" t="s">
        <v>76</v>
      </c>
      <c r="D26" t="s">
        <v>33</v>
      </c>
      <c r="J26">
        <f t="shared" ref="J26:J64" si="2">(E26*2240)+(F26*112)+(G26*28)+H26</f>
        <v>0</v>
      </c>
      <c r="L26">
        <f t="shared" si="1"/>
        <v>0</v>
      </c>
    </row>
    <row r="27" spans="1:12" x14ac:dyDescent="0.25">
      <c r="A27">
        <v>1745</v>
      </c>
      <c r="B27" t="s">
        <v>23</v>
      </c>
      <c r="C27" t="s">
        <v>76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1745</v>
      </c>
      <c r="B28" t="s">
        <v>27</v>
      </c>
      <c r="C28" t="s">
        <v>76</v>
      </c>
      <c r="D28" t="s">
        <v>33</v>
      </c>
      <c r="H28">
        <v>2611</v>
      </c>
      <c r="I28" t="s">
        <v>125</v>
      </c>
      <c r="J28">
        <f t="shared" si="2"/>
        <v>2611</v>
      </c>
      <c r="L28">
        <f t="shared" ref="L28:L64" si="3">J28/2240</f>
        <v>1.1656249999999999</v>
      </c>
    </row>
    <row r="29" spans="1:12" x14ac:dyDescent="0.25">
      <c r="A29">
        <v>1745</v>
      </c>
      <c r="B29" t="s">
        <v>15</v>
      </c>
      <c r="C29" t="s">
        <v>76</v>
      </c>
      <c r="D29" t="s">
        <v>33</v>
      </c>
      <c r="J29">
        <f t="shared" si="2"/>
        <v>0</v>
      </c>
      <c r="L29">
        <f t="shared" si="3"/>
        <v>0</v>
      </c>
    </row>
    <row r="30" spans="1:12" x14ac:dyDescent="0.25">
      <c r="A30">
        <v>1745</v>
      </c>
      <c r="B30" t="s">
        <v>44</v>
      </c>
      <c r="C30" t="s">
        <v>76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1745</v>
      </c>
      <c r="B31" t="s">
        <v>49</v>
      </c>
      <c r="C31" t="s">
        <v>76</v>
      </c>
      <c r="D31" t="s">
        <v>33</v>
      </c>
      <c r="H31">
        <v>80</v>
      </c>
      <c r="I31" t="s">
        <v>123</v>
      </c>
      <c r="J31">
        <f t="shared" si="2"/>
        <v>80</v>
      </c>
      <c r="L31">
        <f t="shared" si="3"/>
        <v>3.5714285714285712E-2</v>
      </c>
    </row>
    <row r="32" spans="1:12" x14ac:dyDescent="0.25">
      <c r="A32">
        <v>1745</v>
      </c>
      <c r="B32" t="s">
        <v>16</v>
      </c>
      <c r="C32" t="s">
        <v>76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1745</v>
      </c>
      <c r="B33" t="s">
        <v>17</v>
      </c>
      <c r="C33" t="s">
        <v>76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1745</v>
      </c>
      <c r="B34" t="s">
        <v>18</v>
      </c>
      <c r="C34" t="s">
        <v>76</v>
      </c>
      <c r="D34" t="s">
        <v>33</v>
      </c>
      <c r="H34">
        <v>12743</v>
      </c>
      <c r="I34" t="s">
        <v>124</v>
      </c>
      <c r="J34">
        <f t="shared" si="2"/>
        <v>12743</v>
      </c>
      <c r="L34">
        <f t="shared" si="3"/>
        <v>5.6888392857142858</v>
      </c>
    </row>
    <row r="35" spans="1:12" x14ac:dyDescent="0.25">
      <c r="A35">
        <v>1745</v>
      </c>
      <c r="B35" t="s">
        <v>72</v>
      </c>
      <c r="C35" t="s">
        <v>76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1745</v>
      </c>
      <c r="B36" t="s">
        <v>19</v>
      </c>
      <c r="C36" t="s">
        <v>76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1745</v>
      </c>
      <c r="B37" t="s">
        <v>47</v>
      </c>
      <c r="C37" t="s">
        <v>76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1745</v>
      </c>
      <c r="B38" t="s">
        <v>56</v>
      </c>
      <c r="C38" t="s">
        <v>76</v>
      </c>
      <c r="D38" t="s">
        <v>33</v>
      </c>
      <c r="H38">
        <v>56</v>
      </c>
      <c r="J38">
        <f t="shared" si="2"/>
        <v>56</v>
      </c>
      <c r="L38">
        <f t="shared" si="3"/>
        <v>2.5000000000000001E-2</v>
      </c>
    </row>
    <row r="39" spans="1:12" x14ac:dyDescent="0.25">
      <c r="A39">
        <v>1745</v>
      </c>
      <c r="B39" t="s">
        <v>90</v>
      </c>
      <c r="C39" t="s">
        <v>76</v>
      </c>
      <c r="D39" t="s">
        <v>33</v>
      </c>
      <c r="H39">
        <v>95</v>
      </c>
      <c r="J39">
        <f t="shared" si="2"/>
        <v>95</v>
      </c>
      <c r="L39">
        <f t="shared" si="3"/>
        <v>4.2410714285714288E-2</v>
      </c>
    </row>
    <row r="40" spans="1:12" x14ac:dyDescent="0.25">
      <c r="A40">
        <v>1745</v>
      </c>
      <c r="B40" t="s">
        <v>20</v>
      </c>
      <c r="C40" t="s">
        <v>76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1745</v>
      </c>
      <c r="B41" t="s">
        <v>21</v>
      </c>
      <c r="C41" t="s">
        <v>76</v>
      </c>
      <c r="D41" t="s">
        <v>33</v>
      </c>
      <c r="H41">
        <v>36</v>
      </c>
      <c r="J41">
        <f t="shared" si="2"/>
        <v>36</v>
      </c>
      <c r="L41">
        <f t="shared" si="3"/>
        <v>1.607142857142857E-2</v>
      </c>
    </row>
    <row r="42" spans="1:12" x14ac:dyDescent="0.25">
      <c r="A42">
        <v>1745</v>
      </c>
      <c r="B42" t="s">
        <v>22</v>
      </c>
      <c r="C42" t="s">
        <v>76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1745</v>
      </c>
      <c r="B43" t="s">
        <v>63</v>
      </c>
      <c r="C43" t="s">
        <v>76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1745</v>
      </c>
      <c r="B44" t="s">
        <v>64</v>
      </c>
      <c r="C44" t="s">
        <v>76</v>
      </c>
      <c r="D44" t="s">
        <v>33</v>
      </c>
      <c r="E44">
        <v>10</v>
      </c>
      <c r="J44">
        <f t="shared" si="2"/>
        <v>22400</v>
      </c>
      <c r="L44">
        <f t="shared" si="3"/>
        <v>10</v>
      </c>
    </row>
    <row r="45" spans="1:12" x14ac:dyDescent="0.25">
      <c r="A45">
        <v>1745</v>
      </c>
      <c r="B45" t="s">
        <v>65</v>
      </c>
      <c r="C45" t="s">
        <v>76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1745</v>
      </c>
      <c r="B46" t="s">
        <v>73</v>
      </c>
      <c r="C46" t="s">
        <v>76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1745</v>
      </c>
      <c r="B47" t="s">
        <v>66</v>
      </c>
      <c r="C47" t="s">
        <v>76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1745</v>
      </c>
      <c r="B48" t="s">
        <v>67</v>
      </c>
      <c r="C48" t="s">
        <v>76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1745</v>
      </c>
      <c r="B49" t="s">
        <v>5</v>
      </c>
      <c r="C49" t="s">
        <v>76</v>
      </c>
      <c r="D49" t="s">
        <v>35</v>
      </c>
      <c r="J49">
        <f t="shared" si="2"/>
        <v>0</v>
      </c>
      <c r="L49">
        <f t="shared" si="3"/>
        <v>0</v>
      </c>
    </row>
    <row r="50" spans="1:12" x14ac:dyDescent="0.25">
      <c r="A50">
        <v>1745</v>
      </c>
      <c r="B50" t="s">
        <v>6</v>
      </c>
      <c r="C50" t="s">
        <v>76</v>
      </c>
      <c r="D50" t="s">
        <v>35</v>
      </c>
      <c r="F50">
        <v>5622</v>
      </c>
      <c r="H50">
        <v>21</v>
      </c>
      <c r="J50">
        <f t="shared" si="2"/>
        <v>629685</v>
      </c>
      <c r="L50">
        <f t="shared" si="3"/>
        <v>281.109375</v>
      </c>
    </row>
    <row r="51" spans="1:12" x14ac:dyDescent="0.25">
      <c r="A51">
        <v>1745</v>
      </c>
      <c r="B51" t="s">
        <v>7</v>
      </c>
      <c r="C51" t="s">
        <v>76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1745</v>
      </c>
      <c r="B52" t="s">
        <v>8</v>
      </c>
      <c r="C52" t="s">
        <v>76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1745</v>
      </c>
      <c r="B53" t="s">
        <v>9</v>
      </c>
      <c r="C53" t="s">
        <v>76</v>
      </c>
      <c r="D53" t="s">
        <v>35</v>
      </c>
      <c r="H53">
        <f>200*44</f>
        <v>8800</v>
      </c>
      <c r="I53" t="s">
        <v>144</v>
      </c>
      <c r="J53">
        <f t="shared" si="2"/>
        <v>8800</v>
      </c>
      <c r="L53">
        <f t="shared" si="3"/>
        <v>3.9285714285714284</v>
      </c>
    </row>
    <row r="54" spans="1:12" x14ac:dyDescent="0.25">
      <c r="A54">
        <v>1745</v>
      </c>
      <c r="B54" t="s">
        <v>10</v>
      </c>
      <c r="C54" t="s">
        <v>76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1745</v>
      </c>
      <c r="B55" t="s">
        <v>11</v>
      </c>
      <c r="C55" t="s">
        <v>76</v>
      </c>
      <c r="D55" t="s">
        <v>35</v>
      </c>
      <c r="J55">
        <f t="shared" si="2"/>
        <v>0</v>
      </c>
      <c r="L55">
        <f t="shared" si="3"/>
        <v>0</v>
      </c>
    </row>
    <row r="56" spans="1:12" x14ac:dyDescent="0.25">
      <c r="A56">
        <v>1745</v>
      </c>
      <c r="B56" t="s">
        <v>12</v>
      </c>
      <c r="C56" t="s">
        <v>76</v>
      </c>
      <c r="D56" t="s">
        <v>35</v>
      </c>
      <c r="H56">
        <v>20</v>
      </c>
      <c r="J56">
        <f t="shared" si="2"/>
        <v>20</v>
      </c>
      <c r="L56">
        <f t="shared" si="3"/>
        <v>8.9285714285714281E-3</v>
      </c>
    </row>
    <row r="57" spans="1:12" x14ac:dyDescent="0.25">
      <c r="A57">
        <v>1745</v>
      </c>
      <c r="B57" t="s">
        <v>13</v>
      </c>
      <c r="C57" t="s">
        <v>76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1745</v>
      </c>
      <c r="B58" t="s">
        <v>14</v>
      </c>
      <c r="C58" t="s">
        <v>76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1745</v>
      </c>
      <c r="B59" t="s">
        <v>27</v>
      </c>
      <c r="C59" t="s">
        <v>76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1745</v>
      </c>
      <c r="B60" t="s">
        <v>15</v>
      </c>
      <c r="C60" t="s">
        <v>76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1745</v>
      </c>
      <c r="B61" t="s">
        <v>17</v>
      </c>
      <c r="C61" t="s">
        <v>76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1745</v>
      </c>
      <c r="B62" t="s">
        <v>18</v>
      </c>
      <c r="C62" t="s">
        <v>76</v>
      </c>
      <c r="D62" t="s">
        <v>35</v>
      </c>
      <c r="H62">
        <f>25206</f>
        <v>25206</v>
      </c>
      <c r="I62" t="s">
        <v>143</v>
      </c>
      <c r="J62">
        <f t="shared" si="2"/>
        <v>25206</v>
      </c>
      <c r="L62">
        <f t="shared" si="3"/>
        <v>11.252678571428572</v>
      </c>
    </row>
    <row r="63" spans="1:12" x14ac:dyDescent="0.25">
      <c r="A63">
        <v>1745</v>
      </c>
      <c r="B63" t="s">
        <v>19</v>
      </c>
      <c r="C63" t="s">
        <v>76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1745</v>
      </c>
      <c r="B64" t="s">
        <v>56</v>
      </c>
      <c r="C64" t="s">
        <v>76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1745</v>
      </c>
      <c r="B65" t="s">
        <v>90</v>
      </c>
      <c r="C65" t="s">
        <v>76</v>
      </c>
      <c r="D65" t="s">
        <v>35</v>
      </c>
      <c r="J65">
        <f t="shared" ref="J65" si="4">(E65*2240)+(F65*112)+(G65*28)+H65</f>
        <v>0</v>
      </c>
      <c r="L65">
        <f t="shared" ref="L65" si="5">J65/2240</f>
        <v>0</v>
      </c>
    </row>
    <row r="66" spans="1:12" x14ac:dyDescent="0.25">
      <c r="A66">
        <v>1745</v>
      </c>
      <c r="B66" t="s">
        <v>21</v>
      </c>
      <c r="C66" t="s">
        <v>76</v>
      </c>
      <c r="D66" t="s">
        <v>35</v>
      </c>
    </row>
    <row r="67" spans="1:12" x14ac:dyDescent="0.25">
      <c r="A67">
        <v>1745</v>
      </c>
      <c r="B67" t="s">
        <v>22</v>
      </c>
      <c r="C67" t="s">
        <v>76</v>
      </c>
      <c r="D67" t="s">
        <v>35</v>
      </c>
    </row>
    <row r="68" spans="1:12" x14ac:dyDescent="0.25">
      <c r="A68">
        <v>1745</v>
      </c>
      <c r="B68" t="s">
        <v>64</v>
      </c>
      <c r="C68" t="s">
        <v>76</v>
      </c>
      <c r="D68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0"/>
  <sheetViews>
    <sheetView topLeftCell="A21" workbookViewId="0">
      <selection activeCell="H55" sqref="H5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1745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1745</v>
      </c>
      <c r="B3" t="s">
        <v>59</v>
      </c>
      <c r="C3" t="s">
        <v>77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1745</v>
      </c>
      <c r="B4" t="s">
        <v>38</v>
      </c>
      <c r="C4" t="s">
        <v>77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1745</v>
      </c>
      <c r="B5" t="s">
        <v>4</v>
      </c>
      <c r="C5" t="s">
        <v>77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1745</v>
      </c>
      <c r="B6" t="s">
        <v>60</v>
      </c>
      <c r="C6" t="s">
        <v>77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1745</v>
      </c>
      <c r="B7" t="s">
        <v>71</v>
      </c>
      <c r="C7" t="s">
        <v>77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1745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1745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1745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1745</v>
      </c>
      <c r="B11" t="s">
        <v>6</v>
      </c>
      <c r="C11" t="s">
        <v>77</v>
      </c>
      <c r="D11" t="s">
        <v>33</v>
      </c>
      <c r="F11">
        <v>110158</v>
      </c>
      <c r="G11">
        <v>3</v>
      </c>
      <c r="H11">
        <v>6</v>
      </c>
      <c r="J11">
        <f t="shared" si="0"/>
        <v>12337786</v>
      </c>
      <c r="L11">
        <f t="shared" si="1"/>
        <v>5507.940178571429</v>
      </c>
    </row>
    <row r="12" spans="1:12" x14ac:dyDescent="0.25">
      <c r="A12">
        <v>1745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1745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1745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1745</v>
      </c>
      <c r="B15" t="s">
        <v>8</v>
      </c>
      <c r="C15" t="s">
        <v>77</v>
      </c>
      <c r="D15" t="s">
        <v>33</v>
      </c>
      <c r="F15">
        <v>1186</v>
      </c>
      <c r="G15">
        <v>1</v>
      </c>
      <c r="H15">
        <v>12</v>
      </c>
      <c r="J15">
        <f t="shared" si="0"/>
        <v>132872</v>
      </c>
      <c r="L15">
        <f t="shared" si="1"/>
        <v>59.317857142857143</v>
      </c>
    </row>
    <row r="16" spans="1:12" x14ac:dyDescent="0.25">
      <c r="A16">
        <v>1745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1745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1745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1745</v>
      </c>
      <c r="B19" t="s">
        <v>9</v>
      </c>
      <c r="C19" t="s">
        <v>77</v>
      </c>
      <c r="D19" t="s">
        <v>33</v>
      </c>
      <c r="H19">
        <f>200*284.5</f>
        <v>56900</v>
      </c>
      <c r="I19" t="s">
        <v>130</v>
      </c>
      <c r="J19">
        <f t="shared" si="0"/>
        <v>56900</v>
      </c>
      <c r="L19">
        <f t="shared" si="1"/>
        <v>25.401785714285715</v>
      </c>
    </row>
    <row r="20" spans="1:12" x14ac:dyDescent="0.25">
      <c r="A20">
        <v>1745</v>
      </c>
      <c r="B20" t="s">
        <v>10</v>
      </c>
      <c r="C20" t="s">
        <v>77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1745</v>
      </c>
      <c r="B21" t="s">
        <v>11</v>
      </c>
      <c r="C21" t="s">
        <v>77</v>
      </c>
      <c r="D21" t="s">
        <v>33</v>
      </c>
      <c r="F21">
        <v>4</v>
      </c>
      <c r="G21">
        <v>3</v>
      </c>
      <c r="H21">
        <v>14</v>
      </c>
      <c r="J21">
        <f t="shared" si="0"/>
        <v>546</v>
      </c>
      <c r="L21">
        <f t="shared" si="1"/>
        <v>0.24374999999999999</v>
      </c>
    </row>
    <row r="22" spans="1:12" x14ac:dyDescent="0.25">
      <c r="A22">
        <v>1745</v>
      </c>
      <c r="B22" t="s">
        <v>41</v>
      </c>
      <c r="C22" t="s">
        <v>77</v>
      </c>
      <c r="D22" t="s">
        <v>33</v>
      </c>
      <c r="H22">
        <v>40</v>
      </c>
      <c r="J22">
        <f t="shared" si="0"/>
        <v>40</v>
      </c>
      <c r="L22">
        <f t="shared" si="1"/>
        <v>1.7857142857142856E-2</v>
      </c>
    </row>
    <row r="23" spans="1:12" x14ac:dyDescent="0.25">
      <c r="A23">
        <v>1745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1745</v>
      </c>
      <c r="B24" t="s">
        <v>12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1745</v>
      </c>
      <c r="B25" t="s">
        <v>34</v>
      </c>
      <c r="C25" t="s">
        <v>77</v>
      </c>
      <c r="D25" t="s">
        <v>33</v>
      </c>
      <c r="H25">
        <v>112</v>
      </c>
      <c r="J25">
        <f t="shared" si="0"/>
        <v>112</v>
      </c>
      <c r="L25">
        <f t="shared" si="1"/>
        <v>0.05</v>
      </c>
    </row>
    <row r="26" spans="1:12" x14ac:dyDescent="0.25">
      <c r="A26">
        <v>1745</v>
      </c>
      <c r="B26" t="s">
        <v>13</v>
      </c>
      <c r="C26" t="s">
        <v>77</v>
      </c>
      <c r="D26" t="s">
        <v>33</v>
      </c>
      <c r="E26">
        <v>94</v>
      </c>
      <c r="F26">
        <v>13</v>
      </c>
      <c r="G26">
        <v>3</v>
      </c>
      <c r="J26">
        <f t="shared" ref="J26:J70" si="2">(E26*2240)+(F26*112)+(G26*28)+H26</f>
        <v>212100</v>
      </c>
      <c r="L26">
        <f t="shared" si="1"/>
        <v>94.6875</v>
      </c>
    </row>
    <row r="27" spans="1:12" x14ac:dyDescent="0.25">
      <c r="A27">
        <v>1745</v>
      </c>
      <c r="B27" t="s">
        <v>14</v>
      </c>
      <c r="C27" t="s">
        <v>77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1745</v>
      </c>
      <c r="B28" t="s">
        <v>23</v>
      </c>
      <c r="C28" t="s">
        <v>77</v>
      </c>
      <c r="D28" t="s">
        <v>33</v>
      </c>
      <c r="J28">
        <f t="shared" si="2"/>
        <v>0</v>
      </c>
      <c r="L28">
        <f t="shared" ref="L28:L70" si="3">J28/2240</f>
        <v>0</v>
      </c>
    </row>
    <row r="29" spans="1:12" x14ac:dyDescent="0.25">
      <c r="A29">
        <v>1745</v>
      </c>
      <c r="B29" t="s">
        <v>27</v>
      </c>
      <c r="C29" t="s">
        <v>77</v>
      </c>
      <c r="D29" t="s">
        <v>33</v>
      </c>
      <c r="H29">
        <v>1040</v>
      </c>
      <c r="I29" t="s">
        <v>129</v>
      </c>
      <c r="J29">
        <f t="shared" si="2"/>
        <v>1040</v>
      </c>
      <c r="L29">
        <f t="shared" si="3"/>
        <v>0.4642857142857143</v>
      </c>
    </row>
    <row r="30" spans="1:12" x14ac:dyDescent="0.25">
      <c r="A30">
        <v>1745</v>
      </c>
      <c r="B30" t="s">
        <v>15</v>
      </c>
      <c r="C30" t="s">
        <v>77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1745</v>
      </c>
      <c r="B31" t="s">
        <v>44</v>
      </c>
      <c r="C31" t="s">
        <v>77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1745</v>
      </c>
      <c r="B32" t="s">
        <v>49</v>
      </c>
      <c r="C32" t="s">
        <v>77</v>
      </c>
      <c r="D32" t="s">
        <v>33</v>
      </c>
      <c r="H32">
        <v>43</v>
      </c>
      <c r="I32" t="s">
        <v>127</v>
      </c>
      <c r="J32">
        <f t="shared" si="2"/>
        <v>43</v>
      </c>
      <c r="L32">
        <f t="shared" si="3"/>
        <v>1.9196428571428573E-2</v>
      </c>
    </row>
    <row r="33" spans="1:12" x14ac:dyDescent="0.25">
      <c r="A33">
        <v>1745</v>
      </c>
      <c r="B33" t="s">
        <v>16</v>
      </c>
      <c r="C33" t="s">
        <v>77</v>
      </c>
      <c r="D33" t="s">
        <v>33</v>
      </c>
      <c r="H33">
        <v>500</v>
      </c>
      <c r="J33">
        <f t="shared" si="2"/>
        <v>500</v>
      </c>
      <c r="L33">
        <f t="shared" si="3"/>
        <v>0.22321428571428573</v>
      </c>
    </row>
    <row r="34" spans="1:12" x14ac:dyDescent="0.25">
      <c r="A34">
        <v>1745</v>
      </c>
      <c r="B34" t="s">
        <v>100</v>
      </c>
      <c r="C34" t="s">
        <v>77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1745</v>
      </c>
      <c r="B35" t="s">
        <v>17</v>
      </c>
      <c r="C35" t="s">
        <v>77</v>
      </c>
      <c r="D35" t="s">
        <v>33</v>
      </c>
      <c r="F35">
        <v>141</v>
      </c>
      <c r="J35">
        <f t="shared" si="2"/>
        <v>15792</v>
      </c>
      <c r="L35">
        <f t="shared" si="3"/>
        <v>7.05</v>
      </c>
    </row>
    <row r="36" spans="1:12" x14ac:dyDescent="0.25">
      <c r="A36">
        <v>1745</v>
      </c>
      <c r="B36" t="s">
        <v>18</v>
      </c>
      <c r="C36" t="s">
        <v>77</v>
      </c>
      <c r="D36" t="s">
        <v>33</v>
      </c>
      <c r="H36">
        <v>339827</v>
      </c>
      <c r="I36" t="s">
        <v>128</v>
      </c>
      <c r="J36">
        <f t="shared" si="2"/>
        <v>339827</v>
      </c>
      <c r="L36">
        <f t="shared" si="3"/>
        <v>151.70848214285715</v>
      </c>
    </row>
    <row r="37" spans="1:12" x14ac:dyDescent="0.25">
      <c r="A37">
        <v>1745</v>
      </c>
      <c r="B37" t="s">
        <v>72</v>
      </c>
      <c r="C37" t="s">
        <v>77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1745</v>
      </c>
      <c r="B38" t="s">
        <v>19</v>
      </c>
      <c r="C38" t="s">
        <v>77</v>
      </c>
      <c r="D38" t="s">
        <v>33</v>
      </c>
      <c r="J38">
        <f t="shared" si="2"/>
        <v>0</v>
      </c>
      <c r="L38">
        <f t="shared" si="3"/>
        <v>0</v>
      </c>
    </row>
    <row r="39" spans="1:12" x14ac:dyDescent="0.25">
      <c r="A39">
        <v>1745</v>
      </c>
      <c r="B39" t="s">
        <v>47</v>
      </c>
      <c r="C39" t="s">
        <v>77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1745</v>
      </c>
      <c r="B40" t="s">
        <v>56</v>
      </c>
      <c r="C40" t="s">
        <v>77</v>
      </c>
      <c r="D40" t="s">
        <v>33</v>
      </c>
      <c r="H40">
        <v>59</v>
      </c>
      <c r="J40">
        <f t="shared" si="2"/>
        <v>59</v>
      </c>
      <c r="L40">
        <f t="shared" si="3"/>
        <v>2.6339285714285714E-2</v>
      </c>
    </row>
    <row r="41" spans="1:12" x14ac:dyDescent="0.25">
      <c r="A41">
        <v>1745</v>
      </c>
      <c r="B41" t="s">
        <v>90</v>
      </c>
      <c r="C41" t="s">
        <v>77</v>
      </c>
      <c r="D41" t="s">
        <v>33</v>
      </c>
      <c r="H41">
        <v>87</v>
      </c>
      <c r="J41">
        <f t="shared" si="2"/>
        <v>87</v>
      </c>
      <c r="L41">
        <f t="shared" si="3"/>
        <v>3.8839285714285715E-2</v>
      </c>
    </row>
    <row r="42" spans="1:12" x14ac:dyDescent="0.25">
      <c r="A42">
        <v>1745</v>
      </c>
      <c r="B42" t="s">
        <v>20</v>
      </c>
      <c r="C42" t="s">
        <v>77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1745</v>
      </c>
      <c r="B43" t="s">
        <v>21</v>
      </c>
      <c r="C43" t="s">
        <v>77</v>
      </c>
      <c r="D43" t="s">
        <v>33</v>
      </c>
      <c r="H43">
        <v>19</v>
      </c>
      <c r="J43">
        <f t="shared" si="2"/>
        <v>19</v>
      </c>
      <c r="L43">
        <f t="shared" si="3"/>
        <v>8.4821428571428565E-3</v>
      </c>
    </row>
    <row r="44" spans="1:12" x14ac:dyDescent="0.25">
      <c r="A44">
        <v>1745</v>
      </c>
      <c r="B44" t="s">
        <v>22</v>
      </c>
      <c r="C44" t="s">
        <v>77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1745</v>
      </c>
      <c r="B45" t="s">
        <v>63</v>
      </c>
      <c r="C45" t="s">
        <v>77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1745</v>
      </c>
      <c r="B46" t="s">
        <v>64</v>
      </c>
      <c r="C46" t="s">
        <v>77</v>
      </c>
      <c r="D46" t="s">
        <v>33</v>
      </c>
      <c r="E46">
        <v>81</v>
      </c>
      <c r="J46">
        <f t="shared" si="2"/>
        <v>181440</v>
      </c>
      <c r="L46">
        <f t="shared" si="3"/>
        <v>81</v>
      </c>
    </row>
    <row r="47" spans="1:12" x14ac:dyDescent="0.25">
      <c r="A47">
        <v>1745</v>
      </c>
      <c r="B47" t="s">
        <v>65</v>
      </c>
      <c r="C47" t="s">
        <v>77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1745</v>
      </c>
      <c r="B48" t="s">
        <v>73</v>
      </c>
      <c r="C48" t="s">
        <v>77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1745</v>
      </c>
      <c r="B49" t="s">
        <v>66</v>
      </c>
      <c r="C49" t="s">
        <v>77</v>
      </c>
      <c r="D49" t="s">
        <v>33</v>
      </c>
      <c r="J49">
        <f t="shared" si="2"/>
        <v>0</v>
      </c>
      <c r="L49">
        <f t="shared" si="3"/>
        <v>0</v>
      </c>
    </row>
    <row r="50" spans="1:12" x14ac:dyDescent="0.25">
      <c r="A50">
        <v>1745</v>
      </c>
      <c r="B50" t="s">
        <v>67</v>
      </c>
      <c r="C50" t="s">
        <v>77</v>
      </c>
      <c r="D50" t="s">
        <v>33</v>
      </c>
      <c r="J50">
        <f t="shared" si="2"/>
        <v>0</v>
      </c>
      <c r="L50">
        <f t="shared" si="3"/>
        <v>0</v>
      </c>
    </row>
    <row r="51" spans="1:12" x14ac:dyDescent="0.25">
      <c r="A51">
        <v>1745</v>
      </c>
      <c r="B51" t="s">
        <v>6</v>
      </c>
      <c r="C51" t="s">
        <v>77</v>
      </c>
      <c r="D51" t="s">
        <v>35</v>
      </c>
      <c r="F51">
        <v>30389</v>
      </c>
      <c r="G51">
        <v>3</v>
      </c>
      <c r="H51">
        <v>4</v>
      </c>
      <c r="J51">
        <f t="shared" si="2"/>
        <v>3403656</v>
      </c>
      <c r="L51">
        <f t="shared" si="3"/>
        <v>1519.4892857142856</v>
      </c>
    </row>
    <row r="52" spans="1:12" x14ac:dyDescent="0.25">
      <c r="A52">
        <v>1745</v>
      </c>
      <c r="B52" t="s">
        <v>7</v>
      </c>
      <c r="C52" t="s">
        <v>77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1745</v>
      </c>
      <c r="B53" t="s">
        <v>8</v>
      </c>
      <c r="C53" t="s">
        <v>77</v>
      </c>
      <c r="D53" t="s">
        <v>35</v>
      </c>
      <c r="F53">
        <v>22</v>
      </c>
      <c r="G53">
        <v>2</v>
      </c>
      <c r="H53">
        <v>16</v>
      </c>
      <c r="J53">
        <f t="shared" si="2"/>
        <v>2536</v>
      </c>
      <c r="L53">
        <f t="shared" si="3"/>
        <v>1.1321428571428571</v>
      </c>
    </row>
    <row r="54" spans="1:12" x14ac:dyDescent="0.25">
      <c r="A54">
        <v>1745</v>
      </c>
      <c r="B54" t="s">
        <v>9</v>
      </c>
      <c r="C54" t="s">
        <v>77</v>
      </c>
      <c r="D54" t="s">
        <v>35</v>
      </c>
      <c r="H54">
        <f>200*350</f>
        <v>70000</v>
      </c>
      <c r="I54" t="s">
        <v>146</v>
      </c>
      <c r="J54">
        <f t="shared" si="2"/>
        <v>70000</v>
      </c>
      <c r="L54">
        <f t="shared" si="3"/>
        <v>31.25</v>
      </c>
    </row>
    <row r="55" spans="1:12" x14ac:dyDescent="0.25">
      <c r="A55">
        <v>1745</v>
      </c>
      <c r="B55" t="s">
        <v>10</v>
      </c>
      <c r="C55" t="s">
        <v>77</v>
      </c>
      <c r="D55" t="s">
        <v>35</v>
      </c>
      <c r="J55">
        <f t="shared" si="2"/>
        <v>0</v>
      </c>
      <c r="L55">
        <f t="shared" si="3"/>
        <v>0</v>
      </c>
    </row>
    <row r="56" spans="1:12" x14ac:dyDescent="0.25">
      <c r="A56">
        <v>1745</v>
      </c>
      <c r="B56" t="s">
        <v>11</v>
      </c>
      <c r="C56" t="s">
        <v>77</v>
      </c>
      <c r="D56" t="s">
        <v>35</v>
      </c>
      <c r="F56">
        <v>16</v>
      </c>
      <c r="G56">
        <v>3</v>
      </c>
      <c r="H56">
        <v>14</v>
      </c>
      <c r="J56">
        <f t="shared" si="2"/>
        <v>1890</v>
      </c>
      <c r="L56">
        <f t="shared" si="3"/>
        <v>0.84375</v>
      </c>
    </row>
    <row r="57" spans="1:12" x14ac:dyDescent="0.25">
      <c r="A57">
        <v>1745</v>
      </c>
      <c r="B57" t="s">
        <v>12</v>
      </c>
      <c r="C57" t="s">
        <v>77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1745</v>
      </c>
      <c r="B58" t="s">
        <v>13</v>
      </c>
      <c r="C58" t="s">
        <v>77</v>
      </c>
      <c r="D58" t="s">
        <v>35</v>
      </c>
      <c r="E58">
        <v>31</v>
      </c>
      <c r="F58">
        <v>11</v>
      </c>
      <c r="G58">
        <v>1</v>
      </c>
      <c r="J58">
        <f t="shared" si="2"/>
        <v>70700</v>
      </c>
      <c r="L58">
        <f t="shared" si="3"/>
        <v>31.5625</v>
      </c>
    </row>
    <row r="59" spans="1:12" x14ac:dyDescent="0.25">
      <c r="A59">
        <v>1745</v>
      </c>
      <c r="B59" t="s">
        <v>14</v>
      </c>
      <c r="C59" t="s">
        <v>77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1745</v>
      </c>
      <c r="B60" t="s">
        <v>27</v>
      </c>
      <c r="C60" t="s">
        <v>77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1745</v>
      </c>
      <c r="B61" t="s">
        <v>15</v>
      </c>
      <c r="C61" t="s">
        <v>77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1745</v>
      </c>
      <c r="B62" t="s">
        <v>17</v>
      </c>
      <c r="C62" t="s">
        <v>77</v>
      </c>
      <c r="D62" t="s">
        <v>35</v>
      </c>
      <c r="J62">
        <f t="shared" si="2"/>
        <v>0</v>
      </c>
      <c r="L62">
        <f t="shared" si="3"/>
        <v>0</v>
      </c>
    </row>
    <row r="63" spans="1:12" x14ac:dyDescent="0.25">
      <c r="A63">
        <v>1745</v>
      </c>
      <c r="B63" t="s">
        <v>18</v>
      </c>
      <c r="C63" t="s">
        <v>77</v>
      </c>
      <c r="D63" t="s">
        <v>35</v>
      </c>
      <c r="H63">
        <v>59045</v>
      </c>
      <c r="I63" t="s">
        <v>145</v>
      </c>
      <c r="J63">
        <f t="shared" si="2"/>
        <v>59045</v>
      </c>
      <c r="L63">
        <f t="shared" si="3"/>
        <v>26.359375</v>
      </c>
    </row>
    <row r="64" spans="1:12" x14ac:dyDescent="0.25">
      <c r="A64">
        <v>1745</v>
      </c>
      <c r="B64" t="s">
        <v>19</v>
      </c>
      <c r="C64" t="s">
        <v>77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1745</v>
      </c>
      <c r="B65" t="s">
        <v>56</v>
      </c>
      <c r="C65" t="s">
        <v>77</v>
      </c>
      <c r="D65" t="s">
        <v>35</v>
      </c>
      <c r="H65">
        <v>63</v>
      </c>
      <c r="J65">
        <f t="shared" si="2"/>
        <v>63</v>
      </c>
      <c r="L65">
        <f t="shared" si="3"/>
        <v>2.8125000000000001E-2</v>
      </c>
    </row>
    <row r="66" spans="1:12" x14ac:dyDescent="0.25">
      <c r="A66">
        <v>1745</v>
      </c>
      <c r="B66" t="s">
        <v>90</v>
      </c>
      <c r="C66" t="s">
        <v>77</v>
      </c>
      <c r="D66" t="s">
        <v>35</v>
      </c>
      <c r="H66">
        <v>18</v>
      </c>
      <c r="J66">
        <f t="shared" si="2"/>
        <v>18</v>
      </c>
      <c r="L66">
        <f t="shared" si="3"/>
        <v>8.0357142857142849E-3</v>
      </c>
    </row>
    <row r="67" spans="1:12" x14ac:dyDescent="0.25">
      <c r="A67">
        <v>1745</v>
      </c>
      <c r="B67" t="s">
        <v>21</v>
      </c>
      <c r="C67" t="s">
        <v>77</v>
      </c>
      <c r="D67" t="s">
        <v>35</v>
      </c>
      <c r="J67">
        <f t="shared" si="2"/>
        <v>0</v>
      </c>
      <c r="L67">
        <f t="shared" si="3"/>
        <v>0</v>
      </c>
    </row>
    <row r="68" spans="1:12" x14ac:dyDescent="0.25">
      <c r="A68">
        <v>1745</v>
      </c>
      <c r="B68" t="s">
        <v>22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1745</v>
      </c>
      <c r="B69" t="s">
        <v>64</v>
      </c>
      <c r="C69" t="s">
        <v>77</v>
      </c>
      <c r="D69" t="s">
        <v>35</v>
      </c>
      <c r="E69">
        <v>23</v>
      </c>
      <c r="F69">
        <v>12</v>
      </c>
      <c r="G69">
        <v>1</v>
      </c>
      <c r="H69">
        <v>16</v>
      </c>
      <c r="J69">
        <f t="shared" si="2"/>
        <v>52908</v>
      </c>
      <c r="L69">
        <f t="shared" si="3"/>
        <v>23.619642857142857</v>
      </c>
    </row>
    <row r="70" spans="1:12" x14ac:dyDescent="0.25">
      <c r="A70">
        <v>1745</v>
      </c>
      <c r="B70" t="s">
        <v>66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topLeftCell="A19"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2025-04-29T19:24:00Z</dcterms:modified>
</cp:coreProperties>
</file>