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1326" documentId="8_{271B2344-A41E-446A-BA87-7DC90203CAFC}" xr6:coauthVersionLast="47" xr6:coauthVersionMax="47" xr10:uidLastSave="{4D49ABB1-0EA6-4C55-BEDF-7BF1C65BDCFC}"/>
  <bookViews>
    <workbookView xWindow="28680" yWindow="2280" windowWidth="29040" windowHeight="15840" xr2:uid="{A9AB6255-FFC3-4BA2-A4C8-A2A9711B6F5F}"/>
  </bookViews>
  <sheets>
    <sheet name="Master Goods Sheet" sheetId="12" r:id="rId1"/>
    <sheet name="Antigua" sheetId="3" r:id="rId2"/>
    <sheet name="Barbados" sheetId="4" r:id="rId3"/>
    <sheet name="Bermuda" sheetId="5" r:id="rId4"/>
    <sheet name="Carolina" sheetId="6" r:id="rId5"/>
    <sheet name="Jamaica" sheetId="7" r:id="rId6"/>
    <sheet name="Mountserat" sheetId="8" r:id="rId7"/>
    <sheet name="Nevis" sheetId="9" r:id="rId8"/>
    <sheet name="St Kitts" sheetId="10" r:id="rId9"/>
    <sheet name="NewEngland" sheetId="11" r:id="rId10"/>
  </sheets>
  <definedNames>
    <definedName name="_xlnm._FilterDatabase" localSheetId="1" hidden="1">Antigua!$A$1:$O$41</definedName>
    <definedName name="_xlnm._FilterDatabase" localSheetId="2" hidden="1">Barbados!$A$1:$L$58</definedName>
    <definedName name="_xlnm._FilterDatabase" localSheetId="4" hidden="1">Carolina!$A$1:$L$15</definedName>
    <definedName name="_xlnm._FilterDatabase" localSheetId="5" hidden="1">Jamaica!$A$1:$Q$55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12" l="1"/>
  <c r="D75" i="12" s="1"/>
  <c r="C75" i="12"/>
  <c r="B76" i="12"/>
  <c r="D76" i="12" s="1"/>
  <c r="C76" i="12"/>
  <c r="J26" i="8"/>
  <c r="L26" i="8" s="1"/>
  <c r="J58" i="7"/>
  <c r="L58" i="7" s="1"/>
  <c r="C68" i="12" s="1"/>
  <c r="J57" i="7"/>
  <c r="L57" i="7" s="1"/>
  <c r="C66" i="12" s="1"/>
  <c r="L56" i="7"/>
  <c r="J56" i="7"/>
  <c r="L51" i="7"/>
  <c r="J51" i="7"/>
  <c r="J43" i="7"/>
  <c r="L43" i="7" s="1"/>
  <c r="C30" i="12" s="1"/>
  <c r="J39" i="7"/>
  <c r="L39" i="7" s="1"/>
  <c r="J36" i="7"/>
  <c r="L36" i="7" s="1"/>
  <c r="L61" i="4"/>
  <c r="J61" i="4"/>
  <c r="L60" i="4"/>
  <c r="J60" i="4"/>
  <c r="J59" i="4"/>
  <c r="L59" i="4"/>
  <c r="L55" i="4"/>
  <c r="J55" i="4"/>
  <c r="J39" i="4"/>
  <c r="L39" i="4" s="1"/>
  <c r="J38" i="3"/>
  <c r="L38" i="3" s="1"/>
  <c r="J25" i="3"/>
  <c r="L25" i="3" s="1"/>
  <c r="J19" i="9"/>
  <c r="L19" i="9" s="1"/>
  <c r="J2" i="9"/>
  <c r="L2" i="9" s="1"/>
  <c r="J16" i="8"/>
  <c r="L16" i="8" s="1"/>
  <c r="J9" i="8"/>
  <c r="L9" i="8" s="1"/>
  <c r="J29" i="7"/>
  <c r="L29" i="7" s="1"/>
  <c r="J30" i="7"/>
  <c r="L30" i="7" s="1"/>
  <c r="B65" i="12" s="1"/>
  <c r="J31" i="7"/>
  <c r="L31" i="7" s="1"/>
  <c r="J32" i="7"/>
  <c r="L32" i="7" s="1"/>
  <c r="J33" i="7"/>
  <c r="L33" i="7" s="1"/>
  <c r="B72" i="12" s="1"/>
  <c r="J34" i="7"/>
  <c r="L34" i="7" s="1"/>
  <c r="J25" i="7"/>
  <c r="L25" i="7" s="1"/>
  <c r="J22" i="7"/>
  <c r="L22" i="7" s="1"/>
  <c r="B52" i="12" s="1"/>
  <c r="J12" i="7"/>
  <c r="L12" i="7" s="1"/>
  <c r="J8" i="7"/>
  <c r="L8" i="7" s="1"/>
  <c r="B26" i="12" s="1"/>
  <c r="J5" i="7"/>
  <c r="L5" i="7" s="1"/>
  <c r="L6" i="5"/>
  <c r="J6" i="5"/>
  <c r="J36" i="4"/>
  <c r="L36" i="4" s="1"/>
  <c r="J35" i="4"/>
  <c r="L35" i="4" s="1"/>
  <c r="J34" i="4"/>
  <c r="L34" i="4" s="1"/>
  <c r="J33" i="4"/>
  <c r="L33" i="4" s="1"/>
  <c r="J4" i="4"/>
  <c r="L4" i="4" s="1"/>
  <c r="B14" i="12" s="1"/>
  <c r="J29" i="4"/>
  <c r="L29" i="4" s="1"/>
  <c r="J14" i="4"/>
  <c r="L14" i="4" s="1"/>
  <c r="B31" i="12" s="1"/>
  <c r="J13" i="4"/>
  <c r="L13" i="4" s="1"/>
  <c r="J5" i="4"/>
  <c r="L5" i="4" s="1"/>
  <c r="J2" i="4"/>
  <c r="L2" i="4" s="1"/>
  <c r="B4" i="12" s="1"/>
  <c r="J22" i="3"/>
  <c r="L22" i="3" s="1"/>
  <c r="J18" i="3"/>
  <c r="L18" i="3" s="1"/>
  <c r="J4" i="3"/>
  <c r="L4" i="3" s="1"/>
  <c r="C3" i="12"/>
  <c r="C4" i="12"/>
  <c r="C6" i="12"/>
  <c r="C7" i="12"/>
  <c r="C8" i="12"/>
  <c r="C9" i="12"/>
  <c r="C10" i="12"/>
  <c r="C11" i="12"/>
  <c r="C12" i="12"/>
  <c r="C13" i="12"/>
  <c r="C15" i="12"/>
  <c r="C17" i="12"/>
  <c r="C20" i="12"/>
  <c r="C22" i="12"/>
  <c r="C23" i="12"/>
  <c r="C24" i="12"/>
  <c r="C25" i="12"/>
  <c r="C31" i="12"/>
  <c r="C32" i="12"/>
  <c r="C33" i="12"/>
  <c r="C34" i="12"/>
  <c r="C35" i="12"/>
  <c r="C37" i="12"/>
  <c r="C41" i="12"/>
  <c r="C44" i="12"/>
  <c r="C45" i="12"/>
  <c r="C46" i="12"/>
  <c r="C47" i="12"/>
  <c r="C49" i="12"/>
  <c r="C52" i="12"/>
  <c r="C55" i="12"/>
  <c r="C60" i="12"/>
  <c r="C62" i="12"/>
  <c r="C63" i="12"/>
  <c r="C64" i="12"/>
  <c r="C65" i="12"/>
  <c r="C67" i="12"/>
  <c r="C69" i="12"/>
  <c r="C70" i="12"/>
  <c r="C71" i="12"/>
  <c r="C72" i="12"/>
  <c r="C73" i="12"/>
  <c r="C74" i="12"/>
  <c r="B3" i="12"/>
  <c r="B6" i="12"/>
  <c r="B7" i="12"/>
  <c r="B8" i="12"/>
  <c r="B9" i="12"/>
  <c r="B10" i="12"/>
  <c r="B11" i="12"/>
  <c r="B12" i="12"/>
  <c r="B13" i="12"/>
  <c r="B15" i="12"/>
  <c r="B17" i="12"/>
  <c r="B22" i="12"/>
  <c r="B23" i="12"/>
  <c r="B24" i="12"/>
  <c r="B25" i="12"/>
  <c r="B32" i="12"/>
  <c r="B33" i="12"/>
  <c r="B34" i="12"/>
  <c r="B35" i="12"/>
  <c r="B37" i="12"/>
  <c r="B45" i="12"/>
  <c r="B46" i="12"/>
  <c r="B47" i="12"/>
  <c r="B49" i="12"/>
  <c r="B54" i="12"/>
  <c r="B55" i="12"/>
  <c r="B60" i="12"/>
  <c r="B63" i="12"/>
  <c r="B64" i="12"/>
  <c r="B67" i="12"/>
  <c r="B69" i="12"/>
  <c r="B70" i="12"/>
  <c r="B71" i="12"/>
  <c r="B73" i="12"/>
  <c r="H12" i="9"/>
  <c r="H11" i="8"/>
  <c r="H9" i="7"/>
  <c r="H10" i="4"/>
  <c r="H6" i="3"/>
  <c r="L31" i="9"/>
  <c r="J35" i="3"/>
  <c r="L35" i="3" s="1"/>
  <c r="C57" i="12" l="1"/>
  <c r="C26" i="12"/>
  <c r="D26" i="12" s="1"/>
  <c r="C18" i="12"/>
  <c r="B74" i="12"/>
  <c r="D74" i="12" s="1"/>
  <c r="B66" i="12"/>
  <c r="D66" i="12" s="1"/>
  <c r="B68" i="12"/>
  <c r="D68" i="12" s="1"/>
  <c r="B62" i="12"/>
  <c r="D62" i="12" s="1"/>
  <c r="B30" i="12"/>
  <c r="D30" i="12" s="1"/>
  <c r="B57" i="12"/>
  <c r="D57" i="12" s="1"/>
  <c r="D10" i="12"/>
  <c r="B18" i="12"/>
  <c r="D18" i="12" s="1"/>
  <c r="D34" i="12"/>
  <c r="D17" i="12"/>
  <c r="D64" i="12"/>
  <c r="D31" i="12"/>
  <c r="D45" i="12"/>
  <c r="D73" i="12"/>
  <c r="D72" i="12"/>
  <c r="D15" i="12"/>
  <c r="D71" i="12"/>
  <c r="D70" i="12"/>
  <c r="D13" i="12"/>
  <c r="D69" i="12"/>
  <c r="D55" i="12"/>
  <c r="D12" i="12"/>
  <c r="D11" i="12"/>
  <c r="D67" i="12"/>
  <c r="D25" i="12"/>
  <c r="D52" i="12"/>
  <c r="D24" i="12"/>
  <c r="D37" i="12"/>
  <c r="D23" i="12"/>
  <c r="D9" i="12"/>
  <c r="D65" i="12"/>
  <c r="D22" i="12"/>
  <c r="D8" i="12"/>
  <c r="D35" i="12"/>
  <c r="D7" i="12"/>
  <c r="D63" i="12"/>
  <c r="D49" i="12"/>
  <c r="D6" i="12"/>
  <c r="D47" i="12"/>
  <c r="D33" i="12"/>
  <c r="D4" i="12"/>
  <c r="D60" i="12"/>
  <c r="D46" i="12"/>
  <c r="D32" i="12"/>
  <c r="D3" i="12"/>
  <c r="J14" i="11"/>
  <c r="J15" i="11"/>
  <c r="L15" i="11" s="1"/>
  <c r="J16" i="11"/>
  <c r="L16" i="11" s="1"/>
  <c r="J17" i="11"/>
  <c r="L17" i="11" s="1"/>
  <c r="J18" i="11"/>
  <c r="J19" i="11"/>
  <c r="J20" i="11"/>
  <c r="J21" i="11"/>
  <c r="L21" i="11" s="1"/>
  <c r="J22" i="11"/>
  <c r="J23" i="11"/>
  <c r="L23" i="11" s="1"/>
  <c r="J24" i="11"/>
  <c r="J25" i="11"/>
  <c r="L25" i="11" s="1"/>
  <c r="J26" i="11"/>
  <c r="L26" i="11" s="1"/>
  <c r="J11" i="9"/>
  <c r="L11" i="9" s="1"/>
  <c r="J12" i="9"/>
  <c r="L12" i="9" s="1"/>
  <c r="J13" i="9"/>
  <c r="L13" i="9" s="1"/>
  <c r="J14" i="9"/>
  <c r="L14" i="9" s="1"/>
  <c r="J15" i="9"/>
  <c r="L15" i="9" s="1"/>
  <c r="J16" i="9"/>
  <c r="J17" i="9"/>
  <c r="J18" i="9"/>
  <c r="L18" i="9" s="1"/>
  <c r="J20" i="9"/>
  <c r="L20" i="9" s="1"/>
  <c r="J21" i="9"/>
  <c r="L21" i="9" s="1"/>
  <c r="J22" i="9"/>
  <c r="L22" i="9" s="1"/>
  <c r="J23" i="9"/>
  <c r="L23" i="9" s="1"/>
  <c r="J24" i="9"/>
  <c r="L24" i="9" s="1"/>
  <c r="J25" i="9"/>
  <c r="L25" i="9" s="1"/>
  <c r="J26" i="9"/>
  <c r="L26" i="9" s="1"/>
  <c r="J27" i="9"/>
  <c r="L27" i="9" s="1"/>
  <c r="J28" i="9"/>
  <c r="L28" i="9" s="1"/>
  <c r="J29" i="9"/>
  <c r="L29" i="9" s="1"/>
  <c r="J30" i="9"/>
  <c r="L30" i="9" s="1"/>
  <c r="J11" i="8"/>
  <c r="L11" i="8" s="1"/>
  <c r="J12" i="8"/>
  <c r="J13" i="8"/>
  <c r="L13" i="8" s="1"/>
  <c r="J14" i="8"/>
  <c r="J15" i="8"/>
  <c r="L15" i="8" s="1"/>
  <c r="J17" i="8"/>
  <c r="J18" i="8"/>
  <c r="J19" i="8"/>
  <c r="J20" i="8"/>
  <c r="J21" i="8"/>
  <c r="J22" i="8"/>
  <c r="J23" i="8"/>
  <c r="L23" i="8" s="1"/>
  <c r="J24" i="8"/>
  <c r="L24" i="8" s="1"/>
  <c r="J25" i="8"/>
  <c r="L25" i="8" s="1"/>
  <c r="J24" i="7"/>
  <c r="L24" i="7" s="1"/>
  <c r="J26" i="7"/>
  <c r="L26" i="7" s="1"/>
  <c r="J16" i="7"/>
  <c r="L16" i="7" s="1"/>
  <c r="J9" i="7"/>
  <c r="L9" i="7" s="1"/>
  <c r="J4" i="7"/>
  <c r="L4" i="7" s="1"/>
  <c r="J7" i="7"/>
  <c r="L7" i="7" s="1"/>
  <c r="J15" i="7"/>
  <c r="L15" i="7" s="1"/>
  <c r="J19" i="7"/>
  <c r="L19" i="7" s="1"/>
  <c r="J21" i="7"/>
  <c r="L21" i="7" s="1"/>
  <c r="J27" i="7"/>
  <c r="L27" i="7" s="1"/>
  <c r="J42" i="7"/>
  <c r="L42" i="7" s="1"/>
  <c r="J41" i="7"/>
  <c r="L41" i="7" s="1"/>
  <c r="J46" i="7"/>
  <c r="L46" i="7" s="1"/>
  <c r="J35" i="7"/>
  <c r="L35" i="7" s="1"/>
  <c r="J55" i="7"/>
  <c r="L55" i="7" s="1"/>
  <c r="J44" i="7"/>
  <c r="L44" i="7" s="1"/>
  <c r="J53" i="7"/>
  <c r="L53" i="7" s="1"/>
  <c r="J49" i="7"/>
  <c r="L49" i="7" s="1"/>
  <c r="C54" i="12" s="1"/>
  <c r="D54" i="12" s="1"/>
  <c r="J50" i="7"/>
  <c r="L50" i="7" s="1"/>
  <c r="J40" i="7"/>
  <c r="L40" i="7" s="1"/>
  <c r="J37" i="7"/>
  <c r="L37" i="7" s="1"/>
  <c r="J38" i="7"/>
  <c r="L38" i="7" s="1"/>
  <c r="J45" i="7"/>
  <c r="L45" i="7" s="1"/>
  <c r="J47" i="7"/>
  <c r="L47" i="7" s="1"/>
  <c r="J48" i="7"/>
  <c r="L48" i="7" s="1"/>
  <c r="J52" i="7"/>
  <c r="L52" i="7" s="1"/>
  <c r="J54" i="7"/>
  <c r="L54" i="7" s="1"/>
  <c r="J19" i="4"/>
  <c r="L19" i="4" s="1"/>
  <c r="B41" i="12" s="1"/>
  <c r="D41" i="12" s="1"/>
  <c r="J24" i="4"/>
  <c r="L24" i="4" s="1"/>
  <c r="J25" i="4"/>
  <c r="L25" i="4" s="1"/>
  <c r="J15" i="4"/>
  <c r="L15" i="4" s="1"/>
  <c r="J16" i="4"/>
  <c r="L16" i="4" s="1"/>
  <c r="B38" i="12" s="1"/>
  <c r="J23" i="4"/>
  <c r="L23" i="4" s="1"/>
  <c r="B44" i="12" s="1"/>
  <c r="D44" i="12" s="1"/>
  <c r="J27" i="4"/>
  <c r="L27" i="4" s="1"/>
  <c r="J28" i="4"/>
  <c r="L28" i="4" s="1"/>
  <c r="J30" i="4"/>
  <c r="L30" i="4" s="1"/>
  <c r="J20" i="4"/>
  <c r="L20" i="4" s="1"/>
  <c r="J10" i="4"/>
  <c r="L10" i="4" s="1"/>
  <c r="J7" i="4"/>
  <c r="L7" i="4" s="1"/>
  <c r="J8" i="4"/>
  <c r="L8" i="4" s="1"/>
  <c r="J6" i="4"/>
  <c r="L6" i="4" s="1"/>
  <c r="J18" i="4"/>
  <c r="L18" i="4" s="1"/>
  <c r="J26" i="4"/>
  <c r="L26" i="4" s="1"/>
  <c r="J31" i="4"/>
  <c r="L31" i="4" s="1"/>
  <c r="J37" i="4"/>
  <c r="L37" i="4" s="1"/>
  <c r="J47" i="4"/>
  <c r="L47" i="4" s="1"/>
  <c r="J44" i="4"/>
  <c r="L44" i="4" s="1"/>
  <c r="J43" i="4"/>
  <c r="L43" i="4" s="1"/>
  <c r="J38" i="4"/>
  <c r="L38" i="4" s="1"/>
  <c r="J58" i="4"/>
  <c r="L58" i="4" s="1"/>
  <c r="J49" i="4"/>
  <c r="L49" i="4" s="1"/>
  <c r="J54" i="4"/>
  <c r="L54" i="4" s="1"/>
  <c r="J45" i="4"/>
  <c r="L45" i="4" s="1"/>
  <c r="J52" i="4"/>
  <c r="L52" i="4" s="1"/>
  <c r="J53" i="4"/>
  <c r="L53" i="4" s="1"/>
  <c r="J56" i="4"/>
  <c r="L56" i="4" s="1"/>
  <c r="J40" i="4"/>
  <c r="L40" i="4" s="1"/>
  <c r="J41" i="4"/>
  <c r="L41" i="4" s="1"/>
  <c r="J42" i="4"/>
  <c r="L42" i="4" s="1"/>
  <c r="J50" i="4"/>
  <c r="L50" i="4" s="1"/>
  <c r="J46" i="4"/>
  <c r="L46" i="4" s="1"/>
  <c r="C38" i="12" s="1"/>
  <c r="J48" i="4"/>
  <c r="L48" i="4" s="1"/>
  <c r="J51" i="4"/>
  <c r="L51" i="4" s="1"/>
  <c r="J57" i="4"/>
  <c r="L57" i="4" s="1"/>
  <c r="J30" i="3"/>
  <c r="L30" i="3" s="1"/>
  <c r="J15" i="3"/>
  <c r="L15" i="3" s="1"/>
  <c r="J6" i="3"/>
  <c r="L6" i="3" s="1"/>
  <c r="J11" i="3"/>
  <c r="L11" i="3" s="1"/>
  <c r="B40" i="12" s="1"/>
  <c r="L17" i="9"/>
  <c r="L16" i="9"/>
  <c r="J10" i="9"/>
  <c r="L10" i="9" s="1"/>
  <c r="J9" i="9"/>
  <c r="L9" i="9" s="1"/>
  <c r="J8" i="9"/>
  <c r="L8" i="9" s="1"/>
  <c r="J7" i="9"/>
  <c r="L7" i="9" s="1"/>
  <c r="J6" i="9"/>
  <c r="J5" i="9"/>
  <c r="J4" i="9"/>
  <c r="J3" i="9"/>
  <c r="L3" i="9" s="1"/>
  <c r="L18" i="8"/>
  <c r="L19" i="8"/>
  <c r="L20" i="8"/>
  <c r="L21" i="8"/>
  <c r="L22" i="8"/>
  <c r="J7" i="5"/>
  <c r="L7" i="5" s="1"/>
  <c r="J33" i="3"/>
  <c r="L33" i="3" s="1"/>
  <c r="J28" i="3"/>
  <c r="L28" i="3" s="1"/>
  <c r="J27" i="3"/>
  <c r="L27" i="3" s="1"/>
  <c r="J34" i="3"/>
  <c r="L34" i="3" s="1"/>
  <c r="C50" i="12" s="1"/>
  <c r="J32" i="3"/>
  <c r="L32" i="3" s="1"/>
  <c r="J23" i="3"/>
  <c r="L23" i="3" s="1"/>
  <c r="J41" i="3"/>
  <c r="L41" i="3" s="1"/>
  <c r="J36" i="3"/>
  <c r="L36" i="3" s="1"/>
  <c r="J37" i="3"/>
  <c r="L37" i="3" s="1"/>
  <c r="C56" i="12" s="1"/>
  <c r="J39" i="3"/>
  <c r="L39" i="3" s="1"/>
  <c r="J31" i="3"/>
  <c r="L31" i="3" s="1"/>
  <c r="C42" i="12" s="1"/>
  <c r="J24" i="3"/>
  <c r="L24" i="3" s="1"/>
  <c r="J26" i="3"/>
  <c r="L26" i="3" s="1"/>
  <c r="J40" i="3"/>
  <c r="L40" i="3" s="1"/>
  <c r="J4" i="11"/>
  <c r="L4" i="11" s="1"/>
  <c r="J5" i="11"/>
  <c r="L5" i="11" s="1"/>
  <c r="J6" i="11"/>
  <c r="L6" i="11" s="1"/>
  <c r="J7" i="11"/>
  <c r="L7" i="11" s="1"/>
  <c r="J8" i="11"/>
  <c r="L8" i="11" s="1"/>
  <c r="J9" i="11"/>
  <c r="L9" i="11" s="1"/>
  <c r="J10" i="11"/>
  <c r="L10" i="11" s="1"/>
  <c r="J11" i="11"/>
  <c r="L11" i="11" s="1"/>
  <c r="J12" i="11"/>
  <c r="L12" i="11" s="1"/>
  <c r="J13" i="11"/>
  <c r="L13" i="11" s="1"/>
  <c r="L14" i="11"/>
  <c r="L18" i="11"/>
  <c r="L19" i="11"/>
  <c r="L20" i="11"/>
  <c r="L22" i="11"/>
  <c r="L24" i="11"/>
  <c r="C14" i="12" s="1"/>
  <c r="D14" i="12" s="1"/>
  <c r="J3" i="11"/>
  <c r="L3" i="11" s="1"/>
  <c r="J10" i="8"/>
  <c r="L10" i="8" s="1"/>
  <c r="J18" i="7"/>
  <c r="L18" i="7" s="1"/>
  <c r="J28" i="7"/>
  <c r="L28" i="7" s="1"/>
  <c r="J20" i="7"/>
  <c r="L20" i="7" s="1"/>
  <c r="J6" i="7"/>
  <c r="L6" i="7" s="1"/>
  <c r="B20" i="12" s="1"/>
  <c r="D20" i="12" s="1"/>
  <c r="J14" i="7"/>
  <c r="L14" i="7" s="1"/>
  <c r="J5" i="6"/>
  <c r="L5" i="6" s="1"/>
  <c r="J3" i="6"/>
  <c r="L3" i="6" s="1"/>
  <c r="J2" i="5"/>
  <c r="L2" i="5" s="1"/>
  <c r="J3" i="5"/>
  <c r="L3" i="5" s="1"/>
  <c r="J9" i="4"/>
  <c r="L9" i="4" s="1"/>
  <c r="J17" i="4"/>
  <c r="L17" i="4" s="1"/>
  <c r="J14" i="3"/>
  <c r="L14" i="3" s="1"/>
  <c r="J10" i="3"/>
  <c r="L10" i="3" s="1"/>
  <c r="J2" i="3"/>
  <c r="L2" i="3" s="1"/>
  <c r="J7" i="6"/>
  <c r="L7" i="6" s="1"/>
  <c r="J8" i="6"/>
  <c r="L8" i="6" s="1"/>
  <c r="J2" i="6"/>
  <c r="L2" i="6" s="1"/>
  <c r="J6" i="6"/>
  <c r="L6" i="6" s="1"/>
  <c r="J9" i="6"/>
  <c r="L9" i="6" s="1"/>
  <c r="J13" i="6"/>
  <c r="L13" i="6" s="1"/>
  <c r="J15" i="6"/>
  <c r="L15" i="6" s="1"/>
  <c r="J14" i="6"/>
  <c r="L14" i="6" s="1"/>
  <c r="J10" i="6"/>
  <c r="L10" i="6" s="1"/>
  <c r="J12" i="6"/>
  <c r="L12" i="6" s="1"/>
  <c r="J11" i="6"/>
  <c r="L11" i="6" s="1"/>
  <c r="J2" i="11"/>
  <c r="L2" i="11" s="1"/>
  <c r="L12" i="8"/>
  <c r="J4" i="8"/>
  <c r="L4" i="8" s="1"/>
  <c r="J8" i="8"/>
  <c r="L8" i="8" s="1"/>
  <c r="J2" i="8"/>
  <c r="L2" i="8" s="1"/>
  <c r="J9" i="3"/>
  <c r="L9" i="3" s="1"/>
  <c r="L17" i="8"/>
  <c r="H3" i="10"/>
  <c r="J3" i="10" s="1"/>
  <c r="H4" i="10"/>
  <c r="J4" i="10" s="1"/>
  <c r="H5" i="10"/>
  <c r="J5" i="10" s="1"/>
  <c r="H6" i="10"/>
  <c r="J6" i="10" s="1"/>
  <c r="H7" i="10"/>
  <c r="J7" i="10" s="1"/>
  <c r="H2" i="10"/>
  <c r="J2" i="10" s="1"/>
  <c r="L6" i="9"/>
  <c r="L5" i="9"/>
  <c r="L4" i="9"/>
  <c r="L14" i="8"/>
  <c r="J7" i="8"/>
  <c r="L7" i="8" s="1"/>
  <c r="J6" i="8"/>
  <c r="L6" i="8" s="1"/>
  <c r="J5" i="8"/>
  <c r="L5" i="8" s="1"/>
  <c r="J3" i="8"/>
  <c r="L3" i="8" s="1"/>
  <c r="J23" i="7"/>
  <c r="L23" i="7" s="1"/>
  <c r="J13" i="7"/>
  <c r="L13" i="7" s="1"/>
  <c r="J3" i="7"/>
  <c r="L3" i="7" s="1"/>
  <c r="J17" i="7"/>
  <c r="L17" i="7" s="1"/>
  <c r="J10" i="7"/>
  <c r="L10" i="7" s="1"/>
  <c r="J11" i="7"/>
  <c r="L11" i="7" s="1"/>
  <c r="J2" i="7"/>
  <c r="L2" i="7" s="1"/>
  <c r="J4" i="6"/>
  <c r="L4" i="6" s="1"/>
  <c r="J5" i="5"/>
  <c r="L5" i="5" s="1"/>
  <c r="J4" i="5"/>
  <c r="L4" i="5" s="1"/>
  <c r="J32" i="4"/>
  <c r="L32" i="4" s="1"/>
  <c r="J22" i="4"/>
  <c r="L22" i="4" s="1"/>
  <c r="J21" i="4"/>
  <c r="L21" i="4" s="1"/>
  <c r="J11" i="4"/>
  <c r="L11" i="4" s="1"/>
  <c r="J12" i="4"/>
  <c r="L12" i="4" s="1"/>
  <c r="J3" i="4"/>
  <c r="L3" i="4" s="1"/>
  <c r="J29" i="3"/>
  <c r="L29" i="3" s="1"/>
  <c r="J5" i="3"/>
  <c r="L5" i="3" s="1"/>
  <c r="J13" i="3"/>
  <c r="L13" i="3" s="1"/>
  <c r="J20" i="3"/>
  <c r="L20" i="3" s="1"/>
  <c r="J19" i="3"/>
  <c r="L19" i="3" s="1"/>
  <c r="J17" i="3"/>
  <c r="L17" i="3" s="1"/>
  <c r="B56" i="12" s="1"/>
  <c r="J16" i="3"/>
  <c r="L16" i="3" s="1"/>
  <c r="J21" i="3"/>
  <c r="L21" i="3" s="1"/>
  <c r="J3" i="3"/>
  <c r="L3" i="3" s="1"/>
  <c r="J12" i="3"/>
  <c r="L12" i="3" s="1"/>
  <c r="J7" i="3"/>
  <c r="L7" i="3" s="1"/>
  <c r="J8" i="3"/>
  <c r="L8" i="3" s="1"/>
  <c r="C51" i="12" l="1"/>
  <c r="B59" i="12"/>
  <c r="B16" i="12"/>
  <c r="C53" i="12"/>
  <c r="B28" i="12"/>
  <c r="C58" i="12"/>
  <c r="B43" i="12"/>
  <c r="C61" i="12"/>
  <c r="B29" i="12"/>
  <c r="C43" i="12"/>
  <c r="C40" i="12"/>
  <c r="D40" i="12" s="1"/>
  <c r="B48" i="12"/>
  <c r="C21" i="12"/>
  <c r="B21" i="12"/>
  <c r="C36" i="12"/>
  <c r="B42" i="12"/>
  <c r="D42" i="12" s="1"/>
  <c r="B19" i="12"/>
  <c r="B58" i="12"/>
  <c r="C27" i="12"/>
  <c r="B51" i="12"/>
  <c r="D51" i="12" s="1"/>
  <c r="B39" i="12"/>
  <c r="B27" i="12"/>
  <c r="C16" i="12"/>
  <c r="D16" i="12" s="1"/>
  <c r="D38" i="12"/>
  <c r="C39" i="12"/>
  <c r="B50" i="12"/>
  <c r="D50" i="12" s="1"/>
  <c r="B53" i="12"/>
  <c r="D53" i="12" s="1"/>
  <c r="C28" i="12"/>
  <c r="D28" i="12" s="1"/>
  <c r="C2" i="12"/>
  <c r="C5" i="12"/>
  <c r="B61" i="12"/>
  <c r="C48" i="12"/>
  <c r="D48" i="12" s="1"/>
  <c r="C29" i="12"/>
  <c r="D29" i="12" s="1"/>
  <c r="B36" i="12"/>
  <c r="C59" i="12"/>
  <c r="D59" i="12" s="1"/>
  <c r="C19" i="12"/>
  <c r="B2" i="12"/>
  <c r="B5" i="12"/>
  <c r="D56" i="12"/>
  <c r="D36" i="12" l="1"/>
  <c r="D61" i="12"/>
  <c r="D58" i="12"/>
  <c r="D43" i="12"/>
  <c r="D21" i="12"/>
  <c r="D19" i="12"/>
  <c r="D27" i="12"/>
  <c r="D39" i="12"/>
  <c r="D2" i="12"/>
  <c r="D5" i="12"/>
</calcChain>
</file>

<file path=xl/sharedStrings.xml><?xml version="1.0" encoding="utf-8"?>
<sst xmlns="http://schemas.openxmlformats.org/spreadsheetml/2006/main" count="977" uniqueCount="143">
  <si>
    <t>Items</t>
  </si>
  <si>
    <t>Import Location</t>
  </si>
  <si>
    <t>1700 Ton</t>
  </si>
  <si>
    <t>1700 hh</t>
  </si>
  <si>
    <t>1700 quarter</t>
  </si>
  <si>
    <t>Total Pounds</t>
  </si>
  <si>
    <t>Total Tons</t>
  </si>
  <si>
    <t>London</t>
  </si>
  <si>
    <t>Indigo</t>
  </si>
  <si>
    <t>Cotton</t>
  </si>
  <si>
    <t>Elephants Teeth</t>
  </si>
  <si>
    <t>Out Ports</t>
  </si>
  <si>
    <t>Bees Wax</t>
  </si>
  <si>
    <t>Succads</t>
  </si>
  <si>
    <t>Raisins</t>
  </si>
  <si>
    <t>Chocolate</t>
  </si>
  <si>
    <t>Dry Ginger</t>
  </si>
  <si>
    <t>Molasses</t>
  </si>
  <si>
    <t>Brown Sugar</t>
  </si>
  <si>
    <t>White Sugar</t>
  </si>
  <si>
    <t>Oranges</t>
  </si>
  <si>
    <t>Tobacco</t>
  </si>
  <si>
    <t>Lime Juice</t>
  </si>
  <si>
    <t>Rum</t>
  </si>
  <si>
    <t>Tortoise Shell</t>
  </si>
  <si>
    <t>Shruff</t>
  </si>
  <si>
    <t>Elephant Teeth</t>
  </si>
  <si>
    <t>Annatto</t>
  </si>
  <si>
    <t>Rice</t>
  </si>
  <si>
    <t>Sugar Loaf</t>
  </si>
  <si>
    <t>Madera Wine</t>
  </si>
  <si>
    <t>Loaf Sugar</t>
  </si>
  <si>
    <t>Bayberry Wax</t>
  </si>
  <si>
    <t>Mirtle Wax</t>
  </si>
  <si>
    <t>Cocoa Past</t>
  </si>
  <si>
    <t>Pimento</t>
  </si>
  <si>
    <t>Total Not Sugar</t>
  </si>
  <si>
    <t>Total Sugar</t>
  </si>
  <si>
    <t>1700 Stone/lb/oz?</t>
  </si>
  <si>
    <t>Sope Berries</t>
  </si>
  <si>
    <t>Lemon Juice</t>
  </si>
  <si>
    <t>Lignum Vitae</t>
  </si>
  <si>
    <t>Snuff</t>
  </si>
  <si>
    <t>Straw Hats</t>
  </si>
  <si>
    <t>Cocoa Nuts</t>
  </si>
  <si>
    <t>Tea</t>
  </si>
  <si>
    <t>231 Bags</t>
  </si>
  <si>
    <t>539 Gal</t>
  </si>
  <si>
    <t>140 Gal</t>
  </si>
  <si>
    <t>Muscavado Sugar</t>
  </si>
  <si>
    <t>hh</t>
  </si>
  <si>
    <t>quarter</t>
  </si>
  <si>
    <t>310 Gal</t>
  </si>
  <si>
    <t>1100#</t>
  </si>
  <si>
    <t>1196 bags</t>
  </si>
  <si>
    <t>3839 gal</t>
  </si>
  <si>
    <t>693#</t>
  </si>
  <si>
    <t>1573 gal</t>
  </si>
  <si>
    <t>558 Bags</t>
  </si>
  <si>
    <t>11414 gal</t>
  </si>
  <si>
    <t>17 Bags</t>
  </si>
  <si>
    <t>451 gal</t>
  </si>
  <si>
    <t>81 Bags</t>
  </si>
  <si>
    <t>945 Gals</t>
  </si>
  <si>
    <t>Hopps</t>
  </si>
  <si>
    <t>16 Gal</t>
  </si>
  <si>
    <t>7 gal</t>
  </si>
  <si>
    <t>455.5 gal</t>
  </si>
  <si>
    <t>221 gal</t>
  </si>
  <si>
    <t>93 gal</t>
  </si>
  <si>
    <t>3041 Gal</t>
  </si>
  <si>
    <t>91 gal</t>
  </si>
  <si>
    <t>133 gal</t>
  </si>
  <si>
    <t>159 gal</t>
  </si>
  <si>
    <t>Item</t>
  </si>
  <si>
    <t>Total London</t>
  </si>
  <si>
    <t>Total Outports</t>
  </si>
  <si>
    <t>Total</t>
  </si>
  <si>
    <t>Cascarilla</t>
  </si>
  <si>
    <t>Sasparilla</t>
  </si>
  <si>
    <t>3 pipes 1hh 43.5 gal</t>
  </si>
  <si>
    <t>COMMODITY_NAME</t>
  </si>
  <si>
    <t>YEAR</t>
  </si>
  <si>
    <t>TO_LOCATION</t>
  </si>
  <si>
    <t>Antigua</t>
  </si>
  <si>
    <t>WEIGHT</t>
  </si>
  <si>
    <t>FROM_LOCATION</t>
  </si>
  <si>
    <t>Barbados</t>
  </si>
  <si>
    <t>Bermuda</t>
  </si>
  <si>
    <t>Carolina</t>
  </si>
  <si>
    <t>Jamaica</t>
  </si>
  <si>
    <t>Mountserat</t>
  </si>
  <si>
    <t>Nevis</t>
  </si>
  <si>
    <t>ton</t>
  </si>
  <si>
    <t>lb</t>
  </si>
  <si>
    <t>NewEngland</t>
  </si>
  <si>
    <t>Almonds, Bitter</t>
  </si>
  <si>
    <t>Almonds, Sweet</t>
  </si>
  <si>
    <t>Aloes Epatica</t>
  </si>
  <si>
    <t>Anniseeds</t>
  </si>
  <si>
    <t>Archelia</t>
  </si>
  <si>
    <t>Bacon</t>
  </si>
  <si>
    <t>Balsam Artificial</t>
  </si>
  <si>
    <t>Balsam Natural</t>
  </si>
  <si>
    <t>Barbados Tarr</t>
  </si>
  <si>
    <t>Barrel Staves</t>
  </si>
  <si>
    <t>Bay Berries</t>
  </si>
  <si>
    <t>Brimstone</t>
  </si>
  <si>
    <t>Cassia Fistula</t>
  </si>
  <si>
    <t>Cocheneal</t>
  </si>
  <si>
    <t>Cocoa Paste</t>
  </si>
  <si>
    <t>Coffee</t>
  </si>
  <si>
    <t>Cortex Eletheria</t>
  </si>
  <si>
    <t>Cortex Peru</t>
  </si>
  <si>
    <t>Cortex Winteranus</t>
  </si>
  <si>
    <t>Green Ginger</t>
  </si>
  <si>
    <t>Guinea Grains</t>
  </si>
  <si>
    <t>Gum Guiaci</t>
  </si>
  <si>
    <t>Gum Seneca</t>
  </si>
  <si>
    <t>Hemp</t>
  </si>
  <si>
    <t>Hypococania</t>
  </si>
  <si>
    <t>Jollop</t>
  </si>
  <si>
    <t>Orchelia</t>
  </si>
  <si>
    <t>Pickles</t>
  </si>
  <si>
    <t>Pig Iron</t>
  </si>
  <si>
    <t>Port</t>
  </si>
  <si>
    <t>Smalts</t>
  </si>
  <si>
    <t>Tamarinds</t>
  </si>
  <si>
    <t>Turpentine</t>
  </si>
  <si>
    <t>Wood, Braziletto</t>
  </si>
  <si>
    <t>Wood, Cocus</t>
  </si>
  <si>
    <t>Wood, Cocoa</t>
  </si>
  <si>
    <t>Wood, Ebony</t>
  </si>
  <si>
    <t>Wood, Fustick</t>
  </si>
  <si>
    <t>Wood, Iron</t>
  </si>
  <si>
    <t>Wood, Logwood</t>
  </si>
  <si>
    <t>Wood, Mahogany</t>
  </si>
  <si>
    <t>Wood, Nicaragua</t>
  </si>
  <si>
    <t>Wood, Pidgeonwood</t>
  </si>
  <si>
    <t>Wood, Redwood</t>
  </si>
  <si>
    <t>Wood, Rosewood</t>
  </si>
  <si>
    <t>Wood, Sweetwood</t>
  </si>
  <si>
    <t>Currants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</si>
</sst>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4CDD-4401-44DD-966D-8888E4D235D4}">
  <dimension ref="A1:D76"/>
  <sheetViews>
    <sheetView tabSelected="1" topLeftCell="A43" workbookViewId="0">
      <selection activeCell="D75" sqref="D75"/>
    </sheetView>
  </sheetViews>
  <sheetFormatPr defaultRowHeight="15" x14ac:dyDescent="0.25"/>
  <cols>
    <col min="1" max="1" width="21.5703125" customWidth="1"/>
    <col min="2" max="2" width="19.28515625" customWidth="1"/>
    <col min="3" max="3" width="17.7109375" customWidth="1"/>
    <col min="4" max="4" width="16.42578125" customWidth="1"/>
  </cols>
  <sheetData>
    <row r="1" spans="1:4" x14ac:dyDescent="0.25">
      <c r="A1" t="s">
        <v>74</v>
      </c>
      <c r="B1" t="s">
        <v>75</v>
      </c>
      <c r="C1" t="s">
        <v>76</v>
      </c>
      <c r="D1" t="s">
        <v>77</v>
      </c>
    </row>
    <row r="2" spans="1:4" ht="14.45" customHeight="1" x14ac:dyDescent="0.25">
      <c r="A2" t="s">
        <v>96</v>
      </c>
      <c r="B2" s="2">
        <f>SUMIFS(Antigua!$L:$L, Antigua!$B:$B, $A2, Antigua!$D:$D, "London") + SUMIFS(Barbados!$L:$L, Barbados!$B:$B, $A2, Barbados!$D:$D, "London") + SUMIFS(Bermuda!$L:$L, Bermuda!$B:$B, $A2, Bermuda!$D:$D, "London") + SUMIFS(Carolina!$L:$L, Carolina!$B:$B, $A2, Carolina!$D:$D, "London") + SUMIFS(Jamaica!$L:$L, Jamaica!$B:$B, $A2, Jamaica!$D:$D, "London") + SUMIFS(Mountserat!$L:$L, Mountserat!$B:$B, $A2, Mountserat!$D:$D, "London") + SUMIFS(Nevis!$L:$L, Nevis!$B:$B, $A2, Nevis!$D:$D, "London") + SUMIFS(NewEngland!$L:$L, NewEngland!$B:$B, $A2, NewEngland!$D:$D, "London")</f>
        <v>0</v>
      </c>
      <c r="C2">
        <f>SUMIFS(Antigua!$L:$L, Antigua!$B:$B, $A2, Antigua!$D:$D, "Out Ports") + SUMIFS(Barbados!$L:$L, Barbados!$B:$B, $A2, Barbados!$D:$D, "Out Ports") + SUMIFS(Bermuda!$L:$L, Bermuda!$B:$B, $A2, Bermuda!$D:$D, "Out Ports") + SUMIFS(Carolina!$L:$L, Carolina!$B:$B, $A2, Carolina!$D:$D, "Out Ports") + SUMIFS(Jamaica!$L:$L, Jamaica!$B:$B, $A2, Jamaica!$D:$D, "Out Ports") + SUMIFS(Mountserat!$L:$L, Mountserat!$B:$B, $A2, Mountserat!$D:$D, "Out Ports") + SUMIFS(Nevis!$L:$L, Nevis!$B:$B, $A2, Nevis!$D:$D, "Out Ports") + SUMIFS(NewEngland!$L:$L, NewEngland!$B:$B, $A2, NewEngland!$D:$D, "Out Ports")</f>
        <v>0</v>
      </c>
      <c r="D2">
        <f>ROUND((B2+C2),2)</f>
        <v>0</v>
      </c>
    </row>
    <row r="3" spans="1:4" x14ac:dyDescent="0.25">
      <c r="A3" t="s">
        <v>97</v>
      </c>
      <c r="B3" s="2">
        <f>SUMIFS(Antigua!$L:$L, Antigua!$B:$B, $A3, Antigua!$D:$D, "London") + SUMIFS(Barbados!$L:$L, Barbados!$B:$B, $A3, Barbados!$D:$D, "London") + SUMIFS(Bermuda!$L:$L, Bermuda!$B:$B, $A3, Bermuda!$D:$D, "London") + SUMIFS(Carolina!$L:$L, Carolina!$B:$B, $A3, Carolina!$D:$D, "London") + SUMIFS(Jamaica!$L:$L, Jamaica!$B:$B, $A3, Jamaica!$D:$D, "London") + SUMIFS(Mountserat!$L:$L, Mountserat!$B:$B, $A3, Mountserat!$D:$D, "London") + SUMIFS(Nevis!$L:$L, Nevis!$B:$B, $A3, Nevis!$D:$D, "London") + SUMIFS(NewEngland!$L:$L, NewEngland!$B:$B, $A3, NewEngland!$D:$D, "London")</f>
        <v>0</v>
      </c>
      <c r="C3">
        <f>SUMIFS(Antigua!$L:$L, Antigua!$B:$B, $A3, Antigua!$D:$D, "Out Ports") + SUMIFS(Barbados!$L:$L, Barbados!$B:$B, $A3, Barbados!$D:$D, "Out Ports") + SUMIFS(Bermuda!$L:$L, Bermuda!$B:$B, $A3, Bermuda!$D:$D, "Out Ports") + SUMIFS(Carolina!$L:$L, Carolina!$B:$B, $A3, Carolina!$D:$D, "Out Ports") + SUMIFS(Jamaica!$L:$L, Jamaica!$B:$B, $A3, Jamaica!$D:$D, "Out Ports") + SUMIFS(Mountserat!$L:$L, Mountserat!$B:$B, $A3, Mountserat!$D:$D, "Out Ports") + SUMIFS(Nevis!$L:$L, Nevis!$B:$B, $A3, Nevis!$D:$D, "Out Ports") + SUMIFS(NewEngland!$L:$L, NewEngland!$B:$B, $A3, NewEngland!$D:$D, "Out Ports")</f>
        <v>0</v>
      </c>
      <c r="D3">
        <f t="shared" ref="D3:D66" si="0">ROUND((B3+C3),2)</f>
        <v>0</v>
      </c>
    </row>
    <row r="4" spans="1:4" x14ac:dyDescent="0.25">
      <c r="A4" t="s">
        <v>98</v>
      </c>
      <c r="B4" s="2">
        <f>SUMIFS(Antigua!$L:$L, Antigua!$B:$B, $A4, Antigua!$D:$D, "London") + SUMIFS(Barbados!$L:$L, Barbados!$B:$B, $A4, Barbados!$D:$D, "London") + SUMIFS(Bermuda!$L:$L, Bermuda!$B:$B, $A4, Bermuda!$D:$D, "London") + SUMIFS(Carolina!$L:$L, Carolina!$B:$B, $A4, Carolina!$D:$D, "London") + SUMIFS(Jamaica!$L:$L, Jamaica!$B:$B, $A4, Jamaica!$D:$D, "London") + SUMIFS(Mountserat!$L:$L, Mountserat!$B:$B, $A4, Mountserat!$D:$D, "London") + SUMIFS(Nevis!$L:$L, Nevis!$B:$B, $A4, Nevis!$D:$D, "London") + SUMIFS(NewEngland!$L:$L, NewEngland!$B:$B, $A4, NewEngland!$D:$D, "London")</f>
        <v>2.2799107142857142</v>
      </c>
      <c r="C4">
        <f>SUMIFS(Antigua!$L:$L, Antigua!$B:$B, $A4, Antigua!$D:$D, "Out Ports") + SUMIFS(Barbados!$L:$L, Barbados!$B:$B, $A4, Barbados!$D:$D, "Out Ports") + SUMIFS(Bermuda!$L:$L, Bermuda!$B:$B, $A4, Bermuda!$D:$D, "Out Ports") + SUMIFS(Carolina!$L:$L, Carolina!$B:$B, $A4, Carolina!$D:$D, "Out Ports") + SUMIFS(Jamaica!$L:$L, Jamaica!$B:$B, $A4, Jamaica!$D:$D, "Out Ports") + SUMIFS(Mountserat!$L:$L, Mountserat!$B:$B, $A4, Mountserat!$D:$D, "Out Ports") + SUMIFS(Nevis!$L:$L, Nevis!$B:$B, $A4, Nevis!$D:$D, "Out Ports") + SUMIFS(NewEngland!$L:$L, NewEngland!$B:$B, $A4, NewEngland!$D:$D, "Out Ports")</f>
        <v>0</v>
      </c>
      <c r="D4">
        <f t="shared" si="0"/>
        <v>2.2799999999999998</v>
      </c>
    </row>
    <row r="5" spans="1:4" x14ac:dyDescent="0.25">
      <c r="A5" t="s">
        <v>27</v>
      </c>
      <c r="B5" s="2">
        <f>SUMIFS(Antigua!$L:$L, Antigua!$B:$B, $A5, Antigua!$D:$D, "London") + SUMIFS(Barbados!$L:$L, Barbados!$B:$B, $A5, Barbados!$D:$D, "London") + SUMIFS(Bermuda!$L:$L, Bermuda!$B:$B, $A5, Bermuda!$D:$D, "London") + SUMIFS(Carolina!$L:$L, Carolina!$B:$B, $A5, Carolina!$D:$D, "London") + SUMIFS(Jamaica!$L:$L, Jamaica!$B:$B, $A5, Jamaica!$D:$D, "London") + SUMIFS(Mountserat!$L:$L, Mountserat!$B:$B, $A5, Mountserat!$D:$D, "London") + SUMIFS(Nevis!$L:$L, Nevis!$B:$B, $A5, Nevis!$D:$D, "London") + SUMIFS(NewEngland!$L:$L, NewEngland!$B:$B, $A5, NewEngland!$D:$D, "London")</f>
        <v>7.2281250000000004</v>
      </c>
      <c r="C5">
        <f>SUMIFS(Antigua!$L:$L, Antigua!$B:$B, $A5, Antigua!$D:$D, "Out Ports") + SUMIFS(Barbados!$L:$L, Barbados!$B:$B, $A5, Barbados!$D:$D, "Out Ports") + SUMIFS(Bermuda!$L:$L, Bermuda!$B:$B, $A5, Bermuda!$D:$D, "Out Ports") + SUMIFS(Carolina!$L:$L, Carolina!$B:$B, $A5, Carolina!$D:$D, "Out Ports") + SUMIFS(Jamaica!$L:$L, Jamaica!$B:$B, $A5, Jamaica!$D:$D, "Out Ports") + SUMIFS(Mountserat!$L:$L, Mountserat!$B:$B, $A5, Mountserat!$D:$D, "Out Ports") + SUMIFS(Nevis!$L:$L, Nevis!$B:$B, $A5, Nevis!$D:$D, "Out Ports") + SUMIFS(NewEngland!$L:$L, NewEngland!$B:$B, $A5, NewEngland!$D:$D, "Out Ports")</f>
        <v>0.11383928571428571</v>
      </c>
      <c r="D5">
        <f t="shared" si="0"/>
        <v>7.34</v>
      </c>
    </row>
    <row r="6" spans="1:4" x14ac:dyDescent="0.25">
      <c r="A6" t="s">
        <v>99</v>
      </c>
      <c r="B6" s="2">
        <f>SUMIFS(Antigua!$L:$L, Antigua!$B:$B, $A6, Antigua!$D:$D, "London") + SUMIFS(Barbados!$L:$L, Barbados!$B:$B, $A6, Barbados!$D:$D, "London") + SUMIFS(Bermuda!$L:$L, Bermuda!$B:$B, $A6, Bermuda!$D:$D, "London") + SUMIFS(Carolina!$L:$L, Carolina!$B:$B, $A6, Carolina!$D:$D, "London") + SUMIFS(Jamaica!$L:$L, Jamaica!$B:$B, $A6, Jamaica!$D:$D, "London") + SUMIFS(Mountserat!$L:$L, Mountserat!$B:$B, $A6, Mountserat!$D:$D, "London") + SUMIFS(Nevis!$L:$L, Nevis!$B:$B, $A6, Nevis!$D:$D, "London") + SUMIFS(NewEngland!$L:$L, NewEngland!$B:$B, $A6, NewEngland!$D:$D, "London")</f>
        <v>0</v>
      </c>
      <c r="C6">
        <f>SUMIFS(Antigua!$L:$L, Antigua!$B:$B, $A6, Antigua!$D:$D, "Out Ports") + SUMIFS(Barbados!$L:$L, Barbados!$B:$B, $A6, Barbados!$D:$D, "Out Ports") + SUMIFS(Bermuda!$L:$L, Bermuda!$B:$B, $A6, Bermuda!$D:$D, "Out Ports") + SUMIFS(Carolina!$L:$L, Carolina!$B:$B, $A6, Carolina!$D:$D, "Out Ports") + SUMIFS(Jamaica!$L:$L, Jamaica!$B:$B, $A6, Jamaica!$D:$D, "Out Ports") + SUMIFS(Mountserat!$L:$L, Mountserat!$B:$B, $A6, Mountserat!$D:$D, "Out Ports") + SUMIFS(Nevis!$L:$L, Nevis!$B:$B, $A6, Nevis!$D:$D, "Out Ports") + SUMIFS(NewEngland!$L:$L, NewEngland!$B:$B, $A6, NewEngland!$D:$D, "Out Ports")</f>
        <v>0</v>
      </c>
      <c r="D6">
        <f t="shared" si="0"/>
        <v>0</v>
      </c>
    </row>
    <row r="7" spans="1:4" x14ac:dyDescent="0.25">
      <c r="A7" t="s">
        <v>100</v>
      </c>
      <c r="B7" s="2">
        <f>SUMIFS(Antigua!$L:$L, Antigua!$B:$B, $A7, Antigua!$D:$D, "London") + SUMIFS(Barbados!$L:$L, Barbados!$B:$B, $A7, Barbados!$D:$D, "London") + SUMIFS(Bermuda!$L:$L, Bermuda!$B:$B, $A7, Bermuda!$D:$D, "London") + SUMIFS(Carolina!$L:$L, Carolina!$B:$B, $A7, Carolina!$D:$D, "London") + SUMIFS(Jamaica!$L:$L, Jamaica!$B:$B, $A7, Jamaica!$D:$D, "London") + SUMIFS(Mountserat!$L:$L, Mountserat!$B:$B, $A7, Mountserat!$D:$D, "London") + SUMIFS(Nevis!$L:$L, Nevis!$B:$B, $A7, Nevis!$D:$D, "London") + SUMIFS(NewEngland!$L:$L, NewEngland!$B:$B, $A7, NewEngland!$D:$D, "London")</f>
        <v>0</v>
      </c>
      <c r="C7">
        <f>SUMIFS(Antigua!$L:$L, Antigua!$B:$B, $A7, Antigua!$D:$D, "Out Ports") + SUMIFS(Barbados!$L:$L, Barbados!$B:$B, $A7, Barbados!$D:$D, "Out Ports") + SUMIFS(Bermuda!$L:$L, Bermuda!$B:$B, $A7, Bermuda!$D:$D, "Out Ports") + SUMIFS(Carolina!$L:$L, Carolina!$B:$B, $A7, Carolina!$D:$D, "Out Ports") + SUMIFS(Jamaica!$L:$L, Jamaica!$B:$B, $A7, Jamaica!$D:$D, "Out Ports") + SUMIFS(Mountserat!$L:$L, Mountserat!$B:$B, $A7, Mountserat!$D:$D, "Out Ports") + SUMIFS(Nevis!$L:$L, Nevis!$B:$B, $A7, Nevis!$D:$D, "Out Ports") + SUMIFS(NewEngland!$L:$L, NewEngland!$B:$B, $A7, NewEngland!$D:$D, "Out Ports")</f>
        <v>0</v>
      </c>
      <c r="D7">
        <f t="shared" si="0"/>
        <v>0</v>
      </c>
    </row>
    <row r="8" spans="1:4" x14ac:dyDescent="0.25">
      <c r="A8" t="s">
        <v>101</v>
      </c>
      <c r="B8" s="2">
        <f>SUMIFS(Antigua!$L:$L, Antigua!$B:$B, $A8, Antigua!$D:$D, "London") + SUMIFS(Barbados!$L:$L, Barbados!$B:$B, $A8, Barbados!$D:$D, "London") + SUMIFS(Bermuda!$L:$L, Bermuda!$B:$B, $A8, Bermuda!$D:$D, "London") + SUMIFS(Carolina!$L:$L, Carolina!$B:$B, $A8, Carolina!$D:$D, "London") + SUMIFS(Jamaica!$L:$L, Jamaica!$B:$B, $A8, Jamaica!$D:$D, "London") + SUMIFS(Mountserat!$L:$L, Mountserat!$B:$B, $A8, Mountserat!$D:$D, "London") + SUMIFS(Nevis!$L:$L, Nevis!$B:$B, $A8, Nevis!$D:$D, "London") + SUMIFS(NewEngland!$L:$L, NewEngland!$B:$B, $A8, NewEngland!$D:$D, "London")</f>
        <v>0</v>
      </c>
      <c r="C8">
        <f>SUMIFS(Antigua!$L:$L, Antigua!$B:$B, $A8, Antigua!$D:$D, "Out Ports") + SUMIFS(Barbados!$L:$L, Barbados!$B:$B, $A8, Barbados!$D:$D, "Out Ports") + SUMIFS(Bermuda!$L:$L, Bermuda!$B:$B, $A8, Bermuda!$D:$D, "Out Ports") + SUMIFS(Carolina!$L:$L, Carolina!$B:$B, $A8, Carolina!$D:$D, "Out Ports") + SUMIFS(Jamaica!$L:$L, Jamaica!$B:$B, $A8, Jamaica!$D:$D, "Out Ports") + SUMIFS(Mountserat!$L:$L, Mountserat!$B:$B, $A8, Mountserat!$D:$D, "Out Ports") + SUMIFS(Nevis!$L:$L, Nevis!$B:$B, $A8, Nevis!$D:$D, "Out Ports") + SUMIFS(NewEngland!$L:$L, NewEngland!$B:$B, $A8, NewEngland!$D:$D, "Out Ports")</f>
        <v>0</v>
      </c>
      <c r="D8">
        <f t="shared" si="0"/>
        <v>0</v>
      </c>
    </row>
    <row r="9" spans="1:4" x14ac:dyDescent="0.25">
      <c r="A9" t="s">
        <v>102</v>
      </c>
      <c r="B9" s="2">
        <f>SUMIFS(Antigua!$L:$L, Antigua!$B:$B, $A9, Antigua!$D:$D, "London") + SUMIFS(Barbados!$L:$L, Barbados!$B:$B, $A9, Barbados!$D:$D, "London") + SUMIFS(Bermuda!$L:$L, Bermuda!$B:$B, $A9, Bermuda!$D:$D, "London") + SUMIFS(Carolina!$L:$L, Carolina!$B:$B, $A9, Carolina!$D:$D, "London") + SUMIFS(Jamaica!$L:$L, Jamaica!$B:$B, $A9, Jamaica!$D:$D, "London") + SUMIFS(Mountserat!$L:$L, Mountserat!$B:$B, $A9, Mountserat!$D:$D, "London") + SUMIFS(Nevis!$L:$L, Nevis!$B:$B, $A9, Nevis!$D:$D, "London") + SUMIFS(NewEngland!$L:$L, NewEngland!$B:$B, $A9, NewEngland!$D:$D, "London")</f>
        <v>0</v>
      </c>
      <c r="C9">
        <f>SUMIFS(Antigua!$L:$L, Antigua!$B:$B, $A9, Antigua!$D:$D, "Out Ports") + SUMIFS(Barbados!$L:$L, Barbados!$B:$B, $A9, Barbados!$D:$D, "Out Ports") + SUMIFS(Bermuda!$L:$L, Bermuda!$B:$B, $A9, Bermuda!$D:$D, "Out Ports") + SUMIFS(Carolina!$L:$L, Carolina!$B:$B, $A9, Carolina!$D:$D, "Out Ports") + SUMIFS(Jamaica!$L:$L, Jamaica!$B:$B, $A9, Jamaica!$D:$D, "Out Ports") + SUMIFS(Mountserat!$L:$L, Mountserat!$B:$B, $A9, Mountserat!$D:$D, "Out Ports") + SUMIFS(Nevis!$L:$L, Nevis!$B:$B, $A9, Nevis!$D:$D, "Out Ports") + SUMIFS(NewEngland!$L:$L, NewEngland!$B:$B, $A9, NewEngland!$D:$D, "Out Ports")</f>
        <v>0</v>
      </c>
      <c r="D9">
        <f t="shared" si="0"/>
        <v>0</v>
      </c>
    </row>
    <row r="10" spans="1:4" x14ac:dyDescent="0.25">
      <c r="A10" t="s">
        <v>103</v>
      </c>
      <c r="B10" s="2">
        <f>SUMIFS(Antigua!$L:$L, Antigua!$B:$B, $A10, Antigua!$D:$D, "London") + SUMIFS(Barbados!$L:$L, Barbados!$B:$B, $A10, Barbados!$D:$D, "London") + SUMIFS(Bermuda!$L:$L, Bermuda!$B:$B, $A10, Bermuda!$D:$D, "London") + SUMIFS(Carolina!$L:$L, Carolina!$B:$B, $A10, Carolina!$D:$D, "London") + SUMIFS(Jamaica!$L:$L, Jamaica!$B:$B, $A10, Jamaica!$D:$D, "London") + SUMIFS(Mountserat!$L:$L, Mountserat!$B:$B, $A10, Mountserat!$D:$D, "London") + SUMIFS(Nevis!$L:$L, Nevis!$B:$B, $A10, Nevis!$D:$D, "London") + SUMIFS(NewEngland!$L:$L, NewEngland!$B:$B, $A10, NewEngland!$D:$D, "London")</f>
        <v>0</v>
      </c>
      <c r="C10">
        <f>SUMIFS(Antigua!$L:$L, Antigua!$B:$B, $A10, Antigua!$D:$D, "Out Ports") + SUMIFS(Barbados!$L:$L, Barbados!$B:$B, $A10, Barbados!$D:$D, "Out Ports") + SUMIFS(Bermuda!$L:$L, Bermuda!$B:$B, $A10, Bermuda!$D:$D, "Out Ports") + SUMIFS(Carolina!$L:$L, Carolina!$B:$B, $A10, Carolina!$D:$D, "Out Ports") + SUMIFS(Jamaica!$L:$L, Jamaica!$B:$B, $A10, Jamaica!$D:$D, "Out Ports") + SUMIFS(Mountserat!$L:$L, Mountserat!$B:$B, $A10, Mountserat!$D:$D, "Out Ports") + SUMIFS(Nevis!$L:$L, Nevis!$B:$B, $A10, Nevis!$D:$D, "Out Ports") + SUMIFS(NewEngland!$L:$L, NewEngland!$B:$B, $A10, NewEngland!$D:$D, "Out Ports")</f>
        <v>0</v>
      </c>
      <c r="D10">
        <f t="shared" si="0"/>
        <v>0</v>
      </c>
    </row>
    <row r="11" spans="1:4" x14ac:dyDescent="0.25">
      <c r="A11" t="s">
        <v>104</v>
      </c>
      <c r="B11" s="2">
        <f>SUMIFS(Antigua!$L:$L, Antigua!$B:$B, $A11, Antigua!$D:$D, "London") + SUMIFS(Barbados!$L:$L, Barbados!$B:$B, $A11, Barbados!$D:$D, "London") + SUMIFS(Bermuda!$L:$L, Bermuda!$B:$B, $A11, Bermuda!$D:$D, "London") + SUMIFS(Carolina!$L:$L, Carolina!$B:$B, $A11, Carolina!$D:$D, "London") + SUMIFS(Jamaica!$L:$L, Jamaica!$B:$B, $A11, Jamaica!$D:$D, "London") + SUMIFS(Mountserat!$L:$L, Mountserat!$B:$B, $A11, Mountserat!$D:$D, "London") + SUMIFS(Nevis!$L:$L, Nevis!$B:$B, $A11, Nevis!$D:$D, "London") + SUMIFS(NewEngland!$L:$L, NewEngland!$B:$B, $A11, NewEngland!$D:$D, "London")</f>
        <v>0</v>
      </c>
      <c r="C11">
        <f>SUMIFS(Antigua!$L:$L, Antigua!$B:$B, $A11, Antigua!$D:$D, "Out Ports") + SUMIFS(Barbados!$L:$L, Barbados!$B:$B, $A11, Barbados!$D:$D, "Out Ports") + SUMIFS(Bermuda!$L:$L, Bermuda!$B:$B, $A11, Bermuda!$D:$D, "Out Ports") + SUMIFS(Carolina!$L:$L, Carolina!$B:$B, $A11, Carolina!$D:$D, "Out Ports") + SUMIFS(Jamaica!$L:$L, Jamaica!$B:$B, $A11, Jamaica!$D:$D, "Out Ports") + SUMIFS(Mountserat!$L:$L, Mountserat!$B:$B, $A11, Mountserat!$D:$D, "Out Ports") + SUMIFS(Nevis!$L:$L, Nevis!$B:$B, $A11, Nevis!$D:$D, "Out Ports") + SUMIFS(NewEngland!$L:$L, NewEngland!$B:$B, $A11, NewEngland!$D:$D, "Out Ports")</f>
        <v>0</v>
      </c>
      <c r="D11">
        <f t="shared" si="0"/>
        <v>0</v>
      </c>
    </row>
    <row r="12" spans="1:4" x14ac:dyDescent="0.25">
      <c r="A12" t="s">
        <v>105</v>
      </c>
      <c r="B12" s="2">
        <f>SUMIFS(Antigua!$L:$L, Antigua!$B:$B, $A12, Antigua!$D:$D, "London") + SUMIFS(Barbados!$L:$L, Barbados!$B:$B, $A12, Barbados!$D:$D, "London") + SUMIFS(Bermuda!$L:$L, Bermuda!$B:$B, $A12, Bermuda!$D:$D, "London") + SUMIFS(Carolina!$L:$L, Carolina!$B:$B, $A12, Carolina!$D:$D, "London") + SUMIFS(Jamaica!$L:$L, Jamaica!$B:$B, $A12, Jamaica!$D:$D, "London") + SUMIFS(Mountserat!$L:$L, Mountserat!$B:$B, $A12, Mountserat!$D:$D, "London") + SUMIFS(Nevis!$L:$L, Nevis!$B:$B, $A12, Nevis!$D:$D, "London") + SUMIFS(NewEngland!$L:$L, NewEngland!$B:$B, $A12, NewEngland!$D:$D, "London")</f>
        <v>0</v>
      </c>
      <c r="C12">
        <f>SUMIFS(Antigua!$L:$L, Antigua!$B:$B, $A12, Antigua!$D:$D, "Out Ports") + SUMIFS(Barbados!$L:$L, Barbados!$B:$B, $A12, Barbados!$D:$D, "Out Ports") + SUMIFS(Bermuda!$L:$L, Bermuda!$B:$B, $A12, Bermuda!$D:$D, "Out Ports") + SUMIFS(Carolina!$L:$L, Carolina!$B:$B, $A12, Carolina!$D:$D, "Out Ports") + SUMIFS(Jamaica!$L:$L, Jamaica!$B:$B, $A12, Jamaica!$D:$D, "Out Ports") + SUMIFS(Mountserat!$L:$L, Mountserat!$B:$B, $A12, Mountserat!$D:$D, "Out Ports") + SUMIFS(Nevis!$L:$L, Nevis!$B:$B, $A12, Nevis!$D:$D, "Out Ports") + SUMIFS(NewEngland!$L:$L, NewEngland!$B:$B, $A12, NewEngland!$D:$D, "Out Ports")</f>
        <v>0</v>
      </c>
      <c r="D12">
        <f t="shared" si="0"/>
        <v>0</v>
      </c>
    </row>
    <row r="13" spans="1:4" x14ac:dyDescent="0.25">
      <c r="A13" t="s">
        <v>106</v>
      </c>
      <c r="B13" s="2">
        <f>SUMIFS(Antigua!$L:$L, Antigua!$B:$B, $A13, Antigua!$D:$D, "London") + SUMIFS(Barbados!$L:$L, Barbados!$B:$B, $A13, Barbados!$D:$D, "London") + SUMIFS(Bermuda!$L:$L, Bermuda!$B:$B, $A13, Bermuda!$D:$D, "London") + SUMIFS(Carolina!$L:$L, Carolina!$B:$B, $A13, Carolina!$D:$D, "London") + SUMIFS(Jamaica!$L:$L, Jamaica!$B:$B, $A13, Jamaica!$D:$D, "London") + SUMIFS(Mountserat!$L:$L, Mountserat!$B:$B, $A13, Mountserat!$D:$D, "London") + SUMIFS(Nevis!$L:$L, Nevis!$B:$B, $A13, Nevis!$D:$D, "London") + SUMIFS(NewEngland!$L:$L, NewEngland!$B:$B, $A13, NewEngland!$D:$D, "London")</f>
        <v>0</v>
      </c>
      <c r="C13">
        <f>SUMIFS(Antigua!$L:$L, Antigua!$B:$B, $A13, Antigua!$D:$D, "Out Ports") + SUMIFS(Barbados!$L:$L, Barbados!$B:$B, $A13, Barbados!$D:$D, "Out Ports") + SUMIFS(Bermuda!$L:$L, Bermuda!$B:$B, $A13, Bermuda!$D:$D, "Out Ports") + SUMIFS(Carolina!$L:$L, Carolina!$B:$B, $A13, Carolina!$D:$D, "Out Ports") + SUMIFS(Jamaica!$L:$L, Jamaica!$B:$B, $A13, Jamaica!$D:$D, "Out Ports") + SUMIFS(Mountserat!$L:$L, Mountserat!$B:$B, $A13, Mountserat!$D:$D, "Out Ports") + SUMIFS(Nevis!$L:$L, Nevis!$B:$B, $A13, Nevis!$D:$D, "Out Ports") + SUMIFS(NewEngland!$L:$L, NewEngland!$B:$B, $A13, NewEngland!$D:$D, "Out Ports")</f>
        <v>0</v>
      </c>
      <c r="D13">
        <f t="shared" si="0"/>
        <v>0</v>
      </c>
    </row>
    <row r="14" spans="1:4" x14ac:dyDescent="0.25">
      <c r="A14" t="s">
        <v>12</v>
      </c>
      <c r="B14" s="2">
        <f>SUMIFS(Antigua!$L:$L, Antigua!$B:$B, $A14, Antigua!$D:$D, "London") + SUMIFS(Barbados!$L:$L, Barbados!$B:$B, $A14, Barbados!$D:$D, "London") + SUMIFS(Bermuda!$L:$L, Bermuda!$B:$B, $A14, Bermuda!$D:$D, "London") + SUMIFS(Carolina!$L:$L, Carolina!$B:$B, $A14, Carolina!$D:$D, "London") + SUMIFS(Jamaica!$L:$L, Jamaica!$B:$B, $A14, Jamaica!$D:$D, "London") + SUMIFS(Mountserat!$L:$L, Mountserat!$B:$B, $A14, Mountserat!$D:$D, "London") + SUMIFS(Nevis!$L:$L, Nevis!$B:$B, $A14, Nevis!$D:$D, "London") + SUMIFS(NewEngland!$L:$L, NewEngland!$B:$B, $A14, NewEngland!$D:$D, "London")</f>
        <v>0.42499999999999999</v>
      </c>
      <c r="C14">
        <f>SUMIFS(Antigua!$L:$L, Antigua!$B:$B, $A14, Antigua!$D:$D, "Out Ports") + SUMIFS(Barbados!$L:$L, Barbados!$B:$B, $A14, Barbados!$D:$D, "Out Ports") + SUMIFS(Bermuda!$L:$L, Bermuda!$B:$B, $A14, Bermuda!$D:$D, "Out Ports") + SUMIFS(Carolina!$L:$L, Carolina!$B:$B, $A14, Carolina!$D:$D, "Out Ports") + SUMIFS(Jamaica!$L:$L, Jamaica!$B:$B, $A14, Jamaica!$D:$D, "Out Ports") + SUMIFS(Mountserat!$L:$L, Mountserat!$B:$B, $A14, Mountserat!$D:$D, "Out Ports") + SUMIFS(Nevis!$L:$L, Nevis!$B:$B, $A14, Nevis!$D:$D, "Out Ports") + SUMIFS(NewEngland!$L:$L, NewEngland!$B:$B, $A14, NewEngland!$D:$D, "Out Ports")</f>
        <v>0</v>
      </c>
      <c r="D14">
        <f t="shared" si="0"/>
        <v>0.43</v>
      </c>
    </row>
    <row r="15" spans="1:4" x14ac:dyDescent="0.25">
      <c r="A15" t="s">
        <v>107</v>
      </c>
      <c r="B15" s="2">
        <f>SUMIFS(Antigua!$L:$L, Antigua!$B:$B, $A15, Antigua!$D:$D, "London") + SUMIFS(Barbados!$L:$L, Barbados!$B:$B, $A15, Barbados!$D:$D, "London") + SUMIFS(Bermuda!$L:$L, Bermuda!$B:$B, $A15, Bermuda!$D:$D, "London") + SUMIFS(Carolina!$L:$L, Carolina!$B:$B, $A15, Carolina!$D:$D, "London") + SUMIFS(Jamaica!$L:$L, Jamaica!$B:$B, $A15, Jamaica!$D:$D, "London") + SUMIFS(Mountserat!$L:$L, Mountserat!$B:$B, $A15, Mountserat!$D:$D, "London") + SUMIFS(Nevis!$L:$L, Nevis!$B:$B, $A15, Nevis!$D:$D, "London") + SUMIFS(NewEngland!$L:$L, NewEngland!$B:$B, $A15, NewEngland!$D:$D, "London")</f>
        <v>0</v>
      </c>
      <c r="C15">
        <f>SUMIFS(Antigua!$L:$L, Antigua!$B:$B, $A15, Antigua!$D:$D, "Out Ports") + SUMIFS(Barbados!$L:$L, Barbados!$B:$B, $A15, Barbados!$D:$D, "Out Ports") + SUMIFS(Bermuda!$L:$L, Bermuda!$B:$B, $A15, Bermuda!$D:$D, "Out Ports") + SUMIFS(Carolina!$L:$L, Carolina!$B:$B, $A15, Carolina!$D:$D, "Out Ports") + SUMIFS(Jamaica!$L:$L, Jamaica!$B:$B, $A15, Jamaica!$D:$D, "Out Ports") + SUMIFS(Mountserat!$L:$L, Mountserat!$B:$B, $A15, Mountserat!$D:$D, "Out Ports") + SUMIFS(Nevis!$L:$L, Nevis!$B:$B, $A15, Nevis!$D:$D, "Out Ports") + SUMIFS(NewEngland!$L:$L, NewEngland!$B:$B, $A15, NewEngland!$D:$D, "Out Ports")</f>
        <v>0</v>
      </c>
      <c r="D15">
        <f t="shared" si="0"/>
        <v>0</v>
      </c>
    </row>
    <row r="16" spans="1:4" x14ac:dyDescent="0.25">
      <c r="A16" t="s">
        <v>18</v>
      </c>
      <c r="B16" s="2">
        <f>SUMIFS(Antigua!$L:$L, Antigua!$B:$B, $A16, Antigua!$D:$D, "London") + SUMIFS(Barbados!$L:$L, Barbados!$B:$B, $A16, Barbados!$D:$D, "London") + SUMIFS(Bermuda!$L:$L, Bermuda!$B:$B, $A16, Bermuda!$D:$D, "London") + SUMIFS(Carolina!$L:$L, Carolina!$B:$B, $A16, Carolina!$D:$D, "London") + SUMIFS(Jamaica!$L:$L, Jamaica!$B:$B, $A16, Jamaica!$D:$D, "London") + SUMIFS(Mountserat!$L:$L, Mountserat!$B:$B, $A16, Mountserat!$D:$D, "London") + SUMIFS(Nevis!$L:$L, Nevis!$B:$B, $A16, Nevis!$D:$D, "London") + SUMIFS(NewEngland!$L:$L, NewEngland!$B:$B, $A16, NewEngland!$D:$D, "London")</f>
        <v>5437.2428571428572</v>
      </c>
      <c r="C16">
        <f>SUMIFS(Antigua!$L:$L, Antigua!$B:$B, $A16, Antigua!$D:$D, "Out Ports") + SUMIFS(Barbados!$L:$L, Barbados!$B:$B, $A16, Barbados!$D:$D, "Out Ports") + SUMIFS(Bermuda!$L:$L, Bermuda!$B:$B, $A16, Bermuda!$D:$D, "Out Ports") + SUMIFS(Carolina!$L:$L, Carolina!$B:$B, $A16, Carolina!$D:$D, "Out Ports") + SUMIFS(Jamaica!$L:$L, Jamaica!$B:$B, $A16, Jamaica!$D:$D, "Out Ports") + SUMIFS(Mountserat!$L:$L, Mountserat!$B:$B, $A16, Mountserat!$D:$D, "Out Ports") + SUMIFS(Nevis!$L:$L, Nevis!$B:$B, $A16, Nevis!$D:$D, "Out Ports") + SUMIFS(NewEngland!$L:$L, NewEngland!$B:$B, $A16, NewEngland!$D:$D, "Out Ports")</f>
        <v>3866.5616071428576</v>
      </c>
      <c r="D16">
        <f t="shared" si="0"/>
        <v>9303.7999999999993</v>
      </c>
    </row>
    <row r="17" spans="1:4" x14ac:dyDescent="0.25">
      <c r="A17" t="s">
        <v>78</v>
      </c>
      <c r="B17" s="2">
        <f>SUMIFS(Antigua!$L:$L, Antigua!$B:$B, $A17, Antigua!$D:$D, "London") + SUMIFS(Barbados!$L:$L, Barbados!$B:$B, $A17, Barbados!$D:$D, "London") + SUMIFS(Bermuda!$L:$L, Bermuda!$B:$B, $A17, Bermuda!$D:$D, "London") + SUMIFS(Carolina!$L:$L, Carolina!$B:$B, $A17, Carolina!$D:$D, "London") + SUMIFS(Jamaica!$L:$L, Jamaica!$B:$B, $A17, Jamaica!$D:$D, "London") + SUMIFS(Mountserat!$L:$L, Mountserat!$B:$B, $A17, Mountserat!$D:$D, "London") + SUMIFS(Nevis!$L:$L, Nevis!$B:$B, $A17, Nevis!$D:$D, "London") + SUMIFS(NewEngland!$L:$L, NewEngland!$B:$B, $A17, NewEngland!$D:$D, "London")</f>
        <v>0</v>
      </c>
      <c r="C17">
        <f>SUMIFS(Antigua!$L:$L, Antigua!$B:$B, $A17, Antigua!$D:$D, "Out Ports") + SUMIFS(Barbados!$L:$L, Barbados!$B:$B, $A17, Barbados!$D:$D, "Out Ports") + SUMIFS(Bermuda!$L:$L, Bermuda!$B:$B, $A17, Bermuda!$D:$D, "Out Ports") + SUMIFS(Carolina!$L:$L, Carolina!$B:$B, $A17, Carolina!$D:$D, "Out Ports") + SUMIFS(Jamaica!$L:$L, Jamaica!$B:$B, $A17, Jamaica!$D:$D, "Out Ports") + SUMIFS(Mountserat!$L:$L, Mountserat!$B:$B, $A17, Mountserat!$D:$D, "Out Ports") + SUMIFS(Nevis!$L:$L, Nevis!$B:$B, $A17, Nevis!$D:$D, "Out Ports") + SUMIFS(NewEngland!$L:$L, NewEngland!$B:$B, $A17, NewEngland!$D:$D, "Out Ports")</f>
        <v>0</v>
      </c>
      <c r="D17">
        <f t="shared" si="0"/>
        <v>0</v>
      </c>
    </row>
    <row r="18" spans="1:4" x14ac:dyDescent="0.25">
      <c r="A18" t="s">
        <v>108</v>
      </c>
      <c r="B18" s="2">
        <f>SUMIFS(Antigua!$L:$L, Antigua!$B:$B, $A18, Antigua!$D:$D, "London") + SUMIFS(Barbados!$L:$L, Barbados!$B:$B, $A18, Barbados!$D:$D, "London") + SUMIFS(Bermuda!$L:$L, Bermuda!$B:$B, $A18, Bermuda!$D:$D, "London") + SUMIFS(Carolina!$L:$L, Carolina!$B:$B, $A18, Carolina!$D:$D, "London") + SUMIFS(Jamaica!$L:$L, Jamaica!$B:$B, $A18, Jamaica!$D:$D, "London") + SUMIFS(Mountserat!$L:$L, Mountserat!$B:$B, $A18, Mountserat!$D:$D, "London") + SUMIFS(Nevis!$L:$L, Nevis!$B:$B, $A18, Nevis!$D:$D, "London") + SUMIFS(NewEngland!$L:$L, NewEngland!$B:$B, $A18, NewEngland!$D:$D, "London")</f>
        <v>3.2276785714285712</v>
      </c>
      <c r="C18">
        <f>SUMIFS(Antigua!$L:$L, Antigua!$B:$B, $A18, Antigua!$D:$D, "Out Ports") + SUMIFS(Barbados!$L:$L, Barbados!$B:$B, $A18, Barbados!$D:$D, "Out Ports") + SUMIFS(Bermuda!$L:$L, Bermuda!$B:$B, $A18, Bermuda!$D:$D, "Out Ports") + SUMIFS(Carolina!$L:$L, Carolina!$B:$B, $A18, Carolina!$D:$D, "Out Ports") + SUMIFS(Jamaica!$L:$L, Jamaica!$B:$B, $A18, Jamaica!$D:$D, "Out Ports") + SUMIFS(Mountserat!$L:$L, Mountserat!$B:$B, $A18, Mountserat!$D:$D, "Out Ports") + SUMIFS(Nevis!$L:$L, Nevis!$B:$B, $A18, Nevis!$D:$D, "Out Ports") + SUMIFS(NewEngland!$L:$L, NewEngland!$B:$B, $A18, NewEngland!$D:$D, "Out Ports")</f>
        <v>5.8035714285714288E-2</v>
      </c>
      <c r="D18">
        <f t="shared" si="0"/>
        <v>3.29</v>
      </c>
    </row>
    <row r="19" spans="1:4" x14ac:dyDescent="0.25">
      <c r="A19" t="s">
        <v>15</v>
      </c>
      <c r="B19" s="2">
        <f>SUMIFS(Antigua!$L:$L, Antigua!$B:$B, $A19, Antigua!$D:$D, "London") + SUMIFS(Barbados!$L:$L, Barbados!$B:$B, $A19, Barbados!$D:$D, "London") + SUMIFS(Bermuda!$L:$L, Bermuda!$B:$B, $A19, Bermuda!$D:$D, "London") + SUMIFS(Carolina!$L:$L, Carolina!$B:$B, $A19, Carolina!$D:$D, "London") + SUMIFS(Jamaica!$L:$L, Jamaica!$B:$B, $A19, Jamaica!$D:$D, "London") + SUMIFS(Mountserat!$L:$L, Mountserat!$B:$B, $A19, Mountserat!$D:$D, "London") + SUMIFS(Nevis!$L:$L, Nevis!$B:$B, $A19, Nevis!$D:$D, "London") + SUMIFS(NewEngland!$L:$L, NewEngland!$B:$B, $A19, NewEngland!$D:$D, "London")</f>
        <v>0.15580357142857143</v>
      </c>
      <c r="C19">
        <f>SUMIFS(Antigua!$L:$L, Antigua!$B:$B, $A19, Antigua!$D:$D, "Out Ports") + SUMIFS(Barbados!$L:$L, Barbados!$B:$B, $A19, Barbados!$D:$D, "Out Ports") + SUMIFS(Bermuda!$L:$L, Bermuda!$B:$B, $A19, Bermuda!$D:$D, "Out Ports") + SUMIFS(Carolina!$L:$L, Carolina!$B:$B, $A19, Carolina!$D:$D, "Out Ports") + SUMIFS(Jamaica!$L:$L, Jamaica!$B:$B, $A19, Jamaica!$D:$D, "Out Ports") + SUMIFS(Mountserat!$L:$L, Mountserat!$B:$B, $A19, Mountserat!$D:$D, "Out Ports") + SUMIFS(Nevis!$L:$L, Nevis!$B:$B, $A19, Nevis!$D:$D, "Out Ports") + SUMIFS(NewEngland!$L:$L, NewEngland!$B:$B, $A19, NewEngland!$D:$D, "Out Ports")</f>
        <v>7.0200892857142858E-2</v>
      </c>
      <c r="D19">
        <f t="shared" si="0"/>
        <v>0.23</v>
      </c>
    </row>
    <row r="20" spans="1:4" x14ac:dyDescent="0.25">
      <c r="A20" t="s">
        <v>109</v>
      </c>
      <c r="B20" s="2">
        <f>SUMIFS(Antigua!$L:$L, Antigua!$B:$B, $A20, Antigua!$D:$D, "London") + SUMIFS(Barbados!$L:$L, Barbados!$B:$B, $A20, Barbados!$D:$D, "London") + SUMIFS(Bermuda!$L:$L, Bermuda!$B:$B, $A20, Bermuda!$D:$D, "London") + SUMIFS(Carolina!$L:$L, Carolina!$B:$B, $A20, Carolina!$D:$D, "London") + SUMIFS(Jamaica!$L:$L, Jamaica!$B:$B, $A20, Jamaica!$D:$D, "London") + SUMIFS(Mountserat!$L:$L, Mountserat!$B:$B, $A20, Mountserat!$D:$D, "London") + SUMIFS(Nevis!$L:$L, Nevis!$B:$B, $A20, Nevis!$D:$D, "London") + SUMIFS(NewEngland!$L:$L, NewEngland!$B:$B, $A20, NewEngland!$D:$D, "London")</f>
        <v>0.79062500000000002</v>
      </c>
      <c r="C20">
        <f>SUMIFS(Antigua!$L:$L, Antigua!$B:$B, $A20, Antigua!$D:$D, "Out Ports") + SUMIFS(Barbados!$L:$L, Barbados!$B:$B, $A20, Barbados!$D:$D, "Out Ports") + SUMIFS(Bermuda!$L:$L, Bermuda!$B:$B, $A20, Bermuda!$D:$D, "Out Ports") + SUMIFS(Carolina!$L:$L, Carolina!$B:$B, $A20, Carolina!$D:$D, "Out Ports") + SUMIFS(Jamaica!$L:$L, Jamaica!$B:$B, $A20, Jamaica!$D:$D, "Out Ports") + SUMIFS(Mountserat!$L:$L, Mountserat!$B:$B, $A20, Mountserat!$D:$D, "Out Ports") + SUMIFS(Nevis!$L:$L, Nevis!$B:$B, $A20, Nevis!$D:$D, "Out Ports") + SUMIFS(NewEngland!$L:$L, NewEngland!$B:$B, $A20, NewEngland!$D:$D, "Out Ports")</f>
        <v>0</v>
      </c>
      <c r="D20">
        <f t="shared" si="0"/>
        <v>0.79</v>
      </c>
    </row>
    <row r="21" spans="1:4" x14ac:dyDescent="0.25">
      <c r="A21" t="s">
        <v>44</v>
      </c>
      <c r="B21" s="2">
        <f>SUMIFS(Antigua!$L:$L, Antigua!$B:$B, $A21, Antigua!$D:$D, "London") + SUMIFS(Barbados!$L:$L, Barbados!$B:$B, $A21, Barbados!$D:$D, "London") + SUMIFS(Bermuda!$L:$L, Bermuda!$B:$B, $A21, Bermuda!$D:$D, "London") + SUMIFS(Carolina!$L:$L, Carolina!$B:$B, $A21, Carolina!$D:$D, "London") + SUMIFS(Jamaica!$L:$L, Jamaica!$B:$B, $A21, Jamaica!$D:$D, "London") + SUMIFS(Mountserat!$L:$L, Mountserat!$B:$B, $A21, Mountserat!$D:$D, "London") + SUMIFS(Nevis!$L:$L, Nevis!$B:$B, $A21, Nevis!$D:$D, "London") + SUMIFS(NewEngland!$L:$L, NewEngland!$B:$B, $A21, NewEngland!$D:$D, "London")</f>
        <v>4.899107142857142</v>
      </c>
      <c r="C21">
        <f>SUMIFS(Antigua!$L:$L, Antigua!$B:$B, $A21, Antigua!$D:$D, "Out Ports") + SUMIFS(Barbados!$L:$L, Barbados!$B:$B, $A21, Barbados!$D:$D, "Out Ports") + SUMIFS(Bermuda!$L:$L, Bermuda!$B:$B, $A21, Bermuda!$D:$D, "Out Ports") + SUMIFS(Carolina!$L:$L, Carolina!$B:$B, $A21, Carolina!$D:$D, "Out Ports") + SUMIFS(Jamaica!$L:$L, Jamaica!$B:$B, $A21, Jamaica!$D:$D, "Out Ports") + SUMIFS(Mountserat!$L:$L, Mountserat!$B:$B, $A21, Mountserat!$D:$D, "Out Ports") + SUMIFS(Nevis!$L:$L, Nevis!$B:$B, $A21, Nevis!$D:$D, "Out Ports") + SUMIFS(NewEngland!$L:$L, NewEngland!$B:$B, $A21, NewEngland!$D:$D, "Out Ports")</f>
        <v>0.78616071428571432</v>
      </c>
      <c r="D21">
        <f t="shared" si="0"/>
        <v>5.69</v>
      </c>
    </row>
    <row r="22" spans="1:4" x14ac:dyDescent="0.25">
      <c r="A22" t="s">
        <v>110</v>
      </c>
      <c r="B22" s="2">
        <f>SUMIFS(Antigua!$L:$L, Antigua!$B:$B, $A22, Antigua!$D:$D, "London") + SUMIFS(Barbados!$L:$L, Barbados!$B:$B, $A22, Barbados!$D:$D, "London") + SUMIFS(Bermuda!$L:$L, Bermuda!$B:$B, $A22, Bermuda!$D:$D, "London") + SUMIFS(Carolina!$L:$L, Carolina!$B:$B, $A22, Carolina!$D:$D, "London") + SUMIFS(Jamaica!$L:$L, Jamaica!$B:$B, $A22, Jamaica!$D:$D, "London") + SUMIFS(Mountserat!$L:$L, Mountserat!$B:$B, $A22, Mountserat!$D:$D, "London") + SUMIFS(Nevis!$L:$L, Nevis!$B:$B, $A22, Nevis!$D:$D, "London") + SUMIFS(NewEngland!$L:$L, NewEngland!$B:$B, $A22, NewEngland!$D:$D,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SUMIFS(Carolina!$L:$L, Carolina!$B:$B, $A22, Carolina!$D:$D, "Out Ports") + SUMIFS(Jamaica!$L:$L, Jamaica!$B:$B, $A22, Jamaica!$D:$D, "Out Ports") + SUMIFS(Mountserat!$L:$L, Mountserat!$B:$B, $A22, Mountserat!$D:$D, "Out Ports") + SUMIFS(Nevis!$L:$L, Nevis!$B:$B, $A22, Nevis!$D:$D, "Out Ports") + SUMIFS(NewEngland!$L:$L, NewEngland!$B:$B, $A22, NewEngland!$D:$D, "Out Ports")</f>
        <v>0</v>
      </c>
      <c r="D22">
        <f t="shared" si="0"/>
        <v>0</v>
      </c>
    </row>
    <row r="23" spans="1:4" x14ac:dyDescent="0.25">
      <c r="A23" t="s">
        <v>111</v>
      </c>
      <c r="B23" s="2">
        <f>SUMIFS(Antigua!$L:$L, Antigua!$B:$B, $A23, Antigua!$D:$D, "London") + SUMIFS(Barbados!$L:$L, Barbados!$B:$B, $A23, Barbados!$D:$D, "London") + SUMIFS(Bermuda!$L:$L, Bermuda!$B:$B, $A23, Bermuda!$D:$D, "London") + SUMIFS(Carolina!$L:$L, Carolina!$B:$B, $A23, Carolina!$D:$D, "London") + SUMIFS(Jamaica!$L:$L, Jamaica!$B:$B, $A23, Jamaica!$D:$D, "London") + SUMIFS(Mountserat!$L:$L, Mountserat!$B:$B, $A23, Mountserat!$D:$D, "London") + SUMIFS(Nevis!$L:$L, Nevis!$B:$B, $A23, Nevis!$D:$D, "London") + SUMIFS(NewEngland!$L:$L, NewEngland!$B:$B, $A23, NewEngland!$D:$D,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SUMIFS(Carolina!$L:$L, Carolina!$B:$B, $A23, Carolina!$D:$D, "Out Ports") + SUMIFS(Jamaica!$L:$L, Jamaica!$B:$B, $A23, Jamaica!$D:$D, "Out Ports") + SUMIFS(Mountserat!$L:$L, Mountserat!$B:$B, $A23, Mountserat!$D:$D, "Out Ports") + SUMIFS(Nevis!$L:$L, Nevis!$B:$B, $A23, Nevis!$D:$D, "Out Ports") + SUMIFS(NewEngland!$L:$L, NewEngland!$B:$B, $A23, NewEngland!$D:$D, "Out Ports")</f>
        <v>0</v>
      </c>
      <c r="D23">
        <f t="shared" si="0"/>
        <v>0</v>
      </c>
    </row>
    <row r="24" spans="1:4" x14ac:dyDescent="0.25">
      <c r="A24" t="s">
        <v>112</v>
      </c>
      <c r="B24" s="2">
        <f>SUMIFS(Antigua!$L:$L, Antigua!$B:$B, $A24, Antigua!$D:$D, "London") + SUMIFS(Barbados!$L:$L, Barbados!$B:$B, $A24, Barbados!$D:$D, "London") + SUMIFS(Bermuda!$L:$L, Bermuda!$B:$B, $A24, Bermuda!$D:$D, "London") + SUMIFS(Carolina!$L:$L, Carolina!$B:$B, $A24, Carolina!$D:$D, "London") + SUMIFS(Jamaica!$L:$L, Jamaica!$B:$B, $A24, Jamaica!$D:$D, "London") + SUMIFS(Mountserat!$L:$L, Mountserat!$B:$B, $A24, Mountserat!$D:$D, "London") + SUMIFS(Nevis!$L:$L, Nevis!$B:$B, $A24, Nevis!$D:$D, "London") + SUMIFS(NewEngland!$L:$L, NewEngland!$B:$B, $A24, NewEngland!$D:$D,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SUMIFS(Carolina!$L:$L, Carolina!$B:$B, $A24, Carolina!$D:$D, "Out Ports") + SUMIFS(Jamaica!$L:$L, Jamaica!$B:$B, $A24, Jamaica!$D:$D, "Out Ports") + SUMIFS(Mountserat!$L:$L, Mountserat!$B:$B, $A24, Mountserat!$D:$D, "Out Ports") + SUMIFS(Nevis!$L:$L, Nevis!$B:$B, $A24, Nevis!$D:$D, "Out Ports") + SUMIFS(NewEngland!$L:$L, NewEngland!$B:$B, $A24, NewEngland!$D:$D, "Out Ports")</f>
        <v>0</v>
      </c>
      <c r="D24">
        <f t="shared" si="0"/>
        <v>0</v>
      </c>
    </row>
    <row r="25" spans="1:4" x14ac:dyDescent="0.25">
      <c r="A25" t="s">
        <v>113</v>
      </c>
      <c r="B25" s="2">
        <f>SUMIFS(Antigua!$L:$L, Antigua!$B:$B, $A25, Antigua!$D:$D, "London") + SUMIFS(Barbados!$L:$L, Barbados!$B:$B, $A25, Barbados!$D:$D, "London") + SUMIFS(Bermuda!$L:$L, Bermuda!$B:$B, $A25, Bermuda!$D:$D, "London") + SUMIFS(Carolina!$L:$L, Carolina!$B:$B, $A25, Carolina!$D:$D, "London") + SUMIFS(Jamaica!$L:$L, Jamaica!$B:$B, $A25, Jamaica!$D:$D, "London") + SUMIFS(Mountserat!$L:$L, Mountserat!$B:$B, $A25, Mountserat!$D:$D, "London") + SUMIFS(Nevis!$L:$L, Nevis!$B:$B, $A25, Nevis!$D:$D, "London") + SUMIFS(NewEngland!$L:$L, NewEngland!$B:$B, $A25, NewEngland!$D:$D, "London")</f>
        <v>0</v>
      </c>
      <c r="C25">
        <f>SUMIFS(Antigua!$L:$L, Antigua!$B:$B, $A25, Antigua!$D:$D, "Out Ports") + SUMIFS(Barbados!$L:$L, Barbados!$B:$B, $A25, Barbados!$D:$D, "Out Ports") + SUMIFS(Bermuda!$L:$L, Bermuda!$B:$B, $A25, Bermuda!$D:$D, "Out Ports") + SUMIFS(Carolina!$L:$L, Carolina!$B:$B, $A25, Carolina!$D:$D, "Out Ports") + SUMIFS(Jamaica!$L:$L, Jamaica!$B:$B, $A25, Jamaica!$D:$D, "Out Ports") + SUMIFS(Mountserat!$L:$L, Mountserat!$B:$B, $A25, Mountserat!$D:$D, "Out Ports") + SUMIFS(Nevis!$L:$L, Nevis!$B:$B, $A25, Nevis!$D:$D, "Out Ports") + SUMIFS(NewEngland!$L:$L, NewEngland!$B:$B, $A25, NewEngland!$D:$D, "Out Ports")</f>
        <v>0</v>
      </c>
      <c r="D25">
        <f t="shared" si="0"/>
        <v>0</v>
      </c>
    </row>
    <row r="26" spans="1:4" x14ac:dyDescent="0.25">
      <c r="A26" t="s">
        <v>114</v>
      </c>
      <c r="B26" s="2">
        <f>SUMIFS(Antigua!$L:$L, Antigua!$B:$B, $A26, Antigua!$D:$D, "London") + SUMIFS(Barbados!$L:$L, Barbados!$B:$B, $A26, Barbados!$D:$D, "London") + SUMIFS(Bermuda!$L:$L, Bermuda!$B:$B, $A26, Bermuda!$D:$D, "London") + SUMIFS(Carolina!$L:$L, Carolina!$B:$B, $A26, Carolina!$D:$D, "London") + SUMIFS(Jamaica!$L:$L, Jamaica!$B:$B, $A26, Jamaica!$D:$D, "London") + SUMIFS(Mountserat!$L:$L, Mountserat!$B:$B, $A26, Mountserat!$D:$D, "London") + SUMIFS(Nevis!$L:$L, Nevis!$B:$B, $A26, Nevis!$D:$D, "London") + SUMIFS(NewEngland!$L:$L, NewEngland!$B:$B, $A26, NewEngland!$D:$D, "London")</f>
        <v>2.4651785714285714</v>
      </c>
      <c r="C26">
        <f>SUMIFS(Antigua!$L:$L, Antigua!$B:$B, $A26, Antigua!$D:$D, "Out Ports") + SUMIFS(Barbados!$L:$L, Barbados!$B:$B, $A26, Barbados!$D:$D, "Out Ports") + SUMIFS(Bermuda!$L:$L, Bermuda!$B:$B, $A26, Bermuda!$D:$D, "Out Ports") + SUMIFS(Carolina!$L:$L, Carolina!$B:$B, $A26, Carolina!$D:$D, "Out Ports") + SUMIFS(Jamaica!$L:$L, Jamaica!$B:$B, $A26, Jamaica!$D:$D, "Out Ports") + SUMIFS(Mountserat!$L:$L, Mountserat!$B:$B, $A26, Mountserat!$D:$D, "Out Ports") + SUMIFS(Nevis!$L:$L, Nevis!$B:$B, $A26, Nevis!$D:$D, "Out Ports") + SUMIFS(NewEngland!$L:$L, NewEngland!$B:$B, $A26, NewEngland!$D:$D, "Out Ports")</f>
        <v>3.6607142857142859E-2</v>
      </c>
      <c r="D26">
        <f t="shared" si="0"/>
        <v>2.5</v>
      </c>
    </row>
    <row r="27" spans="1:4" x14ac:dyDescent="0.25">
      <c r="A27" t="s">
        <v>9</v>
      </c>
      <c r="B27" s="2">
        <f>SUMIFS(Antigua!$L:$L, Antigua!$B:$B, $A27, Antigua!$D:$D, "London") + SUMIFS(Barbados!$L:$L, Barbados!$B:$B, $A27, Barbados!$D:$D, "London") + SUMIFS(Bermuda!$L:$L, Bermuda!$B:$B, $A27, Bermuda!$D:$D, "London") + SUMIFS(Carolina!$L:$L, Carolina!$B:$B, $A27, Carolina!$D:$D, "London") + SUMIFS(Jamaica!$L:$L, Jamaica!$B:$B, $A27, Jamaica!$D:$D, "London") + SUMIFS(Mountserat!$L:$L, Mountserat!$B:$B, $A27, Mountserat!$D:$D, "London") + SUMIFS(Nevis!$L:$L, Nevis!$B:$B, $A27, Nevis!$D:$D, "London") + SUMIFS(NewEngland!$L:$L, NewEngland!$B:$B, $A27, NewEngland!$D:$D, "London")</f>
        <v>185.98214285714286</v>
      </c>
      <c r="C27">
        <f>SUMIFS(Antigua!$L:$L, Antigua!$B:$B, $A27, Antigua!$D:$D, "Out Ports") + SUMIFS(Barbados!$L:$L, Barbados!$B:$B, $A27, Barbados!$D:$D, "Out Ports") + SUMIFS(Bermuda!$L:$L, Bermuda!$B:$B, $A27, Bermuda!$D:$D, "Out Ports") + SUMIFS(Carolina!$L:$L, Carolina!$B:$B, $A27, Carolina!$D:$D, "Out Ports") + SUMIFS(Jamaica!$L:$L, Jamaica!$B:$B, $A27, Jamaica!$D:$D, "Out Ports") + SUMIFS(Mountserat!$L:$L, Mountserat!$B:$B, $A27, Mountserat!$D:$D, "Out Ports") + SUMIFS(Nevis!$L:$L, Nevis!$B:$B, $A27, Nevis!$D:$D, "Out Ports") + SUMIFS(NewEngland!$L:$L, NewEngland!$B:$B, $A27, NewEngland!$D:$D, "Out Ports")</f>
        <v>78.435267857142861</v>
      </c>
      <c r="D27">
        <f t="shared" si="0"/>
        <v>264.42</v>
      </c>
    </row>
    <row r="28" spans="1:4" x14ac:dyDescent="0.25">
      <c r="A28" t="s">
        <v>16</v>
      </c>
      <c r="B28" s="2">
        <f>SUMIFS(Antigua!$L:$L, Antigua!$B:$B, $A28, Antigua!$D:$D, "London") + SUMIFS(Barbados!$L:$L, Barbados!$B:$B, $A28, Barbados!$D:$D, "London") + SUMIFS(Bermuda!$L:$L, Bermuda!$B:$B, $A28, Bermuda!$D:$D, "London") + SUMIFS(Carolina!$L:$L, Carolina!$B:$B, $A28, Carolina!$D:$D, "London") + SUMIFS(Jamaica!$L:$L, Jamaica!$B:$B, $A28, Jamaica!$D:$D, "London") + SUMIFS(Mountserat!$L:$L, Mountserat!$B:$B, $A28, Mountserat!$D:$D, "London") + SUMIFS(Nevis!$L:$L, Nevis!$B:$B, $A28, Nevis!$D:$D, "London") + SUMIFS(NewEngland!$L:$L, NewEngland!$B:$B, $A28, NewEngland!$D:$D, "London")</f>
        <v>332.16428571428571</v>
      </c>
      <c r="C28">
        <f>SUMIFS(Antigua!$L:$L, Antigua!$B:$B, $A28, Antigua!$D:$D, "Out Ports") + SUMIFS(Barbados!$L:$L, Barbados!$B:$B, $A28, Barbados!$D:$D, "Out Ports") + SUMIFS(Bermuda!$L:$L, Bermuda!$B:$B, $A28, Bermuda!$D:$D, "Out Ports") + SUMIFS(Carolina!$L:$L, Carolina!$B:$B, $A28, Carolina!$D:$D, "Out Ports") + SUMIFS(Jamaica!$L:$L, Jamaica!$B:$B, $A28, Jamaica!$D:$D, "Out Ports") + SUMIFS(Mountserat!$L:$L, Mountserat!$B:$B, $A28, Mountserat!$D:$D, "Out Ports") + SUMIFS(Nevis!$L:$L, Nevis!$B:$B, $A28, Nevis!$D:$D, "Out Ports") + SUMIFS(NewEngland!$L:$L, NewEngland!$B:$B, $A28, NewEngland!$D:$D, "Out Ports")</f>
        <v>30.381250000000001</v>
      </c>
      <c r="D28">
        <f t="shared" si="0"/>
        <v>362.55</v>
      </c>
    </row>
    <row r="29" spans="1:4" x14ac:dyDescent="0.25">
      <c r="A29" t="s">
        <v>26</v>
      </c>
      <c r="B29" s="2">
        <f>SUMIFS(Antigua!$L:$L, Antigua!$B:$B, $A29, Antigua!$D:$D, "London") + SUMIFS(Barbados!$L:$L, Barbados!$B:$B, $A29, Barbados!$D:$D, "London") + SUMIFS(Bermuda!$L:$L, Bermuda!$B:$B, $A29, Bermuda!$D:$D, "London") + SUMIFS(Carolina!$L:$L, Carolina!$B:$B, $A29, Carolina!$D:$D, "London") + SUMIFS(Jamaica!$L:$L, Jamaica!$B:$B, $A29, Jamaica!$D:$D, "London") + SUMIFS(Mountserat!$L:$L, Mountserat!$B:$B, $A29, Mountserat!$D:$D, "London") + SUMIFS(Nevis!$L:$L, Nevis!$B:$B, $A29, Nevis!$D:$D, "London") + SUMIFS(NewEngland!$L:$L, NewEngland!$B:$B, $A29, NewEngland!$D:$D, "London")</f>
        <v>17.720982142857146</v>
      </c>
      <c r="C29">
        <f>SUMIFS(Antigua!$L:$L, Antigua!$B:$B, $A29, Antigua!$D:$D, "Out Ports") + SUMIFS(Barbados!$L:$L, Barbados!$B:$B, $A29, Barbados!$D:$D, "Out Ports") + SUMIFS(Bermuda!$L:$L, Bermuda!$B:$B, $A29, Bermuda!$D:$D, "Out Ports") + SUMIFS(Carolina!$L:$L, Carolina!$B:$B, $A29, Carolina!$D:$D, "Out Ports") + SUMIFS(Jamaica!$L:$L, Jamaica!$B:$B, $A29, Jamaica!$D:$D, "Out Ports") + SUMIFS(Mountserat!$L:$L, Mountserat!$B:$B, $A29, Mountserat!$D:$D, "Out Ports") + SUMIFS(Nevis!$L:$L, Nevis!$B:$B, $A29, Nevis!$D:$D, "Out Ports") + SUMIFS(NewEngland!$L:$L, NewEngland!$B:$B, $A29, NewEngland!$D:$D, "Out Ports")</f>
        <v>3.6075892857142855</v>
      </c>
      <c r="D29">
        <f t="shared" si="0"/>
        <v>21.33</v>
      </c>
    </row>
    <row r="30" spans="1:4" x14ac:dyDescent="0.25">
      <c r="A30" t="s">
        <v>115</v>
      </c>
      <c r="B30" s="2">
        <f>SUMIFS(Antigua!$L:$L, Antigua!$B:$B, $A30, Antigua!$D:$D, "London") + SUMIFS(Barbados!$L:$L, Barbados!$B:$B, $A30, Barbados!$D:$D, "London") + SUMIFS(Bermuda!$L:$L, Bermuda!$B:$B, $A30, Bermuda!$D:$D, "London") + SUMIFS(Carolina!$L:$L, Carolina!$B:$B, $A30, Carolina!$D:$D, "London") + SUMIFS(Jamaica!$L:$L, Jamaica!$B:$B, $A30, Jamaica!$D:$D, "London") + SUMIFS(Mountserat!$L:$L, Mountserat!$B:$B, $A30, Mountserat!$D:$D, "London") + SUMIFS(Nevis!$L:$L, Nevis!$B:$B, $A30, Nevis!$D:$D, "London") + SUMIFS(NewEngland!$L:$L, NewEngland!$B:$B, $A30, NewEngland!$D:$D, "London")</f>
        <v>0.72678571428571426</v>
      </c>
      <c r="C30">
        <f>SUMIFS(Antigua!$L:$L, Antigua!$B:$B, $A30, Antigua!$D:$D, "Out Ports") + SUMIFS(Barbados!$L:$L, Barbados!$B:$B, $A30, Barbados!$D:$D, "Out Ports") + SUMIFS(Bermuda!$L:$L, Bermuda!$B:$B, $A30, Bermuda!$D:$D, "Out Ports") + SUMIFS(Carolina!$L:$L, Carolina!$B:$B, $A30, Carolina!$D:$D, "Out Ports") + SUMIFS(Jamaica!$L:$L, Jamaica!$B:$B, $A30, Jamaica!$D:$D, "Out Ports") + SUMIFS(Mountserat!$L:$L, Mountserat!$B:$B, $A30, Mountserat!$D:$D, "Out Ports") + SUMIFS(Nevis!$L:$L, Nevis!$B:$B, $A30, Nevis!$D:$D, "Out Ports") + SUMIFS(NewEngland!$L:$L, NewEngland!$B:$B, $A30, NewEngland!$D:$D, "Out Ports")</f>
        <v>4.0178571428571425E-3</v>
      </c>
      <c r="D30">
        <f t="shared" si="0"/>
        <v>0.73</v>
      </c>
    </row>
    <row r="31" spans="1:4" x14ac:dyDescent="0.25">
      <c r="A31" t="s">
        <v>116</v>
      </c>
      <c r="B31" s="2">
        <f>SUMIFS(Antigua!$L:$L, Antigua!$B:$B, $A31, Antigua!$D:$D, "London") + SUMIFS(Barbados!$L:$L, Barbados!$B:$B, $A31, Barbados!$D:$D, "London") + SUMIFS(Bermuda!$L:$L, Bermuda!$B:$B, $A31, Bermuda!$D:$D, "London") + SUMIFS(Carolina!$L:$L, Carolina!$B:$B, $A31, Carolina!$D:$D, "London") + SUMIFS(Jamaica!$L:$L, Jamaica!$B:$B, $A31, Jamaica!$D:$D, "London") + SUMIFS(Mountserat!$L:$L, Mountserat!$B:$B, $A31, Mountserat!$D:$D, "London") + SUMIFS(Nevis!$L:$L, Nevis!$B:$B, $A31, Nevis!$D:$D, "London") + SUMIFS(NewEngland!$L:$L, NewEngland!$B:$B, $A31, NewEngland!$D:$D, "London")</f>
        <v>0.7678571428571429</v>
      </c>
      <c r="C31">
        <f>SUMIFS(Antigua!$L:$L, Antigua!$B:$B, $A31, Antigua!$D:$D, "Out Ports") + SUMIFS(Barbados!$L:$L, Barbados!$B:$B, $A31, Barbados!$D:$D, "Out Ports") + SUMIFS(Bermuda!$L:$L, Bermuda!$B:$B, $A31, Bermuda!$D:$D, "Out Ports") + SUMIFS(Carolina!$L:$L, Carolina!$B:$B, $A31, Carolina!$D:$D, "Out Ports") + SUMIFS(Jamaica!$L:$L, Jamaica!$B:$B, $A31, Jamaica!$D:$D, "Out Ports") + SUMIFS(Mountserat!$L:$L, Mountserat!$B:$B, $A31, Mountserat!$D:$D, "Out Ports") + SUMIFS(Nevis!$L:$L, Nevis!$B:$B, $A31, Nevis!$D:$D, "Out Ports") + SUMIFS(NewEngland!$L:$L, NewEngland!$B:$B, $A31, NewEngland!$D:$D, "Out Ports")</f>
        <v>0</v>
      </c>
      <c r="D31">
        <f t="shared" si="0"/>
        <v>0.77</v>
      </c>
    </row>
    <row r="32" spans="1:4" x14ac:dyDescent="0.25">
      <c r="A32" t="s">
        <v>117</v>
      </c>
      <c r="B32" s="2">
        <f>SUMIFS(Antigua!$L:$L, Antigua!$B:$B, $A32, Antigua!$D:$D, "London") + SUMIFS(Barbados!$L:$L, Barbados!$B:$B, $A32, Barbados!$D:$D, "London") + SUMIFS(Bermuda!$L:$L, Bermuda!$B:$B, $A32, Bermuda!$D:$D, "London") + SUMIFS(Carolina!$L:$L, Carolina!$B:$B, $A32, Carolina!$D:$D, "London") + SUMIFS(Jamaica!$L:$L, Jamaica!$B:$B, $A32, Jamaica!$D:$D, "London") + SUMIFS(Mountserat!$L:$L, Mountserat!$B:$B, $A32, Mountserat!$D:$D, "London") + SUMIFS(Nevis!$L:$L, Nevis!$B:$B, $A32, Nevis!$D:$D, "London") + SUMIFS(NewEngland!$L:$L, NewEngland!$B:$B, $A32, NewEngland!$D:$D, "London")</f>
        <v>0</v>
      </c>
      <c r="C32">
        <f>SUMIFS(Antigua!$L:$L, Antigua!$B:$B, $A32, Antigua!$D:$D, "Out Ports") + SUMIFS(Barbados!$L:$L, Barbados!$B:$B, $A32, Barbados!$D:$D, "Out Ports") + SUMIFS(Bermuda!$L:$L, Bermuda!$B:$B, $A32, Bermuda!$D:$D, "Out Ports") + SUMIFS(Carolina!$L:$L, Carolina!$B:$B, $A32, Carolina!$D:$D, "Out Ports") + SUMIFS(Jamaica!$L:$L, Jamaica!$B:$B, $A32, Jamaica!$D:$D, "Out Ports") + SUMIFS(Mountserat!$L:$L, Mountserat!$B:$B, $A32, Mountserat!$D:$D, "Out Ports") + SUMIFS(Nevis!$L:$L, Nevis!$B:$B, $A32, Nevis!$D:$D, "Out Ports") + SUMIFS(NewEngland!$L:$L, NewEngland!$B:$B, $A32, NewEngland!$D:$D, "Out Ports")</f>
        <v>0</v>
      </c>
      <c r="D32">
        <f t="shared" si="0"/>
        <v>0</v>
      </c>
    </row>
    <row r="33" spans="1:4" x14ac:dyDescent="0.25">
      <c r="A33" t="s">
        <v>118</v>
      </c>
      <c r="B33" s="2">
        <f>SUMIFS(Antigua!$L:$L, Antigua!$B:$B, $A33, Antigua!$D:$D, "London") + SUMIFS(Barbados!$L:$L, Barbados!$B:$B, $A33, Barbados!$D:$D, "London") + SUMIFS(Bermuda!$L:$L, Bermuda!$B:$B, $A33, Bermuda!$D:$D, "London") + SUMIFS(Carolina!$L:$L, Carolina!$B:$B, $A33, Carolina!$D:$D, "London") + SUMIFS(Jamaica!$L:$L, Jamaica!$B:$B, $A33, Jamaica!$D:$D, "London") + SUMIFS(Mountserat!$L:$L, Mountserat!$B:$B, $A33, Mountserat!$D:$D, "London") + SUMIFS(Nevis!$L:$L, Nevis!$B:$B, $A33, Nevis!$D:$D, "London") + SUMIFS(NewEngland!$L:$L, NewEngland!$B:$B, $A33, NewEngland!$D:$D, "London")</f>
        <v>0</v>
      </c>
      <c r="C33">
        <f>SUMIFS(Antigua!$L:$L, Antigua!$B:$B, $A33, Antigua!$D:$D, "Out Ports") + SUMIFS(Barbados!$L:$L, Barbados!$B:$B, $A33, Barbados!$D:$D, "Out Ports") + SUMIFS(Bermuda!$L:$L, Bermuda!$B:$B, $A33, Bermuda!$D:$D, "Out Ports") + SUMIFS(Carolina!$L:$L, Carolina!$B:$B, $A33, Carolina!$D:$D, "Out Ports") + SUMIFS(Jamaica!$L:$L, Jamaica!$B:$B, $A33, Jamaica!$D:$D, "Out Ports") + SUMIFS(Mountserat!$L:$L, Mountserat!$B:$B, $A33, Mountserat!$D:$D, "Out Ports") + SUMIFS(Nevis!$L:$L, Nevis!$B:$B, $A33, Nevis!$D:$D, "Out Ports") + SUMIFS(NewEngland!$L:$L, NewEngland!$B:$B, $A33, NewEngland!$D:$D, "Out Ports")</f>
        <v>0</v>
      </c>
      <c r="D33">
        <f t="shared" si="0"/>
        <v>0</v>
      </c>
    </row>
    <row r="34" spans="1:4" x14ac:dyDescent="0.25">
      <c r="A34" t="s">
        <v>119</v>
      </c>
      <c r="B34" s="2">
        <f>SUMIFS(Antigua!$L:$L, Antigua!$B:$B, $A34, Antigua!$D:$D, "London") + SUMIFS(Barbados!$L:$L, Barbados!$B:$B, $A34, Barbados!$D:$D, "London") + SUMIFS(Bermuda!$L:$L, Bermuda!$B:$B, $A34, Bermuda!$D:$D, "London") + SUMIFS(Carolina!$L:$L, Carolina!$B:$B, $A34, Carolina!$D:$D, "London") + SUMIFS(Jamaica!$L:$L, Jamaica!$B:$B, $A34, Jamaica!$D:$D, "London") + SUMIFS(Mountserat!$L:$L, Mountserat!$B:$B, $A34, Mountserat!$D:$D, "London") + SUMIFS(Nevis!$L:$L, Nevis!$B:$B, $A34, Nevis!$D:$D, "London") + SUMIFS(NewEngland!$L:$L, NewEngland!$B:$B, $A34, NewEngland!$D:$D, "London")</f>
        <v>0</v>
      </c>
      <c r="C34">
        <f>SUMIFS(Antigua!$L:$L, Antigua!$B:$B, $A34, Antigua!$D:$D, "Out Ports") + SUMIFS(Barbados!$L:$L, Barbados!$B:$B, $A34, Barbados!$D:$D, "Out Ports") + SUMIFS(Bermuda!$L:$L, Bermuda!$B:$B, $A34, Bermuda!$D:$D, "Out Ports") + SUMIFS(Carolina!$L:$L, Carolina!$B:$B, $A34, Carolina!$D:$D, "Out Ports") + SUMIFS(Jamaica!$L:$L, Jamaica!$B:$B, $A34, Jamaica!$D:$D, "Out Ports") + SUMIFS(Mountserat!$L:$L, Mountserat!$B:$B, $A34, Mountserat!$D:$D, "Out Ports") + SUMIFS(Nevis!$L:$L, Nevis!$B:$B, $A34, Nevis!$D:$D, "Out Ports") + SUMIFS(NewEngland!$L:$L, NewEngland!$B:$B, $A34, NewEngland!$D:$D, "Out Ports")</f>
        <v>0</v>
      </c>
      <c r="D34">
        <f t="shared" si="0"/>
        <v>0</v>
      </c>
    </row>
    <row r="35" spans="1:4" x14ac:dyDescent="0.25">
      <c r="A35" t="s">
        <v>120</v>
      </c>
      <c r="B35" s="2">
        <f>SUMIFS(Antigua!$L:$L, Antigua!$B:$B, $A35, Antigua!$D:$D, "London") + SUMIFS(Barbados!$L:$L, Barbados!$B:$B, $A35, Barbados!$D:$D, "London") + SUMIFS(Bermuda!$L:$L, Bermuda!$B:$B, $A35, Bermuda!$D:$D, "London") + SUMIFS(Carolina!$L:$L, Carolina!$B:$B, $A35, Carolina!$D:$D, "London") + SUMIFS(Jamaica!$L:$L, Jamaica!$B:$B, $A35, Jamaica!$D:$D, "London") + SUMIFS(Mountserat!$L:$L, Mountserat!$B:$B, $A35, Mountserat!$D:$D, "London") + SUMIFS(Nevis!$L:$L, Nevis!$B:$B, $A35, Nevis!$D:$D, "London") + SUMIFS(NewEngland!$L:$L, NewEngland!$B:$B, $A35, NewEngland!$D:$D, "London")</f>
        <v>0</v>
      </c>
      <c r="C35">
        <f>SUMIFS(Antigua!$L:$L, Antigua!$B:$B, $A35, Antigua!$D:$D, "Out Ports") + SUMIFS(Barbados!$L:$L, Barbados!$B:$B, $A35, Barbados!$D:$D, "Out Ports") + SUMIFS(Bermuda!$L:$L, Bermuda!$B:$B, $A35, Bermuda!$D:$D, "Out Ports") + SUMIFS(Carolina!$L:$L, Carolina!$B:$B, $A35, Carolina!$D:$D, "Out Ports") + SUMIFS(Jamaica!$L:$L, Jamaica!$B:$B, $A35, Jamaica!$D:$D, "Out Ports") + SUMIFS(Mountserat!$L:$L, Mountserat!$B:$B, $A35, Mountserat!$D:$D, "Out Ports") + SUMIFS(Nevis!$L:$L, Nevis!$B:$B, $A35, Nevis!$D:$D, "Out Ports") + SUMIFS(NewEngland!$L:$L, NewEngland!$B:$B, $A35, NewEngland!$D:$D, "Out Ports")</f>
        <v>0</v>
      </c>
      <c r="D35">
        <f t="shared" si="0"/>
        <v>0</v>
      </c>
    </row>
    <row r="36" spans="1:4" x14ac:dyDescent="0.25">
      <c r="A36" t="s">
        <v>8</v>
      </c>
      <c r="B36" s="2">
        <f>SUMIFS(Antigua!$L:$L, Antigua!$B:$B, $A36, Antigua!$D:$D, "London") + SUMIFS(Barbados!$L:$L, Barbados!$B:$B, $A36, Barbados!$D:$D, "London") + SUMIFS(Bermuda!$L:$L, Bermuda!$B:$B, $A36, Bermuda!$D:$D, "London") + SUMIFS(Carolina!$L:$L, Carolina!$B:$B, $A36, Carolina!$D:$D, "London") + SUMIFS(Jamaica!$L:$L, Jamaica!$B:$B, $A36, Jamaica!$D:$D, "London") + SUMIFS(Mountserat!$L:$L, Mountserat!$B:$B, $A36, Mountserat!$D:$D, "London") + SUMIFS(Nevis!$L:$L, Nevis!$B:$B, $A36, Nevis!$D:$D, "London") + SUMIFS(NewEngland!$L:$L, NewEngland!$B:$B, $A36, NewEngland!$D:$D, "London")</f>
        <v>77.470535714285717</v>
      </c>
      <c r="C36">
        <f>SUMIFS(Antigua!$L:$L, Antigua!$B:$B, $A36, Antigua!$D:$D, "Out Ports") + SUMIFS(Barbados!$L:$L, Barbados!$B:$B, $A36, Barbados!$D:$D, "Out Ports") + SUMIFS(Bermuda!$L:$L, Bermuda!$B:$B, $A36, Bermuda!$D:$D, "Out Ports") + SUMIFS(Carolina!$L:$L, Carolina!$B:$B, $A36, Carolina!$D:$D, "Out Ports") + SUMIFS(Jamaica!$L:$L, Jamaica!$B:$B, $A36, Jamaica!$D:$D, "Out Ports") + SUMIFS(Mountserat!$L:$L, Mountserat!$B:$B, $A36, Mountserat!$D:$D, "Out Ports") + SUMIFS(Nevis!$L:$L, Nevis!$B:$B, $A36, Nevis!$D:$D, "Out Ports") + SUMIFS(NewEngland!$L:$L, NewEngland!$B:$B, $A36, NewEngland!$D:$D, "Out Ports")</f>
        <v>23.845982142857146</v>
      </c>
      <c r="D36">
        <f t="shared" si="0"/>
        <v>101.32</v>
      </c>
    </row>
    <row r="37" spans="1:4" x14ac:dyDescent="0.25">
      <c r="A37" t="s">
        <v>121</v>
      </c>
      <c r="B37" s="2">
        <f>SUMIFS(Antigua!$L:$L, Antigua!$B:$B, $A37, Antigua!$D:$D, "London") + SUMIFS(Barbados!$L:$L, Barbados!$B:$B, $A37, Barbados!$D:$D, "London") + SUMIFS(Bermuda!$L:$L, Bermuda!$B:$B, $A37, Bermuda!$D:$D, "London") + SUMIFS(Carolina!$L:$L, Carolina!$B:$B, $A37, Carolina!$D:$D, "London") + SUMIFS(Jamaica!$L:$L, Jamaica!$B:$B, $A37, Jamaica!$D:$D, "London") + SUMIFS(Mountserat!$L:$L, Mountserat!$B:$B, $A37, Mountserat!$D:$D, "London") + SUMIFS(Nevis!$L:$L, Nevis!$B:$B, $A37, Nevis!$D:$D, "London") + SUMIFS(NewEngland!$L:$L, NewEngland!$B:$B, $A37, NewEngland!$D:$D, "London")</f>
        <v>0</v>
      </c>
      <c r="C37">
        <f>SUMIFS(Antigua!$L:$L, Antigua!$B:$B, $A37, Antigua!$D:$D, "Out Ports") + SUMIFS(Barbados!$L:$L, Barbados!$B:$B, $A37, Barbados!$D:$D, "Out Ports") + SUMIFS(Bermuda!$L:$L, Bermuda!$B:$B, $A37, Bermuda!$D:$D, "Out Ports") + SUMIFS(Carolina!$L:$L, Carolina!$B:$B, $A37, Carolina!$D:$D, "Out Ports") + SUMIFS(Jamaica!$L:$L, Jamaica!$B:$B, $A37, Jamaica!$D:$D, "Out Ports") + SUMIFS(Mountserat!$L:$L, Mountserat!$B:$B, $A37, Mountserat!$D:$D, "Out Ports") + SUMIFS(Nevis!$L:$L, Nevis!$B:$B, $A37, Nevis!$D:$D, "Out Ports") + SUMIFS(NewEngland!$L:$L, NewEngland!$B:$B, $A37, NewEngland!$D:$D, "Out Ports")</f>
        <v>0</v>
      </c>
      <c r="D37">
        <f t="shared" si="0"/>
        <v>0</v>
      </c>
    </row>
    <row r="38" spans="1:4" x14ac:dyDescent="0.25">
      <c r="A38" t="s">
        <v>40</v>
      </c>
      <c r="B38" s="2">
        <f>SUMIFS(Antigua!$L:$L, Antigua!$B:$B, $A38, Antigua!$D:$D, "London") + SUMIFS(Barbados!$L:$L, Barbados!$B:$B, $A38, Barbados!$D:$D, "London") + SUMIFS(Bermuda!$L:$L, Bermuda!$B:$B, $A38, Bermuda!$D:$D, "London") + SUMIFS(Carolina!$L:$L, Carolina!$B:$B, $A38, Carolina!$D:$D, "London") + SUMIFS(Jamaica!$L:$L, Jamaica!$B:$B, $A38, Jamaica!$D:$D, "London") + SUMIFS(Mountserat!$L:$L, Mountserat!$B:$B, $A38, Mountserat!$D:$D, "London") + SUMIFS(Nevis!$L:$L, Nevis!$B:$B, $A38, Nevis!$D:$D, "London") + SUMIFS(NewEngland!$L:$L, NewEngland!$B:$B, $A38, NewEngland!$D:$D, "London")</f>
        <v>1.4397321428571428</v>
      </c>
      <c r="C38">
        <f>SUMIFS(Antigua!$L:$L, Antigua!$B:$B, $A38, Antigua!$D:$D, "Out Ports") + SUMIFS(Barbados!$L:$L, Barbados!$B:$B, $A38, Barbados!$D:$D, "Out Ports") + SUMIFS(Bermuda!$L:$L, Bermuda!$B:$B, $A38, Bermuda!$D:$D, "Out Ports") + SUMIFS(Carolina!$L:$L, Carolina!$B:$B, $A38, Carolina!$D:$D, "Out Ports") + SUMIFS(Jamaica!$L:$L, Jamaica!$B:$B, $A38, Jamaica!$D:$D, "Out Ports") + SUMIFS(Mountserat!$L:$L, Mountserat!$B:$B, $A38, Mountserat!$D:$D, "Out Ports") + SUMIFS(Nevis!$L:$L, Nevis!$B:$B, $A38, Nevis!$D:$D, "Out Ports") + SUMIFS(NewEngland!$L:$L, NewEngland!$B:$B, $A38, NewEngland!$D:$D, "Out Ports")</f>
        <v>0.43191964285714285</v>
      </c>
      <c r="D38">
        <f t="shared" si="0"/>
        <v>1.87</v>
      </c>
    </row>
    <row r="39" spans="1:4" x14ac:dyDescent="0.25">
      <c r="A39" t="s">
        <v>41</v>
      </c>
      <c r="B39" s="2">
        <f>SUMIFS(Antigua!$L:$L, Antigua!$B:$B, $A39, Antigua!$D:$D, "London") + SUMIFS(Barbados!$L:$L, Barbados!$B:$B, $A39, Barbados!$D:$D, "London") + SUMIFS(Bermuda!$L:$L, Bermuda!$B:$B, $A39, Bermuda!$D:$D, "London") + SUMIFS(Carolina!$L:$L, Carolina!$B:$B, $A39, Carolina!$D:$D, "London") + SUMIFS(Jamaica!$L:$L, Jamaica!$B:$B, $A39, Jamaica!$D:$D, "London") + SUMIFS(Mountserat!$L:$L, Mountserat!$B:$B, $A39, Mountserat!$D:$D, "London") + SUMIFS(Nevis!$L:$L, Nevis!$B:$B, $A39, Nevis!$D:$D, "London") + SUMIFS(NewEngland!$L:$L, NewEngland!$B:$B, $A39, NewEngland!$D:$D, "London")</f>
        <v>134.76696428571429</v>
      </c>
      <c r="C39">
        <f>SUMIFS(Antigua!$L:$L, Antigua!$B:$B, $A39, Antigua!$D:$D, "Out Ports") + SUMIFS(Barbados!$L:$L, Barbados!$B:$B, $A39, Barbados!$D:$D, "Out Ports") + SUMIFS(Bermuda!$L:$L, Bermuda!$B:$B, $A39, Bermuda!$D:$D, "Out Ports") + SUMIFS(Carolina!$L:$L, Carolina!$B:$B, $A39, Carolina!$D:$D, "Out Ports") + SUMIFS(Jamaica!$L:$L, Jamaica!$B:$B, $A39, Jamaica!$D:$D, "Out Ports") + SUMIFS(Mountserat!$L:$L, Mountserat!$B:$B, $A39, Mountserat!$D:$D, "Out Ports") + SUMIFS(Nevis!$L:$L, Nevis!$B:$B, $A39, Nevis!$D:$D, "Out Ports") + SUMIFS(NewEngland!$L:$L, NewEngland!$B:$B, $A39, NewEngland!$D:$D, "Out Ports")</f>
        <v>46.737500000000004</v>
      </c>
      <c r="D39">
        <f t="shared" si="0"/>
        <v>181.5</v>
      </c>
    </row>
    <row r="40" spans="1:4" x14ac:dyDescent="0.25">
      <c r="A40" t="s">
        <v>22</v>
      </c>
      <c r="B40" s="2">
        <f>SUMIFS(Antigua!$L:$L, Antigua!$B:$B, $A40, Antigua!$D:$D, "London") + SUMIFS(Barbados!$L:$L, Barbados!$B:$B, $A40, Barbados!$D:$D, "London") + SUMIFS(Bermuda!$L:$L, Bermuda!$B:$B, $A40, Bermuda!$D:$D, "London") + SUMIFS(Carolina!$L:$L, Carolina!$B:$B, $A40, Carolina!$D:$D, "London") + SUMIFS(Jamaica!$L:$L, Jamaica!$B:$B, $A40, Jamaica!$D:$D, "London") + SUMIFS(Mountserat!$L:$L, Mountserat!$B:$B, $A40, Mountserat!$D:$D, "London") + SUMIFS(Nevis!$L:$L, Nevis!$B:$B, $A40, Nevis!$D:$D, "London") + SUMIFS(NewEngland!$L:$L, NewEngland!$B:$B, $A40, NewEngland!$D:$D, "London")</f>
        <v>79.826339285714283</v>
      </c>
      <c r="C40">
        <f>SUMIFS(Antigua!$L:$L, Antigua!$B:$B, $A40, Antigua!$D:$D, "Out Ports") + SUMIFS(Barbados!$L:$L, Barbados!$B:$B, $A40, Barbados!$D:$D, "Out Ports") + SUMIFS(Bermuda!$L:$L, Bermuda!$B:$B, $A40, Bermuda!$D:$D, "Out Ports") + SUMIFS(Carolina!$L:$L, Carolina!$B:$B, $A40, Carolina!$D:$D, "Out Ports") + SUMIFS(Jamaica!$L:$L, Jamaica!$B:$B, $A40, Jamaica!$D:$D, "Out Ports") + SUMIFS(Mountserat!$L:$L, Mountserat!$B:$B, $A40, Mountserat!$D:$D, "Out Ports") + SUMIFS(Nevis!$L:$L, Nevis!$B:$B, $A40, Nevis!$D:$D, "Out Ports") + SUMIFS(NewEngland!$L:$L, NewEngland!$B:$B, $A40, NewEngland!$D:$D, "Out Ports")</f>
        <v>17.647321428571431</v>
      </c>
      <c r="D40">
        <f t="shared" si="0"/>
        <v>97.47</v>
      </c>
    </row>
    <row r="41" spans="1:4" x14ac:dyDescent="0.25">
      <c r="A41" t="s">
        <v>31</v>
      </c>
      <c r="B41" s="2">
        <f>SUMIFS(Antigua!$L:$L, Antigua!$B:$B, $A41, Antigua!$D:$D, "London") + SUMIFS(Barbados!$L:$L, Barbados!$B:$B, $A41, Barbados!$D:$D, "London") + SUMIFS(Bermuda!$L:$L, Bermuda!$B:$B, $A41, Bermuda!$D:$D, "London") + SUMIFS(Carolina!$L:$L, Carolina!$B:$B, $A41, Carolina!$D:$D, "London") + SUMIFS(Jamaica!$L:$L, Jamaica!$B:$B, $A41, Jamaica!$D:$D, "London") + SUMIFS(Mountserat!$L:$L, Mountserat!$B:$B, $A41, Mountserat!$D:$D, "London") + SUMIFS(Nevis!$L:$L, Nevis!$B:$B, $A41, Nevis!$D:$D, "London") + SUMIFS(NewEngland!$L:$L, NewEngland!$B:$B, $A41, NewEngland!$D:$D, "London")</f>
        <v>0.28660714285714284</v>
      </c>
      <c r="C41">
        <f>SUMIFS(Antigua!$L:$L, Antigua!$B:$B, $A41, Antigua!$D:$D, "Out Ports") + SUMIFS(Barbados!$L:$L, Barbados!$B:$B, $A41, Barbados!$D:$D, "Out Ports") + SUMIFS(Bermuda!$L:$L, Bermuda!$B:$B, $A41, Bermuda!$D:$D, "Out Ports") + SUMIFS(Carolina!$L:$L, Carolina!$B:$B, $A41, Carolina!$D:$D, "Out Ports") + SUMIFS(Jamaica!$L:$L, Jamaica!$B:$B, $A41, Jamaica!$D:$D, "Out Ports") + SUMIFS(Mountserat!$L:$L, Mountserat!$B:$B, $A41, Mountserat!$D:$D, "Out Ports") + SUMIFS(Nevis!$L:$L, Nevis!$B:$B, $A41, Nevis!$D:$D, "Out Ports") + SUMIFS(NewEngland!$L:$L, NewEngland!$B:$B, $A41, NewEngland!$D:$D, "Out Ports")</f>
        <v>0</v>
      </c>
      <c r="D41">
        <f t="shared" si="0"/>
        <v>0.28999999999999998</v>
      </c>
    </row>
    <row r="42" spans="1:4" x14ac:dyDescent="0.25">
      <c r="A42" t="s">
        <v>30</v>
      </c>
      <c r="B42" s="2">
        <f>SUMIFS(Antigua!$L:$L, Antigua!$B:$B, $A42, Antigua!$D:$D, "London") + SUMIFS(Barbados!$L:$L, Barbados!$B:$B, $A42, Barbados!$D:$D, "London") + SUMIFS(Bermuda!$L:$L, Bermuda!$B:$B, $A42, Bermuda!$D:$D, "London") + SUMIFS(Carolina!$L:$L, Carolina!$B:$B, $A42, Carolina!$D:$D, "London") + SUMIFS(Jamaica!$L:$L, Jamaica!$B:$B, $A42, Jamaica!$D:$D, "London") + SUMIFS(Mountserat!$L:$L, Mountserat!$B:$B, $A42, Mountserat!$D:$D, "London") + SUMIFS(Nevis!$L:$L, Nevis!$B:$B, $A42, Nevis!$D:$D, "London") + SUMIFS(NewEngland!$L:$L, NewEngland!$B:$B, $A42, NewEngland!$D:$D, "London")</f>
        <v>2.1633928571428571</v>
      </c>
      <c r="C42">
        <f>SUMIFS(Antigua!$L:$L, Antigua!$B:$B, $A42, Antigua!$D:$D, "Out Ports") + SUMIFS(Barbados!$L:$L, Barbados!$B:$B, $A42, Barbados!$D:$D, "Out Ports") + SUMIFS(Bermuda!$L:$L, Bermuda!$B:$B, $A42, Bermuda!$D:$D, "Out Ports") + SUMIFS(Carolina!$L:$L, Carolina!$B:$B, $A42, Carolina!$D:$D, "Out Ports") + SUMIFS(Jamaica!$L:$L, Jamaica!$B:$B, $A42, Jamaica!$D:$D, "Out Ports") + SUMIFS(Mountserat!$L:$L, Mountserat!$B:$B, $A42, Mountserat!$D:$D, "Out Ports") + SUMIFS(Nevis!$L:$L, Nevis!$B:$B, $A42, Nevis!$D:$D, "Out Ports") + SUMIFS(NewEngland!$L:$L, NewEngland!$B:$B, $A42, NewEngland!$D:$D, "Out Ports")</f>
        <v>0</v>
      </c>
      <c r="D42">
        <f t="shared" si="0"/>
        <v>2.16</v>
      </c>
    </row>
    <row r="43" spans="1:4" x14ac:dyDescent="0.25">
      <c r="A43" t="s">
        <v>17</v>
      </c>
      <c r="B43" s="2">
        <f>SUMIFS(Antigua!$L:$L, Antigua!$B:$B, $A43, Antigua!$D:$D, "London") + SUMIFS(Barbados!$L:$L, Barbados!$B:$B, $A43, Barbados!$D:$D, "London") + SUMIFS(Bermuda!$L:$L, Bermuda!$B:$B, $A43, Bermuda!$D:$D, "London") + SUMIFS(Carolina!$L:$L, Carolina!$B:$B, $A43, Carolina!$D:$D, "London") + SUMIFS(Jamaica!$L:$L, Jamaica!$B:$B, $A43, Jamaica!$D:$D, "London") + SUMIFS(Mountserat!$L:$L, Mountserat!$B:$B, $A43, Mountserat!$D:$D, "London") + SUMIFS(Nevis!$L:$L, Nevis!$B:$B, $A43, Nevis!$D:$D, "London") + SUMIFS(NewEngland!$L:$L, NewEngland!$B:$B, $A43, NewEngland!$D:$D, "London")</f>
        <v>1798.544196428571</v>
      </c>
      <c r="C43">
        <f>SUMIFS(Antigua!$L:$L, Antigua!$B:$B, $A43, Antigua!$D:$D, "Out Ports") + SUMIFS(Barbados!$L:$L, Barbados!$B:$B, $A43, Barbados!$D:$D, "Out Ports") + SUMIFS(Bermuda!$L:$L, Bermuda!$B:$B, $A43, Bermuda!$D:$D, "Out Ports") + SUMIFS(Carolina!$L:$L, Carolina!$B:$B, $A43, Carolina!$D:$D, "Out Ports") + SUMIFS(Jamaica!$L:$L, Jamaica!$B:$B, $A43, Jamaica!$D:$D, "Out Ports") + SUMIFS(Mountserat!$L:$L, Mountserat!$B:$B, $A43, Mountserat!$D:$D, "Out Ports") + SUMIFS(Nevis!$L:$L, Nevis!$B:$B, $A43, Nevis!$D:$D, "Out Ports") + SUMIFS(NewEngland!$L:$L, NewEngland!$B:$B, $A43, NewEngland!$D:$D, "Out Ports")</f>
        <v>316.89241071428575</v>
      </c>
      <c r="D43">
        <f t="shared" si="0"/>
        <v>2115.44</v>
      </c>
    </row>
    <row r="44" spans="1:4" x14ac:dyDescent="0.25">
      <c r="A44" t="s">
        <v>20</v>
      </c>
      <c r="B44" s="2">
        <f>SUMIFS(Antigua!$L:$L, Antigua!$B:$B, $A44, Antigua!$D:$D, "London") + SUMIFS(Barbados!$L:$L, Barbados!$B:$B, $A44, Barbados!$D:$D, "London") + SUMIFS(Bermuda!$L:$L, Bermuda!$B:$B, $A44, Bermuda!$D:$D, "London") + SUMIFS(Carolina!$L:$L, Carolina!$B:$B, $A44, Carolina!$D:$D, "London") + SUMIFS(Jamaica!$L:$L, Jamaica!$B:$B, $A44, Jamaica!$D:$D, "London") + SUMIFS(Mountserat!$L:$L, Mountserat!$B:$B, $A44, Mountserat!$D:$D, "London") + SUMIFS(Nevis!$L:$L, Nevis!$B:$B, $A44, Nevis!$D:$D, "London") + SUMIFS(NewEngland!$L:$L, NewEngland!$B:$B, $A44, NewEngland!$D:$D, "London")</f>
        <v>0.13526785714285713</v>
      </c>
      <c r="C44">
        <f>SUMIFS(Antigua!$L:$L, Antigua!$B:$B, $A44, Antigua!$D:$D, "Out Ports") + SUMIFS(Barbados!$L:$L, Barbados!$B:$B, $A44, Barbados!$D:$D, "Out Ports") + SUMIFS(Bermuda!$L:$L, Bermuda!$B:$B, $A44, Bermuda!$D:$D, "Out Ports") + SUMIFS(Carolina!$L:$L, Carolina!$B:$B, $A44, Carolina!$D:$D, "Out Ports") + SUMIFS(Jamaica!$L:$L, Jamaica!$B:$B, $A44, Jamaica!$D:$D, "Out Ports") + SUMIFS(Mountserat!$L:$L, Mountserat!$B:$B, $A44, Mountserat!$D:$D, "Out Ports") + SUMIFS(Nevis!$L:$L, Nevis!$B:$B, $A44, Nevis!$D:$D, "Out Ports") + SUMIFS(NewEngland!$L:$L, NewEngland!$B:$B, $A44, NewEngland!$D:$D, "Out Ports")</f>
        <v>0</v>
      </c>
      <c r="D44">
        <f t="shared" si="0"/>
        <v>0.14000000000000001</v>
      </c>
    </row>
    <row r="45" spans="1:4" x14ac:dyDescent="0.25">
      <c r="A45" t="s">
        <v>122</v>
      </c>
      <c r="B45" s="2">
        <f>SUMIFS(Antigua!$L:$L, Antigua!$B:$B, $A45, Antigua!$D:$D, "London") + SUMIFS(Barbados!$L:$L, Barbados!$B:$B, $A45, Barbados!$D:$D, "London") + SUMIFS(Bermuda!$L:$L, Bermuda!$B:$B, $A45, Bermuda!$D:$D, "London") + SUMIFS(Carolina!$L:$L, Carolina!$B:$B, $A45, Carolina!$D:$D, "London") + SUMIFS(Jamaica!$L:$L, Jamaica!$B:$B, $A45, Jamaica!$D:$D, "London") + SUMIFS(Mountserat!$L:$L, Mountserat!$B:$B, $A45, Mountserat!$D:$D, "London") + SUMIFS(Nevis!$L:$L, Nevis!$B:$B, $A45, Nevis!$D:$D, "London") + SUMIFS(NewEngland!$L:$L, NewEngland!$B:$B, $A45, NewEngland!$D:$D, "London")</f>
        <v>0</v>
      </c>
      <c r="C45">
        <f>SUMIFS(Antigua!$L:$L, Antigua!$B:$B, $A45, Antigua!$D:$D, "Out Ports") + SUMIFS(Barbados!$L:$L, Barbados!$B:$B, $A45, Barbados!$D:$D, "Out Ports") + SUMIFS(Bermuda!$L:$L, Bermuda!$B:$B, $A45, Bermuda!$D:$D, "Out Ports") + SUMIFS(Carolina!$L:$L, Carolina!$B:$B, $A45, Carolina!$D:$D, "Out Ports") + SUMIFS(Jamaica!$L:$L, Jamaica!$B:$B, $A45, Jamaica!$D:$D, "Out Ports") + SUMIFS(Mountserat!$L:$L, Mountserat!$B:$B, $A45, Mountserat!$D:$D, "Out Ports") + SUMIFS(Nevis!$L:$L, Nevis!$B:$B, $A45, Nevis!$D:$D, "Out Ports") + SUMIFS(NewEngland!$L:$L, NewEngland!$B:$B, $A45, NewEngland!$D:$D, "Out Ports")</f>
        <v>0</v>
      </c>
      <c r="D45">
        <f t="shared" si="0"/>
        <v>0</v>
      </c>
    </row>
    <row r="46" spans="1:4" x14ac:dyDescent="0.25">
      <c r="A46" t="s">
        <v>123</v>
      </c>
      <c r="B46" s="2">
        <f>SUMIFS(Antigua!$L:$L, Antigua!$B:$B, $A46, Antigua!$D:$D, "London") + SUMIFS(Barbados!$L:$L, Barbados!$B:$B, $A46, Barbados!$D:$D, "London") + SUMIFS(Bermuda!$L:$L, Bermuda!$B:$B, $A46, Bermuda!$D:$D, "London") + SUMIFS(Carolina!$L:$L, Carolina!$B:$B, $A46, Carolina!$D:$D, "London") + SUMIFS(Jamaica!$L:$L, Jamaica!$B:$B, $A46, Jamaica!$D:$D, "London") + SUMIFS(Mountserat!$L:$L, Mountserat!$B:$B, $A46, Mountserat!$D:$D, "London") + SUMIFS(Nevis!$L:$L, Nevis!$B:$B, $A46, Nevis!$D:$D, "London") + SUMIFS(NewEngland!$L:$L, NewEngland!$B:$B, $A46, NewEngland!$D:$D, "London")</f>
        <v>0</v>
      </c>
      <c r="C46">
        <f>SUMIFS(Antigua!$L:$L, Antigua!$B:$B, $A46, Antigua!$D:$D, "Out Ports") + SUMIFS(Barbados!$L:$L, Barbados!$B:$B, $A46, Barbados!$D:$D, "Out Ports") + SUMIFS(Bermuda!$L:$L, Bermuda!$B:$B, $A46, Bermuda!$D:$D, "Out Ports") + SUMIFS(Carolina!$L:$L, Carolina!$B:$B, $A46, Carolina!$D:$D, "Out Ports") + SUMIFS(Jamaica!$L:$L, Jamaica!$B:$B, $A46, Jamaica!$D:$D, "Out Ports") + SUMIFS(Mountserat!$L:$L, Mountserat!$B:$B, $A46, Mountserat!$D:$D, "Out Ports") + SUMIFS(Nevis!$L:$L, Nevis!$B:$B, $A46, Nevis!$D:$D, "Out Ports") + SUMIFS(NewEngland!$L:$L, NewEngland!$B:$B, $A46, NewEngland!$D:$D, "Out Ports")</f>
        <v>0</v>
      </c>
      <c r="D46">
        <f t="shared" si="0"/>
        <v>0</v>
      </c>
    </row>
    <row r="47" spans="1:4" x14ac:dyDescent="0.25">
      <c r="A47" t="s">
        <v>124</v>
      </c>
      <c r="B47" s="2">
        <f>SUMIFS(Antigua!$L:$L, Antigua!$B:$B, $A47, Antigua!$D:$D, "London") + SUMIFS(Barbados!$L:$L, Barbados!$B:$B, $A47, Barbados!$D:$D, "London") + SUMIFS(Bermuda!$L:$L, Bermuda!$B:$B, $A47, Bermuda!$D:$D, "London") + SUMIFS(Carolina!$L:$L, Carolina!$B:$B, $A47, Carolina!$D:$D, "London") + SUMIFS(Jamaica!$L:$L, Jamaica!$B:$B, $A47, Jamaica!$D:$D, "London") + SUMIFS(Mountserat!$L:$L, Mountserat!$B:$B, $A47, Mountserat!$D:$D, "London") + SUMIFS(Nevis!$L:$L, Nevis!$B:$B, $A47, Nevis!$D:$D, "London") + SUMIFS(NewEngland!$L:$L, NewEngland!$B:$B, $A47, NewEngland!$D:$D, "London")</f>
        <v>0</v>
      </c>
      <c r="C47">
        <f>SUMIFS(Antigua!$L:$L, Antigua!$B:$B, $A47, Antigua!$D:$D, "Out Ports") + SUMIFS(Barbados!$L:$L, Barbados!$B:$B, $A47, Barbados!$D:$D, "Out Ports") + SUMIFS(Bermuda!$L:$L, Bermuda!$B:$B, $A47, Bermuda!$D:$D, "Out Ports") + SUMIFS(Carolina!$L:$L, Carolina!$B:$B, $A47, Carolina!$D:$D, "Out Ports") + SUMIFS(Jamaica!$L:$L, Jamaica!$B:$B, $A47, Jamaica!$D:$D, "Out Ports") + SUMIFS(Mountserat!$L:$L, Mountserat!$B:$B, $A47, Mountserat!$D:$D, "Out Ports") + SUMIFS(Nevis!$L:$L, Nevis!$B:$B, $A47, Nevis!$D:$D, "Out Ports") + SUMIFS(NewEngland!$L:$L, NewEngland!$B:$B, $A47, NewEngland!$D:$D, "Out Ports")</f>
        <v>0</v>
      </c>
      <c r="D47">
        <f t="shared" si="0"/>
        <v>0</v>
      </c>
    </row>
    <row r="48" spans="1:4" x14ac:dyDescent="0.25">
      <c r="A48" t="s">
        <v>35</v>
      </c>
      <c r="B48" s="2">
        <f>SUMIFS(Antigua!$L:$L, Antigua!$B:$B, $A48, Antigua!$D:$D, "London") + SUMIFS(Barbados!$L:$L, Barbados!$B:$B, $A48, Barbados!$D:$D, "London") + SUMIFS(Bermuda!$L:$L, Bermuda!$B:$B, $A48, Bermuda!$D:$D, "London") + SUMIFS(Carolina!$L:$L, Carolina!$B:$B, $A48, Carolina!$D:$D, "London") + SUMIFS(Jamaica!$L:$L, Jamaica!$B:$B, $A48, Jamaica!$D:$D, "London") + SUMIFS(Mountserat!$L:$L, Mountserat!$B:$B, $A48, Mountserat!$D:$D, "London") + SUMIFS(Nevis!$L:$L, Nevis!$B:$B, $A48, Nevis!$D:$D, "London") + SUMIFS(NewEngland!$L:$L, NewEngland!$B:$B, $A48, NewEngland!$D:$D, "London")</f>
        <v>22.975892857142856</v>
      </c>
      <c r="C48">
        <f>SUMIFS(Antigua!$L:$L, Antigua!$B:$B, $A48, Antigua!$D:$D, "Out Ports") + SUMIFS(Barbados!$L:$L, Barbados!$B:$B, $A48, Barbados!$D:$D, "Out Ports") + SUMIFS(Bermuda!$L:$L, Bermuda!$B:$B, $A48, Bermuda!$D:$D, "Out Ports") + SUMIFS(Carolina!$L:$L, Carolina!$B:$B, $A48, Carolina!$D:$D, "Out Ports") + SUMIFS(Jamaica!$L:$L, Jamaica!$B:$B, $A48, Jamaica!$D:$D, "Out Ports") + SUMIFS(Mountserat!$L:$L, Mountserat!$B:$B, $A48, Mountserat!$D:$D, "Out Ports") + SUMIFS(Nevis!$L:$L, Nevis!$B:$B, $A48, Nevis!$D:$D, "Out Ports") + SUMIFS(NewEngland!$L:$L, NewEngland!$B:$B, $A48, NewEngland!$D:$D, "Out Ports")</f>
        <v>18.282142857142858</v>
      </c>
      <c r="D48">
        <f t="shared" si="0"/>
        <v>41.26</v>
      </c>
    </row>
    <row r="49" spans="1:4" x14ac:dyDescent="0.25">
      <c r="A49" t="s">
        <v>125</v>
      </c>
      <c r="B49" s="2">
        <f>SUMIFS(Antigua!$L:$L, Antigua!$B:$B, $A49, Antigua!$D:$D, "London") + SUMIFS(Barbados!$L:$L, Barbados!$B:$B, $A49, Barbados!$D:$D, "London") + SUMIFS(Bermuda!$L:$L, Bermuda!$B:$B, $A49, Bermuda!$D:$D, "London") + SUMIFS(Carolina!$L:$L, Carolina!$B:$B, $A49, Carolina!$D:$D, "London") + SUMIFS(Jamaica!$L:$L, Jamaica!$B:$B, $A49, Jamaica!$D:$D, "London") + SUMIFS(Mountserat!$L:$L, Mountserat!$B:$B, $A49, Mountserat!$D:$D, "London") + SUMIFS(Nevis!$L:$L, Nevis!$B:$B, $A49, Nevis!$D:$D, "London") + SUMIFS(NewEngland!$L:$L, NewEngland!$B:$B, $A49, NewEngland!$D:$D, "London")</f>
        <v>0</v>
      </c>
      <c r="C49">
        <f>SUMIFS(Antigua!$L:$L, Antigua!$B:$B, $A49, Antigua!$D:$D, "Out Ports") + SUMIFS(Barbados!$L:$L, Barbados!$B:$B, $A49, Barbados!$D:$D, "Out Ports") + SUMIFS(Bermuda!$L:$L, Bermuda!$B:$B, $A49, Bermuda!$D:$D, "Out Ports") + SUMIFS(Carolina!$L:$L, Carolina!$B:$B, $A49, Carolina!$D:$D, "Out Ports") + SUMIFS(Jamaica!$L:$L, Jamaica!$B:$B, $A49, Jamaica!$D:$D, "Out Ports") + SUMIFS(Mountserat!$L:$L, Mountserat!$B:$B, $A49, Mountserat!$D:$D, "Out Ports") + SUMIFS(Nevis!$L:$L, Nevis!$B:$B, $A49, Nevis!$D:$D, "Out Ports") + SUMIFS(NewEngland!$L:$L, NewEngland!$B:$B, $A49, NewEngland!$D:$D, "Out Ports")</f>
        <v>0</v>
      </c>
      <c r="D49">
        <f t="shared" si="0"/>
        <v>0</v>
      </c>
    </row>
    <row r="50" spans="1:4" x14ac:dyDescent="0.25">
      <c r="A50" t="s">
        <v>28</v>
      </c>
      <c r="B50" s="2">
        <f>SUMIFS(Antigua!$L:$L, Antigua!$B:$B, $A50, Antigua!$D:$D, "London") + SUMIFS(Barbados!$L:$L, Barbados!$B:$B, $A50, Barbados!$D:$D, "London") + SUMIFS(Bermuda!$L:$L, Bermuda!$B:$B, $A50, Bermuda!$D:$D, "London") + SUMIFS(Carolina!$L:$L, Carolina!$B:$B, $A50, Carolina!$D:$D, "London") + SUMIFS(Jamaica!$L:$L, Jamaica!$B:$B, $A50, Jamaica!$D:$D, "London") + SUMIFS(Mountserat!$L:$L, Mountserat!$B:$B, $A50, Mountserat!$D:$D, "London") + SUMIFS(Nevis!$L:$L, Nevis!$B:$B, $A50, Nevis!$D:$D, "London") + SUMIFS(NewEngland!$L:$L, NewEngland!$B:$B, $A50, NewEngland!$D:$D, "London")</f>
        <v>44.241071428571423</v>
      </c>
      <c r="C50">
        <f>SUMIFS(Antigua!$L:$L, Antigua!$B:$B, $A50, Antigua!$D:$D, "Out Ports") + SUMIFS(Barbados!$L:$L, Barbados!$B:$B, $A50, Barbados!$D:$D, "Out Ports") + SUMIFS(Bermuda!$L:$L, Bermuda!$B:$B, $A50, Bermuda!$D:$D, "Out Ports") + SUMIFS(Carolina!$L:$L, Carolina!$B:$B, $A50, Carolina!$D:$D, "Out Ports") + SUMIFS(Jamaica!$L:$L, Jamaica!$B:$B, $A50, Jamaica!$D:$D, "Out Ports") + SUMIFS(Mountserat!$L:$L, Mountserat!$B:$B, $A50, Mountserat!$D:$D, "Out Ports") + SUMIFS(Nevis!$L:$L, Nevis!$B:$B, $A50, Nevis!$D:$D, "Out Ports") + SUMIFS(NewEngland!$L:$L, NewEngland!$B:$B, $A50, NewEngland!$D:$D, "Out Ports")</f>
        <v>9.0683035714285722</v>
      </c>
      <c r="D50">
        <f t="shared" si="0"/>
        <v>53.31</v>
      </c>
    </row>
    <row r="51" spans="1:4" x14ac:dyDescent="0.25">
      <c r="A51" t="s">
        <v>23</v>
      </c>
      <c r="B51" s="2">
        <f>SUMIFS(Antigua!$L:$L, Antigua!$B:$B, $A51, Antigua!$D:$D, "London") + SUMIFS(Barbados!$L:$L, Barbados!$B:$B, $A51, Barbados!$D:$D, "London") + SUMIFS(Bermuda!$L:$L, Bermuda!$B:$B, $A51, Bermuda!$D:$D, "London") + SUMIFS(Carolina!$L:$L, Carolina!$B:$B, $A51, Carolina!$D:$D, "London") + SUMIFS(Jamaica!$L:$L, Jamaica!$B:$B, $A51, Jamaica!$D:$D, "London") + SUMIFS(Mountserat!$L:$L, Mountserat!$B:$B, $A51, Mountserat!$D:$D, "London") + SUMIFS(Nevis!$L:$L, Nevis!$B:$B, $A51, Nevis!$D:$D, "London") + SUMIFS(NewEngland!$L:$L, NewEngland!$B:$B, $A51, NewEngland!$D:$D, "London")</f>
        <v>7.6491071428571429</v>
      </c>
      <c r="C51">
        <f>SUMIFS(Antigua!$L:$L, Antigua!$B:$B, $A51, Antigua!$D:$D, "Out Ports") + SUMIFS(Barbados!$L:$L, Barbados!$B:$B, $A51, Barbados!$D:$D, "Out Ports") + SUMIFS(Bermuda!$L:$L, Bermuda!$B:$B, $A51, Bermuda!$D:$D, "Out Ports") + SUMIFS(Carolina!$L:$L, Carolina!$B:$B, $A51, Carolina!$D:$D, "Out Ports") + SUMIFS(Jamaica!$L:$L, Jamaica!$B:$B, $A51, Jamaica!$D:$D, "Out Ports") + SUMIFS(Mountserat!$L:$L, Mountserat!$B:$B, $A51, Mountserat!$D:$D, "Out Ports") + SUMIFS(Nevis!$L:$L, Nevis!$B:$B, $A51, Nevis!$D:$D, "Out Ports") + SUMIFS(NewEngland!$L:$L, NewEngland!$B:$B, $A51, NewEngland!$D:$D, "Out Ports")</f>
        <v>0.53638392857142858</v>
      </c>
      <c r="D51">
        <f t="shared" si="0"/>
        <v>8.19</v>
      </c>
    </row>
    <row r="52" spans="1:4" x14ac:dyDescent="0.25">
      <c r="A52" t="s">
        <v>79</v>
      </c>
      <c r="B52" s="2">
        <f>SUMIFS(Antigua!$L:$L, Antigua!$B:$B, $A52, Antigua!$D:$D, "London") + SUMIFS(Barbados!$L:$L, Barbados!$B:$B, $A52, Barbados!$D:$D, "London") + SUMIFS(Bermuda!$L:$L, Bermuda!$B:$B, $A52, Bermuda!$D:$D, "London") + SUMIFS(Carolina!$L:$L, Carolina!$B:$B, $A52, Carolina!$D:$D, "London") + SUMIFS(Jamaica!$L:$L, Jamaica!$B:$B, $A52, Jamaica!$D:$D, "London") + SUMIFS(Mountserat!$L:$L, Mountserat!$B:$B, $A52, Mountserat!$D:$D, "London") + SUMIFS(Nevis!$L:$L, Nevis!$B:$B, $A52, Nevis!$D:$D, "London") + SUMIFS(NewEngland!$L:$L, NewEngland!$B:$B, $A52, NewEngland!$D:$D, "London")</f>
        <v>0.15</v>
      </c>
      <c r="C52">
        <f>SUMIFS(Antigua!$L:$L, Antigua!$B:$B, $A52, Antigua!$D:$D, "Out Ports") + SUMIFS(Barbados!$L:$L, Barbados!$B:$B, $A52, Barbados!$D:$D, "Out Ports") + SUMIFS(Bermuda!$L:$L, Bermuda!$B:$B, $A52, Bermuda!$D:$D, "Out Ports") + SUMIFS(Carolina!$L:$L, Carolina!$B:$B, $A52, Carolina!$D:$D, "Out Ports") + SUMIFS(Jamaica!$L:$L, Jamaica!$B:$B, $A52, Jamaica!$D:$D, "Out Ports") + SUMIFS(Mountserat!$L:$L, Mountserat!$B:$B, $A52, Mountserat!$D:$D, "Out Ports") + SUMIFS(Nevis!$L:$L, Nevis!$B:$B, $A52, Nevis!$D:$D, "Out Ports") + SUMIFS(NewEngland!$L:$L, NewEngland!$B:$B, $A52, NewEngland!$D:$D, "Out Ports")</f>
        <v>0</v>
      </c>
      <c r="D52">
        <f t="shared" si="0"/>
        <v>0.15</v>
      </c>
    </row>
    <row r="53" spans="1:4" x14ac:dyDescent="0.25">
      <c r="A53" t="s">
        <v>25</v>
      </c>
      <c r="B53" s="2">
        <f>SUMIFS(Antigua!$L:$L, Antigua!$B:$B, $A53, Antigua!$D:$D, "London") + SUMIFS(Barbados!$L:$L, Barbados!$B:$B, $A53, Barbados!$D:$D, "London") + SUMIFS(Bermuda!$L:$L, Bermuda!$B:$B, $A53, Bermuda!$D:$D, "London") + SUMIFS(Carolina!$L:$L, Carolina!$B:$B, $A53, Carolina!$D:$D, "London") + SUMIFS(Jamaica!$L:$L, Jamaica!$B:$B, $A53, Jamaica!$D:$D, "London") + SUMIFS(Mountserat!$L:$L, Mountserat!$B:$B, $A53, Mountserat!$D:$D, "London") + SUMIFS(Nevis!$L:$L, Nevis!$B:$B, $A53, Nevis!$D:$D, "London") + SUMIFS(NewEngland!$L:$L, NewEngland!$B:$B, $A53, NewEngland!$D:$D, "London")</f>
        <v>9.8625000000000007</v>
      </c>
      <c r="C53">
        <f>SUMIFS(Antigua!$L:$L, Antigua!$B:$B, $A53, Antigua!$D:$D, "Out Ports") + SUMIFS(Barbados!$L:$L, Barbados!$B:$B, $A53, Barbados!$D:$D, "Out Ports") + SUMIFS(Bermuda!$L:$L, Bermuda!$B:$B, $A53, Bermuda!$D:$D, "Out Ports") + SUMIFS(Carolina!$L:$L, Carolina!$B:$B, $A53, Carolina!$D:$D, "Out Ports") + SUMIFS(Jamaica!$L:$L, Jamaica!$B:$B, $A53, Jamaica!$D:$D, "Out Ports") + SUMIFS(Mountserat!$L:$L, Mountserat!$B:$B, $A53, Mountserat!$D:$D, "Out Ports") + SUMIFS(Nevis!$L:$L, Nevis!$B:$B, $A53, Nevis!$D:$D, "Out Ports") + SUMIFS(NewEngland!$L:$L, NewEngland!$B:$B, $A53, NewEngland!$D:$D, "Out Ports")</f>
        <v>1.2767857142857142</v>
      </c>
      <c r="D53">
        <f t="shared" si="0"/>
        <v>11.14</v>
      </c>
    </row>
    <row r="54" spans="1:4" x14ac:dyDescent="0.25">
      <c r="A54" t="s">
        <v>42</v>
      </c>
      <c r="B54" s="2">
        <f>SUMIFS(Antigua!$L:$L, Antigua!$B:$B, $A54, Antigua!$D:$D, "London") + SUMIFS(Barbados!$L:$L, Barbados!$B:$B, $A54, Barbados!$D:$D, "London") + SUMIFS(Bermuda!$L:$L, Bermuda!$B:$B, $A54, Bermuda!$D:$D, "London") + SUMIFS(Carolina!$L:$L, Carolina!$B:$B, $A54, Carolina!$D:$D, "London") + SUMIFS(Jamaica!$L:$L, Jamaica!$B:$B, $A54, Jamaica!$D:$D, "London") + SUMIFS(Mountserat!$L:$L, Mountserat!$B:$B, $A54, Mountserat!$D:$D, "London") + SUMIFS(Nevis!$L:$L, Nevis!$B:$B, $A54, Nevis!$D:$D, "London") + SUMIFS(NewEngland!$L:$L, NewEngland!$B:$B, $A54, NewEngland!$D:$D, "London")</f>
        <v>0</v>
      </c>
      <c r="C54">
        <f>SUMIFS(Antigua!$L:$L, Antigua!$B:$B, $A54, Antigua!$D:$D, "Out Ports") + SUMIFS(Barbados!$L:$L, Barbados!$B:$B, $A54, Barbados!$D:$D, "Out Ports") + SUMIFS(Bermuda!$L:$L, Bermuda!$B:$B, $A54, Bermuda!$D:$D, "Out Ports") + SUMIFS(Carolina!$L:$L, Carolina!$B:$B, $A54, Carolina!$D:$D, "Out Ports") + SUMIFS(Jamaica!$L:$L, Jamaica!$B:$B, $A54, Jamaica!$D:$D, "Out Ports") + SUMIFS(Mountserat!$L:$L, Mountserat!$B:$B, $A54, Mountserat!$D:$D, "Out Ports") + SUMIFS(Nevis!$L:$L, Nevis!$B:$B, $A54, Nevis!$D:$D, "Out Ports") + SUMIFS(NewEngland!$L:$L, NewEngland!$B:$B, $A54, NewEngland!$D:$D, "Out Ports")</f>
        <v>0</v>
      </c>
      <c r="D54">
        <f t="shared" si="0"/>
        <v>0</v>
      </c>
    </row>
    <row r="55" spans="1:4" x14ac:dyDescent="0.25">
      <c r="A55" t="s">
        <v>126</v>
      </c>
      <c r="B55" s="2">
        <f>SUMIFS(Antigua!$L:$L, Antigua!$B:$B, $A55, Antigua!$D:$D, "London") + SUMIFS(Barbados!$L:$L, Barbados!$B:$B, $A55, Barbados!$D:$D, "London") + SUMIFS(Bermuda!$L:$L, Bermuda!$B:$B, $A55, Bermuda!$D:$D, "London") + SUMIFS(Carolina!$L:$L, Carolina!$B:$B, $A55, Carolina!$D:$D, "London") + SUMIFS(Jamaica!$L:$L, Jamaica!$B:$B, $A55, Jamaica!$D:$D, "London") + SUMIFS(Mountserat!$L:$L, Mountserat!$B:$B, $A55, Mountserat!$D:$D, "London") + SUMIFS(Nevis!$L:$L, Nevis!$B:$B, $A55, Nevis!$D:$D, "London") + SUMIFS(NewEngland!$L:$L, NewEngland!$B:$B, $A55, NewEngland!$D:$D, "London")</f>
        <v>0</v>
      </c>
      <c r="C55">
        <f>SUMIFS(Antigua!$L:$L, Antigua!$B:$B, $A55, Antigua!$D:$D, "Out Ports") + SUMIFS(Barbados!$L:$L, Barbados!$B:$B, $A55, Barbados!$D:$D, "Out Ports") + SUMIFS(Bermuda!$L:$L, Bermuda!$B:$B, $A55, Bermuda!$D:$D, "Out Ports") + SUMIFS(Carolina!$L:$L, Carolina!$B:$B, $A55, Carolina!$D:$D, "Out Ports") + SUMIFS(Jamaica!$L:$L, Jamaica!$B:$B, $A55, Jamaica!$D:$D, "Out Ports") + SUMIFS(Mountserat!$L:$L, Mountserat!$B:$B, $A55, Mountserat!$D:$D, "Out Ports") + SUMIFS(Nevis!$L:$L, Nevis!$B:$B, $A55, Nevis!$D:$D, "Out Ports") + SUMIFS(NewEngland!$L:$L, NewEngland!$B:$B, $A55, NewEngland!$D:$D, "Out Ports")</f>
        <v>0</v>
      </c>
      <c r="D55">
        <f t="shared" si="0"/>
        <v>0</v>
      </c>
    </row>
    <row r="56" spans="1:4" x14ac:dyDescent="0.25">
      <c r="A56" t="s">
        <v>13</v>
      </c>
      <c r="B56" s="2">
        <f>SUMIFS(Antigua!$L:$L, Antigua!$B:$B, $A56, Antigua!$D:$D, "London") + SUMIFS(Barbados!$L:$L, Barbados!$B:$B, $A56, Barbados!$D:$D, "London") + SUMIFS(Bermuda!$L:$L, Bermuda!$B:$B, $A56, Bermuda!$D:$D, "London") + SUMIFS(Carolina!$L:$L, Carolina!$B:$B, $A56, Carolina!$D:$D, "London") + SUMIFS(Jamaica!$L:$L, Jamaica!$B:$B, $A56, Jamaica!$D:$D, "London") + SUMIFS(Mountserat!$L:$L, Mountserat!$B:$B, $A56, Mountserat!$D:$D, "London") + SUMIFS(Nevis!$L:$L, Nevis!$B:$B, $A56, Nevis!$D:$D, "London") + SUMIFS(NewEngland!$L:$L, NewEngland!$B:$B, $A56, NewEngland!$D:$D, "London")</f>
        <v>2.0214285714285714</v>
      </c>
      <c r="C56">
        <f>SUMIFS(Antigua!$L:$L, Antigua!$B:$B, $A56, Antigua!$D:$D, "Out Ports") + SUMIFS(Barbados!$L:$L, Barbados!$B:$B, $A56, Barbados!$D:$D, "Out Ports") + SUMIFS(Bermuda!$L:$L, Bermuda!$B:$B, $A56, Bermuda!$D:$D, "Out Ports") + SUMIFS(Carolina!$L:$L, Carolina!$B:$B, $A56, Carolina!$D:$D, "Out Ports") + SUMIFS(Jamaica!$L:$L, Jamaica!$B:$B, $A56, Jamaica!$D:$D, "Out Ports") + SUMIFS(Mountserat!$L:$L, Mountserat!$B:$B, $A56, Mountserat!$D:$D, "Out Ports") + SUMIFS(Nevis!$L:$L, Nevis!$B:$B, $A56, Nevis!$D:$D, "Out Ports") + SUMIFS(NewEngland!$L:$L, NewEngland!$B:$B, $A56, NewEngland!$D:$D, "Out Ports")</f>
        <v>0.43080357142857145</v>
      </c>
      <c r="D56">
        <f t="shared" si="0"/>
        <v>2.4500000000000002</v>
      </c>
    </row>
    <row r="57" spans="1:4" x14ac:dyDescent="0.25">
      <c r="A57" t="s">
        <v>127</v>
      </c>
      <c r="B57" s="2">
        <f>SUMIFS(Antigua!$L:$L, Antigua!$B:$B, $A57, Antigua!$D:$D, "London") + SUMIFS(Barbados!$L:$L, Barbados!$B:$B, $A57, Barbados!$D:$D, "London") + SUMIFS(Bermuda!$L:$L, Bermuda!$B:$B, $A57, Bermuda!$D:$D, "London") + SUMIFS(Carolina!$L:$L, Carolina!$B:$B, $A57, Carolina!$D:$D, "London") + SUMIFS(Jamaica!$L:$L, Jamaica!$B:$B, $A57, Jamaica!$D:$D, "London") + SUMIFS(Mountserat!$L:$L, Mountserat!$B:$B, $A57, Mountserat!$D:$D, "London") + SUMIFS(Nevis!$L:$L, Nevis!$B:$B, $A57, Nevis!$D:$D, "London") + SUMIFS(NewEngland!$L:$L, NewEngland!$B:$B, $A57, NewEngland!$D:$D, "London")</f>
        <v>0.62008928571428568</v>
      </c>
      <c r="C57">
        <f>SUMIFS(Antigua!$L:$L, Antigua!$B:$B, $A57, Antigua!$D:$D, "Out Ports") + SUMIFS(Barbados!$L:$L, Barbados!$B:$B, $A57, Barbados!$D:$D, "Out Ports") + SUMIFS(Bermuda!$L:$L, Bermuda!$B:$B, $A57, Bermuda!$D:$D, "Out Ports") + SUMIFS(Carolina!$L:$L, Carolina!$B:$B, $A57, Carolina!$D:$D, "Out Ports") + SUMIFS(Jamaica!$L:$L, Jamaica!$B:$B, $A57, Jamaica!$D:$D, "Out Ports") + SUMIFS(Mountserat!$L:$L, Mountserat!$B:$B, $A57, Mountserat!$D:$D, "Out Ports") + SUMIFS(Nevis!$L:$L, Nevis!$B:$B, $A57, Nevis!$D:$D, "Out Ports") + SUMIFS(NewEngland!$L:$L, NewEngland!$B:$B, $A57, NewEngland!$D:$D, "Out Ports")</f>
        <v>0.28794642857142855</v>
      </c>
      <c r="D57">
        <f t="shared" si="0"/>
        <v>0.91</v>
      </c>
    </row>
    <row r="58" spans="1:4" x14ac:dyDescent="0.25">
      <c r="A58" t="s">
        <v>21</v>
      </c>
      <c r="B58" s="2">
        <f>SUMIFS(Antigua!$L:$L, Antigua!$B:$B, $A58, Antigua!$D:$D, "London") + SUMIFS(Barbados!$L:$L, Barbados!$B:$B, $A58, Barbados!$D:$D, "London") + SUMIFS(Bermuda!$L:$L, Bermuda!$B:$B, $A58, Bermuda!$D:$D, "London") + SUMIFS(Carolina!$L:$L, Carolina!$B:$B, $A58, Carolina!$D:$D, "London") + SUMIFS(Jamaica!$L:$L, Jamaica!$B:$B, $A58, Jamaica!$D:$D, "London") + SUMIFS(Mountserat!$L:$L, Mountserat!$B:$B, $A58, Mountserat!$D:$D, "London") + SUMIFS(Nevis!$L:$L, Nevis!$B:$B, $A58, Nevis!$D:$D, "London") + SUMIFS(NewEngland!$L:$L, NewEngland!$B:$B, $A58, NewEngland!$D:$D, "London")</f>
        <v>97.457142857142856</v>
      </c>
      <c r="C58">
        <f>SUMIFS(Antigua!$L:$L, Antigua!$B:$B, $A58, Antigua!$D:$D, "Out Ports") + SUMIFS(Barbados!$L:$L, Barbados!$B:$B, $A58, Barbados!$D:$D, "Out Ports") + SUMIFS(Bermuda!$L:$L, Bermuda!$B:$B, $A58, Bermuda!$D:$D, "Out Ports") + SUMIFS(Carolina!$L:$L, Carolina!$B:$B, $A58, Carolina!$D:$D, "Out Ports") + SUMIFS(Jamaica!$L:$L, Jamaica!$B:$B, $A58, Jamaica!$D:$D, "Out Ports") + SUMIFS(Mountserat!$L:$L, Mountserat!$B:$B, $A58, Mountserat!$D:$D, "Out Ports") + SUMIFS(Nevis!$L:$L, Nevis!$B:$B, $A58, Nevis!$D:$D, "Out Ports") + SUMIFS(NewEngland!$L:$L, NewEngland!$B:$B, $A58, NewEngland!$D:$D, "Out Ports")</f>
        <v>129.22633928571429</v>
      </c>
      <c r="D58">
        <f t="shared" si="0"/>
        <v>226.68</v>
      </c>
    </row>
    <row r="59" spans="1:4" x14ac:dyDescent="0.25">
      <c r="A59" t="s">
        <v>24</v>
      </c>
      <c r="B59" s="2">
        <f>SUMIFS(Antigua!$L:$L, Antigua!$B:$B, $A59, Antigua!$D:$D, "London") + SUMIFS(Barbados!$L:$L, Barbados!$B:$B, $A59, Barbados!$D:$D, "London") + SUMIFS(Bermuda!$L:$L, Bermuda!$B:$B, $A59, Bermuda!$D:$D, "London") + SUMIFS(Carolina!$L:$L, Carolina!$B:$B, $A59, Carolina!$D:$D, "London") + SUMIFS(Jamaica!$L:$L, Jamaica!$B:$B, $A59, Jamaica!$D:$D, "London") + SUMIFS(Mountserat!$L:$L, Mountserat!$B:$B, $A59, Mountserat!$D:$D, "London") + SUMIFS(Nevis!$L:$L, Nevis!$B:$B, $A59, Nevis!$D:$D, "London") + SUMIFS(NewEngland!$L:$L, NewEngland!$B:$B, $A59, NewEngland!$D:$D, "London")</f>
        <v>2.59375</v>
      </c>
      <c r="C59">
        <f>SUMIFS(Antigua!$L:$L, Antigua!$B:$B, $A59, Antigua!$D:$D, "Out Ports") + SUMIFS(Barbados!$L:$L, Barbados!$B:$B, $A59, Barbados!$D:$D, "Out Ports") + SUMIFS(Bermuda!$L:$L, Bermuda!$B:$B, $A59, Bermuda!$D:$D, "Out Ports") + SUMIFS(Carolina!$L:$L, Carolina!$B:$B, $A59, Carolina!$D:$D, "Out Ports") + SUMIFS(Jamaica!$L:$L, Jamaica!$B:$B, $A59, Jamaica!$D:$D, "Out Ports") + SUMIFS(Mountserat!$L:$L, Mountserat!$B:$B, $A59, Mountserat!$D:$D, "Out Ports") + SUMIFS(Nevis!$L:$L, Nevis!$B:$B, $A59, Nevis!$D:$D, "Out Ports") + SUMIFS(NewEngland!$L:$L, NewEngland!$B:$B, $A59, NewEngland!$D:$D, "Out Ports")</f>
        <v>0.2294642857142857</v>
      </c>
      <c r="D59">
        <f t="shared" si="0"/>
        <v>2.82</v>
      </c>
    </row>
    <row r="60" spans="1:4" x14ac:dyDescent="0.25">
      <c r="A60" t="s">
        <v>128</v>
      </c>
      <c r="B60" s="2">
        <f>SUMIFS(Antigua!$L:$L, Antigua!$B:$B, $A60, Antigua!$D:$D, "London") + SUMIFS(Barbados!$L:$L, Barbados!$B:$B, $A60, Barbados!$D:$D, "London") + SUMIFS(Bermuda!$L:$L, Bermuda!$B:$B, $A60, Bermuda!$D:$D, "London") + SUMIFS(Carolina!$L:$L, Carolina!$B:$B, $A60, Carolina!$D:$D, "London") + SUMIFS(Jamaica!$L:$L, Jamaica!$B:$B, $A60, Jamaica!$D:$D, "London") + SUMIFS(Mountserat!$L:$L, Mountserat!$B:$B, $A60, Mountserat!$D:$D, "London") + SUMIFS(Nevis!$L:$L, Nevis!$B:$B, $A60, Nevis!$D:$D, "London") + SUMIFS(NewEngland!$L:$L, NewEngland!$B:$B, $A60, NewEngland!$D:$D, "London")</f>
        <v>0</v>
      </c>
      <c r="C60">
        <f>SUMIFS(Antigua!$L:$L, Antigua!$B:$B, $A60, Antigua!$D:$D, "Out Ports") + SUMIFS(Barbados!$L:$L, Barbados!$B:$B, $A60, Barbados!$D:$D, "Out Ports") + SUMIFS(Bermuda!$L:$L, Bermuda!$B:$B, $A60, Bermuda!$D:$D, "Out Ports") + SUMIFS(Carolina!$L:$L, Carolina!$B:$B, $A60, Carolina!$D:$D, "Out Ports") + SUMIFS(Jamaica!$L:$L, Jamaica!$B:$B, $A60, Jamaica!$D:$D, "Out Ports") + SUMIFS(Mountserat!$L:$L, Mountserat!$B:$B, $A60, Mountserat!$D:$D, "Out Ports") + SUMIFS(Nevis!$L:$L, Nevis!$B:$B, $A60, Nevis!$D:$D, "Out Ports") + SUMIFS(NewEngland!$L:$L, NewEngland!$B:$B, $A60, NewEngland!$D:$D, "Out Ports")</f>
        <v>0</v>
      </c>
      <c r="D60">
        <f t="shared" si="0"/>
        <v>0</v>
      </c>
    </row>
    <row r="61" spans="1:4" x14ac:dyDescent="0.25">
      <c r="A61" t="s">
        <v>19</v>
      </c>
      <c r="B61" s="2">
        <f>SUMIFS(Antigua!$L:$L, Antigua!$B:$B, $A61, Antigua!$D:$D, "London") + SUMIFS(Barbados!$L:$L, Barbados!$B:$B, $A61, Barbados!$D:$D, "London") + SUMIFS(Bermuda!$L:$L, Bermuda!$B:$B, $A61, Bermuda!$D:$D, "London") + SUMIFS(Carolina!$L:$L, Carolina!$B:$B, $A61, Carolina!$D:$D, "London") + SUMIFS(Jamaica!$L:$L, Jamaica!$B:$B, $A61, Jamaica!$D:$D, "London") + SUMIFS(Mountserat!$L:$L, Mountserat!$B:$B, $A61, Mountserat!$D:$D, "London") + SUMIFS(Nevis!$L:$L, Nevis!$B:$B, $A61, Nevis!$D:$D, "London") + SUMIFS(NewEngland!$L:$L, NewEngland!$B:$B, $A61, NewEngland!$D:$D, "London")</f>
        <v>370.0049107142857</v>
      </c>
      <c r="C61">
        <f>SUMIFS(Antigua!$L:$L, Antigua!$B:$B, $A61, Antigua!$D:$D, "Out Ports") + SUMIFS(Barbados!$L:$L, Barbados!$B:$B, $A61, Barbados!$D:$D, "Out Ports") + SUMIFS(Bermuda!$L:$L, Bermuda!$B:$B, $A61, Bermuda!$D:$D, "Out Ports") + SUMIFS(Carolina!$L:$L, Carolina!$B:$B, $A61, Carolina!$D:$D, "Out Ports") + SUMIFS(Jamaica!$L:$L, Jamaica!$B:$B, $A61, Jamaica!$D:$D, "Out Ports") + SUMIFS(Mountserat!$L:$L, Mountserat!$B:$B, $A61, Mountserat!$D:$D, "Out Ports") + SUMIFS(Nevis!$L:$L, Nevis!$B:$B, $A61, Nevis!$D:$D, "Out Ports") + SUMIFS(NewEngland!$L:$L, NewEngland!$B:$B, $A61, NewEngland!$D:$D, "Out Ports")</f>
        <v>5.8080357142857144</v>
      </c>
      <c r="D61">
        <f t="shared" si="0"/>
        <v>375.81</v>
      </c>
    </row>
    <row r="62" spans="1:4" x14ac:dyDescent="0.25">
      <c r="A62" t="s">
        <v>129</v>
      </c>
      <c r="B62" s="2">
        <f>SUMIFS(Antigua!$L:$L, Antigua!$B:$B, $A62, Antigua!$D:$D, "London") + SUMIFS(Barbados!$L:$L, Barbados!$B:$B, $A62, Barbados!$D:$D, "London") + SUMIFS(Bermuda!$L:$L, Bermuda!$B:$B, $A62, Bermuda!$D:$D, "London") + SUMIFS(Carolina!$L:$L, Carolina!$B:$B, $A62, Carolina!$D:$D, "London") + SUMIFS(Jamaica!$L:$L, Jamaica!$B:$B, $A62, Jamaica!$D:$D, "London") + SUMIFS(Mountserat!$L:$L, Mountserat!$B:$B, $A62, Mountserat!$D:$D, "London") + SUMIFS(Nevis!$L:$L, Nevis!$B:$B, $A62, Nevis!$D:$D, "London") + SUMIFS(NewEngland!$L:$L, NewEngland!$B:$B, $A62, NewEngland!$D:$D, "London")</f>
        <v>141.69999999999999</v>
      </c>
      <c r="C62">
        <f>SUMIFS(Antigua!$L:$L, Antigua!$B:$B, $A62, Antigua!$D:$D, "Out Ports") + SUMIFS(Barbados!$L:$L, Barbados!$B:$B, $A62, Barbados!$D:$D, "Out Ports") + SUMIFS(Bermuda!$L:$L, Bermuda!$B:$B, $A62, Bermuda!$D:$D, "Out Ports") + SUMIFS(Carolina!$L:$L, Carolina!$B:$B, $A62, Carolina!$D:$D, "Out Ports") + SUMIFS(Jamaica!$L:$L, Jamaica!$B:$B, $A62, Jamaica!$D:$D, "Out Ports") + SUMIFS(Mountserat!$L:$L, Mountserat!$B:$B, $A62, Mountserat!$D:$D, "Out Ports") + SUMIFS(Nevis!$L:$L, Nevis!$B:$B, $A62, Nevis!$D:$D, "Out Ports") + SUMIFS(NewEngland!$L:$L, NewEngland!$B:$B, $A62, NewEngland!$D:$D, "Out Ports")</f>
        <v>16.226785714285715</v>
      </c>
      <c r="D62">
        <f t="shared" si="0"/>
        <v>157.93</v>
      </c>
    </row>
    <row r="63" spans="1:4" x14ac:dyDescent="0.25">
      <c r="A63" t="s">
        <v>130</v>
      </c>
      <c r="B63" s="2">
        <f>SUMIFS(Antigua!$L:$L, Antigua!$B:$B, $A63, Antigua!$D:$D, "London") + SUMIFS(Barbados!$L:$L, Barbados!$B:$B, $A63, Barbados!$D:$D, "London") + SUMIFS(Bermuda!$L:$L, Bermuda!$B:$B, $A63, Bermuda!$D:$D, "London") + SUMIFS(Carolina!$L:$L, Carolina!$B:$B, $A63, Carolina!$D:$D, "London") + SUMIFS(Jamaica!$L:$L, Jamaica!$B:$B, $A63, Jamaica!$D:$D, "London") + SUMIFS(Mountserat!$L:$L, Mountserat!$B:$B, $A63, Mountserat!$D:$D, "London") + SUMIFS(Nevis!$L:$L, Nevis!$B:$B, $A63, Nevis!$D:$D, "London") + SUMIFS(NewEngland!$L:$L, NewEngland!$B:$B, $A63, NewEngland!$D:$D, "London")</f>
        <v>0</v>
      </c>
      <c r="C63">
        <f>SUMIFS(Antigua!$L:$L, Antigua!$B:$B, $A63, Antigua!$D:$D, "Out Ports") + SUMIFS(Barbados!$L:$L, Barbados!$B:$B, $A63, Barbados!$D:$D, "Out Ports") + SUMIFS(Bermuda!$L:$L, Bermuda!$B:$B, $A63, Bermuda!$D:$D, "Out Ports") + SUMIFS(Carolina!$L:$L, Carolina!$B:$B, $A63, Carolina!$D:$D, "Out Ports") + SUMIFS(Jamaica!$L:$L, Jamaica!$B:$B, $A63, Jamaica!$D:$D, "Out Ports") + SUMIFS(Mountserat!$L:$L, Mountserat!$B:$B, $A63, Mountserat!$D:$D, "Out Ports") + SUMIFS(Nevis!$L:$L, Nevis!$B:$B, $A63, Nevis!$D:$D, "Out Ports") + SUMIFS(NewEngland!$L:$L, NewEngland!$B:$B, $A63, NewEngland!$D:$D, "Out Ports")</f>
        <v>0</v>
      </c>
      <c r="D63">
        <f t="shared" si="0"/>
        <v>0</v>
      </c>
    </row>
    <row r="64" spans="1:4" x14ac:dyDescent="0.25">
      <c r="A64" t="s">
        <v>131</v>
      </c>
      <c r="B64" s="2">
        <f>SUMIFS(Antigua!$L:$L, Antigua!$B:$B, $A64, Antigua!$D:$D, "London") + SUMIFS(Barbados!$L:$L, Barbados!$B:$B, $A64, Barbados!$D:$D, "London") + SUMIFS(Bermuda!$L:$L, Bermuda!$B:$B, $A64, Bermuda!$D:$D, "London") + SUMIFS(Carolina!$L:$L, Carolina!$B:$B, $A64, Carolina!$D:$D, "London") + SUMIFS(Jamaica!$L:$L, Jamaica!$B:$B, $A64, Jamaica!$D:$D, "London") + SUMIFS(Mountserat!$L:$L, Mountserat!$B:$B, $A64, Mountserat!$D:$D, "London") + SUMIFS(Nevis!$L:$L, Nevis!$B:$B, $A64, Nevis!$D:$D, "London") + SUMIFS(NewEngland!$L:$L, NewEngland!$B:$B, $A64, NewEngland!$D:$D, "London")</f>
        <v>0</v>
      </c>
      <c r="C64">
        <f>SUMIFS(Antigua!$L:$L, Antigua!$B:$B, $A64, Antigua!$D:$D, "Out Ports") + SUMIFS(Barbados!$L:$L, Barbados!$B:$B, $A64, Barbados!$D:$D, "Out Ports") + SUMIFS(Bermuda!$L:$L, Bermuda!$B:$B, $A64, Bermuda!$D:$D, "Out Ports") + SUMIFS(Carolina!$L:$L, Carolina!$B:$B, $A64, Carolina!$D:$D, "Out Ports") + SUMIFS(Jamaica!$L:$L, Jamaica!$B:$B, $A64, Jamaica!$D:$D, "Out Ports") + SUMIFS(Mountserat!$L:$L, Mountserat!$B:$B, $A64, Mountserat!$D:$D, "Out Ports") + SUMIFS(Nevis!$L:$L, Nevis!$B:$B, $A64, Nevis!$D:$D, "Out Ports") + SUMIFS(NewEngland!$L:$L, NewEngland!$B:$B, $A64, NewEngland!$D:$D, "Out Ports")</f>
        <v>0</v>
      </c>
      <c r="D64">
        <f t="shared" si="0"/>
        <v>0</v>
      </c>
    </row>
    <row r="65" spans="1:4" x14ac:dyDescent="0.25">
      <c r="A65" t="s">
        <v>132</v>
      </c>
      <c r="B65" s="2">
        <f>SUMIFS(Antigua!$L:$L, Antigua!$B:$B, $A65, Antigua!$D:$D, "London") + SUMIFS(Barbados!$L:$L, Barbados!$B:$B, $A65, Barbados!$D:$D, "London") + SUMIFS(Bermuda!$L:$L, Bermuda!$B:$B, $A65, Bermuda!$D:$D, "London") + SUMIFS(Carolina!$L:$L, Carolina!$B:$B, $A65, Carolina!$D:$D, "London") + SUMIFS(Jamaica!$L:$L, Jamaica!$B:$B, $A65, Jamaica!$D:$D, "London") + SUMIFS(Mountserat!$L:$L, Mountserat!$B:$B, $A65, Mountserat!$D:$D, "London") + SUMIFS(Nevis!$L:$L, Nevis!$B:$B, $A65, Nevis!$D:$D, "London") + SUMIFS(NewEngland!$L:$L, NewEngland!$B:$B, $A65, NewEngland!$D:$D, "London")</f>
        <v>0.85</v>
      </c>
      <c r="C65">
        <f>SUMIFS(Antigua!$L:$L, Antigua!$B:$B, $A65, Antigua!$D:$D, "Out Ports") + SUMIFS(Barbados!$L:$L, Barbados!$B:$B, $A65, Barbados!$D:$D, "Out Ports") + SUMIFS(Bermuda!$L:$L, Bermuda!$B:$B, $A65, Bermuda!$D:$D, "Out Ports") + SUMIFS(Carolina!$L:$L, Carolina!$B:$B, $A65, Carolina!$D:$D, "Out Ports") + SUMIFS(Jamaica!$L:$L, Jamaica!$B:$B, $A65, Jamaica!$D:$D, "Out Ports") + SUMIFS(Mountserat!$L:$L, Mountserat!$B:$B, $A65, Mountserat!$D:$D, "Out Ports") + SUMIFS(Nevis!$L:$L, Nevis!$B:$B, $A65, Nevis!$D:$D, "Out Ports") + SUMIFS(NewEngland!$L:$L, NewEngland!$B:$B, $A65, NewEngland!$D:$D, "Out Ports")</f>
        <v>0</v>
      </c>
      <c r="D65">
        <f t="shared" si="0"/>
        <v>0.85</v>
      </c>
    </row>
    <row r="66" spans="1:4" x14ac:dyDescent="0.25">
      <c r="A66" t="s">
        <v>133</v>
      </c>
      <c r="B66" s="2">
        <f>SUMIFS(Antigua!$L:$L, Antigua!$B:$B, $A66, Antigua!$D:$D, "London") + SUMIFS(Barbados!$L:$L, Barbados!$B:$B, $A66, Barbados!$D:$D, "London") + SUMIFS(Bermuda!$L:$L, Bermuda!$B:$B, $A66, Bermuda!$D:$D, "London") + SUMIFS(Carolina!$L:$L, Carolina!$B:$B, $A66, Carolina!$D:$D, "London") + SUMIFS(Jamaica!$L:$L, Jamaica!$B:$B, $A66, Jamaica!$D:$D, "London") + SUMIFS(Mountserat!$L:$L, Mountserat!$B:$B, $A66, Mountserat!$D:$D, "London") + SUMIFS(Nevis!$L:$L, Nevis!$B:$B, $A66, Nevis!$D:$D, "London") + SUMIFS(NewEngland!$L:$L, NewEngland!$B:$B, $A66, NewEngland!$D:$D, "London")</f>
        <v>487.57723214285716</v>
      </c>
      <c r="C66">
        <f>SUMIFS(Antigua!$L:$L, Antigua!$B:$B, $A66, Antigua!$D:$D, "Out Ports") + SUMIFS(Barbados!$L:$L, Barbados!$B:$B, $A66, Barbados!$D:$D, "Out Ports") + SUMIFS(Bermuda!$L:$L, Bermuda!$B:$B, $A66, Bermuda!$D:$D, "Out Ports") + SUMIFS(Carolina!$L:$L, Carolina!$B:$B, $A66, Carolina!$D:$D, "Out Ports") + SUMIFS(Jamaica!$L:$L, Jamaica!$B:$B, $A66, Jamaica!$D:$D, "Out Ports") + SUMIFS(Mountserat!$L:$L, Mountserat!$B:$B, $A66, Mountserat!$D:$D, "Out Ports") + SUMIFS(Nevis!$L:$L, Nevis!$B:$B, $A66, Nevis!$D:$D, "Out Ports") + SUMIFS(NewEngland!$L:$L, NewEngland!$B:$B, $A66, NewEngland!$D:$D, "Out Ports")</f>
        <v>350.484375</v>
      </c>
      <c r="D66">
        <f t="shared" si="0"/>
        <v>838.06</v>
      </c>
    </row>
    <row r="67" spans="1:4" x14ac:dyDescent="0.25">
      <c r="A67" t="s">
        <v>134</v>
      </c>
      <c r="B67" s="2">
        <f>SUMIFS(Antigua!$L:$L, Antigua!$B:$B, $A67, Antigua!$D:$D, "London") + SUMIFS(Barbados!$L:$L, Barbados!$B:$B, $A67, Barbados!$D:$D, "London") + SUMIFS(Bermuda!$L:$L, Bermuda!$B:$B, $A67, Bermuda!$D:$D, "London") + SUMIFS(Carolina!$L:$L, Carolina!$B:$B, $A67, Carolina!$D:$D, "London") + SUMIFS(Jamaica!$L:$L, Jamaica!$B:$B, $A67, Jamaica!$D:$D, "London") + SUMIFS(Mountserat!$L:$L, Mountserat!$B:$B, $A67, Mountserat!$D:$D, "London") + SUMIFS(Nevis!$L:$L, Nevis!$B:$B, $A67, Nevis!$D:$D, "London") + SUMIFS(NewEngland!$L:$L, NewEngland!$B:$B, $A67, NewEngland!$D:$D, "London")</f>
        <v>0</v>
      </c>
      <c r="C67">
        <f>SUMIFS(Antigua!$L:$L, Antigua!$B:$B, $A67, Antigua!$D:$D, "Out Ports") + SUMIFS(Barbados!$L:$L, Barbados!$B:$B, $A67, Barbados!$D:$D, "Out Ports") + SUMIFS(Bermuda!$L:$L, Bermuda!$B:$B, $A67, Bermuda!$D:$D, "Out Ports") + SUMIFS(Carolina!$L:$L, Carolina!$B:$B, $A67, Carolina!$D:$D, "Out Ports") + SUMIFS(Jamaica!$L:$L, Jamaica!$B:$B, $A67, Jamaica!$D:$D, "Out Ports") + SUMIFS(Mountserat!$L:$L, Mountserat!$B:$B, $A67, Mountserat!$D:$D, "Out Ports") + SUMIFS(Nevis!$L:$L, Nevis!$B:$B, $A67, Nevis!$D:$D, "Out Ports") + SUMIFS(NewEngland!$L:$L, NewEngland!$B:$B, $A67, NewEngland!$D:$D, "Out Ports")</f>
        <v>0</v>
      </c>
      <c r="D67">
        <f t="shared" ref="D67:D74" si="1">ROUND((B67+C67),2)</f>
        <v>0</v>
      </c>
    </row>
    <row r="68" spans="1:4" x14ac:dyDescent="0.25">
      <c r="A68" t="s">
        <v>135</v>
      </c>
      <c r="B68" s="2">
        <f>SUMIFS(Antigua!$L:$L, Antigua!$B:$B, $A68, Antigua!$D:$D, "London") + SUMIFS(Barbados!$L:$L, Barbados!$B:$B, $A68, Barbados!$D:$D, "London") + SUMIFS(Bermuda!$L:$L, Bermuda!$B:$B, $A68, Bermuda!$D:$D, "London") + SUMIFS(Carolina!$L:$L, Carolina!$B:$B, $A68, Carolina!$D:$D, "London") + SUMIFS(Jamaica!$L:$L, Jamaica!$B:$B, $A68, Jamaica!$D:$D, "London") + SUMIFS(Mountserat!$L:$L, Mountserat!$B:$B, $A68, Mountserat!$D:$D, "London") + SUMIFS(Nevis!$L:$L, Nevis!$B:$B, $A68, Nevis!$D:$D, "London") + SUMIFS(NewEngland!$L:$L, NewEngland!$B:$B, $A68, NewEngland!$D:$D, "London")</f>
        <v>1483.9308035714287</v>
      </c>
      <c r="C68">
        <f>SUMIFS(Antigua!$L:$L, Antigua!$B:$B, $A68, Antigua!$D:$D, "Out Ports") + SUMIFS(Barbados!$L:$L, Barbados!$B:$B, $A68, Barbados!$D:$D, "Out Ports") + SUMIFS(Bermuda!$L:$L, Bermuda!$B:$B, $A68, Bermuda!$D:$D, "Out Ports") + SUMIFS(Carolina!$L:$L, Carolina!$B:$B, $A68, Carolina!$D:$D, "Out Ports") + SUMIFS(Jamaica!$L:$L, Jamaica!$B:$B, $A68, Jamaica!$D:$D, "Out Ports") + SUMIFS(Mountserat!$L:$L, Mountserat!$B:$B, $A68, Mountserat!$D:$D, "Out Ports") + SUMIFS(Nevis!$L:$L, Nevis!$B:$B, $A68, Nevis!$D:$D, "Out Ports") + SUMIFS(NewEngland!$L:$L, NewEngland!$B:$B, $A68, NewEngland!$D:$D, "Out Ports")</f>
        <v>724.18035714285713</v>
      </c>
      <c r="D68">
        <f t="shared" si="1"/>
        <v>2208.11</v>
      </c>
    </row>
    <row r="69" spans="1:4" x14ac:dyDescent="0.25">
      <c r="A69" t="s">
        <v>136</v>
      </c>
      <c r="B69" s="2">
        <f>SUMIFS(Antigua!$L:$L, Antigua!$B:$B, $A69, Antigua!$D:$D, "London") + SUMIFS(Barbados!$L:$L, Barbados!$B:$B, $A69, Barbados!$D:$D, "London") + SUMIFS(Bermuda!$L:$L, Bermuda!$B:$B, $A69, Bermuda!$D:$D, "London") + SUMIFS(Carolina!$L:$L, Carolina!$B:$B, $A69, Carolina!$D:$D, "London") + SUMIFS(Jamaica!$L:$L, Jamaica!$B:$B, $A69, Jamaica!$D:$D, "London") + SUMIFS(Mountserat!$L:$L, Mountserat!$B:$B, $A69, Mountserat!$D:$D, "London") + SUMIFS(Nevis!$L:$L, Nevis!$B:$B, $A69, Nevis!$D:$D, "London") + SUMIFS(NewEngland!$L:$L, NewEngland!$B:$B, $A69, NewEngland!$D:$D, "London")</f>
        <v>0</v>
      </c>
      <c r="C69">
        <f>SUMIFS(Antigua!$L:$L, Antigua!$B:$B, $A69, Antigua!$D:$D, "Out Ports") + SUMIFS(Barbados!$L:$L, Barbados!$B:$B, $A69, Barbados!$D:$D, "Out Ports") + SUMIFS(Bermuda!$L:$L, Bermuda!$B:$B, $A69, Bermuda!$D:$D, "Out Ports") + SUMIFS(Carolina!$L:$L, Carolina!$B:$B, $A69, Carolina!$D:$D, "Out Ports") + SUMIFS(Jamaica!$L:$L, Jamaica!$B:$B, $A69, Jamaica!$D:$D, "Out Ports") + SUMIFS(Mountserat!$L:$L, Mountserat!$B:$B, $A69, Mountserat!$D:$D, "Out Ports") + SUMIFS(Nevis!$L:$L, Nevis!$B:$B, $A69, Nevis!$D:$D, "Out Ports") + SUMIFS(NewEngland!$L:$L, NewEngland!$B:$B, $A69, NewEngland!$D:$D, "Out Ports")</f>
        <v>0</v>
      </c>
      <c r="D69">
        <f t="shared" si="1"/>
        <v>0</v>
      </c>
    </row>
    <row r="70" spans="1:4" x14ac:dyDescent="0.25">
      <c r="A70" t="s">
        <v>137</v>
      </c>
      <c r="B70" s="2">
        <f>SUMIFS(Antigua!$L:$L, Antigua!$B:$B, $A70, Antigua!$D:$D, "London") + SUMIFS(Barbados!$L:$L, Barbados!$B:$B, $A70, Barbados!$D:$D, "London") + SUMIFS(Bermuda!$L:$L, Bermuda!$B:$B, $A70, Bermuda!$D:$D, "London") + SUMIFS(Carolina!$L:$L, Carolina!$B:$B, $A70, Carolina!$D:$D, "London") + SUMIFS(Jamaica!$L:$L, Jamaica!$B:$B, $A70, Jamaica!$D:$D, "London") + SUMIFS(Mountserat!$L:$L, Mountserat!$B:$B, $A70, Mountserat!$D:$D, "London") + SUMIFS(Nevis!$L:$L, Nevis!$B:$B, $A70, Nevis!$D:$D, "London") + SUMIFS(NewEngland!$L:$L, NewEngland!$B:$B, $A70, NewEngland!$D:$D, "London")</f>
        <v>0</v>
      </c>
      <c r="C70">
        <f>SUMIFS(Antigua!$L:$L, Antigua!$B:$B, $A70, Antigua!$D:$D, "Out Ports") + SUMIFS(Barbados!$L:$L, Barbados!$B:$B, $A70, Barbados!$D:$D, "Out Ports") + SUMIFS(Bermuda!$L:$L, Bermuda!$B:$B, $A70, Bermuda!$D:$D, "Out Ports") + SUMIFS(Carolina!$L:$L, Carolina!$B:$B, $A70, Carolina!$D:$D, "Out Ports") + SUMIFS(Jamaica!$L:$L, Jamaica!$B:$B, $A70, Jamaica!$D:$D, "Out Ports") + SUMIFS(Mountserat!$L:$L, Mountserat!$B:$B, $A70, Mountserat!$D:$D, "Out Ports") + SUMIFS(Nevis!$L:$L, Nevis!$B:$B, $A70, Nevis!$D:$D, "Out Ports") + SUMIFS(NewEngland!$L:$L, NewEngland!$B:$B, $A70, NewEngland!$D:$D, "Out Ports")</f>
        <v>0</v>
      </c>
      <c r="D70">
        <f t="shared" si="1"/>
        <v>0</v>
      </c>
    </row>
    <row r="71" spans="1:4" x14ac:dyDescent="0.25">
      <c r="A71" t="s">
        <v>138</v>
      </c>
      <c r="B71" s="2">
        <f>SUMIFS(Antigua!$L:$L, Antigua!$B:$B, $A71, Antigua!$D:$D, "London") + SUMIFS(Barbados!$L:$L, Barbados!$B:$B, $A71, Barbados!$D:$D, "London") + SUMIFS(Bermuda!$L:$L, Bermuda!$B:$B, $A71, Bermuda!$D:$D, "London") + SUMIFS(Carolina!$L:$L, Carolina!$B:$B, $A71, Carolina!$D:$D, "London") + SUMIFS(Jamaica!$L:$L, Jamaica!$B:$B, $A71, Jamaica!$D:$D, "London") + SUMIFS(Mountserat!$L:$L, Mountserat!$B:$B, $A71, Mountserat!$D:$D, "London") + SUMIFS(Nevis!$L:$L, Nevis!$B:$B, $A71, Nevis!$D:$D, "London") + SUMIFS(NewEngland!$L:$L, NewEngland!$B:$B, $A71, NewEngland!$D:$D, "London")</f>
        <v>0</v>
      </c>
      <c r="C71">
        <f>SUMIFS(Antigua!$L:$L, Antigua!$B:$B, $A71, Antigua!$D:$D, "Out Ports") + SUMIFS(Barbados!$L:$L, Barbados!$B:$B, $A71, Barbados!$D:$D, "Out Ports") + SUMIFS(Bermuda!$L:$L, Bermuda!$B:$B, $A71, Bermuda!$D:$D, "Out Ports") + SUMIFS(Carolina!$L:$L, Carolina!$B:$B, $A71, Carolina!$D:$D, "Out Ports") + SUMIFS(Jamaica!$L:$L, Jamaica!$B:$B, $A71, Jamaica!$D:$D, "Out Ports") + SUMIFS(Mountserat!$L:$L, Mountserat!$B:$B, $A71, Mountserat!$D:$D, "Out Ports") + SUMIFS(Nevis!$L:$L, Nevis!$B:$B, $A71, Nevis!$D:$D, "Out Ports") + SUMIFS(NewEngland!$L:$L, NewEngland!$B:$B, $A71, NewEngland!$D:$D, "Out Ports")</f>
        <v>0</v>
      </c>
      <c r="D71">
        <f t="shared" si="1"/>
        <v>0</v>
      </c>
    </row>
    <row r="72" spans="1:4" x14ac:dyDescent="0.25">
      <c r="A72" t="s">
        <v>139</v>
      </c>
      <c r="B72" s="2">
        <f>SUMIFS(Antigua!$L:$L, Antigua!$B:$B, $A72, Antigua!$D:$D, "London") + SUMIFS(Barbados!$L:$L, Barbados!$B:$B, $A72, Barbados!$D:$D, "London") + SUMIFS(Bermuda!$L:$L, Bermuda!$B:$B, $A72, Bermuda!$D:$D, "London") + SUMIFS(Carolina!$L:$L, Carolina!$B:$B, $A72, Carolina!$D:$D, "London") + SUMIFS(Jamaica!$L:$L, Jamaica!$B:$B, $A72, Jamaica!$D:$D, "London") + SUMIFS(Mountserat!$L:$L, Mountserat!$B:$B, $A72, Mountserat!$D:$D, "London") + SUMIFS(Nevis!$L:$L, Nevis!$B:$B, $A72, Nevis!$D:$D, "London") + SUMIFS(NewEngland!$L:$L, NewEngland!$B:$B, $A72, NewEngland!$D:$D, "London")</f>
        <v>1.95</v>
      </c>
      <c r="C72">
        <f>SUMIFS(Antigua!$L:$L, Antigua!$B:$B, $A72, Antigua!$D:$D, "Out Ports") + SUMIFS(Barbados!$L:$L, Barbados!$B:$B, $A72, Barbados!$D:$D, "Out Ports") + SUMIFS(Bermuda!$L:$L, Bermuda!$B:$B, $A72, Bermuda!$D:$D, "Out Ports") + SUMIFS(Carolina!$L:$L, Carolina!$B:$B, $A72, Carolina!$D:$D, "Out Ports") + SUMIFS(Jamaica!$L:$L, Jamaica!$B:$B, $A72, Jamaica!$D:$D, "Out Ports") + SUMIFS(Mountserat!$L:$L, Mountserat!$B:$B, $A72, Mountserat!$D:$D, "Out Ports") + SUMIFS(Nevis!$L:$L, Nevis!$B:$B, $A72, Nevis!$D:$D, "Out Ports") + SUMIFS(NewEngland!$L:$L, NewEngland!$B:$B, $A72, NewEngland!$D:$D, "Out Ports")</f>
        <v>0</v>
      </c>
      <c r="D72">
        <f t="shared" si="1"/>
        <v>1.95</v>
      </c>
    </row>
    <row r="73" spans="1:4" x14ac:dyDescent="0.25">
      <c r="A73" t="s">
        <v>140</v>
      </c>
      <c r="B73" s="2">
        <f>SUMIFS(Antigua!$L:$L, Antigua!$B:$B, $A73, Antigua!$D:$D, "London") + SUMIFS(Barbados!$L:$L, Barbados!$B:$B, $A73, Barbados!$D:$D, "London") + SUMIFS(Bermuda!$L:$L, Bermuda!$B:$B, $A73, Bermuda!$D:$D, "London") + SUMIFS(Carolina!$L:$L, Carolina!$B:$B, $A73, Carolina!$D:$D, "London") + SUMIFS(Jamaica!$L:$L, Jamaica!$B:$B, $A73, Jamaica!$D:$D, "London") + SUMIFS(Mountserat!$L:$L, Mountserat!$B:$B, $A73, Mountserat!$D:$D, "London") + SUMIFS(Nevis!$L:$L, Nevis!$B:$B, $A73, Nevis!$D:$D, "London") + SUMIFS(NewEngland!$L:$L, NewEngland!$B:$B, $A73, NewEngland!$D:$D, "London")</f>
        <v>0</v>
      </c>
      <c r="C73">
        <f>SUMIFS(Antigua!$L:$L, Antigua!$B:$B, $A73, Antigua!$D:$D, "Out Ports") + SUMIFS(Barbados!$L:$L, Barbados!$B:$B, $A73, Barbados!$D:$D, "Out Ports") + SUMIFS(Bermuda!$L:$L, Bermuda!$B:$B, $A73, Bermuda!$D:$D, "Out Ports") + SUMIFS(Carolina!$L:$L, Carolina!$B:$B, $A73, Carolina!$D:$D, "Out Ports") + SUMIFS(Jamaica!$L:$L, Jamaica!$B:$B, $A73, Jamaica!$D:$D, "Out Ports") + SUMIFS(Mountserat!$L:$L, Mountserat!$B:$B, $A73, Mountserat!$D:$D, "Out Ports") + SUMIFS(Nevis!$L:$L, Nevis!$B:$B, $A73, Nevis!$D:$D, "Out Ports") + SUMIFS(NewEngland!$L:$L, NewEngland!$B:$B, $A73, NewEngland!$D:$D, "Out Ports")</f>
        <v>0</v>
      </c>
      <c r="D73">
        <f t="shared" si="1"/>
        <v>0</v>
      </c>
    </row>
    <row r="74" spans="1:4" x14ac:dyDescent="0.25">
      <c r="A74" t="s">
        <v>141</v>
      </c>
      <c r="B74" s="2">
        <f>SUMIFS(Antigua!$L:$L, Antigua!$B:$B, $A74, Antigua!$D:$D, "London") + SUMIFS(Barbados!$L:$L, Barbados!$B:$B, $A74, Barbados!$D:$D, "London") + SUMIFS(Bermuda!$L:$L, Bermuda!$B:$B, $A74, Bermuda!$D:$D, "London") + SUMIFS(Carolina!$L:$L, Carolina!$B:$B, $A74, Carolina!$D:$D, "London") + SUMIFS(Jamaica!$L:$L, Jamaica!$B:$B, $A74, Jamaica!$D:$D, "London") + SUMIFS(Mountserat!$L:$L, Mountserat!$B:$B, $A74, Mountserat!$D:$D, "London") + SUMIFS(Nevis!$L:$L, Nevis!$B:$B, $A74, Nevis!$D:$D, "London") + SUMIFS(NewEngland!$L:$L, NewEngland!$B:$B, $A74, NewEngland!$D:$D, "London")</f>
        <v>2.2696428571428573</v>
      </c>
      <c r="C74">
        <f>SUMIFS(Antigua!$L:$L, Antigua!$B:$B, $A74, Antigua!$D:$D, "Out Ports") + SUMIFS(Barbados!$L:$L, Barbados!$B:$B, $A74, Barbados!$D:$D, "Out Ports") + SUMIFS(Bermuda!$L:$L, Bermuda!$B:$B, $A74, Bermuda!$D:$D, "Out Ports") + SUMIFS(Carolina!$L:$L, Carolina!$B:$B, $A74, Carolina!$D:$D, "Out Ports") + SUMIFS(Jamaica!$L:$L, Jamaica!$B:$B, $A74, Jamaica!$D:$D, "Out Ports") + SUMIFS(Mountserat!$L:$L, Mountserat!$B:$B, $A74, Mountserat!$D:$D, "Out Ports") + SUMIFS(Nevis!$L:$L, Nevis!$B:$B, $A74, Nevis!$D:$D, "Out Ports") + SUMIFS(NewEngland!$L:$L, NewEngland!$B:$B, $A74, NewEngland!$D:$D, "Out Ports")</f>
        <v>0</v>
      </c>
      <c r="D74">
        <f t="shared" si="1"/>
        <v>2.27</v>
      </c>
    </row>
    <row r="75" spans="1:4" x14ac:dyDescent="0.25">
      <c r="A75" t="s">
        <v>29</v>
      </c>
      <c r="B75" s="2">
        <f>SUMIFS(Antigua!$L:$L, Antigua!$B:$B, $A75, Antigua!$D:$D, "London") + SUMIFS(Barbados!$L:$L, Barbados!$B:$B, $A75, Barbados!$D:$D, "London") + SUMIFS(Bermuda!$L:$L, Bermuda!$B:$B, $A75, Bermuda!$D:$D, "London") + SUMIFS(Carolina!$L:$L, Carolina!$B:$B, $A75, Carolina!$D:$D, "London") + SUMIFS(Jamaica!$L:$L, Jamaica!$B:$B, $A75, Jamaica!$D:$D, "London") + SUMIFS(Mountserat!$L:$L, Mountserat!$B:$B, $A75, Mountserat!$D:$D, "London") + SUMIFS(Nevis!$L:$L, Nevis!$B:$B, $A75, Nevis!$D:$D, "London") + SUMIFS(NewEngland!$L:$L, NewEngland!$B:$B, $A75, NewEngland!$D:$D, "London")</f>
        <v>0</v>
      </c>
      <c r="C75">
        <f>SUMIFS(Antigua!$L:$L, Antigua!$B:$B, $A75, Antigua!$D:$D, "Out Ports") + SUMIFS(Barbados!$L:$L, Barbados!$B:$B, $A75, Barbados!$D:$D, "Out Ports") + SUMIFS(Bermuda!$L:$L, Bermuda!$B:$B, $A75, Bermuda!$D:$D, "Out Ports") + SUMIFS(Carolina!$L:$L, Carolina!$B:$B, $A75, Carolina!$D:$D, "Out Ports") + SUMIFS(Jamaica!$L:$L, Jamaica!$B:$B, $A75, Jamaica!$D:$D, "Out Ports") + SUMIFS(Mountserat!$L:$L, Mountserat!$B:$B, $A75, Mountserat!$D:$D, "Out Ports") + SUMIFS(Nevis!$L:$L, Nevis!$B:$B, $A75, Nevis!$D:$D, "Out Ports") + SUMIFS(NewEngland!$L:$L, NewEngland!$B:$B, $A75, NewEngland!$D:$D, "Out Ports")</f>
        <v>2.2321428571428572E-2</v>
      </c>
      <c r="D75">
        <f t="shared" ref="D75:D76" si="2">ROUND((B75+C75),2)</f>
        <v>0.02</v>
      </c>
    </row>
    <row r="76" spans="1:4" x14ac:dyDescent="0.25">
      <c r="A76" t="s">
        <v>49</v>
      </c>
      <c r="B76" s="2">
        <f>SUMIFS(Antigua!$L:$L, Antigua!$B:$B, $A76, Antigua!$D:$D, "London") + SUMIFS(Barbados!$L:$L, Barbados!$B:$B, $A76, Barbados!$D:$D, "London") + SUMIFS(Bermuda!$L:$L, Bermuda!$B:$B, $A76, Bermuda!$D:$D, "London") + SUMIFS(Carolina!$L:$L, Carolina!$B:$B, $A76, Carolina!$D:$D, "London") + SUMIFS(Jamaica!$L:$L, Jamaica!$B:$B, $A76, Jamaica!$D:$D, "London") + SUMIFS(Mountserat!$L:$L, Mountserat!$B:$B, $A76, Mountserat!$D:$D, "London") + SUMIFS(Nevis!$L:$L, Nevis!$B:$B, $A76, Nevis!$D:$D, "London") + SUMIFS(NewEngland!$L:$L, NewEngland!$B:$B, $A76, NewEngland!$D:$D, "London")</f>
        <v>11264.715178571429</v>
      </c>
      <c r="C76">
        <f>SUMIFS(Antigua!$L:$L, Antigua!$B:$B, $A76, Antigua!$D:$D, "Out Ports") + SUMIFS(Barbados!$L:$L, Barbados!$B:$B, $A76, Barbados!$D:$D, "Out Ports") + SUMIFS(Bermuda!$L:$L, Bermuda!$B:$B, $A76, Bermuda!$D:$D, "Out Ports") + SUMIFS(Carolina!$L:$L, Carolina!$B:$B, $A76, Carolina!$D:$D, "Out Ports") + SUMIFS(Jamaica!$L:$L, Jamaica!$B:$B, $A76, Jamaica!$D:$D, "Out Ports") + SUMIFS(Mountserat!$L:$L, Mountserat!$B:$B, $A76, Mountserat!$D:$D, "Out Ports") + SUMIFS(Nevis!$L:$L, Nevis!$B:$B, $A76, Nevis!$D:$D, "Out Ports") + SUMIFS(NewEngland!$L:$L, NewEngland!$B:$B, $A76, NewEngland!$D:$D, "Out Ports")</f>
        <v>0</v>
      </c>
      <c r="D76">
        <f t="shared" si="2"/>
        <v>11264.72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6FA2-B6A0-4711-A44A-6CA286BF1E63}">
  <dimension ref="A1:L41"/>
  <sheetViews>
    <sheetView topLeftCell="A15" workbookViewId="0">
      <selection activeCell="F27" sqref="F27"/>
    </sheetView>
  </sheetViews>
  <sheetFormatPr defaultRowHeight="15" x14ac:dyDescent="0.25"/>
  <cols>
    <col min="2" max="3" width="17.5703125" customWidth="1"/>
    <col min="4" max="4" width="15.85546875" customWidth="1"/>
    <col min="7" max="7" width="11.140625" customWidth="1"/>
    <col min="8" max="9" width="18.42578125" customWidth="1"/>
  </cols>
  <sheetData>
    <row r="1" spans="1:12" x14ac:dyDescent="0.25">
      <c r="A1" s="1" t="s">
        <v>82</v>
      </c>
      <c r="B1" s="1" t="s">
        <v>81</v>
      </c>
      <c r="C1" s="1" t="s">
        <v>86</v>
      </c>
      <c r="D1" s="1" t="s">
        <v>83</v>
      </c>
      <c r="E1" s="1" t="s">
        <v>93</v>
      </c>
      <c r="F1" s="1" t="s">
        <v>50</v>
      </c>
      <c r="G1" s="1" t="s">
        <v>51</v>
      </c>
      <c r="H1" s="1" t="s">
        <v>94</v>
      </c>
      <c r="I1" s="1"/>
      <c r="J1" s="1" t="s">
        <v>5</v>
      </c>
      <c r="K1" s="1"/>
      <c r="L1" s="1" t="s">
        <v>85</v>
      </c>
    </row>
    <row r="2" spans="1:12" x14ac:dyDescent="0.25">
      <c r="A2">
        <v>1699</v>
      </c>
      <c r="B2" t="s">
        <v>27</v>
      </c>
      <c r="C2" t="s">
        <v>84</v>
      </c>
      <c r="D2" t="s">
        <v>7</v>
      </c>
      <c r="E2" s="1"/>
      <c r="F2" s="1"/>
      <c r="G2" s="1"/>
      <c r="H2">
        <v>2034</v>
      </c>
      <c r="I2" s="1"/>
      <c r="J2">
        <f t="shared" ref="J2:J41" si="0">(E2*2240)+(F2*112)+(G2*28)+H2</f>
        <v>2034</v>
      </c>
      <c r="K2" s="1"/>
      <c r="L2">
        <f t="shared" ref="L2:L41" si="1">J2/2240</f>
        <v>0.90803571428571428</v>
      </c>
    </row>
    <row r="3" spans="1:12" x14ac:dyDescent="0.25">
      <c r="A3">
        <v>1699</v>
      </c>
      <c r="B3" t="s">
        <v>18</v>
      </c>
      <c r="C3" t="s">
        <v>84</v>
      </c>
      <c r="D3" t="s">
        <v>7</v>
      </c>
      <c r="F3">
        <v>50607</v>
      </c>
      <c r="G3">
        <v>3</v>
      </c>
      <c r="H3">
        <v>25</v>
      </c>
      <c r="J3">
        <f t="shared" si="0"/>
        <v>5668093</v>
      </c>
      <c r="L3">
        <f t="shared" si="1"/>
        <v>2530.3986607142856</v>
      </c>
    </row>
    <row r="4" spans="1:12" x14ac:dyDescent="0.25">
      <c r="A4">
        <v>1699</v>
      </c>
      <c r="B4" t="s">
        <v>108</v>
      </c>
      <c r="C4" t="s">
        <v>84</v>
      </c>
      <c r="D4" t="s">
        <v>7</v>
      </c>
      <c r="H4">
        <v>1358</v>
      </c>
      <c r="J4">
        <f t="shared" si="0"/>
        <v>1358</v>
      </c>
      <c r="L4">
        <f t="shared" si="1"/>
        <v>0.60624999999999996</v>
      </c>
    </row>
    <row r="5" spans="1:12" x14ac:dyDescent="0.25">
      <c r="A5">
        <v>1699</v>
      </c>
      <c r="B5" t="s">
        <v>44</v>
      </c>
      <c r="C5" t="s">
        <v>84</v>
      </c>
      <c r="D5" t="s">
        <v>7</v>
      </c>
      <c r="F5">
        <v>2</v>
      </c>
      <c r="G5">
        <v>2</v>
      </c>
      <c r="H5">
        <v>2</v>
      </c>
      <c r="J5">
        <f t="shared" si="0"/>
        <v>282</v>
      </c>
      <c r="L5">
        <f t="shared" si="1"/>
        <v>0.12589285714285714</v>
      </c>
    </row>
    <row r="6" spans="1:12" x14ac:dyDescent="0.25">
      <c r="A6">
        <v>1699</v>
      </c>
      <c r="B6" t="s">
        <v>9</v>
      </c>
      <c r="C6" t="s">
        <v>84</v>
      </c>
      <c r="D6" t="s">
        <v>7</v>
      </c>
      <c r="H6">
        <f>231*200</f>
        <v>46200</v>
      </c>
      <c r="I6" t="s">
        <v>46</v>
      </c>
      <c r="J6">
        <f t="shared" si="0"/>
        <v>46200</v>
      </c>
      <c r="L6">
        <f t="shared" si="1"/>
        <v>20.625</v>
      </c>
    </row>
    <row r="7" spans="1:12" x14ac:dyDescent="0.25">
      <c r="A7">
        <v>1699</v>
      </c>
      <c r="B7" t="s">
        <v>16</v>
      </c>
      <c r="C7" t="s">
        <v>84</v>
      </c>
      <c r="D7" t="s">
        <v>7</v>
      </c>
      <c r="F7">
        <v>145</v>
      </c>
      <c r="J7">
        <f t="shared" si="0"/>
        <v>16240</v>
      </c>
      <c r="L7">
        <f t="shared" si="1"/>
        <v>7.25</v>
      </c>
    </row>
    <row r="8" spans="1:12" x14ac:dyDescent="0.25">
      <c r="A8">
        <v>1699</v>
      </c>
      <c r="B8" t="s">
        <v>26</v>
      </c>
      <c r="C8" t="s">
        <v>84</v>
      </c>
      <c r="D8" t="s">
        <v>7</v>
      </c>
      <c r="F8">
        <v>14</v>
      </c>
      <c r="G8">
        <v>2</v>
      </c>
      <c r="H8">
        <v>21</v>
      </c>
      <c r="J8">
        <f t="shared" si="0"/>
        <v>1645</v>
      </c>
      <c r="L8">
        <f t="shared" si="1"/>
        <v>0.734375</v>
      </c>
    </row>
    <row r="9" spans="1:12" x14ac:dyDescent="0.25">
      <c r="A9">
        <v>1699</v>
      </c>
      <c r="B9" t="s">
        <v>8</v>
      </c>
      <c r="C9" t="s">
        <v>84</v>
      </c>
      <c r="D9" t="s">
        <v>7</v>
      </c>
      <c r="H9">
        <v>80</v>
      </c>
      <c r="J9">
        <f t="shared" si="0"/>
        <v>80</v>
      </c>
      <c r="L9">
        <f t="shared" si="1"/>
        <v>3.5714285714285712E-2</v>
      </c>
    </row>
    <row r="10" spans="1:12" x14ac:dyDescent="0.25">
      <c r="A10">
        <v>1699</v>
      </c>
      <c r="B10" t="s">
        <v>41</v>
      </c>
      <c r="C10" t="s">
        <v>84</v>
      </c>
      <c r="D10" t="s">
        <v>7</v>
      </c>
      <c r="E10">
        <v>67</v>
      </c>
      <c r="F10">
        <v>15</v>
      </c>
      <c r="G10" s="1"/>
      <c r="I10" s="1"/>
      <c r="J10">
        <f t="shared" si="0"/>
        <v>151760</v>
      </c>
      <c r="K10" s="1"/>
      <c r="L10">
        <f t="shared" si="1"/>
        <v>67.75</v>
      </c>
    </row>
    <row r="11" spans="1:12" x14ac:dyDescent="0.25">
      <c r="A11">
        <v>1699</v>
      </c>
      <c r="B11" t="s">
        <v>22</v>
      </c>
      <c r="C11" t="s">
        <v>84</v>
      </c>
      <c r="D11" t="s">
        <v>7</v>
      </c>
      <c r="H11">
        <v>5607</v>
      </c>
      <c r="I11" t="s">
        <v>47</v>
      </c>
      <c r="J11">
        <f t="shared" si="0"/>
        <v>5607</v>
      </c>
      <c r="L11">
        <f t="shared" si="1"/>
        <v>2.5031249999999998</v>
      </c>
    </row>
    <row r="12" spans="1:12" x14ac:dyDescent="0.25">
      <c r="A12">
        <v>1699</v>
      </c>
      <c r="B12" t="s">
        <v>17</v>
      </c>
      <c r="C12" t="s">
        <v>84</v>
      </c>
      <c r="D12" t="s">
        <v>7</v>
      </c>
      <c r="F12">
        <v>9795</v>
      </c>
      <c r="G12">
        <v>2</v>
      </c>
      <c r="H12">
        <v>25</v>
      </c>
      <c r="J12">
        <f t="shared" si="0"/>
        <v>1097121</v>
      </c>
      <c r="L12">
        <f t="shared" si="1"/>
        <v>489.7861607142857</v>
      </c>
    </row>
    <row r="13" spans="1:12" x14ac:dyDescent="0.25">
      <c r="A13">
        <v>1699</v>
      </c>
      <c r="B13" t="s">
        <v>35</v>
      </c>
      <c r="C13" t="s">
        <v>84</v>
      </c>
      <c r="D13" t="s">
        <v>7</v>
      </c>
      <c r="H13">
        <v>28</v>
      </c>
      <c r="J13">
        <f t="shared" si="0"/>
        <v>28</v>
      </c>
      <c r="L13">
        <f t="shared" si="1"/>
        <v>1.2500000000000001E-2</v>
      </c>
    </row>
    <row r="14" spans="1:12" x14ac:dyDescent="0.25">
      <c r="A14">
        <v>1699</v>
      </c>
      <c r="B14" t="s">
        <v>28</v>
      </c>
      <c r="C14" t="s">
        <v>84</v>
      </c>
      <c r="D14" t="s">
        <v>7</v>
      </c>
      <c r="F14">
        <v>44</v>
      </c>
      <c r="G14">
        <v>2</v>
      </c>
      <c r="J14">
        <f t="shared" si="0"/>
        <v>4984</v>
      </c>
      <c r="L14">
        <f t="shared" si="1"/>
        <v>2.2250000000000001</v>
      </c>
    </row>
    <row r="15" spans="1:12" x14ac:dyDescent="0.25">
      <c r="A15">
        <v>1699</v>
      </c>
      <c r="B15" t="s">
        <v>23</v>
      </c>
      <c r="C15" t="s">
        <v>84</v>
      </c>
      <c r="D15" t="s">
        <v>7</v>
      </c>
      <c r="H15">
        <v>1400</v>
      </c>
      <c r="I15" t="s">
        <v>48</v>
      </c>
      <c r="J15">
        <f t="shared" si="0"/>
        <v>1400</v>
      </c>
      <c r="L15">
        <f t="shared" si="1"/>
        <v>0.625</v>
      </c>
    </row>
    <row r="16" spans="1:12" x14ac:dyDescent="0.25">
      <c r="A16">
        <v>1699</v>
      </c>
      <c r="B16" t="s">
        <v>25</v>
      </c>
      <c r="C16" t="s">
        <v>84</v>
      </c>
      <c r="D16" t="s">
        <v>7</v>
      </c>
      <c r="F16">
        <v>19</v>
      </c>
      <c r="G16">
        <v>3</v>
      </c>
      <c r="H16">
        <v>14</v>
      </c>
      <c r="J16">
        <f t="shared" si="0"/>
        <v>2226</v>
      </c>
      <c r="L16">
        <f t="shared" si="1"/>
        <v>0.99375000000000002</v>
      </c>
    </row>
    <row r="17" spans="1:12" x14ac:dyDescent="0.25">
      <c r="A17">
        <v>1699</v>
      </c>
      <c r="B17" t="s">
        <v>13</v>
      </c>
      <c r="C17" t="s">
        <v>84</v>
      </c>
      <c r="D17" t="s">
        <v>7</v>
      </c>
      <c r="H17">
        <v>232</v>
      </c>
      <c r="J17">
        <f t="shared" si="0"/>
        <v>232</v>
      </c>
      <c r="L17">
        <f t="shared" si="1"/>
        <v>0.10357142857142858</v>
      </c>
    </row>
    <row r="18" spans="1:12" x14ac:dyDescent="0.25">
      <c r="A18">
        <v>1699</v>
      </c>
      <c r="B18" t="s">
        <v>127</v>
      </c>
      <c r="C18" t="s">
        <v>84</v>
      </c>
      <c r="D18" t="s">
        <v>7</v>
      </c>
      <c r="H18">
        <v>441</v>
      </c>
      <c r="J18">
        <f t="shared" si="0"/>
        <v>441</v>
      </c>
      <c r="L18">
        <f t="shared" si="1"/>
        <v>0.19687499999999999</v>
      </c>
    </row>
    <row r="19" spans="1:12" x14ac:dyDescent="0.25">
      <c r="A19">
        <v>1699</v>
      </c>
      <c r="B19" t="s">
        <v>21</v>
      </c>
      <c r="C19" t="s">
        <v>84</v>
      </c>
      <c r="D19" t="s">
        <v>7</v>
      </c>
      <c r="H19">
        <v>190808</v>
      </c>
      <c r="J19">
        <f t="shared" si="0"/>
        <v>190808</v>
      </c>
      <c r="L19">
        <f t="shared" si="1"/>
        <v>85.182142857142864</v>
      </c>
    </row>
    <row r="20" spans="1:12" x14ac:dyDescent="0.25">
      <c r="A20">
        <v>1699</v>
      </c>
      <c r="B20" t="s">
        <v>24</v>
      </c>
      <c r="C20" t="s">
        <v>84</v>
      </c>
      <c r="D20" t="s">
        <v>7</v>
      </c>
      <c r="H20">
        <v>11</v>
      </c>
      <c r="J20">
        <f t="shared" si="0"/>
        <v>11</v>
      </c>
      <c r="L20">
        <f t="shared" si="1"/>
        <v>4.9107142857142856E-3</v>
      </c>
    </row>
    <row r="21" spans="1:12" x14ac:dyDescent="0.25">
      <c r="A21">
        <v>1699</v>
      </c>
      <c r="B21" t="s">
        <v>19</v>
      </c>
      <c r="C21" t="s">
        <v>84</v>
      </c>
      <c r="D21" t="s">
        <v>7</v>
      </c>
      <c r="F21">
        <v>23</v>
      </c>
      <c r="G21">
        <v>1</v>
      </c>
      <c r="H21">
        <v>16</v>
      </c>
      <c r="J21">
        <f t="shared" si="0"/>
        <v>2620</v>
      </c>
      <c r="L21">
        <f t="shared" si="1"/>
        <v>1.1696428571428572</v>
      </c>
    </row>
    <row r="22" spans="1:12" x14ac:dyDescent="0.25">
      <c r="A22">
        <v>1699</v>
      </c>
      <c r="B22" t="s">
        <v>129</v>
      </c>
      <c r="C22" t="s">
        <v>84</v>
      </c>
      <c r="D22" t="s">
        <v>7</v>
      </c>
      <c r="E22">
        <v>15</v>
      </c>
      <c r="F22">
        <v>6</v>
      </c>
      <c r="J22">
        <f t="shared" si="0"/>
        <v>34272</v>
      </c>
      <c r="L22">
        <f t="shared" si="1"/>
        <v>15.3</v>
      </c>
    </row>
    <row r="23" spans="1:12" x14ac:dyDescent="0.25">
      <c r="A23">
        <v>1699</v>
      </c>
      <c r="B23" t="s">
        <v>18</v>
      </c>
      <c r="C23" t="s">
        <v>84</v>
      </c>
      <c r="D23" t="s">
        <v>11</v>
      </c>
      <c r="F23">
        <v>20859</v>
      </c>
      <c r="J23">
        <f t="shared" si="0"/>
        <v>2336208</v>
      </c>
      <c r="L23">
        <f t="shared" si="1"/>
        <v>1042.95</v>
      </c>
    </row>
    <row r="24" spans="1:12" x14ac:dyDescent="0.25">
      <c r="A24">
        <v>1699</v>
      </c>
      <c r="B24" t="s">
        <v>15</v>
      </c>
      <c r="C24" t="s">
        <v>84</v>
      </c>
      <c r="D24" t="s">
        <v>11</v>
      </c>
      <c r="H24">
        <v>22</v>
      </c>
      <c r="J24">
        <f t="shared" si="0"/>
        <v>22</v>
      </c>
      <c r="L24">
        <f t="shared" si="1"/>
        <v>9.8214285714285712E-3</v>
      </c>
    </row>
    <row r="25" spans="1:12" x14ac:dyDescent="0.25">
      <c r="A25">
        <v>1699</v>
      </c>
      <c r="B25" t="s">
        <v>114</v>
      </c>
      <c r="C25" t="s">
        <v>84</v>
      </c>
      <c r="D25" t="s">
        <v>11</v>
      </c>
      <c r="H25">
        <v>32</v>
      </c>
      <c r="J25">
        <f t="shared" si="0"/>
        <v>32</v>
      </c>
      <c r="L25">
        <f t="shared" si="1"/>
        <v>1.4285714285714285E-2</v>
      </c>
    </row>
    <row r="26" spans="1:12" x14ac:dyDescent="0.25">
      <c r="A26">
        <v>1699</v>
      </c>
      <c r="B26" t="s">
        <v>9</v>
      </c>
      <c r="C26" t="s">
        <v>84</v>
      </c>
      <c r="D26" t="s">
        <v>11</v>
      </c>
      <c r="F26">
        <v>611</v>
      </c>
      <c r="H26">
        <v>17</v>
      </c>
      <c r="J26">
        <f t="shared" si="0"/>
        <v>68449</v>
      </c>
      <c r="L26">
        <f t="shared" si="1"/>
        <v>30.557589285714286</v>
      </c>
    </row>
    <row r="27" spans="1:12" x14ac:dyDescent="0.25">
      <c r="A27">
        <v>1699</v>
      </c>
      <c r="B27" t="s">
        <v>16</v>
      </c>
      <c r="C27" t="s">
        <v>84</v>
      </c>
      <c r="D27" t="s">
        <v>11</v>
      </c>
      <c r="F27">
        <v>27</v>
      </c>
      <c r="H27">
        <v>5</v>
      </c>
      <c r="J27">
        <f t="shared" si="0"/>
        <v>3029</v>
      </c>
      <c r="L27">
        <f t="shared" si="1"/>
        <v>1.3522321428571429</v>
      </c>
    </row>
    <row r="28" spans="1:12" x14ac:dyDescent="0.25">
      <c r="A28">
        <v>1699</v>
      </c>
      <c r="B28" t="s">
        <v>26</v>
      </c>
      <c r="C28" t="s">
        <v>84</v>
      </c>
      <c r="D28" t="s">
        <v>11</v>
      </c>
      <c r="F28">
        <v>41</v>
      </c>
      <c r="G28">
        <v>2</v>
      </c>
      <c r="H28">
        <v>2</v>
      </c>
      <c r="J28">
        <f t="shared" si="0"/>
        <v>4650</v>
      </c>
      <c r="L28">
        <f t="shared" si="1"/>
        <v>2.0758928571428572</v>
      </c>
    </row>
    <row r="29" spans="1:12" x14ac:dyDescent="0.25">
      <c r="A29">
        <v>1699</v>
      </c>
      <c r="B29" t="s">
        <v>41</v>
      </c>
      <c r="C29" t="s">
        <v>84</v>
      </c>
      <c r="D29" t="s">
        <v>11</v>
      </c>
      <c r="F29">
        <v>862</v>
      </c>
      <c r="G29">
        <v>3</v>
      </c>
      <c r="J29">
        <f t="shared" si="0"/>
        <v>96628</v>
      </c>
      <c r="L29">
        <f t="shared" si="1"/>
        <v>43.137500000000003</v>
      </c>
    </row>
    <row r="30" spans="1:12" x14ac:dyDescent="0.25">
      <c r="A30">
        <v>1699</v>
      </c>
      <c r="B30" t="s">
        <v>22</v>
      </c>
      <c r="C30" t="s">
        <v>84</v>
      </c>
      <c r="D30" t="s">
        <v>11</v>
      </c>
      <c r="H30">
        <v>166</v>
      </c>
      <c r="I30" t="s">
        <v>65</v>
      </c>
      <c r="J30">
        <f t="shared" si="0"/>
        <v>166</v>
      </c>
      <c r="L30">
        <f t="shared" si="1"/>
        <v>7.4107142857142858E-2</v>
      </c>
    </row>
    <row r="31" spans="1:12" x14ac:dyDescent="0.25">
      <c r="A31">
        <v>1699</v>
      </c>
      <c r="B31" t="s">
        <v>30</v>
      </c>
      <c r="C31" t="s">
        <v>84</v>
      </c>
      <c r="D31" t="s">
        <v>11</v>
      </c>
      <c r="J31">
        <f t="shared" si="0"/>
        <v>0</v>
      </c>
      <c r="L31">
        <f t="shared" si="1"/>
        <v>0</v>
      </c>
    </row>
    <row r="32" spans="1:12" x14ac:dyDescent="0.25">
      <c r="A32">
        <v>1699</v>
      </c>
      <c r="B32" t="s">
        <v>17</v>
      </c>
      <c r="C32" t="s">
        <v>84</v>
      </c>
      <c r="D32" t="s">
        <v>11</v>
      </c>
      <c r="F32">
        <v>3097</v>
      </c>
      <c r="G32">
        <v>3</v>
      </c>
      <c r="H32">
        <v>5</v>
      </c>
      <c r="J32">
        <f t="shared" si="0"/>
        <v>346953</v>
      </c>
      <c r="L32">
        <f t="shared" si="1"/>
        <v>154.88973214285716</v>
      </c>
    </row>
    <row r="33" spans="1:12" x14ac:dyDescent="0.25">
      <c r="A33">
        <v>1699</v>
      </c>
      <c r="B33" t="s">
        <v>35</v>
      </c>
      <c r="C33" t="s">
        <v>84</v>
      </c>
      <c r="D33" t="s">
        <v>11</v>
      </c>
      <c r="H33">
        <v>2464</v>
      </c>
      <c r="J33">
        <f t="shared" si="0"/>
        <v>2464</v>
      </c>
      <c r="L33">
        <f t="shared" si="1"/>
        <v>1.1000000000000001</v>
      </c>
    </row>
    <row r="34" spans="1:12" x14ac:dyDescent="0.25">
      <c r="A34">
        <v>1699</v>
      </c>
      <c r="B34" t="s">
        <v>28</v>
      </c>
      <c r="C34" t="s">
        <v>84</v>
      </c>
      <c r="D34" t="s">
        <v>11</v>
      </c>
      <c r="J34">
        <f t="shared" si="0"/>
        <v>0</v>
      </c>
      <c r="L34">
        <f t="shared" si="1"/>
        <v>0</v>
      </c>
    </row>
    <row r="35" spans="1:12" x14ac:dyDescent="0.25">
      <c r="A35">
        <v>1699</v>
      </c>
      <c r="B35" t="s">
        <v>23</v>
      </c>
      <c r="C35" t="s">
        <v>84</v>
      </c>
      <c r="D35" t="s">
        <v>11</v>
      </c>
      <c r="H35">
        <v>70</v>
      </c>
      <c r="I35" t="s">
        <v>66</v>
      </c>
      <c r="J35">
        <f t="shared" si="0"/>
        <v>70</v>
      </c>
      <c r="L35">
        <f t="shared" si="1"/>
        <v>3.125E-2</v>
      </c>
    </row>
    <row r="36" spans="1:12" x14ac:dyDescent="0.25">
      <c r="A36">
        <v>1699</v>
      </c>
      <c r="B36" t="s">
        <v>25</v>
      </c>
      <c r="C36" t="s">
        <v>84</v>
      </c>
      <c r="D36" t="s">
        <v>11</v>
      </c>
      <c r="F36">
        <v>4</v>
      </c>
      <c r="G36">
        <v>3</v>
      </c>
      <c r="H36">
        <v>24</v>
      </c>
      <c r="J36">
        <f t="shared" si="0"/>
        <v>556</v>
      </c>
      <c r="L36">
        <f t="shared" si="1"/>
        <v>0.24821428571428572</v>
      </c>
    </row>
    <row r="37" spans="1:12" x14ac:dyDescent="0.25">
      <c r="A37">
        <v>1699</v>
      </c>
      <c r="B37" t="s">
        <v>13</v>
      </c>
      <c r="C37" t="s">
        <v>84</v>
      </c>
      <c r="D37" t="s">
        <v>11</v>
      </c>
      <c r="H37">
        <v>215</v>
      </c>
      <c r="J37">
        <f t="shared" si="0"/>
        <v>215</v>
      </c>
      <c r="L37">
        <f t="shared" si="1"/>
        <v>9.5982142857142863E-2</v>
      </c>
    </row>
    <row r="38" spans="1:12" x14ac:dyDescent="0.25">
      <c r="A38">
        <v>1699</v>
      </c>
      <c r="B38" t="s">
        <v>127</v>
      </c>
      <c r="C38" t="s">
        <v>84</v>
      </c>
      <c r="D38" t="s">
        <v>11</v>
      </c>
      <c r="H38">
        <v>102</v>
      </c>
      <c r="J38">
        <f t="shared" si="0"/>
        <v>102</v>
      </c>
      <c r="L38">
        <f t="shared" si="1"/>
        <v>4.5535714285714284E-2</v>
      </c>
    </row>
    <row r="39" spans="1:12" x14ac:dyDescent="0.25">
      <c r="A39">
        <v>1699</v>
      </c>
      <c r="B39" t="s">
        <v>21</v>
      </c>
      <c r="C39" t="s">
        <v>84</v>
      </c>
      <c r="D39" t="s">
        <v>11</v>
      </c>
      <c r="H39">
        <v>186050</v>
      </c>
      <c r="J39">
        <f t="shared" si="0"/>
        <v>186050</v>
      </c>
      <c r="L39">
        <f t="shared" si="1"/>
        <v>83.058035714285708</v>
      </c>
    </row>
    <row r="40" spans="1:12" x14ac:dyDescent="0.25">
      <c r="A40">
        <v>1699</v>
      </c>
      <c r="B40" t="s">
        <v>24</v>
      </c>
      <c r="C40" t="s">
        <v>84</v>
      </c>
      <c r="D40" t="s">
        <v>11</v>
      </c>
      <c r="H40">
        <v>20</v>
      </c>
      <c r="J40">
        <f t="shared" si="0"/>
        <v>20</v>
      </c>
      <c r="L40">
        <f t="shared" si="1"/>
        <v>8.9285714285714281E-3</v>
      </c>
    </row>
    <row r="41" spans="1:12" x14ac:dyDescent="0.25">
      <c r="A41">
        <v>1699</v>
      </c>
      <c r="B41" t="s">
        <v>19</v>
      </c>
      <c r="C41" t="s">
        <v>84</v>
      </c>
      <c r="D41" t="s">
        <v>11</v>
      </c>
      <c r="F41">
        <v>7</v>
      </c>
      <c r="G41">
        <v>3</v>
      </c>
      <c r="H41">
        <v>19</v>
      </c>
      <c r="J41">
        <f t="shared" si="0"/>
        <v>887</v>
      </c>
      <c r="L41">
        <f t="shared" si="1"/>
        <v>0.39598214285714284</v>
      </c>
    </row>
  </sheetData>
  <autoFilter ref="A1:O41" xr:uid="{693D6FA2-B6A0-4711-A44A-6CA286BF1E63}">
    <sortState xmlns:xlrd2="http://schemas.microsoft.com/office/spreadsheetml/2017/richdata2" ref="A2:O41">
      <sortCondition ref="D1:D4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F908-12B8-4B3A-A65D-184CD229ACD4}">
  <dimension ref="A1:L61"/>
  <sheetViews>
    <sheetView topLeftCell="A28" workbookViewId="0">
      <selection activeCell="D62" sqref="D62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82</v>
      </c>
      <c r="B1" s="1" t="s">
        <v>81</v>
      </c>
      <c r="C1" s="1" t="s">
        <v>86</v>
      </c>
      <c r="D1" s="1" t="s">
        <v>83</v>
      </c>
      <c r="E1" s="1" t="s">
        <v>93</v>
      </c>
      <c r="F1" s="1" t="s">
        <v>50</v>
      </c>
      <c r="G1" s="1" t="s">
        <v>51</v>
      </c>
      <c r="H1" s="1" t="s">
        <v>94</v>
      </c>
      <c r="I1" s="1"/>
      <c r="J1" s="1" t="s">
        <v>5</v>
      </c>
      <c r="K1" s="1"/>
      <c r="L1" s="1" t="s">
        <v>85</v>
      </c>
    </row>
    <row r="2" spans="1:12" x14ac:dyDescent="0.25">
      <c r="A2">
        <v>1699</v>
      </c>
      <c r="B2" t="s">
        <v>98</v>
      </c>
      <c r="C2" t="s">
        <v>87</v>
      </c>
      <c r="D2" t="s">
        <v>7</v>
      </c>
      <c r="H2">
        <v>5107</v>
      </c>
      <c r="J2">
        <f t="shared" ref="J2:J61" si="0">(E2*2240)+(F2*112)+(G2*28)+H2</f>
        <v>5107</v>
      </c>
      <c r="L2">
        <f t="shared" ref="L2:L61" si="1">J2/2240</f>
        <v>2.2799107142857142</v>
      </c>
    </row>
    <row r="3" spans="1:12" x14ac:dyDescent="0.25">
      <c r="A3">
        <v>1699</v>
      </c>
      <c r="B3" t="s">
        <v>27</v>
      </c>
      <c r="C3" t="s">
        <v>87</v>
      </c>
      <c r="D3" t="s">
        <v>7</v>
      </c>
      <c r="H3">
        <v>13159</v>
      </c>
      <c r="J3">
        <f t="shared" si="0"/>
        <v>13159</v>
      </c>
      <c r="L3">
        <f t="shared" si="1"/>
        <v>5.8745535714285717</v>
      </c>
    </row>
    <row r="4" spans="1:12" x14ac:dyDescent="0.25">
      <c r="A4">
        <v>1699</v>
      </c>
      <c r="B4" t="s">
        <v>12</v>
      </c>
      <c r="C4" t="s">
        <v>87</v>
      </c>
      <c r="D4" t="s">
        <v>7</v>
      </c>
      <c r="F4">
        <v>1</v>
      </c>
      <c r="G4">
        <v>2</v>
      </c>
      <c r="J4">
        <f t="shared" si="0"/>
        <v>168</v>
      </c>
      <c r="L4">
        <f t="shared" si="1"/>
        <v>7.4999999999999997E-2</v>
      </c>
    </row>
    <row r="5" spans="1:12" x14ac:dyDescent="0.25">
      <c r="A5">
        <v>1699</v>
      </c>
      <c r="B5" t="s">
        <v>108</v>
      </c>
      <c r="C5" t="s">
        <v>87</v>
      </c>
      <c r="D5" t="s">
        <v>7</v>
      </c>
      <c r="H5">
        <v>1100</v>
      </c>
      <c r="J5">
        <f t="shared" si="0"/>
        <v>1100</v>
      </c>
      <c r="L5">
        <f t="shared" si="1"/>
        <v>0.49107142857142855</v>
      </c>
    </row>
    <row r="6" spans="1:12" x14ac:dyDescent="0.25">
      <c r="A6">
        <v>1699</v>
      </c>
      <c r="B6" t="s">
        <v>15</v>
      </c>
      <c r="C6" t="s">
        <v>87</v>
      </c>
      <c r="D6" t="s">
        <v>7</v>
      </c>
      <c r="H6">
        <v>166</v>
      </c>
      <c r="J6">
        <f t="shared" si="0"/>
        <v>166</v>
      </c>
      <c r="L6">
        <f t="shared" si="1"/>
        <v>7.4107142857142858E-2</v>
      </c>
    </row>
    <row r="7" spans="1:12" x14ac:dyDescent="0.25">
      <c r="A7">
        <v>1699</v>
      </c>
      <c r="B7" t="s">
        <v>44</v>
      </c>
      <c r="C7" t="s">
        <v>87</v>
      </c>
      <c r="D7" t="s">
        <v>7</v>
      </c>
      <c r="F7">
        <v>27</v>
      </c>
      <c r="G7">
        <v>1</v>
      </c>
      <c r="H7">
        <v>17</v>
      </c>
      <c r="J7">
        <f t="shared" si="0"/>
        <v>3069</v>
      </c>
      <c r="L7">
        <f t="shared" si="1"/>
        <v>1.3700892857142857</v>
      </c>
    </row>
    <row r="8" spans="1:12" x14ac:dyDescent="0.25">
      <c r="A8">
        <v>1699</v>
      </c>
      <c r="B8" t="s">
        <v>34</v>
      </c>
      <c r="C8" t="s">
        <v>87</v>
      </c>
      <c r="D8" t="s">
        <v>7</v>
      </c>
      <c r="H8">
        <v>40</v>
      </c>
      <c r="J8">
        <f t="shared" si="0"/>
        <v>40</v>
      </c>
      <c r="L8">
        <f t="shared" si="1"/>
        <v>1.7857142857142856E-2</v>
      </c>
    </row>
    <row r="9" spans="1:12" x14ac:dyDescent="0.25">
      <c r="A9">
        <v>1699</v>
      </c>
      <c r="B9" t="s">
        <v>142</v>
      </c>
      <c r="C9" t="s">
        <v>87</v>
      </c>
      <c r="D9" t="s">
        <v>7</v>
      </c>
      <c r="F9">
        <v>27</v>
      </c>
      <c r="G9">
        <v>1</v>
      </c>
      <c r="J9">
        <f t="shared" si="0"/>
        <v>3052</v>
      </c>
      <c r="L9">
        <f t="shared" si="1"/>
        <v>1.3625</v>
      </c>
    </row>
    <row r="10" spans="1:12" x14ac:dyDescent="0.25">
      <c r="A10">
        <v>1699</v>
      </c>
      <c r="B10" t="s">
        <v>9</v>
      </c>
      <c r="C10" t="s">
        <v>87</v>
      </c>
      <c r="D10" t="s">
        <v>7</v>
      </c>
      <c r="H10">
        <f>1196*200</f>
        <v>239200</v>
      </c>
      <c r="I10" t="s">
        <v>54</v>
      </c>
      <c r="J10">
        <f t="shared" si="0"/>
        <v>239200</v>
      </c>
      <c r="L10">
        <f t="shared" si="1"/>
        <v>106.78571428571429</v>
      </c>
    </row>
    <row r="11" spans="1:12" x14ac:dyDescent="0.25">
      <c r="A11">
        <v>1699</v>
      </c>
      <c r="B11" t="s">
        <v>16</v>
      </c>
      <c r="C11" t="s">
        <v>87</v>
      </c>
      <c r="D11" t="s">
        <v>7</v>
      </c>
      <c r="F11">
        <v>4975</v>
      </c>
      <c r="G11">
        <v>1</v>
      </c>
      <c r="H11">
        <v>11</v>
      </c>
      <c r="J11">
        <f t="shared" si="0"/>
        <v>557239</v>
      </c>
      <c r="L11">
        <f t="shared" si="1"/>
        <v>248.76741071428572</v>
      </c>
    </row>
    <row r="12" spans="1:12" x14ac:dyDescent="0.25">
      <c r="A12">
        <v>1699</v>
      </c>
      <c r="B12" t="s">
        <v>26</v>
      </c>
      <c r="C12" t="s">
        <v>87</v>
      </c>
      <c r="D12" t="s">
        <v>7</v>
      </c>
      <c r="F12">
        <v>60</v>
      </c>
      <c r="G12">
        <v>2</v>
      </c>
      <c r="H12">
        <v>25</v>
      </c>
      <c r="J12">
        <f t="shared" si="0"/>
        <v>6801</v>
      </c>
      <c r="L12">
        <f t="shared" si="1"/>
        <v>3.0361607142857143</v>
      </c>
    </row>
    <row r="13" spans="1:12" x14ac:dyDescent="0.25">
      <c r="A13">
        <v>1699</v>
      </c>
      <c r="B13" t="s">
        <v>115</v>
      </c>
      <c r="C13" t="s">
        <v>87</v>
      </c>
      <c r="D13" t="s">
        <v>7</v>
      </c>
      <c r="H13">
        <v>1626</v>
      </c>
      <c r="J13">
        <f t="shared" si="0"/>
        <v>1626</v>
      </c>
      <c r="L13">
        <f t="shared" si="1"/>
        <v>0.72589285714285712</v>
      </c>
    </row>
    <row r="14" spans="1:12" x14ac:dyDescent="0.25">
      <c r="A14">
        <v>1699</v>
      </c>
      <c r="B14" t="s">
        <v>116</v>
      </c>
      <c r="C14" t="s">
        <v>87</v>
      </c>
      <c r="D14" t="s">
        <v>7</v>
      </c>
      <c r="H14">
        <v>1720</v>
      </c>
      <c r="J14">
        <f t="shared" si="0"/>
        <v>1720</v>
      </c>
      <c r="L14">
        <f t="shared" si="1"/>
        <v>0.7678571428571429</v>
      </c>
    </row>
    <row r="15" spans="1:12" x14ac:dyDescent="0.25">
      <c r="A15">
        <v>1699</v>
      </c>
      <c r="B15" t="s">
        <v>8</v>
      </c>
      <c r="C15" t="s">
        <v>87</v>
      </c>
      <c r="D15" t="s">
        <v>7</v>
      </c>
      <c r="H15">
        <v>248</v>
      </c>
      <c r="J15">
        <f t="shared" si="0"/>
        <v>248</v>
      </c>
      <c r="L15">
        <f t="shared" si="1"/>
        <v>0.11071428571428571</v>
      </c>
    </row>
    <row r="16" spans="1:12" x14ac:dyDescent="0.25">
      <c r="A16">
        <v>1699</v>
      </c>
      <c r="B16" t="s">
        <v>40</v>
      </c>
      <c r="C16" t="s">
        <v>87</v>
      </c>
      <c r="D16" t="s">
        <v>7</v>
      </c>
      <c r="H16">
        <v>3225</v>
      </c>
      <c r="I16" t="s">
        <v>52</v>
      </c>
      <c r="J16">
        <f t="shared" si="0"/>
        <v>3225</v>
      </c>
      <c r="L16">
        <f t="shared" si="1"/>
        <v>1.4397321428571428</v>
      </c>
    </row>
    <row r="17" spans="1:12" x14ac:dyDescent="0.25">
      <c r="A17">
        <v>1699</v>
      </c>
      <c r="B17" t="s">
        <v>41</v>
      </c>
      <c r="C17" t="s">
        <v>87</v>
      </c>
      <c r="D17" t="s">
        <v>7</v>
      </c>
      <c r="E17">
        <v>5</v>
      </c>
      <c r="F17">
        <v>9</v>
      </c>
      <c r="G17">
        <v>3</v>
      </c>
      <c r="J17">
        <f t="shared" si="0"/>
        <v>12292</v>
      </c>
      <c r="L17">
        <f t="shared" si="1"/>
        <v>5.4874999999999998</v>
      </c>
    </row>
    <row r="18" spans="1:12" x14ac:dyDescent="0.25">
      <c r="A18">
        <v>1699</v>
      </c>
      <c r="B18" t="s">
        <v>22</v>
      </c>
      <c r="C18" t="s">
        <v>87</v>
      </c>
      <c r="D18" t="s">
        <v>7</v>
      </c>
      <c r="H18">
        <v>39938</v>
      </c>
      <c r="I18" t="s">
        <v>55</v>
      </c>
      <c r="J18">
        <f t="shared" si="0"/>
        <v>39938</v>
      </c>
      <c r="L18">
        <f t="shared" si="1"/>
        <v>17.829464285714284</v>
      </c>
    </row>
    <row r="19" spans="1:12" x14ac:dyDescent="0.25">
      <c r="A19">
        <v>1699</v>
      </c>
      <c r="B19" t="s">
        <v>31</v>
      </c>
      <c r="C19" t="s">
        <v>87</v>
      </c>
      <c r="D19" t="s">
        <v>7</v>
      </c>
      <c r="F19">
        <v>5</v>
      </c>
      <c r="G19">
        <v>2</v>
      </c>
      <c r="H19">
        <v>26</v>
      </c>
      <c r="J19">
        <f t="shared" si="0"/>
        <v>642</v>
      </c>
      <c r="L19">
        <f t="shared" si="1"/>
        <v>0.28660714285714284</v>
      </c>
    </row>
    <row r="20" spans="1:12" x14ac:dyDescent="0.25">
      <c r="A20">
        <v>1699</v>
      </c>
      <c r="B20" t="s">
        <v>30</v>
      </c>
      <c r="C20" t="s">
        <v>87</v>
      </c>
      <c r="D20" t="s">
        <v>7</v>
      </c>
      <c r="H20">
        <v>4846</v>
      </c>
      <c r="I20" t="s">
        <v>80</v>
      </c>
      <c r="J20">
        <f t="shared" si="0"/>
        <v>4846</v>
      </c>
      <c r="L20">
        <f t="shared" si="1"/>
        <v>2.1633928571428571</v>
      </c>
    </row>
    <row r="21" spans="1:12" x14ac:dyDescent="0.25">
      <c r="A21">
        <v>1699</v>
      </c>
      <c r="B21" t="s">
        <v>17</v>
      </c>
      <c r="C21" t="s">
        <v>87</v>
      </c>
      <c r="D21" t="s">
        <v>7</v>
      </c>
      <c r="F21">
        <v>24795</v>
      </c>
      <c r="H21">
        <v>15</v>
      </c>
      <c r="J21">
        <f t="shared" si="0"/>
        <v>2777055</v>
      </c>
      <c r="L21">
        <f t="shared" si="1"/>
        <v>1239.7566964285713</v>
      </c>
    </row>
    <row r="22" spans="1:12" x14ac:dyDescent="0.25">
      <c r="A22">
        <v>1699</v>
      </c>
      <c r="B22" t="s">
        <v>49</v>
      </c>
      <c r="C22" t="s">
        <v>87</v>
      </c>
      <c r="D22" t="s">
        <v>7</v>
      </c>
      <c r="F22">
        <v>163051</v>
      </c>
      <c r="H22">
        <v>21</v>
      </c>
      <c r="J22">
        <f t="shared" si="0"/>
        <v>18261733</v>
      </c>
      <c r="L22">
        <f t="shared" si="1"/>
        <v>8152.5593749999998</v>
      </c>
    </row>
    <row r="23" spans="1:12" x14ac:dyDescent="0.25">
      <c r="A23">
        <v>1699</v>
      </c>
      <c r="B23" t="s">
        <v>20</v>
      </c>
      <c r="C23" t="s">
        <v>87</v>
      </c>
      <c r="D23" t="s">
        <v>7</v>
      </c>
      <c r="H23">
        <v>303</v>
      </c>
      <c r="I23" t="s">
        <v>53</v>
      </c>
      <c r="J23">
        <f t="shared" si="0"/>
        <v>303</v>
      </c>
      <c r="L23">
        <f t="shared" si="1"/>
        <v>0.13526785714285713</v>
      </c>
    </row>
    <row r="24" spans="1:12" x14ac:dyDescent="0.25">
      <c r="A24">
        <v>1699</v>
      </c>
      <c r="B24" t="s">
        <v>14</v>
      </c>
      <c r="C24" t="s">
        <v>87</v>
      </c>
      <c r="D24" t="s">
        <v>7</v>
      </c>
      <c r="F24">
        <v>20</v>
      </c>
      <c r="G24">
        <v>1</v>
      </c>
      <c r="H24">
        <v>7</v>
      </c>
      <c r="J24">
        <f t="shared" si="0"/>
        <v>2275</v>
      </c>
      <c r="L24">
        <f t="shared" si="1"/>
        <v>1.015625</v>
      </c>
    </row>
    <row r="25" spans="1:12" x14ac:dyDescent="0.25">
      <c r="A25">
        <v>1699</v>
      </c>
      <c r="B25" t="s">
        <v>28</v>
      </c>
      <c r="C25" t="s">
        <v>87</v>
      </c>
      <c r="D25" t="s">
        <v>7</v>
      </c>
      <c r="F25">
        <v>3</v>
      </c>
      <c r="J25">
        <f t="shared" si="0"/>
        <v>336</v>
      </c>
      <c r="L25">
        <f t="shared" si="1"/>
        <v>0.15</v>
      </c>
    </row>
    <row r="26" spans="1:12" x14ac:dyDescent="0.25">
      <c r="A26">
        <v>1699</v>
      </c>
      <c r="B26" t="s">
        <v>23</v>
      </c>
      <c r="C26" t="s">
        <v>87</v>
      </c>
      <c r="D26" t="s">
        <v>7</v>
      </c>
      <c r="H26">
        <v>15734</v>
      </c>
      <c r="I26" t="s">
        <v>57</v>
      </c>
      <c r="J26">
        <f t="shared" si="0"/>
        <v>15734</v>
      </c>
      <c r="L26">
        <f t="shared" si="1"/>
        <v>7.0241071428571429</v>
      </c>
    </row>
    <row r="27" spans="1:12" x14ac:dyDescent="0.25">
      <c r="A27">
        <v>1699</v>
      </c>
      <c r="B27" t="s">
        <v>25</v>
      </c>
      <c r="C27" t="s">
        <v>87</v>
      </c>
      <c r="D27" t="s">
        <v>7</v>
      </c>
      <c r="F27">
        <v>104</v>
      </c>
      <c r="G27">
        <v>2</v>
      </c>
      <c r="J27">
        <f t="shared" si="0"/>
        <v>11704</v>
      </c>
      <c r="L27">
        <f t="shared" si="1"/>
        <v>5.2249999999999996</v>
      </c>
    </row>
    <row r="28" spans="1:12" x14ac:dyDescent="0.25">
      <c r="A28">
        <v>1699</v>
      </c>
      <c r="B28" t="s">
        <v>13</v>
      </c>
      <c r="C28" t="s">
        <v>87</v>
      </c>
      <c r="D28" t="s">
        <v>7</v>
      </c>
      <c r="H28">
        <v>3083</v>
      </c>
      <c r="J28">
        <f t="shared" si="0"/>
        <v>3083</v>
      </c>
      <c r="L28">
        <f t="shared" si="1"/>
        <v>1.3763392857142858</v>
      </c>
    </row>
    <row r="29" spans="1:12" x14ac:dyDescent="0.25">
      <c r="A29">
        <v>1699</v>
      </c>
      <c r="B29" t="s">
        <v>127</v>
      </c>
      <c r="C29" t="s">
        <v>87</v>
      </c>
      <c r="D29" t="s">
        <v>7</v>
      </c>
      <c r="H29">
        <v>40</v>
      </c>
      <c r="J29">
        <f t="shared" si="0"/>
        <v>40</v>
      </c>
      <c r="L29">
        <f t="shared" si="1"/>
        <v>1.7857142857142856E-2</v>
      </c>
    </row>
    <row r="30" spans="1:12" x14ac:dyDescent="0.25">
      <c r="A30">
        <v>1699</v>
      </c>
      <c r="B30" t="s">
        <v>21</v>
      </c>
      <c r="C30" t="s">
        <v>87</v>
      </c>
      <c r="D30" t="s">
        <v>7</v>
      </c>
      <c r="H30">
        <v>21147</v>
      </c>
      <c r="J30">
        <f t="shared" si="0"/>
        <v>21147</v>
      </c>
      <c r="L30">
        <f t="shared" si="1"/>
        <v>9.4406250000000007</v>
      </c>
    </row>
    <row r="31" spans="1:12" x14ac:dyDescent="0.25">
      <c r="A31">
        <v>1699</v>
      </c>
      <c r="B31" t="s">
        <v>24</v>
      </c>
      <c r="C31" t="s">
        <v>87</v>
      </c>
      <c r="D31" t="s">
        <v>7</v>
      </c>
      <c r="H31">
        <v>900</v>
      </c>
      <c r="I31" t="s">
        <v>56</v>
      </c>
      <c r="J31">
        <f t="shared" si="0"/>
        <v>900</v>
      </c>
      <c r="L31">
        <f t="shared" si="1"/>
        <v>0.4017857142857143</v>
      </c>
    </row>
    <row r="32" spans="1:12" x14ac:dyDescent="0.25">
      <c r="A32">
        <v>1699</v>
      </c>
      <c r="B32" t="s">
        <v>19</v>
      </c>
      <c r="C32" t="s">
        <v>87</v>
      </c>
      <c r="D32" t="s">
        <v>7</v>
      </c>
      <c r="F32">
        <v>7331</v>
      </c>
      <c r="G32">
        <v>1</v>
      </c>
      <c r="H32">
        <v>5</v>
      </c>
      <c r="J32">
        <f t="shared" si="0"/>
        <v>821105</v>
      </c>
      <c r="L32">
        <f t="shared" si="1"/>
        <v>366.56473214285717</v>
      </c>
    </row>
    <row r="33" spans="1:12" x14ac:dyDescent="0.25">
      <c r="A33">
        <v>1699</v>
      </c>
      <c r="B33" t="s">
        <v>129</v>
      </c>
      <c r="C33" t="s">
        <v>87</v>
      </c>
      <c r="D33" t="s">
        <v>7</v>
      </c>
      <c r="E33">
        <v>82</v>
      </c>
      <c r="F33">
        <v>7</v>
      </c>
      <c r="J33">
        <f t="shared" si="0"/>
        <v>184464</v>
      </c>
      <c r="L33">
        <f t="shared" si="1"/>
        <v>82.35</v>
      </c>
    </row>
    <row r="34" spans="1:12" x14ac:dyDescent="0.25">
      <c r="A34">
        <v>1699</v>
      </c>
      <c r="B34" t="s">
        <v>133</v>
      </c>
      <c r="C34" t="s">
        <v>87</v>
      </c>
      <c r="D34" t="s">
        <v>7</v>
      </c>
      <c r="E34">
        <v>15</v>
      </c>
      <c r="F34">
        <v>6</v>
      </c>
      <c r="G34">
        <v>2</v>
      </c>
      <c r="J34">
        <f t="shared" si="0"/>
        <v>34328</v>
      </c>
      <c r="L34">
        <f t="shared" si="1"/>
        <v>15.324999999999999</v>
      </c>
    </row>
    <row r="35" spans="1:12" x14ac:dyDescent="0.25">
      <c r="A35">
        <v>1699</v>
      </c>
      <c r="B35" t="s">
        <v>135</v>
      </c>
      <c r="C35" t="s">
        <v>87</v>
      </c>
      <c r="D35" t="s">
        <v>7</v>
      </c>
      <c r="E35">
        <v>41</v>
      </c>
      <c r="F35">
        <v>19</v>
      </c>
      <c r="J35">
        <f t="shared" si="0"/>
        <v>93968</v>
      </c>
      <c r="L35">
        <f t="shared" si="1"/>
        <v>41.95</v>
      </c>
    </row>
    <row r="36" spans="1:12" x14ac:dyDescent="0.25">
      <c r="A36">
        <v>1699</v>
      </c>
      <c r="B36" t="s">
        <v>141</v>
      </c>
      <c r="C36" t="s">
        <v>87</v>
      </c>
      <c r="D36" t="s">
        <v>7</v>
      </c>
      <c r="E36">
        <v>1</v>
      </c>
      <c r="F36">
        <v>5</v>
      </c>
      <c r="J36">
        <f t="shared" si="0"/>
        <v>2800</v>
      </c>
      <c r="L36">
        <f t="shared" si="1"/>
        <v>1.25</v>
      </c>
    </row>
    <row r="37" spans="1:12" x14ac:dyDescent="0.25">
      <c r="A37">
        <v>1699</v>
      </c>
      <c r="B37" t="s">
        <v>27</v>
      </c>
      <c r="C37" t="s">
        <v>87</v>
      </c>
      <c r="D37" t="s">
        <v>11</v>
      </c>
      <c r="H37">
        <v>255</v>
      </c>
      <c r="J37">
        <f t="shared" si="0"/>
        <v>255</v>
      </c>
      <c r="L37">
        <f t="shared" si="1"/>
        <v>0.11383928571428571</v>
      </c>
    </row>
    <row r="38" spans="1:12" x14ac:dyDescent="0.25">
      <c r="A38">
        <v>1699</v>
      </c>
      <c r="B38" t="s">
        <v>18</v>
      </c>
      <c r="C38" t="s">
        <v>87</v>
      </c>
      <c r="D38" t="s">
        <v>11</v>
      </c>
      <c r="F38">
        <v>12345</v>
      </c>
      <c r="G38">
        <v>2</v>
      </c>
      <c r="H38">
        <v>18</v>
      </c>
      <c r="J38">
        <f t="shared" si="0"/>
        <v>1382714</v>
      </c>
      <c r="L38">
        <f t="shared" si="1"/>
        <v>617.28303571428569</v>
      </c>
    </row>
    <row r="39" spans="1:12" x14ac:dyDescent="0.25">
      <c r="A39">
        <v>1699</v>
      </c>
      <c r="B39" t="s">
        <v>108</v>
      </c>
      <c r="C39" t="s">
        <v>87</v>
      </c>
      <c r="D39" t="s">
        <v>11</v>
      </c>
      <c r="H39">
        <v>30</v>
      </c>
      <c r="J39">
        <f t="shared" si="0"/>
        <v>30</v>
      </c>
      <c r="L39">
        <f t="shared" si="1"/>
        <v>1.3392857142857142E-2</v>
      </c>
    </row>
    <row r="40" spans="1:12" x14ac:dyDescent="0.25">
      <c r="A40">
        <v>1699</v>
      </c>
      <c r="B40" t="s">
        <v>15</v>
      </c>
      <c r="C40" t="s">
        <v>87</v>
      </c>
      <c r="D40" t="s">
        <v>11</v>
      </c>
      <c r="H40">
        <v>39.25</v>
      </c>
      <c r="J40">
        <f t="shared" si="0"/>
        <v>39.25</v>
      </c>
      <c r="L40">
        <f t="shared" si="1"/>
        <v>1.7522321428571429E-2</v>
      </c>
    </row>
    <row r="41" spans="1:12" x14ac:dyDescent="0.25">
      <c r="A41">
        <v>1699</v>
      </c>
      <c r="B41" t="s">
        <v>44</v>
      </c>
      <c r="C41" t="s">
        <v>87</v>
      </c>
      <c r="D41" t="s">
        <v>11</v>
      </c>
      <c r="J41">
        <f t="shared" si="0"/>
        <v>0</v>
      </c>
      <c r="L41">
        <f t="shared" si="1"/>
        <v>0</v>
      </c>
    </row>
    <row r="42" spans="1:12" x14ac:dyDescent="0.25">
      <c r="A42">
        <v>1699</v>
      </c>
      <c r="B42" t="s">
        <v>9</v>
      </c>
      <c r="C42" t="s">
        <v>87</v>
      </c>
      <c r="D42" t="s">
        <v>11</v>
      </c>
      <c r="F42">
        <v>175</v>
      </c>
      <c r="G42">
        <v>3</v>
      </c>
      <c r="H42">
        <v>11</v>
      </c>
      <c r="J42">
        <f t="shared" si="0"/>
        <v>19695</v>
      </c>
      <c r="L42">
        <f t="shared" si="1"/>
        <v>8.7924107142857135</v>
      </c>
    </row>
    <row r="43" spans="1:12" x14ac:dyDescent="0.25">
      <c r="A43">
        <v>1699</v>
      </c>
      <c r="B43" t="s">
        <v>16</v>
      </c>
      <c r="C43" t="s">
        <v>87</v>
      </c>
      <c r="D43" t="s">
        <v>11</v>
      </c>
      <c r="F43">
        <v>411</v>
      </c>
      <c r="G43">
        <v>1</v>
      </c>
      <c r="H43">
        <v>5</v>
      </c>
      <c r="J43">
        <f t="shared" si="0"/>
        <v>46065</v>
      </c>
      <c r="L43">
        <f t="shared" si="1"/>
        <v>20.564732142857142</v>
      </c>
    </row>
    <row r="44" spans="1:12" x14ac:dyDescent="0.25">
      <c r="A44">
        <v>1699</v>
      </c>
      <c r="B44" t="s">
        <v>26</v>
      </c>
      <c r="C44" t="s">
        <v>87</v>
      </c>
      <c r="D44" t="s">
        <v>11</v>
      </c>
      <c r="F44">
        <v>11</v>
      </c>
      <c r="H44">
        <v>23</v>
      </c>
      <c r="J44">
        <f t="shared" si="0"/>
        <v>1255</v>
      </c>
      <c r="L44">
        <f t="shared" si="1"/>
        <v>0.5602678571428571</v>
      </c>
    </row>
    <row r="45" spans="1:12" x14ac:dyDescent="0.25">
      <c r="A45">
        <v>1699</v>
      </c>
      <c r="B45" t="s">
        <v>8</v>
      </c>
      <c r="C45" t="s">
        <v>87</v>
      </c>
      <c r="D45" t="s">
        <v>11</v>
      </c>
      <c r="H45">
        <v>6710</v>
      </c>
      <c r="J45">
        <f t="shared" si="0"/>
        <v>6710</v>
      </c>
      <c r="L45">
        <f t="shared" si="1"/>
        <v>2.9955357142857144</v>
      </c>
    </row>
    <row r="46" spans="1:12" x14ac:dyDescent="0.25">
      <c r="A46">
        <v>1699</v>
      </c>
      <c r="B46" t="s">
        <v>40</v>
      </c>
      <c r="C46" t="s">
        <v>87</v>
      </c>
      <c r="D46" t="s">
        <v>11</v>
      </c>
      <c r="H46">
        <v>967.5</v>
      </c>
      <c r="I46" t="s">
        <v>69</v>
      </c>
      <c r="J46">
        <f t="shared" si="0"/>
        <v>967.5</v>
      </c>
      <c r="L46">
        <f t="shared" si="1"/>
        <v>0.43191964285714285</v>
      </c>
    </row>
    <row r="47" spans="1:12" x14ac:dyDescent="0.25">
      <c r="A47">
        <v>1699</v>
      </c>
      <c r="B47" t="s">
        <v>41</v>
      </c>
      <c r="C47" t="s">
        <v>87</v>
      </c>
      <c r="D47" t="s">
        <v>11</v>
      </c>
      <c r="F47">
        <v>39</v>
      </c>
      <c r="J47">
        <f t="shared" si="0"/>
        <v>4368</v>
      </c>
      <c r="L47">
        <f t="shared" si="1"/>
        <v>1.95</v>
      </c>
    </row>
    <row r="48" spans="1:12" x14ac:dyDescent="0.25">
      <c r="A48">
        <v>1699</v>
      </c>
      <c r="B48" t="s">
        <v>22</v>
      </c>
      <c r="C48" t="s">
        <v>87</v>
      </c>
      <c r="D48" t="s">
        <v>11</v>
      </c>
      <c r="H48">
        <v>4739</v>
      </c>
      <c r="I48" t="s">
        <v>67</v>
      </c>
      <c r="J48">
        <f t="shared" si="0"/>
        <v>4739</v>
      </c>
      <c r="L48">
        <f t="shared" si="1"/>
        <v>2.1156250000000001</v>
      </c>
    </row>
    <row r="49" spans="1:12" x14ac:dyDescent="0.25">
      <c r="A49">
        <v>1699</v>
      </c>
      <c r="B49" t="s">
        <v>17</v>
      </c>
      <c r="C49" t="s">
        <v>87</v>
      </c>
      <c r="D49" t="s">
        <v>11</v>
      </c>
      <c r="F49">
        <v>2796</v>
      </c>
      <c r="G49">
        <v>3</v>
      </c>
      <c r="H49">
        <v>12</v>
      </c>
      <c r="J49">
        <f t="shared" si="0"/>
        <v>313248</v>
      </c>
      <c r="L49">
        <f t="shared" si="1"/>
        <v>139.84285714285716</v>
      </c>
    </row>
    <row r="50" spans="1:12" x14ac:dyDescent="0.25">
      <c r="A50">
        <v>1699</v>
      </c>
      <c r="B50" t="s">
        <v>35</v>
      </c>
      <c r="C50" t="s">
        <v>87</v>
      </c>
      <c r="D50" t="s">
        <v>11</v>
      </c>
      <c r="H50">
        <v>1120</v>
      </c>
      <c r="J50">
        <f t="shared" si="0"/>
        <v>1120</v>
      </c>
      <c r="L50">
        <f t="shared" si="1"/>
        <v>0.5</v>
      </c>
    </row>
    <row r="51" spans="1:12" x14ac:dyDescent="0.25">
      <c r="A51">
        <v>1699</v>
      </c>
      <c r="B51" t="s">
        <v>23</v>
      </c>
      <c r="C51" t="s">
        <v>87</v>
      </c>
      <c r="D51" t="s">
        <v>11</v>
      </c>
      <c r="H51">
        <v>221.5</v>
      </c>
      <c r="I51" t="s">
        <v>68</v>
      </c>
      <c r="J51">
        <f t="shared" si="0"/>
        <v>221.5</v>
      </c>
      <c r="L51">
        <f t="shared" si="1"/>
        <v>9.8883928571428567E-2</v>
      </c>
    </row>
    <row r="52" spans="1:12" x14ac:dyDescent="0.25">
      <c r="A52">
        <v>1699</v>
      </c>
      <c r="B52" t="s">
        <v>25</v>
      </c>
      <c r="C52" t="s">
        <v>87</v>
      </c>
      <c r="D52" t="s">
        <v>11</v>
      </c>
      <c r="F52">
        <v>3</v>
      </c>
      <c r="J52">
        <f t="shared" si="0"/>
        <v>336</v>
      </c>
      <c r="L52">
        <f t="shared" si="1"/>
        <v>0.15</v>
      </c>
    </row>
    <row r="53" spans="1:12" x14ac:dyDescent="0.25">
      <c r="A53">
        <v>1699</v>
      </c>
      <c r="B53" t="s">
        <v>13</v>
      </c>
      <c r="C53" t="s">
        <v>87</v>
      </c>
      <c r="D53" t="s">
        <v>11</v>
      </c>
      <c r="H53">
        <v>397</v>
      </c>
      <c r="J53">
        <f t="shared" si="0"/>
        <v>397</v>
      </c>
      <c r="L53">
        <f t="shared" si="1"/>
        <v>0.17723214285714287</v>
      </c>
    </row>
    <row r="54" spans="1:12" x14ac:dyDescent="0.25">
      <c r="A54">
        <v>1699</v>
      </c>
      <c r="B54" t="s">
        <v>29</v>
      </c>
      <c r="C54" t="s">
        <v>87</v>
      </c>
      <c r="D54" t="s">
        <v>11</v>
      </c>
      <c r="G54">
        <v>1</v>
      </c>
      <c r="H54">
        <v>22</v>
      </c>
      <c r="J54">
        <f t="shared" si="0"/>
        <v>50</v>
      </c>
      <c r="L54">
        <f t="shared" si="1"/>
        <v>2.2321428571428572E-2</v>
      </c>
    </row>
    <row r="55" spans="1:12" x14ac:dyDescent="0.25">
      <c r="A55">
        <v>1699</v>
      </c>
      <c r="B55" t="s">
        <v>127</v>
      </c>
      <c r="C55" t="s">
        <v>87</v>
      </c>
      <c r="D55" t="s">
        <v>11</v>
      </c>
      <c r="H55">
        <v>16</v>
      </c>
      <c r="J55">
        <f t="shared" si="0"/>
        <v>16</v>
      </c>
      <c r="L55">
        <f t="shared" si="1"/>
        <v>7.1428571428571426E-3</v>
      </c>
    </row>
    <row r="56" spans="1:12" x14ac:dyDescent="0.25">
      <c r="A56">
        <v>1699</v>
      </c>
      <c r="B56" t="s">
        <v>21</v>
      </c>
      <c r="C56" t="s">
        <v>87</v>
      </c>
      <c r="D56" t="s">
        <v>11</v>
      </c>
      <c r="H56">
        <v>71887</v>
      </c>
      <c r="J56">
        <f t="shared" si="0"/>
        <v>71887</v>
      </c>
      <c r="L56">
        <f t="shared" si="1"/>
        <v>32.092410714285712</v>
      </c>
    </row>
    <row r="57" spans="1:12" x14ac:dyDescent="0.25">
      <c r="A57">
        <v>1699</v>
      </c>
      <c r="B57" t="s">
        <v>24</v>
      </c>
      <c r="C57" t="s">
        <v>87</v>
      </c>
      <c r="D57" t="s">
        <v>11</v>
      </c>
      <c r="J57">
        <f t="shared" si="0"/>
        <v>0</v>
      </c>
      <c r="L57">
        <f t="shared" si="1"/>
        <v>0</v>
      </c>
    </row>
    <row r="58" spans="1:12" x14ac:dyDescent="0.25">
      <c r="A58">
        <v>1699</v>
      </c>
      <c r="B58" t="s">
        <v>19</v>
      </c>
      <c r="C58" t="s">
        <v>87</v>
      </c>
      <c r="D58" t="s">
        <v>11</v>
      </c>
      <c r="F58">
        <v>104</v>
      </c>
      <c r="G58">
        <v>3</v>
      </c>
      <c r="H58">
        <v>27</v>
      </c>
      <c r="J58">
        <f t="shared" si="0"/>
        <v>11759</v>
      </c>
      <c r="L58">
        <f t="shared" si="1"/>
        <v>5.2495535714285717</v>
      </c>
    </row>
    <row r="59" spans="1:12" x14ac:dyDescent="0.25">
      <c r="A59">
        <v>1699</v>
      </c>
      <c r="B59" t="s">
        <v>129</v>
      </c>
      <c r="C59" t="s">
        <v>87</v>
      </c>
      <c r="D59" t="s">
        <v>11</v>
      </c>
      <c r="F59">
        <v>304</v>
      </c>
      <c r="G59">
        <v>2</v>
      </c>
      <c r="H59">
        <v>4</v>
      </c>
      <c r="J59">
        <f t="shared" si="0"/>
        <v>34108</v>
      </c>
      <c r="L59">
        <f t="shared" si="1"/>
        <v>15.226785714285715</v>
      </c>
    </row>
    <row r="60" spans="1:12" x14ac:dyDescent="0.25">
      <c r="A60">
        <v>1699</v>
      </c>
      <c r="B60" t="s">
        <v>133</v>
      </c>
      <c r="C60" t="s">
        <v>87</v>
      </c>
      <c r="D60" t="s">
        <v>11</v>
      </c>
      <c r="E60">
        <v>34</v>
      </c>
      <c r="F60">
        <v>16</v>
      </c>
      <c r="J60">
        <f t="shared" si="0"/>
        <v>77952</v>
      </c>
      <c r="L60">
        <f t="shared" si="1"/>
        <v>34.799999999999997</v>
      </c>
    </row>
    <row r="61" spans="1:12" x14ac:dyDescent="0.25">
      <c r="A61">
        <v>1699</v>
      </c>
      <c r="B61" t="s">
        <v>135</v>
      </c>
      <c r="C61" t="s">
        <v>87</v>
      </c>
      <c r="D61" t="s">
        <v>11</v>
      </c>
      <c r="F61">
        <v>190</v>
      </c>
      <c r="J61">
        <f t="shared" si="0"/>
        <v>21280</v>
      </c>
      <c r="L61">
        <f t="shared" si="1"/>
        <v>9.5</v>
      </c>
    </row>
  </sheetData>
  <autoFilter ref="A1:L58" xr:uid="{AAD1F908-12B8-4B3A-A65D-184CD229ACD4}">
    <sortState xmlns:xlrd2="http://schemas.microsoft.com/office/spreadsheetml/2017/richdata2" ref="A2:L58">
      <sortCondition ref="D1:D5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E722-BBCD-461E-A313-A1216A062DC6}">
  <dimension ref="A1:L7"/>
  <sheetViews>
    <sheetView workbookViewId="0">
      <selection activeCell="G6" sqref="G6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82</v>
      </c>
      <c r="B1" s="1" t="s">
        <v>81</v>
      </c>
      <c r="C1" s="1" t="s">
        <v>86</v>
      </c>
      <c r="D1" s="1" t="s">
        <v>83</v>
      </c>
      <c r="E1" s="1" t="s">
        <v>93</v>
      </c>
      <c r="F1" s="1" t="s">
        <v>50</v>
      </c>
      <c r="G1" s="1" t="s">
        <v>51</v>
      </c>
      <c r="H1" s="1" t="s">
        <v>94</v>
      </c>
      <c r="I1" s="1"/>
      <c r="J1" s="1" t="s">
        <v>5</v>
      </c>
      <c r="K1" s="1"/>
      <c r="L1" s="1" t="s">
        <v>85</v>
      </c>
    </row>
    <row r="2" spans="1:12" x14ac:dyDescent="0.25">
      <c r="A2">
        <v>1699</v>
      </c>
      <c r="B2" t="s">
        <v>18</v>
      </c>
      <c r="C2" t="s">
        <v>88</v>
      </c>
      <c r="D2" t="s">
        <v>7</v>
      </c>
      <c r="E2" s="1"/>
      <c r="F2">
        <v>11</v>
      </c>
      <c r="G2">
        <v>2</v>
      </c>
      <c r="H2" s="1"/>
      <c r="J2">
        <f t="shared" ref="J2:J3" si="0">(E2*2240)+(F2*112)+(G2*28)+H2</f>
        <v>1288</v>
      </c>
      <c r="K2" s="1"/>
      <c r="L2">
        <f t="shared" ref="L2:L3" si="1">J2/2240</f>
        <v>0.57499999999999996</v>
      </c>
    </row>
    <row r="3" spans="1:12" x14ac:dyDescent="0.25">
      <c r="A3">
        <v>1699</v>
      </c>
      <c r="B3" t="s">
        <v>43</v>
      </c>
      <c r="C3" t="s">
        <v>88</v>
      </c>
      <c r="D3" t="s">
        <v>7</v>
      </c>
      <c r="E3" s="1"/>
      <c r="F3" s="1"/>
      <c r="G3" s="1"/>
      <c r="H3" s="1"/>
      <c r="J3">
        <f t="shared" si="0"/>
        <v>0</v>
      </c>
      <c r="K3" s="1"/>
      <c r="L3">
        <f t="shared" si="1"/>
        <v>0</v>
      </c>
    </row>
    <row r="4" spans="1:12" x14ac:dyDescent="0.25">
      <c r="A4">
        <v>1699</v>
      </c>
      <c r="B4" t="s">
        <v>8</v>
      </c>
      <c r="C4" t="s">
        <v>88</v>
      </c>
      <c r="D4" t="s">
        <v>7</v>
      </c>
      <c r="J4">
        <f>(E4*2240)+(F4*112)+(G4*28)+H4</f>
        <v>0</v>
      </c>
      <c r="L4">
        <f>J4/2240</f>
        <v>0</v>
      </c>
    </row>
    <row r="5" spans="1:12" x14ac:dyDescent="0.25">
      <c r="A5">
        <v>1699</v>
      </c>
      <c r="B5" t="s">
        <v>21</v>
      </c>
      <c r="C5" t="s">
        <v>88</v>
      </c>
      <c r="D5" t="s">
        <v>7</v>
      </c>
      <c r="H5">
        <v>1323</v>
      </c>
      <c r="J5">
        <f t="shared" ref="J5:J7" si="2">(E5*2240)+(F5*112)+(G5*28)+H5</f>
        <v>1323</v>
      </c>
      <c r="L5">
        <f t="shared" ref="L5:L7" si="3">J5/2240</f>
        <v>0.59062499999999996</v>
      </c>
    </row>
    <row r="6" spans="1:12" x14ac:dyDescent="0.25">
      <c r="A6">
        <v>1699</v>
      </c>
      <c r="B6" t="s">
        <v>129</v>
      </c>
      <c r="C6" t="s">
        <v>88</v>
      </c>
      <c r="D6" t="s">
        <v>7</v>
      </c>
      <c r="E6">
        <v>4</v>
      </c>
      <c r="J6">
        <f t="shared" si="2"/>
        <v>8960</v>
      </c>
      <c r="L6">
        <f t="shared" si="3"/>
        <v>4</v>
      </c>
    </row>
    <row r="7" spans="1:12" x14ac:dyDescent="0.25">
      <c r="A7">
        <v>1699</v>
      </c>
      <c r="B7" t="s">
        <v>21</v>
      </c>
      <c r="C7" t="s">
        <v>88</v>
      </c>
      <c r="D7" t="s">
        <v>11</v>
      </c>
      <c r="H7">
        <v>1658</v>
      </c>
      <c r="J7">
        <f t="shared" si="2"/>
        <v>1658</v>
      </c>
      <c r="L7">
        <f t="shared" si="3"/>
        <v>0.74017857142857146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DECF-9C4B-4D66-A34A-4FCAB8DD57FB}">
  <dimension ref="A1:L15"/>
  <sheetViews>
    <sheetView workbookViewId="0">
      <selection activeCell="B7" sqref="B7"/>
    </sheetView>
  </sheetViews>
  <sheetFormatPr defaultRowHeight="15" x14ac:dyDescent="0.25"/>
  <cols>
    <col min="2" max="3" width="13.85546875" customWidth="1"/>
  </cols>
  <sheetData>
    <row r="1" spans="1:12" x14ac:dyDescent="0.25">
      <c r="A1" s="1" t="s">
        <v>82</v>
      </c>
      <c r="B1" s="1" t="s">
        <v>81</v>
      </c>
      <c r="C1" s="1" t="s">
        <v>86</v>
      </c>
      <c r="D1" s="1" t="s">
        <v>83</v>
      </c>
      <c r="E1" s="1" t="s">
        <v>93</v>
      </c>
      <c r="F1" s="1" t="s">
        <v>50</v>
      </c>
      <c r="G1" s="1" t="s">
        <v>51</v>
      </c>
      <c r="H1" s="1" t="s">
        <v>94</v>
      </c>
      <c r="I1" s="1"/>
      <c r="J1" s="1" t="s">
        <v>5</v>
      </c>
      <c r="K1" s="1"/>
      <c r="L1" s="1" t="s">
        <v>85</v>
      </c>
    </row>
    <row r="2" spans="1:12" x14ac:dyDescent="0.25">
      <c r="A2">
        <v>1699</v>
      </c>
      <c r="B2" t="s">
        <v>12</v>
      </c>
      <c r="C2" t="s">
        <v>89</v>
      </c>
      <c r="D2" t="s">
        <v>7</v>
      </c>
      <c r="F2">
        <v>7</v>
      </c>
      <c r="J2">
        <f t="shared" ref="J2:J15" si="0">(E2*2240)+(F2*112)+(G2*28)+H2</f>
        <v>784</v>
      </c>
      <c r="L2">
        <f t="shared" ref="L2:L15" si="1">J2/2240</f>
        <v>0.35</v>
      </c>
    </row>
    <row r="3" spans="1:12" x14ac:dyDescent="0.25">
      <c r="A3">
        <v>1699</v>
      </c>
      <c r="B3" t="s">
        <v>18</v>
      </c>
      <c r="C3" t="s">
        <v>89</v>
      </c>
      <c r="D3" t="s">
        <v>7</v>
      </c>
      <c r="F3">
        <v>330</v>
      </c>
      <c r="G3">
        <v>1</v>
      </c>
      <c r="H3">
        <v>7</v>
      </c>
      <c r="J3">
        <f t="shared" si="0"/>
        <v>36995</v>
      </c>
      <c r="L3">
        <f t="shared" si="1"/>
        <v>16.515625</v>
      </c>
    </row>
    <row r="4" spans="1:12" x14ac:dyDescent="0.25">
      <c r="A4">
        <v>1699</v>
      </c>
      <c r="B4" t="s">
        <v>26</v>
      </c>
      <c r="C4" t="s">
        <v>89</v>
      </c>
      <c r="D4" t="s">
        <v>7</v>
      </c>
      <c r="F4">
        <v>66</v>
      </c>
      <c r="G4">
        <v>3</v>
      </c>
      <c r="H4">
        <v>22</v>
      </c>
      <c r="J4">
        <f t="shared" si="0"/>
        <v>7498</v>
      </c>
      <c r="L4">
        <f t="shared" si="1"/>
        <v>3.3473214285714286</v>
      </c>
    </row>
    <row r="5" spans="1:12" x14ac:dyDescent="0.25">
      <c r="A5">
        <v>1699</v>
      </c>
      <c r="B5" t="s">
        <v>8</v>
      </c>
      <c r="C5" t="s">
        <v>89</v>
      </c>
      <c r="D5" t="s">
        <v>7</v>
      </c>
      <c r="H5">
        <v>90</v>
      </c>
      <c r="J5">
        <f t="shared" si="0"/>
        <v>90</v>
      </c>
      <c r="L5">
        <f t="shared" si="1"/>
        <v>4.0178571428571432E-2</v>
      </c>
    </row>
    <row r="6" spans="1:12" x14ac:dyDescent="0.25">
      <c r="A6">
        <v>1699</v>
      </c>
      <c r="B6" t="s">
        <v>33</v>
      </c>
      <c r="C6" t="s">
        <v>89</v>
      </c>
      <c r="D6" t="s">
        <v>7</v>
      </c>
      <c r="F6">
        <v>5</v>
      </c>
      <c r="J6">
        <f t="shared" si="0"/>
        <v>560</v>
      </c>
      <c r="L6">
        <f t="shared" si="1"/>
        <v>0.25</v>
      </c>
    </row>
    <row r="7" spans="1:12" x14ac:dyDescent="0.25">
      <c r="A7">
        <v>1699</v>
      </c>
      <c r="B7" t="s">
        <v>28</v>
      </c>
      <c r="C7" t="s">
        <v>89</v>
      </c>
      <c r="D7" t="s">
        <v>7</v>
      </c>
      <c r="F7">
        <v>836</v>
      </c>
      <c r="G7">
        <v>1</v>
      </c>
      <c r="H7">
        <v>8</v>
      </c>
      <c r="J7">
        <f t="shared" si="0"/>
        <v>93668</v>
      </c>
      <c r="L7">
        <f t="shared" si="1"/>
        <v>41.816071428571426</v>
      </c>
    </row>
    <row r="8" spans="1:12" x14ac:dyDescent="0.25">
      <c r="A8">
        <v>1699</v>
      </c>
      <c r="B8" t="s">
        <v>21</v>
      </c>
      <c r="C8" t="s">
        <v>89</v>
      </c>
      <c r="D8" t="s">
        <v>7</v>
      </c>
      <c r="H8">
        <v>2741</v>
      </c>
      <c r="J8">
        <f t="shared" si="0"/>
        <v>2741</v>
      </c>
      <c r="L8">
        <f t="shared" si="1"/>
        <v>1.2236607142857143</v>
      </c>
    </row>
    <row r="9" spans="1:12" x14ac:dyDescent="0.25">
      <c r="A9">
        <v>1699</v>
      </c>
      <c r="B9" t="s">
        <v>24</v>
      </c>
      <c r="C9" t="s">
        <v>89</v>
      </c>
      <c r="D9" t="s">
        <v>7</v>
      </c>
      <c r="H9">
        <v>335</v>
      </c>
      <c r="J9">
        <f t="shared" si="0"/>
        <v>335</v>
      </c>
      <c r="L9">
        <f t="shared" si="1"/>
        <v>0.14955357142857142</v>
      </c>
    </row>
    <row r="10" spans="1:12" x14ac:dyDescent="0.25">
      <c r="A10">
        <v>1699</v>
      </c>
      <c r="B10" t="s">
        <v>18</v>
      </c>
      <c r="C10" t="s">
        <v>89</v>
      </c>
      <c r="D10" t="s">
        <v>11</v>
      </c>
      <c r="F10">
        <v>1</v>
      </c>
      <c r="G10">
        <v>3</v>
      </c>
      <c r="H10">
        <v>14</v>
      </c>
      <c r="J10">
        <f t="shared" si="0"/>
        <v>210</v>
      </c>
      <c r="L10">
        <f t="shared" si="1"/>
        <v>9.375E-2</v>
      </c>
    </row>
    <row r="11" spans="1:12" x14ac:dyDescent="0.25">
      <c r="A11">
        <v>1699</v>
      </c>
      <c r="B11" t="s">
        <v>44</v>
      </c>
      <c r="C11" t="s">
        <v>89</v>
      </c>
      <c r="D11" t="s">
        <v>11</v>
      </c>
      <c r="J11">
        <f t="shared" si="0"/>
        <v>0</v>
      </c>
      <c r="L11">
        <f t="shared" si="1"/>
        <v>0</v>
      </c>
    </row>
    <row r="12" spans="1:12" x14ac:dyDescent="0.25">
      <c r="A12">
        <v>1699</v>
      </c>
      <c r="B12" t="s">
        <v>9</v>
      </c>
      <c r="C12" t="s">
        <v>89</v>
      </c>
      <c r="D12" t="s">
        <v>11</v>
      </c>
      <c r="J12">
        <f t="shared" si="0"/>
        <v>0</v>
      </c>
      <c r="L12">
        <f t="shared" si="1"/>
        <v>0</v>
      </c>
    </row>
    <row r="13" spans="1:12" x14ac:dyDescent="0.25">
      <c r="A13">
        <v>1699</v>
      </c>
      <c r="B13" t="s">
        <v>26</v>
      </c>
      <c r="C13" t="s">
        <v>89</v>
      </c>
      <c r="D13" t="s">
        <v>11</v>
      </c>
      <c r="G13">
        <v>1</v>
      </c>
      <c r="H13">
        <v>12</v>
      </c>
      <c r="J13">
        <f t="shared" si="0"/>
        <v>40</v>
      </c>
      <c r="L13">
        <f t="shared" si="1"/>
        <v>1.7857142857142856E-2</v>
      </c>
    </row>
    <row r="14" spans="1:12" x14ac:dyDescent="0.25">
      <c r="A14">
        <v>1699</v>
      </c>
      <c r="B14" t="s">
        <v>28</v>
      </c>
      <c r="C14" t="s">
        <v>89</v>
      </c>
      <c r="D14" t="s">
        <v>11</v>
      </c>
      <c r="F14">
        <v>181</v>
      </c>
      <c r="G14">
        <v>1</v>
      </c>
      <c r="H14">
        <v>13</v>
      </c>
      <c r="J14">
        <f t="shared" si="0"/>
        <v>20313</v>
      </c>
      <c r="L14">
        <f t="shared" si="1"/>
        <v>9.0683035714285722</v>
      </c>
    </row>
    <row r="15" spans="1:12" x14ac:dyDescent="0.25">
      <c r="A15">
        <v>1699</v>
      </c>
      <c r="B15" t="s">
        <v>21</v>
      </c>
      <c r="C15" t="s">
        <v>89</v>
      </c>
      <c r="D15" t="s">
        <v>11</v>
      </c>
      <c r="H15">
        <v>10000</v>
      </c>
      <c r="J15">
        <f t="shared" si="0"/>
        <v>10000</v>
      </c>
      <c r="L15">
        <f t="shared" si="1"/>
        <v>4.4642857142857144</v>
      </c>
    </row>
  </sheetData>
  <autoFilter ref="A1:L15" xr:uid="{E339DECF-9C4B-4D66-A34A-4FCAB8DD57FB}">
    <sortState xmlns:xlrd2="http://schemas.microsoft.com/office/spreadsheetml/2017/richdata2" ref="A2:L15">
      <sortCondition ref="D1:D15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7725-5A61-4A1B-A740-CC887BCB0E68}">
  <dimension ref="A1:Q58"/>
  <sheetViews>
    <sheetView topLeftCell="A25" zoomScaleNormal="100" workbookViewId="0">
      <selection activeCell="E59" sqref="E59"/>
    </sheetView>
  </sheetViews>
  <sheetFormatPr defaultRowHeight="15" x14ac:dyDescent="0.25"/>
  <cols>
    <col min="2" max="2" width="17.7109375" customWidth="1"/>
    <col min="3" max="3" width="14.28515625" customWidth="1"/>
  </cols>
  <sheetData>
    <row r="1" spans="1:17" x14ac:dyDescent="0.25">
      <c r="A1" s="1" t="s">
        <v>82</v>
      </c>
      <c r="B1" s="1" t="s">
        <v>81</v>
      </c>
      <c r="C1" s="1" t="s">
        <v>86</v>
      </c>
      <c r="D1" s="1" t="s">
        <v>83</v>
      </c>
      <c r="E1" s="1" t="s">
        <v>93</v>
      </c>
      <c r="F1" s="1" t="s">
        <v>50</v>
      </c>
      <c r="G1" s="1" t="s">
        <v>51</v>
      </c>
      <c r="H1" s="1" t="s">
        <v>94</v>
      </c>
      <c r="I1" s="1"/>
      <c r="J1" s="1" t="s">
        <v>5</v>
      </c>
      <c r="K1" s="1"/>
      <c r="L1" s="1" t="s">
        <v>85</v>
      </c>
      <c r="O1" t="s">
        <v>36</v>
      </c>
      <c r="Q1" t="s">
        <v>37</v>
      </c>
    </row>
    <row r="2" spans="1:17" x14ac:dyDescent="0.25">
      <c r="A2">
        <v>1699</v>
      </c>
      <c r="B2" t="s">
        <v>27</v>
      </c>
      <c r="C2" t="s">
        <v>90</v>
      </c>
      <c r="D2" t="s">
        <v>7</v>
      </c>
      <c r="H2">
        <v>998</v>
      </c>
      <c r="J2">
        <f t="shared" ref="J2:J58" si="0">(E2*2240)+(F2*112)+(G2*28)+H2</f>
        <v>998</v>
      </c>
      <c r="L2">
        <f t="shared" ref="L2:L58" si="1">J2/2240</f>
        <v>0.44553571428571431</v>
      </c>
    </row>
    <row r="3" spans="1:17" x14ac:dyDescent="0.25">
      <c r="A3">
        <v>1699</v>
      </c>
      <c r="B3" t="s">
        <v>18</v>
      </c>
      <c r="C3" t="s">
        <v>90</v>
      </c>
      <c r="D3" t="s">
        <v>7</v>
      </c>
      <c r="G3">
        <v>2</v>
      </c>
      <c r="H3">
        <v>14</v>
      </c>
      <c r="J3">
        <f t="shared" si="0"/>
        <v>70</v>
      </c>
      <c r="L3">
        <f t="shared" si="1"/>
        <v>3.125E-2</v>
      </c>
    </row>
    <row r="4" spans="1:17" x14ac:dyDescent="0.25">
      <c r="A4">
        <v>1699</v>
      </c>
      <c r="B4" t="s">
        <v>15</v>
      </c>
      <c r="C4" t="s">
        <v>90</v>
      </c>
      <c r="D4" t="s">
        <v>7</v>
      </c>
      <c r="H4">
        <v>183</v>
      </c>
      <c r="J4">
        <f t="shared" si="0"/>
        <v>183</v>
      </c>
      <c r="L4">
        <f t="shared" si="1"/>
        <v>8.1696428571428573E-2</v>
      </c>
    </row>
    <row r="5" spans="1:17" x14ac:dyDescent="0.25">
      <c r="A5">
        <v>1699</v>
      </c>
      <c r="B5" t="s">
        <v>108</v>
      </c>
      <c r="C5" t="s">
        <v>90</v>
      </c>
      <c r="D5" t="s">
        <v>7</v>
      </c>
      <c r="H5">
        <v>203</v>
      </c>
      <c r="J5">
        <f t="shared" si="0"/>
        <v>203</v>
      </c>
      <c r="L5">
        <f t="shared" si="1"/>
        <v>9.0624999999999997E-2</v>
      </c>
    </row>
    <row r="6" spans="1:17" x14ac:dyDescent="0.25">
      <c r="A6">
        <v>1699</v>
      </c>
      <c r="B6" t="s">
        <v>109</v>
      </c>
      <c r="C6" t="s">
        <v>90</v>
      </c>
      <c r="D6" t="s">
        <v>7</v>
      </c>
      <c r="H6">
        <v>1771</v>
      </c>
      <c r="J6">
        <f t="shared" si="0"/>
        <v>1771</v>
      </c>
      <c r="L6">
        <f t="shared" si="1"/>
        <v>0.79062500000000002</v>
      </c>
    </row>
    <row r="7" spans="1:17" x14ac:dyDescent="0.25">
      <c r="A7">
        <v>1699</v>
      </c>
      <c r="B7" t="s">
        <v>44</v>
      </c>
      <c r="C7" t="s">
        <v>90</v>
      </c>
      <c r="D7" t="s">
        <v>7</v>
      </c>
      <c r="F7">
        <v>61</v>
      </c>
      <c r="G7">
        <v>2</v>
      </c>
      <c r="H7">
        <v>21</v>
      </c>
      <c r="J7">
        <f t="shared" si="0"/>
        <v>6909</v>
      </c>
      <c r="L7">
        <f t="shared" si="1"/>
        <v>3.0843750000000001</v>
      </c>
    </row>
    <row r="8" spans="1:17" x14ac:dyDescent="0.25">
      <c r="A8">
        <v>1699</v>
      </c>
      <c r="B8" t="s">
        <v>114</v>
      </c>
      <c r="C8" t="s">
        <v>90</v>
      </c>
      <c r="D8" t="s">
        <v>7</v>
      </c>
      <c r="H8">
        <v>5522</v>
      </c>
      <c r="J8">
        <f t="shared" si="0"/>
        <v>5522</v>
      </c>
      <c r="L8">
        <f t="shared" si="1"/>
        <v>2.4651785714285714</v>
      </c>
    </row>
    <row r="9" spans="1:17" x14ac:dyDescent="0.25">
      <c r="A9">
        <v>1699</v>
      </c>
      <c r="B9" t="s">
        <v>9</v>
      </c>
      <c r="C9" t="s">
        <v>90</v>
      </c>
      <c r="D9" t="s">
        <v>7</v>
      </c>
      <c r="H9">
        <f>558*200</f>
        <v>111600</v>
      </c>
      <c r="I9" t="s">
        <v>58</v>
      </c>
      <c r="J9">
        <f t="shared" si="0"/>
        <v>111600</v>
      </c>
      <c r="L9">
        <f t="shared" si="1"/>
        <v>49.821428571428569</v>
      </c>
    </row>
    <row r="10" spans="1:17" x14ac:dyDescent="0.25">
      <c r="A10">
        <v>1699</v>
      </c>
      <c r="B10" t="s">
        <v>16</v>
      </c>
      <c r="C10" t="s">
        <v>90</v>
      </c>
      <c r="D10" t="s">
        <v>7</v>
      </c>
      <c r="F10">
        <v>1522</v>
      </c>
      <c r="G10">
        <v>3</v>
      </c>
      <c r="H10">
        <v>21</v>
      </c>
      <c r="J10">
        <f t="shared" si="0"/>
        <v>170569</v>
      </c>
      <c r="L10">
        <f t="shared" si="1"/>
        <v>76.146874999999994</v>
      </c>
    </row>
    <row r="11" spans="1:17" x14ac:dyDescent="0.25">
      <c r="A11">
        <v>1699</v>
      </c>
      <c r="B11" t="s">
        <v>26</v>
      </c>
      <c r="C11" t="s">
        <v>90</v>
      </c>
      <c r="D11" t="s">
        <v>7</v>
      </c>
      <c r="F11">
        <v>209</v>
      </c>
      <c r="G11">
        <v>3</v>
      </c>
      <c r="J11">
        <f t="shared" si="0"/>
        <v>23492</v>
      </c>
      <c r="L11">
        <f t="shared" si="1"/>
        <v>10.487500000000001</v>
      </c>
    </row>
    <row r="12" spans="1:17" x14ac:dyDescent="0.25">
      <c r="A12">
        <v>1699</v>
      </c>
      <c r="B12" t="s">
        <v>115</v>
      </c>
      <c r="C12" t="s">
        <v>90</v>
      </c>
      <c r="D12" t="s">
        <v>7</v>
      </c>
      <c r="H12">
        <v>2</v>
      </c>
      <c r="J12">
        <f t="shared" si="0"/>
        <v>2</v>
      </c>
      <c r="L12">
        <f t="shared" si="1"/>
        <v>8.9285714285714283E-4</v>
      </c>
    </row>
    <row r="13" spans="1:17" x14ac:dyDescent="0.25">
      <c r="A13">
        <v>1699</v>
      </c>
      <c r="B13" t="s">
        <v>8</v>
      </c>
      <c r="C13" t="s">
        <v>90</v>
      </c>
      <c r="D13" t="s">
        <v>7</v>
      </c>
      <c r="H13">
        <v>161757</v>
      </c>
      <c r="J13">
        <f t="shared" si="0"/>
        <v>161757</v>
      </c>
      <c r="L13">
        <f t="shared" si="1"/>
        <v>72.212946428571428</v>
      </c>
    </row>
    <row r="14" spans="1:17" x14ac:dyDescent="0.25">
      <c r="A14">
        <v>1699</v>
      </c>
      <c r="B14" t="s">
        <v>41</v>
      </c>
      <c r="C14" t="s">
        <v>90</v>
      </c>
      <c r="D14" t="s">
        <v>7</v>
      </c>
      <c r="E14">
        <v>8</v>
      </c>
      <c r="F14">
        <v>11</v>
      </c>
      <c r="G14">
        <v>2</v>
      </c>
      <c r="J14">
        <f t="shared" si="0"/>
        <v>19208</v>
      </c>
      <c r="L14">
        <f t="shared" si="1"/>
        <v>8.5749999999999993</v>
      </c>
    </row>
    <row r="15" spans="1:17" x14ac:dyDescent="0.25">
      <c r="A15">
        <v>1699</v>
      </c>
      <c r="B15" t="s">
        <v>22</v>
      </c>
      <c r="C15" t="s">
        <v>90</v>
      </c>
      <c r="D15" t="s">
        <v>7</v>
      </c>
      <c r="H15">
        <v>118743</v>
      </c>
      <c r="I15" t="s">
        <v>59</v>
      </c>
      <c r="J15">
        <f t="shared" si="0"/>
        <v>118743</v>
      </c>
      <c r="L15">
        <f t="shared" si="1"/>
        <v>53.010267857142857</v>
      </c>
    </row>
    <row r="16" spans="1:17" x14ac:dyDescent="0.25">
      <c r="A16">
        <v>1699</v>
      </c>
      <c r="B16" t="s">
        <v>30</v>
      </c>
      <c r="C16" t="s">
        <v>90</v>
      </c>
      <c r="D16" t="s">
        <v>7</v>
      </c>
      <c r="J16">
        <f t="shared" si="0"/>
        <v>0</v>
      </c>
      <c r="L16">
        <f t="shared" si="1"/>
        <v>0</v>
      </c>
    </row>
    <row r="17" spans="1:12" x14ac:dyDescent="0.25">
      <c r="A17">
        <v>1699</v>
      </c>
      <c r="B17" t="s">
        <v>17</v>
      </c>
      <c r="C17" t="s">
        <v>90</v>
      </c>
      <c r="D17" t="s">
        <v>7</v>
      </c>
      <c r="F17">
        <v>376</v>
      </c>
      <c r="G17">
        <v>2</v>
      </c>
      <c r="H17">
        <v>23</v>
      </c>
      <c r="J17">
        <f t="shared" si="0"/>
        <v>42191</v>
      </c>
      <c r="L17">
        <f t="shared" si="1"/>
        <v>18.835267857142856</v>
      </c>
    </row>
    <row r="18" spans="1:12" x14ac:dyDescent="0.25">
      <c r="A18">
        <v>1699</v>
      </c>
      <c r="B18" t="s">
        <v>49</v>
      </c>
      <c r="C18" t="s">
        <v>90</v>
      </c>
      <c r="D18" t="s">
        <v>7</v>
      </c>
      <c r="F18">
        <v>62243</v>
      </c>
      <c r="H18">
        <v>13</v>
      </c>
      <c r="J18">
        <f t="shared" si="0"/>
        <v>6971229</v>
      </c>
      <c r="L18">
        <f t="shared" si="1"/>
        <v>3112.1558035714284</v>
      </c>
    </row>
    <row r="19" spans="1:12" x14ac:dyDescent="0.25">
      <c r="A19">
        <v>1699</v>
      </c>
      <c r="B19" t="s">
        <v>35</v>
      </c>
      <c r="C19" t="s">
        <v>90</v>
      </c>
      <c r="D19" t="s">
        <v>7</v>
      </c>
      <c r="H19">
        <v>48467</v>
      </c>
      <c r="J19">
        <f t="shared" si="0"/>
        <v>48467</v>
      </c>
      <c r="L19">
        <f t="shared" si="1"/>
        <v>21.63705357142857</v>
      </c>
    </row>
    <row r="20" spans="1:12" x14ac:dyDescent="0.25">
      <c r="A20">
        <v>1699</v>
      </c>
      <c r="B20" t="s">
        <v>28</v>
      </c>
      <c r="C20" t="s">
        <v>90</v>
      </c>
      <c r="D20" t="s">
        <v>7</v>
      </c>
      <c r="F20">
        <v>1</v>
      </c>
      <c r="J20">
        <f t="shared" si="0"/>
        <v>112</v>
      </c>
      <c r="L20">
        <f t="shared" si="1"/>
        <v>0.05</v>
      </c>
    </row>
    <row r="21" spans="1:12" x14ac:dyDescent="0.25">
      <c r="A21">
        <v>1699</v>
      </c>
      <c r="B21" t="s">
        <v>23</v>
      </c>
      <c r="C21" t="s">
        <v>90</v>
      </c>
      <c r="D21" t="s">
        <v>7</v>
      </c>
      <c r="J21">
        <f t="shared" si="0"/>
        <v>0</v>
      </c>
      <c r="L21">
        <f t="shared" si="1"/>
        <v>0</v>
      </c>
    </row>
    <row r="22" spans="1:12" x14ac:dyDescent="0.25">
      <c r="A22">
        <v>1699</v>
      </c>
      <c r="B22" t="s">
        <v>79</v>
      </c>
      <c r="C22" t="s">
        <v>90</v>
      </c>
      <c r="D22" t="s">
        <v>7</v>
      </c>
      <c r="H22">
        <v>336</v>
      </c>
      <c r="J22">
        <f t="shared" si="0"/>
        <v>336</v>
      </c>
      <c r="L22">
        <f t="shared" si="1"/>
        <v>0.15</v>
      </c>
    </row>
    <row r="23" spans="1:12" x14ac:dyDescent="0.25">
      <c r="A23">
        <v>1699</v>
      </c>
      <c r="B23" t="s">
        <v>25</v>
      </c>
      <c r="C23" t="s">
        <v>90</v>
      </c>
      <c r="D23" t="s">
        <v>7</v>
      </c>
      <c r="F23">
        <v>42</v>
      </c>
      <c r="G23">
        <v>3</v>
      </c>
      <c r="H23">
        <v>14</v>
      </c>
      <c r="J23">
        <f t="shared" si="0"/>
        <v>4802</v>
      </c>
      <c r="L23">
        <f t="shared" si="1"/>
        <v>2.1437499999999998</v>
      </c>
    </row>
    <row r="24" spans="1:12" x14ac:dyDescent="0.25">
      <c r="A24">
        <v>1699</v>
      </c>
      <c r="B24" t="s">
        <v>13</v>
      </c>
      <c r="C24" t="s">
        <v>90</v>
      </c>
      <c r="D24" t="s">
        <v>7</v>
      </c>
      <c r="H24">
        <v>887</v>
      </c>
      <c r="J24">
        <f t="shared" si="0"/>
        <v>887</v>
      </c>
      <c r="L24">
        <f t="shared" si="1"/>
        <v>0.39598214285714284</v>
      </c>
    </row>
    <row r="25" spans="1:12" x14ac:dyDescent="0.25">
      <c r="A25">
        <v>1699</v>
      </c>
      <c r="B25" t="s">
        <v>127</v>
      </c>
      <c r="C25" t="s">
        <v>90</v>
      </c>
      <c r="D25" t="s">
        <v>7</v>
      </c>
      <c r="H25">
        <v>848</v>
      </c>
      <c r="J25">
        <f t="shared" si="0"/>
        <v>848</v>
      </c>
      <c r="L25">
        <f t="shared" si="1"/>
        <v>0.37857142857142856</v>
      </c>
    </row>
    <row r="26" spans="1:12" x14ac:dyDescent="0.25">
      <c r="A26">
        <v>1699</v>
      </c>
      <c r="B26" t="s">
        <v>21</v>
      </c>
      <c r="C26" t="s">
        <v>90</v>
      </c>
      <c r="D26" t="s">
        <v>7</v>
      </c>
      <c r="H26">
        <v>1554</v>
      </c>
      <c r="J26">
        <f t="shared" si="0"/>
        <v>1554</v>
      </c>
      <c r="L26">
        <f t="shared" si="1"/>
        <v>0.69374999999999998</v>
      </c>
    </row>
    <row r="27" spans="1:12" x14ac:dyDescent="0.25">
      <c r="A27">
        <v>1699</v>
      </c>
      <c r="B27" t="s">
        <v>24</v>
      </c>
      <c r="C27" t="s">
        <v>90</v>
      </c>
      <c r="D27" t="s">
        <v>7</v>
      </c>
      <c r="H27">
        <v>4543</v>
      </c>
      <c r="J27">
        <f t="shared" si="0"/>
        <v>4543</v>
      </c>
      <c r="L27">
        <f t="shared" si="1"/>
        <v>2.0281250000000002</v>
      </c>
    </row>
    <row r="28" spans="1:12" x14ac:dyDescent="0.25">
      <c r="A28">
        <v>1699</v>
      </c>
      <c r="B28" t="s">
        <v>19</v>
      </c>
      <c r="C28" t="s">
        <v>90</v>
      </c>
      <c r="D28" t="s">
        <v>7</v>
      </c>
      <c r="F28">
        <v>43</v>
      </c>
      <c r="H28">
        <v>18</v>
      </c>
      <c r="J28">
        <f t="shared" si="0"/>
        <v>4834</v>
      </c>
      <c r="L28">
        <f t="shared" si="1"/>
        <v>2.1580357142857145</v>
      </c>
    </row>
    <row r="29" spans="1:12" x14ac:dyDescent="0.25">
      <c r="A29">
        <v>1699</v>
      </c>
      <c r="B29" t="s">
        <v>129</v>
      </c>
      <c r="C29" t="s">
        <v>90</v>
      </c>
      <c r="D29" t="s">
        <v>7</v>
      </c>
      <c r="E29">
        <v>14</v>
      </c>
      <c r="F29">
        <v>3</v>
      </c>
      <c r="G29">
        <v>1</v>
      </c>
      <c r="J29">
        <f t="shared" si="0"/>
        <v>31724</v>
      </c>
      <c r="L29">
        <f t="shared" si="1"/>
        <v>14.1625</v>
      </c>
    </row>
    <row r="30" spans="1:12" x14ac:dyDescent="0.25">
      <c r="A30">
        <v>1699</v>
      </c>
      <c r="B30" t="s">
        <v>132</v>
      </c>
      <c r="C30" t="s">
        <v>90</v>
      </c>
      <c r="D30" t="s">
        <v>7</v>
      </c>
      <c r="F30">
        <v>17</v>
      </c>
      <c r="J30">
        <f t="shared" si="0"/>
        <v>1904</v>
      </c>
      <c r="L30">
        <f t="shared" si="1"/>
        <v>0.85</v>
      </c>
    </row>
    <row r="31" spans="1:12" x14ac:dyDescent="0.25">
      <c r="A31">
        <v>1699</v>
      </c>
      <c r="B31" t="s">
        <v>133</v>
      </c>
      <c r="C31" t="s">
        <v>90</v>
      </c>
      <c r="D31" t="s">
        <v>7</v>
      </c>
      <c r="E31">
        <v>467</v>
      </c>
      <c r="F31">
        <v>5</v>
      </c>
      <c r="H31">
        <v>5</v>
      </c>
      <c r="J31">
        <f t="shared" si="0"/>
        <v>1046645</v>
      </c>
      <c r="L31">
        <f t="shared" si="1"/>
        <v>467.25223214285717</v>
      </c>
    </row>
    <row r="32" spans="1:12" x14ac:dyDescent="0.25">
      <c r="A32">
        <v>1699</v>
      </c>
      <c r="B32" t="s">
        <v>135</v>
      </c>
      <c r="C32" t="s">
        <v>90</v>
      </c>
      <c r="D32" t="s">
        <v>7</v>
      </c>
      <c r="E32">
        <v>1441</v>
      </c>
      <c r="F32">
        <v>19</v>
      </c>
      <c r="G32">
        <v>2</v>
      </c>
      <c r="H32">
        <v>13</v>
      </c>
      <c r="J32">
        <f t="shared" si="0"/>
        <v>3230037</v>
      </c>
      <c r="L32">
        <f t="shared" si="1"/>
        <v>1441.9808035714286</v>
      </c>
    </row>
    <row r="33" spans="1:12" x14ac:dyDescent="0.25">
      <c r="A33">
        <v>1699</v>
      </c>
      <c r="B33" t="s">
        <v>139</v>
      </c>
      <c r="C33" t="s">
        <v>90</v>
      </c>
      <c r="D33" t="s">
        <v>7</v>
      </c>
      <c r="F33">
        <v>39</v>
      </c>
      <c r="J33">
        <f t="shared" si="0"/>
        <v>4368</v>
      </c>
      <c r="L33">
        <f t="shared" si="1"/>
        <v>1.95</v>
      </c>
    </row>
    <row r="34" spans="1:12" x14ac:dyDescent="0.25">
      <c r="A34">
        <v>1699</v>
      </c>
      <c r="B34" t="s">
        <v>141</v>
      </c>
      <c r="C34" t="s">
        <v>90</v>
      </c>
      <c r="D34" t="s">
        <v>7</v>
      </c>
      <c r="F34">
        <v>20</v>
      </c>
      <c r="G34">
        <v>1</v>
      </c>
      <c r="H34">
        <v>16</v>
      </c>
      <c r="J34">
        <f t="shared" si="0"/>
        <v>2284</v>
      </c>
      <c r="L34">
        <f t="shared" si="1"/>
        <v>1.0196428571428571</v>
      </c>
    </row>
    <row r="35" spans="1:12" x14ac:dyDescent="0.25">
      <c r="A35">
        <v>1699</v>
      </c>
      <c r="B35" t="s">
        <v>18</v>
      </c>
      <c r="C35" t="s">
        <v>90</v>
      </c>
      <c r="D35" t="s">
        <v>11</v>
      </c>
      <c r="F35">
        <v>25046</v>
      </c>
      <c r="G35">
        <v>2</v>
      </c>
      <c r="H35">
        <v>27</v>
      </c>
      <c r="J35">
        <f t="shared" si="0"/>
        <v>2805235</v>
      </c>
      <c r="L35">
        <f t="shared" si="1"/>
        <v>1252.3370535714287</v>
      </c>
    </row>
    <row r="36" spans="1:12" x14ac:dyDescent="0.25">
      <c r="A36">
        <v>1699</v>
      </c>
      <c r="B36" t="s">
        <v>108</v>
      </c>
      <c r="C36" t="s">
        <v>90</v>
      </c>
      <c r="D36" t="s">
        <v>11</v>
      </c>
      <c r="H36">
        <v>100</v>
      </c>
      <c r="J36">
        <f t="shared" si="0"/>
        <v>100</v>
      </c>
      <c r="L36">
        <f t="shared" si="1"/>
        <v>4.4642857142857144E-2</v>
      </c>
    </row>
    <row r="37" spans="1:12" x14ac:dyDescent="0.25">
      <c r="A37">
        <v>1699</v>
      </c>
      <c r="B37" t="s">
        <v>15</v>
      </c>
      <c r="C37" t="s">
        <v>90</v>
      </c>
      <c r="D37" t="s">
        <v>11</v>
      </c>
      <c r="H37">
        <v>96</v>
      </c>
      <c r="J37">
        <f t="shared" si="0"/>
        <v>96</v>
      </c>
      <c r="L37">
        <f t="shared" si="1"/>
        <v>4.2857142857142858E-2</v>
      </c>
    </row>
    <row r="38" spans="1:12" x14ac:dyDescent="0.25">
      <c r="A38">
        <v>1699</v>
      </c>
      <c r="B38" t="s">
        <v>44</v>
      </c>
      <c r="C38" t="s">
        <v>90</v>
      </c>
      <c r="D38" t="s">
        <v>11</v>
      </c>
      <c r="F38">
        <v>15</v>
      </c>
      <c r="G38">
        <v>2</v>
      </c>
      <c r="H38">
        <v>14</v>
      </c>
      <c r="J38">
        <f t="shared" si="0"/>
        <v>1750</v>
      </c>
      <c r="L38">
        <f t="shared" si="1"/>
        <v>0.78125</v>
      </c>
    </row>
    <row r="39" spans="1:12" x14ac:dyDescent="0.25">
      <c r="A39">
        <v>1699</v>
      </c>
      <c r="B39" t="s">
        <v>114</v>
      </c>
      <c r="C39" t="s">
        <v>90</v>
      </c>
      <c r="D39" t="s">
        <v>11</v>
      </c>
      <c r="H39">
        <v>50</v>
      </c>
      <c r="J39">
        <f t="shared" si="0"/>
        <v>50</v>
      </c>
      <c r="L39">
        <f t="shared" si="1"/>
        <v>2.2321428571428572E-2</v>
      </c>
    </row>
    <row r="40" spans="1:12" x14ac:dyDescent="0.25">
      <c r="A40">
        <v>1699</v>
      </c>
      <c r="B40" t="s">
        <v>9</v>
      </c>
      <c r="C40" t="s">
        <v>90</v>
      </c>
      <c r="D40" t="s">
        <v>11</v>
      </c>
      <c r="H40">
        <v>76525</v>
      </c>
      <c r="J40">
        <f t="shared" si="0"/>
        <v>76525</v>
      </c>
      <c r="L40">
        <f t="shared" si="1"/>
        <v>34.162946428571431</v>
      </c>
    </row>
    <row r="41" spans="1:12" x14ac:dyDescent="0.25">
      <c r="A41">
        <v>1699</v>
      </c>
      <c r="B41" t="s">
        <v>16</v>
      </c>
      <c r="C41" t="s">
        <v>90</v>
      </c>
      <c r="D41" t="s">
        <v>11</v>
      </c>
      <c r="F41">
        <v>169</v>
      </c>
      <c r="G41">
        <v>1</v>
      </c>
      <c r="H41">
        <v>4</v>
      </c>
      <c r="J41">
        <f t="shared" si="0"/>
        <v>18960</v>
      </c>
      <c r="L41">
        <f t="shared" si="1"/>
        <v>8.4642857142857135</v>
      </c>
    </row>
    <row r="42" spans="1:12" x14ac:dyDescent="0.25">
      <c r="A42">
        <v>1699</v>
      </c>
      <c r="B42" t="s">
        <v>26</v>
      </c>
      <c r="C42" t="s">
        <v>90</v>
      </c>
      <c r="D42" t="s">
        <v>11</v>
      </c>
      <c r="F42">
        <v>16</v>
      </c>
      <c r="G42">
        <v>3</v>
      </c>
      <c r="H42">
        <v>16</v>
      </c>
      <c r="J42">
        <f t="shared" si="0"/>
        <v>1892</v>
      </c>
      <c r="L42">
        <f t="shared" si="1"/>
        <v>0.84464285714285714</v>
      </c>
    </row>
    <row r="43" spans="1:12" x14ac:dyDescent="0.25">
      <c r="A43">
        <v>1699</v>
      </c>
      <c r="B43" t="s">
        <v>115</v>
      </c>
      <c r="C43" t="s">
        <v>90</v>
      </c>
      <c r="D43" t="s">
        <v>11</v>
      </c>
      <c r="H43">
        <v>9</v>
      </c>
      <c r="J43">
        <f t="shared" si="0"/>
        <v>9</v>
      </c>
      <c r="L43">
        <f t="shared" si="1"/>
        <v>4.0178571428571425E-3</v>
      </c>
    </row>
    <row r="44" spans="1:12" x14ac:dyDescent="0.25">
      <c r="A44">
        <v>1699</v>
      </c>
      <c r="B44" t="s">
        <v>8</v>
      </c>
      <c r="C44" t="s">
        <v>90</v>
      </c>
      <c r="D44" t="s">
        <v>11</v>
      </c>
      <c r="H44">
        <v>45458</v>
      </c>
      <c r="J44">
        <f t="shared" si="0"/>
        <v>45458</v>
      </c>
      <c r="L44">
        <f t="shared" si="1"/>
        <v>20.293749999999999</v>
      </c>
    </row>
    <row r="45" spans="1:12" x14ac:dyDescent="0.25">
      <c r="A45">
        <v>1699</v>
      </c>
      <c r="B45" t="s">
        <v>22</v>
      </c>
      <c r="C45" t="s">
        <v>90</v>
      </c>
      <c r="D45" t="s">
        <v>11</v>
      </c>
      <c r="H45">
        <v>31636</v>
      </c>
      <c r="I45" t="s">
        <v>70</v>
      </c>
      <c r="J45">
        <f t="shared" si="0"/>
        <v>31636</v>
      </c>
      <c r="L45">
        <f t="shared" si="1"/>
        <v>14.123214285714285</v>
      </c>
    </row>
    <row r="46" spans="1:12" x14ac:dyDescent="0.25">
      <c r="A46">
        <v>1699</v>
      </c>
      <c r="B46" t="s">
        <v>17</v>
      </c>
      <c r="C46" t="s">
        <v>90</v>
      </c>
      <c r="D46" t="s">
        <v>11</v>
      </c>
      <c r="F46">
        <v>93</v>
      </c>
      <c r="H46">
        <v>21</v>
      </c>
      <c r="J46">
        <f t="shared" si="0"/>
        <v>10437</v>
      </c>
      <c r="L46">
        <f t="shared" si="1"/>
        <v>4.6593749999999998</v>
      </c>
    </row>
    <row r="47" spans="1:12" x14ac:dyDescent="0.25">
      <c r="A47">
        <v>1699</v>
      </c>
      <c r="B47" t="s">
        <v>35</v>
      </c>
      <c r="C47" t="s">
        <v>90</v>
      </c>
      <c r="D47" t="s">
        <v>11</v>
      </c>
      <c r="H47">
        <v>36808</v>
      </c>
      <c r="J47">
        <f t="shared" si="0"/>
        <v>36808</v>
      </c>
      <c r="L47">
        <f t="shared" si="1"/>
        <v>16.432142857142857</v>
      </c>
    </row>
    <row r="48" spans="1:12" x14ac:dyDescent="0.25">
      <c r="A48">
        <v>1699</v>
      </c>
      <c r="B48" t="s">
        <v>23</v>
      </c>
      <c r="C48" t="s">
        <v>90</v>
      </c>
      <c r="D48" t="s">
        <v>11</v>
      </c>
      <c r="H48">
        <v>910</v>
      </c>
      <c r="I48" t="s">
        <v>71</v>
      </c>
      <c r="J48">
        <f t="shared" si="0"/>
        <v>910</v>
      </c>
      <c r="L48">
        <f t="shared" si="1"/>
        <v>0.40625</v>
      </c>
    </row>
    <row r="49" spans="1:12" x14ac:dyDescent="0.25">
      <c r="A49">
        <v>1699</v>
      </c>
      <c r="B49" t="s">
        <v>25</v>
      </c>
      <c r="C49" t="s">
        <v>90</v>
      </c>
      <c r="D49" t="s">
        <v>11</v>
      </c>
      <c r="F49">
        <v>1</v>
      </c>
      <c r="G49">
        <v>2</v>
      </c>
      <c r="H49">
        <v>16</v>
      </c>
      <c r="J49">
        <f t="shared" si="0"/>
        <v>184</v>
      </c>
      <c r="L49">
        <f t="shared" si="1"/>
        <v>8.2142857142857142E-2</v>
      </c>
    </row>
    <row r="50" spans="1:12" x14ac:dyDescent="0.25">
      <c r="A50">
        <v>1699</v>
      </c>
      <c r="B50" t="s">
        <v>13</v>
      </c>
      <c r="C50" t="s">
        <v>90</v>
      </c>
      <c r="D50" t="s">
        <v>11</v>
      </c>
      <c r="H50">
        <v>54</v>
      </c>
      <c r="J50">
        <f t="shared" si="0"/>
        <v>54</v>
      </c>
      <c r="L50">
        <f t="shared" si="1"/>
        <v>2.4107142857142858E-2</v>
      </c>
    </row>
    <row r="51" spans="1:12" x14ac:dyDescent="0.25">
      <c r="A51">
        <v>1699</v>
      </c>
      <c r="B51" t="s">
        <v>127</v>
      </c>
      <c r="C51" t="s">
        <v>90</v>
      </c>
      <c r="D51" t="s">
        <v>11</v>
      </c>
      <c r="H51">
        <v>485</v>
      </c>
      <c r="J51">
        <f t="shared" si="0"/>
        <v>485</v>
      </c>
      <c r="L51">
        <f t="shared" si="1"/>
        <v>0.21651785714285715</v>
      </c>
    </row>
    <row r="52" spans="1:12" x14ac:dyDescent="0.25">
      <c r="A52">
        <v>1699</v>
      </c>
      <c r="B52" t="s">
        <v>45</v>
      </c>
      <c r="C52" t="s">
        <v>90</v>
      </c>
      <c r="D52" t="s">
        <v>11</v>
      </c>
      <c r="J52">
        <f t="shared" si="0"/>
        <v>0</v>
      </c>
      <c r="L52">
        <f t="shared" si="1"/>
        <v>0</v>
      </c>
    </row>
    <row r="53" spans="1:12" x14ac:dyDescent="0.25">
      <c r="A53">
        <v>1699</v>
      </c>
      <c r="B53" t="s">
        <v>21</v>
      </c>
      <c r="C53" t="s">
        <v>90</v>
      </c>
      <c r="D53" t="s">
        <v>11</v>
      </c>
      <c r="H53">
        <v>19872</v>
      </c>
      <c r="J53">
        <f t="shared" si="0"/>
        <v>19872</v>
      </c>
      <c r="L53">
        <f t="shared" si="1"/>
        <v>8.8714285714285719</v>
      </c>
    </row>
    <row r="54" spans="1:12" x14ac:dyDescent="0.25">
      <c r="A54">
        <v>1699</v>
      </c>
      <c r="B54" t="s">
        <v>24</v>
      </c>
      <c r="C54" t="s">
        <v>90</v>
      </c>
      <c r="D54" t="s">
        <v>11</v>
      </c>
      <c r="H54">
        <v>480</v>
      </c>
      <c r="J54">
        <f t="shared" si="0"/>
        <v>480</v>
      </c>
      <c r="L54">
        <f t="shared" si="1"/>
        <v>0.21428571428571427</v>
      </c>
    </row>
    <row r="55" spans="1:12" x14ac:dyDescent="0.25">
      <c r="A55">
        <v>1699</v>
      </c>
      <c r="B55" t="s">
        <v>19</v>
      </c>
      <c r="C55" t="s">
        <v>90</v>
      </c>
      <c r="D55" t="s">
        <v>11</v>
      </c>
      <c r="J55">
        <f t="shared" si="0"/>
        <v>0</v>
      </c>
      <c r="L55">
        <f t="shared" si="1"/>
        <v>0</v>
      </c>
    </row>
    <row r="56" spans="1:12" x14ac:dyDescent="0.25">
      <c r="A56">
        <v>1699</v>
      </c>
      <c r="B56" t="s">
        <v>129</v>
      </c>
      <c r="C56" t="s">
        <v>90</v>
      </c>
      <c r="D56" t="s">
        <v>11</v>
      </c>
      <c r="F56">
        <v>20</v>
      </c>
      <c r="J56">
        <f t="shared" si="0"/>
        <v>2240</v>
      </c>
      <c r="L56">
        <f t="shared" si="1"/>
        <v>1</v>
      </c>
    </row>
    <row r="57" spans="1:12" x14ac:dyDescent="0.25">
      <c r="A57">
        <v>1699</v>
      </c>
      <c r="B57" t="s">
        <v>133</v>
      </c>
      <c r="C57" t="s">
        <v>90</v>
      </c>
      <c r="D57" t="s">
        <v>11</v>
      </c>
      <c r="F57">
        <v>6313</v>
      </c>
      <c r="G57">
        <v>2</v>
      </c>
      <c r="H57">
        <v>21</v>
      </c>
      <c r="J57">
        <f t="shared" si="0"/>
        <v>707133</v>
      </c>
      <c r="L57">
        <f t="shared" si="1"/>
        <v>315.68437499999999</v>
      </c>
    </row>
    <row r="58" spans="1:12" x14ac:dyDescent="0.25">
      <c r="A58">
        <v>1699</v>
      </c>
      <c r="B58" t="s">
        <v>135</v>
      </c>
      <c r="C58" t="s">
        <v>90</v>
      </c>
      <c r="D58" t="s">
        <v>11</v>
      </c>
      <c r="E58">
        <v>714</v>
      </c>
      <c r="F58">
        <v>13</v>
      </c>
      <c r="G58">
        <v>2</v>
      </c>
      <c r="H58">
        <v>12</v>
      </c>
      <c r="J58">
        <f t="shared" si="0"/>
        <v>1600884</v>
      </c>
      <c r="L58">
        <f t="shared" si="1"/>
        <v>714.68035714285713</v>
      </c>
    </row>
  </sheetData>
  <autoFilter ref="A1:Q55" xr:uid="{8C2F7725-5A61-4A1B-A740-CC887BCB0E68}">
    <sortState xmlns:xlrd2="http://schemas.microsoft.com/office/spreadsheetml/2017/richdata2" ref="A2:Q55">
      <sortCondition ref="D1:D55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6339-1E58-4188-80A6-B4580F70757D}">
  <dimension ref="A1:L26"/>
  <sheetViews>
    <sheetView workbookViewId="0">
      <selection activeCell="I23" sqref="I23"/>
    </sheetView>
  </sheetViews>
  <sheetFormatPr defaultRowHeight="15" x14ac:dyDescent="0.25"/>
  <cols>
    <col min="2" max="3" width="15.42578125" customWidth="1"/>
  </cols>
  <sheetData>
    <row r="1" spans="1:12" x14ac:dyDescent="0.25">
      <c r="A1" s="1" t="s">
        <v>82</v>
      </c>
      <c r="B1" s="1" t="s">
        <v>81</v>
      </c>
      <c r="C1" s="1" t="s">
        <v>86</v>
      </c>
      <c r="D1" s="1" t="s">
        <v>83</v>
      </c>
      <c r="E1" s="1" t="s">
        <v>93</v>
      </c>
      <c r="F1" s="1" t="s">
        <v>50</v>
      </c>
      <c r="G1" s="1" t="s">
        <v>51</v>
      </c>
      <c r="H1" s="1" t="s">
        <v>94</v>
      </c>
      <c r="I1" s="1"/>
      <c r="J1" s="1" t="s">
        <v>5</v>
      </c>
      <c r="K1" s="1"/>
      <c r="L1" s="1" t="s">
        <v>85</v>
      </c>
    </row>
    <row r="2" spans="1:12" x14ac:dyDescent="0.25">
      <c r="A2">
        <v>1699</v>
      </c>
      <c r="B2" t="s">
        <v>41</v>
      </c>
      <c r="C2" t="s">
        <v>91</v>
      </c>
      <c r="D2" t="s">
        <v>7</v>
      </c>
      <c r="F2">
        <v>6</v>
      </c>
      <c r="G2">
        <v>2</v>
      </c>
      <c r="J2">
        <f>(E2*2240)+(F2*112)+(G2*28)+H2</f>
        <v>728</v>
      </c>
      <c r="L2">
        <f>J2/2240</f>
        <v>0.32500000000000001</v>
      </c>
    </row>
    <row r="3" spans="1:12" x14ac:dyDescent="0.25">
      <c r="A3">
        <v>1699</v>
      </c>
      <c r="B3" t="s">
        <v>10</v>
      </c>
      <c r="C3" t="s">
        <v>91</v>
      </c>
      <c r="D3" t="s">
        <v>7</v>
      </c>
      <c r="F3">
        <v>9</v>
      </c>
      <c r="H3">
        <v>21</v>
      </c>
      <c r="J3">
        <f>(E3*2240)+(F3*112)+(G3*28)+H3</f>
        <v>1029</v>
      </c>
      <c r="L3">
        <f>J3/2240</f>
        <v>0.45937499999999998</v>
      </c>
    </row>
    <row r="4" spans="1:12" x14ac:dyDescent="0.25">
      <c r="A4">
        <v>1699</v>
      </c>
      <c r="B4" t="s">
        <v>17</v>
      </c>
      <c r="C4" t="s">
        <v>91</v>
      </c>
      <c r="D4" t="s">
        <v>7</v>
      </c>
      <c r="F4">
        <v>231</v>
      </c>
      <c r="J4">
        <f>(E4*2240)+(F4*112)+(G4*28)+H4</f>
        <v>25872</v>
      </c>
      <c r="L4">
        <f>J4/2240</f>
        <v>11.55</v>
      </c>
    </row>
    <row r="5" spans="1:12" x14ac:dyDescent="0.25">
      <c r="A5">
        <v>1699</v>
      </c>
      <c r="B5" t="s">
        <v>18</v>
      </c>
      <c r="C5" t="s">
        <v>91</v>
      </c>
      <c r="D5" t="s">
        <v>7</v>
      </c>
      <c r="F5">
        <v>15453</v>
      </c>
      <c r="G5">
        <v>1</v>
      </c>
      <c r="H5">
        <v>7</v>
      </c>
      <c r="J5">
        <f t="shared" ref="J5:J26" si="0">(E5*2240)+(F5*112)+(G5*28)+H5</f>
        <v>1730771</v>
      </c>
      <c r="L5">
        <f t="shared" ref="L5:L16" si="1">J5/2240</f>
        <v>772.66562499999998</v>
      </c>
    </row>
    <row r="6" spans="1:12" x14ac:dyDescent="0.25">
      <c r="A6">
        <v>1699</v>
      </c>
      <c r="B6" t="s">
        <v>8</v>
      </c>
      <c r="C6" t="s">
        <v>91</v>
      </c>
      <c r="D6" t="s">
        <v>7</v>
      </c>
      <c r="H6">
        <v>11202</v>
      </c>
      <c r="J6">
        <f t="shared" si="0"/>
        <v>11202</v>
      </c>
      <c r="L6">
        <f t="shared" si="1"/>
        <v>5.0008928571428575</v>
      </c>
    </row>
    <row r="7" spans="1:12" x14ac:dyDescent="0.25">
      <c r="A7">
        <v>1699</v>
      </c>
      <c r="B7" t="s">
        <v>25</v>
      </c>
      <c r="C7" t="s">
        <v>91</v>
      </c>
      <c r="D7" t="s">
        <v>7</v>
      </c>
      <c r="F7">
        <v>14</v>
      </c>
      <c r="G7">
        <v>2</v>
      </c>
      <c r="H7">
        <v>21</v>
      </c>
      <c r="J7">
        <f t="shared" si="0"/>
        <v>1645</v>
      </c>
      <c r="L7">
        <f t="shared" si="1"/>
        <v>0.734375</v>
      </c>
    </row>
    <row r="8" spans="1:12" x14ac:dyDescent="0.25">
      <c r="A8">
        <v>1699</v>
      </c>
      <c r="B8" t="s">
        <v>13</v>
      </c>
      <c r="C8" t="s">
        <v>91</v>
      </c>
      <c r="D8" t="s">
        <v>7</v>
      </c>
      <c r="H8">
        <v>161</v>
      </c>
      <c r="J8">
        <f t="shared" si="0"/>
        <v>161</v>
      </c>
      <c r="L8">
        <f t="shared" si="1"/>
        <v>7.1874999999999994E-2</v>
      </c>
    </row>
    <row r="9" spans="1:12" x14ac:dyDescent="0.25">
      <c r="A9">
        <v>1699</v>
      </c>
      <c r="B9" t="s">
        <v>127</v>
      </c>
      <c r="C9" t="s">
        <v>91</v>
      </c>
      <c r="D9" t="s">
        <v>7</v>
      </c>
      <c r="H9">
        <v>60</v>
      </c>
      <c r="J9">
        <f t="shared" si="0"/>
        <v>60</v>
      </c>
      <c r="L9">
        <f t="shared" si="1"/>
        <v>2.6785714285714284E-2</v>
      </c>
    </row>
    <row r="10" spans="1:12" x14ac:dyDescent="0.25">
      <c r="A10">
        <v>1699</v>
      </c>
      <c r="B10" t="s">
        <v>21</v>
      </c>
      <c r="C10" t="s">
        <v>91</v>
      </c>
      <c r="D10" t="s">
        <v>7</v>
      </c>
      <c r="H10">
        <v>450</v>
      </c>
      <c r="J10">
        <f t="shared" si="0"/>
        <v>450</v>
      </c>
      <c r="L10">
        <f t="shared" si="1"/>
        <v>0.20089285714285715</v>
      </c>
    </row>
    <row r="11" spans="1:12" x14ac:dyDescent="0.25">
      <c r="A11">
        <v>1699</v>
      </c>
      <c r="B11" t="s">
        <v>9</v>
      </c>
      <c r="C11" t="s">
        <v>91</v>
      </c>
      <c r="D11" t="s">
        <v>7</v>
      </c>
      <c r="H11">
        <f>17*200</f>
        <v>3400</v>
      </c>
      <c r="I11" t="s">
        <v>60</v>
      </c>
      <c r="J11">
        <f t="shared" si="0"/>
        <v>3400</v>
      </c>
      <c r="L11">
        <f t="shared" si="1"/>
        <v>1.5178571428571428</v>
      </c>
    </row>
    <row r="12" spans="1:12" x14ac:dyDescent="0.25">
      <c r="A12">
        <v>1699</v>
      </c>
      <c r="B12" t="s">
        <v>15</v>
      </c>
      <c r="C12" t="s">
        <v>91</v>
      </c>
      <c r="D12" t="s">
        <v>7</v>
      </c>
      <c r="J12">
        <f t="shared" si="0"/>
        <v>0</v>
      </c>
      <c r="L12">
        <f t="shared" si="1"/>
        <v>0</v>
      </c>
    </row>
    <row r="13" spans="1:12" x14ac:dyDescent="0.25">
      <c r="A13">
        <v>1699</v>
      </c>
      <c r="B13" t="s">
        <v>22</v>
      </c>
      <c r="C13" t="s">
        <v>91</v>
      </c>
      <c r="D13" t="s">
        <v>7</v>
      </c>
      <c r="H13">
        <v>4692</v>
      </c>
      <c r="I13" t="s">
        <v>61</v>
      </c>
      <c r="J13">
        <f t="shared" si="0"/>
        <v>4692</v>
      </c>
      <c r="L13">
        <f t="shared" si="1"/>
        <v>2.094642857142857</v>
      </c>
    </row>
    <row r="14" spans="1:12" x14ac:dyDescent="0.25">
      <c r="A14">
        <v>1699</v>
      </c>
      <c r="B14" t="s">
        <v>35</v>
      </c>
      <c r="C14" t="s">
        <v>91</v>
      </c>
      <c r="D14" t="s">
        <v>7</v>
      </c>
      <c r="H14">
        <v>2946</v>
      </c>
      <c r="J14">
        <f t="shared" si="0"/>
        <v>2946</v>
      </c>
      <c r="L14">
        <f t="shared" si="1"/>
        <v>1.3151785714285715</v>
      </c>
    </row>
    <row r="15" spans="1:12" x14ac:dyDescent="0.25">
      <c r="A15">
        <v>1699</v>
      </c>
      <c r="B15" t="s">
        <v>24</v>
      </c>
      <c r="C15" t="s">
        <v>91</v>
      </c>
      <c r="D15" t="s">
        <v>7</v>
      </c>
      <c r="H15">
        <v>7</v>
      </c>
      <c r="J15">
        <f t="shared" si="0"/>
        <v>7</v>
      </c>
      <c r="L15">
        <f t="shared" si="1"/>
        <v>3.1250000000000002E-3</v>
      </c>
    </row>
    <row r="16" spans="1:12" x14ac:dyDescent="0.25">
      <c r="A16">
        <v>1699</v>
      </c>
      <c r="B16" t="s">
        <v>133</v>
      </c>
      <c r="C16" t="s">
        <v>91</v>
      </c>
      <c r="D16" t="s">
        <v>7</v>
      </c>
      <c r="E16">
        <v>5</v>
      </c>
      <c r="J16">
        <f t="shared" si="0"/>
        <v>11200</v>
      </c>
      <c r="L16">
        <f t="shared" si="1"/>
        <v>5</v>
      </c>
    </row>
    <row r="17" spans="1:12" x14ac:dyDescent="0.25">
      <c r="A17">
        <v>1699</v>
      </c>
      <c r="B17" t="s">
        <v>10</v>
      </c>
      <c r="C17" t="s">
        <v>91</v>
      </c>
      <c r="D17" t="s">
        <v>11</v>
      </c>
      <c r="J17">
        <f t="shared" si="0"/>
        <v>0</v>
      </c>
      <c r="L17">
        <f>J17/2240</f>
        <v>0</v>
      </c>
    </row>
    <row r="18" spans="1:12" x14ac:dyDescent="0.25">
      <c r="A18">
        <v>1699</v>
      </c>
      <c r="B18" t="s">
        <v>17</v>
      </c>
      <c r="C18" t="s">
        <v>91</v>
      </c>
      <c r="D18" t="s">
        <v>11</v>
      </c>
      <c r="F18">
        <v>3</v>
      </c>
      <c r="J18">
        <f t="shared" si="0"/>
        <v>336</v>
      </c>
      <c r="L18">
        <f t="shared" ref="L18:L26" si="2">J18/2240</f>
        <v>0.15</v>
      </c>
    </row>
    <row r="19" spans="1:12" x14ac:dyDescent="0.25">
      <c r="A19">
        <v>1699</v>
      </c>
      <c r="B19" t="s">
        <v>18</v>
      </c>
      <c r="C19" t="s">
        <v>91</v>
      </c>
      <c r="D19" t="s">
        <v>11</v>
      </c>
      <c r="F19">
        <v>2369</v>
      </c>
      <c r="G19">
        <v>1</v>
      </c>
      <c r="H19">
        <v>2</v>
      </c>
      <c r="J19">
        <f t="shared" si="0"/>
        <v>265358</v>
      </c>
      <c r="L19">
        <f t="shared" si="2"/>
        <v>118.46339285714286</v>
      </c>
    </row>
    <row r="20" spans="1:12" x14ac:dyDescent="0.25">
      <c r="A20">
        <v>1699</v>
      </c>
      <c r="B20" t="s">
        <v>19</v>
      </c>
      <c r="C20" t="s">
        <v>91</v>
      </c>
      <c r="D20" t="s">
        <v>11</v>
      </c>
      <c r="F20">
        <v>1</v>
      </c>
      <c r="G20">
        <v>1</v>
      </c>
      <c r="J20">
        <f t="shared" si="0"/>
        <v>140</v>
      </c>
      <c r="L20">
        <f t="shared" si="2"/>
        <v>6.25E-2</v>
      </c>
    </row>
    <row r="21" spans="1:12" x14ac:dyDescent="0.25">
      <c r="A21">
        <v>1699</v>
      </c>
      <c r="B21" t="s">
        <v>8</v>
      </c>
      <c r="C21" t="s">
        <v>91</v>
      </c>
      <c r="D21" t="s">
        <v>11</v>
      </c>
      <c r="H21">
        <v>160</v>
      </c>
      <c r="J21">
        <f t="shared" si="0"/>
        <v>160</v>
      </c>
      <c r="L21">
        <f t="shared" si="2"/>
        <v>7.1428571428571425E-2</v>
      </c>
    </row>
    <row r="22" spans="1:12" x14ac:dyDescent="0.25">
      <c r="A22">
        <v>1699</v>
      </c>
      <c r="B22" t="s">
        <v>13</v>
      </c>
      <c r="C22" t="s">
        <v>91</v>
      </c>
      <c r="D22" t="s">
        <v>11</v>
      </c>
      <c r="H22">
        <v>113</v>
      </c>
      <c r="J22">
        <f t="shared" si="0"/>
        <v>113</v>
      </c>
      <c r="L22">
        <f t="shared" si="2"/>
        <v>5.0446428571428573E-2</v>
      </c>
    </row>
    <row r="23" spans="1:12" x14ac:dyDescent="0.25">
      <c r="A23">
        <v>1699</v>
      </c>
      <c r="B23" t="s">
        <v>9</v>
      </c>
      <c r="C23" t="s">
        <v>91</v>
      </c>
      <c r="D23" t="s">
        <v>11</v>
      </c>
      <c r="F23">
        <v>67</v>
      </c>
      <c r="J23">
        <f t="shared" si="0"/>
        <v>7504</v>
      </c>
      <c r="L23">
        <f t="shared" si="2"/>
        <v>3.35</v>
      </c>
    </row>
    <row r="24" spans="1:12" x14ac:dyDescent="0.25">
      <c r="A24">
        <v>1699</v>
      </c>
      <c r="B24" t="s">
        <v>22</v>
      </c>
      <c r="C24" t="s">
        <v>91</v>
      </c>
      <c r="D24" t="s">
        <v>11</v>
      </c>
      <c r="H24">
        <v>1384</v>
      </c>
      <c r="I24" t="s">
        <v>72</v>
      </c>
      <c r="J24">
        <f t="shared" si="0"/>
        <v>1384</v>
      </c>
      <c r="L24">
        <f t="shared" si="2"/>
        <v>0.61785714285714288</v>
      </c>
    </row>
    <row r="25" spans="1:12" x14ac:dyDescent="0.25">
      <c r="A25">
        <v>1699</v>
      </c>
      <c r="B25" t="s">
        <v>35</v>
      </c>
      <c r="C25" t="s">
        <v>91</v>
      </c>
      <c r="D25" t="s">
        <v>11</v>
      </c>
      <c r="H25">
        <v>560</v>
      </c>
      <c r="J25">
        <f t="shared" si="0"/>
        <v>560</v>
      </c>
      <c r="L25">
        <f t="shared" si="2"/>
        <v>0.25</v>
      </c>
    </row>
    <row r="26" spans="1:12" x14ac:dyDescent="0.25">
      <c r="A26">
        <v>1699</v>
      </c>
      <c r="B26" t="s">
        <v>127</v>
      </c>
      <c r="C26" t="s">
        <v>91</v>
      </c>
      <c r="D26" t="s">
        <v>11</v>
      </c>
      <c r="H26">
        <v>42</v>
      </c>
      <c r="J26">
        <f t="shared" si="0"/>
        <v>42</v>
      </c>
      <c r="L26">
        <f t="shared" si="2"/>
        <v>1.8749999999999999E-2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4C2D-B143-49EB-AE6F-B3BFFAC00D68}">
  <dimension ref="A1:L31"/>
  <sheetViews>
    <sheetView workbookViewId="0">
      <selection activeCell="Q20" sqref="Q20"/>
    </sheetView>
  </sheetViews>
  <sheetFormatPr defaultRowHeight="15" x14ac:dyDescent="0.25"/>
  <cols>
    <col min="2" max="3" width="15.85546875" customWidth="1"/>
  </cols>
  <sheetData>
    <row r="1" spans="1:12" x14ac:dyDescent="0.25">
      <c r="A1" s="1" t="s">
        <v>82</v>
      </c>
      <c r="B1" s="1" t="s">
        <v>81</v>
      </c>
      <c r="C1" s="1" t="s">
        <v>86</v>
      </c>
      <c r="D1" s="1" t="s">
        <v>83</v>
      </c>
      <c r="E1" s="1" t="s">
        <v>93</v>
      </c>
      <c r="F1" s="1" t="s">
        <v>50</v>
      </c>
      <c r="G1" s="1" t="s">
        <v>51</v>
      </c>
      <c r="H1" s="1" t="s">
        <v>94</v>
      </c>
      <c r="I1" s="1"/>
      <c r="J1" s="1" t="s">
        <v>5</v>
      </c>
      <c r="K1" s="1"/>
      <c r="L1" s="1" t="s">
        <v>85</v>
      </c>
    </row>
    <row r="2" spans="1:12" x14ac:dyDescent="0.25">
      <c r="A2">
        <v>1699</v>
      </c>
      <c r="B2" t="s">
        <v>108</v>
      </c>
      <c r="C2" t="s">
        <v>92</v>
      </c>
      <c r="D2" t="s">
        <v>7</v>
      </c>
      <c r="H2">
        <v>4569</v>
      </c>
      <c r="J2">
        <f>(E2*2240)+(F2*112)+(G2*28)+H2</f>
        <v>4569</v>
      </c>
      <c r="L2">
        <f>J2/2240</f>
        <v>2.0397321428571429</v>
      </c>
    </row>
    <row r="3" spans="1:12" x14ac:dyDescent="0.25">
      <c r="A3">
        <v>1699</v>
      </c>
      <c r="B3" t="s">
        <v>26</v>
      </c>
      <c r="C3" t="s">
        <v>92</v>
      </c>
      <c r="D3" t="s">
        <v>7</v>
      </c>
      <c r="F3">
        <v>2</v>
      </c>
      <c r="G3">
        <v>1</v>
      </c>
      <c r="H3">
        <v>7</v>
      </c>
      <c r="J3">
        <f>(E3*2240)+(F3*112)+(G3*28)+H3</f>
        <v>259</v>
      </c>
      <c r="L3">
        <f>J3/2240</f>
        <v>0.11562500000000001</v>
      </c>
    </row>
    <row r="4" spans="1:12" x14ac:dyDescent="0.25">
      <c r="A4">
        <v>1699</v>
      </c>
      <c r="B4" t="s">
        <v>17</v>
      </c>
      <c r="C4" t="s">
        <v>92</v>
      </c>
      <c r="D4" t="s">
        <v>7</v>
      </c>
      <c r="F4">
        <v>772</v>
      </c>
      <c r="G4">
        <v>1</v>
      </c>
      <c r="H4">
        <v>8</v>
      </c>
      <c r="J4">
        <f t="shared" ref="J4:J30" si="0">(E4*2240)+(F4*112)+(G4*28)+(H4)</f>
        <v>86500</v>
      </c>
      <c r="L4">
        <f t="shared" ref="L4:L14" si="1">J4/2240</f>
        <v>38.616071428571431</v>
      </c>
    </row>
    <row r="5" spans="1:12" x14ac:dyDescent="0.25">
      <c r="A5">
        <v>1699</v>
      </c>
      <c r="B5" t="s">
        <v>18</v>
      </c>
      <c r="C5" t="s">
        <v>92</v>
      </c>
      <c r="D5" t="s">
        <v>7</v>
      </c>
      <c r="F5">
        <v>42341</v>
      </c>
      <c r="H5">
        <v>15</v>
      </c>
      <c r="J5">
        <f t="shared" si="0"/>
        <v>4742207</v>
      </c>
      <c r="L5">
        <f t="shared" si="1"/>
        <v>2117.0566964285713</v>
      </c>
    </row>
    <row r="6" spans="1:12" x14ac:dyDescent="0.25">
      <c r="A6">
        <v>1699</v>
      </c>
      <c r="B6" t="s">
        <v>19</v>
      </c>
      <c r="C6" t="s">
        <v>92</v>
      </c>
      <c r="D6" t="s">
        <v>7</v>
      </c>
      <c r="F6">
        <v>2</v>
      </c>
      <c r="G6">
        <v>1</v>
      </c>
      <c r="J6">
        <f t="shared" si="0"/>
        <v>252</v>
      </c>
      <c r="L6">
        <f t="shared" si="1"/>
        <v>0.1125</v>
      </c>
    </row>
    <row r="7" spans="1:12" x14ac:dyDescent="0.25">
      <c r="A7">
        <v>1699</v>
      </c>
      <c r="B7" t="s">
        <v>8</v>
      </c>
      <c r="C7" t="s">
        <v>92</v>
      </c>
      <c r="D7" t="s">
        <v>7</v>
      </c>
      <c r="H7">
        <v>157</v>
      </c>
      <c r="J7">
        <f t="shared" si="0"/>
        <v>157</v>
      </c>
      <c r="L7">
        <f t="shared" si="1"/>
        <v>7.0089285714285715E-2</v>
      </c>
    </row>
    <row r="8" spans="1:12" x14ac:dyDescent="0.25">
      <c r="A8">
        <v>1699</v>
      </c>
      <c r="B8" t="s">
        <v>41</v>
      </c>
      <c r="C8" t="s">
        <v>92</v>
      </c>
      <c r="D8" t="s">
        <v>7</v>
      </c>
      <c r="E8">
        <v>52</v>
      </c>
      <c r="F8">
        <v>12</v>
      </c>
      <c r="G8">
        <v>2</v>
      </c>
      <c r="H8">
        <v>10</v>
      </c>
      <c r="J8">
        <f t="shared" si="0"/>
        <v>117890</v>
      </c>
      <c r="L8">
        <f t="shared" si="1"/>
        <v>52.629464285714285</v>
      </c>
    </row>
    <row r="9" spans="1:12" x14ac:dyDescent="0.25">
      <c r="A9">
        <v>1699</v>
      </c>
      <c r="B9" t="s">
        <v>25</v>
      </c>
      <c r="C9" t="s">
        <v>92</v>
      </c>
      <c r="D9" t="s">
        <v>7</v>
      </c>
      <c r="F9">
        <v>15</v>
      </c>
      <c r="G9">
        <v>1</v>
      </c>
      <c r="H9">
        <v>7</v>
      </c>
      <c r="J9">
        <f t="shared" si="0"/>
        <v>1715</v>
      </c>
      <c r="L9">
        <f t="shared" si="1"/>
        <v>0.765625</v>
      </c>
    </row>
    <row r="10" spans="1:12" x14ac:dyDescent="0.25">
      <c r="A10">
        <v>1699</v>
      </c>
      <c r="B10" t="s">
        <v>13</v>
      </c>
      <c r="C10" t="s">
        <v>92</v>
      </c>
      <c r="D10" t="s">
        <v>7</v>
      </c>
      <c r="H10">
        <v>165</v>
      </c>
      <c r="J10">
        <f t="shared" si="0"/>
        <v>165</v>
      </c>
      <c r="L10">
        <f t="shared" si="1"/>
        <v>7.3660714285714288E-2</v>
      </c>
    </row>
    <row r="11" spans="1:12" x14ac:dyDescent="0.25">
      <c r="A11">
        <v>1699</v>
      </c>
      <c r="B11" t="s">
        <v>21</v>
      </c>
      <c r="C11" t="s">
        <v>92</v>
      </c>
      <c r="D11" t="s">
        <v>7</v>
      </c>
      <c r="H11">
        <v>281</v>
      </c>
      <c r="J11">
        <f t="shared" si="0"/>
        <v>281</v>
      </c>
      <c r="L11">
        <f t="shared" si="1"/>
        <v>0.12544642857142857</v>
      </c>
    </row>
    <row r="12" spans="1:12" x14ac:dyDescent="0.25">
      <c r="A12">
        <v>1699</v>
      </c>
      <c r="B12" t="s">
        <v>9</v>
      </c>
      <c r="C12" t="s">
        <v>92</v>
      </c>
      <c r="D12" t="s">
        <v>7</v>
      </c>
      <c r="H12">
        <f>81*200</f>
        <v>16200</v>
      </c>
      <c r="I12" t="s">
        <v>62</v>
      </c>
      <c r="J12">
        <f t="shared" si="0"/>
        <v>16200</v>
      </c>
      <c r="L12">
        <f t="shared" si="1"/>
        <v>7.2321428571428568</v>
      </c>
    </row>
    <row r="13" spans="1:12" x14ac:dyDescent="0.25">
      <c r="A13">
        <v>1699</v>
      </c>
      <c r="B13" t="s">
        <v>44</v>
      </c>
      <c r="C13" t="s">
        <v>92</v>
      </c>
      <c r="D13" t="s">
        <v>7</v>
      </c>
      <c r="F13">
        <v>6</v>
      </c>
      <c r="G13">
        <v>1</v>
      </c>
      <c r="H13">
        <v>14</v>
      </c>
      <c r="J13">
        <f t="shared" si="0"/>
        <v>714</v>
      </c>
      <c r="L13">
        <f t="shared" si="1"/>
        <v>0.31874999999999998</v>
      </c>
    </row>
    <row r="14" spans="1:12" x14ac:dyDescent="0.25">
      <c r="A14">
        <v>1699</v>
      </c>
      <c r="B14" t="s">
        <v>39</v>
      </c>
      <c r="C14" t="s">
        <v>92</v>
      </c>
      <c r="D14" t="s">
        <v>7</v>
      </c>
      <c r="H14">
        <v>100</v>
      </c>
      <c r="J14">
        <f t="shared" si="0"/>
        <v>100</v>
      </c>
      <c r="L14">
        <f t="shared" si="1"/>
        <v>4.4642857142857144E-2</v>
      </c>
    </row>
    <row r="15" spans="1:12" x14ac:dyDescent="0.25">
      <c r="A15">
        <v>1699</v>
      </c>
      <c r="B15" t="s">
        <v>23</v>
      </c>
      <c r="C15" t="s">
        <v>92</v>
      </c>
      <c r="D15" t="s">
        <v>7</v>
      </c>
      <c r="J15">
        <f t="shared" si="0"/>
        <v>0</v>
      </c>
      <c r="L15">
        <f>J15/2240</f>
        <v>0</v>
      </c>
    </row>
    <row r="16" spans="1:12" x14ac:dyDescent="0.25">
      <c r="A16">
        <v>1699</v>
      </c>
      <c r="B16" t="s">
        <v>24</v>
      </c>
      <c r="C16" t="s">
        <v>92</v>
      </c>
      <c r="D16" t="s">
        <v>7</v>
      </c>
      <c r="H16">
        <v>14</v>
      </c>
      <c r="J16">
        <f t="shared" si="0"/>
        <v>14</v>
      </c>
      <c r="L16">
        <f t="shared" ref="L16:L28" si="2">J16/2240</f>
        <v>6.2500000000000003E-3</v>
      </c>
    </row>
    <row r="17" spans="1:12" x14ac:dyDescent="0.25">
      <c r="A17">
        <v>1699</v>
      </c>
      <c r="B17" t="s">
        <v>35</v>
      </c>
      <c r="C17" t="s">
        <v>92</v>
      </c>
      <c r="D17" t="s">
        <v>7</v>
      </c>
      <c r="H17">
        <v>25</v>
      </c>
      <c r="J17">
        <f t="shared" si="0"/>
        <v>25</v>
      </c>
      <c r="L17">
        <f t="shared" si="2"/>
        <v>1.1160714285714286E-2</v>
      </c>
    </row>
    <row r="18" spans="1:12" x14ac:dyDescent="0.25">
      <c r="A18">
        <v>1699</v>
      </c>
      <c r="B18" t="s">
        <v>22</v>
      </c>
      <c r="C18" t="s">
        <v>92</v>
      </c>
      <c r="D18" t="s">
        <v>7</v>
      </c>
      <c r="H18">
        <v>9831</v>
      </c>
      <c r="I18" t="s">
        <v>63</v>
      </c>
      <c r="J18">
        <f t="shared" si="0"/>
        <v>9831</v>
      </c>
      <c r="L18">
        <f t="shared" si="2"/>
        <v>4.3888392857142859</v>
      </c>
    </row>
    <row r="19" spans="1:12" x14ac:dyDescent="0.25">
      <c r="A19">
        <v>1699</v>
      </c>
      <c r="B19" t="s">
        <v>129</v>
      </c>
      <c r="C19" t="s">
        <v>92</v>
      </c>
      <c r="D19" t="s">
        <v>7</v>
      </c>
      <c r="E19">
        <v>25</v>
      </c>
      <c r="F19">
        <v>17</v>
      </c>
      <c r="G19">
        <v>3</v>
      </c>
      <c r="J19">
        <f t="shared" si="0"/>
        <v>57988</v>
      </c>
      <c r="L19">
        <f t="shared" si="2"/>
        <v>25.887499999999999</v>
      </c>
    </row>
    <row r="20" spans="1:12" x14ac:dyDescent="0.25">
      <c r="A20">
        <v>1699</v>
      </c>
      <c r="B20" t="s">
        <v>26</v>
      </c>
      <c r="C20" t="s">
        <v>92</v>
      </c>
      <c r="D20" t="s">
        <v>11</v>
      </c>
      <c r="F20">
        <v>2</v>
      </c>
      <c r="H20">
        <v>20</v>
      </c>
      <c r="J20">
        <f t="shared" si="0"/>
        <v>244</v>
      </c>
      <c r="L20">
        <f t="shared" si="2"/>
        <v>0.10892857142857143</v>
      </c>
    </row>
    <row r="21" spans="1:12" x14ac:dyDescent="0.25">
      <c r="A21">
        <v>1699</v>
      </c>
      <c r="B21" t="s">
        <v>41</v>
      </c>
      <c r="C21" t="s">
        <v>92</v>
      </c>
      <c r="D21" t="s">
        <v>11</v>
      </c>
      <c r="F21">
        <v>33</v>
      </c>
      <c r="J21">
        <f t="shared" si="0"/>
        <v>3696</v>
      </c>
      <c r="L21">
        <f t="shared" si="2"/>
        <v>1.65</v>
      </c>
    </row>
    <row r="22" spans="1:12" x14ac:dyDescent="0.25">
      <c r="A22">
        <v>1699</v>
      </c>
      <c r="B22" t="s">
        <v>17</v>
      </c>
      <c r="C22" t="s">
        <v>92</v>
      </c>
      <c r="D22" t="s">
        <v>11</v>
      </c>
      <c r="F22">
        <v>347</v>
      </c>
      <c r="H22">
        <v>1</v>
      </c>
      <c r="J22">
        <f t="shared" si="0"/>
        <v>38865</v>
      </c>
      <c r="L22">
        <f t="shared" si="2"/>
        <v>17.350446428571427</v>
      </c>
    </row>
    <row r="23" spans="1:12" x14ac:dyDescent="0.25">
      <c r="A23">
        <v>1699</v>
      </c>
      <c r="B23" t="s">
        <v>18</v>
      </c>
      <c r="C23" t="s">
        <v>92</v>
      </c>
      <c r="D23" t="s">
        <v>11</v>
      </c>
      <c r="F23">
        <v>16708</v>
      </c>
      <c r="G23">
        <v>2</v>
      </c>
      <c r="H23">
        <v>21</v>
      </c>
      <c r="J23">
        <f t="shared" si="0"/>
        <v>1871373</v>
      </c>
      <c r="L23">
        <f t="shared" si="2"/>
        <v>835.43437500000005</v>
      </c>
    </row>
    <row r="24" spans="1:12" x14ac:dyDescent="0.25">
      <c r="A24">
        <v>1699</v>
      </c>
      <c r="B24" t="s">
        <v>19</v>
      </c>
      <c r="C24" t="s">
        <v>92</v>
      </c>
      <c r="D24" t="s">
        <v>11</v>
      </c>
      <c r="F24">
        <v>2</v>
      </c>
      <c r="J24">
        <f t="shared" si="0"/>
        <v>224</v>
      </c>
      <c r="L24">
        <f t="shared" si="2"/>
        <v>0.1</v>
      </c>
    </row>
    <row r="25" spans="1:12" x14ac:dyDescent="0.25">
      <c r="A25">
        <v>1699</v>
      </c>
      <c r="B25" t="s">
        <v>8</v>
      </c>
      <c r="C25" t="s">
        <v>92</v>
      </c>
      <c r="D25" t="s">
        <v>11</v>
      </c>
      <c r="H25">
        <v>1087</v>
      </c>
      <c r="J25">
        <f t="shared" si="0"/>
        <v>1087</v>
      </c>
      <c r="L25">
        <f t="shared" si="2"/>
        <v>0.48526785714285714</v>
      </c>
    </row>
    <row r="26" spans="1:12" x14ac:dyDescent="0.25">
      <c r="A26">
        <v>1699</v>
      </c>
      <c r="B26" t="s">
        <v>25</v>
      </c>
      <c r="C26" t="s">
        <v>92</v>
      </c>
      <c r="D26" t="s">
        <v>11</v>
      </c>
      <c r="F26">
        <v>15</v>
      </c>
      <c r="G26">
        <v>3</v>
      </c>
      <c r="H26">
        <v>20</v>
      </c>
      <c r="J26">
        <f t="shared" si="0"/>
        <v>1784</v>
      </c>
      <c r="L26">
        <f t="shared" si="2"/>
        <v>0.79642857142857137</v>
      </c>
    </row>
    <row r="27" spans="1:12" x14ac:dyDescent="0.25">
      <c r="A27">
        <v>1699</v>
      </c>
      <c r="B27" t="s">
        <v>9</v>
      </c>
      <c r="C27" t="s">
        <v>92</v>
      </c>
      <c r="D27" t="s">
        <v>11</v>
      </c>
      <c r="H27">
        <v>3522</v>
      </c>
      <c r="J27">
        <f t="shared" si="0"/>
        <v>3522</v>
      </c>
      <c r="L27">
        <f t="shared" si="2"/>
        <v>1.5723214285714286</v>
      </c>
    </row>
    <row r="28" spans="1:12" x14ac:dyDescent="0.25">
      <c r="A28">
        <v>1699</v>
      </c>
      <c r="B28" t="s">
        <v>44</v>
      </c>
      <c r="C28" t="s">
        <v>92</v>
      </c>
      <c r="D28" t="s">
        <v>11</v>
      </c>
      <c r="H28">
        <v>11</v>
      </c>
      <c r="J28">
        <f t="shared" si="0"/>
        <v>11</v>
      </c>
      <c r="L28">
        <f t="shared" si="2"/>
        <v>4.9107142857142856E-3</v>
      </c>
    </row>
    <row r="29" spans="1:12" x14ac:dyDescent="0.25">
      <c r="A29">
        <v>1699</v>
      </c>
      <c r="B29" t="s">
        <v>13</v>
      </c>
      <c r="C29" t="s">
        <v>92</v>
      </c>
      <c r="D29" t="s">
        <v>11</v>
      </c>
      <c r="H29">
        <v>186</v>
      </c>
      <c r="J29">
        <f t="shared" si="0"/>
        <v>186</v>
      </c>
      <c r="L29">
        <f t="shared" ref="L29:L31" si="3">J29/2240</f>
        <v>8.3035714285714282E-2</v>
      </c>
    </row>
    <row r="30" spans="1:12" x14ac:dyDescent="0.25">
      <c r="A30">
        <v>1699</v>
      </c>
      <c r="B30" t="s">
        <v>24</v>
      </c>
      <c r="C30" t="s">
        <v>92</v>
      </c>
      <c r="D30" t="s">
        <v>11</v>
      </c>
      <c r="H30">
        <v>14</v>
      </c>
      <c r="J30">
        <f t="shared" si="0"/>
        <v>14</v>
      </c>
      <c r="L30">
        <f t="shared" si="3"/>
        <v>6.2500000000000003E-3</v>
      </c>
    </row>
    <row r="31" spans="1:12" x14ac:dyDescent="0.25">
      <c r="A31">
        <v>1699</v>
      </c>
      <c r="B31" t="s">
        <v>22</v>
      </c>
      <c r="C31" t="s">
        <v>92</v>
      </c>
      <c r="D31" t="s">
        <v>11</v>
      </c>
      <c r="H31">
        <v>1654</v>
      </c>
      <c r="I31" t="s">
        <v>73</v>
      </c>
      <c r="J31">
        <v>1605</v>
      </c>
      <c r="L31">
        <f t="shared" si="3"/>
        <v>0.7165178571428571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E782-642A-4A69-B3C3-AA33FAF53666}">
  <dimension ref="A1:J7"/>
  <sheetViews>
    <sheetView workbookViewId="0">
      <selection activeCell="H2" sqref="H2"/>
    </sheetView>
  </sheetViews>
  <sheetFormatPr defaultRowHeight="15" x14ac:dyDescent="0.25"/>
  <cols>
    <col min="1" max="1" width="17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/>
      <c r="H1" s="1" t="s">
        <v>5</v>
      </c>
      <c r="I1" s="1"/>
      <c r="J1" s="1" t="s">
        <v>6</v>
      </c>
    </row>
    <row r="2" spans="1:10" x14ac:dyDescent="0.25">
      <c r="A2" t="s">
        <v>26</v>
      </c>
      <c r="B2" t="s">
        <v>7</v>
      </c>
      <c r="H2">
        <f>(C2*2240)+(D2*112)+(E2*28)+(F2/16)</f>
        <v>0</v>
      </c>
      <c r="J2">
        <f>H2/2240</f>
        <v>0</v>
      </c>
    </row>
    <row r="3" spans="1:10" x14ac:dyDescent="0.25">
      <c r="A3" t="s">
        <v>17</v>
      </c>
      <c r="B3" t="s">
        <v>7</v>
      </c>
      <c r="H3">
        <f t="shared" ref="H3:H7" si="0">(C3*2240)+(D3*112)+(E3*28)+(F3/16)</f>
        <v>0</v>
      </c>
      <c r="J3">
        <f t="shared" ref="J3:J7" si="1">H3/2240</f>
        <v>0</v>
      </c>
    </row>
    <row r="4" spans="1:10" x14ac:dyDescent="0.25">
      <c r="A4" t="s">
        <v>18</v>
      </c>
      <c r="B4" t="s">
        <v>7</v>
      </c>
      <c r="H4">
        <f t="shared" si="0"/>
        <v>0</v>
      </c>
      <c r="J4">
        <f t="shared" si="1"/>
        <v>0</v>
      </c>
    </row>
    <row r="5" spans="1:10" x14ac:dyDescent="0.25">
      <c r="A5" t="s">
        <v>8</v>
      </c>
      <c r="B5" t="s">
        <v>7</v>
      </c>
      <c r="H5">
        <f t="shared" si="0"/>
        <v>0</v>
      </c>
      <c r="J5">
        <f t="shared" si="1"/>
        <v>0</v>
      </c>
    </row>
    <row r="6" spans="1:10" x14ac:dyDescent="0.25">
      <c r="A6" t="s">
        <v>9</v>
      </c>
      <c r="B6" t="s">
        <v>7</v>
      </c>
      <c r="H6">
        <f t="shared" si="0"/>
        <v>0</v>
      </c>
      <c r="J6">
        <f t="shared" si="1"/>
        <v>0</v>
      </c>
    </row>
    <row r="7" spans="1:10" x14ac:dyDescent="0.25">
      <c r="A7" t="s">
        <v>44</v>
      </c>
      <c r="B7" t="s">
        <v>7</v>
      </c>
      <c r="H7">
        <f t="shared" si="0"/>
        <v>0</v>
      </c>
      <c r="J7">
        <f t="shared" si="1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6D79-299E-4BDC-A30E-5252DE375C36}">
  <dimension ref="A1:L26"/>
  <sheetViews>
    <sheetView workbookViewId="0">
      <selection activeCell="T21" sqref="T21"/>
    </sheetView>
  </sheetViews>
  <sheetFormatPr defaultRowHeight="15" x14ac:dyDescent="0.25"/>
  <cols>
    <col min="2" max="2" width="18.5703125" customWidth="1"/>
    <col min="3" max="3" width="15" customWidth="1"/>
    <col min="4" max="4" width="17.28515625" customWidth="1"/>
  </cols>
  <sheetData>
    <row r="1" spans="1:12" x14ac:dyDescent="0.25">
      <c r="A1" s="1" t="s">
        <v>82</v>
      </c>
      <c r="B1" s="1" t="s">
        <v>81</v>
      </c>
      <c r="C1" s="1" t="s">
        <v>83</v>
      </c>
      <c r="D1" s="1" t="s">
        <v>86</v>
      </c>
      <c r="E1" s="1" t="s">
        <v>93</v>
      </c>
      <c r="F1" s="1" t="s">
        <v>50</v>
      </c>
      <c r="G1" s="1" t="s">
        <v>51</v>
      </c>
      <c r="H1" s="1" t="s">
        <v>94</v>
      </c>
      <c r="I1" s="1"/>
      <c r="J1" s="1" t="s">
        <v>5</v>
      </c>
      <c r="K1" s="1"/>
      <c r="L1" s="1" t="s">
        <v>6</v>
      </c>
    </row>
    <row r="2" spans="1:12" x14ac:dyDescent="0.25">
      <c r="A2">
        <v>1699</v>
      </c>
      <c r="B2" t="s">
        <v>41</v>
      </c>
      <c r="C2" t="s">
        <v>95</v>
      </c>
      <c r="D2" t="s">
        <v>7</v>
      </c>
      <c r="J2">
        <f t="shared" ref="J2:J26" si="0">(E2*2240)+(F2*112)+(G2*28)+H2</f>
        <v>0</v>
      </c>
      <c r="K2" s="1"/>
      <c r="L2">
        <f t="shared" ref="L2:L26" si="1">J2/2240</f>
        <v>0</v>
      </c>
    </row>
    <row r="3" spans="1:12" x14ac:dyDescent="0.25">
      <c r="A3">
        <v>1699</v>
      </c>
      <c r="B3" t="s">
        <v>26</v>
      </c>
      <c r="C3" t="s">
        <v>95</v>
      </c>
      <c r="D3" t="s">
        <v>7</v>
      </c>
      <c r="J3">
        <f t="shared" si="0"/>
        <v>0</v>
      </c>
      <c r="K3" s="1"/>
      <c r="L3">
        <f t="shared" si="1"/>
        <v>0</v>
      </c>
    </row>
    <row r="4" spans="1:12" x14ac:dyDescent="0.25">
      <c r="A4">
        <v>1699</v>
      </c>
      <c r="B4" t="s">
        <v>16</v>
      </c>
      <c r="C4" t="s">
        <v>95</v>
      </c>
      <c r="D4" t="s">
        <v>7</v>
      </c>
      <c r="J4">
        <f t="shared" si="0"/>
        <v>0</v>
      </c>
      <c r="K4" s="1"/>
      <c r="L4">
        <f t="shared" si="1"/>
        <v>0</v>
      </c>
    </row>
    <row r="5" spans="1:12" x14ac:dyDescent="0.25">
      <c r="A5">
        <v>1699</v>
      </c>
      <c r="B5" t="s">
        <v>17</v>
      </c>
      <c r="C5" t="s">
        <v>95</v>
      </c>
      <c r="D5" t="s">
        <v>7</v>
      </c>
      <c r="J5">
        <f t="shared" si="0"/>
        <v>0</v>
      </c>
      <c r="L5">
        <f t="shared" si="1"/>
        <v>0</v>
      </c>
    </row>
    <row r="6" spans="1:12" x14ac:dyDescent="0.25">
      <c r="A6">
        <v>1699</v>
      </c>
      <c r="B6" t="s">
        <v>49</v>
      </c>
      <c r="C6" t="s">
        <v>95</v>
      </c>
      <c r="D6" t="s">
        <v>7</v>
      </c>
      <c r="J6">
        <f t="shared" si="0"/>
        <v>0</v>
      </c>
      <c r="L6">
        <f t="shared" si="1"/>
        <v>0</v>
      </c>
    </row>
    <row r="7" spans="1:12" x14ac:dyDescent="0.25">
      <c r="A7">
        <v>1699</v>
      </c>
      <c r="B7" t="s">
        <v>29</v>
      </c>
      <c r="C7" t="s">
        <v>95</v>
      </c>
      <c r="D7" t="s">
        <v>7</v>
      </c>
      <c r="J7">
        <f t="shared" si="0"/>
        <v>0</v>
      </c>
      <c r="L7">
        <f t="shared" si="1"/>
        <v>0</v>
      </c>
    </row>
    <row r="8" spans="1:12" x14ac:dyDescent="0.25">
      <c r="A8">
        <v>1699</v>
      </c>
      <c r="B8" t="s">
        <v>19</v>
      </c>
      <c r="C8" t="s">
        <v>95</v>
      </c>
      <c r="D8" t="s">
        <v>7</v>
      </c>
      <c r="J8">
        <f t="shared" si="0"/>
        <v>0</v>
      </c>
      <c r="L8">
        <f t="shared" si="1"/>
        <v>0</v>
      </c>
    </row>
    <row r="9" spans="1:12" x14ac:dyDescent="0.25">
      <c r="A9">
        <v>1699</v>
      </c>
      <c r="B9" t="s">
        <v>64</v>
      </c>
      <c r="C9" t="s">
        <v>95</v>
      </c>
      <c r="D9" t="s">
        <v>7</v>
      </c>
      <c r="J9">
        <f t="shared" si="0"/>
        <v>0</v>
      </c>
      <c r="L9">
        <f t="shared" si="1"/>
        <v>0</v>
      </c>
    </row>
    <row r="10" spans="1:12" x14ac:dyDescent="0.25">
      <c r="A10">
        <v>1699</v>
      </c>
      <c r="B10" t="s">
        <v>13</v>
      </c>
      <c r="C10" t="s">
        <v>95</v>
      </c>
      <c r="D10" t="s">
        <v>7</v>
      </c>
      <c r="J10">
        <f t="shared" si="0"/>
        <v>0</v>
      </c>
      <c r="L10">
        <f t="shared" si="1"/>
        <v>0</v>
      </c>
    </row>
    <row r="11" spans="1:12" x14ac:dyDescent="0.25">
      <c r="A11">
        <v>1699</v>
      </c>
      <c r="B11" t="s">
        <v>25</v>
      </c>
      <c r="C11" t="s">
        <v>95</v>
      </c>
      <c r="D11" t="s">
        <v>7</v>
      </c>
      <c r="J11">
        <f t="shared" si="0"/>
        <v>0</v>
      </c>
      <c r="L11">
        <f t="shared" si="1"/>
        <v>0</v>
      </c>
    </row>
    <row r="12" spans="1:12" x14ac:dyDescent="0.25">
      <c r="A12">
        <v>1699</v>
      </c>
      <c r="B12" t="s">
        <v>8</v>
      </c>
      <c r="C12" t="s">
        <v>95</v>
      </c>
      <c r="D12" t="s">
        <v>7</v>
      </c>
      <c r="J12">
        <f t="shared" si="0"/>
        <v>0</v>
      </c>
      <c r="L12">
        <f t="shared" si="1"/>
        <v>0</v>
      </c>
    </row>
    <row r="13" spans="1:12" x14ac:dyDescent="0.25">
      <c r="A13">
        <v>1699</v>
      </c>
      <c r="B13" t="s">
        <v>21</v>
      </c>
      <c r="C13" t="s">
        <v>95</v>
      </c>
      <c r="D13" t="s">
        <v>7</v>
      </c>
      <c r="J13">
        <f t="shared" si="0"/>
        <v>0</v>
      </c>
      <c r="L13">
        <f t="shared" si="1"/>
        <v>0</v>
      </c>
    </row>
    <row r="14" spans="1:12" x14ac:dyDescent="0.25">
      <c r="A14">
        <v>1699</v>
      </c>
      <c r="B14" t="s">
        <v>9</v>
      </c>
      <c r="C14" t="s">
        <v>95</v>
      </c>
      <c r="D14" t="s">
        <v>7</v>
      </c>
      <c r="J14">
        <f t="shared" si="0"/>
        <v>0</v>
      </c>
      <c r="L14">
        <f t="shared" si="1"/>
        <v>0</v>
      </c>
    </row>
    <row r="15" spans="1:12" x14ac:dyDescent="0.25">
      <c r="A15">
        <v>1699</v>
      </c>
      <c r="B15" t="s">
        <v>15</v>
      </c>
      <c r="C15" t="s">
        <v>95</v>
      </c>
      <c r="D15" t="s">
        <v>7</v>
      </c>
      <c r="J15">
        <f t="shared" si="0"/>
        <v>0</v>
      </c>
      <c r="L15">
        <f t="shared" si="1"/>
        <v>0</v>
      </c>
    </row>
    <row r="16" spans="1:12" x14ac:dyDescent="0.25">
      <c r="A16">
        <v>1699</v>
      </c>
      <c r="B16" t="s">
        <v>32</v>
      </c>
      <c r="C16" t="s">
        <v>95</v>
      </c>
      <c r="D16" t="s">
        <v>7</v>
      </c>
      <c r="J16">
        <f t="shared" si="0"/>
        <v>0</v>
      </c>
      <c r="L16">
        <f t="shared" si="1"/>
        <v>0</v>
      </c>
    </row>
    <row r="17" spans="1:12" x14ac:dyDescent="0.25">
      <c r="A17">
        <v>1699</v>
      </c>
      <c r="B17" t="s">
        <v>24</v>
      </c>
      <c r="C17" t="s">
        <v>95</v>
      </c>
      <c r="D17" t="s">
        <v>7</v>
      </c>
      <c r="J17">
        <f t="shared" si="0"/>
        <v>0</v>
      </c>
      <c r="L17">
        <f t="shared" si="1"/>
        <v>0</v>
      </c>
    </row>
    <row r="18" spans="1:12" x14ac:dyDescent="0.25">
      <c r="A18">
        <v>1699</v>
      </c>
      <c r="B18" t="s">
        <v>44</v>
      </c>
      <c r="C18" t="s">
        <v>95</v>
      </c>
      <c r="D18" t="s">
        <v>7</v>
      </c>
      <c r="J18">
        <f t="shared" si="0"/>
        <v>0</v>
      </c>
      <c r="L18">
        <f t="shared" si="1"/>
        <v>0</v>
      </c>
    </row>
    <row r="19" spans="1:12" x14ac:dyDescent="0.25">
      <c r="A19">
        <v>1699</v>
      </c>
      <c r="B19" t="s">
        <v>35</v>
      </c>
      <c r="C19" t="s">
        <v>95</v>
      </c>
      <c r="D19" t="s">
        <v>7</v>
      </c>
      <c r="J19">
        <f t="shared" si="0"/>
        <v>0</v>
      </c>
      <c r="L19">
        <f t="shared" si="1"/>
        <v>0</v>
      </c>
    </row>
    <row r="20" spans="1:12" x14ac:dyDescent="0.25">
      <c r="A20">
        <v>1699</v>
      </c>
      <c r="B20" t="s">
        <v>22</v>
      </c>
      <c r="C20" t="s">
        <v>95</v>
      </c>
      <c r="D20" t="s">
        <v>7</v>
      </c>
      <c r="J20">
        <f t="shared" si="0"/>
        <v>0</v>
      </c>
      <c r="L20">
        <f t="shared" si="1"/>
        <v>0</v>
      </c>
    </row>
    <row r="21" spans="1:12" x14ac:dyDescent="0.25">
      <c r="A21">
        <v>1699</v>
      </c>
      <c r="B21" t="s">
        <v>16</v>
      </c>
      <c r="C21" t="s">
        <v>95</v>
      </c>
      <c r="D21" t="s">
        <v>11</v>
      </c>
      <c r="J21">
        <f t="shared" si="0"/>
        <v>0</v>
      </c>
      <c r="L21">
        <f t="shared" si="1"/>
        <v>0</v>
      </c>
    </row>
    <row r="22" spans="1:12" x14ac:dyDescent="0.25">
      <c r="A22">
        <v>1699</v>
      </c>
      <c r="B22" t="s">
        <v>17</v>
      </c>
      <c r="C22" t="s">
        <v>95</v>
      </c>
      <c r="D22" t="s">
        <v>11</v>
      </c>
      <c r="J22">
        <f t="shared" si="0"/>
        <v>0</v>
      </c>
      <c r="L22">
        <f t="shared" si="1"/>
        <v>0</v>
      </c>
    </row>
    <row r="23" spans="1:12" x14ac:dyDescent="0.25">
      <c r="A23">
        <v>1699</v>
      </c>
      <c r="B23" t="s">
        <v>18</v>
      </c>
      <c r="C23" t="s">
        <v>95</v>
      </c>
      <c r="D23" t="s">
        <v>11</v>
      </c>
      <c r="J23">
        <f t="shared" si="0"/>
        <v>0</v>
      </c>
      <c r="L23">
        <f t="shared" si="1"/>
        <v>0</v>
      </c>
    </row>
    <row r="24" spans="1:12" x14ac:dyDescent="0.25">
      <c r="A24">
        <v>1699</v>
      </c>
      <c r="B24" t="s">
        <v>12</v>
      </c>
      <c r="C24" t="s">
        <v>95</v>
      </c>
      <c r="D24" t="s">
        <v>11</v>
      </c>
      <c r="J24">
        <f t="shared" si="0"/>
        <v>0</v>
      </c>
      <c r="L24">
        <f t="shared" si="1"/>
        <v>0</v>
      </c>
    </row>
    <row r="25" spans="1:12" x14ac:dyDescent="0.25">
      <c r="A25">
        <v>1699</v>
      </c>
      <c r="B25" t="s">
        <v>21</v>
      </c>
      <c r="C25" t="s">
        <v>95</v>
      </c>
      <c r="D25" t="s">
        <v>11</v>
      </c>
      <c r="J25">
        <f t="shared" si="0"/>
        <v>0</v>
      </c>
      <c r="L25">
        <f t="shared" si="1"/>
        <v>0</v>
      </c>
    </row>
    <row r="26" spans="1:12" x14ac:dyDescent="0.25">
      <c r="A26">
        <v>1699</v>
      </c>
      <c r="B26" t="s">
        <v>64</v>
      </c>
      <c r="C26" t="s">
        <v>95</v>
      </c>
      <c r="D26" t="s">
        <v>11</v>
      </c>
      <c r="J26">
        <f t="shared" si="0"/>
        <v>0</v>
      </c>
      <c r="L26">
        <f t="shared" si="1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Antigua</vt:lpstr>
      <vt:lpstr>Barbados</vt:lpstr>
      <vt:lpstr>Bermuda</vt:lpstr>
      <vt:lpstr>Carolina</vt:lpstr>
      <vt:lpstr>Jamaica</vt:lpstr>
      <vt:lpstr>Mountserat</vt:lpstr>
      <vt:lpstr>Nevis</vt:lpstr>
      <vt:lpstr>St Kitts</vt:lpstr>
      <vt:lpstr>NewEngland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2024-09-24T19:25:05Z</dcterms:created>
  <dcterms:modified xsi:type="dcterms:W3CDTF">2025-05-01T20:23:36Z</dcterms:modified>
</cp:coreProperties>
</file>