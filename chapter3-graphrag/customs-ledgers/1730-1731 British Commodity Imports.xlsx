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64" documentId="8_{878EC5BD-5BDD-4346-AD22-D573CA2E8E6E}" xr6:coauthVersionLast="47" xr6:coauthVersionMax="47" xr10:uidLastSave="{680E760C-0D59-4C9E-9FDA-68B6D811D232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Barbados!$A$1:$N$57</definedName>
    <definedName name="_xlnm._FilterDatabase" localSheetId="5" hidden="1">Jamaica!$A$1:$O$63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8" l="1"/>
  <c r="H84" i="7"/>
  <c r="H84" i="6"/>
  <c r="H89" i="5"/>
  <c r="H97" i="5"/>
  <c r="H69" i="3"/>
  <c r="L96" i="3"/>
  <c r="J96" i="3"/>
  <c r="H86" i="2"/>
  <c r="L8" i="11"/>
  <c r="J8" i="11"/>
  <c r="H22" i="8"/>
  <c r="L54" i="8"/>
  <c r="J54" i="8"/>
  <c r="J27" i="8"/>
  <c r="L27" i="8" s="1"/>
  <c r="H22" i="7"/>
  <c r="L42" i="7"/>
  <c r="J42" i="7"/>
  <c r="H23" i="6"/>
  <c r="J8" i="6"/>
  <c r="L8" i="6" s="1"/>
  <c r="H24" i="5"/>
  <c r="J66" i="5"/>
  <c r="L66" i="5" s="1"/>
  <c r="J29" i="5"/>
  <c r="L29" i="5" s="1"/>
  <c r="J8" i="5"/>
  <c r="L8" i="5" s="1"/>
  <c r="H20" i="3"/>
  <c r="J24" i="3"/>
  <c r="L24" i="3" s="1"/>
  <c r="J8" i="3"/>
  <c r="L8" i="3" s="1"/>
  <c r="J7" i="3"/>
  <c r="L7" i="3" s="1"/>
  <c r="H24" i="2"/>
  <c r="J9" i="2" l="1"/>
  <c r="L9" i="2" s="1"/>
  <c r="J121" i="5"/>
  <c r="L121" i="5" s="1"/>
  <c r="J75" i="5"/>
  <c r="L75" i="5" s="1"/>
  <c r="J86" i="3"/>
  <c r="L86" i="3" s="1"/>
  <c r="J118" i="2"/>
  <c r="L118" i="2" s="1"/>
  <c r="J55" i="11"/>
  <c r="L55" i="11" s="1"/>
  <c r="J11" i="11"/>
  <c r="L11" i="11" s="1"/>
  <c r="J56" i="5"/>
  <c r="L56" i="5" s="1"/>
  <c r="J9" i="5"/>
  <c r="L9" i="5" s="1"/>
  <c r="J14" i="4"/>
  <c r="L14" i="4" s="1"/>
  <c r="J16" i="4"/>
  <c r="L16" i="4" s="1"/>
  <c r="J12" i="4"/>
  <c r="L12" i="4" s="1"/>
  <c r="J9" i="4"/>
  <c r="L9" i="4" s="1"/>
  <c r="J6" i="4"/>
  <c r="L6" i="4" s="1"/>
  <c r="J25" i="3"/>
  <c r="L25" i="3" s="1"/>
  <c r="J30" i="2"/>
  <c r="L30" i="2" s="1"/>
  <c r="J8" i="2"/>
  <c r="L8" i="2" s="1"/>
  <c r="C23" i="1"/>
  <c r="C24" i="1"/>
  <c r="B23" i="1"/>
  <c r="B24" i="1"/>
  <c r="J129" i="11"/>
  <c r="L129" i="11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4" i="11"/>
  <c r="L54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0" i="11"/>
  <c r="L10" i="11" s="1"/>
  <c r="J9" i="11"/>
  <c r="L9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8" i="8"/>
  <c r="L128" i="8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127" i="7"/>
  <c r="L127" i="7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J112" i="7"/>
  <c r="L112" i="7" s="1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J104" i="7"/>
  <c r="L104" i="7" s="1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7" i="6"/>
  <c r="L127" i="6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J108" i="6"/>
  <c r="L108" i="6" s="1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J87" i="6"/>
  <c r="L87" i="6" s="1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J76" i="6"/>
  <c r="L76" i="6" s="1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J63" i="6"/>
  <c r="L63" i="6" s="1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J44" i="6"/>
  <c r="L44" i="6" s="1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2" i="3"/>
  <c r="L22" i="3" s="1"/>
  <c r="J23" i="3"/>
  <c r="L23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104" i="3"/>
  <c r="L104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3" i="4"/>
  <c r="L13" i="4" s="1"/>
  <c r="J15" i="4"/>
  <c r="L15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3" i="5"/>
  <c r="L3" i="5" s="1"/>
  <c r="J4" i="5"/>
  <c r="L4" i="5" s="1"/>
  <c r="J5" i="5"/>
  <c r="L5" i="5" s="1"/>
  <c r="J6" i="5"/>
  <c r="L6" i="5" s="1"/>
  <c r="J7" i="5"/>
  <c r="L7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4" i="5"/>
  <c r="L74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J133" i="5"/>
  <c r="L133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5" i="1" l="1"/>
  <c r="D13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<sst xmlns="http://schemas.openxmlformats.org/spreadsheetml/2006/main" count="3512" uniqueCount="162">
  <si>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</si>
  <si>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</si>
  <si>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</si>
  <si>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</si>
  <si>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</si>
  <si>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</si>
  <si>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</si>
  <si>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</si>
  <si>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</si>
  <si>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</si>
  <si>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</si>
  <si>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</si>
  <si>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</si>
  <si>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</si>
  <si>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</si>
  <si>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</si>
  <si>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</si>
  <si>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</si>
  <si>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</si>
  <si>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</si>
  <si>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</si>
  <si>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</si>
  <si>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</si>
  <si>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</si>
  <si>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</si>
  <si>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</si>
  <si>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</si>
  <si>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</si>
  <si>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</si>
  <si>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</si>
  <si>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</si>
  <si>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</si>
  <si>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</si>
  <si>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</si>
  <si>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</si>
  <si>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</si>
  <si>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</si>
  <si>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</si>
  <si>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</si>
  <si>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</si>
  <si>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</si>
  <si>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</si>
  <si>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</si>
  <si>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</si>
  <si>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</si>
  <si>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</si>
  <si>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</si>
  <si>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</si>
  <si>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</si>
  <si>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</si>
  <si>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</si>
  <si>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</si>
  <si>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</si>
  <si>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</si>
  <si>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</si>
  <si>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</si>
  <si>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</si>
  <si>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</si>
  <si>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</si>
  <si>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</si>
  <si>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</si>
  <si>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</si>
  <si>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</si>
  <si>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</si>
  <si>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</si>
  <si>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</si>
  <si>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</si>
  <si>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</si>
  <si>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</si>
  <si>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</si>
  <si>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</si>
  <si>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</si>
  <si>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</si>
  <si>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</si>
  <si>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</si>
  <si>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</si>
  <si>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</si>
  <si>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</si>
  <si>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</si>
  <si>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</si>
  <si>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</si>
  <si>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</si>
  <si>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</si>
  <si>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</si>
  <si>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</si>
  <si>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</si>
  <si>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</si>
  <si>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</si>
  <si>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</si>
  <si>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</si>
  <si>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</si>
  <si>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</si>
  <si>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</si>
  <si>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</si>
  <si>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</si>
  <si>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</si>
  <si>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</si>
  <si>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</si>
  <si>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</si>
  <si>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</si>
  <si>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</si>
  <si>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</si>
  <si>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</si>
  <si>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</si>
  <si>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</si>
  <si>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</si>
  <si>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Barbados Tarr</t>
  </si>
  <si>
    <t>29g</t>
  </si>
  <si>
    <t>9g</t>
  </si>
  <si>
    <t>64377.5g</t>
  </si>
  <si>
    <t>67t 52g</t>
  </si>
  <si>
    <t>256.5bags</t>
  </si>
  <si>
    <t>Archelia</t>
  </si>
  <si>
    <t>Balsam Capavia</t>
  </si>
  <si>
    <t>Gum Arabick</t>
  </si>
  <si>
    <t>1829g</t>
  </si>
  <si>
    <t>78.5g</t>
  </si>
  <si>
    <t>40261g</t>
  </si>
  <si>
    <t>98t 3h 21g</t>
  </si>
  <si>
    <t>184bags</t>
  </si>
  <si>
    <t>Balsam Artificial</t>
  </si>
  <si>
    <t>Gum Elemni</t>
  </si>
  <si>
    <t>Jollop</t>
  </si>
  <si>
    <t>3256g</t>
  </si>
  <si>
    <t>20.5g</t>
  </si>
  <si>
    <t>138619g</t>
  </si>
  <si>
    <t>10t 1h 56g</t>
  </si>
  <si>
    <t>Wood, Pidgeonwood</t>
  </si>
  <si>
    <t>258bags</t>
  </si>
  <si>
    <t>15g</t>
  </si>
  <si>
    <t>5817g</t>
  </si>
  <si>
    <t>47bags</t>
  </si>
  <si>
    <t>5g</t>
  </si>
  <si>
    <t>429g</t>
  </si>
  <si>
    <t>5t 3h 40g</t>
  </si>
  <si>
    <t>31bags</t>
  </si>
  <si>
    <t>Gum Copal</t>
  </si>
  <si>
    <t>22g</t>
  </si>
  <si>
    <t>4450g</t>
  </si>
  <si>
    <t>15t 1h</t>
  </si>
  <si>
    <t>1091bags</t>
  </si>
  <si>
    <t>1620g</t>
  </si>
  <si>
    <t>1h 37g</t>
  </si>
  <si>
    <t>3154g</t>
  </si>
  <si>
    <t>2t 30g</t>
  </si>
  <si>
    <t>1254bags + 144lb</t>
  </si>
  <si>
    <t>2g</t>
  </si>
  <si>
    <t>6460g</t>
  </si>
  <si>
    <t>17t 1h 11g</t>
  </si>
  <si>
    <t>675bags + 180lb</t>
  </si>
  <si>
    <t>3735g</t>
  </si>
  <si>
    <t>24444.25g</t>
  </si>
  <si>
    <t>7t 1h 48g</t>
  </si>
  <si>
    <t>676bags+35lb</t>
  </si>
  <si>
    <t>2391g</t>
  </si>
  <si>
    <t>59bags+96lb</t>
  </si>
  <si>
    <t>3.25g</t>
  </si>
  <si>
    <t>1t</t>
  </si>
  <si>
    <t>129bags+150lb</t>
  </si>
  <si>
    <t>59g</t>
  </si>
  <si>
    <t>3809.5g</t>
  </si>
  <si>
    <t>674bags+95lb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</si>
</sst>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5.5803571428571432E-2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5.5803571428571432E-2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8.8883928571428559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0.25</v>
      </c>
      <c r="D3">
        <f t="shared" ref="D3:D31" si="0">B3+C3</f>
        <v>9.1383928571428559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30220.320535714287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10450.289732142857</v>
      </c>
      <c r="D4">
        <f t="shared" si="0"/>
        <v>40670.610267857148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4.4642857142857144E-2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5.9138392857142854</v>
      </c>
      <c r="D6">
        <f t="shared" si="0"/>
        <v>5.9584821428571422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166.74107142857144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309.86607142857144</v>
      </c>
      <c r="D7">
        <f t="shared" si="0"/>
        <v>476.60714285714289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289.10491071428572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306.24375000000003</v>
      </c>
      <c r="D8">
        <f t="shared" si="0"/>
        <v>595.34866071428576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30.728571428571428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23.2</v>
      </c>
      <c r="D9">
        <f t="shared" si="0"/>
        <v>53.928571428571431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43.639285714285712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54.376785714285717</v>
      </c>
      <c r="D10">
        <f t="shared" si="0"/>
        <v>98.016071428571422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35.325000000000003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22.833035714285714</v>
      </c>
      <c r="D11">
        <f t="shared" si="0"/>
        <v>58.158035714285717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22.836160714285718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16.941741071428574</v>
      </c>
      <c r="D12">
        <f t="shared" si="0"/>
        <v>39.777901785714292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2.2602678571428574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0</v>
      </c>
      <c r="D13">
        <f t="shared" si="0"/>
        <v>2.2602678571428574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120.94553571428573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141.17678571428573</v>
      </c>
      <c r="D14">
        <f t="shared" si="0"/>
        <v>262.12232142857147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14.140625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0.34151785714285715</v>
      </c>
      <c r="D15">
        <f t="shared" si="0"/>
        <v>14.482142857142858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1141.2462053571428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187.02098214285715</v>
      </c>
      <c r="D16">
        <f t="shared" si="0"/>
        <v>1328.2671874999999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0.91249999999999987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0.69151785714285707</v>
      </c>
      <c r="D17">
        <f t="shared" si="0"/>
        <v>1.6040178571428569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3.1120535714285715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8.3035714285714268E-2</v>
      </c>
      <c r="D18">
        <f t="shared" si="0"/>
        <v>3.1950892857142859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107.39375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3.3482142857142856E-2</v>
      </c>
      <c r="D19">
        <f t="shared" si="0"/>
        <v>107.42723214285714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1.7370535714285715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1.079017857142857</v>
      </c>
      <c r="D20">
        <f t="shared" si="0"/>
        <v>2.8160714285714286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0.43928571428571428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0.22321428571428573</v>
      </c>
      <c r="D25">
        <f t="shared" si="0"/>
        <v>0.66249999999999998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222.88348214285716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31.789508928571426</v>
      </c>
      <c r="D26">
        <f t="shared" si="0"/>
        <v>254.67299107142858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0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0</v>
      </c>
      <c r="D27">
        <f t="shared" si="0"/>
        <v>0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332.53080357142858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517.46116071428571</v>
      </c>
      <c r="D28">
        <f t="shared" si="0"/>
        <v>849.99196428571429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11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300.07366071428572</v>
      </c>
      <c r="D29">
        <f t="shared" si="0"/>
        <v>311.07366071428572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29.487500000000001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54.473214285714285</v>
      </c>
      <c r="D30">
        <f t="shared" si="0"/>
        <v>83.960714285714289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102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0"/>
  <sheetViews>
    <sheetView topLeftCell="A121" zoomScaleNormal="100" workbookViewId="0">
      <selection activeCell="H109" sqref="H109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1731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1731</v>
      </c>
      <c r="B3" t="s">
        <v>57</v>
      </c>
      <c r="C3" t="s">
        <v>53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1731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1731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1731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1731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1731</v>
      </c>
      <c r="B8" t="s">
        <v>100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1731</v>
      </c>
      <c r="B9" t="s">
        <v>106</v>
      </c>
      <c r="C9" t="s">
        <v>53</v>
      </c>
      <c r="D9" t="s">
        <v>33</v>
      </c>
      <c r="H9">
        <v>24</v>
      </c>
      <c r="J9">
        <f t="shared" si="0"/>
        <v>24</v>
      </c>
      <c r="L9">
        <f t="shared" si="1"/>
        <v>1.0714285714285714E-2</v>
      </c>
    </row>
    <row r="10" spans="1:15" x14ac:dyDescent="0.25">
      <c r="A10">
        <v>1731</v>
      </c>
      <c r="B10" t="s">
        <v>43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1731</v>
      </c>
      <c r="B11" t="s">
        <v>76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1731</v>
      </c>
      <c r="B12" t="s">
        <v>5</v>
      </c>
      <c r="C12" t="s">
        <v>53</v>
      </c>
      <c r="D12" t="s">
        <v>33</v>
      </c>
      <c r="F12">
        <v>109</v>
      </c>
      <c r="H12">
        <v>18</v>
      </c>
      <c r="J12">
        <f t="shared" si="0"/>
        <v>12226</v>
      </c>
      <c r="L12">
        <f t="shared" si="1"/>
        <v>5.4580357142857139</v>
      </c>
    </row>
    <row r="13" spans="1:15" x14ac:dyDescent="0.25">
      <c r="A13">
        <v>1731</v>
      </c>
      <c r="B13" t="s">
        <v>59</v>
      </c>
      <c r="C13" t="s">
        <v>53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1731</v>
      </c>
      <c r="B14" t="s">
        <v>6</v>
      </c>
      <c r="C14" t="s">
        <v>53</v>
      </c>
      <c r="D14" t="s">
        <v>33</v>
      </c>
      <c r="F14">
        <v>99437</v>
      </c>
      <c r="G14">
        <v>2</v>
      </c>
      <c r="H14">
        <v>17</v>
      </c>
      <c r="J14">
        <f t="shared" si="0"/>
        <v>11137017</v>
      </c>
      <c r="L14">
        <f t="shared" si="1"/>
        <v>4971.8825892857139</v>
      </c>
    </row>
    <row r="15" spans="1:15" x14ac:dyDescent="0.25">
      <c r="A15">
        <v>1731</v>
      </c>
      <c r="B15" t="s">
        <v>95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1731</v>
      </c>
      <c r="B16" t="s">
        <v>60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1731</v>
      </c>
      <c r="B17" t="s">
        <v>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1731</v>
      </c>
      <c r="B18" t="s">
        <v>37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1731</v>
      </c>
      <c r="B19" t="s">
        <v>8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1731</v>
      </c>
      <c r="B20" t="s">
        <v>40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1731</v>
      </c>
      <c r="B21" t="s">
        <v>77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1731</v>
      </c>
      <c r="B22" t="s">
        <v>78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1731</v>
      </c>
      <c r="B23" t="s">
        <v>46</v>
      </c>
      <c r="C23" t="s">
        <v>53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1731</v>
      </c>
      <c r="B24" t="s">
        <v>9</v>
      </c>
      <c r="C24" t="s">
        <v>53</v>
      </c>
      <c r="D24" t="s">
        <v>33</v>
      </c>
      <c r="H24">
        <f>256.5*200</f>
        <v>51300</v>
      </c>
      <c r="I24" t="s">
        <v>111</v>
      </c>
      <c r="J24">
        <f t="shared" si="0"/>
        <v>51300</v>
      </c>
      <c r="L24">
        <f t="shared" si="1"/>
        <v>22.901785714285715</v>
      </c>
    </row>
    <row r="25" spans="1:12" x14ac:dyDescent="0.25">
      <c r="A25">
        <v>1731</v>
      </c>
      <c r="B25" t="s">
        <v>10</v>
      </c>
      <c r="C25" t="s">
        <v>53</v>
      </c>
      <c r="D25" t="s">
        <v>33</v>
      </c>
      <c r="F25">
        <v>87</v>
      </c>
      <c r="H25">
        <v>5</v>
      </c>
      <c r="J25">
        <f t="shared" si="0"/>
        <v>9749</v>
      </c>
      <c r="L25">
        <f t="shared" si="1"/>
        <v>4.3522321428571429</v>
      </c>
    </row>
    <row r="26" spans="1:12" x14ac:dyDescent="0.25">
      <c r="A26">
        <v>1731</v>
      </c>
      <c r="B26" t="s">
        <v>11</v>
      </c>
      <c r="C26" t="s">
        <v>53</v>
      </c>
      <c r="D26" t="s">
        <v>33</v>
      </c>
      <c r="F26">
        <v>417</v>
      </c>
      <c r="H26">
        <v>11</v>
      </c>
      <c r="J26">
        <f t="shared" si="0"/>
        <v>46715</v>
      </c>
      <c r="L26">
        <f t="shared" si="1"/>
        <v>20.854910714285715</v>
      </c>
    </row>
    <row r="27" spans="1:12" x14ac:dyDescent="0.25">
      <c r="A27">
        <v>1731</v>
      </c>
      <c r="B27" t="s">
        <v>39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1731</v>
      </c>
      <c r="B28" t="s">
        <v>79</v>
      </c>
      <c r="C28" t="s">
        <v>53</v>
      </c>
      <c r="D28" t="s">
        <v>33</v>
      </c>
      <c r="H28">
        <v>4116</v>
      </c>
      <c r="J28">
        <f t="shared" si="0"/>
        <v>4116</v>
      </c>
      <c r="L28">
        <f t="shared" si="1"/>
        <v>1.8374999999999999</v>
      </c>
    </row>
    <row r="29" spans="1:12" x14ac:dyDescent="0.25">
      <c r="A29">
        <v>1731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1731</v>
      </c>
      <c r="B30" t="s">
        <v>101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1731</v>
      </c>
      <c r="B31" t="s">
        <v>44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1731</v>
      </c>
      <c r="B32" t="s">
        <v>96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1731</v>
      </c>
      <c r="B33" t="s">
        <v>12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1731</v>
      </c>
      <c r="B34" t="s">
        <v>82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1731</v>
      </c>
      <c r="B35" t="s">
        <v>34</v>
      </c>
      <c r="C35" t="s">
        <v>53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1731</v>
      </c>
      <c r="B36" t="s">
        <v>13</v>
      </c>
      <c r="C36" t="s">
        <v>53</v>
      </c>
      <c r="D36" t="s">
        <v>33</v>
      </c>
      <c r="E36">
        <v>6</v>
      </c>
      <c r="J36">
        <f t="shared" si="0"/>
        <v>13440</v>
      </c>
      <c r="L36">
        <f t="shared" si="1"/>
        <v>6</v>
      </c>
    </row>
    <row r="37" spans="1:12" x14ac:dyDescent="0.25">
      <c r="A37">
        <v>1731</v>
      </c>
      <c r="B37" t="s">
        <v>14</v>
      </c>
      <c r="C37" t="s">
        <v>53</v>
      </c>
      <c r="D37" t="s">
        <v>33</v>
      </c>
      <c r="H37">
        <v>290</v>
      </c>
      <c r="I37" t="s">
        <v>107</v>
      </c>
      <c r="J37">
        <f t="shared" si="0"/>
        <v>290</v>
      </c>
      <c r="L37">
        <f t="shared" si="1"/>
        <v>0.12946428571428573</v>
      </c>
    </row>
    <row r="38" spans="1:12" x14ac:dyDescent="0.25">
      <c r="A38">
        <v>1731</v>
      </c>
      <c r="B38" t="s">
        <v>23</v>
      </c>
      <c r="C38" t="s">
        <v>53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1731</v>
      </c>
      <c r="B39" t="s">
        <v>27</v>
      </c>
      <c r="C39" t="s">
        <v>53</v>
      </c>
      <c r="D39" t="s">
        <v>33</v>
      </c>
      <c r="H39">
        <v>169403.5</v>
      </c>
      <c r="I39" t="s">
        <v>110</v>
      </c>
      <c r="J39">
        <f t="shared" si="0"/>
        <v>169403.5</v>
      </c>
      <c r="L39">
        <f t="shared" si="1"/>
        <v>75.626562500000006</v>
      </c>
    </row>
    <row r="40" spans="1:12" x14ac:dyDescent="0.25">
      <c r="A40">
        <v>1731</v>
      </c>
      <c r="B40" t="s">
        <v>15</v>
      </c>
      <c r="C40" t="s">
        <v>53</v>
      </c>
      <c r="D40" t="s">
        <v>33</v>
      </c>
      <c r="F40">
        <v>21</v>
      </c>
      <c r="G40">
        <v>1</v>
      </c>
      <c r="H40">
        <v>6</v>
      </c>
      <c r="J40">
        <f t="shared" si="0"/>
        <v>2386</v>
      </c>
      <c r="L40">
        <f t="shared" si="1"/>
        <v>1.0651785714285715</v>
      </c>
    </row>
    <row r="41" spans="1:12" x14ac:dyDescent="0.25">
      <c r="A41">
        <v>1731</v>
      </c>
      <c r="B41" t="s">
        <v>42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1731</v>
      </c>
      <c r="B42" t="s">
        <v>83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1731</v>
      </c>
      <c r="B43" t="s">
        <v>47</v>
      </c>
      <c r="C43" t="s">
        <v>53</v>
      </c>
      <c r="D43" t="s">
        <v>33</v>
      </c>
      <c r="H43">
        <v>90</v>
      </c>
      <c r="I43" t="s">
        <v>108</v>
      </c>
      <c r="J43">
        <f t="shared" si="0"/>
        <v>90</v>
      </c>
      <c r="L43">
        <f t="shared" si="1"/>
        <v>4.0178571428571432E-2</v>
      </c>
    </row>
    <row r="44" spans="1:12" x14ac:dyDescent="0.25">
      <c r="A44">
        <v>1731</v>
      </c>
      <c r="B44" t="s">
        <v>16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1731</v>
      </c>
      <c r="B45" t="s">
        <v>17</v>
      </c>
      <c r="C45" t="s">
        <v>53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1731</v>
      </c>
      <c r="B46" t="s">
        <v>18</v>
      </c>
      <c r="C46" t="s">
        <v>53</v>
      </c>
      <c r="D46" t="s">
        <v>33</v>
      </c>
      <c r="H46">
        <v>643940.5</v>
      </c>
      <c r="I46" t="s">
        <v>109</v>
      </c>
      <c r="J46">
        <f t="shared" si="0"/>
        <v>643940.5</v>
      </c>
      <c r="L46">
        <f t="shared" si="1"/>
        <v>287.47343749999999</v>
      </c>
    </row>
    <row r="47" spans="1:12" x14ac:dyDescent="0.25">
      <c r="A47">
        <v>1731</v>
      </c>
      <c r="B47" t="s">
        <v>26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1731</v>
      </c>
      <c r="B48" t="s">
        <v>84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1731</v>
      </c>
      <c r="B49" t="s">
        <v>19</v>
      </c>
      <c r="C49" t="s">
        <v>53</v>
      </c>
      <c r="D49" t="s">
        <v>33</v>
      </c>
      <c r="F49">
        <v>14</v>
      </c>
      <c r="J49">
        <f t="shared" si="0"/>
        <v>1568</v>
      </c>
      <c r="L49">
        <f t="shared" si="1"/>
        <v>0.7</v>
      </c>
    </row>
    <row r="50" spans="1:12" x14ac:dyDescent="0.25">
      <c r="A50">
        <v>1731</v>
      </c>
      <c r="B50" t="s">
        <v>45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1731</v>
      </c>
      <c r="B51" t="s">
        <v>85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1731</v>
      </c>
      <c r="B52" t="s">
        <v>54</v>
      </c>
      <c r="C52" t="s">
        <v>53</v>
      </c>
      <c r="D52" t="s">
        <v>33</v>
      </c>
      <c r="H52">
        <v>674</v>
      </c>
      <c r="J52">
        <f t="shared" si="0"/>
        <v>674</v>
      </c>
      <c r="L52">
        <f t="shared" si="1"/>
        <v>0.30089285714285713</v>
      </c>
    </row>
    <row r="53" spans="1:12" x14ac:dyDescent="0.25">
      <c r="A53">
        <v>1731</v>
      </c>
      <c r="B53" t="s">
        <v>94</v>
      </c>
      <c r="C53" t="s">
        <v>53</v>
      </c>
      <c r="D53" t="s">
        <v>33</v>
      </c>
      <c r="H53">
        <v>27</v>
      </c>
      <c r="J53">
        <f t="shared" si="0"/>
        <v>27</v>
      </c>
      <c r="L53">
        <f t="shared" si="1"/>
        <v>1.2053571428571429E-2</v>
      </c>
    </row>
    <row r="54" spans="1:12" x14ac:dyDescent="0.25">
      <c r="A54">
        <v>1731</v>
      </c>
      <c r="B54" t="s">
        <v>20</v>
      </c>
      <c r="C54" t="s">
        <v>53</v>
      </c>
      <c r="D54" t="s">
        <v>33</v>
      </c>
      <c r="H54">
        <v>237616</v>
      </c>
      <c r="J54">
        <f t="shared" si="0"/>
        <v>237616</v>
      </c>
      <c r="L54">
        <f t="shared" si="1"/>
        <v>106.07857142857142</v>
      </c>
    </row>
    <row r="55" spans="1:12" x14ac:dyDescent="0.25">
      <c r="A55">
        <v>1731</v>
      </c>
      <c r="B55" t="s">
        <v>21</v>
      </c>
      <c r="C55" t="s">
        <v>53</v>
      </c>
      <c r="D55" t="s">
        <v>33</v>
      </c>
      <c r="H55">
        <v>29</v>
      </c>
      <c r="J55">
        <f t="shared" si="0"/>
        <v>29</v>
      </c>
      <c r="L55">
        <f t="shared" si="1"/>
        <v>1.2946428571428572E-2</v>
      </c>
    </row>
    <row r="56" spans="1:12" x14ac:dyDescent="0.25">
      <c r="A56">
        <v>1731</v>
      </c>
      <c r="B56" t="s">
        <v>22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1731</v>
      </c>
      <c r="B57" t="s">
        <v>61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1731</v>
      </c>
      <c r="B58" t="s">
        <v>98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1731</v>
      </c>
      <c r="B59" t="s">
        <v>87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1731</v>
      </c>
      <c r="B60" t="s">
        <v>62</v>
      </c>
      <c r="C60" t="s">
        <v>53</v>
      </c>
      <c r="D60" t="s">
        <v>33</v>
      </c>
      <c r="E60">
        <v>40</v>
      </c>
      <c r="F60">
        <v>3</v>
      </c>
      <c r="G60">
        <v>1</v>
      </c>
      <c r="H60">
        <v>26</v>
      </c>
      <c r="J60">
        <f t="shared" si="0"/>
        <v>89990</v>
      </c>
      <c r="L60">
        <f t="shared" si="1"/>
        <v>40.174107142857146</v>
      </c>
    </row>
    <row r="61" spans="1:12" x14ac:dyDescent="0.25">
      <c r="A61">
        <v>1731</v>
      </c>
      <c r="B61" t="s">
        <v>88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1731</v>
      </c>
      <c r="B62" t="s">
        <v>63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1731</v>
      </c>
      <c r="B63" t="s">
        <v>89</v>
      </c>
      <c r="C63" t="s">
        <v>53</v>
      </c>
      <c r="D63" t="s">
        <v>33</v>
      </c>
      <c r="E63">
        <v>1</v>
      </c>
      <c r="J63">
        <f t="shared" si="0"/>
        <v>2240</v>
      </c>
      <c r="L63">
        <f t="shared" si="1"/>
        <v>1</v>
      </c>
    </row>
    <row r="64" spans="1:12" x14ac:dyDescent="0.25">
      <c r="A64">
        <v>1731</v>
      </c>
      <c r="B64" t="s">
        <v>70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1731</v>
      </c>
      <c r="B65" t="s">
        <v>64</v>
      </c>
      <c r="C65" t="s">
        <v>53</v>
      </c>
      <c r="D65" t="s">
        <v>33</v>
      </c>
      <c r="E65">
        <v>3</v>
      </c>
      <c r="F65">
        <v>2</v>
      </c>
      <c r="G65">
        <v>3</v>
      </c>
      <c r="J65">
        <f t="shared" si="0"/>
        <v>7028</v>
      </c>
      <c r="L65">
        <f t="shared" si="1"/>
        <v>3.1375000000000002</v>
      </c>
    </row>
    <row r="66" spans="1:12" x14ac:dyDescent="0.25">
      <c r="A66">
        <v>1731</v>
      </c>
      <c r="B66" t="s">
        <v>65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1731</v>
      </c>
      <c r="B67" t="s">
        <v>55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1731</v>
      </c>
      <c r="B68" t="s">
        <v>57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1731</v>
      </c>
      <c r="B69" t="s">
        <v>36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1731</v>
      </c>
      <c r="B70" t="s">
        <v>4</v>
      </c>
      <c r="C70" t="s">
        <v>53</v>
      </c>
      <c r="D70" t="s">
        <v>35</v>
      </c>
      <c r="J70">
        <f t="shared" ref="J70:J130" si="2">(E70*2240)+(F70*112)+(G70*28)+H70</f>
        <v>0</v>
      </c>
      <c r="L70">
        <f t="shared" ref="L70:L130" si="3">J70/2240</f>
        <v>0</v>
      </c>
    </row>
    <row r="71" spans="1:12" x14ac:dyDescent="0.25">
      <c r="A71">
        <v>1731</v>
      </c>
      <c r="B71" t="s">
        <v>58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1731</v>
      </c>
      <c r="B72" t="s">
        <v>69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1731</v>
      </c>
      <c r="B73" t="s">
        <v>43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1731</v>
      </c>
      <c r="B74" t="s">
        <v>76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1731</v>
      </c>
      <c r="B75" t="s">
        <v>5</v>
      </c>
      <c r="C75" t="s">
        <v>53</v>
      </c>
      <c r="D75" t="s">
        <v>35</v>
      </c>
      <c r="F75">
        <v>5</v>
      </c>
      <c r="J75">
        <f t="shared" si="2"/>
        <v>560</v>
      </c>
      <c r="L75">
        <f t="shared" si="3"/>
        <v>0.25</v>
      </c>
    </row>
    <row r="76" spans="1:12" x14ac:dyDescent="0.25">
      <c r="A76">
        <v>1731</v>
      </c>
      <c r="B76" t="s">
        <v>59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1731</v>
      </c>
      <c r="B77" t="s">
        <v>6</v>
      </c>
      <c r="C77" t="s">
        <v>53</v>
      </c>
      <c r="D77" t="s">
        <v>35</v>
      </c>
      <c r="F77">
        <v>24984</v>
      </c>
      <c r="H77">
        <v>16</v>
      </c>
      <c r="J77">
        <f t="shared" si="2"/>
        <v>2798224</v>
      </c>
      <c r="L77">
        <f t="shared" si="3"/>
        <v>1249.2071428571428</v>
      </c>
    </row>
    <row r="78" spans="1:12" x14ac:dyDescent="0.25">
      <c r="A78">
        <v>1731</v>
      </c>
      <c r="B78" t="s">
        <v>60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1731</v>
      </c>
      <c r="B79" t="s">
        <v>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1731</v>
      </c>
      <c r="B80" t="s">
        <v>37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1731</v>
      </c>
      <c r="B81" t="s">
        <v>8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1731</v>
      </c>
      <c r="B82" t="s">
        <v>40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1731</v>
      </c>
      <c r="B83" t="s">
        <v>77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1731</v>
      </c>
      <c r="B84" t="s">
        <v>78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1731</v>
      </c>
      <c r="B85" t="s">
        <v>46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1731</v>
      </c>
      <c r="B86" t="s">
        <v>9</v>
      </c>
      <c r="C86" t="s">
        <v>53</v>
      </c>
      <c r="D86" t="s">
        <v>35</v>
      </c>
      <c r="H86">
        <f>1254*200+144</f>
        <v>250944</v>
      </c>
      <c r="I86" t="s">
        <v>145</v>
      </c>
      <c r="J86">
        <f t="shared" si="2"/>
        <v>250944</v>
      </c>
      <c r="L86">
        <f t="shared" si="3"/>
        <v>112.02857142857142</v>
      </c>
    </row>
    <row r="87" spans="1:12" x14ac:dyDescent="0.25">
      <c r="A87">
        <v>1731</v>
      </c>
      <c r="B87" t="s">
        <v>10</v>
      </c>
      <c r="C87" t="s">
        <v>53</v>
      </c>
      <c r="D87" t="s">
        <v>35</v>
      </c>
      <c r="F87">
        <v>299</v>
      </c>
      <c r="G87">
        <v>2</v>
      </c>
      <c r="H87">
        <v>2</v>
      </c>
      <c r="J87">
        <f t="shared" si="2"/>
        <v>33546</v>
      </c>
      <c r="L87">
        <f t="shared" si="3"/>
        <v>14.975892857142858</v>
      </c>
    </row>
    <row r="88" spans="1:12" x14ac:dyDescent="0.25">
      <c r="A88">
        <v>1731</v>
      </c>
      <c r="B88" t="s">
        <v>11</v>
      </c>
      <c r="C88" t="s">
        <v>53</v>
      </c>
      <c r="D88" t="s">
        <v>35</v>
      </c>
      <c r="F88">
        <v>23</v>
      </c>
      <c r="G88">
        <v>2</v>
      </c>
      <c r="H88">
        <v>25</v>
      </c>
      <c r="J88">
        <f t="shared" si="2"/>
        <v>2657</v>
      </c>
      <c r="L88">
        <f t="shared" si="3"/>
        <v>1.1861607142857142</v>
      </c>
    </row>
    <row r="89" spans="1:12" x14ac:dyDescent="0.25">
      <c r="A89">
        <v>1731</v>
      </c>
      <c r="B89" t="s">
        <v>39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1731</v>
      </c>
      <c r="B90" t="s">
        <v>79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1731</v>
      </c>
      <c r="B91" t="s">
        <v>102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1731</v>
      </c>
      <c r="B92" t="s">
        <v>44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1731</v>
      </c>
      <c r="B93" t="s">
        <v>96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1731</v>
      </c>
      <c r="B94" t="s">
        <v>12</v>
      </c>
      <c r="C94" t="s">
        <v>53</v>
      </c>
      <c r="D94" t="s">
        <v>35</v>
      </c>
      <c r="H94">
        <v>2502</v>
      </c>
      <c r="J94">
        <f t="shared" si="2"/>
        <v>2502</v>
      </c>
      <c r="L94">
        <f t="shared" si="3"/>
        <v>1.1169642857142856</v>
      </c>
    </row>
    <row r="95" spans="1:12" x14ac:dyDescent="0.25">
      <c r="A95">
        <v>1731</v>
      </c>
      <c r="B95" t="s">
        <v>82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1731</v>
      </c>
      <c r="B96" t="s">
        <v>34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1731</v>
      </c>
      <c r="B97" t="s">
        <v>13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1731</v>
      </c>
      <c r="B98" t="s">
        <v>14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1731</v>
      </c>
      <c r="B99" t="s">
        <v>23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1731</v>
      </c>
      <c r="B100" t="s">
        <v>27</v>
      </c>
      <c r="C100" t="s">
        <v>53</v>
      </c>
      <c r="D100" t="s">
        <v>35</v>
      </c>
      <c r="H100">
        <v>5341.5</v>
      </c>
      <c r="I100" t="s">
        <v>144</v>
      </c>
      <c r="J100">
        <f t="shared" si="2"/>
        <v>5341.5</v>
      </c>
      <c r="L100">
        <f t="shared" si="3"/>
        <v>2.3845982142857145</v>
      </c>
    </row>
    <row r="101" spans="1:12" x14ac:dyDescent="0.25">
      <c r="A101">
        <v>1731</v>
      </c>
      <c r="B101" t="s">
        <v>15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1731</v>
      </c>
      <c r="B102" t="s">
        <v>92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1731</v>
      </c>
      <c r="B103" t="s">
        <v>42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1731</v>
      </c>
      <c r="B104" t="s">
        <v>83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1731</v>
      </c>
      <c r="B105" t="s">
        <v>47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1731</v>
      </c>
      <c r="B106" t="s">
        <v>16</v>
      </c>
      <c r="C106" t="s">
        <v>53</v>
      </c>
      <c r="D106" t="s">
        <v>35</v>
      </c>
      <c r="H106">
        <v>15027</v>
      </c>
      <c r="J106">
        <f t="shared" si="2"/>
        <v>15027</v>
      </c>
      <c r="L106">
        <f t="shared" si="3"/>
        <v>6.7084821428571431</v>
      </c>
    </row>
    <row r="107" spans="1:12" x14ac:dyDescent="0.25">
      <c r="A107">
        <v>1731</v>
      </c>
      <c r="B107" t="s">
        <v>17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1731</v>
      </c>
      <c r="B108" t="s">
        <v>18</v>
      </c>
      <c r="C108" t="s">
        <v>53</v>
      </c>
      <c r="D108" t="s">
        <v>35</v>
      </c>
      <c r="H108">
        <v>31548</v>
      </c>
      <c r="I108" t="s">
        <v>143</v>
      </c>
      <c r="J108">
        <f t="shared" si="2"/>
        <v>31548</v>
      </c>
      <c r="L108">
        <f t="shared" si="3"/>
        <v>14.083928571428572</v>
      </c>
    </row>
    <row r="109" spans="1:12" x14ac:dyDescent="0.25">
      <c r="A109">
        <v>1731</v>
      </c>
      <c r="B109" t="s">
        <v>26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1731</v>
      </c>
      <c r="B110" t="s">
        <v>84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1731</v>
      </c>
      <c r="B111" t="s">
        <v>19</v>
      </c>
      <c r="C111" t="s">
        <v>53</v>
      </c>
      <c r="D111" t="s">
        <v>35</v>
      </c>
      <c r="F111">
        <v>3</v>
      </c>
      <c r="G111">
        <v>3</v>
      </c>
      <c r="H111">
        <v>7</v>
      </c>
      <c r="J111">
        <f t="shared" si="2"/>
        <v>427</v>
      </c>
      <c r="L111">
        <f t="shared" si="3"/>
        <v>0.19062499999999999</v>
      </c>
    </row>
    <row r="112" spans="1:12" x14ac:dyDescent="0.25">
      <c r="A112">
        <v>1731</v>
      </c>
      <c r="B112" t="s">
        <v>45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1731</v>
      </c>
      <c r="B113" t="s">
        <v>85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1731</v>
      </c>
      <c r="B114" t="s">
        <v>54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1731</v>
      </c>
      <c r="B115" t="s">
        <v>94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1731</v>
      </c>
      <c r="B116" t="s">
        <v>20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1731</v>
      </c>
      <c r="B117" t="s">
        <v>21</v>
      </c>
      <c r="C117" t="s">
        <v>53</v>
      </c>
      <c r="D117" t="s">
        <v>35</v>
      </c>
      <c r="H117">
        <v>150</v>
      </c>
      <c r="J117">
        <f t="shared" si="2"/>
        <v>150</v>
      </c>
      <c r="L117">
        <f t="shared" si="3"/>
        <v>6.6964285714285712E-2</v>
      </c>
    </row>
    <row r="118" spans="1:12" x14ac:dyDescent="0.25">
      <c r="A118">
        <v>1731</v>
      </c>
      <c r="B118" t="s">
        <v>104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1731</v>
      </c>
      <c r="B119" t="s">
        <v>22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1731</v>
      </c>
      <c r="B120" t="s">
        <v>61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1731</v>
      </c>
      <c r="B121" t="s">
        <v>91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1731</v>
      </c>
      <c r="B122" t="s">
        <v>97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1731</v>
      </c>
      <c r="B123" t="s">
        <v>87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1731</v>
      </c>
      <c r="B124" t="s">
        <v>62</v>
      </c>
      <c r="C124" t="s">
        <v>53</v>
      </c>
      <c r="D124" t="s">
        <v>35</v>
      </c>
      <c r="E124">
        <v>68</v>
      </c>
      <c r="F124">
        <v>6</v>
      </c>
      <c r="G124">
        <v>3</v>
      </c>
      <c r="H124">
        <v>26</v>
      </c>
      <c r="J124">
        <f t="shared" si="2"/>
        <v>153102</v>
      </c>
      <c r="L124">
        <f t="shared" si="3"/>
        <v>68.349107142857136</v>
      </c>
    </row>
    <row r="125" spans="1:12" x14ac:dyDescent="0.25">
      <c r="A125">
        <v>1731</v>
      </c>
      <c r="B125" t="s">
        <v>88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1731</v>
      </c>
      <c r="B126" t="s">
        <v>63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1731</v>
      </c>
      <c r="B127" t="s">
        <v>89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1731</v>
      </c>
      <c r="B128" t="s">
        <v>70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1731</v>
      </c>
      <c r="B129" t="s">
        <v>64</v>
      </c>
      <c r="C129" t="s">
        <v>53</v>
      </c>
      <c r="D129" t="s">
        <v>35</v>
      </c>
      <c r="E129">
        <v>2</v>
      </c>
      <c r="J129">
        <f t="shared" si="2"/>
        <v>4480</v>
      </c>
      <c r="L129">
        <f t="shared" si="3"/>
        <v>2</v>
      </c>
    </row>
    <row r="130" spans="1:12" x14ac:dyDescent="0.25">
      <c r="A130">
        <v>1731</v>
      </c>
      <c r="B130" t="s">
        <v>65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4"/>
  <sheetViews>
    <sheetView topLeftCell="A91" workbookViewId="0">
      <selection activeCell="H89" sqref="H8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1731</v>
      </c>
      <c r="B2" t="s">
        <v>55</v>
      </c>
      <c r="C2" t="s">
        <v>56</v>
      </c>
      <c r="D2" t="s">
        <v>33</v>
      </c>
      <c r="F2">
        <v>15</v>
      </c>
      <c r="J2">
        <f t="shared" ref="J2:J70" si="0">(E2*2240)+(F2*112)+(G2*28)+H2</f>
        <v>1680</v>
      </c>
      <c r="L2">
        <f t="shared" ref="L2:L70" si="1">J2/2240</f>
        <v>0.75</v>
      </c>
    </row>
    <row r="3" spans="1:12" x14ac:dyDescent="0.25">
      <c r="A3">
        <v>1731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1731</v>
      </c>
      <c r="B4" t="s">
        <v>36</v>
      </c>
      <c r="C4" t="s">
        <v>56</v>
      </c>
      <c r="D4" t="s">
        <v>33</v>
      </c>
      <c r="H4">
        <v>10452</v>
      </c>
      <c r="J4">
        <f t="shared" si="0"/>
        <v>10452</v>
      </c>
      <c r="L4">
        <f t="shared" si="1"/>
        <v>4.6660714285714286</v>
      </c>
    </row>
    <row r="5" spans="1:12" x14ac:dyDescent="0.25">
      <c r="A5">
        <v>1731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1731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1731</v>
      </c>
      <c r="B7" t="s">
        <v>112</v>
      </c>
      <c r="C7" t="s">
        <v>56</v>
      </c>
      <c r="D7" t="s">
        <v>33</v>
      </c>
      <c r="F7">
        <v>2</v>
      </c>
      <c r="J7">
        <f t="shared" si="0"/>
        <v>224</v>
      </c>
      <c r="L7">
        <f t="shared" si="1"/>
        <v>0.1</v>
      </c>
    </row>
    <row r="8" spans="1:12" x14ac:dyDescent="0.25">
      <c r="A8">
        <v>1731</v>
      </c>
      <c r="B8" t="s">
        <v>113</v>
      </c>
      <c r="C8" t="s">
        <v>56</v>
      </c>
      <c r="D8" t="s">
        <v>33</v>
      </c>
      <c r="H8">
        <v>867</v>
      </c>
      <c r="J8">
        <f t="shared" si="0"/>
        <v>867</v>
      </c>
      <c r="L8">
        <f t="shared" si="1"/>
        <v>0.38705357142857144</v>
      </c>
    </row>
    <row r="9" spans="1:12" x14ac:dyDescent="0.25">
      <c r="A9">
        <v>1731</v>
      </c>
      <c r="B9" t="s">
        <v>106</v>
      </c>
      <c r="C9" t="s">
        <v>56</v>
      </c>
      <c r="D9" t="s">
        <v>33</v>
      </c>
      <c r="H9">
        <v>2571</v>
      </c>
      <c r="J9">
        <f t="shared" si="0"/>
        <v>2571</v>
      </c>
      <c r="L9">
        <f t="shared" si="1"/>
        <v>1.1477678571428571</v>
      </c>
    </row>
    <row r="10" spans="1:12" x14ac:dyDescent="0.25">
      <c r="A10">
        <v>1731</v>
      </c>
      <c r="B10" t="s">
        <v>43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1731</v>
      </c>
      <c r="B11" t="s">
        <v>5</v>
      </c>
      <c r="C11" t="s">
        <v>56</v>
      </c>
      <c r="D11" t="s">
        <v>33</v>
      </c>
      <c r="F11">
        <v>60</v>
      </c>
      <c r="J11">
        <f t="shared" si="0"/>
        <v>6720</v>
      </c>
      <c r="L11">
        <f t="shared" si="1"/>
        <v>3</v>
      </c>
    </row>
    <row r="12" spans="1:12" x14ac:dyDescent="0.25">
      <c r="A12">
        <v>1731</v>
      </c>
      <c r="B12" t="s">
        <v>59</v>
      </c>
      <c r="C12" t="s">
        <v>56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1731</v>
      </c>
      <c r="B13" t="s">
        <v>6</v>
      </c>
      <c r="C13" t="s">
        <v>56</v>
      </c>
      <c r="D13" t="s">
        <v>33</v>
      </c>
      <c r="F13">
        <v>111526</v>
      </c>
      <c r="G13">
        <v>1</v>
      </c>
      <c r="H13">
        <v>21</v>
      </c>
      <c r="J13">
        <f t="shared" si="0"/>
        <v>12490961</v>
      </c>
      <c r="L13">
        <f t="shared" si="1"/>
        <v>5576.3218749999996</v>
      </c>
    </row>
    <row r="14" spans="1:12" x14ac:dyDescent="0.25">
      <c r="A14">
        <v>1731</v>
      </c>
      <c r="B14" t="s">
        <v>60</v>
      </c>
      <c r="C14" t="s">
        <v>56</v>
      </c>
      <c r="D14" t="s">
        <v>33</v>
      </c>
      <c r="H14">
        <v>5268</v>
      </c>
      <c r="J14">
        <f t="shared" si="0"/>
        <v>5268</v>
      </c>
      <c r="L14">
        <f t="shared" si="1"/>
        <v>2.3517857142857141</v>
      </c>
    </row>
    <row r="15" spans="1:12" x14ac:dyDescent="0.25">
      <c r="A15">
        <v>1731</v>
      </c>
      <c r="B15" t="s">
        <v>7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1731</v>
      </c>
      <c r="B16" t="s">
        <v>37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1731</v>
      </c>
      <c r="B17" t="s">
        <v>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1731</v>
      </c>
      <c r="B18" t="s">
        <v>40</v>
      </c>
      <c r="C18" t="s">
        <v>56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1731</v>
      </c>
      <c r="B19" t="s">
        <v>78</v>
      </c>
      <c r="C19" t="s">
        <v>56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1731</v>
      </c>
      <c r="B20" t="s">
        <v>9</v>
      </c>
      <c r="C20" t="s">
        <v>56</v>
      </c>
      <c r="D20" t="s">
        <v>33</v>
      </c>
      <c r="H20">
        <f>184*200</f>
        <v>36800</v>
      </c>
      <c r="I20" t="s">
        <v>119</v>
      </c>
      <c r="J20">
        <f t="shared" si="0"/>
        <v>36800</v>
      </c>
      <c r="L20">
        <f t="shared" si="1"/>
        <v>16.428571428571427</v>
      </c>
    </row>
    <row r="21" spans="1:12" x14ac:dyDescent="0.25">
      <c r="A21">
        <v>1731</v>
      </c>
      <c r="B21" t="s">
        <v>10</v>
      </c>
      <c r="C21" t="s">
        <v>56</v>
      </c>
      <c r="D21" t="s">
        <v>33</v>
      </c>
      <c r="F21">
        <v>2019</v>
      </c>
      <c r="H21">
        <v>15</v>
      </c>
      <c r="J21">
        <f t="shared" si="0"/>
        <v>226143</v>
      </c>
      <c r="L21">
        <f t="shared" si="1"/>
        <v>100.95669642857143</v>
      </c>
    </row>
    <row r="22" spans="1:12" x14ac:dyDescent="0.25">
      <c r="A22">
        <v>1731</v>
      </c>
      <c r="B22" t="s">
        <v>11</v>
      </c>
      <c r="C22" t="s">
        <v>56</v>
      </c>
      <c r="D22" t="s">
        <v>33</v>
      </c>
      <c r="F22">
        <v>20</v>
      </c>
      <c r="J22">
        <f t="shared" si="0"/>
        <v>2240</v>
      </c>
      <c r="L22">
        <f t="shared" si="1"/>
        <v>1</v>
      </c>
    </row>
    <row r="23" spans="1:12" x14ac:dyDescent="0.25">
      <c r="A23">
        <v>1731</v>
      </c>
      <c r="B23" t="s">
        <v>39</v>
      </c>
      <c r="C23" t="s">
        <v>56</v>
      </c>
      <c r="D23" t="s">
        <v>33</v>
      </c>
      <c r="H23">
        <v>413</v>
      </c>
      <c r="J23">
        <f t="shared" si="0"/>
        <v>413</v>
      </c>
      <c r="L23">
        <f t="shared" si="1"/>
        <v>0.18437500000000001</v>
      </c>
    </row>
    <row r="24" spans="1:12" x14ac:dyDescent="0.25">
      <c r="A24">
        <v>1731</v>
      </c>
      <c r="B24" t="s">
        <v>79</v>
      </c>
      <c r="C24" t="s">
        <v>56</v>
      </c>
      <c r="D24" t="s">
        <v>33</v>
      </c>
      <c r="F24">
        <v>2</v>
      </c>
      <c r="G24">
        <v>3</v>
      </c>
      <c r="H24">
        <v>14</v>
      </c>
      <c r="J24">
        <f t="shared" si="0"/>
        <v>322</v>
      </c>
      <c r="L24">
        <f t="shared" si="1"/>
        <v>0.14374999999999999</v>
      </c>
    </row>
    <row r="25" spans="1:12" x14ac:dyDescent="0.25">
      <c r="A25">
        <v>1731</v>
      </c>
      <c r="B25" t="s">
        <v>114</v>
      </c>
      <c r="C25" t="s">
        <v>56</v>
      </c>
      <c r="D25" t="s">
        <v>33</v>
      </c>
      <c r="F25">
        <v>100</v>
      </c>
      <c r="J25">
        <f t="shared" si="0"/>
        <v>11200</v>
      </c>
      <c r="L25">
        <f t="shared" si="1"/>
        <v>5</v>
      </c>
    </row>
    <row r="26" spans="1:12" x14ac:dyDescent="0.25">
      <c r="A26">
        <v>1731</v>
      </c>
      <c r="B26" t="s">
        <v>44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1731</v>
      </c>
      <c r="B27" t="s">
        <v>12</v>
      </c>
      <c r="C27" t="s">
        <v>56</v>
      </c>
      <c r="D27" t="s">
        <v>33</v>
      </c>
      <c r="H27">
        <v>56</v>
      </c>
      <c r="J27">
        <f t="shared" si="0"/>
        <v>56</v>
      </c>
      <c r="L27">
        <f t="shared" si="1"/>
        <v>2.5000000000000001E-2</v>
      </c>
    </row>
    <row r="28" spans="1:12" x14ac:dyDescent="0.25">
      <c r="A28">
        <v>1731</v>
      </c>
      <c r="B28" t="s">
        <v>34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1731</v>
      </c>
      <c r="B29" t="s">
        <v>13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1731</v>
      </c>
      <c r="B30" t="s">
        <v>14</v>
      </c>
      <c r="C30" t="s">
        <v>56</v>
      </c>
      <c r="D30" t="s">
        <v>33</v>
      </c>
      <c r="H30">
        <v>18294.5</v>
      </c>
      <c r="I30" t="s">
        <v>115</v>
      </c>
      <c r="J30">
        <f t="shared" si="0"/>
        <v>18294.5</v>
      </c>
      <c r="L30">
        <f t="shared" si="1"/>
        <v>8.1671875000000007</v>
      </c>
    </row>
    <row r="31" spans="1:12" x14ac:dyDescent="0.25">
      <c r="A31">
        <v>1731</v>
      </c>
      <c r="B31" t="s">
        <v>23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1731</v>
      </c>
      <c r="B32" t="s">
        <v>27</v>
      </c>
      <c r="C32" t="s">
        <v>56</v>
      </c>
      <c r="D32" t="s">
        <v>33</v>
      </c>
      <c r="H32">
        <v>249124</v>
      </c>
      <c r="I32" t="s">
        <v>118</v>
      </c>
      <c r="J32">
        <f t="shared" si="0"/>
        <v>249124</v>
      </c>
      <c r="L32">
        <f t="shared" si="1"/>
        <v>111.21607142857142</v>
      </c>
    </row>
    <row r="33" spans="1:12" x14ac:dyDescent="0.25">
      <c r="A33">
        <v>1731</v>
      </c>
      <c r="B33" t="s">
        <v>15</v>
      </c>
      <c r="C33" t="s">
        <v>56</v>
      </c>
      <c r="D33" t="s">
        <v>33</v>
      </c>
      <c r="F33">
        <v>15</v>
      </c>
      <c r="J33">
        <f t="shared" si="0"/>
        <v>1680</v>
      </c>
      <c r="L33">
        <f t="shared" si="1"/>
        <v>0.75</v>
      </c>
    </row>
    <row r="34" spans="1:12" x14ac:dyDescent="0.25">
      <c r="A34">
        <v>1731</v>
      </c>
      <c r="B34" t="s">
        <v>42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1731</v>
      </c>
      <c r="B35" t="s">
        <v>47</v>
      </c>
      <c r="C35" t="s">
        <v>56</v>
      </c>
      <c r="D35" t="s">
        <v>33</v>
      </c>
      <c r="H35">
        <v>785</v>
      </c>
      <c r="I35" t="s">
        <v>116</v>
      </c>
      <c r="J35">
        <f t="shared" si="0"/>
        <v>785</v>
      </c>
      <c r="L35">
        <f t="shared" si="1"/>
        <v>0.35044642857142855</v>
      </c>
    </row>
    <row r="36" spans="1:12" x14ac:dyDescent="0.25">
      <c r="A36">
        <v>1731</v>
      </c>
      <c r="B36" t="s">
        <v>16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1731</v>
      </c>
      <c r="B37" t="s">
        <v>17</v>
      </c>
      <c r="C37" t="s">
        <v>56</v>
      </c>
      <c r="D37" t="s">
        <v>33</v>
      </c>
      <c r="F37">
        <v>282</v>
      </c>
      <c r="G37">
        <v>3</v>
      </c>
      <c r="H37">
        <v>7</v>
      </c>
      <c r="J37">
        <f t="shared" si="0"/>
        <v>31675</v>
      </c>
      <c r="L37">
        <f t="shared" si="1"/>
        <v>14.140625</v>
      </c>
    </row>
    <row r="38" spans="1:12" x14ac:dyDescent="0.25">
      <c r="A38">
        <v>1731</v>
      </c>
      <c r="B38" t="s">
        <v>18</v>
      </c>
      <c r="C38" t="s">
        <v>56</v>
      </c>
      <c r="D38" t="s">
        <v>33</v>
      </c>
      <c r="H38">
        <v>402713.5</v>
      </c>
      <c r="I38" t="s">
        <v>117</v>
      </c>
      <c r="J38">
        <f t="shared" si="0"/>
        <v>402713.5</v>
      </c>
      <c r="L38">
        <f t="shared" si="1"/>
        <v>179.78281250000001</v>
      </c>
    </row>
    <row r="39" spans="1:12" x14ac:dyDescent="0.25">
      <c r="A39">
        <v>1731</v>
      </c>
      <c r="B39" t="s">
        <v>26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1731</v>
      </c>
      <c r="B40" t="s">
        <v>19</v>
      </c>
      <c r="C40" t="s">
        <v>56</v>
      </c>
      <c r="D40" t="s">
        <v>33</v>
      </c>
      <c r="F40">
        <v>4</v>
      </c>
      <c r="J40">
        <f t="shared" si="0"/>
        <v>448</v>
      </c>
      <c r="L40">
        <f t="shared" si="1"/>
        <v>0.2</v>
      </c>
    </row>
    <row r="41" spans="1:12" x14ac:dyDescent="0.25">
      <c r="A41">
        <v>1731</v>
      </c>
      <c r="B41" t="s">
        <v>45</v>
      </c>
      <c r="C41" t="s">
        <v>56</v>
      </c>
      <c r="D41" t="s">
        <v>33</v>
      </c>
      <c r="H41">
        <v>9327</v>
      </c>
      <c r="J41">
        <f t="shared" si="0"/>
        <v>9327</v>
      </c>
      <c r="L41">
        <f t="shared" si="1"/>
        <v>4.1638392857142854</v>
      </c>
    </row>
    <row r="42" spans="1:12" x14ac:dyDescent="0.25">
      <c r="A42">
        <v>1731</v>
      </c>
      <c r="B42" t="s">
        <v>54</v>
      </c>
      <c r="C42" t="s">
        <v>56</v>
      </c>
      <c r="D42" t="s">
        <v>33</v>
      </c>
      <c r="H42">
        <v>4221</v>
      </c>
      <c r="J42">
        <f t="shared" si="0"/>
        <v>4221</v>
      </c>
      <c r="L42">
        <f t="shared" si="1"/>
        <v>1.8843749999999999</v>
      </c>
    </row>
    <row r="43" spans="1:12" x14ac:dyDescent="0.25">
      <c r="A43">
        <v>1731</v>
      </c>
      <c r="B43" t="s">
        <v>94</v>
      </c>
      <c r="C43" t="s">
        <v>56</v>
      </c>
      <c r="D43" t="s">
        <v>33</v>
      </c>
      <c r="H43">
        <v>441</v>
      </c>
      <c r="J43">
        <f t="shared" si="0"/>
        <v>441</v>
      </c>
      <c r="L43">
        <f t="shared" si="1"/>
        <v>0.19687499999999999</v>
      </c>
    </row>
    <row r="44" spans="1:12" x14ac:dyDescent="0.25">
      <c r="A44">
        <v>1731</v>
      </c>
      <c r="B44" t="s">
        <v>20</v>
      </c>
      <c r="C44" t="s">
        <v>56</v>
      </c>
      <c r="D44" t="s">
        <v>33</v>
      </c>
      <c r="H44">
        <v>2896</v>
      </c>
      <c r="J44">
        <f t="shared" si="0"/>
        <v>2896</v>
      </c>
      <c r="L44">
        <f t="shared" si="1"/>
        <v>1.2928571428571429</v>
      </c>
    </row>
    <row r="45" spans="1:12" x14ac:dyDescent="0.25">
      <c r="A45">
        <v>1731</v>
      </c>
      <c r="B45" t="s">
        <v>21</v>
      </c>
      <c r="C45" t="s">
        <v>56</v>
      </c>
      <c r="D45" t="s">
        <v>33</v>
      </c>
      <c r="H45">
        <v>10</v>
      </c>
      <c r="J45">
        <f t="shared" si="0"/>
        <v>10</v>
      </c>
      <c r="L45">
        <f t="shared" si="1"/>
        <v>4.464285714285714E-3</v>
      </c>
    </row>
    <row r="46" spans="1:12" x14ac:dyDescent="0.25">
      <c r="A46">
        <v>1731</v>
      </c>
      <c r="B46" t="s">
        <v>22</v>
      </c>
      <c r="C46" t="s">
        <v>56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1731</v>
      </c>
      <c r="B47" t="s">
        <v>61</v>
      </c>
      <c r="C47" t="s">
        <v>56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1731</v>
      </c>
      <c r="B48" t="s">
        <v>62</v>
      </c>
      <c r="C48" t="s">
        <v>56</v>
      </c>
      <c r="D48" t="s">
        <v>33</v>
      </c>
      <c r="E48">
        <v>35</v>
      </c>
      <c r="F48">
        <v>10</v>
      </c>
      <c r="J48">
        <f t="shared" si="0"/>
        <v>79520</v>
      </c>
      <c r="L48">
        <f t="shared" si="1"/>
        <v>35.5</v>
      </c>
    </row>
    <row r="49" spans="1:12" x14ac:dyDescent="0.25">
      <c r="A49">
        <v>1731</v>
      </c>
      <c r="B49" t="s">
        <v>63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1731</v>
      </c>
      <c r="B50" t="s">
        <v>89</v>
      </c>
      <c r="C50" t="s">
        <v>56</v>
      </c>
      <c r="D50" t="s">
        <v>33</v>
      </c>
      <c r="E50">
        <v>30</v>
      </c>
    </row>
    <row r="51" spans="1:12" x14ac:dyDescent="0.25">
      <c r="A51">
        <v>1731</v>
      </c>
      <c r="B51" t="s">
        <v>70</v>
      </c>
      <c r="C51" t="s">
        <v>56</v>
      </c>
      <c r="D51" t="s">
        <v>33</v>
      </c>
      <c r="E51">
        <v>11</v>
      </c>
      <c r="F51">
        <v>6</v>
      </c>
      <c r="G51">
        <v>1</v>
      </c>
      <c r="H51">
        <v>16</v>
      </c>
      <c r="J51">
        <f t="shared" si="0"/>
        <v>25356</v>
      </c>
      <c r="L51">
        <f t="shared" si="1"/>
        <v>11.319642857142858</v>
      </c>
    </row>
    <row r="52" spans="1:12" x14ac:dyDescent="0.25">
      <c r="A52">
        <v>1731</v>
      </c>
      <c r="B52" t="s">
        <v>64</v>
      </c>
      <c r="C52" t="s">
        <v>56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1731</v>
      </c>
      <c r="B53" t="s">
        <v>65</v>
      </c>
      <c r="C53" t="s">
        <v>56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1731</v>
      </c>
      <c r="B54" t="s">
        <v>55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1731</v>
      </c>
      <c r="B55" t="s">
        <v>57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1731</v>
      </c>
      <c r="B56" t="s">
        <v>36</v>
      </c>
      <c r="C56" t="s">
        <v>56</v>
      </c>
      <c r="D56" t="s">
        <v>35</v>
      </c>
      <c r="H56">
        <v>960</v>
      </c>
      <c r="J56">
        <f t="shared" si="0"/>
        <v>960</v>
      </c>
      <c r="L56">
        <f t="shared" si="1"/>
        <v>0.42857142857142855</v>
      </c>
    </row>
    <row r="57" spans="1:12" x14ac:dyDescent="0.25">
      <c r="A57">
        <v>1731</v>
      </c>
      <c r="B57" t="s">
        <v>4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1731</v>
      </c>
      <c r="B58" t="s">
        <v>58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1731</v>
      </c>
      <c r="B59" t="s">
        <v>106</v>
      </c>
      <c r="C59" t="s">
        <v>56</v>
      </c>
      <c r="D59" t="s">
        <v>35</v>
      </c>
      <c r="H59">
        <v>26</v>
      </c>
      <c r="J59">
        <f t="shared" si="0"/>
        <v>26</v>
      </c>
      <c r="L59">
        <f t="shared" si="1"/>
        <v>1.1607142857142858E-2</v>
      </c>
    </row>
    <row r="60" spans="1:12" x14ac:dyDescent="0.25">
      <c r="A60">
        <v>1731</v>
      </c>
      <c r="B60" t="s">
        <v>43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1731</v>
      </c>
      <c r="B61" t="s">
        <v>5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1731</v>
      </c>
      <c r="B62" t="s">
        <v>59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1731</v>
      </c>
      <c r="B63" t="s">
        <v>6</v>
      </c>
      <c r="C63" t="s">
        <v>56</v>
      </c>
      <c r="D63" t="s">
        <v>35</v>
      </c>
      <c r="F63">
        <v>31188</v>
      </c>
      <c r="G63">
        <v>1</v>
      </c>
      <c r="H63">
        <v>1</v>
      </c>
      <c r="J63">
        <f t="shared" si="0"/>
        <v>3493085</v>
      </c>
      <c r="L63">
        <f t="shared" si="1"/>
        <v>1559.4129464285713</v>
      </c>
    </row>
    <row r="64" spans="1:12" x14ac:dyDescent="0.25">
      <c r="A64">
        <v>1731</v>
      </c>
      <c r="B64" t="s">
        <v>60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1731</v>
      </c>
      <c r="B65" t="s">
        <v>38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1731</v>
      </c>
      <c r="B66" t="s">
        <v>37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1731</v>
      </c>
      <c r="B67" t="s">
        <v>8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1731</v>
      </c>
      <c r="B68" t="s">
        <v>40</v>
      </c>
      <c r="C68" t="s">
        <v>56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1731</v>
      </c>
      <c r="B69" t="s">
        <v>9</v>
      </c>
      <c r="C69" t="s">
        <v>56</v>
      </c>
      <c r="D69" t="s">
        <v>35</v>
      </c>
      <c r="H69">
        <f>675*200+180</f>
        <v>135180</v>
      </c>
      <c r="I69" t="s">
        <v>149</v>
      </c>
      <c r="J69">
        <f t="shared" si="0"/>
        <v>135180</v>
      </c>
      <c r="L69">
        <f t="shared" si="1"/>
        <v>60.348214285714285</v>
      </c>
    </row>
    <row r="70" spans="1:12" x14ac:dyDescent="0.25">
      <c r="A70">
        <v>1731</v>
      </c>
      <c r="B70" t="s">
        <v>10</v>
      </c>
      <c r="C70" t="s">
        <v>56</v>
      </c>
      <c r="D70" t="s">
        <v>35</v>
      </c>
      <c r="F70">
        <v>307</v>
      </c>
      <c r="H70">
        <v>10</v>
      </c>
      <c r="J70">
        <f t="shared" si="0"/>
        <v>34394</v>
      </c>
      <c r="L70">
        <f t="shared" si="1"/>
        <v>15.354464285714286</v>
      </c>
    </row>
    <row r="71" spans="1:12" x14ac:dyDescent="0.25">
      <c r="A71">
        <v>1731</v>
      </c>
      <c r="B71" t="s">
        <v>11</v>
      </c>
      <c r="C71" t="s">
        <v>56</v>
      </c>
      <c r="D71" t="s">
        <v>35</v>
      </c>
      <c r="F71">
        <v>123</v>
      </c>
      <c r="G71">
        <v>3</v>
      </c>
      <c r="H71">
        <v>13</v>
      </c>
      <c r="J71">
        <f t="shared" ref="J71:J104" si="2">(E71*2240)+(F71*112)+(G71*28)+H71</f>
        <v>13873</v>
      </c>
      <c r="L71">
        <f t="shared" ref="L71:L104" si="3">J71/2240</f>
        <v>6.1933035714285714</v>
      </c>
    </row>
    <row r="72" spans="1:12" x14ac:dyDescent="0.25">
      <c r="A72">
        <v>1731</v>
      </c>
      <c r="B72" t="s">
        <v>39</v>
      </c>
      <c r="C72" t="s">
        <v>56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1731</v>
      </c>
      <c r="B73" t="s">
        <v>79</v>
      </c>
      <c r="C73" t="s">
        <v>56</v>
      </c>
      <c r="D73" t="s">
        <v>35</v>
      </c>
      <c r="H73">
        <v>5362</v>
      </c>
      <c r="J73">
        <f t="shared" si="2"/>
        <v>5362</v>
      </c>
      <c r="L73">
        <f t="shared" si="3"/>
        <v>2.3937499999999998</v>
      </c>
    </row>
    <row r="74" spans="1:12" x14ac:dyDescent="0.25">
      <c r="A74">
        <v>1731</v>
      </c>
      <c r="B74" t="s">
        <v>44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1731</v>
      </c>
      <c r="B75" t="s">
        <v>12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1731</v>
      </c>
      <c r="B76" t="s">
        <v>34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1731</v>
      </c>
      <c r="B77" t="s">
        <v>13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1731</v>
      </c>
      <c r="B78" t="s">
        <v>14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1731</v>
      </c>
      <c r="B79" t="s">
        <v>23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1731</v>
      </c>
      <c r="B80" t="s">
        <v>27</v>
      </c>
      <c r="C80" t="s">
        <v>56</v>
      </c>
      <c r="D80" t="s">
        <v>35</v>
      </c>
      <c r="H80">
        <v>43591</v>
      </c>
      <c r="I80" t="s">
        <v>148</v>
      </c>
      <c r="J80">
        <f t="shared" si="2"/>
        <v>43591</v>
      </c>
      <c r="L80">
        <f t="shared" si="3"/>
        <v>19.460267857142856</v>
      </c>
    </row>
    <row r="81" spans="1:12" x14ac:dyDescent="0.25">
      <c r="A81">
        <v>1731</v>
      </c>
      <c r="B81" t="s">
        <v>15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1731</v>
      </c>
      <c r="B82" t="s">
        <v>92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1731</v>
      </c>
      <c r="B83" t="s">
        <v>42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1731</v>
      </c>
      <c r="B84" t="s">
        <v>47</v>
      </c>
      <c r="C84" t="s">
        <v>56</v>
      </c>
      <c r="D84" t="s">
        <v>35</v>
      </c>
      <c r="H84">
        <v>20</v>
      </c>
      <c r="I84" t="s">
        <v>146</v>
      </c>
      <c r="J84">
        <f t="shared" si="2"/>
        <v>20</v>
      </c>
      <c r="L84">
        <f t="shared" si="3"/>
        <v>8.9285714285714281E-3</v>
      </c>
    </row>
    <row r="85" spans="1:12" x14ac:dyDescent="0.25">
      <c r="A85">
        <v>1731</v>
      </c>
      <c r="B85" t="s">
        <v>16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1731</v>
      </c>
      <c r="B86" t="s">
        <v>105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1731</v>
      </c>
      <c r="B87" t="s">
        <v>17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1731</v>
      </c>
      <c r="B88" t="s">
        <v>18</v>
      </c>
      <c r="C88" t="s">
        <v>56</v>
      </c>
      <c r="D88" t="s">
        <v>35</v>
      </c>
      <c r="H88">
        <v>64616.5</v>
      </c>
      <c r="I88" t="s">
        <v>147</v>
      </c>
      <c r="J88">
        <f t="shared" si="2"/>
        <v>64616.5</v>
      </c>
      <c r="L88">
        <f t="shared" si="3"/>
        <v>28.846651785714286</v>
      </c>
    </row>
    <row r="89" spans="1:12" x14ac:dyDescent="0.25">
      <c r="A89">
        <v>1731</v>
      </c>
      <c r="B89" t="s">
        <v>26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1731</v>
      </c>
      <c r="B90" t="s">
        <v>19</v>
      </c>
      <c r="C90" t="s">
        <v>56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1731</v>
      </c>
      <c r="B91" t="s">
        <v>45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1731</v>
      </c>
      <c r="B92" t="s">
        <v>54</v>
      </c>
      <c r="C92" t="s">
        <v>56</v>
      </c>
      <c r="D92" t="s">
        <v>35</v>
      </c>
      <c r="H92">
        <v>133</v>
      </c>
      <c r="J92">
        <f t="shared" si="2"/>
        <v>133</v>
      </c>
      <c r="L92">
        <f t="shared" si="3"/>
        <v>5.9374999999999997E-2</v>
      </c>
    </row>
    <row r="93" spans="1:12" x14ac:dyDescent="0.25">
      <c r="A93">
        <v>1731</v>
      </c>
      <c r="B93" t="s">
        <v>94</v>
      </c>
      <c r="C93" t="s">
        <v>56</v>
      </c>
      <c r="D93" t="s">
        <v>35</v>
      </c>
      <c r="H93">
        <v>3</v>
      </c>
      <c r="J93">
        <f t="shared" si="2"/>
        <v>3</v>
      </c>
      <c r="L93">
        <f t="shared" si="3"/>
        <v>1.3392857142857143E-3</v>
      </c>
    </row>
    <row r="94" spans="1:12" x14ac:dyDescent="0.25">
      <c r="A94">
        <v>1731</v>
      </c>
      <c r="B94" t="s">
        <v>20</v>
      </c>
      <c r="C94" t="s">
        <v>56</v>
      </c>
      <c r="D94" t="s">
        <v>35</v>
      </c>
      <c r="H94">
        <v>25</v>
      </c>
      <c r="J94">
        <f t="shared" si="2"/>
        <v>25</v>
      </c>
      <c r="L94">
        <f t="shared" si="3"/>
        <v>1.1160714285714286E-2</v>
      </c>
    </row>
    <row r="95" spans="1:12" x14ac:dyDescent="0.25">
      <c r="A95">
        <v>1731</v>
      </c>
      <c r="B95" t="s">
        <v>21</v>
      </c>
      <c r="C95" t="s">
        <v>56</v>
      </c>
      <c r="D95" t="s">
        <v>35</v>
      </c>
      <c r="H95">
        <v>10</v>
      </c>
      <c r="J95">
        <f t="shared" si="2"/>
        <v>10</v>
      </c>
      <c r="L95">
        <f t="shared" si="3"/>
        <v>4.464285714285714E-3</v>
      </c>
    </row>
    <row r="96" spans="1:12" x14ac:dyDescent="0.25">
      <c r="A96">
        <v>1731</v>
      </c>
      <c r="B96" t="s">
        <v>90</v>
      </c>
      <c r="C96" t="s">
        <v>56</v>
      </c>
      <c r="D96" t="s">
        <v>35</v>
      </c>
      <c r="F96">
        <v>24</v>
      </c>
      <c r="J96">
        <f t="shared" si="2"/>
        <v>2688</v>
      </c>
      <c r="L96">
        <f t="shared" si="3"/>
        <v>1.2</v>
      </c>
    </row>
    <row r="97" spans="1:12" x14ac:dyDescent="0.25">
      <c r="A97">
        <v>1731</v>
      </c>
      <c r="B97" t="s">
        <v>22</v>
      </c>
      <c r="C97" t="s">
        <v>56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1731</v>
      </c>
      <c r="B98" t="s">
        <v>61</v>
      </c>
      <c r="C98" t="s">
        <v>56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1731</v>
      </c>
      <c r="B99" t="s">
        <v>62</v>
      </c>
      <c r="C99" t="s">
        <v>56</v>
      </c>
      <c r="D99" t="s">
        <v>35</v>
      </c>
      <c r="E99">
        <v>10</v>
      </c>
      <c r="J99">
        <f t="shared" si="2"/>
        <v>22400</v>
      </c>
      <c r="L99">
        <f t="shared" si="3"/>
        <v>10</v>
      </c>
    </row>
    <row r="100" spans="1:12" x14ac:dyDescent="0.25">
      <c r="A100">
        <v>1731</v>
      </c>
      <c r="B100" t="s">
        <v>63</v>
      </c>
      <c r="C100" t="s">
        <v>56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1731</v>
      </c>
      <c r="B101" t="s">
        <v>89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1731</v>
      </c>
      <c r="B102" t="s">
        <v>70</v>
      </c>
      <c r="C102" t="s">
        <v>56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1731</v>
      </c>
      <c r="B103" t="s">
        <v>64</v>
      </c>
      <c r="C103" t="s">
        <v>56</v>
      </c>
      <c r="D103" t="s">
        <v>35</v>
      </c>
      <c r="E103">
        <v>8</v>
      </c>
      <c r="J103">
        <f t="shared" si="2"/>
        <v>17920</v>
      </c>
      <c r="L103">
        <f t="shared" si="3"/>
        <v>8</v>
      </c>
    </row>
    <row r="104" spans="1:12" x14ac:dyDescent="0.25">
      <c r="A104">
        <v>1731</v>
      </c>
      <c r="B104" t="s">
        <v>65</v>
      </c>
      <c r="C104" t="s">
        <v>56</v>
      </c>
      <c r="D104" t="s">
        <v>35</v>
      </c>
      <c r="J104">
        <f t="shared" si="2"/>
        <v>0</v>
      </c>
      <c r="L104">
        <f t="shared" si="3"/>
        <v>0</v>
      </c>
    </row>
  </sheetData>
  <autoFilter ref="A1:N57" xr:uid="{AAD1F908-12B8-4B3A-A65D-184CD229ACD4}">
    <sortState xmlns:xlrd2="http://schemas.microsoft.com/office/spreadsheetml/2017/richdata2" ref="A2:N57">
      <sortCondition ref="B1:B5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8"/>
  <sheetViews>
    <sheetView workbookViewId="0">
      <selection activeCell="A29" sqref="A2:A29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66</v>
      </c>
      <c r="C2" t="s">
        <v>67</v>
      </c>
      <c r="D2" t="s">
        <v>33</v>
      </c>
      <c r="J2">
        <f t="shared" ref="J2:J28" si="0">(E2*2240)+(F2*112)+(G2*28)+H2</f>
        <v>0</v>
      </c>
      <c r="L2">
        <f t="shared" ref="L2:L28" si="1">J2/2240</f>
        <v>0</v>
      </c>
    </row>
    <row r="3" spans="1:12" x14ac:dyDescent="0.25"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12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27</v>
      </c>
      <c r="C8" t="s">
        <v>67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B11" t="s">
        <v>18</v>
      </c>
      <c r="C11" t="s">
        <v>67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19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21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90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61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62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63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6</v>
      </c>
      <c r="C18" t="s">
        <v>67</v>
      </c>
      <c r="D18" t="s">
        <v>35</v>
      </c>
      <c r="J18">
        <f t="shared" si="0"/>
        <v>0</v>
      </c>
      <c r="L18">
        <f t="shared" si="1"/>
        <v>0</v>
      </c>
    </row>
    <row r="19" spans="2:12" x14ac:dyDescent="0.25">
      <c r="B19" t="s">
        <v>12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2:12" x14ac:dyDescent="0.25">
      <c r="B20" t="s">
        <v>41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2:12" x14ac:dyDescent="0.25">
      <c r="B21" t="s">
        <v>27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2:12" x14ac:dyDescent="0.25">
      <c r="B22" t="s">
        <v>17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2:12" x14ac:dyDescent="0.25">
      <c r="B23" t="s">
        <v>19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2:12" x14ac:dyDescent="0.25">
      <c r="B24" t="s">
        <v>54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2:12" x14ac:dyDescent="0.25">
      <c r="B25" t="s">
        <v>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2:12" x14ac:dyDescent="0.25">
      <c r="B26" t="s">
        <v>8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2:12" x14ac:dyDescent="0.25">
      <c r="B27" t="s">
        <v>61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2:12" x14ac:dyDescent="0.25">
      <c r="B28" t="s">
        <v>63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3"/>
  <sheetViews>
    <sheetView topLeftCell="A112" zoomScaleNormal="100" workbookViewId="0">
      <selection activeCell="H112" sqref="H112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1731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1731</v>
      </c>
      <c r="B3" t="s">
        <v>57</v>
      </c>
      <c r="C3" t="s">
        <v>68</v>
      </c>
      <c r="D3" t="s">
        <v>33</v>
      </c>
      <c r="J3">
        <f t="shared" ref="J3:J71" si="0">(E3*2240)+(F3*112)+(G3*28)+H3</f>
        <v>0</v>
      </c>
      <c r="L3">
        <f t="shared" ref="L3:L71" si="1">J3/2240</f>
        <v>0</v>
      </c>
    </row>
    <row r="4" spans="1:12" x14ac:dyDescent="0.25">
      <c r="A4">
        <v>1731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1731</v>
      </c>
      <c r="B5" t="s">
        <v>4</v>
      </c>
      <c r="C5" t="s">
        <v>68</v>
      </c>
      <c r="D5" t="s">
        <v>33</v>
      </c>
      <c r="H5">
        <v>125</v>
      </c>
      <c r="J5">
        <f t="shared" si="0"/>
        <v>125</v>
      </c>
      <c r="L5">
        <f t="shared" si="1"/>
        <v>5.5803571428571432E-2</v>
      </c>
    </row>
    <row r="6" spans="1:12" x14ac:dyDescent="0.25">
      <c r="A6">
        <v>1731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1731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1731</v>
      </c>
      <c r="B8" t="s">
        <v>120</v>
      </c>
      <c r="C8" t="s">
        <v>68</v>
      </c>
      <c r="D8" t="s">
        <v>33</v>
      </c>
      <c r="H8">
        <v>710</v>
      </c>
      <c r="J8">
        <f t="shared" si="0"/>
        <v>710</v>
      </c>
      <c r="L8">
        <f t="shared" si="1"/>
        <v>0.3169642857142857</v>
      </c>
    </row>
    <row r="9" spans="1:12" x14ac:dyDescent="0.25">
      <c r="A9">
        <v>1731</v>
      </c>
      <c r="B9" t="s">
        <v>100</v>
      </c>
      <c r="C9" t="s">
        <v>68</v>
      </c>
      <c r="D9" t="s">
        <v>33</v>
      </c>
      <c r="H9">
        <v>100</v>
      </c>
      <c r="J9">
        <f t="shared" si="0"/>
        <v>100</v>
      </c>
      <c r="L9">
        <f t="shared" si="1"/>
        <v>4.4642857142857144E-2</v>
      </c>
    </row>
    <row r="10" spans="1:12" x14ac:dyDescent="0.25">
      <c r="A10">
        <v>1731</v>
      </c>
      <c r="B10" t="s">
        <v>43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1731</v>
      </c>
      <c r="B11" t="s">
        <v>76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1731</v>
      </c>
      <c r="B12" t="s">
        <v>5</v>
      </c>
      <c r="C12" t="s">
        <v>68</v>
      </c>
      <c r="D12" t="s">
        <v>33</v>
      </c>
      <c r="H12">
        <v>40</v>
      </c>
      <c r="J12">
        <f t="shared" si="0"/>
        <v>40</v>
      </c>
      <c r="L12">
        <f t="shared" si="1"/>
        <v>1.7857142857142856E-2</v>
      </c>
    </row>
    <row r="13" spans="1:12" x14ac:dyDescent="0.25">
      <c r="A13">
        <v>1731</v>
      </c>
      <c r="B13" t="s">
        <v>59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1731</v>
      </c>
      <c r="B14" t="s">
        <v>6</v>
      </c>
      <c r="C14" t="s">
        <v>68</v>
      </c>
      <c r="D14" t="s">
        <v>33</v>
      </c>
      <c r="F14">
        <v>193240</v>
      </c>
      <c r="G14">
        <v>3</v>
      </c>
      <c r="H14">
        <v>15</v>
      </c>
      <c r="J14">
        <f t="shared" si="0"/>
        <v>21642979</v>
      </c>
      <c r="L14">
        <f t="shared" si="1"/>
        <v>9662.044196428571</v>
      </c>
    </row>
    <row r="15" spans="1:12" x14ac:dyDescent="0.25">
      <c r="A15">
        <v>1731</v>
      </c>
      <c r="B15" t="s">
        <v>95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1731</v>
      </c>
      <c r="B16" t="s">
        <v>60</v>
      </c>
      <c r="C16" t="s">
        <v>68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1731</v>
      </c>
      <c r="B17" t="s">
        <v>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1731</v>
      </c>
      <c r="B18" t="s">
        <v>37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1731</v>
      </c>
      <c r="B19" t="s">
        <v>8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1731</v>
      </c>
      <c r="B20" t="s">
        <v>40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1731</v>
      </c>
      <c r="B21" t="s">
        <v>77</v>
      </c>
      <c r="C21" t="s">
        <v>68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1731</v>
      </c>
      <c r="B22" t="s">
        <v>78</v>
      </c>
      <c r="C22" t="s">
        <v>68</v>
      </c>
      <c r="D22" t="s">
        <v>33</v>
      </c>
      <c r="H22">
        <v>121701</v>
      </c>
      <c r="J22">
        <f t="shared" si="0"/>
        <v>121701</v>
      </c>
      <c r="L22">
        <f t="shared" si="1"/>
        <v>54.330803571428568</v>
      </c>
    </row>
    <row r="23" spans="1:12" x14ac:dyDescent="0.25">
      <c r="A23">
        <v>1731</v>
      </c>
      <c r="B23" t="s">
        <v>46</v>
      </c>
      <c r="C23" t="s">
        <v>68</v>
      </c>
      <c r="D23" t="s">
        <v>33</v>
      </c>
      <c r="H23">
        <v>4230</v>
      </c>
      <c r="J23">
        <f t="shared" si="0"/>
        <v>4230</v>
      </c>
      <c r="L23">
        <f t="shared" si="1"/>
        <v>1.8883928571428572</v>
      </c>
    </row>
    <row r="24" spans="1:12" x14ac:dyDescent="0.25">
      <c r="A24">
        <v>1731</v>
      </c>
      <c r="B24" t="s">
        <v>9</v>
      </c>
      <c r="C24" t="s">
        <v>68</v>
      </c>
      <c r="D24" t="s">
        <v>33</v>
      </c>
      <c r="H24">
        <f>258*200</f>
        <v>51600</v>
      </c>
      <c r="I24" t="s">
        <v>128</v>
      </c>
      <c r="J24">
        <f t="shared" si="0"/>
        <v>51600</v>
      </c>
      <c r="L24">
        <f t="shared" si="1"/>
        <v>23.035714285714285</v>
      </c>
    </row>
    <row r="25" spans="1:12" x14ac:dyDescent="0.25">
      <c r="A25">
        <v>1731</v>
      </c>
      <c r="B25" t="s">
        <v>10</v>
      </c>
      <c r="C25" t="s">
        <v>68</v>
      </c>
      <c r="D25" t="s">
        <v>33</v>
      </c>
      <c r="F25">
        <v>3675</v>
      </c>
      <c r="G25">
        <v>3</v>
      </c>
      <c r="H25">
        <v>19</v>
      </c>
      <c r="J25">
        <f t="shared" si="0"/>
        <v>411703</v>
      </c>
      <c r="L25">
        <f t="shared" si="1"/>
        <v>183.79598214285716</v>
      </c>
    </row>
    <row r="26" spans="1:12" x14ac:dyDescent="0.25">
      <c r="A26">
        <v>1731</v>
      </c>
      <c r="B26" t="s">
        <v>11</v>
      </c>
      <c r="C26" t="s">
        <v>68</v>
      </c>
      <c r="D26" t="s">
        <v>33</v>
      </c>
      <c r="F26">
        <v>125</v>
      </c>
      <c r="G26">
        <v>2</v>
      </c>
      <c r="H26">
        <v>22</v>
      </c>
      <c r="J26">
        <f t="shared" si="0"/>
        <v>14078</v>
      </c>
      <c r="L26">
        <f t="shared" si="1"/>
        <v>6.284821428571429</v>
      </c>
    </row>
    <row r="27" spans="1:12" x14ac:dyDescent="0.25">
      <c r="A27">
        <v>1731</v>
      </c>
      <c r="B27" t="s">
        <v>39</v>
      </c>
      <c r="C27" t="s">
        <v>68</v>
      </c>
      <c r="D27" t="s">
        <v>33</v>
      </c>
      <c r="H27">
        <v>82</v>
      </c>
      <c r="J27">
        <f t="shared" si="0"/>
        <v>82</v>
      </c>
      <c r="L27">
        <f t="shared" si="1"/>
        <v>3.6607142857142859E-2</v>
      </c>
    </row>
    <row r="28" spans="1:12" x14ac:dyDescent="0.25">
      <c r="A28">
        <v>1731</v>
      </c>
      <c r="B28" t="s">
        <v>79</v>
      </c>
      <c r="C28" t="s">
        <v>68</v>
      </c>
      <c r="D28" t="s">
        <v>33</v>
      </c>
      <c r="H28">
        <v>2532</v>
      </c>
      <c r="J28">
        <f t="shared" si="0"/>
        <v>2532</v>
      </c>
      <c r="L28">
        <f t="shared" si="1"/>
        <v>1.1303571428571428</v>
      </c>
    </row>
    <row r="29" spans="1:12" x14ac:dyDescent="0.25">
      <c r="A29">
        <v>1731</v>
      </c>
      <c r="B29" t="s">
        <v>121</v>
      </c>
      <c r="C29" t="s">
        <v>68</v>
      </c>
      <c r="D29" t="s">
        <v>33</v>
      </c>
      <c r="H29">
        <v>506</v>
      </c>
      <c r="J29">
        <f t="shared" si="0"/>
        <v>506</v>
      </c>
      <c r="L29">
        <f t="shared" si="1"/>
        <v>0.22589285714285715</v>
      </c>
    </row>
    <row r="30" spans="1:12" x14ac:dyDescent="0.25">
      <c r="A30">
        <v>1731</v>
      </c>
      <c r="B30" t="s">
        <v>102</v>
      </c>
      <c r="C30" t="s">
        <v>68</v>
      </c>
      <c r="D30" t="s">
        <v>33</v>
      </c>
      <c r="H30">
        <v>2746</v>
      </c>
      <c r="J30">
        <f t="shared" si="0"/>
        <v>2746</v>
      </c>
      <c r="L30">
        <f t="shared" si="1"/>
        <v>1.2258928571428571</v>
      </c>
    </row>
    <row r="31" spans="1:12" x14ac:dyDescent="0.25">
      <c r="A31">
        <v>1731</v>
      </c>
      <c r="B31" t="s">
        <v>44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1731</v>
      </c>
      <c r="B32" t="s">
        <v>96</v>
      </c>
      <c r="C32" t="s">
        <v>68</v>
      </c>
      <c r="D32" t="s">
        <v>33</v>
      </c>
      <c r="H32">
        <v>424</v>
      </c>
      <c r="J32">
        <f t="shared" si="0"/>
        <v>424</v>
      </c>
      <c r="L32">
        <f t="shared" si="1"/>
        <v>0.18928571428571428</v>
      </c>
    </row>
    <row r="33" spans="1:12" x14ac:dyDescent="0.25">
      <c r="A33">
        <v>1731</v>
      </c>
      <c r="B33" t="s">
        <v>12</v>
      </c>
      <c r="C33" t="s">
        <v>68</v>
      </c>
      <c r="D33" t="s">
        <v>33</v>
      </c>
      <c r="H33">
        <v>96714</v>
      </c>
      <c r="J33">
        <f t="shared" si="0"/>
        <v>96714</v>
      </c>
      <c r="L33">
        <f t="shared" si="1"/>
        <v>43.175892857142856</v>
      </c>
    </row>
    <row r="34" spans="1:12" x14ac:dyDescent="0.25">
      <c r="A34">
        <v>1731</v>
      </c>
      <c r="B34" t="s">
        <v>122</v>
      </c>
      <c r="C34" t="s">
        <v>68</v>
      </c>
      <c r="D34" t="s">
        <v>33</v>
      </c>
      <c r="H34">
        <v>1308</v>
      </c>
      <c r="J34">
        <f t="shared" si="0"/>
        <v>1308</v>
      </c>
      <c r="L34">
        <f t="shared" si="1"/>
        <v>0.58392857142857146</v>
      </c>
    </row>
    <row r="35" spans="1:12" x14ac:dyDescent="0.25">
      <c r="A35">
        <v>1731</v>
      </c>
      <c r="B35" t="s">
        <v>34</v>
      </c>
      <c r="C35" t="s">
        <v>68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1731</v>
      </c>
      <c r="B36" t="s">
        <v>13</v>
      </c>
      <c r="C36" t="s">
        <v>68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1731</v>
      </c>
      <c r="B37" t="s">
        <v>14</v>
      </c>
      <c r="C37" t="s">
        <v>68</v>
      </c>
      <c r="D37" t="s">
        <v>33</v>
      </c>
      <c r="H37">
        <v>32568.5</v>
      </c>
      <c r="I37" t="s">
        <v>123</v>
      </c>
      <c r="J37">
        <f t="shared" si="0"/>
        <v>32568.5</v>
      </c>
      <c r="L37">
        <f t="shared" si="1"/>
        <v>14.539508928571429</v>
      </c>
    </row>
    <row r="38" spans="1:12" x14ac:dyDescent="0.25">
      <c r="A38">
        <v>1731</v>
      </c>
      <c r="B38" t="s">
        <v>23</v>
      </c>
      <c r="C38" t="s">
        <v>68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1731</v>
      </c>
      <c r="B39" t="s">
        <v>27</v>
      </c>
      <c r="C39" t="s">
        <v>68</v>
      </c>
      <c r="D39" t="s">
        <v>33</v>
      </c>
      <c r="H39">
        <v>26397</v>
      </c>
      <c r="I39" t="s">
        <v>126</v>
      </c>
      <c r="J39">
        <f t="shared" si="0"/>
        <v>26397</v>
      </c>
      <c r="L39">
        <f t="shared" si="1"/>
        <v>11.784375000000001</v>
      </c>
    </row>
    <row r="40" spans="1:12" x14ac:dyDescent="0.25">
      <c r="A40">
        <v>1731</v>
      </c>
      <c r="B40" t="s">
        <v>15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1731</v>
      </c>
      <c r="B41" t="s">
        <v>42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1731</v>
      </c>
      <c r="B42" t="s">
        <v>83</v>
      </c>
      <c r="C42" t="s">
        <v>68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1731</v>
      </c>
      <c r="B43" t="s">
        <v>47</v>
      </c>
      <c r="C43" t="s">
        <v>68</v>
      </c>
      <c r="D43" t="s">
        <v>33</v>
      </c>
      <c r="H43">
        <v>205</v>
      </c>
      <c r="I43" t="s">
        <v>124</v>
      </c>
      <c r="J43">
        <f t="shared" si="0"/>
        <v>205</v>
      </c>
      <c r="L43">
        <f t="shared" si="1"/>
        <v>9.1517857142857137E-2</v>
      </c>
    </row>
    <row r="44" spans="1:12" x14ac:dyDescent="0.25">
      <c r="A44">
        <v>1731</v>
      </c>
      <c r="B44" t="s">
        <v>16</v>
      </c>
      <c r="C44" t="s">
        <v>68</v>
      </c>
      <c r="D44" t="s">
        <v>33</v>
      </c>
      <c r="H44">
        <v>269394</v>
      </c>
      <c r="J44">
        <f t="shared" si="0"/>
        <v>269394</v>
      </c>
      <c r="L44">
        <f t="shared" si="1"/>
        <v>120.26517857142858</v>
      </c>
    </row>
    <row r="45" spans="1:12" x14ac:dyDescent="0.25">
      <c r="A45">
        <v>1731</v>
      </c>
      <c r="B45" t="s">
        <v>17</v>
      </c>
      <c r="C45" t="s">
        <v>68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1731</v>
      </c>
      <c r="B46" t="s">
        <v>18</v>
      </c>
      <c r="C46" t="s">
        <v>68</v>
      </c>
      <c r="D46" t="s">
        <v>33</v>
      </c>
      <c r="H46">
        <v>1386546</v>
      </c>
      <c r="I46" t="s">
        <v>125</v>
      </c>
      <c r="J46">
        <f t="shared" si="0"/>
        <v>1386546</v>
      </c>
      <c r="L46">
        <f t="shared" si="1"/>
        <v>618.99374999999998</v>
      </c>
    </row>
    <row r="47" spans="1:12" x14ac:dyDescent="0.25">
      <c r="A47">
        <v>1731</v>
      </c>
      <c r="B47" t="s">
        <v>26</v>
      </c>
      <c r="C47" t="s">
        <v>68</v>
      </c>
      <c r="D47" t="s">
        <v>33</v>
      </c>
      <c r="H47">
        <v>484</v>
      </c>
      <c r="J47">
        <f t="shared" si="0"/>
        <v>484</v>
      </c>
      <c r="L47">
        <f t="shared" si="1"/>
        <v>0.21607142857142858</v>
      </c>
    </row>
    <row r="48" spans="1:12" x14ac:dyDescent="0.25">
      <c r="A48">
        <v>1731</v>
      </c>
      <c r="B48" t="s">
        <v>84</v>
      </c>
      <c r="C48" t="s">
        <v>68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1731</v>
      </c>
      <c r="B49" t="s">
        <v>19</v>
      </c>
      <c r="C49" t="s">
        <v>68</v>
      </c>
      <c r="D49" t="s">
        <v>33</v>
      </c>
      <c r="G49">
        <v>1</v>
      </c>
      <c r="J49">
        <f t="shared" si="0"/>
        <v>28</v>
      </c>
      <c r="L49">
        <f t="shared" si="1"/>
        <v>1.2500000000000001E-2</v>
      </c>
    </row>
    <row r="50" spans="1:12" x14ac:dyDescent="0.25">
      <c r="A50">
        <v>1731</v>
      </c>
      <c r="B50" t="s">
        <v>45</v>
      </c>
      <c r="C50" t="s">
        <v>68</v>
      </c>
      <c r="D50" t="s">
        <v>33</v>
      </c>
      <c r="H50">
        <v>51426</v>
      </c>
      <c r="J50">
        <f t="shared" si="0"/>
        <v>51426</v>
      </c>
      <c r="L50">
        <f t="shared" si="1"/>
        <v>22.958035714285714</v>
      </c>
    </row>
    <row r="51" spans="1:12" x14ac:dyDescent="0.25">
      <c r="A51">
        <v>1731</v>
      </c>
      <c r="B51" t="s">
        <v>85</v>
      </c>
      <c r="C51" t="s">
        <v>68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1731</v>
      </c>
      <c r="B52" t="s">
        <v>54</v>
      </c>
      <c r="C52" t="s">
        <v>68</v>
      </c>
      <c r="D52" t="s">
        <v>33</v>
      </c>
      <c r="H52">
        <v>1456</v>
      </c>
      <c r="J52">
        <f t="shared" si="0"/>
        <v>1456</v>
      </c>
      <c r="L52">
        <f t="shared" si="1"/>
        <v>0.65</v>
      </c>
    </row>
    <row r="53" spans="1:12" x14ac:dyDescent="0.25">
      <c r="A53">
        <v>1731</v>
      </c>
      <c r="B53" t="s">
        <v>94</v>
      </c>
      <c r="C53" t="s">
        <v>68</v>
      </c>
      <c r="D53" t="s">
        <v>33</v>
      </c>
      <c r="H53">
        <v>1340</v>
      </c>
      <c r="J53">
        <f t="shared" si="0"/>
        <v>1340</v>
      </c>
      <c r="L53">
        <f t="shared" si="1"/>
        <v>0.5982142857142857</v>
      </c>
    </row>
    <row r="54" spans="1:12" x14ac:dyDescent="0.25">
      <c r="A54">
        <v>1731</v>
      </c>
      <c r="B54" t="s">
        <v>20</v>
      </c>
      <c r="C54" t="s">
        <v>68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1731</v>
      </c>
      <c r="B55" t="s">
        <v>21</v>
      </c>
      <c r="C55" t="s">
        <v>68</v>
      </c>
      <c r="D55" t="s">
        <v>33</v>
      </c>
      <c r="H55">
        <v>3852</v>
      </c>
      <c r="J55">
        <f t="shared" si="0"/>
        <v>3852</v>
      </c>
      <c r="L55">
        <f t="shared" si="1"/>
        <v>1.7196428571428573</v>
      </c>
    </row>
    <row r="56" spans="1:12" x14ac:dyDescent="0.25">
      <c r="A56">
        <v>1731</v>
      </c>
      <c r="B56" t="s">
        <v>90</v>
      </c>
      <c r="C56" t="s">
        <v>68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1731</v>
      </c>
      <c r="B57" t="s">
        <v>22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1731</v>
      </c>
      <c r="B58" t="s">
        <v>61</v>
      </c>
      <c r="C58" t="s">
        <v>68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1731</v>
      </c>
      <c r="B59" t="s">
        <v>97</v>
      </c>
      <c r="C59" t="s">
        <v>68</v>
      </c>
      <c r="D59" t="s">
        <v>33</v>
      </c>
      <c r="E59">
        <v>15</v>
      </c>
      <c r="F59">
        <v>1</v>
      </c>
      <c r="G59">
        <v>1</v>
      </c>
      <c r="J59">
        <f t="shared" si="0"/>
        <v>33740</v>
      </c>
      <c r="L59">
        <f t="shared" si="1"/>
        <v>15.0625</v>
      </c>
    </row>
    <row r="60" spans="1:12" x14ac:dyDescent="0.25">
      <c r="A60">
        <v>1731</v>
      </c>
      <c r="B60" t="s">
        <v>87</v>
      </c>
      <c r="C60" t="s">
        <v>68</v>
      </c>
      <c r="D60" t="s">
        <v>33</v>
      </c>
      <c r="E60">
        <v>41</v>
      </c>
      <c r="F60">
        <v>10</v>
      </c>
      <c r="J60">
        <f t="shared" si="0"/>
        <v>92960</v>
      </c>
      <c r="L60">
        <f t="shared" si="1"/>
        <v>41.5</v>
      </c>
    </row>
    <row r="61" spans="1:12" x14ac:dyDescent="0.25">
      <c r="A61">
        <v>1731</v>
      </c>
      <c r="B61" t="s">
        <v>62</v>
      </c>
      <c r="C61" t="s">
        <v>68</v>
      </c>
      <c r="D61" t="s">
        <v>33</v>
      </c>
      <c r="E61">
        <v>13</v>
      </c>
      <c r="F61">
        <v>7</v>
      </c>
      <c r="G61">
        <v>1</v>
      </c>
      <c r="H61">
        <v>15</v>
      </c>
      <c r="J61">
        <f t="shared" si="0"/>
        <v>29947</v>
      </c>
      <c r="L61">
        <f t="shared" si="1"/>
        <v>13.369196428571428</v>
      </c>
    </row>
    <row r="62" spans="1:12" x14ac:dyDescent="0.25">
      <c r="A62">
        <v>1731</v>
      </c>
      <c r="B62" t="s">
        <v>88</v>
      </c>
      <c r="C62" t="s">
        <v>68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1731</v>
      </c>
      <c r="B63" t="s">
        <v>63</v>
      </c>
      <c r="C63" t="s">
        <v>68</v>
      </c>
      <c r="D63" t="s">
        <v>33</v>
      </c>
      <c r="E63">
        <v>11</v>
      </c>
      <c r="J63">
        <f t="shared" si="0"/>
        <v>24640</v>
      </c>
      <c r="L63">
        <f t="shared" si="1"/>
        <v>11</v>
      </c>
    </row>
    <row r="64" spans="1:12" x14ac:dyDescent="0.25">
      <c r="A64">
        <v>1731</v>
      </c>
      <c r="B64" t="s">
        <v>89</v>
      </c>
      <c r="C64" t="s">
        <v>68</v>
      </c>
      <c r="D64" t="s">
        <v>33</v>
      </c>
      <c r="E64">
        <v>269</v>
      </c>
      <c r="F64">
        <v>17</v>
      </c>
      <c r="H64">
        <v>15500</v>
      </c>
      <c r="J64">
        <f t="shared" si="0"/>
        <v>619964</v>
      </c>
      <c r="L64">
        <f t="shared" si="1"/>
        <v>276.76964285714286</v>
      </c>
    </row>
    <row r="65" spans="1:12" x14ac:dyDescent="0.25">
      <c r="A65">
        <v>1731</v>
      </c>
      <c r="B65" t="s">
        <v>70</v>
      </c>
      <c r="C65" t="s">
        <v>68</v>
      </c>
      <c r="D65" t="s">
        <v>33</v>
      </c>
      <c r="E65">
        <v>8</v>
      </c>
      <c r="J65">
        <f t="shared" si="0"/>
        <v>17920</v>
      </c>
      <c r="L65">
        <f t="shared" si="1"/>
        <v>8</v>
      </c>
    </row>
    <row r="66" spans="1:12" x14ac:dyDescent="0.25">
      <c r="A66">
        <v>1731</v>
      </c>
      <c r="B66" t="s">
        <v>127</v>
      </c>
      <c r="C66" t="s">
        <v>68</v>
      </c>
      <c r="D66" t="s">
        <v>33</v>
      </c>
      <c r="E66">
        <v>9</v>
      </c>
      <c r="F66">
        <v>14</v>
      </c>
      <c r="G66">
        <v>2</v>
      </c>
      <c r="J66">
        <f t="shared" si="0"/>
        <v>21784</v>
      </c>
      <c r="L66">
        <f t="shared" si="1"/>
        <v>9.7249999999999996</v>
      </c>
    </row>
    <row r="67" spans="1:12" x14ac:dyDescent="0.25">
      <c r="A67">
        <v>1731</v>
      </c>
      <c r="B67" t="s">
        <v>64</v>
      </c>
      <c r="C67" t="s">
        <v>68</v>
      </c>
      <c r="D67" t="s">
        <v>33</v>
      </c>
      <c r="E67">
        <v>24</v>
      </c>
      <c r="F67">
        <v>7</v>
      </c>
      <c r="J67">
        <f t="shared" si="0"/>
        <v>54544</v>
      </c>
      <c r="L67">
        <f t="shared" si="1"/>
        <v>24.35</v>
      </c>
    </row>
    <row r="68" spans="1:12" x14ac:dyDescent="0.25">
      <c r="A68">
        <v>1731</v>
      </c>
      <c r="B68" t="s">
        <v>65</v>
      </c>
      <c r="C68" t="s">
        <v>68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1731</v>
      </c>
      <c r="B69" t="s">
        <v>55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1731</v>
      </c>
      <c r="B70" t="s">
        <v>57</v>
      </c>
      <c r="C70" t="s">
        <v>68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1731</v>
      </c>
      <c r="B71" t="s">
        <v>36</v>
      </c>
      <c r="C71" t="s">
        <v>68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1731</v>
      </c>
      <c r="B72" t="s">
        <v>4</v>
      </c>
      <c r="C72" t="s">
        <v>68</v>
      </c>
      <c r="D72" t="s">
        <v>35</v>
      </c>
      <c r="J72">
        <f t="shared" ref="J72:J133" si="2">(E72*2240)+(F72*112)+(G72*28)+H72</f>
        <v>0</v>
      </c>
      <c r="L72">
        <f t="shared" ref="L72:L133" si="3">J72/2240</f>
        <v>0</v>
      </c>
    </row>
    <row r="73" spans="1:12" x14ac:dyDescent="0.25">
      <c r="A73">
        <v>1731</v>
      </c>
      <c r="B73" t="s">
        <v>58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1731</v>
      </c>
      <c r="B74" t="s">
        <v>69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1731</v>
      </c>
      <c r="B75" t="s">
        <v>100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1731</v>
      </c>
      <c r="B76" t="s">
        <v>43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1731</v>
      </c>
      <c r="B77" t="s">
        <v>76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1731</v>
      </c>
      <c r="B78" t="s">
        <v>5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1731</v>
      </c>
      <c r="B79" t="s">
        <v>59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1731</v>
      </c>
      <c r="B80" t="s">
        <v>6</v>
      </c>
      <c r="C80" t="s">
        <v>68</v>
      </c>
      <c r="D80" t="s">
        <v>35</v>
      </c>
      <c r="F80">
        <v>116264</v>
      </c>
      <c r="H80">
        <v>19</v>
      </c>
      <c r="J80">
        <f t="shared" si="2"/>
        <v>13021587</v>
      </c>
      <c r="L80">
        <f t="shared" si="3"/>
        <v>5813.2084821428571</v>
      </c>
    </row>
    <row r="81" spans="1:12" x14ac:dyDescent="0.25">
      <c r="A81">
        <v>1731</v>
      </c>
      <c r="B81" t="s">
        <v>60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1731</v>
      </c>
      <c r="B82" t="s">
        <v>38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1731</v>
      </c>
      <c r="B83" t="s">
        <v>37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1731</v>
      </c>
      <c r="B84" t="s">
        <v>8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1731</v>
      </c>
      <c r="B85" t="s">
        <v>40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1731</v>
      </c>
      <c r="B86" t="s">
        <v>77</v>
      </c>
      <c r="C86" t="s">
        <v>68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1731</v>
      </c>
      <c r="B87" t="s">
        <v>78</v>
      </c>
      <c r="C87" t="s">
        <v>68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1731</v>
      </c>
      <c r="B88" t="s">
        <v>46</v>
      </c>
      <c r="C88" t="s">
        <v>68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1731</v>
      </c>
      <c r="B89" t="s">
        <v>9</v>
      </c>
      <c r="C89" t="s">
        <v>68</v>
      </c>
      <c r="D89" t="s">
        <v>35</v>
      </c>
      <c r="H89">
        <f>676*200+35</f>
        <v>135235</v>
      </c>
      <c r="I89" t="s">
        <v>153</v>
      </c>
      <c r="J89">
        <f t="shared" si="2"/>
        <v>135235</v>
      </c>
      <c r="L89">
        <f t="shared" si="3"/>
        <v>60.372767857142854</v>
      </c>
    </row>
    <row r="90" spans="1:12" x14ac:dyDescent="0.25">
      <c r="A90">
        <v>1731</v>
      </c>
      <c r="B90" t="s">
        <v>10</v>
      </c>
      <c r="C90" t="s">
        <v>68</v>
      </c>
      <c r="D90" t="s">
        <v>35</v>
      </c>
      <c r="F90">
        <v>5518</v>
      </c>
      <c r="G90">
        <v>1</v>
      </c>
      <c r="H90">
        <v>2</v>
      </c>
      <c r="J90">
        <f t="shared" si="2"/>
        <v>618046</v>
      </c>
      <c r="L90">
        <f t="shared" si="3"/>
        <v>275.91339285714287</v>
      </c>
    </row>
    <row r="91" spans="1:12" x14ac:dyDescent="0.25">
      <c r="A91">
        <v>1731</v>
      </c>
      <c r="B91" t="s">
        <v>11</v>
      </c>
      <c r="C91" t="s">
        <v>68</v>
      </c>
      <c r="D91" t="s">
        <v>35</v>
      </c>
      <c r="F91">
        <v>274</v>
      </c>
      <c r="G91">
        <v>1</v>
      </c>
      <c r="H91">
        <v>26</v>
      </c>
      <c r="J91">
        <f t="shared" si="2"/>
        <v>30742</v>
      </c>
      <c r="L91">
        <f t="shared" si="3"/>
        <v>13.724107142857143</v>
      </c>
    </row>
    <row r="92" spans="1:12" x14ac:dyDescent="0.25">
      <c r="A92">
        <v>1731</v>
      </c>
      <c r="B92" t="s">
        <v>39</v>
      </c>
      <c r="C92" t="s">
        <v>68</v>
      </c>
      <c r="D92" t="s">
        <v>35</v>
      </c>
      <c r="H92">
        <v>26</v>
      </c>
      <c r="J92">
        <f t="shared" si="2"/>
        <v>26</v>
      </c>
      <c r="L92">
        <f t="shared" si="3"/>
        <v>1.1607142857142858E-2</v>
      </c>
    </row>
    <row r="93" spans="1:12" x14ac:dyDescent="0.25">
      <c r="A93">
        <v>1731</v>
      </c>
      <c r="B93" t="s">
        <v>79</v>
      </c>
      <c r="C93" t="s">
        <v>68</v>
      </c>
      <c r="D93" t="s">
        <v>35</v>
      </c>
      <c r="H93">
        <v>1154</v>
      </c>
      <c r="J93">
        <f t="shared" si="2"/>
        <v>1154</v>
      </c>
      <c r="L93">
        <f t="shared" si="3"/>
        <v>0.51517857142857137</v>
      </c>
    </row>
    <row r="94" spans="1:12" x14ac:dyDescent="0.25">
      <c r="A94">
        <v>1731</v>
      </c>
      <c r="B94" t="s">
        <v>102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1731</v>
      </c>
      <c r="B95" t="s">
        <v>44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1731</v>
      </c>
      <c r="B96" t="s">
        <v>96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1731</v>
      </c>
      <c r="B97" t="s">
        <v>12</v>
      </c>
      <c r="C97" t="s">
        <v>68</v>
      </c>
      <c r="D97" t="s">
        <v>35</v>
      </c>
      <c r="H97">
        <f>800+118502</f>
        <v>119302</v>
      </c>
      <c r="J97">
        <f t="shared" si="2"/>
        <v>119302</v>
      </c>
      <c r="L97">
        <f t="shared" si="3"/>
        <v>53.259821428571428</v>
      </c>
    </row>
    <row r="98" spans="1:12" x14ac:dyDescent="0.25">
      <c r="A98">
        <v>1731</v>
      </c>
      <c r="B98" t="s">
        <v>82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1731</v>
      </c>
      <c r="B99" t="s">
        <v>34</v>
      </c>
      <c r="C99" t="s">
        <v>68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1731</v>
      </c>
      <c r="B100" t="s">
        <v>13</v>
      </c>
      <c r="C100" t="s">
        <v>68</v>
      </c>
      <c r="D100" t="s">
        <v>35</v>
      </c>
      <c r="F100">
        <v>1</v>
      </c>
      <c r="J100">
        <f t="shared" si="2"/>
        <v>112</v>
      </c>
      <c r="L100">
        <f t="shared" si="3"/>
        <v>0.05</v>
      </c>
    </row>
    <row r="101" spans="1:12" x14ac:dyDescent="0.25">
      <c r="A101">
        <v>1731</v>
      </c>
      <c r="B101" t="s">
        <v>14</v>
      </c>
      <c r="C101" t="s">
        <v>68</v>
      </c>
      <c r="D101" t="s">
        <v>35</v>
      </c>
      <c r="H101">
        <v>37359.5</v>
      </c>
      <c r="I101" t="s">
        <v>150</v>
      </c>
      <c r="J101">
        <f t="shared" si="2"/>
        <v>37359.5</v>
      </c>
      <c r="L101">
        <f t="shared" si="3"/>
        <v>16.678348214285716</v>
      </c>
    </row>
    <row r="102" spans="1:12" x14ac:dyDescent="0.25">
      <c r="A102">
        <v>1731</v>
      </c>
      <c r="B102" t="s">
        <v>23</v>
      </c>
      <c r="C102" t="s">
        <v>68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1731</v>
      </c>
      <c r="B103" t="s">
        <v>27</v>
      </c>
      <c r="C103" t="s">
        <v>68</v>
      </c>
      <c r="D103" t="s">
        <v>35</v>
      </c>
      <c r="H103">
        <v>18755</v>
      </c>
      <c r="I103" t="s">
        <v>152</v>
      </c>
      <c r="J103">
        <f t="shared" si="2"/>
        <v>18755</v>
      </c>
      <c r="L103">
        <f t="shared" si="3"/>
        <v>8.3727678571428577</v>
      </c>
    </row>
    <row r="104" spans="1:12" x14ac:dyDescent="0.25">
      <c r="A104">
        <v>1731</v>
      </c>
      <c r="B104" t="s">
        <v>15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1731</v>
      </c>
      <c r="B105" t="s">
        <v>92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1731</v>
      </c>
      <c r="B106" t="s">
        <v>42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1731</v>
      </c>
      <c r="B107" t="s">
        <v>83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1731</v>
      </c>
      <c r="B108" t="s">
        <v>47</v>
      </c>
      <c r="C108" t="s">
        <v>68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1731</v>
      </c>
      <c r="B109" t="s">
        <v>16</v>
      </c>
      <c r="C109" t="s">
        <v>68</v>
      </c>
      <c r="D109" t="s">
        <v>35</v>
      </c>
      <c r="H109">
        <v>300819</v>
      </c>
      <c r="J109">
        <f t="shared" si="2"/>
        <v>300819</v>
      </c>
      <c r="L109">
        <f t="shared" si="3"/>
        <v>134.29419642857144</v>
      </c>
    </row>
    <row r="110" spans="1:12" x14ac:dyDescent="0.25">
      <c r="A110">
        <v>1731</v>
      </c>
      <c r="B110" t="s">
        <v>17</v>
      </c>
      <c r="C110" t="s">
        <v>68</v>
      </c>
      <c r="D110" t="s">
        <v>35</v>
      </c>
      <c r="F110">
        <v>6</v>
      </c>
      <c r="G110">
        <v>3</v>
      </c>
      <c r="H110">
        <v>9</v>
      </c>
      <c r="J110">
        <f t="shared" si="2"/>
        <v>765</v>
      </c>
      <c r="L110">
        <f t="shared" si="3"/>
        <v>0.34151785714285715</v>
      </c>
    </row>
    <row r="111" spans="1:12" x14ac:dyDescent="0.25">
      <c r="A111">
        <v>1731</v>
      </c>
      <c r="B111" t="s">
        <v>18</v>
      </c>
      <c r="C111" t="s">
        <v>68</v>
      </c>
      <c r="D111" t="s">
        <v>35</v>
      </c>
      <c r="H111">
        <v>244505</v>
      </c>
      <c r="I111" t="s">
        <v>151</v>
      </c>
      <c r="J111">
        <f t="shared" si="2"/>
        <v>244505</v>
      </c>
      <c r="L111">
        <f t="shared" si="3"/>
        <v>109.15401785714286</v>
      </c>
    </row>
    <row r="112" spans="1:12" x14ac:dyDescent="0.25">
      <c r="A112">
        <v>1731</v>
      </c>
      <c r="B112" t="s">
        <v>26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1731</v>
      </c>
      <c r="B113" t="s">
        <v>84</v>
      </c>
      <c r="C113" t="s">
        <v>68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1731</v>
      </c>
      <c r="B114" t="s">
        <v>19</v>
      </c>
      <c r="C114" t="s">
        <v>68</v>
      </c>
      <c r="D114" t="s">
        <v>35</v>
      </c>
      <c r="F114">
        <v>3</v>
      </c>
      <c r="G114">
        <v>2</v>
      </c>
      <c r="H114">
        <v>25</v>
      </c>
      <c r="J114">
        <f t="shared" si="2"/>
        <v>417</v>
      </c>
      <c r="L114">
        <f t="shared" si="3"/>
        <v>0.18616071428571429</v>
      </c>
    </row>
    <row r="115" spans="1:12" x14ac:dyDescent="0.25">
      <c r="A115">
        <v>1731</v>
      </c>
      <c r="B115" t="s">
        <v>45</v>
      </c>
      <c r="C115" t="s">
        <v>68</v>
      </c>
      <c r="D115" t="s">
        <v>35</v>
      </c>
      <c r="H115">
        <v>9966</v>
      </c>
      <c r="J115">
        <f t="shared" si="2"/>
        <v>9966</v>
      </c>
      <c r="L115">
        <f t="shared" si="3"/>
        <v>4.4491071428571427</v>
      </c>
    </row>
    <row r="116" spans="1:12" x14ac:dyDescent="0.25">
      <c r="A116">
        <v>1731</v>
      </c>
      <c r="B116" t="s">
        <v>85</v>
      </c>
      <c r="C116" t="s">
        <v>68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1731</v>
      </c>
      <c r="B117" t="s">
        <v>54</v>
      </c>
      <c r="C117" t="s">
        <v>68</v>
      </c>
      <c r="D117" t="s">
        <v>35</v>
      </c>
      <c r="H117">
        <v>13</v>
      </c>
      <c r="J117">
        <f t="shared" si="2"/>
        <v>13</v>
      </c>
      <c r="L117">
        <f t="shared" si="3"/>
        <v>5.8035714285714288E-3</v>
      </c>
    </row>
    <row r="118" spans="1:12" x14ac:dyDescent="0.25">
      <c r="A118">
        <v>1731</v>
      </c>
      <c r="B118" t="s">
        <v>94</v>
      </c>
      <c r="C118" t="s">
        <v>68</v>
      </c>
      <c r="D118" t="s">
        <v>35</v>
      </c>
      <c r="H118">
        <v>16</v>
      </c>
      <c r="J118">
        <f t="shared" si="2"/>
        <v>16</v>
      </c>
      <c r="L118">
        <f t="shared" si="3"/>
        <v>7.1428571428571426E-3</v>
      </c>
    </row>
    <row r="119" spans="1:12" x14ac:dyDescent="0.25">
      <c r="A119">
        <v>1731</v>
      </c>
      <c r="B119" t="s">
        <v>20</v>
      </c>
      <c r="C119" t="s">
        <v>68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1731</v>
      </c>
      <c r="B120" t="s">
        <v>21</v>
      </c>
      <c r="C120" t="s">
        <v>68</v>
      </c>
      <c r="D120" t="s">
        <v>35</v>
      </c>
      <c r="H120">
        <v>2159</v>
      </c>
      <c r="J120">
        <f t="shared" si="2"/>
        <v>2159</v>
      </c>
      <c r="L120">
        <f t="shared" si="3"/>
        <v>0.96383928571428568</v>
      </c>
    </row>
    <row r="121" spans="1:12" x14ac:dyDescent="0.25">
      <c r="A121">
        <v>1731</v>
      </c>
      <c r="B121" t="s">
        <v>90</v>
      </c>
      <c r="C121" t="s">
        <v>68</v>
      </c>
      <c r="D121" t="s">
        <v>35</v>
      </c>
      <c r="F121">
        <v>150</v>
      </c>
      <c r="J121">
        <f t="shared" si="2"/>
        <v>16800</v>
      </c>
      <c r="L121">
        <f t="shared" si="3"/>
        <v>7.5</v>
      </c>
    </row>
    <row r="122" spans="1:12" x14ac:dyDescent="0.25">
      <c r="A122">
        <v>1731</v>
      </c>
      <c r="B122" t="s">
        <v>22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1731</v>
      </c>
      <c r="B123" t="s">
        <v>61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1731</v>
      </c>
      <c r="B124" t="s">
        <v>91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1731</v>
      </c>
      <c r="B125" t="s">
        <v>97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1731</v>
      </c>
      <c r="B126" t="s">
        <v>87</v>
      </c>
      <c r="C126" t="s">
        <v>68</v>
      </c>
      <c r="D126" t="s">
        <v>35</v>
      </c>
      <c r="E126">
        <v>6</v>
      </c>
      <c r="F126">
        <v>5</v>
      </c>
      <c r="G126">
        <v>3</v>
      </c>
      <c r="H126">
        <v>10</v>
      </c>
      <c r="J126">
        <f t="shared" si="2"/>
        <v>14094</v>
      </c>
      <c r="L126">
        <f t="shared" si="3"/>
        <v>6.2919642857142861</v>
      </c>
    </row>
    <row r="127" spans="1:12" x14ac:dyDescent="0.25">
      <c r="A127">
        <v>1731</v>
      </c>
      <c r="B127" t="s">
        <v>62</v>
      </c>
      <c r="C127" t="s">
        <v>68</v>
      </c>
      <c r="D127" t="s">
        <v>35</v>
      </c>
      <c r="E127">
        <v>242</v>
      </c>
      <c r="F127">
        <v>18</v>
      </c>
      <c r="G127">
        <v>1</v>
      </c>
      <c r="H127">
        <v>4</v>
      </c>
      <c r="J127">
        <f t="shared" si="2"/>
        <v>544128</v>
      </c>
      <c r="L127">
        <f t="shared" si="3"/>
        <v>242.91428571428571</v>
      </c>
    </row>
    <row r="128" spans="1:12" x14ac:dyDescent="0.25">
      <c r="A128">
        <v>1731</v>
      </c>
      <c r="B128" t="s">
        <v>88</v>
      </c>
      <c r="C128" t="s">
        <v>68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1731</v>
      </c>
      <c r="B129" t="s">
        <v>63</v>
      </c>
      <c r="C129" t="s">
        <v>68</v>
      </c>
      <c r="D129" t="s">
        <v>35</v>
      </c>
      <c r="E129">
        <v>300</v>
      </c>
      <c r="F129">
        <v>1</v>
      </c>
      <c r="G129">
        <v>1</v>
      </c>
      <c r="H129">
        <v>25</v>
      </c>
      <c r="J129">
        <f t="shared" si="2"/>
        <v>672165</v>
      </c>
      <c r="L129">
        <f t="shared" si="3"/>
        <v>300.07366071428572</v>
      </c>
    </row>
    <row r="130" spans="1:12" x14ac:dyDescent="0.25">
      <c r="A130">
        <v>1731</v>
      </c>
      <c r="B130" t="s">
        <v>89</v>
      </c>
      <c r="C130" t="s">
        <v>68</v>
      </c>
      <c r="D130" t="s">
        <v>35</v>
      </c>
      <c r="E130">
        <v>207</v>
      </c>
      <c r="F130">
        <v>19</v>
      </c>
      <c r="H130">
        <v>48</v>
      </c>
      <c r="J130">
        <f t="shared" si="2"/>
        <v>465856</v>
      </c>
      <c r="L130">
        <f t="shared" si="3"/>
        <v>207.97142857142856</v>
      </c>
    </row>
    <row r="131" spans="1:12" x14ac:dyDescent="0.25">
      <c r="A131">
        <v>1731</v>
      </c>
      <c r="B131" t="s">
        <v>70</v>
      </c>
      <c r="C131" t="s">
        <v>68</v>
      </c>
      <c r="D131" t="s">
        <v>35</v>
      </c>
      <c r="J131">
        <f t="shared" si="2"/>
        <v>0</v>
      </c>
      <c r="L131">
        <f t="shared" si="3"/>
        <v>0</v>
      </c>
    </row>
    <row r="132" spans="1:12" x14ac:dyDescent="0.25">
      <c r="A132">
        <v>1731</v>
      </c>
      <c r="B132" t="s">
        <v>64</v>
      </c>
      <c r="C132" t="s">
        <v>68</v>
      </c>
      <c r="D132" t="s">
        <v>35</v>
      </c>
      <c r="E132">
        <v>44</v>
      </c>
      <c r="F132">
        <v>9</v>
      </c>
      <c r="G132">
        <v>1</v>
      </c>
      <c r="H132">
        <v>24</v>
      </c>
      <c r="J132">
        <f t="shared" si="2"/>
        <v>99620</v>
      </c>
      <c r="L132">
        <f t="shared" si="3"/>
        <v>44.473214285714285</v>
      </c>
    </row>
    <row r="133" spans="1:12" x14ac:dyDescent="0.25">
      <c r="A133">
        <v>1731</v>
      </c>
      <c r="B133" t="s">
        <v>65</v>
      </c>
      <c r="C133" t="s">
        <v>68</v>
      </c>
      <c r="D133" t="s">
        <v>35</v>
      </c>
      <c r="J133">
        <f t="shared" si="2"/>
        <v>0</v>
      </c>
      <c r="L133">
        <f t="shared" si="3"/>
        <v>0</v>
      </c>
    </row>
  </sheetData>
  <autoFilter ref="A1:O63" xr:uid="{8C2F7725-5A61-4A1B-A740-CC887BCB0E68}">
    <sortState xmlns:xlrd2="http://schemas.microsoft.com/office/spreadsheetml/2017/richdata2" ref="A2:O63">
      <sortCondition ref="B1:B6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7"/>
  <sheetViews>
    <sheetView topLeftCell="A115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1731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1731</v>
      </c>
      <c r="B3" t="s">
        <v>57</v>
      </c>
      <c r="C3" t="s">
        <v>72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1731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1731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1731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1731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1731</v>
      </c>
      <c r="B8" t="s">
        <v>106</v>
      </c>
      <c r="C8" t="s">
        <v>72</v>
      </c>
      <c r="D8" t="s">
        <v>33</v>
      </c>
      <c r="H8">
        <v>30</v>
      </c>
      <c r="J8">
        <f t="shared" si="0"/>
        <v>30</v>
      </c>
      <c r="L8">
        <f t="shared" si="1"/>
        <v>1.3392857142857142E-2</v>
      </c>
    </row>
    <row r="9" spans="1:15" x14ac:dyDescent="0.25">
      <c r="A9">
        <v>1731</v>
      </c>
      <c r="B9" t="s">
        <v>43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1731</v>
      </c>
      <c r="B10" t="s">
        <v>76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1731</v>
      </c>
      <c r="B11" t="s">
        <v>5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1731</v>
      </c>
      <c r="B12" t="s">
        <v>59</v>
      </c>
      <c r="C12" t="s">
        <v>72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1731</v>
      </c>
      <c r="B13" t="s">
        <v>6</v>
      </c>
      <c r="C13" t="s">
        <v>72</v>
      </c>
      <c r="D13" t="s">
        <v>33</v>
      </c>
      <c r="F13">
        <v>27959</v>
      </c>
      <c r="G13">
        <v>3</v>
      </c>
      <c r="H13">
        <v>16</v>
      </c>
      <c r="J13">
        <f t="shared" si="0"/>
        <v>3131508</v>
      </c>
      <c r="L13">
        <f t="shared" si="1"/>
        <v>1397.9946428571429</v>
      </c>
    </row>
    <row r="14" spans="1:15" x14ac:dyDescent="0.25">
      <c r="A14">
        <v>1731</v>
      </c>
      <c r="B14" t="s">
        <v>95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1731</v>
      </c>
      <c r="B15" t="s">
        <v>60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1731</v>
      </c>
      <c r="B16" t="s">
        <v>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1731</v>
      </c>
      <c r="B17" t="s">
        <v>37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1731</v>
      </c>
      <c r="B18" t="s">
        <v>8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1731</v>
      </c>
      <c r="B19" t="s">
        <v>40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1731</v>
      </c>
      <c r="B20" t="s">
        <v>77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1731</v>
      </c>
      <c r="B21" t="s">
        <v>78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1731</v>
      </c>
      <c r="B22" t="s">
        <v>46</v>
      </c>
      <c r="C22" t="s">
        <v>72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1731</v>
      </c>
      <c r="B23" t="s">
        <v>9</v>
      </c>
      <c r="C23" t="s">
        <v>72</v>
      </c>
      <c r="D23" t="s">
        <v>33</v>
      </c>
      <c r="H23">
        <f>47*200</f>
        <v>9400</v>
      </c>
      <c r="I23" t="s">
        <v>131</v>
      </c>
      <c r="J23">
        <f t="shared" si="0"/>
        <v>9400</v>
      </c>
      <c r="L23">
        <f t="shared" si="1"/>
        <v>4.1964285714285712</v>
      </c>
    </row>
    <row r="24" spans="1:12" x14ac:dyDescent="0.25">
      <c r="A24">
        <v>1731</v>
      </c>
      <c r="B24" t="s">
        <v>10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1731</v>
      </c>
      <c r="B25" t="s">
        <v>11</v>
      </c>
      <c r="C25" t="s">
        <v>72</v>
      </c>
      <c r="D25" t="s">
        <v>33</v>
      </c>
      <c r="F25">
        <v>15</v>
      </c>
      <c r="H25">
        <v>21</v>
      </c>
      <c r="J25">
        <f t="shared" si="0"/>
        <v>1701</v>
      </c>
      <c r="L25">
        <f t="shared" si="1"/>
        <v>0.75937500000000002</v>
      </c>
    </row>
    <row r="26" spans="1:12" x14ac:dyDescent="0.25">
      <c r="A26">
        <v>1731</v>
      </c>
      <c r="B26" t="s">
        <v>39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1731</v>
      </c>
      <c r="B27" t="s">
        <v>79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1731</v>
      </c>
      <c r="B28" t="s">
        <v>102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1731</v>
      </c>
      <c r="B29" t="s">
        <v>44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1731</v>
      </c>
      <c r="B30" t="s">
        <v>96</v>
      </c>
      <c r="C30" t="s">
        <v>72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1731</v>
      </c>
      <c r="B31" t="s">
        <v>12</v>
      </c>
      <c r="C31" t="s">
        <v>72</v>
      </c>
      <c r="D31" t="s">
        <v>33</v>
      </c>
      <c r="H31">
        <v>344</v>
      </c>
      <c r="J31">
        <f t="shared" si="0"/>
        <v>344</v>
      </c>
      <c r="L31">
        <f t="shared" si="1"/>
        <v>0.15357142857142858</v>
      </c>
    </row>
    <row r="32" spans="1:12" x14ac:dyDescent="0.25">
      <c r="A32">
        <v>1731</v>
      </c>
      <c r="B32" t="s">
        <v>82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1731</v>
      </c>
      <c r="B33" t="s">
        <v>34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1731</v>
      </c>
      <c r="B34" t="s">
        <v>13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1731</v>
      </c>
      <c r="B35" t="s">
        <v>14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1731</v>
      </c>
      <c r="B36" t="s">
        <v>23</v>
      </c>
      <c r="C36" t="s">
        <v>72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1731</v>
      </c>
      <c r="B37" t="s">
        <v>27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1731</v>
      </c>
      <c r="B38" t="s">
        <v>15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1731</v>
      </c>
      <c r="B39" t="s">
        <v>42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1731</v>
      </c>
      <c r="B40" t="s">
        <v>83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1731</v>
      </c>
      <c r="B41" t="s">
        <v>47</v>
      </c>
      <c r="C41" t="s">
        <v>72</v>
      </c>
      <c r="D41" t="s">
        <v>33</v>
      </c>
      <c r="H41">
        <v>150</v>
      </c>
      <c r="I41" t="s">
        <v>129</v>
      </c>
      <c r="J41">
        <f t="shared" si="0"/>
        <v>150</v>
      </c>
      <c r="L41">
        <f t="shared" si="1"/>
        <v>6.6964285714285712E-2</v>
      </c>
    </row>
    <row r="42" spans="1:12" x14ac:dyDescent="0.25">
      <c r="A42">
        <v>1731</v>
      </c>
      <c r="B42" t="s">
        <v>16</v>
      </c>
      <c r="C42" t="s">
        <v>72</v>
      </c>
      <c r="D42" t="s">
        <v>33</v>
      </c>
      <c r="H42">
        <v>336</v>
      </c>
      <c r="J42">
        <f t="shared" si="0"/>
        <v>336</v>
      </c>
      <c r="L42">
        <f t="shared" si="1"/>
        <v>0.15</v>
      </c>
    </row>
    <row r="43" spans="1:12" x14ac:dyDescent="0.25">
      <c r="A43">
        <v>1731</v>
      </c>
      <c r="B43" t="s">
        <v>17</v>
      </c>
      <c r="C43" t="s">
        <v>72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1731</v>
      </c>
      <c r="B44" t="s">
        <v>18</v>
      </c>
      <c r="C44" t="s">
        <v>72</v>
      </c>
      <c r="D44" t="s">
        <v>33</v>
      </c>
      <c r="H44">
        <v>58185</v>
      </c>
      <c r="I44" t="s">
        <v>130</v>
      </c>
      <c r="J44">
        <f t="shared" si="0"/>
        <v>58185</v>
      </c>
      <c r="L44">
        <f t="shared" si="1"/>
        <v>25.975446428571427</v>
      </c>
    </row>
    <row r="45" spans="1:12" x14ac:dyDescent="0.25">
      <c r="A45">
        <v>1731</v>
      </c>
      <c r="B45" t="s">
        <v>26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1731</v>
      </c>
      <c r="B46" t="s">
        <v>84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1731</v>
      </c>
      <c r="B47" t="s">
        <v>19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1731</v>
      </c>
      <c r="B48" t="s">
        <v>45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1731</v>
      </c>
      <c r="B49" t="s">
        <v>85</v>
      </c>
      <c r="C49" t="s">
        <v>72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1731</v>
      </c>
      <c r="B50" t="s">
        <v>54</v>
      </c>
      <c r="C50" t="s">
        <v>72</v>
      </c>
      <c r="D50" t="s">
        <v>33</v>
      </c>
      <c r="H50">
        <v>61</v>
      </c>
      <c r="J50">
        <f t="shared" si="0"/>
        <v>61</v>
      </c>
      <c r="L50">
        <f t="shared" si="1"/>
        <v>2.7232142857142858E-2</v>
      </c>
    </row>
    <row r="51" spans="1:12" x14ac:dyDescent="0.25">
      <c r="A51">
        <v>1731</v>
      </c>
      <c r="B51" t="s">
        <v>94</v>
      </c>
      <c r="C51" t="s">
        <v>72</v>
      </c>
      <c r="D51" t="s">
        <v>33</v>
      </c>
      <c r="H51">
        <v>28</v>
      </c>
      <c r="J51">
        <f t="shared" si="0"/>
        <v>28</v>
      </c>
      <c r="L51">
        <f t="shared" si="1"/>
        <v>1.2500000000000001E-2</v>
      </c>
    </row>
    <row r="52" spans="1:12" x14ac:dyDescent="0.25">
      <c r="A52">
        <v>1731</v>
      </c>
      <c r="B52" t="s">
        <v>20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1731</v>
      </c>
      <c r="B53" t="s">
        <v>21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1731</v>
      </c>
      <c r="B54" t="s">
        <v>22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1731</v>
      </c>
      <c r="B55" t="s">
        <v>61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1731</v>
      </c>
      <c r="B56" t="s">
        <v>98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1731</v>
      </c>
      <c r="B57" t="s">
        <v>87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1731</v>
      </c>
      <c r="B58" t="s">
        <v>62</v>
      </c>
      <c r="C58" t="s">
        <v>72</v>
      </c>
      <c r="D58" t="s">
        <v>33</v>
      </c>
      <c r="E58">
        <v>5</v>
      </c>
      <c r="J58">
        <f t="shared" si="0"/>
        <v>11200</v>
      </c>
      <c r="L58">
        <f t="shared" si="1"/>
        <v>5</v>
      </c>
    </row>
    <row r="59" spans="1:12" x14ac:dyDescent="0.25">
      <c r="A59">
        <v>1731</v>
      </c>
      <c r="B59" t="s">
        <v>88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1731</v>
      </c>
      <c r="B60" t="s">
        <v>63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1731</v>
      </c>
      <c r="B61" t="s">
        <v>89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1731</v>
      </c>
      <c r="B62" t="s">
        <v>70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1731</v>
      </c>
      <c r="B63" t="s">
        <v>64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1731</v>
      </c>
      <c r="B64" t="s">
        <v>65</v>
      </c>
      <c r="C64" t="s">
        <v>72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1731</v>
      </c>
      <c r="B65" t="s">
        <v>55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1731</v>
      </c>
      <c r="B66" t="s">
        <v>57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1731</v>
      </c>
      <c r="B67" t="s">
        <v>36</v>
      </c>
      <c r="C67" t="s">
        <v>72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1731</v>
      </c>
      <c r="B68" t="s">
        <v>4</v>
      </c>
      <c r="C68" t="s">
        <v>72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1731</v>
      </c>
      <c r="B69" t="s">
        <v>58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1731</v>
      </c>
      <c r="B70" t="s">
        <v>69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1731</v>
      </c>
      <c r="B71" t="s">
        <v>43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1731</v>
      </c>
      <c r="B72" t="s">
        <v>76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1731</v>
      </c>
      <c r="B73" t="s">
        <v>5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1731</v>
      </c>
      <c r="B74" t="s">
        <v>59</v>
      </c>
      <c r="C74" t="s">
        <v>72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1731</v>
      </c>
      <c r="B75" t="s">
        <v>6</v>
      </c>
      <c r="C75" t="s">
        <v>72</v>
      </c>
      <c r="D75" t="s">
        <v>35</v>
      </c>
      <c r="F75">
        <v>5285</v>
      </c>
      <c r="G75">
        <v>2</v>
      </c>
      <c r="H75">
        <v>23</v>
      </c>
      <c r="J75">
        <f t="shared" si="2"/>
        <v>591999</v>
      </c>
      <c r="L75">
        <f t="shared" si="3"/>
        <v>264.28526785714286</v>
      </c>
    </row>
    <row r="76" spans="1:12" x14ac:dyDescent="0.25">
      <c r="A76">
        <v>1731</v>
      </c>
      <c r="B76" t="s">
        <v>60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1731</v>
      </c>
      <c r="B77" t="s">
        <v>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1731</v>
      </c>
      <c r="B78" t="s">
        <v>37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1731</v>
      </c>
      <c r="B79" t="s">
        <v>8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1731</v>
      </c>
      <c r="B80" t="s">
        <v>40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1731</v>
      </c>
      <c r="B81" t="s">
        <v>77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1731</v>
      </c>
      <c r="B82" t="s">
        <v>78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1731</v>
      </c>
      <c r="B83" t="s">
        <v>46</v>
      </c>
      <c r="C83" t="s">
        <v>72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1731</v>
      </c>
      <c r="B84" t="s">
        <v>9</v>
      </c>
      <c r="C84" t="s">
        <v>72</v>
      </c>
      <c r="D84" t="s">
        <v>35</v>
      </c>
      <c r="H84">
        <f>59*200+96</f>
        <v>11896</v>
      </c>
      <c r="I84" t="s">
        <v>155</v>
      </c>
      <c r="J84">
        <f t="shared" si="2"/>
        <v>11896</v>
      </c>
      <c r="L84">
        <f t="shared" si="3"/>
        <v>5.3107142857142859</v>
      </c>
    </row>
    <row r="85" spans="1:12" x14ac:dyDescent="0.25">
      <c r="A85">
        <v>1731</v>
      </c>
      <c r="B85" t="s">
        <v>10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1731</v>
      </c>
      <c r="B86" t="s">
        <v>11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1731</v>
      </c>
      <c r="B87" t="s">
        <v>39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1731</v>
      </c>
      <c r="B88" t="s">
        <v>79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1731</v>
      </c>
      <c r="B89" t="s">
        <v>102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1731</v>
      </c>
      <c r="B90" t="s">
        <v>44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1731</v>
      </c>
      <c r="B91" t="s">
        <v>96</v>
      </c>
      <c r="C91" t="s">
        <v>72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1731</v>
      </c>
      <c r="B92" t="s">
        <v>12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1731</v>
      </c>
      <c r="B93" t="s">
        <v>82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1731</v>
      </c>
      <c r="B94" t="s">
        <v>34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1731</v>
      </c>
      <c r="B95" t="s">
        <v>13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1731</v>
      </c>
      <c r="B96" t="s">
        <v>14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1731</v>
      </c>
      <c r="B97" t="s">
        <v>23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1731</v>
      </c>
      <c r="B98" t="s">
        <v>27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1731</v>
      </c>
      <c r="B99" t="s">
        <v>15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1731</v>
      </c>
      <c r="B100" t="s">
        <v>92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1731</v>
      </c>
      <c r="B101" t="s">
        <v>42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1731</v>
      </c>
      <c r="B102" t="s">
        <v>83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1731</v>
      </c>
      <c r="B103" t="s">
        <v>47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1731</v>
      </c>
      <c r="B104" t="s">
        <v>16</v>
      </c>
      <c r="C104" t="s">
        <v>72</v>
      </c>
      <c r="D104" t="s">
        <v>35</v>
      </c>
      <c r="H104">
        <v>390</v>
      </c>
      <c r="J104">
        <f t="shared" si="2"/>
        <v>390</v>
      </c>
      <c r="L104">
        <f t="shared" si="3"/>
        <v>0.17410714285714285</v>
      </c>
    </row>
    <row r="105" spans="1:12" x14ac:dyDescent="0.25">
      <c r="A105">
        <v>1731</v>
      </c>
      <c r="B105" t="s">
        <v>17</v>
      </c>
      <c r="C105" t="s">
        <v>72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1731</v>
      </c>
      <c r="B106" t="s">
        <v>18</v>
      </c>
      <c r="C106" t="s">
        <v>72</v>
      </c>
      <c r="D106" t="s">
        <v>35</v>
      </c>
      <c r="H106">
        <v>23916</v>
      </c>
      <c r="I106" t="s">
        <v>154</v>
      </c>
      <c r="J106">
        <f t="shared" si="2"/>
        <v>23916</v>
      </c>
      <c r="L106">
        <f t="shared" si="3"/>
        <v>10.676785714285714</v>
      </c>
    </row>
    <row r="107" spans="1:12" x14ac:dyDescent="0.25">
      <c r="A107">
        <v>1731</v>
      </c>
      <c r="B107" t="s">
        <v>26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1731</v>
      </c>
      <c r="B108" t="s">
        <v>84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1731</v>
      </c>
      <c r="B109" t="s">
        <v>19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1731</v>
      </c>
      <c r="B110" t="s">
        <v>45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1731</v>
      </c>
      <c r="B111" t="s">
        <v>85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1731</v>
      </c>
      <c r="B112" t="s">
        <v>54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1731</v>
      </c>
      <c r="B113" t="s">
        <v>94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1731</v>
      </c>
      <c r="B114" t="s">
        <v>20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1731</v>
      </c>
      <c r="B115" t="s">
        <v>21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1731</v>
      </c>
      <c r="B116" t="s">
        <v>22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1731</v>
      </c>
      <c r="B117" t="s">
        <v>61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1731</v>
      </c>
      <c r="B118" t="s">
        <v>91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1731</v>
      </c>
      <c r="B119" t="s">
        <v>97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1731</v>
      </c>
      <c r="B120" t="s">
        <v>87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1731</v>
      </c>
      <c r="B121" t="s">
        <v>62</v>
      </c>
      <c r="C121" t="s">
        <v>72</v>
      </c>
      <c r="D121" t="s">
        <v>35</v>
      </c>
      <c r="F121">
        <v>120</v>
      </c>
      <c r="J121">
        <f t="shared" si="2"/>
        <v>13440</v>
      </c>
      <c r="L121">
        <f t="shared" si="3"/>
        <v>6</v>
      </c>
    </row>
    <row r="122" spans="1:12" x14ac:dyDescent="0.25">
      <c r="A122">
        <v>1731</v>
      </c>
      <c r="B122" t="s">
        <v>88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1731</v>
      </c>
      <c r="B123" t="s">
        <v>63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1731</v>
      </c>
      <c r="B124" t="s">
        <v>89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1731</v>
      </c>
      <c r="B125" t="s">
        <v>70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1731</v>
      </c>
      <c r="B126" t="s">
        <v>64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1731</v>
      </c>
      <c r="B127" t="s">
        <v>65</v>
      </c>
      <c r="C127" t="s">
        <v>72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7"/>
  <sheetViews>
    <sheetView topLeftCell="A95" workbookViewId="0">
      <selection activeCell="H99" sqref="H99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1731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1731</v>
      </c>
      <c r="B3" t="s">
        <v>57</v>
      </c>
      <c r="C3" t="s">
        <v>73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1731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1731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1731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1731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1731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1731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1731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1731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1731</v>
      </c>
      <c r="B12" t="s">
        <v>6</v>
      </c>
      <c r="C12" t="s">
        <v>73</v>
      </c>
      <c r="D12" t="s">
        <v>33</v>
      </c>
      <c r="F12">
        <v>21372</v>
      </c>
      <c r="G12">
        <v>2</v>
      </c>
      <c r="H12">
        <v>15</v>
      </c>
      <c r="J12">
        <f t="shared" si="0"/>
        <v>2393735</v>
      </c>
      <c r="L12">
        <f t="shared" si="1"/>
        <v>1068.6316964285713</v>
      </c>
    </row>
    <row r="13" spans="1:15" x14ac:dyDescent="0.25">
      <c r="A13">
        <v>1731</v>
      </c>
      <c r="B13" t="s">
        <v>95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1731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1731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1731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1731</v>
      </c>
      <c r="B17" t="s">
        <v>8</v>
      </c>
      <c r="C17" t="s">
        <v>73</v>
      </c>
      <c r="D17" t="s">
        <v>33</v>
      </c>
      <c r="G17">
        <v>3</v>
      </c>
      <c r="H17">
        <v>16</v>
      </c>
      <c r="J17">
        <f t="shared" si="0"/>
        <v>100</v>
      </c>
      <c r="L17">
        <f t="shared" si="1"/>
        <v>4.4642857142857144E-2</v>
      </c>
    </row>
    <row r="18" spans="1:12" x14ac:dyDescent="0.25">
      <c r="A18">
        <v>1731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1731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1731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1731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1731</v>
      </c>
      <c r="B22" t="s">
        <v>9</v>
      </c>
      <c r="C22" t="s">
        <v>73</v>
      </c>
      <c r="D22" t="s">
        <v>33</v>
      </c>
      <c r="H22">
        <f>31*200</f>
        <v>6200</v>
      </c>
      <c r="I22" t="s">
        <v>135</v>
      </c>
      <c r="J22">
        <f t="shared" si="0"/>
        <v>6200</v>
      </c>
      <c r="L22">
        <f t="shared" si="1"/>
        <v>2.7678571428571428</v>
      </c>
    </row>
    <row r="23" spans="1:12" x14ac:dyDescent="0.25">
      <c r="A23">
        <v>1731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1731</v>
      </c>
      <c r="B24" t="s">
        <v>11</v>
      </c>
      <c r="C24" t="s">
        <v>73</v>
      </c>
      <c r="D24" t="s">
        <v>33</v>
      </c>
      <c r="F24">
        <v>4</v>
      </c>
      <c r="J24">
        <f t="shared" si="0"/>
        <v>448</v>
      </c>
      <c r="L24">
        <f t="shared" si="1"/>
        <v>0.2</v>
      </c>
    </row>
    <row r="25" spans="1:12" x14ac:dyDescent="0.25">
      <c r="A25">
        <v>1731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1731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1731</v>
      </c>
      <c r="B27" t="s">
        <v>102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1731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1731</v>
      </c>
      <c r="B29" t="s">
        <v>96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1731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1731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1731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1731</v>
      </c>
      <c r="B33" t="s">
        <v>13</v>
      </c>
      <c r="C33" t="s">
        <v>73</v>
      </c>
      <c r="D33" t="s">
        <v>33</v>
      </c>
      <c r="E33">
        <v>22</v>
      </c>
      <c r="F33">
        <v>6</v>
      </c>
      <c r="G33">
        <v>2</v>
      </c>
      <c r="J33">
        <f t="shared" si="0"/>
        <v>50008</v>
      </c>
      <c r="L33">
        <f t="shared" si="1"/>
        <v>22.324999999999999</v>
      </c>
    </row>
    <row r="34" spans="1:12" x14ac:dyDescent="0.25">
      <c r="A34">
        <v>1731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1731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1731</v>
      </c>
      <c r="B36" t="s">
        <v>27</v>
      </c>
      <c r="C36" t="s">
        <v>73</v>
      </c>
      <c r="D36" t="s">
        <v>33</v>
      </c>
      <c r="H36">
        <v>14894</v>
      </c>
      <c r="I36" t="s">
        <v>134</v>
      </c>
      <c r="J36">
        <f t="shared" si="0"/>
        <v>14894</v>
      </c>
      <c r="L36">
        <f t="shared" si="1"/>
        <v>6.6491071428571429</v>
      </c>
    </row>
    <row r="37" spans="1:12" x14ac:dyDescent="0.25">
      <c r="A37">
        <v>1731</v>
      </c>
      <c r="B37" t="s">
        <v>15</v>
      </c>
      <c r="C37" t="s">
        <v>73</v>
      </c>
      <c r="D37" t="s">
        <v>33</v>
      </c>
      <c r="F37">
        <v>7</v>
      </c>
      <c r="G37">
        <v>3</v>
      </c>
      <c r="J37">
        <f t="shared" si="0"/>
        <v>868</v>
      </c>
      <c r="L37">
        <f t="shared" si="1"/>
        <v>0.38750000000000001</v>
      </c>
    </row>
    <row r="38" spans="1:12" x14ac:dyDescent="0.25">
      <c r="A38">
        <v>1731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1731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1731</v>
      </c>
      <c r="B40" t="s">
        <v>47</v>
      </c>
      <c r="C40" t="s">
        <v>73</v>
      </c>
      <c r="D40" t="s">
        <v>33</v>
      </c>
      <c r="H40">
        <v>50</v>
      </c>
      <c r="I40" t="s">
        <v>132</v>
      </c>
      <c r="J40">
        <f t="shared" si="0"/>
        <v>50</v>
      </c>
      <c r="L40">
        <f t="shared" si="1"/>
        <v>2.2321428571428572E-2</v>
      </c>
    </row>
    <row r="41" spans="1:12" x14ac:dyDescent="0.25">
      <c r="A41">
        <v>1731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1731</v>
      </c>
      <c r="B42" t="s">
        <v>105</v>
      </c>
      <c r="C42" t="s">
        <v>73</v>
      </c>
      <c r="D42" t="s">
        <v>33</v>
      </c>
      <c r="F42">
        <v>2</v>
      </c>
      <c r="J42">
        <f t="shared" si="0"/>
        <v>224</v>
      </c>
      <c r="L42">
        <f t="shared" si="1"/>
        <v>0.1</v>
      </c>
    </row>
    <row r="43" spans="1:12" x14ac:dyDescent="0.25">
      <c r="A43">
        <v>1731</v>
      </c>
      <c r="B43" t="s">
        <v>17</v>
      </c>
      <c r="C43" t="s">
        <v>73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1731</v>
      </c>
      <c r="B44" t="s">
        <v>18</v>
      </c>
      <c r="C44" t="s">
        <v>73</v>
      </c>
      <c r="D44" t="s">
        <v>33</v>
      </c>
      <c r="H44">
        <v>4291</v>
      </c>
      <c r="I44" t="s">
        <v>133</v>
      </c>
      <c r="J44">
        <f t="shared" si="0"/>
        <v>4291</v>
      </c>
      <c r="L44">
        <f t="shared" si="1"/>
        <v>1.9156249999999999</v>
      </c>
    </row>
    <row r="45" spans="1:12" x14ac:dyDescent="0.25">
      <c r="A45">
        <v>1731</v>
      </c>
      <c r="B45" t="s">
        <v>26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1731</v>
      </c>
      <c r="B46" t="s">
        <v>84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1731</v>
      </c>
      <c r="B47" t="s">
        <v>19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1731</v>
      </c>
      <c r="B48" t="s">
        <v>45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1731</v>
      </c>
      <c r="B49" t="s">
        <v>85</v>
      </c>
      <c r="C49" t="s">
        <v>73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1731</v>
      </c>
      <c r="B50" t="s">
        <v>54</v>
      </c>
      <c r="C50" t="s">
        <v>73</v>
      </c>
      <c r="D50" t="s">
        <v>33</v>
      </c>
      <c r="H50">
        <v>39</v>
      </c>
      <c r="J50">
        <f t="shared" si="0"/>
        <v>39</v>
      </c>
      <c r="L50">
        <f t="shared" si="1"/>
        <v>1.7410714285714286E-2</v>
      </c>
    </row>
    <row r="51" spans="1:12" x14ac:dyDescent="0.25">
      <c r="A51">
        <v>1731</v>
      </c>
      <c r="B51" t="s">
        <v>94</v>
      </c>
      <c r="C51" t="s">
        <v>73</v>
      </c>
      <c r="D51" t="s">
        <v>33</v>
      </c>
      <c r="H51">
        <v>32</v>
      </c>
      <c r="J51">
        <f t="shared" si="0"/>
        <v>32</v>
      </c>
      <c r="L51">
        <f t="shared" si="1"/>
        <v>1.4285714285714285E-2</v>
      </c>
    </row>
    <row r="52" spans="1:12" x14ac:dyDescent="0.25">
      <c r="A52">
        <v>1731</v>
      </c>
      <c r="B52" t="s">
        <v>20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1731</v>
      </c>
      <c r="B53" t="s">
        <v>21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1731</v>
      </c>
      <c r="B54" t="s">
        <v>22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1731</v>
      </c>
      <c r="B55" t="s">
        <v>61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1731</v>
      </c>
      <c r="B56" t="s">
        <v>98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1731</v>
      </c>
      <c r="B57" t="s">
        <v>87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1731</v>
      </c>
      <c r="B58" t="s">
        <v>62</v>
      </c>
      <c r="C58" t="s">
        <v>73</v>
      </c>
      <c r="D58" t="s">
        <v>33</v>
      </c>
      <c r="E58">
        <v>32</v>
      </c>
      <c r="F58">
        <v>9</v>
      </c>
      <c r="J58">
        <f t="shared" si="0"/>
        <v>72688</v>
      </c>
      <c r="L58">
        <f t="shared" si="1"/>
        <v>32.450000000000003</v>
      </c>
    </row>
    <row r="59" spans="1:12" x14ac:dyDescent="0.25">
      <c r="A59">
        <v>1731</v>
      </c>
      <c r="B59" t="s">
        <v>88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1731</v>
      </c>
      <c r="B60" t="s">
        <v>63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1731</v>
      </c>
      <c r="B61" t="s">
        <v>89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1731</v>
      </c>
      <c r="B62" t="s">
        <v>70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1731</v>
      </c>
      <c r="B63" t="s">
        <v>64</v>
      </c>
      <c r="C63" t="s">
        <v>73</v>
      </c>
      <c r="D63" t="s">
        <v>33</v>
      </c>
      <c r="E63">
        <v>2</v>
      </c>
      <c r="J63">
        <f t="shared" si="0"/>
        <v>4480</v>
      </c>
      <c r="L63">
        <f t="shared" si="1"/>
        <v>2</v>
      </c>
    </row>
    <row r="64" spans="1:12" x14ac:dyDescent="0.25">
      <c r="A64">
        <v>1731</v>
      </c>
      <c r="B64" t="s">
        <v>65</v>
      </c>
      <c r="C64" t="s">
        <v>73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1731</v>
      </c>
      <c r="B65" t="s">
        <v>55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1731</v>
      </c>
      <c r="B66" t="s">
        <v>57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1731</v>
      </c>
      <c r="B67" t="s">
        <v>36</v>
      </c>
      <c r="C67" t="s">
        <v>73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1731</v>
      </c>
      <c r="B68" t="s">
        <v>4</v>
      </c>
      <c r="C68" t="s">
        <v>73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1731</v>
      </c>
      <c r="B69" t="s">
        <v>58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1731</v>
      </c>
      <c r="B70" t="s">
        <v>69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1731</v>
      </c>
      <c r="B71" t="s">
        <v>43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1731</v>
      </c>
      <c r="B72" t="s">
        <v>76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1731</v>
      </c>
      <c r="B73" t="s">
        <v>5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1731</v>
      </c>
      <c r="B74" t="s">
        <v>59</v>
      </c>
      <c r="C74" t="s">
        <v>73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1731</v>
      </c>
      <c r="B75" t="s">
        <v>6</v>
      </c>
      <c r="C75" t="s">
        <v>73</v>
      </c>
      <c r="D75" t="s">
        <v>35</v>
      </c>
      <c r="F75">
        <v>6200</v>
      </c>
      <c r="G75">
        <v>1</v>
      </c>
      <c r="H75">
        <v>12</v>
      </c>
      <c r="J75">
        <f t="shared" si="2"/>
        <v>694440</v>
      </c>
      <c r="L75">
        <f t="shared" si="3"/>
        <v>310.01785714285717</v>
      </c>
    </row>
    <row r="76" spans="1:12" x14ac:dyDescent="0.25">
      <c r="A76">
        <v>1731</v>
      </c>
      <c r="B76" t="s">
        <v>60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1731</v>
      </c>
      <c r="B77" t="s">
        <v>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1731</v>
      </c>
      <c r="B78" t="s">
        <v>37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1731</v>
      </c>
      <c r="B79" t="s">
        <v>8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1731</v>
      </c>
      <c r="B80" t="s">
        <v>40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1731</v>
      </c>
      <c r="B81" t="s">
        <v>77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1731</v>
      </c>
      <c r="B82" t="s">
        <v>78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1731</v>
      </c>
      <c r="B83" t="s">
        <v>46</v>
      </c>
      <c r="C83" t="s">
        <v>73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1731</v>
      </c>
      <c r="B84" t="s">
        <v>9</v>
      </c>
      <c r="C84" t="s">
        <v>73</v>
      </c>
      <c r="D84" t="s">
        <v>35</v>
      </c>
      <c r="H84">
        <f>129*200+150</f>
        <v>25950</v>
      </c>
      <c r="I84" t="s">
        <v>158</v>
      </c>
      <c r="J84">
        <f t="shared" si="2"/>
        <v>25950</v>
      </c>
      <c r="L84">
        <f t="shared" si="3"/>
        <v>11.584821428571429</v>
      </c>
    </row>
    <row r="85" spans="1:12" x14ac:dyDescent="0.25">
      <c r="A85">
        <v>1731</v>
      </c>
      <c r="B85" t="s">
        <v>10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1731</v>
      </c>
      <c r="B86" t="s">
        <v>11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1731</v>
      </c>
      <c r="B87" t="s">
        <v>39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1731</v>
      </c>
      <c r="B88" t="s">
        <v>79</v>
      </c>
      <c r="C88" t="s">
        <v>73</v>
      </c>
      <c r="D88" t="s">
        <v>35</v>
      </c>
      <c r="H88">
        <v>5894</v>
      </c>
      <c r="J88">
        <f t="shared" si="2"/>
        <v>5894</v>
      </c>
      <c r="L88">
        <f t="shared" si="3"/>
        <v>2.6312500000000001</v>
      </c>
    </row>
    <row r="89" spans="1:12" x14ac:dyDescent="0.25">
      <c r="A89">
        <v>1731</v>
      </c>
      <c r="B89" t="s">
        <v>102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1731</v>
      </c>
      <c r="B90" t="s">
        <v>44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1731</v>
      </c>
      <c r="B91" t="s">
        <v>96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1731</v>
      </c>
      <c r="B92" t="s">
        <v>12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1731</v>
      </c>
      <c r="B93" t="s">
        <v>82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1731</v>
      </c>
      <c r="B94" t="s">
        <v>34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1731</v>
      </c>
      <c r="B95" t="s">
        <v>13</v>
      </c>
      <c r="C95" t="s">
        <v>73</v>
      </c>
      <c r="D95" t="s">
        <v>35</v>
      </c>
      <c r="E95">
        <v>6</v>
      </c>
      <c r="F95">
        <v>14</v>
      </c>
      <c r="G95">
        <v>2</v>
      </c>
      <c r="H95">
        <v>14</v>
      </c>
      <c r="J95">
        <f t="shared" si="2"/>
        <v>15078</v>
      </c>
      <c r="L95">
        <f t="shared" si="3"/>
        <v>6.7312500000000002</v>
      </c>
    </row>
    <row r="96" spans="1:12" x14ac:dyDescent="0.25">
      <c r="A96">
        <v>1731</v>
      </c>
      <c r="B96" t="s">
        <v>14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1731</v>
      </c>
      <c r="B97" t="s">
        <v>23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1731</v>
      </c>
      <c r="B98" t="s">
        <v>27</v>
      </c>
      <c r="C98" t="s">
        <v>73</v>
      </c>
      <c r="D98" t="s">
        <v>35</v>
      </c>
      <c r="H98">
        <v>2520.5</v>
      </c>
      <c r="I98" t="s">
        <v>157</v>
      </c>
      <c r="J98">
        <f t="shared" si="2"/>
        <v>2520.5</v>
      </c>
      <c r="L98">
        <f t="shared" si="3"/>
        <v>1.1252232142857144</v>
      </c>
    </row>
    <row r="99" spans="1:12" x14ac:dyDescent="0.25">
      <c r="A99">
        <v>1731</v>
      </c>
      <c r="B99" t="s">
        <v>15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1731</v>
      </c>
      <c r="B100" t="s">
        <v>92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1731</v>
      </c>
      <c r="B101" t="s">
        <v>42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1731</v>
      </c>
      <c r="B102" t="s">
        <v>83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1731</v>
      </c>
      <c r="B103" t="s">
        <v>47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1731</v>
      </c>
      <c r="B104" t="s">
        <v>16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1731</v>
      </c>
      <c r="B105" t="s">
        <v>17</v>
      </c>
      <c r="C105" t="s">
        <v>73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1731</v>
      </c>
      <c r="B106" t="s">
        <v>18</v>
      </c>
      <c r="C106" t="s">
        <v>73</v>
      </c>
      <c r="D106" t="s">
        <v>35</v>
      </c>
      <c r="H106">
        <v>32.5</v>
      </c>
      <c r="I106" t="s">
        <v>156</v>
      </c>
      <c r="J106">
        <f t="shared" si="2"/>
        <v>32.5</v>
      </c>
      <c r="L106">
        <f t="shared" si="3"/>
        <v>1.4508928571428572E-2</v>
      </c>
    </row>
    <row r="107" spans="1:12" x14ac:dyDescent="0.25">
      <c r="A107">
        <v>1731</v>
      </c>
      <c r="B107" t="s">
        <v>26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1731</v>
      </c>
      <c r="B108" t="s">
        <v>84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1731</v>
      </c>
      <c r="B109" t="s">
        <v>19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1731</v>
      </c>
      <c r="B110" t="s">
        <v>45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1731</v>
      </c>
      <c r="B111" t="s">
        <v>85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1731</v>
      </c>
      <c r="B112" t="s">
        <v>54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1731</v>
      </c>
      <c r="B113" t="s">
        <v>94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1731</v>
      </c>
      <c r="B114" t="s">
        <v>20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1731</v>
      </c>
      <c r="B115" t="s">
        <v>21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1731</v>
      </c>
      <c r="B116" t="s">
        <v>22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1731</v>
      </c>
      <c r="B117" t="s">
        <v>61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1731</v>
      </c>
      <c r="B118" t="s">
        <v>91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1731</v>
      </c>
      <c r="B119" t="s">
        <v>97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1731</v>
      </c>
      <c r="B120" t="s">
        <v>87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1731</v>
      </c>
      <c r="B121" t="s">
        <v>62</v>
      </c>
      <c r="C121" t="s">
        <v>73</v>
      </c>
      <c r="D121" t="s">
        <v>35</v>
      </c>
      <c r="E121">
        <v>2</v>
      </c>
      <c r="J121">
        <f t="shared" si="2"/>
        <v>4480</v>
      </c>
      <c r="L121">
        <f t="shared" si="3"/>
        <v>2</v>
      </c>
    </row>
    <row r="122" spans="1:12" x14ac:dyDescent="0.25">
      <c r="A122">
        <v>1731</v>
      </c>
      <c r="B122" t="s">
        <v>88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1731</v>
      </c>
      <c r="B123" t="s">
        <v>63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1731</v>
      </c>
      <c r="B124" t="s">
        <v>89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1731</v>
      </c>
      <c r="B125" t="s">
        <v>70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1731</v>
      </c>
      <c r="B126" t="s">
        <v>64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1731</v>
      </c>
      <c r="B127" t="s">
        <v>65</v>
      </c>
      <c r="C127" t="s">
        <v>73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8"/>
  <sheetViews>
    <sheetView topLeftCell="A109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1731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1731</v>
      </c>
      <c r="B3" t="s">
        <v>57</v>
      </c>
      <c r="C3" t="s">
        <v>74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1731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1731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1731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1731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1731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1731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1731</v>
      </c>
      <c r="B10" t="s">
        <v>5</v>
      </c>
      <c r="C10" t="s">
        <v>74</v>
      </c>
      <c r="D10" t="s">
        <v>33</v>
      </c>
      <c r="F10">
        <v>8</v>
      </c>
      <c r="G10">
        <v>1</v>
      </c>
      <c r="J10">
        <f t="shared" si="0"/>
        <v>924</v>
      </c>
      <c r="L10">
        <f t="shared" si="1"/>
        <v>0.41249999999999998</v>
      </c>
    </row>
    <row r="11" spans="1:15" x14ac:dyDescent="0.25">
      <c r="A11">
        <v>1731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1731</v>
      </c>
      <c r="B12" t="s">
        <v>6</v>
      </c>
      <c r="C12" t="s">
        <v>74</v>
      </c>
      <c r="D12" t="s">
        <v>33</v>
      </c>
      <c r="F12">
        <v>150143</v>
      </c>
      <c r="G12">
        <v>1</v>
      </c>
      <c r="H12">
        <v>4</v>
      </c>
      <c r="J12">
        <f t="shared" si="0"/>
        <v>16816048</v>
      </c>
      <c r="L12">
        <f t="shared" si="1"/>
        <v>7507.1642857142861</v>
      </c>
    </row>
    <row r="13" spans="1:15" x14ac:dyDescent="0.25">
      <c r="A13">
        <v>1731</v>
      </c>
      <c r="B13" t="s">
        <v>95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1731</v>
      </c>
      <c r="B14" t="s">
        <v>60</v>
      </c>
      <c r="C14" t="s">
        <v>74</v>
      </c>
      <c r="D14" t="s">
        <v>33</v>
      </c>
      <c r="H14">
        <v>620</v>
      </c>
      <c r="J14">
        <f t="shared" si="0"/>
        <v>620</v>
      </c>
      <c r="L14">
        <f t="shared" si="1"/>
        <v>0.2767857142857143</v>
      </c>
    </row>
    <row r="15" spans="1:15" x14ac:dyDescent="0.25">
      <c r="A15">
        <v>1731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1731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1731</v>
      </c>
      <c r="B17" t="s">
        <v>8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1731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1731</v>
      </c>
      <c r="B19" t="s">
        <v>77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1731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1731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1731</v>
      </c>
      <c r="B22" t="s">
        <v>9</v>
      </c>
      <c r="C22" t="s">
        <v>74</v>
      </c>
      <c r="D22" t="s">
        <v>33</v>
      </c>
      <c r="H22">
        <f>1091*200</f>
        <v>218200</v>
      </c>
      <c r="I22" t="s">
        <v>140</v>
      </c>
      <c r="J22">
        <f t="shared" si="0"/>
        <v>218200</v>
      </c>
      <c r="L22">
        <f t="shared" si="1"/>
        <v>97.410714285714292</v>
      </c>
    </row>
    <row r="23" spans="1:12" x14ac:dyDescent="0.25">
      <c r="A23">
        <v>1731</v>
      </c>
      <c r="B23" t="s">
        <v>10</v>
      </c>
      <c r="C23" t="s">
        <v>74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1731</v>
      </c>
      <c r="B24" t="s">
        <v>11</v>
      </c>
      <c r="C24" t="s">
        <v>74</v>
      </c>
      <c r="D24" t="s">
        <v>33</v>
      </c>
      <c r="F24">
        <v>32</v>
      </c>
      <c r="G24">
        <v>2</v>
      </c>
      <c r="H24">
        <v>10</v>
      </c>
      <c r="J24">
        <f t="shared" si="0"/>
        <v>3650</v>
      </c>
      <c r="L24">
        <f t="shared" si="1"/>
        <v>1.6294642857142858</v>
      </c>
    </row>
    <row r="25" spans="1:12" x14ac:dyDescent="0.25">
      <c r="A25">
        <v>1731</v>
      </c>
      <c r="B25" t="s">
        <v>39</v>
      </c>
      <c r="C25" t="s">
        <v>74</v>
      </c>
      <c r="D25" t="s">
        <v>33</v>
      </c>
      <c r="H25">
        <v>33</v>
      </c>
      <c r="J25">
        <f t="shared" si="0"/>
        <v>33</v>
      </c>
      <c r="L25">
        <f t="shared" si="1"/>
        <v>1.4732142857142857E-2</v>
      </c>
    </row>
    <row r="26" spans="1:12" x14ac:dyDescent="0.25">
      <c r="A26">
        <v>1731</v>
      </c>
      <c r="B26" t="s">
        <v>79</v>
      </c>
      <c r="C26" t="s">
        <v>74</v>
      </c>
      <c r="D26" t="s">
        <v>33</v>
      </c>
      <c r="H26">
        <v>750</v>
      </c>
      <c r="J26">
        <f t="shared" si="0"/>
        <v>750</v>
      </c>
      <c r="L26">
        <f t="shared" si="1"/>
        <v>0.33482142857142855</v>
      </c>
    </row>
    <row r="27" spans="1:12" x14ac:dyDescent="0.25">
      <c r="A27">
        <v>1731</v>
      </c>
      <c r="B27" t="s">
        <v>136</v>
      </c>
      <c r="C27" t="s">
        <v>74</v>
      </c>
      <c r="D27" t="s">
        <v>33</v>
      </c>
      <c r="H27">
        <v>3101</v>
      </c>
      <c r="J27">
        <f t="shared" si="0"/>
        <v>3101</v>
      </c>
      <c r="L27">
        <f t="shared" si="1"/>
        <v>1.3843749999999999</v>
      </c>
    </row>
    <row r="28" spans="1:12" x14ac:dyDescent="0.25">
      <c r="A28">
        <v>1731</v>
      </c>
      <c r="B28" t="s">
        <v>102</v>
      </c>
      <c r="C28" t="s">
        <v>74</v>
      </c>
      <c r="D28" t="s">
        <v>33</v>
      </c>
      <c r="H28">
        <v>269</v>
      </c>
      <c r="J28">
        <f t="shared" si="0"/>
        <v>269</v>
      </c>
      <c r="L28">
        <f t="shared" si="1"/>
        <v>0.12008928571428572</v>
      </c>
    </row>
    <row r="29" spans="1:12" x14ac:dyDescent="0.25">
      <c r="A29">
        <v>1731</v>
      </c>
      <c r="B29" t="s">
        <v>44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1731</v>
      </c>
      <c r="B30" t="s">
        <v>96</v>
      </c>
      <c r="C30" t="s">
        <v>74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1731</v>
      </c>
      <c r="B31" t="s">
        <v>12</v>
      </c>
      <c r="C31" t="s">
        <v>74</v>
      </c>
      <c r="D31" t="s">
        <v>33</v>
      </c>
      <c r="H31">
        <v>638</v>
      </c>
      <c r="J31">
        <f t="shared" si="0"/>
        <v>638</v>
      </c>
      <c r="L31">
        <f t="shared" si="1"/>
        <v>0.28482142857142856</v>
      </c>
    </row>
    <row r="32" spans="1:12" x14ac:dyDescent="0.25">
      <c r="A32">
        <v>1731</v>
      </c>
      <c r="B32" t="s">
        <v>82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1731</v>
      </c>
      <c r="B33" t="s">
        <v>34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1731</v>
      </c>
      <c r="B34" t="s">
        <v>13</v>
      </c>
      <c r="C34" t="s">
        <v>74</v>
      </c>
      <c r="D34" t="s">
        <v>33</v>
      </c>
      <c r="E34">
        <v>7</v>
      </c>
      <c r="J34">
        <f t="shared" si="0"/>
        <v>15680</v>
      </c>
      <c r="L34">
        <f t="shared" si="1"/>
        <v>7</v>
      </c>
    </row>
    <row r="35" spans="1:12" x14ac:dyDescent="0.25">
      <c r="A35">
        <v>1731</v>
      </c>
      <c r="B35" t="s">
        <v>14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1731</v>
      </c>
      <c r="B36" t="s">
        <v>23</v>
      </c>
      <c r="C36" t="s">
        <v>74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1731</v>
      </c>
      <c r="B37" t="s">
        <v>27</v>
      </c>
      <c r="C37" t="s">
        <v>74</v>
      </c>
      <c r="D37" t="s">
        <v>33</v>
      </c>
      <c r="H37">
        <v>38440</v>
      </c>
      <c r="I37" t="s">
        <v>139</v>
      </c>
      <c r="J37">
        <f t="shared" si="0"/>
        <v>38440</v>
      </c>
      <c r="L37">
        <f t="shared" si="1"/>
        <v>17.160714285714285</v>
      </c>
    </row>
    <row r="38" spans="1:12" x14ac:dyDescent="0.25">
      <c r="A38">
        <v>1731</v>
      </c>
      <c r="B38" t="s">
        <v>15</v>
      </c>
      <c r="C38" t="s">
        <v>74</v>
      </c>
      <c r="D38" t="s">
        <v>33</v>
      </c>
      <c r="F38">
        <v>1</v>
      </c>
      <c r="H38">
        <v>17</v>
      </c>
      <c r="J38">
        <f t="shared" si="0"/>
        <v>129</v>
      </c>
      <c r="L38">
        <f t="shared" si="1"/>
        <v>5.7589285714285711E-2</v>
      </c>
    </row>
    <row r="39" spans="1:12" x14ac:dyDescent="0.25">
      <c r="A39">
        <v>1731</v>
      </c>
      <c r="B39" t="s">
        <v>42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1731</v>
      </c>
      <c r="B40" t="s">
        <v>83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1731</v>
      </c>
      <c r="B41" t="s">
        <v>47</v>
      </c>
      <c r="C41" t="s">
        <v>74</v>
      </c>
      <c r="D41" t="s">
        <v>33</v>
      </c>
      <c r="H41">
        <v>220</v>
      </c>
      <c r="I41" t="s">
        <v>137</v>
      </c>
      <c r="J41">
        <f t="shared" si="0"/>
        <v>220</v>
      </c>
      <c r="L41">
        <f t="shared" si="1"/>
        <v>9.8214285714285712E-2</v>
      </c>
    </row>
    <row r="42" spans="1:12" x14ac:dyDescent="0.25">
      <c r="A42">
        <v>1731</v>
      </c>
      <c r="B42" t="s">
        <v>16</v>
      </c>
      <c r="C42" t="s">
        <v>74</v>
      </c>
      <c r="D42" t="s">
        <v>33</v>
      </c>
      <c r="H42">
        <v>1188</v>
      </c>
      <c r="J42">
        <f t="shared" si="0"/>
        <v>1188</v>
      </c>
      <c r="L42">
        <f t="shared" si="1"/>
        <v>0.53035714285714286</v>
      </c>
    </row>
    <row r="43" spans="1:12" x14ac:dyDescent="0.25">
      <c r="A43">
        <v>1731</v>
      </c>
      <c r="B43" t="s">
        <v>17</v>
      </c>
      <c r="C43" t="s">
        <v>74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1731</v>
      </c>
      <c r="B44" t="s">
        <v>18</v>
      </c>
      <c r="C44" t="s">
        <v>74</v>
      </c>
      <c r="D44" t="s">
        <v>33</v>
      </c>
      <c r="H44">
        <v>44511.5</v>
      </c>
      <c r="I44" t="s">
        <v>138</v>
      </c>
      <c r="J44">
        <f t="shared" si="0"/>
        <v>44511.5</v>
      </c>
      <c r="L44">
        <f t="shared" si="1"/>
        <v>19.871205357142856</v>
      </c>
    </row>
    <row r="45" spans="1:12" x14ac:dyDescent="0.25">
      <c r="A45">
        <v>1731</v>
      </c>
      <c r="B45" t="s">
        <v>26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1731</v>
      </c>
      <c r="B46" t="s">
        <v>84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1731</v>
      </c>
      <c r="B47" t="s">
        <v>19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1731</v>
      </c>
      <c r="B48" t="s">
        <v>45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1731</v>
      </c>
      <c r="B49" t="s">
        <v>85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1731</v>
      </c>
      <c r="B50" t="s">
        <v>54</v>
      </c>
      <c r="C50" t="s">
        <v>74</v>
      </c>
      <c r="D50" t="s">
        <v>33</v>
      </c>
      <c r="H50">
        <v>520</v>
      </c>
      <c r="J50">
        <f t="shared" si="0"/>
        <v>520</v>
      </c>
      <c r="L50">
        <f t="shared" si="1"/>
        <v>0.23214285714285715</v>
      </c>
    </row>
    <row r="51" spans="1:12" x14ac:dyDescent="0.25">
      <c r="A51">
        <v>1731</v>
      </c>
      <c r="B51" t="s">
        <v>94</v>
      </c>
      <c r="C51" t="s">
        <v>74</v>
      </c>
      <c r="D51" t="s">
        <v>33</v>
      </c>
      <c r="H51">
        <v>193</v>
      </c>
      <c r="J51">
        <f t="shared" si="0"/>
        <v>193</v>
      </c>
      <c r="L51">
        <f t="shared" si="1"/>
        <v>8.6160714285714285E-2</v>
      </c>
    </row>
    <row r="52" spans="1:12" x14ac:dyDescent="0.25">
      <c r="A52">
        <v>1731</v>
      </c>
      <c r="B52" t="s">
        <v>20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1731</v>
      </c>
      <c r="B53" t="s">
        <v>21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1731</v>
      </c>
      <c r="B54" t="s">
        <v>90</v>
      </c>
      <c r="C54" t="s">
        <v>74</v>
      </c>
      <c r="D54" t="s">
        <v>33</v>
      </c>
      <c r="F54">
        <v>28</v>
      </c>
      <c r="G54">
        <v>1</v>
      </c>
      <c r="J54">
        <f t="shared" si="0"/>
        <v>3164</v>
      </c>
      <c r="L54">
        <f t="shared" si="1"/>
        <v>1.4125000000000001</v>
      </c>
    </row>
    <row r="55" spans="1:12" x14ac:dyDescent="0.25">
      <c r="A55">
        <v>1731</v>
      </c>
      <c r="B55" t="s">
        <v>22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1731</v>
      </c>
      <c r="B56" t="s">
        <v>61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1731</v>
      </c>
      <c r="B57" t="s">
        <v>98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1731</v>
      </c>
      <c r="B58" t="s">
        <v>87</v>
      </c>
      <c r="C58" t="s">
        <v>74</v>
      </c>
      <c r="D58" t="s">
        <v>33</v>
      </c>
      <c r="E58">
        <v>2</v>
      </c>
      <c r="J58">
        <f t="shared" si="0"/>
        <v>4480</v>
      </c>
      <c r="L58">
        <f t="shared" si="1"/>
        <v>2</v>
      </c>
    </row>
    <row r="59" spans="1:12" x14ac:dyDescent="0.25">
      <c r="A59">
        <v>1731</v>
      </c>
      <c r="B59" t="s">
        <v>62</v>
      </c>
      <c r="C59" t="s">
        <v>74</v>
      </c>
      <c r="D59" t="s">
        <v>33</v>
      </c>
      <c r="E59">
        <v>206</v>
      </c>
      <c r="G59">
        <v>3</v>
      </c>
      <c r="J59">
        <f t="shared" si="0"/>
        <v>461524</v>
      </c>
      <c r="L59">
        <f t="shared" si="1"/>
        <v>206.03749999999999</v>
      </c>
    </row>
    <row r="60" spans="1:12" x14ac:dyDescent="0.25">
      <c r="A60">
        <v>1731</v>
      </c>
      <c r="B60" t="s">
        <v>88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1731</v>
      </c>
      <c r="B61" t="s">
        <v>63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1731</v>
      </c>
      <c r="B62" t="s">
        <v>89</v>
      </c>
      <c r="C62" t="s">
        <v>74</v>
      </c>
      <c r="D62" t="s">
        <v>33</v>
      </c>
      <c r="E62">
        <v>2</v>
      </c>
      <c r="H62">
        <v>71</v>
      </c>
      <c r="J62">
        <f t="shared" si="0"/>
        <v>4551</v>
      </c>
      <c r="L62">
        <f t="shared" si="1"/>
        <v>2.0316964285714287</v>
      </c>
    </row>
    <row r="63" spans="1:12" x14ac:dyDescent="0.25">
      <c r="A63">
        <v>1731</v>
      </c>
      <c r="B63" t="s">
        <v>70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1731</v>
      </c>
      <c r="B64" t="s">
        <v>64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1731</v>
      </c>
      <c r="B65" t="s">
        <v>65</v>
      </c>
      <c r="C65" t="s">
        <v>74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1731</v>
      </c>
      <c r="B66" t="s">
        <v>55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1731</v>
      </c>
      <c r="B67" t="s">
        <v>57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1731</v>
      </c>
      <c r="B68" t="s">
        <v>36</v>
      </c>
      <c r="C68" t="s">
        <v>74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1731</v>
      </c>
      <c r="B69" t="s">
        <v>4</v>
      </c>
      <c r="C69" t="s">
        <v>74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1731</v>
      </c>
      <c r="B70" t="s">
        <v>58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1731</v>
      </c>
      <c r="B71" t="s">
        <v>69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1731</v>
      </c>
      <c r="B72" t="s">
        <v>43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1731</v>
      </c>
      <c r="B73" t="s">
        <v>76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1731</v>
      </c>
      <c r="B74" t="s">
        <v>5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1731</v>
      </c>
      <c r="B75" t="s">
        <v>59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1731</v>
      </c>
      <c r="B76" t="s">
        <v>6</v>
      </c>
      <c r="C76" t="s">
        <v>74</v>
      </c>
      <c r="D76" t="s">
        <v>35</v>
      </c>
      <c r="F76">
        <v>24357</v>
      </c>
      <c r="G76">
        <v>2</v>
      </c>
      <c r="H76">
        <v>4</v>
      </c>
      <c r="J76">
        <f t="shared" si="2"/>
        <v>2728044</v>
      </c>
      <c r="L76">
        <f t="shared" si="3"/>
        <v>1217.8767857142857</v>
      </c>
    </row>
    <row r="77" spans="1:12" x14ac:dyDescent="0.25">
      <c r="A77">
        <v>1731</v>
      </c>
      <c r="B77" t="s">
        <v>60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1731</v>
      </c>
      <c r="B78" t="s">
        <v>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1731</v>
      </c>
      <c r="B79" t="s">
        <v>37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1731</v>
      </c>
      <c r="B80" t="s">
        <v>8</v>
      </c>
      <c r="C80" t="s">
        <v>74</v>
      </c>
      <c r="D80" t="s">
        <v>35</v>
      </c>
      <c r="F80">
        <v>118</v>
      </c>
      <c r="G80">
        <v>1</v>
      </c>
      <c r="H80">
        <v>3</v>
      </c>
      <c r="J80">
        <f t="shared" si="2"/>
        <v>13247</v>
      </c>
      <c r="L80">
        <f t="shared" si="3"/>
        <v>5.9138392857142854</v>
      </c>
    </row>
    <row r="81" spans="1:12" x14ac:dyDescent="0.25">
      <c r="A81">
        <v>1731</v>
      </c>
      <c r="B81" t="s">
        <v>40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1731</v>
      </c>
      <c r="B82" t="s">
        <v>77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1731</v>
      </c>
      <c r="B83" t="s">
        <v>78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1731</v>
      </c>
      <c r="B84" t="s">
        <v>46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1731</v>
      </c>
      <c r="B85" t="s">
        <v>9</v>
      </c>
      <c r="C85" t="s">
        <v>74</v>
      </c>
      <c r="D85" t="s">
        <v>35</v>
      </c>
      <c r="H85">
        <f>674*200+95</f>
        <v>134895</v>
      </c>
      <c r="I85" t="s">
        <v>161</v>
      </c>
      <c r="J85">
        <f t="shared" si="2"/>
        <v>134895</v>
      </c>
      <c r="L85">
        <f t="shared" si="3"/>
        <v>60.220982142857146</v>
      </c>
    </row>
    <row r="86" spans="1:12" x14ac:dyDescent="0.25">
      <c r="A86">
        <v>1731</v>
      </c>
      <c r="B86" t="s">
        <v>10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1731</v>
      </c>
      <c r="B87" t="s">
        <v>11</v>
      </c>
      <c r="C87" t="s">
        <v>74</v>
      </c>
      <c r="D87" t="s">
        <v>35</v>
      </c>
      <c r="F87">
        <v>41</v>
      </c>
      <c r="G87">
        <v>3</v>
      </c>
      <c r="H87">
        <v>20</v>
      </c>
      <c r="J87">
        <f t="shared" si="2"/>
        <v>4696</v>
      </c>
      <c r="L87">
        <f t="shared" si="3"/>
        <v>2.0964285714285715</v>
      </c>
    </row>
    <row r="88" spans="1:12" x14ac:dyDescent="0.25">
      <c r="A88">
        <v>1731</v>
      </c>
      <c r="B88" t="s">
        <v>39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1731</v>
      </c>
      <c r="B89" t="s">
        <v>79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1731</v>
      </c>
      <c r="B90" t="s">
        <v>102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1731</v>
      </c>
      <c r="B91" t="s">
        <v>44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1731</v>
      </c>
      <c r="B92" t="s">
        <v>96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1731</v>
      </c>
      <c r="B93" t="s">
        <v>12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1731</v>
      </c>
      <c r="B94" t="s">
        <v>82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1731</v>
      </c>
      <c r="B95" t="s">
        <v>34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1731</v>
      </c>
      <c r="B96" t="s">
        <v>13</v>
      </c>
      <c r="C96" t="s">
        <v>74</v>
      </c>
      <c r="D96" t="s">
        <v>35</v>
      </c>
      <c r="E96">
        <v>16</v>
      </c>
      <c r="F96">
        <v>1</v>
      </c>
      <c r="H96">
        <v>4</v>
      </c>
      <c r="J96">
        <f t="shared" si="2"/>
        <v>35956</v>
      </c>
      <c r="L96">
        <f t="shared" si="3"/>
        <v>16.051785714285714</v>
      </c>
    </row>
    <row r="97" spans="1:12" x14ac:dyDescent="0.25">
      <c r="A97">
        <v>1731</v>
      </c>
      <c r="B97" t="s">
        <v>14</v>
      </c>
      <c r="C97" t="s">
        <v>74</v>
      </c>
      <c r="D97" t="s">
        <v>35</v>
      </c>
      <c r="H97">
        <v>590</v>
      </c>
      <c r="I97" t="s">
        <v>159</v>
      </c>
      <c r="J97">
        <f t="shared" si="2"/>
        <v>590</v>
      </c>
      <c r="L97">
        <f t="shared" si="3"/>
        <v>0.26339285714285715</v>
      </c>
    </row>
    <row r="98" spans="1:12" x14ac:dyDescent="0.25">
      <c r="A98">
        <v>1731</v>
      </c>
      <c r="B98" t="s">
        <v>23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1731</v>
      </c>
      <c r="B99" t="s">
        <v>27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1731</v>
      </c>
      <c r="B100" t="s">
        <v>15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1731</v>
      </c>
      <c r="B101" t="s">
        <v>92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1731</v>
      </c>
      <c r="B102" t="s">
        <v>42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1731</v>
      </c>
      <c r="B103" t="s">
        <v>83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1731</v>
      </c>
      <c r="B104" t="s">
        <v>47</v>
      </c>
      <c r="C104" t="s">
        <v>74</v>
      </c>
      <c r="D104" t="s">
        <v>35</v>
      </c>
      <c r="H104">
        <v>20</v>
      </c>
      <c r="I104" t="s">
        <v>146</v>
      </c>
      <c r="J104">
        <f t="shared" si="2"/>
        <v>20</v>
      </c>
      <c r="L104">
        <f t="shared" si="3"/>
        <v>8.9285714285714281E-3</v>
      </c>
    </row>
    <row r="105" spans="1:12" x14ac:dyDescent="0.25">
      <c r="A105">
        <v>1731</v>
      </c>
      <c r="B105" t="s">
        <v>16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1731</v>
      </c>
      <c r="B106" t="s">
        <v>17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1731</v>
      </c>
      <c r="B107" t="s">
        <v>18</v>
      </c>
      <c r="C107" t="s">
        <v>74</v>
      </c>
      <c r="D107" t="s">
        <v>35</v>
      </c>
      <c r="H107">
        <v>38105</v>
      </c>
      <c r="I107" t="s">
        <v>160</v>
      </c>
      <c r="J107">
        <f t="shared" si="2"/>
        <v>38105</v>
      </c>
      <c r="L107">
        <f t="shared" si="3"/>
        <v>17.011160714285715</v>
      </c>
    </row>
    <row r="108" spans="1:12" x14ac:dyDescent="0.25">
      <c r="A108">
        <v>1731</v>
      </c>
      <c r="B108" t="s">
        <v>26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1731</v>
      </c>
      <c r="B109" t="s">
        <v>84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1731</v>
      </c>
      <c r="B110" t="s">
        <v>19</v>
      </c>
      <c r="C110" t="s">
        <v>74</v>
      </c>
      <c r="D110" t="s">
        <v>35</v>
      </c>
      <c r="F110">
        <v>6</v>
      </c>
      <c r="G110">
        <v>1</v>
      </c>
      <c r="H110">
        <v>5</v>
      </c>
      <c r="J110">
        <f t="shared" si="2"/>
        <v>705</v>
      </c>
      <c r="L110">
        <f t="shared" si="3"/>
        <v>0.31473214285714285</v>
      </c>
    </row>
    <row r="111" spans="1:12" x14ac:dyDescent="0.25">
      <c r="A111">
        <v>1731</v>
      </c>
      <c r="B111" t="s">
        <v>45</v>
      </c>
      <c r="C111" t="s">
        <v>74</v>
      </c>
      <c r="D111" t="s">
        <v>35</v>
      </c>
      <c r="H111">
        <v>703</v>
      </c>
      <c r="J111">
        <f t="shared" si="2"/>
        <v>703</v>
      </c>
      <c r="L111">
        <f t="shared" si="3"/>
        <v>0.31383928571428571</v>
      </c>
    </row>
    <row r="112" spans="1:12" x14ac:dyDescent="0.25">
      <c r="A112">
        <v>1731</v>
      </c>
      <c r="B112" t="s">
        <v>85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1731</v>
      </c>
      <c r="B113" t="s">
        <v>54</v>
      </c>
      <c r="C113" t="s">
        <v>74</v>
      </c>
      <c r="D113" t="s">
        <v>35</v>
      </c>
      <c r="H113">
        <v>40</v>
      </c>
      <c r="J113">
        <f t="shared" si="2"/>
        <v>40</v>
      </c>
      <c r="L113">
        <f t="shared" si="3"/>
        <v>1.7857142857142856E-2</v>
      </c>
    </row>
    <row r="114" spans="1:12" x14ac:dyDescent="0.25">
      <c r="A114">
        <v>1731</v>
      </c>
      <c r="B114" t="s">
        <v>94</v>
      </c>
      <c r="C114" t="s">
        <v>74</v>
      </c>
      <c r="D114" t="s">
        <v>35</v>
      </c>
      <c r="H114">
        <v>9</v>
      </c>
      <c r="J114">
        <f t="shared" si="2"/>
        <v>9</v>
      </c>
      <c r="L114">
        <f t="shared" si="3"/>
        <v>4.0178571428571425E-3</v>
      </c>
    </row>
    <row r="115" spans="1:12" x14ac:dyDescent="0.25">
      <c r="A115">
        <v>1731</v>
      </c>
      <c r="B115" t="s">
        <v>20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1731</v>
      </c>
      <c r="B116" t="s">
        <v>21</v>
      </c>
      <c r="C116" t="s">
        <v>74</v>
      </c>
      <c r="D116" t="s">
        <v>35</v>
      </c>
      <c r="H116">
        <v>98</v>
      </c>
      <c r="J116">
        <f t="shared" si="2"/>
        <v>98</v>
      </c>
      <c r="L116">
        <f t="shared" si="3"/>
        <v>4.3749999999999997E-2</v>
      </c>
    </row>
    <row r="117" spans="1:12" x14ac:dyDescent="0.25">
      <c r="A117">
        <v>1731</v>
      </c>
      <c r="B117" t="s">
        <v>22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1731</v>
      </c>
      <c r="B118" t="s">
        <v>61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1731</v>
      </c>
      <c r="B119" t="s">
        <v>91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1731</v>
      </c>
      <c r="B120" t="s">
        <v>97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1731</v>
      </c>
      <c r="B121" t="s">
        <v>87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1731</v>
      </c>
      <c r="B122" t="s">
        <v>62</v>
      </c>
      <c r="C122" t="s">
        <v>74</v>
      </c>
      <c r="D122" t="s">
        <v>35</v>
      </c>
      <c r="E122">
        <v>188</v>
      </c>
      <c r="F122">
        <v>3</v>
      </c>
      <c r="G122">
        <v>3</v>
      </c>
      <c r="H122">
        <v>23</v>
      </c>
      <c r="J122">
        <f t="shared" si="2"/>
        <v>421563</v>
      </c>
      <c r="L122">
        <f t="shared" si="3"/>
        <v>188.19776785714285</v>
      </c>
    </row>
    <row r="123" spans="1:12" x14ac:dyDescent="0.25">
      <c r="A123">
        <v>1731</v>
      </c>
      <c r="B123" t="s">
        <v>88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1731</v>
      </c>
      <c r="B124" t="s">
        <v>63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1731</v>
      </c>
      <c r="B125" t="s">
        <v>89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1731</v>
      </c>
      <c r="B126" t="s">
        <v>70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1731</v>
      </c>
      <c r="B127" t="s">
        <v>64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1731</v>
      </c>
      <c r="B128" t="s">
        <v>65</v>
      </c>
      <c r="C128" t="s">
        <v>74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95</v>
      </c>
      <c r="C13" t="s">
        <v>93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93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93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93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93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93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93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93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93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93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93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93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102</v>
      </c>
      <c r="C27" t="s">
        <v>93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93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96</v>
      </c>
      <c r="C29" t="s">
        <v>93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93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93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93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93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93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93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93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93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93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93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93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93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93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93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93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93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93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93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93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93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94</v>
      </c>
      <c r="C50" t="s">
        <v>93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93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93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93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93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98</v>
      </c>
      <c r="C55" t="s">
        <v>93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93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93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93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93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93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93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93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93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93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93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93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93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93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93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93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93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93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93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93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93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93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93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93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93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93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93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93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93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93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93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93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102</v>
      </c>
      <c r="C88" t="s">
        <v>93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93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96</v>
      </c>
      <c r="C90" t="s">
        <v>93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93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93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93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93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93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93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93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93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92</v>
      </c>
      <c r="C99" t="s">
        <v>93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93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93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93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93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93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93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93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93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93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93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93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93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94</v>
      </c>
      <c r="C112" t="s">
        <v>93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93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93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93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93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93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97</v>
      </c>
      <c r="C118" t="s">
        <v>93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93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93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93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93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93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93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93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9"/>
  <sheetViews>
    <sheetView topLeftCell="A106" workbookViewId="0">
      <selection activeCell="H46" sqref="H4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1731</v>
      </c>
      <c r="B2" t="s">
        <v>55</v>
      </c>
      <c r="C2" t="s">
        <v>99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1731</v>
      </c>
      <c r="B3" t="s">
        <v>57</v>
      </c>
      <c r="C3" t="s">
        <v>99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1731</v>
      </c>
      <c r="B4" t="s">
        <v>36</v>
      </c>
      <c r="C4" t="s">
        <v>99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1731</v>
      </c>
      <c r="B5" t="s">
        <v>4</v>
      </c>
      <c r="C5" t="s">
        <v>99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1731</v>
      </c>
      <c r="B6" t="s">
        <v>58</v>
      </c>
      <c r="C6" t="s">
        <v>99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1731</v>
      </c>
      <c r="B7" t="s">
        <v>69</v>
      </c>
      <c r="C7" t="s">
        <v>99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1731</v>
      </c>
      <c r="B8" t="s">
        <v>100</v>
      </c>
      <c r="C8" t="s">
        <v>99</v>
      </c>
      <c r="D8" t="s">
        <v>33</v>
      </c>
      <c r="H8">
        <v>250</v>
      </c>
      <c r="J8">
        <f t="shared" si="0"/>
        <v>250</v>
      </c>
      <c r="L8">
        <f t="shared" si="1"/>
        <v>0.11160714285714286</v>
      </c>
    </row>
    <row r="9" spans="1:15" x14ac:dyDescent="0.25">
      <c r="A9">
        <v>1731</v>
      </c>
      <c r="B9" t="s">
        <v>43</v>
      </c>
      <c r="C9" t="s">
        <v>99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1731</v>
      </c>
      <c r="B10" t="s">
        <v>76</v>
      </c>
      <c r="C10" t="s">
        <v>99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1731</v>
      </c>
      <c r="B11" t="s">
        <v>103</v>
      </c>
      <c r="C11" t="s">
        <v>99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1731</v>
      </c>
      <c r="B12" t="s">
        <v>5</v>
      </c>
      <c r="C12" t="s">
        <v>99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1731</v>
      </c>
      <c r="B13" t="s">
        <v>59</v>
      </c>
      <c r="C13" t="s">
        <v>99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1731</v>
      </c>
      <c r="B14" t="s">
        <v>6</v>
      </c>
      <c r="C14" t="s">
        <v>99</v>
      </c>
      <c r="D14" t="s">
        <v>33</v>
      </c>
      <c r="F14">
        <v>725</v>
      </c>
      <c r="G14">
        <v>2</v>
      </c>
      <c r="H14">
        <v>14</v>
      </c>
      <c r="J14">
        <f t="shared" si="0"/>
        <v>81270</v>
      </c>
      <c r="L14">
        <f t="shared" si="1"/>
        <v>36.28125</v>
      </c>
    </row>
    <row r="15" spans="1:15" x14ac:dyDescent="0.25">
      <c r="A15">
        <v>1731</v>
      </c>
      <c r="B15" t="s">
        <v>95</v>
      </c>
      <c r="C15" t="s">
        <v>99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1731</v>
      </c>
      <c r="B16" t="s">
        <v>60</v>
      </c>
      <c r="C16" t="s">
        <v>99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1731</v>
      </c>
      <c r="B17" t="s">
        <v>7</v>
      </c>
      <c r="C17" t="s">
        <v>99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1731</v>
      </c>
      <c r="B18" t="s">
        <v>37</v>
      </c>
      <c r="C18" t="s">
        <v>99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1731</v>
      </c>
      <c r="B19" t="s">
        <v>8</v>
      </c>
      <c r="C19" t="s">
        <v>99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1731</v>
      </c>
      <c r="B20" t="s">
        <v>40</v>
      </c>
      <c r="C20" t="s">
        <v>99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1731</v>
      </c>
      <c r="B21" t="s">
        <v>77</v>
      </c>
      <c r="C21" t="s">
        <v>99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1731</v>
      </c>
      <c r="B22" t="s">
        <v>78</v>
      </c>
      <c r="C22" t="s">
        <v>99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1731</v>
      </c>
      <c r="B23" t="s">
        <v>46</v>
      </c>
      <c r="C23" t="s">
        <v>99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1731</v>
      </c>
      <c r="B24" t="s">
        <v>9</v>
      </c>
      <c r="C24" t="s">
        <v>99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1731</v>
      </c>
      <c r="B25" t="s">
        <v>10</v>
      </c>
      <c r="C25" t="s">
        <v>99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1731</v>
      </c>
      <c r="B26" t="s">
        <v>11</v>
      </c>
      <c r="C26" t="s">
        <v>99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1731</v>
      </c>
      <c r="B27" t="s">
        <v>39</v>
      </c>
      <c r="C27" t="s">
        <v>99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1731</v>
      </c>
      <c r="B28" t="s">
        <v>79</v>
      </c>
      <c r="C28" t="s">
        <v>99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1731</v>
      </c>
      <c r="B29" t="s">
        <v>121</v>
      </c>
      <c r="C29" t="s">
        <v>99</v>
      </c>
      <c r="D29" t="s">
        <v>33</v>
      </c>
      <c r="H29">
        <v>1400</v>
      </c>
      <c r="J29">
        <f t="shared" si="0"/>
        <v>1400</v>
      </c>
      <c r="L29">
        <f t="shared" si="1"/>
        <v>0.625</v>
      </c>
    </row>
    <row r="30" spans="1:12" x14ac:dyDescent="0.25">
      <c r="A30">
        <v>1731</v>
      </c>
      <c r="B30" t="s">
        <v>44</v>
      </c>
      <c r="C30" t="s">
        <v>99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1731</v>
      </c>
      <c r="B31" t="s">
        <v>96</v>
      </c>
      <c r="C31" t="s">
        <v>99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1731</v>
      </c>
      <c r="B32" t="s">
        <v>12</v>
      </c>
      <c r="C32" t="s">
        <v>99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1731</v>
      </c>
      <c r="B33" t="s">
        <v>82</v>
      </c>
      <c r="C33" t="s">
        <v>99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1731</v>
      </c>
      <c r="B34" t="s">
        <v>34</v>
      </c>
      <c r="C34" t="s">
        <v>99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1731</v>
      </c>
      <c r="B35" t="s">
        <v>13</v>
      </c>
      <c r="C35" t="s">
        <v>99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1731</v>
      </c>
      <c r="B36" t="s">
        <v>14</v>
      </c>
      <c r="C36" t="s">
        <v>99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1731</v>
      </c>
      <c r="B37" t="s">
        <v>23</v>
      </c>
      <c r="C37" t="s">
        <v>99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1731</v>
      </c>
      <c r="B38" t="s">
        <v>27</v>
      </c>
      <c r="C38" t="s">
        <v>99</v>
      </c>
      <c r="D38" t="s">
        <v>33</v>
      </c>
      <c r="H38">
        <v>1000.5</v>
      </c>
      <c r="I38" t="s">
        <v>142</v>
      </c>
      <c r="J38">
        <f t="shared" si="0"/>
        <v>1000.5</v>
      </c>
      <c r="L38">
        <f t="shared" si="1"/>
        <v>0.44665178571428571</v>
      </c>
    </row>
    <row r="39" spans="1:12" x14ac:dyDescent="0.25">
      <c r="A39">
        <v>1731</v>
      </c>
      <c r="B39" t="s">
        <v>15</v>
      </c>
      <c r="C39" t="s">
        <v>99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1731</v>
      </c>
      <c r="B40" t="s">
        <v>42</v>
      </c>
      <c r="C40" t="s">
        <v>99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1731</v>
      </c>
      <c r="B41" t="s">
        <v>83</v>
      </c>
      <c r="C41" t="s">
        <v>99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1731</v>
      </c>
      <c r="B42" t="s">
        <v>47</v>
      </c>
      <c r="C42" t="s">
        <v>99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1731</v>
      </c>
      <c r="B43" t="s">
        <v>16</v>
      </c>
      <c r="C43" t="s">
        <v>99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1731</v>
      </c>
      <c r="B44" t="s">
        <v>17</v>
      </c>
      <c r="C44" t="s">
        <v>99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1731</v>
      </c>
      <c r="B45" t="s">
        <v>18</v>
      </c>
      <c r="C45" t="s">
        <v>99</v>
      </c>
      <c r="D45" t="s">
        <v>33</v>
      </c>
      <c r="H45">
        <v>16204</v>
      </c>
      <c r="I45" t="s">
        <v>141</v>
      </c>
      <c r="J45">
        <f t="shared" si="0"/>
        <v>16204</v>
      </c>
      <c r="L45">
        <f t="shared" si="1"/>
        <v>7.2339285714285717</v>
      </c>
    </row>
    <row r="46" spans="1:12" x14ac:dyDescent="0.25">
      <c r="A46">
        <v>1731</v>
      </c>
      <c r="B46" t="s">
        <v>26</v>
      </c>
      <c r="C46" t="s">
        <v>99</v>
      </c>
      <c r="D46" t="s">
        <v>33</v>
      </c>
      <c r="H46">
        <v>500</v>
      </c>
      <c r="J46">
        <f t="shared" si="0"/>
        <v>500</v>
      </c>
      <c r="L46">
        <f t="shared" si="1"/>
        <v>0.22321428571428573</v>
      </c>
    </row>
    <row r="47" spans="1:12" x14ac:dyDescent="0.25">
      <c r="A47">
        <v>1731</v>
      </c>
      <c r="B47" t="s">
        <v>84</v>
      </c>
      <c r="C47" t="s">
        <v>99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1731</v>
      </c>
      <c r="B48" t="s">
        <v>19</v>
      </c>
      <c r="C48" t="s">
        <v>99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1731</v>
      </c>
      <c r="B49" t="s">
        <v>45</v>
      </c>
      <c r="C49" t="s">
        <v>99</v>
      </c>
      <c r="D49" t="s">
        <v>33</v>
      </c>
      <c r="H49">
        <v>37635</v>
      </c>
      <c r="J49">
        <f t="shared" si="0"/>
        <v>37635</v>
      </c>
      <c r="L49">
        <f t="shared" si="1"/>
        <v>16.801339285714285</v>
      </c>
    </row>
    <row r="50" spans="1:12" x14ac:dyDescent="0.25">
      <c r="A50">
        <v>1731</v>
      </c>
      <c r="B50" t="s">
        <v>85</v>
      </c>
      <c r="C50" t="s">
        <v>99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1731</v>
      </c>
      <c r="B51" t="s">
        <v>54</v>
      </c>
      <c r="C51" t="s">
        <v>99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1731</v>
      </c>
      <c r="B52" t="s">
        <v>94</v>
      </c>
      <c r="C52" t="s">
        <v>99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1731</v>
      </c>
      <c r="B53" t="s">
        <v>20</v>
      </c>
      <c r="C53" t="s">
        <v>99</v>
      </c>
      <c r="D53" t="s">
        <v>33</v>
      </c>
      <c r="H53">
        <v>50</v>
      </c>
      <c r="J53">
        <f t="shared" si="0"/>
        <v>50</v>
      </c>
      <c r="L53">
        <f t="shared" si="1"/>
        <v>2.2321428571428572E-2</v>
      </c>
    </row>
    <row r="54" spans="1:12" x14ac:dyDescent="0.25">
      <c r="A54">
        <v>1731</v>
      </c>
      <c r="B54" t="s">
        <v>21</v>
      </c>
      <c r="C54" t="s">
        <v>99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1731</v>
      </c>
      <c r="B55" t="s">
        <v>90</v>
      </c>
      <c r="C55" t="s">
        <v>99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1731</v>
      </c>
      <c r="B56" t="s">
        <v>22</v>
      </c>
      <c r="C56" t="s">
        <v>99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1731</v>
      </c>
      <c r="B57" t="s">
        <v>61</v>
      </c>
      <c r="C57" t="s">
        <v>99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1731</v>
      </c>
      <c r="B58" t="s">
        <v>97</v>
      </c>
      <c r="C58" t="s">
        <v>99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1731</v>
      </c>
      <c r="B59" t="s">
        <v>87</v>
      </c>
      <c r="C59" t="s">
        <v>99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1731</v>
      </c>
      <c r="B60" t="s">
        <v>62</v>
      </c>
      <c r="C60" t="s">
        <v>99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1731</v>
      </c>
      <c r="B61" t="s">
        <v>88</v>
      </c>
      <c r="C61" t="s">
        <v>99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1731</v>
      </c>
      <c r="B62" t="s">
        <v>63</v>
      </c>
      <c r="C62" t="s">
        <v>99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1731</v>
      </c>
      <c r="B63" t="s">
        <v>89</v>
      </c>
      <c r="C63" t="s">
        <v>99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1731</v>
      </c>
      <c r="B64" t="s">
        <v>70</v>
      </c>
      <c r="C64" t="s">
        <v>99</v>
      </c>
      <c r="D64" t="s">
        <v>33</v>
      </c>
      <c r="E64">
        <v>18</v>
      </c>
      <c r="J64">
        <f t="shared" si="0"/>
        <v>40320</v>
      </c>
      <c r="L64">
        <f t="shared" si="1"/>
        <v>18</v>
      </c>
    </row>
    <row r="65" spans="1:12" x14ac:dyDescent="0.25">
      <c r="A65">
        <v>1731</v>
      </c>
      <c r="B65" t="s">
        <v>64</v>
      </c>
      <c r="C65" t="s">
        <v>99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1731</v>
      </c>
      <c r="B66" t="s">
        <v>65</v>
      </c>
      <c r="C66" t="s">
        <v>99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1731</v>
      </c>
      <c r="B67" t="s">
        <v>55</v>
      </c>
      <c r="C67" t="s">
        <v>99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1731</v>
      </c>
      <c r="B68" t="s">
        <v>57</v>
      </c>
      <c r="C68" t="s">
        <v>99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1731</v>
      </c>
      <c r="B69" t="s">
        <v>36</v>
      </c>
      <c r="C69" t="s">
        <v>99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1731</v>
      </c>
      <c r="B70" t="s">
        <v>4</v>
      </c>
      <c r="C70" t="s">
        <v>99</v>
      </c>
      <c r="D70" t="s">
        <v>35</v>
      </c>
      <c r="J70">
        <f t="shared" ref="J70:J129" si="2">(E70*2240)+(F70*112)+(G70*28)+H70</f>
        <v>0</v>
      </c>
      <c r="L70">
        <f t="shared" ref="L70:L129" si="3">J70/2240</f>
        <v>0</v>
      </c>
    </row>
    <row r="71" spans="1:12" x14ac:dyDescent="0.25">
      <c r="A71">
        <v>1731</v>
      </c>
      <c r="B71" t="s">
        <v>58</v>
      </c>
      <c r="C71" t="s">
        <v>99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1731</v>
      </c>
      <c r="B72" t="s">
        <v>69</v>
      </c>
      <c r="C72" t="s">
        <v>99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1731</v>
      </c>
      <c r="B73" t="s">
        <v>43</v>
      </c>
      <c r="C73" t="s">
        <v>99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1731</v>
      </c>
      <c r="B74" t="s">
        <v>76</v>
      </c>
      <c r="C74" t="s">
        <v>99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1731</v>
      </c>
      <c r="B75" t="s">
        <v>5</v>
      </c>
      <c r="C75" t="s">
        <v>99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1731</v>
      </c>
      <c r="B76" t="s">
        <v>59</v>
      </c>
      <c r="C76" t="s">
        <v>99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1731</v>
      </c>
      <c r="B77" t="s">
        <v>6</v>
      </c>
      <c r="C77" t="s">
        <v>99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1731</v>
      </c>
      <c r="B78" t="s">
        <v>60</v>
      </c>
      <c r="C78" t="s">
        <v>99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1731</v>
      </c>
      <c r="B79" t="s">
        <v>7</v>
      </c>
      <c r="C79" t="s">
        <v>99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1731</v>
      </c>
      <c r="B80" t="s">
        <v>37</v>
      </c>
      <c r="C80" t="s">
        <v>99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1731</v>
      </c>
      <c r="B81" t="s">
        <v>8</v>
      </c>
      <c r="C81" t="s">
        <v>99</v>
      </c>
      <c r="D81" t="s">
        <v>35</v>
      </c>
      <c r="F81">
        <v>33</v>
      </c>
      <c r="H81">
        <v>19</v>
      </c>
      <c r="J81">
        <f t="shared" si="2"/>
        <v>3715</v>
      </c>
      <c r="L81">
        <f t="shared" si="3"/>
        <v>1.6584821428571428</v>
      </c>
    </row>
    <row r="82" spans="1:12" x14ac:dyDescent="0.25">
      <c r="A82">
        <v>1731</v>
      </c>
      <c r="B82" t="s">
        <v>40</v>
      </c>
      <c r="C82" t="s">
        <v>99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1731</v>
      </c>
      <c r="B83" t="s">
        <v>77</v>
      </c>
      <c r="C83" t="s">
        <v>99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1731</v>
      </c>
      <c r="B84" t="s">
        <v>78</v>
      </c>
      <c r="C84" t="s">
        <v>99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1731</v>
      </c>
      <c r="B85" t="s">
        <v>46</v>
      </c>
      <c r="C85" t="s">
        <v>99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1731</v>
      </c>
      <c r="B86" t="s">
        <v>9</v>
      </c>
      <c r="C86" t="s">
        <v>99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1731</v>
      </c>
      <c r="B87" t="s">
        <v>10</v>
      </c>
      <c r="C87" t="s">
        <v>99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1731</v>
      </c>
      <c r="B88" t="s">
        <v>11</v>
      </c>
      <c r="C88" t="s">
        <v>99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1731</v>
      </c>
      <c r="B89" t="s">
        <v>39</v>
      </c>
      <c r="C89" t="s">
        <v>99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1731</v>
      </c>
      <c r="B90" t="s">
        <v>79</v>
      </c>
      <c r="C90" t="s">
        <v>99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1731</v>
      </c>
      <c r="B91" t="s">
        <v>102</v>
      </c>
      <c r="C91" t="s">
        <v>99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1731</v>
      </c>
      <c r="B92" t="s">
        <v>44</v>
      </c>
      <c r="C92" t="s">
        <v>99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1731</v>
      </c>
      <c r="B93" t="s">
        <v>96</v>
      </c>
      <c r="C93" t="s">
        <v>99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1731</v>
      </c>
      <c r="B94" t="s">
        <v>12</v>
      </c>
      <c r="C94" t="s">
        <v>99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1731</v>
      </c>
      <c r="B95" t="s">
        <v>82</v>
      </c>
      <c r="C95" t="s">
        <v>99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1731</v>
      </c>
      <c r="B96" t="s">
        <v>34</v>
      </c>
      <c r="C96" t="s">
        <v>99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1731</v>
      </c>
      <c r="B97" t="s">
        <v>13</v>
      </c>
      <c r="C97" t="s">
        <v>99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1731</v>
      </c>
      <c r="B98" t="s">
        <v>14</v>
      </c>
      <c r="C98" t="s">
        <v>99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1731</v>
      </c>
      <c r="B99" t="s">
        <v>23</v>
      </c>
      <c r="C99" t="s">
        <v>99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1731</v>
      </c>
      <c r="B100" t="s">
        <v>27</v>
      </c>
      <c r="C100" t="s">
        <v>99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1731</v>
      </c>
      <c r="B101" t="s">
        <v>15</v>
      </c>
      <c r="C101" t="s">
        <v>99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1731</v>
      </c>
      <c r="B102" t="s">
        <v>92</v>
      </c>
      <c r="C102" t="s">
        <v>99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1731</v>
      </c>
      <c r="B103" t="s">
        <v>42</v>
      </c>
      <c r="C103" t="s">
        <v>99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1731</v>
      </c>
      <c r="B104" t="s">
        <v>83</v>
      </c>
      <c r="C104" t="s">
        <v>99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1731</v>
      </c>
      <c r="B105" t="s">
        <v>47</v>
      </c>
      <c r="C105" t="s">
        <v>99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1731</v>
      </c>
      <c r="B106" t="s">
        <v>16</v>
      </c>
      <c r="C106" t="s">
        <v>99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1731</v>
      </c>
      <c r="B107" t="s">
        <v>17</v>
      </c>
      <c r="C107" t="s">
        <v>99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1731</v>
      </c>
      <c r="B108" t="s">
        <v>18</v>
      </c>
      <c r="C108" t="s">
        <v>99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1731</v>
      </c>
      <c r="B109" t="s">
        <v>26</v>
      </c>
      <c r="C109" t="s">
        <v>99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1731</v>
      </c>
      <c r="B110" t="s">
        <v>84</v>
      </c>
      <c r="C110" t="s">
        <v>99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1731</v>
      </c>
      <c r="B111" t="s">
        <v>19</v>
      </c>
      <c r="C111" t="s">
        <v>99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1731</v>
      </c>
      <c r="B112" t="s">
        <v>45</v>
      </c>
      <c r="C112" t="s">
        <v>99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1731</v>
      </c>
      <c r="B113" t="s">
        <v>85</v>
      </c>
      <c r="C113" t="s">
        <v>99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1731</v>
      </c>
      <c r="B114" t="s">
        <v>54</v>
      </c>
      <c r="C114" t="s">
        <v>99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1731</v>
      </c>
      <c r="B115" t="s">
        <v>94</v>
      </c>
      <c r="C115" t="s">
        <v>99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1731</v>
      </c>
      <c r="B116" t="s">
        <v>20</v>
      </c>
      <c r="C116" t="s">
        <v>99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1731</v>
      </c>
      <c r="B117" t="s">
        <v>21</v>
      </c>
      <c r="C117" t="s">
        <v>99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1731</v>
      </c>
      <c r="B118" t="s">
        <v>22</v>
      </c>
      <c r="C118" t="s">
        <v>99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1731</v>
      </c>
      <c r="B119" t="s">
        <v>61</v>
      </c>
      <c r="C119" t="s">
        <v>99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1731</v>
      </c>
      <c r="B120" t="s">
        <v>91</v>
      </c>
      <c r="C120" t="s">
        <v>99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1731</v>
      </c>
      <c r="B121" t="s">
        <v>97</v>
      </c>
      <c r="C121" t="s">
        <v>99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1731</v>
      </c>
      <c r="B122" t="s">
        <v>87</v>
      </c>
      <c r="C122" t="s">
        <v>99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1731</v>
      </c>
      <c r="B123" t="s">
        <v>62</v>
      </c>
      <c r="C123" t="s">
        <v>99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1731</v>
      </c>
      <c r="B124" t="s">
        <v>88</v>
      </c>
      <c r="C124" t="s">
        <v>99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1731</v>
      </c>
      <c r="B125" t="s">
        <v>63</v>
      </c>
      <c r="C125" t="s">
        <v>99</v>
      </c>
      <c r="D125" t="s">
        <v>35</v>
      </c>
      <c r="E125">
        <v>7</v>
      </c>
      <c r="J125">
        <f t="shared" si="2"/>
        <v>15680</v>
      </c>
      <c r="L125">
        <f t="shared" si="3"/>
        <v>7</v>
      </c>
    </row>
    <row r="126" spans="1:12" x14ac:dyDescent="0.25">
      <c r="A126">
        <v>1731</v>
      </c>
      <c r="B126" t="s">
        <v>89</v>
      </c>
      <c r="C126" t="s">
        <v>99</v>
      </c>
      <c r="D126" t="s">
        <v>35</v>
      </c>
      <c r="E126">
        <v>4</v>
      </c>
      <c r="F126">
        <v>7</v>
      </c>
      <c r="G126">
        <v>1</v>
      </c>
      <c r="H126">
        <v>17</v>
      </c>
      <c r="J126">
        <f t="shared" si="2"/>
        <v>9789</v>
      </c>
      <c r="L126">
        <f t="shared" si="3"/>
        <v>4.3700892857142861</v>
      </c>
    </row>
    <row r="127" spans="1:12" x14ac:dyDescent="0.25">
      <c r="A127">
        <v>1731</v>
      </c>
      <c r="B127" t="s">
        <v>70</v>
      </c>
      <c r="C127" t="s">
        <v>99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1731</v>
      </c>
      <c r="B128" t="s">
        <v>64</v>
      </c>
      <c r="C128" t="s">
        <v>99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1731</v>
      </c>
      <c r="B129" t="s">
        <v>65</v>
      </c>
      <c r="C129" t="s">
        <v>99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Props1.xml><?xml version="1.0" encoding="utf-8"?>
<ds:datastoreItem xmlns:ds="http://schemas.openxmlformats.org/officeDocument/2006/customXml" ds:itemID="{D8665419-FD63-4383-A183-AD2D97CD4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2FC57E-066C-417A-B59F-8A5A372945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5AE392-3DBB-4BE5-887C-4858974BCAF3}">
  <ds:schemaRefs>
    <ds:schemaRef ds:uri="cefc4363-6422-4cdd-96f6-49f865293ffe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2025-04-29T18:26:00Z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