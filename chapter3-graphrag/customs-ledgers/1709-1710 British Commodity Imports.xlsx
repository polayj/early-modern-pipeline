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799" documentId="8_{F4F4333B-D307-42E4-AFD5-523B68C6A80D}" xr6:coauthVersionLast="47" xr6:coauthVersionMax="47" xr10:uidLastSave="{F4F1B188-3DCE-4FC1-BB2F-078F3498A5DA}"/>
  <bookViews>
    <workbookView xWindow="-120" yWindow="-120" windowWidth="29040" windowHeight="15840" xr2:uid="{A9AB6255-FFC3-4BA2-A4C8-A2A9711B6F5F}"/>
  </bookViews>
  <sheets>
    <sheet name="Master Goods Sheet" sheetId="12" r:id="rId1"/>
    <sheet name="Antigua" sheetId="3" r:id="rId2"/>
    <sheet name="Barbados" sheetId="4" r:id="rId3"/>
    <sheet name="Bermuda" sheetId="5" r:id="rId4"/>
    <sheet name="Carolina" sheetId="6" r:id="rId5"/>
    <sheet name="Jamaica" sheetId="7" r:id="rId6"/>
    <sheet name="Mountserat" sheetId="8" r:id="rId7"/>
    <sheet name="Nevis" sheetId="9" r:id="rId8"/>
    <sheet name="St Kitts" sheetId="10" r:id="rId9"/>
    <sheet name="NewEngland" sheetId="11" r:id="rId10"/>
  </sheets>
  <definedNames>
    <definedName name="_xlnm._FilterDatabase" localSheetId="1" hidden="1">Antigua!$A$1:$L$45</definedName>
    <definedName name="_xlnm._FilterDatabase" localSheetId="2" hidden="1">Barbados!$A$1:$L$55</definedName>
    <definedName name="_xlnm._FilterDatabase" localSheetId="5" hidden="1">Jamaica!$A$1:$L$66</definedName>
    <definedName name="_xlnm._FilterDatabase" localSheetId="6" hidden="1">Mountserat!$A$1:$Q$32</definedName>
    <definedName name="_xlnm._FilterDatabase" localSheetId="7" hidden="1">Nevis!$A$1:$P$37</definedName>
    <definedName name="_xlnm._FilterDatabase" localSheetId="8" hidden="1">'St Kitts'!$A$1:$L$22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0" l="1"/>
  <c r="H6" i="9"/>
  <c r="H6" i="8"/>
  <c r="H37" i="7"/>
  <c r="H12" i="7"/>
  <c r="H13" i="4"/>
  <c r="L22" i="6"/>
  <c r="L23" i="6"/>
  <c r="J22" i="6"/>
  <c r="J23" i="6"/>
  <c r="C32" i="12"/>
  <c r="C34" i="12"/>
  <c r="B35" i="12"/>
  <c r="J21" i="10"/>
  <c r="L21" i="10" s="1"/>
  <c r="J19" i="10"/>
  <c r="L19" i="10" s="1"/>
  <c r="J20" i="10"/>
  <c r="L20" i="10" s="1"/>
  <c r="J22" i="10"/>
  <c r="L22" i="10" s="1"/>
  <c r="J32" i="9"/>
  <c r="L32" i="9" s="1"/>
  <c r="J37" i="9"/>
  <c r="L37" i="9" s="1"/>
  <c r="J27" i="9"/>
  <c r="L27" i="9" s="1"/>
  <c r="J9" i="8"/>
  <c r="J10" i="8"/>
  <c r="L10" i="8" s="1"/>
  <c r="J11" i="8"/>
  <c r="L11" i="8" s="1"/>
  <c r="J12" i="8"/>
  <c r="L12" i="8" s="1"/>
  <c r="J13" i="8"/>
  <c r="L13" i="8" s="1"/>
  <c r="J14" i="8"/>
  <c r="L14" i="8" s="1"/>
  <c r="J15" i="8"/>
  <c r="L15" i="8" s="1"/>
  <c r="J16" i="8"/>
  <c r="L16" i="8" s="1"/>
  <c r="J17" i="8"/>
  <c r="L17" i="8" s="1"/>
  <c r="J18" i="8"/>
  <c r="L18" i="8" s="1"/>
  <c r="J19" i="8"/>
  <c r="L19" i="8" s="1"/>
  <c r="J20" i="8"/>
  <c r="L20" i="8" s="1"/>
  <c r="J21" i="8"/>
  <c r="L21" i="8" s="1"/>
  <c r="J22" i="8"/>
  <c r="L22" i="8" s="1"/>
  <c r="J23" i="8"/>
  <c r="L23" i="8" s="1"/>
  <c r="J24" i="8"/>
  <c r="L24" i="8" s="1"/>
  <c r="J25" i="8"/>
  <c r="L25" i="8" s="1"/>
  <c r="J26" i="8"/>
  <c r="L26" i="8" s="1"/>
  <c r="J27" i="8"/>
  <c r="L27" i="8" s="1"/>
  <c r="J28" i="8"/>
  <c r="L28" i="8" s="1"/>
  <c r="J32" i="8"/>
  <c r="L32" i="8" s="1"/>
  <c r="J29" i="8"/>
  <c r="L29" i="8" s="1"/>
  <c r="J30" i="8"/>
  <c r="L30" i="8" s="1"/>
  <c r="J31" i="8"/>
  <c r="L31" i="8" s="1"/>
  <c r="J48" i="7"/>
  <c r="L48" i="7" s="1"/>
  <c r="J63" i="7"/>
  <c r="L63" i="7" s="1"/>
  <c r="J49" i="7"/>
  <c r="L49" i="7" s="1"/>
  <c r="J50" i="7"/>
  <c r="L50" i="7" s="1"/>
  <c r="J64" i="7"/>
  <c r="L64" i="7" s="1"/>
  <c r="C36" i="12" s="1"/>
  <c r="J51" i="7"/>
  <c r="L51" i="7" s="1"/>
  <c r="J65" i="7"/>
  <c r="L65" i="7" s="1"/>
  <c r="C35" i="12" s="1"/>
  <c r="J47" i="7"/>
  <c r="J52" i="7"/>
  <c r="L52" i="7" s="1"/>
  <c r="J53" i="7"/>
  <c r="L53" i="7" s="1"/>
  <c r="J54" i="7"/>
  <c r="L54" i="7" s="1"/>
  <c r="J55" i="7"/>
  <c r="L55" i="7" s="1"/>
  <c r="J56" i="7"/>
  <c r="L56" i="7" s="1"/>
  <c r="J57" i="7"/>
  <c r="L57" i="7" s="1"/>
  <c r="J58" i="7"/>
  <c r="L58" i="7" s="1"/>
  <c r="J59" i="7"/>
  <c r="L59" i="7" s="1"/>
  <c r="J60" i="7"/>
  <c r="L60" i="7" s="1"/>
  <c r="J61" i="7"/>
  <c r="L61" i="7" s="1"/>
  <c r="J62" i="7"/>
  <c r="L62" i="7" s="1"/>
  <c r="J5" i="10"/>
  <c r="L5" i="10" s="1"/>
  <c r="J6" i="10"/>
  <c r="L6" i="10" s="1"/>
  <c r="J7" i="10"/>
  <c r="L7" i="10" s="1"/>
  <c r="J8" i="10"/>
  <c r="L8" i="10" s="1"/>
  <c r="J9" i="10"/>
  <c r="L9" i="10" s="1"/>
  <c r="J10" i="10"/>
  <c r="L10" i="10" s="1"/>
  <c r="J11" i="10"/>
  <c r="L11" i="10" s="1"/>
  <c r="J18" i="10"/>
  <c r="L18" i="10" s="1"/>
  <c r="J12" i="10"/>
  <c r="L12" i="10" s="1"/>
  <c r="J13" i="10"/>
  <c r="L13" i="10" s="1"/>
  <c r="J14" i="10"/>
  <c r="L14" i="10" s="1"/>
  <c r="J15" i="10"/>
  <c r="L15" i="10" s="1"/>
  <c r="J16" i="10"/>
  <c r="L16" i="10" s="1"/>
  <c r="J17" i="10"/>
  <c r="L17" i="10" s="1"/>
  <c r="J7" i="9"/>
  <c r="L7" i="9" s="1"/>
  <c r="J8" i="9"/>
  <c r="L8" i="9" s="1"/>
  <c r="J9" i="9"/>
  <c r="L9" i="9" s="1"/>
  <c r="J10" i="9"/>
  <c r="L10" i="9" s="1"/>
  <c r="J11" i="9"/>
  <c r="L11" i="9" s="1"/>
  <c r="J12" i="9"/>
  <c r="L12" i="9" s="1"/>
  <c r="J13" i="9"/>
  <c r="L13" i="9" s="1"/>
  <c r="J14" i="9"/>
  <c r="L14" i="9" s="1"/>
  <c r="J15" i="7"/>
  <c r="L15" i="7" s="1"/>
  <c r="J11" i="7"/>
  <c r="L11" i="7" s="1"/>
  <c r="J12" i="4"/>
  <c r="J8" i="4"/>
  <c r="L8" i="4" s="1"/>
  <c r="J7" i="4"/>
  <c r="L7" i="4" s="1"/>
  <c r="J3" i="3"/>
  <c r="L3" i="3" s="1"/>
  <c r="J24" i="3"/>
  <c r="L24" i="3" s="1"/>
  <c r="J9" i="3"/>
  <c r="L9" i="3" s="1"/>
  <c r="J10" i="3"/>
  <c r="L10" i="3" s="1"/>
  <c r="J11" i="3"/>
  <c r="L11" i="3" s="1"/>
  <c r="J19" i="3"/>
  <c r="L19" i="3" s="1"/>
  <c r="J20" i="3"/>
  <c r="L20" i="3" s="1"/>
  <c r="J21" i="3"/>
  <c r="L21" i="3" s="1"/>
  <c r="J13" i="3"/>
  <c r="L13" i="3" s="1"/>
  <c r="J6" i="3"/>
  <c r="L6" i="3" s="1"/>
  <c r="J4" i="3"/>
  <c r="L4" i="3" s="1"/>
  <c r="J12" i="3"/>
  <c r="J15" i="3"/>
  <c r="L15" i="3" s="1"/>
  <c r="J23" i="3"/>
  <c r="L23" i="3" s="1"/>
  <c r="J5" i="3"/>
  <c r="L5" i="3" s="1"/>
  <c r="J18" i="3"/>
  <c r="L18" i="3" s="1"/>
  <c r="J22" i="3"/>
  <c r="L22" i="3" s="1"/>
  <c r="J25" i="3"/>
  <c r="L25" i="3" s="1"/>
  <c r="J26" i="3"/>
  <c r="L26" i="3" s="1"/>
  <c r="J17" i="3"/>
  <c r="L17" i="3" s="1"/>
  <c r="J16" i="3"/>
  <c r="L16" i="3" s="1"/>
  <c r="J34" i="3"/>
  <c r="L34" i="3" s="1"/>
  <c r="J31" i="3"/>
  <c r="L31" i="3" s="1"/>
  <c r="J38" i="3"/>
  <c r="L38" i="3" s="1"/>
  <c r="J37" i="3"/>
  <c r="L37" i="3" s="1"/>
  <c r="J27" i="3"/>
  <c r="L27" i="3" s="1"/>
  <c r="J44" i="3"/>
  <c r="L44" i="3" s="1"/>
  <c r="J39" i="3"/>
  <c r="L39" i="3" s="1"/>
  <c r="J33" i="3"/>
  <c r="L33" i="3" s="1"/>
  <c r="J40" i="3"/>
  <c r="L40" i="3" s="1"/>
  <c r="J41" i="3"/>
  <c r="L41" i="3" s="1"/>
  <c r="J42" i="3"/>
  <c r="L42" i="3" s="1"/>
  <c r="J36" i="3"/>
  <c r="L36" i="3" s="1"/>
  <c r="J45" i="3"/>
  <c r="L45" i="3" s="1"/>
  <c r="J30" i="3"/>
  <c r="L30" i="3" s="1"/>
  <c r="J28" i="3"/>
  <c r="L28" i="3" s="1"/>
  <c r="J29" i="3"/>
  <c r="L29" i="3" s="1"/>
  <c r="J35" i="3"/>
  <c r="L35" i="3" s="1"/>
  <c r="J43" i="3"/>
  <c r="L43" i="3" s="1"/>
  <c r="J32" i="3"/>
  <c r="L32" i="3" s="1"/>
  <c r="J5" i="7"/>
  <c r="L5" i="7" s="1"/>
  <c r="J5" i="4"/>
  <c r="J6" i="4"/>
  <c r="J9" i="4"/>
  <c r="L9" i="4" s="1"/>
  <c r="J35" i="4"/>
  <c r="L35" i="4" s="1"/>
  <c r="J16" i="4"/>
  <c r="L16" i="4" s="1"/>
  <c r="J10" i="4"/>
  <c r="L10" i="4" s="1"/>
  <c r="J11" i="4"/>
  <c r="L11" i="4" s="1"/>
  <c r="J13" i="4"/>
  <c r="L13" i="4" s="1"/>
  <c r="J14" i="4"/>
  <c r="L14" i="4" s="1"/>
  <c r="J15" i="4"/>
  <c r="L15" i="4" s="1"/>
  <c r="J19" i="4"/>
  <c r="L19" i="4" s="1"/>
  <c r="J21" i="4"/>
  <c r="L21" i="4" s="1"/>
  <c r="J22" i="4"/>
  <c r="L22" i="4" s="1"/>
  <c r="J36" i="4"/>
  <c r="L36" i="4" s="1"/>
  <c r="J27" i="4"/>
  <c r="J23" i="4"/>
  <c r="J24" i="4"/>
  <c r="L24" i="4" s="1"/>
  <c r="J25" i="4"/>
  <c r="L25" i="4" s="1"/>
  <c r="J37" i="4"/>
  <c r="L37" i="4" s="1"/>
  <c r="B34" i="12" s="1"/>
  <c r="J28" i="4"/>
  <c r="L28" i="4" s="1"/>
  <c r="J29" i="4"/>
  <c r="L29" i="4" s="1"/>
  <c r="J31" i="4"/>
  <c r="L31" i="4" s="1"/>
  <c r="J32" i="4"/>
  <c r="L32" i="4" s="1"/>
  <c r="J33" i="4"/>
  <c r="L33" i="4" s="1"/>
  <c r="J20" i="4"/>
  <c r="L20" i="4" s="1"/>
  <c r="J34" i="4"/>
  <c r="L34" i="4" s="1"/>
  <c r="J18" i="4"/>
  <c r="L18" i="4" s="1"/>
  <c r="J4" i="4"/>
  <c r="L4" i="4" s="1"/>
  <c r="J26" i="4"/>
  <c r="L26" i="4" s="1"/>
  <c r="J17" i="4"/>
  <c r="L17" i="4" s="1"/>
  <c r="J30" i="4"/>
  <c r="L30" i="4" s="1"/>
  <c r="J39" i="4"/>
  <c r="J2" i="3"/>
  <c r="L2" i="3" s="1"/>
  <c r="J3" i="10"/>
  <c r="L3" i="10" s="1"/>
  <c r="J2" i="10"/>
  <c r="L2" i="10" s="1"/>
  <c r="J4" i="10"/>
  <c r="L4" i="10" s="1"/>
  <c r="J7" i="8"/>
  <c r="L7" i="8" s="1"/>
  <c r="J35" i="7"/>
  <c r="L35" i="7" s="1"/>
  <c r="B36" i="12" s="1"/>
  <c r="J22" i="7"/>
  <c r="L22" i="7" s="1"/>
  <c r="J23" i="7"/>
  <c r="L23" i="7" s="1"/>
  <c r="J24" i="7"/>
  <c r="L24" i="7" s="1"/>
  <c r="J25" i="7"/>
  <c r="L25" i="7" s="1"/>
  <c r="J26" i="7"/>
  <c r="L26" i="7" s="1"/>
  <c r="J27" i="7"/>
  <c r="L27" i="7" s="1"/>
  <c r="J28" i="7"/>
  <c r="L28" i="7" s="1"/>
  <c r="J29" i="7"/>
  <c r="L29" i="7" s="1"/>
  <c r="J30" i="7"/>
  <c r="L30" i="7" s="1"/>
  <c r="J7" i="7"/>
  <c r="L7" i="7" s="1"/>
  <c r="J8" i="7"/>
  <c r="L8" i="7" s="1"/>
  <c r="J9" i="7"/>
  <c r="L9" i="7" s="1"/>
  <c r="J10" i="7"/>
  <c r="L10" i="7" s="1"/>
  <c r="J12" i="7"/>
  <c r="L12" i="7" s="1"/>
  <c r="J37" i="7"/>
  <c r="L37" i="7" s="1"/>
  <c r="J13" i="7"/>
  <c r="L13" i="7" s="1"/>
  <c r="J14" i="7"/>
  <c r="L14" i="7" s="1"/>
  <c r="J36" i="7"/>
  <c r="L36" i="7" s="1"/>
  <c r="B32" i="12" s="1"/>
  <c r="J16" i="7"/>
  <c r="L16" i="7" s="1"/>
  <c r="J17" i="7"/>
  <c r="L17" i="7" s="1"/>
  <c r="J18" i="7"/>
  <c r="L18" i="7" s="1"/>
  <c r="J19" i="7"/>
  <c r="L19" i="7" s="1"/>
  <c r="J34" i="7"/>
  <c r="L34" i="7" s="1"/>
  <c r="J20" i="7"/>
  <c r="L20" i="7" s="1"/>
  <c r="J21" i="7"/>
  <c r="L21" i="7" s="1"/>
  <c r="J31" i="7"/>
  <c r="L31" i="7" s="1"/>
  <c r="J32" i="7"/>
  <c r="L32" i="7" s="1"/>
  <c r="J42" i="7"/>
  <c r="L42" i="7" s="1"/>
  <c r="J38" i="7"/>
  <c r="L38" i="7" s="1"/>
  <c r="J39" i="7"/>
  <c r="L39" i="7" s="1"/>
  <c r="J41" i="7"/>
  <c r="L41" i="7" s="1"/>
  <c r="J40" i="7"/>
  <c r="L40" i="7" s="1"/>
  <c r="J43" i="7"/>
  <c r="L43" i="7" s="1"/>
  <c r="J44" i="7"/>
  <c r="L44" i="7" s="1"/>
  <c r="J45" i="7"/>
  <c r="L45" i="7" s="1"/>
  <c r="J66" i="7"/>
  <c r="L66" i="7" s="1"/>
  <c r="L27" i="4"/>
  <c r="L23" i="4"/>
  <c r="B33" i="12" l="1"/>
  <c r="L12" i="3"/>
  <c r="D36" i="12"/>
  <c r="D32" i="12"/>
  <c r="L12" i="4"/>
  <c r="D34" i="12"/>
  <c r="D35" i="12"/>
  <c r="J32" i="11"/>
  <c r="J33" i="11"/>
  <c r="J34" i="11"/>
  <c r="H24" i="11"/>
  <c r="J24" i="11" s="1"/>
  <c r="H25" i="11"/>
  <c r="J25" i="11" s="1"/>
  <c r="H26" i="11"/>
  <c r="J26" i="11" s="1"/>
  <c r="H27" i="11"/>
  <c r="J27" i="11" s="1"/>
  <c r="H28" i="11"/>
  <c r="J28" i="11" s="1"/>
  <c r="H29" i="11"/>
  <c r="J29" i="11" s="1"/>
  <c r="H30" i="11"/>
  <c r="J30" i="11" s="1"/>
  <c r="H31" i="11"/>
  <c r="J31" i="11" s="1"/>
  <c r="H32" i="11"/>
  <c r="H33" i="11"/>
  <c r="H34" i="11"/>
  <c r="J17" i="11"/>
  <c r="J18" i="11"/>
  <c r="J19" i="11"/>
  <c r="H3" i="11"/>
  <c r="J3" i="11" s="1"/>
  <c r="H4" i="11"/>
  <c r="J4" i="11" s="1"/>
  <c r="H5" i="11"/>
  <c r="J5" i="11" s="1"/>
  <c r="H6" i="11"/>
  <c r="J6" i="11" s="1"/>
  <c r="H7" i="11"/>
  <c r="J7" i="11" s="1"/>
  <c r="H8" i="11"/>
  <c r="J8" i="11" s="1"/>
  <c r="H9" i="11"/>
  <c r="J9" i="11" s="1"/>
  <c r="H10" i="11"/>
  <c r="J10" i="11" s="1"/>
  <c r="H11" i="11"/>
  <c r="J11" i="11" s="1"/>
  <c r="H12" i="11"/>
  <c r="J12" i="11" s="1"/>
  <c r="H13" i="11"/>
  <c r="J13" i="11" s="1"/>
  <c r="H14" i="11"/>
  <c r="J14" i="11" s="1"/>
  <c r="H15" i="11"/>
  <c r="J15" i="11" s="1"/>
  <c r="H16" i="11"/>
  <c r="J16" i="11" s="1"/>
  <c r="H17" i="11"/>
  <c r="H18" i="11"/>
  <c r="H19" i="11"/>
  <c r="H20" i="11"/>
  <c r="J20" i="11" s="1"/>
  <c r="H21" i="11"/>
  <c r="J21" i="11" s="1"/>
  <c r="H22" i="11"/>
  <c r="J22" i="11" s="1"/>
  <c r="H23" i="11"/>
  <c r="J23" i="11" s="1"/>
  <c r="J28" i="9"/>
  <c r="L28" i="9" s="1"/>
  <c r="J26" i="9"/>
  <c r="L26" i="9" s="1"/>
  <c r="J29" i="9"/>
  <c r="L29" i="9" s="1"/>
  <c r="J30" i="9"/>
  <c r="L30" i="9" s="1"/>
  <c r="J31" i="9"/>
  <c r="L31" i="9" s="1"/>
  <c r="J23" i="9"/>
  <c r="L23" i="9" s="1"/>
  <c r="J34" i="9"/>
  <c r="L34" i="9" s="1"/>
  <c r="J25" i="9"/>
  <c r="L25" i="9" s="1"/>
  <c r="J24" i="9"/>
  <c r="L24" i="9" s="1"/>
  <c r="J35" i="9"/>
  <c r="L35" i="9" s="1"/>
  <c r="J36" i="9"/>
  <c r="L36" i="9" s="1"/>
  <c r="J33" i="9"/>
  <c r="L33" i="9" s="1"/>
  <c r="J2" i="8"/>
  <c r="L2" i="8" s="1"/>
  <c r="L9" i="8"/>
  <c r="J6" i="8"/>
  <c r="L6" i="8" s="1"/>
  <c r="J3" i="8"/>
  <c r="L3" i="8" s="1"/>
  <c r="J4" i="8"/>
  <c r="L4" i="8" s="1"/>
  <c r="J46" i="7"/>
  <c r="L46" i="7" s="1"/>
  <c r="L47" i="7"/>
  <c r="J16" i="6"/>
  <c r="L16" i="6" s="1"/>
  <c r="J17" i="6"/>
  <c r="L17" i="6" s="1"/>
  <c r="J18" i="6"/>
  <c r="L18" i="6" s="1"/>
  <c r="J19" i="6"/>
  <c r="L19" i="6" s="1"/>
  <c r="J20" i="6"/>
  <c r="L20" i="6" s="1"/>
  <c r="J21" i="6"/>
  <c r="L21" i="6" s="1"/>
  <c r="J10" i="6"/>
  <c r="L10" i="6" s="1"/>
  <c r="J7" i="5"/>
  <c r="L7" i="5" s="1"/>
  <c r="J6" i="5"/>
  <c r="L6" i="5" s="1"/>
  <c r="J2" i="5"/>
  <c r="L2" i="5" s="1"/>
  <c r="J3" i="5"/>
  <c r="L3" i="5" s="1"/>
  <c r="C33" i="12" s="1"/>
  <c r="J47" i="4"/>
  <c r="L47" i="4" s="1"/>
  <c r="J48" i="4"/>
  <c r="L48" i="4" s="1"/>
  <c r="J49" i="4"/>
  <c r="L49" i="4" s="1"/>
  <c r="J50" i="4"/>
  <c r="L50" i="4" s="1"/>
  <c r="J51" i="4"/>
  <c r="L51" i="4" s="1"/>
  <c r="J52" i="4"/>
  <c r="L52" i="4" s="1"/>
  <c r="J53" i="4"/>
  <c r="L53" i="4" s="1"/>
  <c r="J54" i="4"/>
  <c r="L54" i="4" s="1"/>
  <c r="J38" i="4"/>
  <c r="L38" i="4" s="1"/>
  <c r="J55" i="4"/>
  <c r="L55" i="4" s="1"/>
  <c r="D33" i="12" l="1"/>
  <c r="J17" i="9"/>
  <c r="L17" i="9" s="1"/>
  <c r="J18" i="9"/>
  <c r="L18" i="9" s="1"/>
  <c r="J20" i="9"/>
  <c r="L20" i="9" s="1"/>
  <c r="J6" i="9"/>
  <c r="L6" i="9" s="1"/>
  <c r="J4" i="9"/>
  <c r="L4" i="9" s="1"/>
  <c r="J3" i="9"/>
  <c r="L3" i="9" s="1"/>
  <c r="J16" i="9"/>
  <c r="L16" i="9" s="1"/>
  <c r="J21" i="9"/>
  <c r="L21" i="9" s="1"/>
  <c r="J15" i="9"/>
  <c r="L15" i="9" s="1"/>
  <c r="J5" i="9"/>
  <c r="L5" i="9" s="1"/>
  <c r="J19" i="9"/>
  <c r="L19" i="9" s="1"/>
  <c r="J2" i="9"/>
  <c r="J22" i="9"/>
  <c r="J5" i="8"/>
  <c r="L5" i="8" s="1"/>
  <c r="J3" i="7"/>
  <c r="L3" i="7" s="1"/>
  <c r="J33" i="7"/>
  <c r="L33" i="7" s="1"/>
  <c r="J4" i="7"/>
  <c r="L4" i="7" s="1"/>
  <c r="J6" i="7"/>
  <c r="L6" i="7" s="1"/>
  <c r="J7" i="6"/>
  <c r="L7" i="6" s="1"/>
  <c r="J8" i="6"/>
  <c r="L8" i="6" s="1"/>
  <c r="J9" i="6"/>
  <c r="L9" i="6" s="1"/>
  <c r="J11" i="6"/>
  <c r="L11" i="6" s="1"/>
  <c r="J12" i="6"/>
  <c r="L12" i="6" s="1"/>
  <c r="J13" i="6"/>
  <c r="L13" i="6" s="1"/>
  <c r="J14" i="6"/>
  <c r="L14" i="6" s="1"/>
  <c r="J15" i="6"/>
  <c r="L15" i="6" s="1"/>
  <c r="J2" i="4"/>
  <c r="L5" i="4"/>
  <c r="L6" i="4"/>
  <c r="L39" i="4"/>
  <c r="J40" i="4"/>
  <c r="J41" i="4"/>
  <c r="J42" i="4"/>
  <c r="J43" i="4"/>
  <c r="L43" i="4" s="1"/>
  <c r="J44" i="4"/>
  <c r="J45" i="4"/>
  <c r="J46" i="4"/>
  <c r="J3" i="6"/>
  <c r="L3" i="6" s="1"/>
  <c r="C3" i="12"/>
  <c r="C4" i="12"/>
  <c r="C5" i="12"/>
  <c r="C7" i="12"/>
  <c r="C9" i="12"/>
  <c r="C26" i="12"/>
  <c r="C27" i="12"/>
  <c r="C28" i="12"/>
  <c r="C30" i="12"/>
  <c r="B5" i="12"/>
  <c r="B7" i="12"/>
  <c r="B9" i="12"/>
  <c r="B28" i="12"/>
  <c r="B29" i="12"/>
  <c r="B30" i="12"/>
  <c r="C2" i="12"/>
  <c r="L42" i="4" l="1"/>
  <c r="L40" i="4"/>
  <c r="L45" i="4"/>
  <c r="L46" i="4"/>
  <c r="L44" i="4"/>
  <c r="L41" i="4"/>
  <c r="L2" i="4"/>
  <c r="B4" i="12"/>
  <c r="D4" i="12" s="1"/>
  <c r="D30" i="12"/>
  <c r="D28" i="12"/>
  <c r="D9" i="12"/>
  <c r="D7" i="12"/>
  <c r="D5" i="12"/>
  <c r="C29" i="12"/>
  <c r="D29" i="12" s="1"/>
  <c r="J4" i="6"/>
  <c r="L4" i="6" s="1"/>
  <c r="J5" i="6"/>
  <c r="L5" i="6" s="1"/>
  <c r="J6" i="6"/>
  <c r="L6" i="6" s="1"/>
  <c r="P2" i="6"/>
  <c r="C8" i="12"/>
  <c r="C31" i="12"/>
  <c r="H2" i="11"/>
  <c r="B3" i="12"/>
  <c r="D3" i="12" s="1"/>
  <c r="L22" i="9"/>
  <c r="L2" i="9"/>
  <c r="J8" i="8"/>
  <c r="L8" i="8" s="1"/>
  <c r="J2" i="7"/>
  <c r="L2" i="7" s="1"/>
  <c r="J2" i="6"/>
  <c r="L2" i="6" s="1"/>
  <c r="J5" i="5"/>
  <c r="L5" i="5" s="1"/>
  <c r="J4" i="5"/>
  <c r="L4" i="5" s="1"/>
  <c r="B26" i="12"/>
  <c r="D26" i="12" s="1"/>
  <c r="J3" i="4"/>
  <c r="J14" i="3"/>
  <c r="J7" i="3"/>
  <c r="J8" i="3"/>
  <c r="L8" i="3" l="1"/>
  <c r="B13" i="12" s="1"/>
  <c r="L7" i="3"/>
  <c r="B12" i="12" s="1"/>
  <c r="L14" i="3"/>
  <c r="B17" i="12" s="1"/>
  <c r="L3" i="4"/>
  <c r="B2" i="12" s="1"/>
  <c r="D2" i="12" s="1"/>
  <c r="J2" i="11"/>
  <c r="C23" i="12"/>
  <c r="N2" i="6"/>
  <c r="C14" i="12"/>
  <c r="B15" i="12"/>
  <c r="C21" i="12"/>
  <c r="C15" i="12"/>
  <c r="B19" i="12"/>
  <c r="C10" i="12"/>
  <c r="B22" i="12"/>
  <c r="B10" i="12"/>
  <c r="B14" i="12"/>
  <c r="B27" i="12"/>
  <c r="D27" i="12" s="1"/>
  <c r="C13" i="12"/>
  <c r="C18" i="12"/>
  <c r="B18" i="12"/>
  <c r="C12" i="12"/>
  <c r="C25" i="12"/>
  <c r="B24" i="12"/>
  <c r="C20" i="12"/>
  <c r="C24" i="12"/>
  <c r="C11" i="12"/>
  <c r="B25" i="12"/>
  <c r="B16" i="12"/>
  <c r="C22" i="12"/>
  <c r="B6" i="12"/>
  <c r="B23" i="12"/>
  <c r="B11" i="12"/>
  <c r="B20" i="12"/>
  <c r="C6" i="12"/>
  <c r="B21" i="12"/>
  <c r="C17" i="12"/>
  <c r="C16" i="12"/>
  <c r="B31" i="12"/>
  <c r="D31" i="12" s="1"/>
  <c r="B8" i="12"/>
  <c r="D8" i="12" s="1"/>
  <c r="C19" i="12"/>
  <c r="D23" i="12" l="1"/>
  <c r="D14" i="12"/>
  <c r="D19" i="12"/>
  <c r="D13" i="12"/>
  <c r="D15" i="12"/>
  <c r="D21" i="12"/>
  <c r="D12" i="12"/>
  <c r="D10" i="12"/>
  <c r="D11" i="12"/>
  <c r="D22" i="12"/>
  <c r="D16" i="12"/>
  <c r="D17" i="12"/>
  <c r="D25" i="12"/>
  <c r="D24" i="12"/>
  <c r="D18" i="12"/>
  <c r="D6" i="12"/>
  <c r="D20" i="12"/>
</calcChain>
</file>

<file path=xl/sharedStrings.xml><?xml version="1.0" encoding="utf-8"?>
<sst xmlns="http://schemas.openxmlformats.org/spreadsheetml/2006/main" count="1039" uniqueCount="121">
  <si>
    <t>Items</t>
  </si>
  <si>
    <t>Import Location</t>
  </si>
  <si>
    <t>Total Pounds</t>
  </si>
  <si>
    <t>Total Tons</t>
  </si>
  <si>
    <t>London</t>
  </si>
  <si>
    <t>Indigo</t>
  </si>
  <si>
    <t>Cotton</t>
  </si>
  <si>
    <t>Elephants Teeth</t>
  </si>
  <si>
    <t>Out Ports</t>
  </si>
  <si>
    <t>Chocolate</t>
  </si>
  <si>
    <t>Dry Ginger</t>
  </si>
  <si>
    <t>Molasses</t>
  </si>
  <si>
    <t>Brown Sugar</t>
  </si>
  <si>
    <t>White Sugar</t>
  </si>
  <si>
    <t>Oranges</t>
  </si>
  <si>
    <t>Tobacco</t>
  </si>
  <si>
    <t>Lime Juice</t>
  </si>
  <si>
    <t>Rum</t>
  </si>
  <si>
    <t>Tortoise Shell</t>
  </si>
  <si>
    <t>Shruff</t>
  </si>
  <si>
    <t>Elephant Teeth</t>
  </si>
  <si>
    <t>Annatto</t>
  </si>
  <si>
    <t>Rice</t>
  </si>
  <si>
    <t>Sugar Loaf</t>
  </si>
  <si>
    <t>Madera Wine</t>
  </si>
  <si>
    <t>Loaf Sugar</t>
  </si>
  <si>
    <t>Bayberry Wax</t>
  </si>
  <si>
    <t>Pimento</t>
  </si>
  <si>
    <t>Lignum Vitae</t>
  </si>
  <si>
    <t>Succands</t>
  </si>
  <si>
    <t>Pickles</t>
  </si>
  <si>
    <t>Snuff</t>
  </si>
  <si>
    <t>Lemon Water</t>
  </si>
  <si>
    <t>Cocoa Nuts</t>
  </si>
  <si>
    <t>Bayberries</t>
  </si>
  <si>
    <t>Not Sugar</t>
  </si>
  <si>
    <t>Sugar</t>
  </si>
  <si>
    <t>Tea</t>
  </si>
  <si>
    <t>Item</t>
  </si>
  <si>
    <t>Total London</t>
  </si>
  <si>
    <t>Total Outports</t>
  </si>
  <si>
    <t>Total</t>
  </si>
  <si>
    <t>Bees Wax</t>
  </si>
  <si>
    <t>Brandy</t>
  </si>
  <si>
    <t>Cascarilla</t>
  </si>
  <si>
    <t>Sasparilla</t>
  </si>
  <si>
    <t>Brazilia</t>
  </si>
  <si>
    <t>Aloes Epatica</t>
  </si>
  <si>
    <t>ton</t>
  </si>
  <si>
    <t>hh</t>
  </si>
  <si>
    <t>quarter</t>
  </si>
  <si>
    <t>lb</t>
  </si>
  <si>
    <t>Green Ginger</t>
  </si>
  <si>
    <t>Hemp</t>
  </si>
  <si>
    <t>Barrel Staves</t>
  </si>
  <si>
    <t>Cocoa Paste</t>
  </si>
  <si>
    <t>Braziletto Wood</t>
  </si>
  <si>
    <t>Wool Vigonia</t>
  </si>
  <si>
    <t>Jamaica Roots</t>
  </si>
  <si>
    <t>Cocoa Wood</t>
  </si>
  <si>
    <t>Cortex Winteranus</t>
  </si>
  <si>
    <t>Turpentine Common</t>
  </si>
  <si>
    <t>Cocoa</t>
  </si>
  <si>
    <t>Hops</t>
  </si>
  <si>
    <t>Cocheneal</t>
  </si>
  <si>
    <t>Oyl Turpyn</t>
  </si>
  <si>
    <t>3397g</t>
  </si>
  <si>
    <t>38g</t>
  </si>
  <si>
    <t>77g</t>
  </si>
  <si>
    <t>1334.5g</t>
  </si>
  <si>
    <t>Cassia Fistula</t>
  </si>
  <si>
    <t>407.5 bags</t>
  </si>
  <si>
    <t>5513g</t>
  </si>
  <si>
    <t>9092.5g</t>
  </si>
  <si>
    <t>21g</t>
  </si>
  <si>
    <t>20g</t>
  </si>
  <si>
    <t>435.5g</t>
  </si>
  <si>
    <t>2533g</t>
  </si>
  <si>
    <t>Guiney Grains</t>
  </si>
  <si>
    <t>2t 2hh 56g</t>
  </si>
  <si>
    <t>209 bags</t>
  </si>
  <si>
    <t>3367g</t>
  </si>
  <si>
    <t>1310.5g</t>
  </si>
  <si>
    <t>12 bags</t>
  </si>
  <si>
    <t>1t 14g</t>
  </si>
  <si>
    <t>5 bag</t>
  </si>
  <si>
    <t>170g</t>
  </si>
  <si>
    <t>Muscovado Sugar</t>
  </si>
  <si>
    <t>3hh 55g</t>
  </si>
  <si>
    <t>79 bag</t>
  </si>
  <si>
    <t>1hh 34g</t>
  </si>
  <si>
    <t>77bag</t>
  </si>
  <si>
    <t>55g</t>
  </si>
  <si>
    <t>Tallow</t>
  </si>
  <si>
    <t>1t 13g</t>
  </si>
  <si>
    <t>3924g</t>
  </si>
  <si>
    <t>3714g</t>
  </si>
  <si>
    <t>131g</t>
  </si>
  <si>
    <t>214g</t>
  </si>
  <si>
    <t>Sweetmeats</t>
  </si>
  <si>
    <t>23g</t>
  </si>
  <si>
    <t>138g</t>
  </si>
  <si>
    <t>YEAR</t>
  </si>
  <si>
    <t>COMMODITY_NAME</t>
  </si>
  <si>
    <t>FROM_LOCATION</t>
  </si>
  <si>
    <t>TO_LOCATION</t>
  </si>
  <si>
    <t>WEIGHT</t>
  </si>
  <si>
    <t>Antigua</t>
  </si>
  <si>
    <t>Barbados</t>
  </si>
  <si>
    <t>Wood, Fustick</t>
  </si>
  <si>
    <t>Wood, Logwood</t>
  </si>
  <si>
    <t>Wood, Redwood</t>
  </si>
  <si>
    <t>Wood, Wood, Fustick</t>
  </si>
  <si>
    <t>Bermuda</t>
  </si>
  <si>
    <t>Jamaica</t>
  </si>
  <si>
    <t>Wood, Braziletto</t>
  </si>
  <si>
    <t>Mountserat</t>
  </si>
  <si>
    <t>Nevis</t>
  </si>
  <si>
    <t>StKitts</t>
  </si>
  <si>
    <t>Wood, Nicaragua</t>
  </si>
  <si>
    <t>Wood, Sweetwood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</si>
</sst>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7BE7-232D-4293-9729-642230ECC67F}">
  <sheetPr codeName="Sheet1"/>
  <dimension ref="A1:D36"/>
  <sheetViews>
    <sheetView tabSelected="1" workbookViewId="0">
      <selection activeCell="B11" sqref="B11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38</v>
      </c>
      <c r="B1" t="s">
        <v>39</v>
      </c>
      <c r="C1" t="s">
        <v>40</v>
      </c>
      <c r="D1" t="s">
        <v>41</v>
      </c>
    </row>
    <row r="2" spans="1:4" x14ac:dyDescent="0.25">
      <c r="A2" t="s">
        <v>21</v>
      </c>
      <c r="B2">
        <f>SUMIFS(Antigua!$L:$L, Antigua!$B:$B, $A2, Antigua!$D:$D, "London") + SUMIFS(Barbados!$L:$L, Barbados!$B:$B, $A2, Barbados!$D:$D, "London") + SUMIFS(Bermuda!$L:$L, Bermuda!$B:$B, $A2, Bermuda!$D:$D, "London") + SUMIFS(Carolina!$L:$L, Carolina!$B:$B, $A2, Carolina!$D:$D, "London") + SUMIFS(Jamaica!$L:$L, Jamaica!$B:$B, $A2, Jamaica!$D:$D, "London") + SUMIFS(Mountserat!$L:$L, Mountserat!$B:$B, $A2, Mountserat!$D:$D, "London") + SUMIFS(Nevis!$L:$L, Nevis!$B:$B, $A2, Nevis!$D:$D, "London") + SUMIFS(NewEngland!$J:$J, NewEngland!$A:$A, $A2, NewEngland!$B:$B, "London")</f>
        <v>0.84508928571428565</v>
      </c>
      <c r="C2">
        <f>SUMIFS(Antigua!$L:$L, Antigua!$B:$B, $A2, Antigua!$D:$D, "Out Ports") + SUMIFS(Barbados!$L:$L, Barbados!$B:$B, $A2, Barbados!$D:$D, "Out Ports") + SUMIFS(Bermuda!$L:$L, Bermuda!$B:$B, $A2, Bermuda!$D:$D, "Out Ports") + SUMIFS(Carolina!$L:$L, Carolina!$B:$B, $A2, Carolina!$D:$D, "Out Ports") + SUMIFS(Jamaica!$L:$L, Jamaica!$B:$B, $A2, Jamaica!$D:$D, "Out Ports") + SUMIFS(Mountserat!$L:$L, Mountserat!$B:$B, $A2, Mountserat!$D:$D, "Out Ports") + SUMIFS(Nevis!$L:$L, Nevis!$B:$B, $A2, Nevis!$D:$D, "Out Ports") + SUMIFS(NewEngland!$J:$J, NewEngland!$A:$A, $A2, NewEngland!$B:$B, "Out Ports")</f>
        <v>0</v>
      </c>
      <c r="D2">
        <f>ROUND((B2+C2),2)</f>
        <v>0.85</v>
      </c>
    </row>
    <row r="3" spans="1:4" x14ac:dyDescent="0.25">
      <c r="A3" t="s">
        <v>26</v>
      </c>
      <c r="B3">
        <f>SUMIFS(Antigua!$L:$L, Antigua!$B:$B, $A3, Antigua!$D:$D, "London") + SUMIFS(Barbados!$L:$L, Barbados!$B:$B, $A3, Barbados!$D:$D, "London") + SUMIFS(Bermuda!$L:$L, Bermuda!$B:$B, $A3, Bermuda!$D:$D, "London") + SUMIFS(Carolina!$L:$L, Carolina!$B:$B, $A3, Carolina!$D:$D, "London") + SUMIFS(Jamaica!$L:$L, Jamaica!$B:$B, $A3, Jamaica!$D:$D, "London") + SUMIFS(Mountserat!$L:$L, Mountserat!$B:$B, $A3, Mountserat!$D:$D, "London") + SUMIFS(Nevis!$L:$L, Nevis!$B:$B, $A3, Nevis!$D:$D, "London") + SUMIFS(NewEngland!$J:$J, NewEngland!$A:$A, $A3, NewEngland!$B:$B, "London")</f>
        <v>0</v>
      </c>
      <c r="C3">
        <f>SUMIFS(Antigua!$L:$L, Antigua!$B:$B, $A3, Antigua!$D:$D, "Out Ports") + SUMIFS(Barbados!$L:$L, Barbados!$B:$B, $A3, Barbados!$D:$D, "Out Ports") + SUMIFS(Bermuda!$L:$L, Bermuda!$B:$B, $A3, Bermuda!$D:$D, "Out Ports") + SUMIFS(Carolina!$L:$L, Carolina!$B:$B, $A3, Carolina!$D:$D, "Out Ports") + SUMIFS(Jamaica!$L:$L, Jamaica!$B:$B, $A3, Jamaica!$D:$D, "Out Ports") + SUMIFS(Mountserat!$L:$L, Mountserat!$B:$B, $A3, Mountserat!$D:$D, "Out Ports") + SUMIFS(Nevis!$L:$L, Nevis!$B:$B, $A3, Nevis!$D:$D, "Out Ports") + SUMIFS(NewEngland!$J:$J, NewEngland!$A:$A, $A3, NewEngland!$B:$B, "Out Ports")</f>
        <v>0</v>
      </c>
      <c r="D3">
        <f t="shared" ref="D3:D36" si="0">ROUND((B3+C3),2)</f>
        <v>0</v>
      </c>
    </row>
    <row r="4" spans="1:4" x14ac:dyDescent="0.25">
      <c r="A4" t="s">
        <v>42</v>
      </c>
      <c r="B4">
        <f>SUMIFS(Antigua!$L:$L, Antigua!$B:$B, $A4, Antigua!$D:$D, "London") + SUMIFS(Barbados!$L:$L, Barbados!$B:$B, $A4, Barbados!$D:$D, "London") + SUMIFS(Bermuda!$L:$L, Bermuda!$B:$B, $A4, Bermuda!$D:$D, "London") + SUMIFS(Carolina!$L:$L, Carolina!$B:$B, $A4, Carolina!$D:$D, "London") + SUMIFS(Jamaica!$L:$L, Jamaica!$B:$B, $A4, Jamaica!$D:$D, "London") + SUMIFS(Mountserat!$L:$L, Mountserat!$B:$B, $A4, Mountserat!$D:$D, "London") + SUMIFS(Nevis!$L:$L, Nevis!$B:$B, $A4, Nevis!$D:$D, "London") + SUMIFS(NewEngland!$J:$J, NewEngland!$A:$A, $A4, NewEngland!$B:$B, "London")</f>
        <v>0</v>
      </c>
      <c r="C4">
        <f>SUMIFS(Antigua!$L:$L, Antigua!$B:$B, $A4, Antigua!$D:$D, "Out Ports") + SUMIFS(Barbados!$L:$L, Barbados!$B:$B, $A4, Barbados!$D:$D, "Out Ports") + SUMIFS(Bermuda!$L:$L, Bermuda!$B:$B, $A4, Bermuda!$D:$D, "Out Ports") + SUMIFS(Carolina!$L:$L, Carolina!$B:$B, $A4, Carolina!$D:$D, "Out Ports") + SUMIFS(Jamaica!$L:$L, Jamaica!$B:$B, $A4, Jamaica!$D:$D, "Out Ports") + SUMIFS(Mountserat!$L:$L, Mountserat!$B:$B, $A4, Mountserat!$D:$D, "Out Ports") + SUMIFS(Nevis!$L:$L, Nevis!$B:$B, $A4, Nevis!$D:$D, "Out Ports") + SUMIFS(NewEngland!$J:$J, NewEngland!$A:$A, $A4, NewEngland!$B:$B, "Out Ports")</f>
        <v>0</v>
      </c>
      <c r="D4">
        <f t="shared" si="0"/>
        <v>0</v>
      </c>
    </row>
    <row r="5" spans="1:4" x14ac:dyDescent="0.25">
      <c r="A5" t="s">
        <v>43</v>
      </c>
      <c r="B5">
        <f>SUMIFS(Antigua!$L:$L, Antigua!$B:$B, $A5, Antigua!$D:$D, "London") + SUMIFS(Barbados!$L:$L, Barbados!$B:$B, $A5, Barbados!$D:$D, "London") + SUMIFS(Bermuda!$L:$L, Bermuda!$B:$B, $A5, Bermuda!$D:$D, "London") + SUMIFS(Carolina!$L:$L, Carolina!$B:$B, $A5, Carolina!$D:$D, "London") + SUMIFS(Jamaica!$L:$L, Jamaica!$B:$B, $A5, Jamaica!$D:$D, "London") + SUMIFS(Mountserat!$L:$L, Mountserat!$B:$B, $A5, Mountserat!$D:$D, "London") + SUMIFS(Nevis!$L:$L, Nevis!$B:$B, $A5, Nevis!$D:$D, "London") + SUMIFS(NewEngland!$J:$J, NewEngland!$A:$A, $A5, NewEngland!$B:$B,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SUMIFS(Carolina!$L:$L, Carolina!$B:$B, $A5, Carolina!$D:$D, "Out Ports") + SUMIFS(Jamaica!$L:$L, Jamaica!$B:$B, $A5, Jamaica!$D:$D, "Out Ports") + SUMIFS(Mountserat!$L:$L, Mountserat!$B:$B, $A5, Mountserat!$D:$D, "Out Ports") + SUMIFS(Nevis!$L:$L, Nevis!$B:$B, $A5, Nevis!$D:$D, "Out Ports") + SUMIFS(NewEngland!$J:$J, NewEngland!$A:$A, $A5, NewEngland!$B:$B, "Out Ports")</f>
        <v>8.9285714285714288E-2</v>
      </c>
      <c r="D5">
        <f t="shared" si="0"/>
        <v>0.09</v>
      </c>
    </row>
    <row r="6" spans="1:4" x14ac:dyDescent="0.25">
      <c r="A6" t="s">
        <v>12</v>
      </c>
      <c r="B6">
        <f>SUMIFS(Antigua!$L:$L, Antigua!$B:$B, $A6, Antigua!$D:$D, "London") + SUMIFS(Barbados!$L:$L, Barbados!$B:$B, $A6, Barbados!$D:$D, "London") + SUMIFS(Bermuda!$L:$L, Bermuda!$B:$B, $A6, Bermuda!$D:$D, "London") + SUMIFS(Carolina!$L:$L, Carolina!$B:$B, $A6, Carolina!$D:$D, "London") + SUMIFS(Jamaica!$L:$L, Jamaica!$B:$B, $A6, Jamaica!$D:$D, "London") + SUMIFS(Mountserat!$L:$L, Mountserat!$B:$B, $A6, Mountserat!$D:$D, "London") + SUMIFS(Nevis!$L:$L, Nevis!$B:$B, $A6, Nevis!$D:$D, "London") + SUMIFS(NewEngland!$J:$J, NewEngland!$A:$A, $A6, NewEngland!$B:$B, "London")</f>
        <v>14746.743303571428</v>
      </c>
      <c r="C6">
        <f>SUMIFS(Antigua!$L:$L, Antigua!$B:$B, $A6, Antigua!$D:$D, "Out Ports") + SUMIFS(Barbados!$L:$L, Barbados!$B:$B, $A6, Barbados!$D:$D, "Out Ports") + SUMIFS(Bermuda!$L:$L, Bermuda!$B:$B, $A6, Bermuda!$D:$D, "Out Ports") + SUMIFS(Carolina!$L:$L, Carolina!$B:$B, $A6, Carolina!$D:$D, "Out Ports") + SUMIFS(Jamaica!$L:$L, Jamaica!$B:$B, $A6, Jamaica!$D:$D, "Out Ports") + SUMIFS(Mountserat!$L:$L, Mountserat!$B:$B, $A6, Mountserat!$D:$D, "Out Ports") + SUMIFS(Nevis!$L:$L, Nevis!$B:$B, $A6, Nevis!$D:$D, "Out Ports") + SUMIFS(NewEngland!$J:$J, NewEngland!$A:$A, $A6, NewEngland!$B:$B, "Out Ports")</f>
        <v>6050.9638392857141</v>
      </c>
      <c r="D6">
        <f t="shared" si="0"/>
        <v>20797.71</v>
      </c>
    </row>
    <row r="7" spans="1:4" x14ac:dyDescent="0.25">
      <c r="A7" t="s">
        <v>44</v>
      </c>
      <c r="B7">
        <f>SUMIFS(Antigua!$L:$L, Antigua!$B:$B, $A7, Antigua!$D:$D, "London") + SUMIFS(Barbados!$L:$L, Barbados!$B:$B, $A7, Barbados!$D:$D, "London") + SUMIFS(Bermuda!$L:$L, Bermuda!$B:$B, $A7, Bermuda!$D:$D, "London") + SUMIFS(Carolina!$L:$L, Carolina!$B:$B, $A7, Carolina!$D:$D, "London") + SUMIFS(Jamaica!$L:$L, Jamaica!$B:$B, $A7, Jamaica!$D:$D, "London") + SUMIFS(Mountserat!$L:$L, Mountserat!$B:$B, $A7, Mountserat!$D:$D, "London") + SUMIFS(Nevis!$L:$L, Nevis!$B:$B, $A7, Nevis!$D:$D, "London") + SUMIFS(NewEngland!$J:$J, NewEngland!$A:$A, $A7, NewEngland!$B:$B, "London")</f>
        <v>1.8705357142857142</v>
      </c>
      <c r="C7">
        <f>SUMIFS(Antigua!$L:$L, Antigua!$B:$B, $A7, Antigua!$D:$D, "Out Ports") + SUMIFS(Barbados!$L:$L, Barbados!$B:$B, $A7, Barbados!$D:$D, "Out Ports") + SUMIFS(Bermuda!$L:$L, Bermuda!$B:$B, $A7, Bermuda!$D:$D, "Out Ports") + SUMIFS(Carolina!$L:$L, Carolina!$B:$B, $A7, Carolina!$D:$D, "Out Ports") + SUMIFS(Jamaica!$L:$L, Jamaica!$B:$B, $A7, Jamaica!$D:$D, "Out Ports") + SUMIFS(Mountserat!$L:$L, Mountserat!$B:$B, $A7, Mountserat!$D:$D, "Out Ports") + SUMIFS(Nevis!$L:$L, Nevis!$B:$B, $A7, Nevis!$D:$D, "Out Ports") + SUMIFS(NewEngland!$J:$J, NewEngland!$A:$A, $A7, NewEngland!$B:$B, "Out Ports")</f>
        <v>0</v>
      </c>
      <c r="D7">
        <f t="shared" si="0"/>
        <v>1.87</v>
      </c>
    </row>
    <row r="8" spans="1:4" x14ac:dyDescent="0.25">
      <c r="A8" t="s">
        <v>9</v>
      </c>
      <c r="B8">
        <f>SUMIFS(Antigua!$L:$L, Antigua!$B:$B, $A8, Antigua!$D:$D, "London") + SUMIFS(Barbados!$L:$L, Barbados!$B:$B, $A8, Barbados!$D:$D, "London") + SUMIFS(Bermuda!$L:$L, Bermuda!$B:$B, $A8, Bermuda!$D:$D, "London") + SUMIFS(Carolina!$L:$L, Carolina!$B:$B, $A8, Carolina!$D:$D, "London") + SUMIFS(Jamaica!$L:$L, Jamaica!$B:$B, $A8, Jamaica!$D:$D, "London") + SUMIFS(Mountserat!$L:$L, Mountserat!$B:$B, $A8, Mountserat!$D:$D, "London") + SUMIFS(Nevis!$L:$L, Nevis!$B:$B, $A8, Nevis!$D:$D, "London") + SUMIFS(NewEngland!$J:$J, NewEngland!$A:$A, $A8, NewEngland!$B:$B, "London")</f>
        <v>7.5892857142857137E-2</v>
      </c>
      <c r="C8">
        <f>SUMIFS(Antigua!$L:$L, Antigua!$B:$B, $A8, Antigua!$D:$D, "Out Ports") + SUMIFS(Barbados!$L:$L, Barbados!$B:$B, $A8, Barbados!$D:$D, "Out Ports") + SUMIFS(Bermuda!$L:$L, Bermuda!$B:$B, $A8, Bermuda!$D:$D, "Out Ports") + SUMIFS(Carolina!$L:$L, Carolina!$B:$B, $A8, Carolina!$D:$D, "Out Ports") + SUMIFS(Jamaica!$L:$L, Jamaica!$B:$B, $A8, Jamaica!$D:$D, "Out Ports") + SUMIFS(Mountserat!$L:$L, Mountserat!$B:$B, $A8, Mountserat!$D:$D, "Out Ports") + SUMIFS(Nevis!$L:$L, Nevis!$B:$B, $A8, Nevis!$D:$D, "Out Ports") + SUMIFS(NewEngland!$J:$J, NewEngland!$A:$A, $A8, NewEngland!$B:$B, "Out Ports")</f>
        <v>1.2500000000000001E-2</v>
      </c>
      <c r="D8">
        <f t="shared" si="0"/>
        <v>0.09</v>
      </c>
    </row>
    <row r="9" spans="1:4" x14ac:dyDescent="0.25">
      <c r="A9" t="s">
        <v>64</v>
      </c>
      <c r="B9">
        <f>SUMIFS(Antigua!$L:$L, Antigua!$B:$B, $A9, Antigua!$D:$D, "London") + SUMIFS(Barbados!$L:$L, Barbados!$B:$B, $A9, Barbados!$D:$D, "London") + SUMIFS(Bermuda!$L:$L, Bermuda!$B:$B, $A9, Bermuda!$D:$D, "London") + SUMIFS(Carolina!$L:$L, Carolina!$B:$B, $A9, Carolina!$D:$D, "London") + SUMIFS(Jamaica!$L:$L, Jamaica!$B:$B, $A9, Jamaica!$D:$D, "London") + SUMIFS(Mountserat!$L:$L, Mountserat!$B:$B, $A9, Mountserat!$D:$D, "London") + SUMIFS(Nevis!$L:$L, Nevis!$B:$B, $A9, Nevis!$D:$D, "London") + SUMIFS(NewEngland!$J:$J, NewEngland!$A:$A, $A9, NewEngland!$B:$B, "London")</f>
        <v>5.5803571428571432E-2</v>
      </c>
      <c r="C9">
        <f>SUMIFS(Antigua!$L:$L, Antigua!$B:$B, $A9, Antigua!$D:$D, "Out Ports") + SUMIFS(Barbados!$L:$L, Barbados!$B:$B, $A9, Barbados!$D:$D, "Out Ports") + SUMIFS(Bermuda!$L:$L, Bermuda!$B:$B, $A9, Bermuda!$D:$D, "Out Ports") + SUMIFS(Carolina!$L:$L, Carolina!$B:$B, $A9, Carolina!$D:$D, "Out Ports") + SUMIFS(Jamaica!$L:$L, Jamaica!$B:$B, $A9, Jamaica!$D:$D, "Out Ports") + SUMIFS(Mountserat!$L:$L, Mountserat!$B:$B, $A9, Mountserat!$D:$D, "Out Ports") + SUMIFS(Nevis!$L:$L, Nevis!$B:$B, $A9, Nevis!$D:$D, "Out Ports") + SUMIFS(NewEngland!$J:$J, NewEngland!$A:$A, $A9, NewEngland!$B:$B, "Out Ports")</f>
        <v>0</v>
      </c>
      <c r="D9">
        <f t="shared" si="0"/>
        <v>0.06</v>
      </c>
    </row>
    <row r="10" spans="1:4" x14ac:dyDescent="0.25">
      <c r="A10" t="s">
        <v>33</v>
      </c>
      <c r="B10">
        <f>SUMIFS(Antigua!$L:$L, Antigua!$B:$B, $A10, Antigua!$D:$D, "London") + SUMIFS(Barbados!$L:$L, Barbados!$B:$B, $A10, Barbados!$D:$D, "London") + SUMIFS(Bermuda!$L:$L, Bermuda!$B:$B, $A10, Bermuda!$D:$D, "London") + SUMIFS(Carolina!$L:$L, Carolina!$B:$B, $A10, Carolina!$D:$D, "London") + SUMIFS(Jamaica!$L:$L, Jamaica!$B:$B, $A10, Jamaica!$D:$D, "London") + SUMIFS(Mountserat!$L:$L, Mountserat!$B:$B, $A10, Mountserat!$D:$D, "London") + SUMIFS(Nevis!$L:$L, Nevis!$B:$B, $A10, Nevis!$D:$D, "London") + SUMIFS(NewEngland!$J:$J, NewEngland!$A:$A, $A10, NewEngland!$B:$B, "London")</f>
        <v>74.829017857142844</v>
      </c>
      <c r="C10">
        <f>SUMIFS(Antigua!$L:$L, Antigua!$B:$B, $A10, Antigua!$D:$D, "Out Ports") + SUMIFS(Barbados!$L:$L, Barbados!$B:$B, $A10, Barbados!$D:$D, "Out Ports") + SUMIFS(Bermuda!$L:$L, Bermuda!$B:$B, $A10, Bermuda!$D:$D, "Out Ports") + SUMIFS(Carolina!$L:$L, Carolina!$B:$B, $A10, Carolina!$D:$D, "Out Ports") + SUMIFS(Jamaica!$L:$L, Jamaica!$B:$B, $A10, Jamaica!$D:$D, "Out Ports") + SUMIFS(Mountserat!$L:$L, Mountserat!$B:$B, $A10, Mountserat!$D:$D, "Out Ports") + SUMIFS(Nevis!$L:$L, Nevis!$B:$B, $A10, Nevis!$D:$D, "Out Ports") + SUMIFS(NewEngland!$J:$J, NewEngland!$A:$A, $A10, NewEngland!$B:$B, "Out Ports")</f>
        <v>123.85446428571429</v>
      </c>
      <c r="D10">
        <f t="shared" si="0"/>
        <v>198.68</v>
      </c>
    </row>
    <row r="11" spans="1:4" x14ac:dyDescent="0.25">
      <c r="A11" t="s">
        <v>6</v>
      </c>
      <c r="B11">
        <f>SUMIFS(Antigua!$L:$L, Antigua!$B:$B, $A11, Antigua!$D:$D, "London") + SUMIFS(Barbados!$L:$L, Barbados!$B:$B, $A11, Barbados!$D:$D, "London") + SUMIFS(Bermuda!$L:$L, Bermuda!$B:$B, $A11, Bermuda!$D:$D, "London") + SUMIFS(Carolina!$L:$L, Carolina!$B:$B, $A11, Carolina!$D:$D, "London") + SUMIFS(Jamaica!$L:$L, Jamaica!$B:$B, $A11, Jamaica!$D:$D, "London") + SUMIFS(Mountserat!$L:$L, Mountserat!$B:$B, $A11, Mountserat!$D:$D, "London") + SUMIFS(Nevis!$L:$L, Nevis!$B:$B, $A11, Nevis!$D:$D, "London") + SUMIFS(NewEngland!$J:$J, NewEngland!$A:$A, $A11, NewEngland!$B:$B, "London")</f>
        <v>157.22232142857143</v>
      </c>
      <c r="C11">
        <f>SUMIFS(Antigua!$L:$L, Antigua!$B:$B, $A11, Antigua!$D:$D, "Out Ports") + SUMIFS(Barbados!$L:$L, Barbados!$B:$B, $A11, Barbados!$D:$D, "Out Ports") + SUMIFS(Bermuda!$L:$L, Bermuda!$B:$B, $A11, Bermuda!$D:$D, "Out Ports") + SUMIFS(Carolina!$L:$L, Carolina!$B:$B, $A11, Carolina!$D:$D, "Out Ports") + SUMIFS(Jamaica!$L:$L, Jamaica!$B:$B, $A11, Jamaica!$D:$D, "Out Ports") + SUMIFS(Mountserat!$L:$L, Mountserat!$B:$B, $A11, Mountserat!$D:$D, "Out Ports") + SUMIFS(Nevis!$L:$L, Nevis!$B:$B, $A11, Nevis!$D:$D, "Out Ports") + SUMIFS(NewEngland!$J:$J, NewEngland!$A:$A, $A11, NewEngland!$B:$B, "Out Ports")</f>
        <v>147.21473214285714</v>
      </c>
      <c r="D11">
        <f t="shared" si="0"/>
        <v>304.44</v>
      </c>
    </row>
    <row r="12" spans="1:4" x14ac:dyDescent="0.25">
      <c r="A12" t="s">
        <v>10</v>
      </c>
      <c r="B12">
        <f>SUMIFS(Antigua!$L:$L, Antigua!$B:$B, $A12, Antigua!$D:$D, "London") + SUMIFS(Barbados!$L:$L, Barbados!$B:$B, $A12, Barbados!$D:$D, "London") + SUMIFS(Bermuda!$L:$L, Bermuda!$B:$B, $A12, Bermuda!$D:$D, "London") + SUMIFS(Carolina!$L:$L, Carolina!$B:$B, $A12, Carolina!$D:$D, "London") + SUMIFS(Jamaica!$L:$L, Jamaica!$B:$B, $A12, Jamaica!$D:$D, "London") + SUMIFS(Mountserat!$L:$L, Mountserat!$B:$B, $A12, Mountserat!$D:$D, "London") + SUMIFS(Nevis!$L:$L, Nevis!$B:$B, $A12, Nevis!$D:$D, "London") + SUMIFS(NewEngland!$J:$J, NewEngland!$A:$A, $A12, NewEngland!$B:$B, "London")</f>
        <v>653.13616071428567</v>
      </c>
      <c r="C12">
        <f>SUMIFS(Antigua!$L:$L, Antigua!$B:$B, $A12, Antigua!$D:$D, "Out Ports") + SUMIFS(Barbados!$L:$L, Barbados!$B:$B, $A12, Barbados!$D:$D, "Out Ports") + SUMIFS(Bermuda!$L:$L, Bermuda!$B:$B, $A12, Bermuda!$D:$D, "Out Ports") + SUMIFS(Carolina!$L:$L, Carolina!$B:$B, $A12, Carolina!$D:$D, "Out Ports") + SUMIFS(Jamaica!$L:$L, Jamaica!$B:$B, $A12, Jamaica!$D:$D, "Out Ports") + SUMIFS(Mountserat!$L:$L, Mountserat!$B:$B, $A12, Mountserat!$D:$D, "Out Ports") + SUMIFS(Nevis!$L:$L, Nevis!$B:$B, $A12, Nevis!$D:$D, "Out Ports") + SUMIFS(NewEngland!$J:$J, NewEngland!$A:$A, $A12, NewEngland!$B:$B, "Out Ports")</f>
        <v>50.662946428571431</v>
      </c>
      <c r="D12">
        <f t="shared" si="0"/>
        <v>703.8</v>
      </c>
    </row>
    <row r="13" spans="1:4" x14ac:dyDescent="0.25">
      <c r="A13" t="s">
        <v>20</v>
      </c>
      <c r="B13">
        <f>SUMIFS(Antigua!$L:$L, Antigua!$B:$B, $A13, Antigua!$D:$D, "London") + SUMIFS(Barbados!$L:$L, Barbados!$B:$B, $A13, Barbados!$D:$D, "London") + SUMIFS(Bermuda!$L:$L, Bermuda!$B:$B, $A13, Bermuda!$D:$D, "London") + SUMIFS(Carolina!$L:$L, Carolina!$B:$B, $A13, Carolina!$D:$D, "London") + SUMIFS(Jamaica!$L:$L, Jamaica!$B:$B, $A13, Jamaica!$D:$D, "London") + SUMIFS(Mountserat!$L:$L, Mountserat!$B:$B, $A13, Mountserat!$D:$D, "London") + SUMIFS(Nevis!$L:$L, Nevis!$B:$B, $A13, Nevis!$D:$D, "London") + SUMIFS(NewEngland!$J:$J, NewEngland!$A:$A, $A13, NewEngland!$B:$B, "London")</f>
        <v>8.9084821428571423</v>
      </c>
      <c r="C13">
        <f>SUMIFS(Antigua!$L:$L, Antigua!$B:$B, $A13, Antigua!$D:$D, "Out Ports") + SUMIFS(Barbados!$L:$L, Barbados!$B:$B, $A13, Barbados!$D:$D, "Out Ports") + SUMIFS(Bermuda!$L:$L, Bermuda!$B:$B, $A13, Bermuda!$D:$D, "Out Ports") + SUMIFS(Carolina!$L:$L, Carolina!$B:$B, $A13, Carolina!$D:$D, "Out Ports") + SUMIFS(Jamaica!$L:$L, Jamaica!$B:$B, $A13, Jamaica!$D:$D, "Out Ports") + SUMIFS(Mountserat!$L:$L, Mountserat!$B:$B, $A13, Mountserat!$D:$D, "Out Ports") + SUMIFS(Nevis!$L:$L, Nevis!$B:$B, $A13, Nevis!$D:$D, "Out Ports") + SUMIFS(NewEngland!$J:$J, NewEngland!$A:$A, $A13, NewEngland!$B:$B, "Out Ports")</f>
        <v>9.2424107142857128</v>
      </c>
      <c r="D13">
        <f t="shared" si="0"/>
        <v>18.149999999999999</v>
      </c>
    </row>
    <row r="14" spans="1:4" x14ac:dyDescent="0.25">
      <c r="A14" t="s">
        <v>5</v>
      </c>
      <c r="B14">
        <f>SUMIFS(Antigua!$L:$L, Antigua!$B:$B, $A14, Antigua!$D:$D, "London") + SUMIFS(Barbados!$L:$L, Barbados!$B:$B, $A14, Barbados!$D:$D, "London") + SUMIFS(Bermuda!$L:$L, Bermuda!$B:$B, $A14, Bermuda!$D:$D, "London") + SUMIFS(Carolina!$L:$L, Carolina!$B:$B, $A14, Carolina!$D:$D, "London") + SUMIFS(Jamaica!$L:$L, Jamaica!$B:$B, $A14, Jamaica!$D:$D, "London") + SUMIFS(Mountserat!$L:$L, Mountserat!$B:$B, $A14, Mountserat!$D:$D, "London") + SUMIFS(Nevis!$L:$L, Nevis!$B:$B, $A14, Nevis!$D:$D, "London") + SUMIFS(NewEngland!$J:$J, NewEngland!$A:$A, $A14, NewEngland!$B:$B, "London")</f>
        <v>46.607589285714283</v>
      </c>
      <c r="C14">
        <f>SUMIFS(Antigua!$L:$L, Antigua!$B:$B, $A14, Antigua!$D:$D, "Out Ports") + SUMIFS(Barbados!$L:$L, Barbados!$B:$B, $A14, Barbados!$D:$D, "Out Ports") + SUMIFS(Bermuda!$L:$L, Bermuda!$B:$B, $A14, Bermuda!$D:$D, "Out Ports") + SUMIFS(Carolina!$L:$L, Carolina!$B:$B, $A14, Carolina!$D:$D, "Out Ports") + SUMIFS(Jamaica!$L:$L, Jamaica!$B:$B, $A14, Jamaica!$D:$D, "Out Ports") + SUMIFS(Mountserat!$L:$L, Mountserat!$B:$B, $A14, Mountserat!$D:$D, "Out Ports") + SUMIFS(Nevis!$L:$L, Nevis!$B:$B, $A14, Nevis!$D:$D, "Out Ports") + SUMIFS(NewEngland!$J:$J, NewEngland!$A:$A, $A14, NewEngland!$B:$B, "Out Ports")</f>
        <v>47.60089285714286</v>
      </c>
      <c r="D14">
        <f t="shared" si="0"/>
        <v>94.21</v>
      </c>
    </row>
    <row r="15" spans="1:4" x14ac:dyDescent="0.25">
      <c r="A15" t="s">
        <v>28</v>
      </c>
      <c r="B15">
        <f>SUMIFS(Antigua!$L:$L, Antigua!$B:$B, $A15, Antigua!$D:$D, "London") + SUMIFS(Barbados!$L:$L, Barbados!$B:$B, $A15, Barbados!$D:$D, "London") + SUMIFS(Bermuda!$L:$L, Bermuda!$B:$B, $A15, Bermuda!$D:$D, "London") + SUMIFS(Carolina!$L:$L, Carolina!$B:$B, $A15, Carolina!$D:$D, "London") + SUMIFS(Jamaica!$L:$L, Jamaica!$B:$B, $A15, Jamaica!$D:$D, "London") + SUMIFS(Mountserat!$L:$L, Mountserat!$B:$B, $A15, Mountserat!$D:$D, "London") + SUMIFS(Nevis!$L:$L, Nevis!$B:$B, $A15, Nevis!$D:$D, "London") + SUMIFS(NewEngland!$J:$J, NewEngland!$A:$A, $A15, NewEngland!$B:$B, "London")</f>
        <v>259.88750000000005</v>
      </c>
      <c r="C15">
        <f>SUMIFS(Antigua!$L:$L, Antigua!$B:$B, $A15, Antigua!$D:$D, "Out Ports") + SUMIFS(Barbados!$L:$L, Barbados!$B:$B, $A15, Barbados!$D:$D, "Out Ports") + SUMIFS(Bermuda!$L:$L, Bermuda!$B:$B, $A15, Bermuda!$D:$D, "Out Ports") + SUMIFS(Carolina!$L:$L, Carolina!$B:$B, $A15, Carolina!$D:$D, "Out Ports") + SUMIFS(Jamaica!$L:$L, Jamaica!$B:$B, $A15, Jamaica!$D:$D, "Out Ports") + SUMIFS(Mountserat!$L:$L, Mountserat!$B:$B, $A15, Mountserat!$D:$D, "Out Ports") + SUMIFS(Nevis!$L:$L, Nevis!$B:$B, $A15, Nevis!$D:$D, "Out Ports") + SUMIFS(NewEngland!$J:$J, NewEngland!$A:$A, $A15, NewEngland!$B:$B, "Out Ports")</f>
        <v>38.566964285714285</v>
      </c>
      <c r="D15">
        <f t="shared" si="0"/>
        <v>298.45</v>
      </c>
    </row>
    <row r="16" spans="1:4" x14ac:dyDescent="0.25">
      <c r="A16" t="s">
        <v>16</v>
      </c>
      <c r="B16">
        <f>SUMIFS(Antigua!$L:$L, Antigua!$B:$B, $A16, Antigua!$D:$D, "London") + SUMIFS(Barbados!$L:$L, Barbados!$B:$B, $A16, Barbados!$D:$D, "London") + SUMIFS(Bermuda!$L:$L, Bermuda!$B:$B, $A16, Bermuda!$D:$D, "London") + SUMIFS(Carolina!$L:$L, Carolina!$B:$B, $A16, Carolina!$D:$D, "London") + SUMIFS(Jamaica!$L:$L, Jamaica!$B:$B, $A16, Jamaica!$D:$D, "London") + SUMIFS(Mountserat!$L:$L, Mountserat!$B:$B, $A16, Mountserat!$D:$D, "London") + SUMIFS(Nevis!$L:$L, Nevis!$B:$B, $A16, Nevis!$D:$D, "London") + SUMIFS(NewEngland!$J:$J, NewEngland!$A:$A, $A16, NewEngland!$B:$B, "London")</f>
        <v>39.742410714285718</v>
      </c>
      <c r="C16">
        <f>SUMIFS(Antigua!$L:$L, Antigua!$B:$B, $A16, Antigua!$D:$D, "Out Ports") + SUMIFS(Barbados!$L:$L, Barbados!$B:$B, $A16, Barbados!$D:$D, "Out Ports") + SUMIFS(Bermuda!$L:$L, Bermuda!$B:$B, $A16, Bermuda!$D:$D, "Out Ports") + SUMIFS(Carolina!$L:$L, Carolina!$B:$B, $A16, Carolina!$D:$D, "Out Ports") + SUMIFS(Jamaica!$L:$L, Jamaica!$B:$B, $A16, Jamaica!$D:$D, "Out Ports") + SUMIFS(Mountserat!$L:$L, Mountserat!$B:$B, $A16, Mountserat!$D:$D, "Out Ports") + SUMIFS(Nevis!$L:$L, Nevis!$B:$B, $A16, Nevis!$D:$D, "Out Ports") + SUMIFS(NewEngland!$J:$J, NewEngland!$A:$A, $A16, NewEngland!$B:$B, "Out Ports")</f>
        <v>20.498214285714283</v>
      </c>
      <c r="D16">
        <f t="shared" si="0"/>
        <v>60.24</v>
      </c>
    </row>
    <row r="17" spans="1:4" x14ac:dyDescent="0.25">
      <c r="A17" t="s">
        <v>11</v>
      </c>
      <c r="B17">
        <f>SUMIFS(Antigua!$L:$L, Antigua!$B:$B, $A17, Antigua!$D:$D, "London") + SUMIFS(Barbados!$L:$L, Barbados!$B:$B, $A17, Barbados!$D:$D, "London") + SUMIFS(Bermuda!$L:$L, Bermuda!$B:$B, $A17, Bermuda!$D:$D, "London") + SUMIFS(Carolina!$L:$L, Carolina!$B:$B, $A17, Carolina!$D:$D, "London") + SUMIFS(Jamaica!$L:$L, Jamaica!$B:$B, $A17, Jamaica!$D:$D, "London") + SUMIFS(Mountserat!$L:$L, Mountserat!$B:$B, $A17, Mountserat!$D:$D, "London") + SUMIFS(Nevis!$L:$L, Nevis!$B:$B, $A17, Nevis!$D:$D, "London") + SUMIFS(NewEngland!$J:$J, NewEngland!$A:$A, $A17, NewEngland!$B:$B, "London")</f>
        <v>173.26250000000002</v>
      </c>
      <c r="C17">
        <f>SUMIFS(Antigua!$L:$L, Antigua!$B:$B, $A17, Antigua!$D:$D, "Out Ports") + SUMIFS(Barbados!$L:$L, Barbados!$B:$B, $A17, Barbados!$D:$D, "Out Ports") + SUMIFS(Bermuda!$L:$L, Bermuda!$B:$B, $A17, Bermuda!$D:$D, "Out Ports") + SUMIFS(Carolina!$L:$L, Carolina!$B:$B, $A17, Carolina!$D:$D, "Out Ports") + SUMIFS(Jamaica!$L:$L, Jamaica!$B:$B, $A17, Jamaica!$D:$D, "Out Ports") + SUMIFS(Mountserat!$L:$L, Mountserat!$B:$B, $A17, Mountserat!$D:$D, "Out Ports") + SUMIFS(Nevis!$L:$L, Nevis!$B:$B, $A17, Nevis!$D:$D, "Out Ports") + SUMIFS(NewEngland!$J:$J, NewEngland!$A:$A, $A17, NewEngland!$B:$B, "Out Ports")</f>
        <v>155.671875</v>
      </c>
      <c r="D17">
        <f t="shared" si="0"/>
        <v>328.93</v>
      </c>
    </row>
    <row r="18" spans="1:4" x14ac:dyDescent="0.25">
      <c r="A18" t="s">
        <v>27</v>
      </c>
      <c r="B18">
        <f>SUMIFS(Antigua!$L:$L, Antigua!$B:$B, $A18, Antigua!$D:$D, "London") + SUMIFS(Barbados!$L:$L, Barbados!$B:$B, $A18, Barbados!$D:$D, "London") + SUMIFS(Bermuda!$L:$L, Bermuda!$B:$B, $A18, Bermuda!$D:$D, "London") + SUMIFS(Carolina!$L:$L, Carolina!$B:$B, $A18, Carolina!$D:$D, "London") + SUMIFS(Jamaica!$L:$L, Jamaica!$B:$B, $A18, Jamaica!$D:$D, "London") + SUMIFS(Mountserat!$L:$L, Mountserat!$B:$B, $A18, Mountserat!$D:$D, "London") + SUMIFS(Nevis!$L:$L, Nevis!$B:$B, $A18, Nevis!$D:$D, "London") + SUMIFS(NewEngland!$J:$J, NewEngland!$A:$A, $A18, NewEngland!$B:$B, "London")</f>
        <v>61.998214285714283</v>
      </c>
      <c r="C18">
        <f>SUMIFS(Antigua!$L:$L, Antigua!$B:$B, $A18, Antigua!$D:$D, "Out Ports") + SUMIFS(Barbados!$L:$L, Barbados!$B:$B, $A18, Barbados!$D:$D, "Out Ports") + SUMIFS(Bermuda!$L:$L, Bermuda!$B:$B, $A18, Bermuda!$D:$D, "Out Ports") + SUMIFS(Carolina!$L:$L, Carolina!$B:$B, $A18, Carolina!$D:$D, "Out Ports") + SUMIFS(Jamaica!$L:$L, Jamaica!$B:$B, $A18, Jamaica!$D:$D, "Out Ports") + SUMIFS(Mountserat!$L:$L, Mountserat!$B:$B, $A18, Mountserat!$D:$D, "Out Ports") + SUMIFS(Nevis!$L:$L, Nevis!$B:$B, $A18, Nevis!$D:$D, "Out Ports") + SUMIFS(NewEngland!$J:$J, NewEngland!$A:$A, $A18, NewEngland!$B:$B, "Out Ports")</f>
        <v>36.394642857142856</v>
      </c>
      <c r="D18">
        <f t="shared" si="0"/>
        <v>98.39</v>
      </c>
    </row>
    <row r="19" spans="1:4" x14ac:dyDescent="0.25">
      <c r="A19" t="s">
        <v>22</v>
      </c>
      <c r="B19">
        <f>SUMIFS(Antigua!$L:$L, Antigua!$B:$B, $A19, Antigua!$D:$D, "London") + SUMIFS(Barbados!$L:$L, Barbados!$B:$B, $A19, Barbados!$D:$D, "London") + SUMIFS(Bermuda!$L:$L, Bermuda!$B:$B, $A19, Bermuda!$D:$D, "London") + SUMIFS(Carolina!$L:$L, Carolina!$B:$B, $A19, Carolina!$D:$D, "London") + SUMIFS(Jamaica!$L:$L, Jamaica!$B:$B, $A19, Jamaica!$D:$D, "London") + SUMIFS(Mountserat!$L:$L, Mountserat!$B:$B, $A19, Mountserat!$D:$D, "London") + SUMIFS(Nevis!$L:$L, Nevis!$B:$B, $A19, Nevis!$D:$D, "London") + SUMIFS(NewEngland!$J:$J, NewEngland!$A:$A, $A19, NewEngland!$B:$B, "London")</f>
        <v>1.6375000000000002</v>
      </c>
      <c r="C19">
        <f>SUMIFS(Antigua!$L:$L, Antigua!$B:$B, $A19, Antigua!$D:$D, "Out Ports") + SUMIFS(Barbados!$L:$L, Barbados!$B:$B, $A19, Barbados!$D:$D, "Out Ports") + SUMIFS(Bermuda!$L:$L, Bermuda!$B:$B, $A19, Bermuda!$D:$D, "Out Ports") + SUMIFS(Carolina!$L:$L, Carolina!$B:$B, $A19, Carolina!$D:$D, "Out Ports") + SUMIFS(Jamaica!$L:$L, Jamaica!$B:$B, $A19, Jamaica!$D:$D, "Out Ports") + SUMIFS(Mountserat!$L:$L, Mountserat!$B:$B, $A19, Mountserat!$D:$D, "Out Ports") + SUMIFS(Nevis!$L:$L, Nevis!$B:$B, $A19, Nevis!$D:$D, "Out Ports") + SUMIFS(NewEngland!$J:$J, NewEngland!$A:$A, $A19, NewEngland!$B:$B, "Out Ports")</f>
        <v>0</v>
      </c>
      <c r="D19">
        <f t="shared" si="0"/>
        <v>1.64</v>
      </c>
    </row>
    <row r="20" spans="1:4" x14ac:dyDescent="0.25">
      <c r="A20" t="s">
        <v>17</v>
      </c>
      <c r="B20">
        <f>SUMIFS(Antigua!$L:$L, Antigua!$B:$B, $A20, Antigua!$D:$D, "London") + SUMIFS(Barbados!$L:$L, Barbados!$B:$B, $A20, Barbados!$D:$D, "London") + SUMIFS(Bermuda!$L:$L, Bermuda!$B:$B, $A20, Bermuda!$D:$D, "London") + SUMIFS(Carolina!$L:$L, Carolina!$B:$B, $A20, Carolina!$D:$D, "London") + SUMIFS(Jamaica!$L:$L, Jamaica!$B:$B, $A20, Jamaica!$D:$D, "London") + SUMIFS(Mountserat!$L:$L, Mountserat!$B:$B, $A20, Mountserat!$D:$D, "London") + SUMIFS(Nevis!$L:$L, Nevis!$B:$B, $A20, Nevis!$D:$D, "London") + SUMIFS(NewEngland!$J:$J, NewEngland!$A:$A, $A20, NewEngland!$B:$B, "London")</f>
        <v>62.381696428571416</v>
      </c>
      <c r="C20">
        <f>SUMIFS(Antigua!$L:$L, Antigua!$B:$B, $A20, Antigua!$D:$D, "Out Ports") + SUMIFS(Barbados!$L:$L, Barbados!$B:$B, $A20, Barbados!$D:$D, "Out Ports") + SUMIFS(Bermuda!$L:$L, Bermuda!$B:$B, $A20, Bermuda!$D:$D, "Out Ports") + SUMIFS(Carolina!$L:$L, Carolina!$B:$B, $A20, Carolina!$D:$D, "Out Ports") + SUMIFS(Jamaica!$L:$L, Jamaica!$B:$B, $A20, Jamaica!$D:$D, "Out Ports") + SUMIFS(Mountserat!$L:$L, Mountserat!$B:$B, $A20, Mountserat!$D:$D, "Out Ports") + SUMIFS(Nevis!$L:$L, Nevis!$B:$B, $A20, Nevis!$D:$D, "Out Ports") + SUMIFS(NewEngland!$J:$J, NewEngland!$A:$A, $A20, NewEngland!$B:$B, "Out Ports")</f>
        <v>35.426116071428574</v>
      </c>
      <c r="D20">
        <f t="shared" si="0"/>
        <v>97.81</v>
      </c>
    </row>
    <row r="21" spans="1:4" x14ac:dyDescent="0.25">
      <c r="A21" t="s">
        <v>19</v>
      </c>
      <c r="B21">
        <f>SUMIFS(Antigua!$L:$L, Antigua!$B:$B, $A21, Antigua!$D:$D, "London") + SUMIFS(Barbados!$L:$L, Barbados!$B:$B, $A21, Barbados!$D:$D, "London") + SUMIFS(Bermuda!$L:$L, Bermuda!$B:$B, $A21, Bermuda!$D:$D, "London") + SUMIFS(Carolina!$L:$L, Carolina!$B:$B, $A21, Carolina!$D:$D, "London") + SUMIFS(Jamaica!$L:$L, Jamaica!$B:$B, $A21, Jamaica!$D:$D, "London") + SUMIFS(Mountserat!$L:$L, Mountserat!$B:$B, $A21, Mountserat!$D:$D, "London") + SUMIFS(Nevis!$L:$L, Nevis!$B:$B, $A21, Nevis!$D:$D, "London") + SUMIFS(NewEngland!$J:$J, NewEngland!$A:$A, $A21, NewEngland!$B:$B, "London")</f>
        <v>7.7312500000000002</v>
      </c>
      <c r="C21">
        <f>SUMIFS(Antigua!$L:$L, Antigua!$B:$B, $A21, Antigua!$D:$D, "Out Ports") + SUMIFS(Barbados!$L:$L, Barbados!$B:$B, $A21, Barbados!$D:$D, "Out Ports") + SUMIFS(Bermuda!$L:$L, Bermuda!$B:$B, $A21, Bermuda!$D:$D, "Out Ports") + SUMIFS(Carolina!$L:$L, Carolina!$B:$B, $A21, Carolina!$D:$D, "Out Ports") + SUMIFS(Jamaica!$L:$L, Jamaica!$B:$B, $A21, Jamaica!$D:$D, "Out Ports") + SUMIFS(Mountserat!$L:$L, Mountserat!$B:$B, $A21, Mountserat!$D:$D, "Out Ports") + SUMIFS(Nevis!$L:$L, Nevis!$B:$B, $A21, Nevis!$D:$D, "Out Ports") + SUMIFS(NewEngland!$J:$J, NewEngland!$A:$A, $A21, NewEngland!$B:$B, "Out Ports")</f>
        <v>0.44776785714285716</v>
      </c>
      <c r="D21">
        <f t="shared" si="0"/>
        <v>8.18</v>
      </c>
    </row>
    <row r="22" spans="1:4" x14ac:dyDescent="0.25">
      <c r="A22" t="s">
        <v>29</v>
      </c>
      <c r="B22">
        <f>SUMIFS(Antigua!$L:$L, Antigua!$B:$B, $A22, Antigua!$D:$D, "London") + SUMIFS(Barbados!$L:$L, Barbados!$B:$B, $A22, Barbados!$D:$D, "London") + SUMIFS(Bermuda!$L:$L, Bermuda!$B:$B, $A22, Bermuda!$D:$D, "London") + SUMIFS(Carolina!$L:$L, Carolina!$B:$B, $A22, Carolina!$D:$D, "London") + SUMIFS(Jamaica!$L:$L, Jamaica!$B:$B, $A22, Jamaica!$D:$D, "London") + SUMIFS(Mountserat!$L:$L, Mountserat!$B:$B, $A22, Mountserat!$D:$D, "London") + SUMIFS(Nevis!$L:$L, Nevis!$B:$B, $A22, Nevis!$D:$D, "London") + SUMIFS(NewEngland!$J:$J, NewEngland!$A:$A, $A22, NewEngland!$B:$B, "London")</f>
        <v>0.86785714285714288</v>
      </c>
      <c r="C22">
        <f>SUMIFS(Antigua!$L:$L, Antigua!$B:$B, $A22, Antigua!$D:$D, "Out Ports") + SUMIFS(Barbados!$L:$L, Barbados!$B:$B, $A22, Barbados!$D:$D, "Out Ports") + SUMIFS(Bermuda!$L:$L, Bermuda!$B:$B, $A22, Bermuda!$D:$D, "Out Ports") + SUMIFS(Carolina!$L:$L, Carolina!$B:$B, $A22, Carolina!$D:$D, "Out Ports") + SUMIFS(Jamaica!$L:$L, Jamaica!$B:$B, $A22, Jamaica!$D:$D, "Out Ports") + SUMIFS(Mountserat!$L:$L, Mountserat!$B:$B, $A22, Mountserat!$D:$D, "Out Ports") + SUMIFS(Nevis!$L:$L, Nevis!$B:$B, $A22, Nevis!$D:$D, "Out Ports") + SUMIFS(NewEngland!$J:$J, NewEngland!$A:$A, $A22, NewEngland!$B:$B, "Out Ports")</f>
        <v>0.30714285714285711</v>
      </c>
      <c r="D22">
        <f t="shared" si="0"/>
        <v>1.18</v>
      </c>
    </row>
    <row r="23" spans="1:4" x14ac:dyDescent="0.25">
      <c r="A23" t="s">
        <v>15</v>
      </c>
      <c r="B23">
        <f>SUMIFS(Antigua!$L:$L, Antigua!$B:$B, $A23, Antigua!$D:$D, "London") + SUMIFS(Barbados!$L:$L, Barbados!$B:$B, $A23, Barbados!$D:$D, "London") + SUMIFS(Bermuda!$L:$L, Bermuda!$B:$B, $A23, Bermuda!$D:$D, "London") + SUMIFS(Carolina!$L:$L, Carolina!$B:$B, $A23, Carolina!$D:$D, "London") + SUMIFS(Jamaica!$L:$L, Jamaica!$B:$B, $A23, Jamaica!$D:$D, "London") + SUMIFS(Mountserat!$L:$L, Mountserat!$B:$B, $A23, Mountserat!$D:$D, "London") + SUMIFS(Nevis!$L:$L, Nevis!$B:$B, $A23, Nevis!$D:$D, "London") + SUMIFS(NewEngland!$J:$J, NewEngland!$A:$A, $A23, NewEngland!$B:$B,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SUMIFS(Carolina!$L:$L, Carolina!$B:$B, $A23, Carolina!$D:$D, "Out Ports") + SUMIFS(Jamaica!$L:$L, Jamaica!$B:$B, $A23, Jamaica!$D:$D, "Out Ports") + SUMIFS(Mountserat!$L:$L, Mountserat!$B:$B, $A23, Mountserat!$D:$D, "Out Ports") + SUMIFS(Nevis!$L:$L, Nevis!$B:$B, $A23, Nevis!$D:$D, "Out Ports") + SUMIFS(NewEngland!$J:$J, NewEngland!$A:$A, $A23, NewEngland!$B:$B, "Out Ports")</f>
        <v>2.5138392857142859</v>
      </c>
      <c r="D23">
        <f t="shared" si="0"/>
        <v>2.5099999999999998</v>
      </c>
    </row>
    <row r="24" spans="1:4" x14ac:dyDescent="0.25">
      <c r="A24" t="s">
        <v>18</v>
      </c>
      <c r="B24">
        <f>SUMIFS(Antigua!$L:$L, Antigua!$B:$B, $A24, Antigua!$D:$D, "London") + SUMIFS(Barbados!$L:$L, Barbados!$B:$B, $A24, Barbados!$D:$D, "London") + SUMIFS(Bermuda!$L:$L, Bermuda!$B:$B, $A24, Bermuda!$D:$D, "London") + SUMIFS(Carolina!$L:$L, Carolina!$B:$B, $A24, Carolina!$D:$D, "London") + SUMIFS(Jamaica!$L:$L, Jamaica!$B:$B, $A24, Jamaica!$D:$D, "London") + SUMIFS(Mountserat!$L:$L, Mountserat!$B:$B, $A24, Mountserat!$D:$D, "London") + SUMIFS(Nevis!$L:$L, Nevis!$B:$B, $A24, Nevis!$D:$D, "London") + SUMIFS(NewEngland!$J:$J, NewEngland!$A:$A, $A24, NewEngland!$B:$B, "London")</f>
        <v>0.82008928571428563</v>
      </c>
      <c r="C24">
        <f>SUMIFS(Antigua!$L:$L, Antigua!$B:$B, $A24, Antigua!$D:$D, "Out Ports") + SUMIFS(Barbados!$L:$L, Barbados!$B:$B, $A24, Barbados!$D:$D, "Out Ports") + SUMIFS(Bermuda!$L:$L, Bermuda!$B:$B, $A24, Bermuda!$D:$D, "Out Ports") + SUMIFS(Carolina!$L:$L, Carolina!$B:$B, $A24, Carolina!$D:$D, "Out Ports") + SUMIFS(Jamaica!$L:$L, Jamaica!$B:$B, $A24, Jamaica!$D:$D, "Out Ports") + SUMIFS(Mountserat!$L:$L, Mountserat!$B:$B, $A24, Mountserat!$D:$D, "Out Ports") + SUMIFS(Nevis!$L:$L, Nevis!$B:$B, $A24, Nevis!$D:$D, "Out Ports") + SUMIFS(NewEngland!$J:$J, NewEngland!$A:$A, $A24, NewEngland!$B:$B, "Out Ports")</f>
        <v>1.4468750000000001</v>
      </c>
      <c r="D24">
        <f t="shared" si="0"/>
        <v>2.27</v>
      </c>
    </row>
    <row r="25" spans="1:4" x14ac:dyDescent="0.25">
      <c r="A25" t="s">
        <v>13</v>
      </c>
      <c r="B25">
        <f>SUMIFS(Antigua!$L:$L, Antigua!$B:$B, $A25, Antigua!$D:$D, "London") + SUMIFS(Barbados!$L:$L, Barbados!$B:$B, $A25, Barbados!$D:$D, "London") + SUMIFS(Bermuda!$L:$L, Bermuda!$B:$B, $A25, Bermuda!$D:$D, "London") + SUMIFS(Carolina!$L:$L, Carolina!$B:$B, $A25, Carolina!$D:$D, "London") + SUMIFS(Jamaica!$L:$L, Jamaica!$B:$B, $A25, Jamaica!$D:$D, "London") + SUMIFS(Mountserat!$L:$L, Mountserat!$B:$B, $A25, Mountserat!$D:$D, "London") + SUMIFS(Nevis!$L:$L, Nevis!$B:$B, $A25, Nevis!$D:$D, "London") + SUMIFS(NewEngland!$J:$J, NewEngland!$A:$A, $A25, NewEngland!$B:$B, "London")</f>
        <v>51.625</v>
      </c>
      <c r="C25">
        <f>SUMIFS(Antigua!$L:$L, Antigua!$B:$B, $A25, Antigua!$D:$D, "Out Ports") + SUMIFS(Barbados!$L:$L, Barbados!$B:$B, $A25, Barbados!$D:$D, "Out Ports") + SUMIFS(Bermuda!$L:$L, Bermuda!$B:$B, $A25, Bermuda!$D:$D, "Out Ports") + SUMIFS(Carolina!$L:$L, Carolina!$B:$B, $A25, Carolina!$D:$D, "Out Ports") + SUMIFS(Jamaica!$L:$L, Jamaica!$B:$B, $A25, Jamaica!$D:$D, "Out Ports") + SUMIFS(Mountserat!$L:$L, Mountserat!$B:$B, $A25, Mountserat!$D:$D, "Out Ports") + SUMIFS(Nevis!$L:$L, Nevis!$B:$B, $A25, Nevis!$D:$D, "Out Ports") + SUMIFS(NewEngland!$J:$J, NewEngland!$A:$A, $A25, NewEngland!$B:$B, "Out Ports")</f>
        <v>1.434375</v>
      </c>
      <c r="D25">
        <f t="shared" si="0"/>
        <v>53.06</v>
      </c>
    </row>
    <row r="26" spans="1:4" x14ac:dyDescent="0.25">
      <c r="A26" t="s">
        <v>25</v>
      </c>
      <c r="B26">
        <f>SUMIFS(Antigua!$L:$L, Antigua!$B:$B, $A26, Antigua!$D:$D, "London") + SUMIFS(Barbados!$L:$L, Barbados!$B:$B, $A26, Barbados!$D:$D, "London") + SUMIFS(Bermuda!$L:$L, Bermuda!$B:$B, $A26, Bermuda!$D:$D, "London") + SUMIFS(Carolina!$L:$L, Carolina!$B:$B, $A26, Carolina!$D:$D, "London") + SUMIFS(Jamaica!$L:$L, Jamaica!$B:$B, $A26, Jamaica!$D:$D, "London") + SUMIFS(Mountserat!$L:$L, Mountserat!$B:$B, $A26, Mountserat!$D:$D, "London") + SUMIFS(Nevis!$L:$L, Nevis!$B:$B, $A26, Nevis!$D:$D, "London") + SUMIFS(NewEngland!$J:$J, NewEngland!$A:$A, $A26, NewEngland!$B:$B, "London")</f>
        <v>0</v>
      </c>
      <c r="C26">
        <f>SUMIFS(Antigua!$L:$L, Antigua!$B:$B, $A26, Antigua!$D:$D, "Out Ports") + SUMIFS(Barbados!$L:$L, Barbados!$B:$B, $A26, Barbados!$D:$D, "Out Ports") + SUMIFS(Bermuda!$L:$L, Bermuda!$B:$B, $A26, Bermuda!$D:$D, "Out Ports") + SUMIFS(Carolina!$L:$L, Carolina!$B:$B, $A26, Carolina!$D:$D, "Out Ports") + SUMIFS(Jamaica!$L:$L, Jamaica!$B:$B, $A26, Jamaica!$D:$D, "Out Ports") + SUMIFS(Mountserat!$L:$L, Mountserat!$B:$B, $A26, Mountserat!$D:$D, "Out Ports") + SUMIFS(Nevis!$L:$L, Nevis!$B:$B, $A26, Nevis!$D:$D, "Out Ports") + SUMIFS(NewEngland!$J:$J, NewEngland!$A:$A, $A26, NewEngland!$B:$B, "Out Ports")</f>
        <v>0</v>
      </c>
      <c r="D26">
        <f t="shared" si="0"/>
        <v>0</v>
      </c>
    </row>
    <row r="27" spans="1:4" x14ac:dyDescent="0.25">
      <c r="A27" t="s">
        <v>23</v>
      </c>
      <c r="B27">
        <f>SUMIFS(Antigua!$L:$L, Antigua!$B:$B, $A27, Antigua!$D:$D, "London") + SUMIFS(Barbados!$L:$L, Barbados!$B:$B, $A27, Barbados!$D:$D, "London") + SUMIFS(Bermuda!$L:$L, Bermuda!$B:$B, $A27, Bermuda!$D:$D, "London") + SUMIFS(Carolina!$L:$L, Carolina!$B:$B, $A27, Carolina!$D:$D, "London") + SUMIFS(Jamaica!$L:$L, Jamaica!$B:$B, $A27, Jamaica!$D:$D, "London") + SUMIFS(Mountserat!$L:$L, Mountserat!$B:$B, $A27, Mountserat!$D:$D, "London") + SUMIFS(Nevis!$L:$L, Nevis!$B:$B, $A27, Nevis!$D:$D, "London") + SUMIFS(NewEngland!$J:$J, NewEngland!$A:$A, $A27, NewEngland!$B:$B, "London")</f>
        <v>0</v>
      </c>
      <c r="C27">
        <f>SUMIFS(Antigua!$L:$L, Antigua!$B:$B, $A27, Antigua!$D:$D, "Out Ports") + SUMIFS(Barbados!$L:$L, Barbados!$B:$B, $A27, Barbados!$D:$D, "Out Ports") + SUMIFS(Bermuda!$L:$L, Bermuda!$B:$B, $A27, Bermuda!$D:$D, "Out Ports") + SUMIFS(Carolina!$L:$L, Carolina!$B:$B, $A27, Carolina!$D:$D, "Out Ports") + SUMIFS(Jamaica!$L:$L, Jamaica!$B:$B, $A27, Jamaica!$D:$D, "Out Ports") + SUMIFS(Mountserat!$L:$L, Mountserat!$B:$B, $A27, Mountserat!$D:$D, "Out Ports") + SUMIFS(Nevis!$L:$L, Nevis!$B:$B, $A27, Nevis!$D:$D, "Out Ports") + SUMIFS(NewEngland!$J:$J, NewEngland!$A:$A, $A27, NewEngland!$B:$B, "Out Ports")</f>
        <v>0</v>
      </c>
      <c r="D27">
        <f t="shared" si="0"/>
        <v>0</v>
      </c>
    </row>
    <row r="28" spans="1:4" x14ac:dyDescent="0.25">
      <c r="A28" t="s">
        <v>87</v>
      </c>
      <c r="B28">
        <f>SUMIFS(Antigua!$L:$L, Antigua!$B:$B, $A28, Antigua!$D:$D, "London") + SUMIFS(Barbados!$L:$L, Barbados!$B:$B, $A28, Barbados!$D:$D, "London") + SUMIFS(Bermuda!$L:$L, Bermuda!$B:$B, $A28, Bermuda!$D:$D, "London") + SUMIFS(Carolina!$L:$L, Carolina!$B:$B, $A28, Carolina!$D:$D, "London") + SUMIFS(Jamaica!$L:$L, Jamaica!$B:$B, $A28, Jamaica!$D:$D, "London") + SUMIFS(Mountserat!$L:$L, Mountserat!$B:$B, $A28, Mountserat!$D:$D, "London") + SUMIFS(Nevis!$L:$L, Nevis!$B:$B, $A28, Nevis!$D:$D, "London") + SUMIFS(NewEngland!$J:$J, NewEngland!$A:$A, $A28, NewEngland!$B:$B, "London")</f>
        <v>2164.1763392857142</v>
      </c>
      <c r="C28">
        <f>SUMIFS(Antigua!$L:$L, Antigua!$B:$B, $A28, Antigua!$D:$D, "Out Ports") + SUMIFS(Barbados!$L:$L, Barbados!$B:$B, $A28, Barbados!$D:$D, "Out Ports") + SUMIFS(Bermuda!$L:$L, Bermuda!$B:$B, $A28, Bermuda!$D:$D, "Out Ports") + SUMIFS(Carolina!$L:$L, Carolina!$B:$B, $A28, Carolina!$D:$D, "Out Ports") + SUMIFS(Jamaica!$L:$L, Jamaica!$B:$B, $A28, Jamaica!$D:$D, "Out Ports") + SUMIFS(Mountserat!$L:$L, Mountserat!$B:$B, $A28, Mountserat!$D:$D, "Out Ports") + SUMIFS(Nevis!$L:$L, Nevis!$B:$B, $A28, Nevis!$D:$D, "Out Ports") + SUMIFS(NewEngland!$J:$J, NewEngland!$A:$A, $A28, NewEngland!$B:$B, "Out Ports")</f>
        <v>0</v>
      </c>
      <c r="D28">
        <f t="shared" si="0"/>
        <v>2164.1799999999998</v>
      </c>
    </row>
    <row r="29" spans="1:4" x14ac:dyDescent="0.25">
      <c r="A29" t="s">
        <v>37</v>
      </c>
      <c r="B29">
        <f>SUMIFS(Antigua!$L:$L, Antigua!$B:$B, $A29, Antigua!$D:$D, "London") + SUMIFS(Barbados!$L:$L, Barbados!$B:$B, $A29, Barbados!$D:$D, "London") + SUMIFS(Bermuda!$L:$L, Bermuda!$B:$B, $A29, Bermuda!$D:$D, "London") + SUMIFS(Carolina!$L:$L, Carolina!$B:$B, $A29, Carolina!$D:$D, "London") + SUMIFS(Jamaica!$L:$L, Jamaica!$B:$B, $A29, Jamaica!$D:$D, "London") + SUMIFS(Mountserat!$L:$L, Mountserat!$B:$B, $A29, Mountserat!$D:$D, "London") + SUMIFS(Nevis!$L:$L, Nevis!$B:$B, $A29, Nevis!$D:$D, "London") + SUMIFS(NewEngland!$J:$J, NewEngland!$A:$A, $A29, NewEngland!$B:$B, "London")</f>
        <v>0</v>
      </c>
      <c r="C29">
        <f>SUMIFS(Antigua!$L:$L, Antigua!$B:$B, $A29, Antigua!$D:$D, "Out Ports") + SUMIFS(Barbados!$L:$L, Barbados!$B:$B, $A29, Barbados!$D:$D, "Out Ports") + SUMIFS(Bermuda!$L:$L, Bermuda!$B:$B, $A29, Bermuda!$D:$D, "Out Ports") + SUMIFS(Carolina!$L:$L, Carolina!$B:$B, $A29, Carolina!$D:$D, "Out Ports") + SUMIFS(Jamaica!$L:$L, Jamaica!$B:$B, $A29, Jamaica!$D:$D, "Out Ports") + SUMIFS(Mountserat!$L:$L, Mountserat!$B:$B, $A29, Mountserat!$D:$D, "Out Ports") + SUMIFS(Nevis!$L:$L, Nevis!$B:$B, $A29, Nevis!$D:$D, "Out Ports") + SUMIFS(NewEngland!$J:$J, NewEngland!$A:$A, $A29, NewEngland!$B:$B, "Out Ports")</f>
        <v>0</v>
      </c>
      <c r="D29">
        <f t="shared" si="0"/>
        <v>0</v>
      </c>
    </row>
    <row r="30" spans="1:4" x14ac:dyDescent="0.25">
      <c r="A30" t="s">
        <v>45</v>
      </c>
      <c r="B30">
        <f>SUMIFS(Antigua!$L:$L, Antigua!$B:$B, $A30, Antigua!$D:$D, "London") + SUMIFS(Barbados!$L:$L, Barbados!$B:$B, $A30, Barbados!$D:$D, "London") + SUMIFS(Bermuda!$L:$L, Bermuda!$B:$B, $A30, Bermuda!$D:$D, "London") + SUMIFS(Carolina!$L:$L, Carolina!$B:$B, $A30, Carolina!$D:$D, "London") + SUMIFS(Jamaica!$L:$L, Jamaica!$B:$B, $A30, Jamaica!$D:$D, "London") + SUMIFS(Mountserat!$L:$L, Mountserat!$B:$B, $A30, Mountserat!$D:$D, "London") + SUMIFS(Nevis!$L:$L, Nevis!$B:$B, $A30, Nevis!$D:$D, "London") + SUMIFS(NewEngland!$J:$J, NewEngland!$A:$A, $A30, NewEngland!$B:$B, "London")</f>
        <v>10.087946428571428</v>
      </c>
      <c r="C30">
        <f>SUMIFS(Antigua!$L:$L, Antigua!$B:$B, $A30, Antigua!$D:$D, "Out Ports") + SUMIFS(Barbados!$L:$L, Barbados!$B:$B, $A30, Barbados!$D:$D, "Out Ports") + SUMIFS(Bermuda!$L:$L, Bermuda!$B:$B, $A30, Bermuda!$D:$D, "Out Ports") + SUMIFS(Carolina!$L:$L, Carolina!$B:$B, $A30, Carolina!$D:$D, "Out Ports") + SUMIFS(Jamaica!$L:$L, Jamaica!$B:$B, $A30, Jamaica!$D:$D, "Out Ports") + SUMIFS(Mountserat!$L:$L, Mountserat!$B:$B, $A30, Mountserat!$D:$D, "Out Ports") + SUMIFS(Nevis!$L:$L, Nevis!$B:$B, $A30, Nevis!$D:$D, "Out Ports") + SUMIFS(NewEngland!$J:$J, NewEngland!$A:$A, $A30, NewEngland!$B:$B, "Out Ports")</f>
        <v>9.0325892857142858</v>
      </c>
      <c r="D30">
        <f t="shared" si="0"/>
        <v>19.12</v>
      </c>
    </row>
    <row r="31" spans="1:4" x14ac:dyDescent="0.25">
      <c r="A31" t="s">
        <v>24</v>
      </c>
      <c r="B31">
        <f>SUMIFS(Antigua!$L:$L, Antigua!$B:$B, $A31, Antigua!$D:$D, "London") + SUMIFS(Barbados!$L:$L, Barbados!$B:$B, $A31, Barbados!$D:$D, "London") + SUMIFS(Bermuda!$L:$L, Bermuda!$B:$B, $A31, Bermuda!$D:$D, "London") + SUMIFS(Carolina!$L:$L, Carolina!$B:$B, $A31, Carolina!$D:$D, "London") + SUMIFS(Jamaica!$L:$L, Jamaica!$B:$B, $A31, Jamaica!$D:$D, "London") + SUMIFS(Mountserat!$L:$L, Mountserat!$B:$B, $A31, Mountserat!$D:$D, "London") + SUMIFS(Nevis!$L:$L, Nevis!$B:$B, $A31, Nevis!$D:$D, "London") + SUMIFS(NewEngland!$J:$J, NewEngland!$A:$A, $A31, NewEngland!$B:$B, "London")</f>
        <v>35.062276785714282</v>
      </c>
      <c r="C31">
        <f>SUMIFS(Antigua!$L:$L, Antigua!$B:$B, $A31, Antigua!$D:$D, "Out Ports") + SUMIFS(Barbados!$L:$L, Barbados!$B:$B, $A31, Barbados!$D:$D, "Out Ports") + SUMIFS(Bermuda!$L:$L, Bermuda!$B:$B, $A31, Bermuda!$D:$D, "Out Ports") + SUMIFS(Carolina!$L:$L, Carolina!$B:$B, $A31, Carolina!$D:$D, "Out Ports") + SUMIFS(Jamaica!$L:$L, Jamaica!$B:$B, $A31, Jamaica!$D:$D, "Out Ports") + SUMIFS(Mountserat!$L:$L, Mountserat!$B:$B, $A31, Mountserat!$D:$D, "Out Ports") + SUMIFS(Nevis!$L:$L, Nevis!$B:$B, $A31, Nevis!$D:$D, "Out Ports") + SUMIFS(NewEngland!$J:$J, NewEngland!$A:$A, $A31, NewEngland!$B:$B, "Out Ports")</f>
        <v>1.4464285714285714</v>
      </c>
      <c r="D31">
        <f t="shared" si="0"/>
        <v>36.51</v>
      </c>
    </row>
    <row r="32" spans="1:4" x14ac:dyDescent="0.25">
      <c r="A32" t="s">
        <v>112</v>
      </c>
      <c r="B32">
        <f>SUMIFS(Antigua!$L:$L, Antigua!$B:$B, $A32, Antigua!$D:$D, "London") + SUMIFS(Barbados!$L:$L, Barbados!$B:$B, $A32, Barbados!$D:$D, "London") + SUMIFS(Bermuda!$L:$L, Bermuda!$B:$B, $A32, Bermuda!$D:$D, "London") + SUMIFS(Carolina!$L:$L, Carolina!$B:$B, $A32, Carolina!$D:$D, "London") + SUMIFS(Jamaica!$L:$L, Jamaica!$B:$B, $A32, Jamaica!$D:$D, "London") + SUMIFS(Mountserat!$L:$L, Mountserat!$B:$B, $A32, Mountserat!$D:$D, "London") + SUMIFS(Nevis!$L:$L, Nevis!$B:$B, $A32, Nevis!$D:$D, "London") + SUMIFS(NewEngland!$J:$J, NewEngland!$A:$A, $A32, NewEngland!$B:$B, "London")</f>
        <v>440.64687500000002</v>
      </c>
      <c r="C32">
        <f>SUMIFS(Antigua!$L:$L, Antigua!$B:$B, $A32, Antigua!$D:$D, "Out Ports") + SUMIFS(Barbados!$L:$L, Barbados!$B:$B, $A32, Barbados!$D:$D, "Out Ports") + SUMIFS(Bermuda!$L:$L, Bermuda!$B:$B, $A32, Bermuda!$D:$D, "Out Ports") + SUMIFS(Carolina!$L:$L, Carolina!$B:$B, $A32, Carolina!$D:$D, "Out Ports") + SUMIFS(Jamaica!$L:$L, Jamaica!$B:$B, $A32, Jamaica!$D:$D, "Out Ports") + SUMIFS(Mountserat!$L:$L, Mountserat!$B:$B, $A32, Mountserat!$D:$D, "Out Ports") + SUMIFS(Nevis!$L:$L, Nevis!$B:$B, $A32, Nevis!$D:$D, "Out Ports") + SUMIFS(NewEngland!$J:$J, NewEngland!$A:$A, $A32, NewEngland!$B:$B, "Out Ports")</f>
        <v>164.05848214285714</v>
      </c>
      <c r="D32">
        <f t="shared" si="0"/>
        <v>604.71</v>
      </c>
    </row>
    <row r="33" spans="1:4" x14ac:dyDescent="0.25">
      <c r="A33" t="s">
        <v>110</v>
      </c>
      <c r="B33">
        <f>SUMIFS(Antigua!$L:$L, Antigua!$B:$B, $A33, Antigua!$D:$D, "London") + SUMIFS(Barbados!$L:$L, Barbados!$B:$B, $A33, Barbados!$D:$D, "London") + SUMIFS(Bermuda!$L:$L, Bermuda!$B:$B, $A33, Bermuda!$D:$D, "London") + SUMIFS(Carolina!$L:$L, Carolina!$B:$B, $A33, Carolina!$D:$D, "London") + SUMIFS(Jamaica!$L:$L, Jamaica!$B:$B, $A33, Jamaica!$D:$D, "London") + SUMIFS(Mountserat!$L:$L, Mountserat!$B:$B, $A33, Mountserat!$D:$D, "London") + SUMIFS(Nevis!$L:$L, Nevis!$B:$B, $A33, Nevis!$D:$D, "London") + SUMIFS(NewEngland!$J:$J, NewEngland!$A:$A, $A33, NewEngland!$B:$B, "London")</f>
        <v>260.98750000000001</v>
      </c>
      <c r="C33">
        <f>SUMIFS(Antigua!$L:$L, Antigua!$B:$B, $A33, Antigua!$D:$D, "Out Ports") + SUMIFS(Barbados!$L:$L, Barbados!$B:$B, $A33, Barbados!$D:$D, "Out Ports") + SUMIFS(Bermuda!$L:$L, Bermuda!$B:$B, $A33, Bermuda!$D:$D, "Out Ports") + SUMIFS(Carolina!$L:$L, Carolina!$B:$B, $A33, Carolina!$D:$D, "Out Ports") + SUMIFS(Jamaica!$L:$L, Jamaica!$B:$B, $A33, Jamaica!$D:$D, "Out Ports") + SUMIFS(Mountserat!$L:$L, Mountserat!$B:$B, $A33, Mountserat!$D:$D, "Out Ports") + SUMIFS(Nevis!$L:$L, Nevis!$B:$B, $A33, Nevis!$D:$D, "Out Ports") + SUMIFS(NewEngland!$J:$J, NewEngland!$A:$A, $A33, NewEngland!$B:$B, "Out Ports")</f>
        <v>162.55491071428571</v>
      </c>
      <c r="D33">
        <f t="shared" si="0"/>
        <v>423.54</v>
      </c>
    </row>
    <row r="34" spans="1:4" x14ac:dyDescent="0.25">
      <c r="A34" t="s">
        <v>111</v>
      </c>
      <c r="B34">
        <f>SUMIFS(Antigua!$L:$L, Antigua!$B:$B, $A34, Antigua!$D:$D, "London") + SUMIFS(Barbados!$L:$L, Barbados!$B:$B, $A34, Barbados!$D:$D, "London") + SUMIFS(Bermuda!$L:$L, Bermuda!$B:$B, $A34, Bermuda!$D:$D, "London") + SUMIFS(Carolina!$L:$L, Carolina!$B:$B, $A34, Carolina!$D:$D, "London") + SUMIFS(Jamaica!$L:$L, Jamaica!$B:$B, $A34, Jamaica!$D:$D, "London") + SUMIFS(Mountserat!$L:$L, Mountserat!$B:$B, $A34, Mountserat!$D:$D, "London") + SUMIFS(Nevis!$L:$L, Nevis!$B:$B, $A34, Nevis!$D:$D, "London") + SUMIFS(NewEngland!$J:$J, NewEngland!$A:$A, $A34, NewEngland!$B:$B, "London")</f>
        <v>0</v>
      </c>
      <c r="C34">
        <f>SUMIFS(Antigua!$L:$L, Antigua!$B:$B, $A34, Antigua!$D:$D, "Out Ports") + SUMIFS(Barbados!$L:$L, Barbados!$B:$B, $A34, Barbados!$D:$D, "Out Ports") + SUMIFS(Bermuda!$L:$L, Bermuda!$B:$B, $A34, Bermuda!$D:$D, "Out Ports") + SUMIFS(Carolina!$L:$L, Carolina!$B:$B, $A34, Carolina!$D:$D, "Out Ports") + SUMIFS(Jamaica!$L:$L, Jamaica!$B:$B, $A34, Jamaica!$D:$D, "Out Ports") + SUMIFS(Mountserat!$L:$L, Mountserat!$B:$B, $A34, Mountserat!$D:$D, "Out Ports") + SUMIFS(Nevis!$L:$L, Nevis!$B:$B, $A34, Nevis!$D:$D, "Out Ports") + SUMIFS(NewEngland!$J:$J, NewEngland!$A:$A, $A34, NewEngland!$B:$B, "Out Ports")</f>
        <v>0</v>
      </c>
      <c r="D34">
        <f t="shared" si="0"/>
        <v>0</v>
      </c>
    </row>
    <row r="35" spans="1:4" x14ac:dyDescent="0.25">
      <c r="A35" t="s">
        <v>120</v>
      </c>
      <c r="B35">
        <f>SUMIFS(Antigua!$L:$L, Antigua!$B:$B, $A35, Antigua!$D:$D, "London") + SUMIFS(Barbados!$L:$L, Barbados!$B:$B, $A35, Barbados!$D:$D, "London") + SUMIFS(Bermuda!$L:$L, Bermuda!$B:$B, $A35, Bermuda!$D:$D, "London") + SUMIFS(Carolina!$L:$L, Carolina!$B:$B, $A35, Carolina!$D:$D, "London") + SUMIFS(Jamaica!$L:$L, Jamaica!$B:$B, $A35, Jamaica!$D:$D, "London") + SUMIFS(Mountserat!$L:$L, Mountserat!$B:$B, $A35, Mountserat!$D:$D, "London") + SUMIFS(Nevis!$L:$L, Nevis!$B:$B, $A35, Nevis!$D:$D, "London") + SUMIFS(NewEngland!$J:$J, NewEngland!$A:$A, $A35, NewEngland!$B:$B, "London")</f>
        <v>0</v>
      </c>
      <c r="C35">
        <f>SUMIFS(Antigua!$L:$L, Antigua!$B:$B, $A35, Antigua!$D:$D, "Out Ports") + SUMIFS(Barbados!$L:$L, Barbados!$B:$B, $A35, Barbados!$D:$D, "Out Ports") + SUMIFS(Bermuda!$L:$L, Bermuda!$B:$B, $A35, Bermuda!$D:$D, "Out Ports") + SUMIFS(Carolina!$L:$L, Carolina!$B:$B, $A35, Carolina!$D:$D, "Out Ports") + SUMIFS(Jamaica!$L:$L, Jamaica!$B:$B, $A35, Jamaica!$D:$D, "Out Ports") + SUMIFS(Mountserat!$L:$L, Mountserat!$B:$B, $A35, Mountserat!$D:$D, "Out Ports") + SUMIFS(Nevis!$L:$L, Nevis!$B:$B, $A35, Nevis!$D:$D, "Out Ports") + SUMIFS(NewEngland!$J:$J, NewEngland!$A:$A, $A35, NewEngland!$B:$B, "Out Ports")</f>
        <v>0.32187500000000002</v>
      </c>
      <c r="D35">
        <f t="shared" si="0"/>
        <v>0.32</v>
      </c>
    </row>
    <row r="36" spans="1:4" x14ac:dyDescent="0.25">
      <c r="A36" t="s">
        <v>119</v>
      </c>
      <c r="B36">
        <f>SUMIFS(Antigua!$L:$L, Antigua!$B:$B, $A36, Antigua!$D:$D, "London") + SUMIFS(Barbados!$L:$L, Barbados!$B:$B, $A36, Barbados!$D:$D, "London") + SUMIFS(Bermuda!$L:$L, Bermuda!$B:$B, $A36, Bermuda!$D:$D, "London") + SUMIFS(Carolina!$L:$L, Carolina!$B:$B, $A36, Carolina!$D:$D, "London") + SUMIFS(Jamaica!$L:$L, Jamaica!$B:$B, $A36, Jamaica!$D:$D, "London") + SUMIFS(Mountserat!$L:$L, Mountserat!$B:$B, $A36, Mountserat!$D:$D, "London") + SUMIFS(Nevis!$L:$L, Nevis!$B:$B, $A36, Nevis!$D:$D, "London") + SUMIFS(NewEngland!$J:$J, NewEngland!$A:$A, $A36, NewEngland!$B:$B, "London")</f>
        <v>0</v>
      </c>
      <c r="C36">
        <f>SUMIFS(Antigua!$L:$L, Antigua!$B:$B, $A36, Antigua!$D:$D, "Out Ports") + SUMIFS(Barbados!$L:$L, Barbados!$B:$B, $A36, Barbados!$D:$D, "Out Ports") + SUMIFS(Bermuda!$L:$L, Bermuda!$B:$B, $A36, Bermuda!$D:$D, "Out Ports") + SUMIFS(Carolina!$L:$L, Carolina!$B:$B, $A36, Carolina!$D:$D, "Out Ports") + SUMIFS(Jamaica!$L:$L, Jamaica!$B:$B, $A36, Jamaica!$D:$D, "Out Ports") + SUMIFS(Mountserat!$L:$L, Mountserat!$B:$B, $A36, Mountserat!$D:$D, "Out Ports") + SUMIFS(Nevis!$L:$L, Nevis!$B:$B, $A36, Nevis!$D:$D, "Out Ports") + SUMIFS(NewEngland!$J:$J, NewEngland!$A:$A, $A36, NewEngland!$B:$B, "Out Ports")</f>
        <v>33.449553571428574</v>
      </c>
      <c r="D36">
        <f t="shared" si="0"/>
        <v>33.450000000000003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6FA2-B6A0-4711-A44A-6CA286BF1E63}">
  <sheetPr codeName="Sheet4"/>
  <dimension ref="A1:AB45"/>
  <sheetViews>
    <sheetView topLeftCell="A25" workbookViewId="0">
      <selection activeCell="H12" sqref="H12"/>
    </sheetView>
  </sheetViews>
  <sheetFormatPr defaultRowHeight="15" x14ac:dyDescent="0.25"/>
  <cols>
    <col min="2" max="3" width="17.5703125" customWidth="1"/>
    <col min="4" max="4" width="13.7109375" customWidth="1"/>
    <col min="5" max="5" width="11.7109375" customWidth="1"/>
    <col min="6" max="6" width="11.85546875" customWidth="1"/>
    <col min="7" max="7" width="11.140625" customWidth="1"/>
    <col min="8" max="9" width="18.42578125" customWidth="1"/>
    <col min="13" max="13" width="7.85546875" customWidth="1"/>
  </cols>
  <sheetData>
    <row r="1" spans="1:28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48</v>
      </c>
      <c r="F1" s="1" t="s">
        <v>49</v>
      </c>
      <c r="G1" s="1" t="s">
        <v>50</v>
      </c>
      <c r="H1" s="1" t="s">
        <v>51</v>
      </c>
      <c r="I1" s="1"/>
      <c r="J1" s="1" t="s">
        <v>2</v>
      </c>
      <c r="K1" s="1"/>
      <c r="L1" s="1" t="s">
        <v>106</v>
      </c>
      <c r="T1" s="3"/>
      <c r="U1" s="1"/>
      <c r="V1" s="1"/>
      <c r="X1" s="1"/>
      <c r="Z1" s="1"/>
      <c r="AB1" s="3"/>
    </row>
    <row r="2" spans="1:28" x14ac:dyDescent="0.25">
      <c r="A2">
        <v>1710</v>
      </c>
      <c r="B2" t="s">
        <v>21</v>
      </c>
      <c r="C2" t="s">
        <v>107</v>
      </c>
      <c r="D2" t="s">
        <v>4</v>
      </c>
      <c r="H2">
        <v>1325</v>
      </c>
      <c r="J2">
        <f t="shared" ref="J2:J45" si="0">(E2*2240)+(F2*112)+(G2*28)+H2</f>
        <v>1325</v>
      </c>
      <c r="L2">
        <f t="shared" ref="L2:L45" si="1">J2/2240</f>
        <v>0.5915178571428571</v>
      </c>
    </row>
    <row r="3" spans="1:28" x14ac:dyDescent="0.25">
      <c r="A3">
        <v>1710</v>
      </c>
      <c r="B3" t="s">
        <v>12</v>
      </c>
      <c r="C3" t="s">
        <v>107</v>
      </c>
      <c r="D3" t="s">
        <v>4</v>
      </c>
      <c r="F3">
        <v>93845</v>
      </c>
      <c r="G3">
        <v>1</v>
      </c>
      <c r="H3">
        <v>11</v>
      </c>
      <c r="J3">
        <f t="shared" si="0"/>
        <v>10510679</v>
      </c>
      <c r="L3">
        <f t="shared" si="1"/>
        <v>4692.2674107142857</v>
      </c>
    </row>
    <row r="4" spans="1:28" x14ac:dyDescent="0.25">
      <c r="A4">
        <v>1710</v>
      </c>
      <c r="B4" t="s">
        <v>9</v>
      </c>
      <c r="C4" t="s">
        <v>107</v>
      </c>
      <c r="D4" t="s">
        <v>4</v>
      </c>
      <c r="H4">
        <v>30</v>
      </c>
      <c r="J4">
        <f t="shared" si="0"/>
        <v>30</v>
      </c>
      <c r="L4">
        <f t="shared" si="1"/>
        <v>1.3392857142857142E-2</v>
      </c>
    </row>
    <row r="5" spans="1:28" x14ac:dyDescent="0.25">
      <c r="A5">
        <v>1710</v>
      </c>
      <c r="B5" t="s">
        <v>33</v>
      </c>
      <c r="C5" t="s">
        <v>107</v>
      </c>
      <c r="D5" t="s">
        <v>4</v>
      </c>
      <c r="F5">
        <v>69</v>
      </c>
      <c r="H5">
        <v>8</v>
      </c>
      <c r="J5">
        <f t="shared" si="0"/>
        <v>7736</v>
      </c>
      <c r="L5">
        <f t="shared" si="1"/>
        <v>3.4535714285714287</v>
      </c>
    </row>
    <row r="6" spans="1:28" x14ac:dyDescent="0.25">
      <c r="A6">
        <v>1710</v>
      </c>
      <c r="B6" t="s">
        <v>6</v>
      </c>
      <c r="C6" t="s">
        <v>107</v>
      </c>
      <c r="D6" t="s">
        <v>4</v>
      </c>
      <c r="H6">
        <v>212078</v>
      </c>
      <c r="J6">
        <f t="shared" si="0"/>
        <v>212078</v>
      </c>
      <c r="L6">
        <f t="shared" si="1"/>
        <v>94.677678571428572</v>
      </c>
    </row>
    <row r="7" spans="1:28" x14ac:dyDescent="0.25">
      <c r="A7">
        <v>1710</v>
      </c>
      <c r="B7" t="s">
        <v>10</v>
      </c>
      <c r="C7" t="s">
        <v>107</v>
      </c>
      <c r="D7" t="s">
        <v>4</v>
      </c>
      <c r="F7">
        <v>2647</v>
      </c>
      <c r="G7">
        <v>2</v>
      </c>
      <c r="H7">
        <v>21</v>
      </c>
      <c r="J7">
        <f t="shared" si="0"/>
        <v>296541</v>
      </c>
      <c r="L7">
        <f t="shared" si="1"/>
        <v>132.38437500000001</v>
      </c>
    </row>
    <row r="8" spans="1:28" x14ac:dyDescent="0.25">
      <c r="A8">
        <v>1710</v>
      </c>
      <c r="B8" t="s">
        <v>20</v>
      </c>
      <c r="C8" t="s">
        <v>107</v>
      </c>
      <c r="D8" t="s">
        <v>4</v>
      </c>
      <c r="F8">
        <v>91</v>
      </c>
      <c r="G8">
        <v>2</v>
      </c>
      <c r="H8">
        <v>14</v>
      </c>
      <c r="J8">
        <f t="shared" si="0"/>
        <v>10262</v>
      </c>
      <c r="L8">
        <f t="shared" si="1"/>
        <v>4.5812499999999998</v>
      </c>
    </row>
    <row r="9" spans="1:28" x14ac:dyDescent="0.25">
      <c r="A9">
        <v>1710</v>
      </c>
      <c r="B9" t="s">
        <v>5</v>
      </c>
      <c r="C9" t="s">
        <v>107</v>
      </c>
      <c r="D9" t="s">
        <v>4</v>
      </c>
      <c r="H9">
        <v>2417</v>
      </c>
      <c r="J9">
        <f t="shared" si="0"/>
        <v>2417</v>
      </c>
      <c r="L9">
        <f t="shared" si="1"/>
        <v>1.0790178571428573</v>
      </c>
    </row>
    <row r="10" spans="1:28" x14ac:dyDescent="0.25">
      <c r="A10">
        <v>1710</v>
      </c>
      <c r="B10" t="s">
        <v>32</v>
      </c>
      <c r="C10" t="s">
        <v>107</v>
      </c>
      <c r="D10" t="s">
        <v>4</v>
      </c>
      <c r="J10">
        <f t="shared" si="0"/>
        <v>0</v>
      </c>
      <c r="L10">
        <f t="shared" si="1"/>
        <v>0</v>
      </c>
    </row>
    <row r="11" spans="1:28" x14ac:dyDescent="0.25">
      <c r="A11">
        <v>1710</v>
      </c>
      <c r="B11" t="s">
        <v>28</v>
      </c>
      <c r="C11" t="s">
        <v>107</v>
      </c>
      <c r="D11" t="s">
        <v>4</v>
      </c>
      <c r="F11">
        <v>5023</v>
      </c>
      <c r="J11">
        <f t="shared" si="0"/>
        <v>562576</v>
      </c>
      <c r="L11">
        <f t="shared" si="1"/>
        <v>251.15</v>
      </c>
    </row>
    <row r="12" spans="1:28" x14ac:dyDescent="0.25">
      <c r="A12">
        <v>1710</v>
      </c>
      <c r="B12" t="s">
        <v>16</v>
      </c>
      <c r="C12" t="s">
        <v>107</v>
      </c>
      <c r="D12" t="s">
        <v>4</v>
      </c>
      <c r="J12">
        <f t="shared" si="0"/>
        <v>0</v>
      </c>
      <c r="L12">
        <f t="shared" si="1"/>
        <v>0</v>
      </c>
    </row>
    <row r="13" spans="1:28" x14ac:dyDescent="0.25">
      <c r="A13">
        <v>1710</v>
      </c>
      <c r="B13" t="s">
        <v>24</v>
      </c>
      <c r="C13" t="s">
        <v>107</v>
      </c>
      <c r="D13" t="s">
        <v>4</v>
      </c>
      <c r="H13">
        <v>18225</v>
      </c>
      <c r="I13" s="2">
        <v>0.29233796296296294</v>
      </c>
      <c r="J13">
        <f t="shared" si="0"/>
        <v>18225</v>
      </c>
      <c r="L13">
        <f t="shared" si="1"/>
        <v>8.1361607142857135</v>
      </c>
    </row>
    <row r="14" spans="1:28" x14ac:dyDescent="0.25">
      <c r="A14">
        <v>1710</v>
      </c>
      <c r="B14" t="s">
        <v>11</v>
      </c>
      <c r="C14" t="s">
        <v>107</v>
      </c>
      <c r="D14" t="s">
        <v>4</v>
      </c>
      <c r="E14">
        <v>127</v>
      </c>
      <c r="F14">
        <v>17</v>
      </c>
      <c r="G14">
        <v>1</v>
      </c>
      <c r="H14">
        <v>21</v>
      </c>
      <c r="J14">
        <f t="shared" si="0"/>
        <v>286433</v>
      </c>
      <c r="L14">
        <f t="shared" si="1"/>
        <v>127.871875</v>
      </c>
    </row>
    <row r="15" spans="1:28" x14ac:dyDescent="0.25">
      <c r="A15">
        <v>1710</v>
      </c>
      <c r="B15" t="s">
        <v>65</v>
      </c>
      <c r="C15" t="s">
        <v>107</v>
      </c>
      <c r="D15" t="s">
        <v>4</v>
      </c>
      <c r="F15">
        <v>23</v>
      </c>
      <c r="G15">
        <v>2</v>
      </c>
      <c r="H15">
        <v>10</v>
      </c>
      <c r="J15">
        <f t="shared" si="0"/>
        <v>2642</v>
      </c>
      <c r="L15">
        <f t="shared" si="1"/>
        <v>1.1794642857142856</v>
      </c>
    </row>
    <row r="16" spans="1:28" x14ac:dyDescent="0.25">
      <c r="A16">
        <v>1710</v>
      </c>
      <c r="B16" t="s">
        <v>27</v>
      </c>
      <c r="C16" t="s">
        <v>107</v>
      </c>
      <c r="D16" t="s">
        <v>4</v>
      </c>
      <c r="H16">
        <v>483</v>
      </c>
      <c r="J16">
        <f t="shared" si="0"/>
        <v>483</v>
      </c>
      <c r="L16">
        <f t="shared" si="1"/>
        <v>0.21562500000000001</v>
      </c>
    </row>
    <row r="17" spans="1:12" x14ac:dyDescent="0.25">
      <c r="A17">
        <v>1710</v>
      </c>
      <c r="B17" t="s">
        <v>22</v>
      </c>
      <c r="C17" t="s">
        <v>107</v>
      </c>
      <c r="D17" t="s">
        <v>4</v>
      </c>
      <c r="F17">
        <v>8</v>
      </c>
      <c r="G17">
        <v>2</v>
      </c>
      <c r="J17">
        <f t="shared" si="0"/>
        <v>952</v>
      </c>
      <c r="L17">
        <f t="shared" si="1"/>
        <v>0.42499999999999999</v>
      </c>
    </row>
    <row r="18" spans="1:12" x14ac:dyDescent="0.25">
      <c r="A18">
        <v>1710</v>
      </c>
      <c r="B18" t="s">
        <v>17</v>
      </c>
      <c r="C18" t="s">
        <v>107</v>
      </c>
      <c r="D18" t="s">
        <v>4</v>
      </c>
      <c r="H18">
        <v>33979</v>
      </c>
      <c r="I18" t="s">
        <v>66</v>
      </c>
      <c r="J18">
        <f t="shared" si="0"/>
        <v>33979</v>
      </c>
      <c r="L18">
        <f t="shared" si="1"/>
        <v>15.169196428571428</v>
      </c>
    </row>
    <row r="19" spans="1:12" x14ac:dyDescent="0.25">
      <c r="A19">
        <v>1710</v>
      </c>
      <c r="B19" t="s">
        <v>19</v>
      </c>
      <c r="C19" t="s">
        <v>107</v>
      </c>
      <c r="D19" t="s">
        <v>4</v>
      </c>
      <c r="F19">
        <v>22</v>
      </c>
      <c r="J19">
        <f t="shared" si="0"/>
        <v>2464</v>
      </c>
      <c r="L19">
        <f t="shared" si="1"/>
        <v>1.1000000000000001</v>
      </c>
    </row>
    <row r="20" spans="1:12" x14ac:dyDescent="0.25">
      <c r="A20">
        <v>1710</v>
      </c>
      <c r="B20" t="s">
        <v>29</v>
      </c>
      <c r="C20" t="s">
        <v>107</v>
      </c>
      <c r="D20" t="s">
        <v>4</v>
      </c>
      <c r="H20">
        <v>376</v>
      </c>
      <c r="J20">
        <f t="shared" si="0"/>
        <v>376</v>
      </c>
      <c r="L20">
        <f t="shared" si="1"/>
        <v>0.16785714285714284</v>
      </c>
    </row>
    <row r="21" spans="1:12" x14ac:dyDescent="0.25">
      <c r="A21">
        <v>1710</v>
      </c>
      <c r="B21" t="s">
        <v>15</v>
      </c>
      <c r="C21" t="s">
        <v>107</v>
      </c>
      <c r="D21" t="s">
        <v>4</v>
      </c>
      <c r="J21">
        <f t="shared" si="0"/>
        <v>0</v>
      </c>
      <c r="L21">
        <f t="shared" si="1"/>
        <v>0</v>
      </c>
    </row>
    <row r="22" spans="1:12" x14ac:dyDescent="0.25">
      <c r="A22">
        <v>1710</v>
      </c>
      <c r="B22" t="s">
        <v>18</v>
      </c>
      <c r="C22" t="s">
        <v>107</v>
      </c>
      <c r="D22" t="s">
        <v>4</v>
      </c>
      <c r="H22">
        <v>21</v>
      </c>
      <c r="J22">
        <f t="shared" si="0"/>
        <v>21</v>
      </c>
      <c r="L22">
        <f t="shared" si="1"/>
        <v>9.3749999999999997E-3</v>
      </c>
    </row>
    <row r="23" spans="1:12" x14ac:dyDescent="0.25">
      <c r="A23">
        <v>1710</v>
      </c>
      <c r="B23" t="s">
        <v>61</v>
      </c>
      <c r="C23" t="s">
        <v>107</v>
      </c>
      <c r="D23" t="s">
        <v>4</v>
      </c>
      <c r="F23">
        <v>161</v>
      </c>
      <c r="G23">
        <v>1</v>
      </c>
      <c r="H23">
        <v>0</v>
      </c>
      <c r="J23">
        <f t="shared" si="0"/>
        <v>18060</v>
      </c>
      <c r="L23">
        <f t="shared" si="1"/>
        <v>8.0625</v>
      </c>
    </row>
    <row r="24" spans="1:12" x14ac:dyDescent="0.25">
      <c r="A24">
        <v>1710</v>
      </c>
      <c r="B24" t="s">
        <v>13</v>
      </c>
      <c r="C24" t="s">
        <v>107</v>
      </c>
      <c r="D24" t="s">
        <v>4</v>
      </c>
      <c r="F24">
        <v>52</v>
      </c>
      <c r="G24">
        <v>3</v>
      </c>
      <c r="J24">
        <f t="shared" si="0"/>
        <v>5908</v>
      </c>
      <c r="L24">
        <f t="shared" si="1"/>
        <v>2.6375000000000002</v>
      </c>
    </row>
    <row r="25" spans="1:12" x14ac:dyDescent="0.25">
      <c r="A25">
        <v>1710</v>
      </c>
      <c r="B25" t="s">
        <v>109</v>
      </c>
      <c r="C25" t="s">
        <v>107</v>
      </c>
      <c r="D25" t="s">
        <v>4</v>
      </c>
      <c r="E25">
        <v>2</v>
      </c>
      <c r="F25">
        <v>13</v>
      </c>
      <c r="J25">
        <f t="shared" si="0"/>
        <v>5936</v>
      </c>
      <c r="L25">
        <f t="shared" si="1"/>
        <v>2.65</v>
      </c>
    </row>
    <row r="26" spans="1:12" x14ac:dyDescent="0.25">
      <c r="A26">
        <v>1710</v>
      </c>
      <c r="B26" t="s">
        <v>110</v>
      </c>
      <c r="C26" t="s">
        <v>107</v>
      </c>
      <c r="D26" t="s">
        <v>4</v>
      </c>
      <c r="E26">
        <v>6</v>
      </c>
      <c r="F26">
        <v>15</v>
      </c>
      <c r="G26">
        <v>3</v>
      </c>
      <c r="J26">
        <f t="shared" si="0"/>
        <v>15204</v>
      </c>
      <c r="L26">
        <f t="shared" si="1"/>
        <v>6.7874999999999996</v>
      </c>
    </row>
    <row r="27" spans="1:12" x14ac:dyDescent="0.25">
      <c r="A27">
        <v>1710</v>
      </c>
      <c r="B27" t="s">
        <v>12</v>
      </c>
      <c r="C27" t="s">
        <v>107</v>
      </c>
      <c r="D27" t="s">
        <v>8</v>
      </c>
      <c r="F27">
        <v>18619</v>
      </c>
      <c r="H27">
        <v>22</v>
      </c>
      <c r="J27">
        <f t="shared" si="0"/>
        <v>2085350</v>
      </c>
      <c r="L27">
        <f t="shared" si="1"/>
        <v>930.95982142857144</v>
      </c>
    </row>
    <row r="28" spans="1:12" x14ac:dyDescent="0.25">
      <c r="A28">
        <v>1710</v>
      </c>
      <c r="B28" t="s">
        <v>33</v>
      </c>
      <c r="C28" t="s">
        <v>107</v>
      </c>
      <c r="D28" t="s">
        <v>8</v>
      </c>
      <c r="F28">
        <v>56</v>
      </c>
      <c r="G28">
        <v>2</v>
      </c>
      <c r="H28">
        <v>24</v>
      </c>
      <c r="J28">
        <f t="shared" si="0"/>
        <v>6352</v>
      </c>
      <c r="L28">
        <f t="shared" si="1"/>
        <v>2.8357142857142859</v>
      </c>
    </row>
    <row r="29" spans="1:12" x14ac:dyDescent="0.25">
      <c r="A29">
        <v>1710</v>
      </c>
      <c r="B29" t="s">
        <v>55</v>
      </c>
      <c r="C29" t="s">
        <v>107</v>
      </c>
      <c r="D29" t="s">
        <v>8</v>
      </c>
      <c r="H29">
        <v>24</v>
      </c>
      <c r="J29">
        <f t="shared" si="0"/>
        <v>24</v>
      </c>
      <c r="L29">
        <f t="shared" si="1"/>
        <v>1.0714285714285714E-2</v>
      </c>
    </row>
    <row r="30" spans="1:12" x14ac:dyDescent="0.25">
      <c r="A30">
        <v>1710</v>
      </c>
      <c r="B30" t="s">
        <v>6</v>
      </c>
      <c r="C30" t="s">
        <v>107</v>
      </c>
      <c r="D30" t="s">
        <v>8</v>
      </c>
      <c r="H30">
        <v>98812</v>
      </c>
      <c r="J30">
        <f t="shared" si="0"/>
        <v>98812</v>
      </c>
      <c r="L30">
        <f t="shared" si="1"/>
        <v>44.112499999999997</v>
      </c>
    </row>
    <row r="31" spans="1:12" x14ac:dyDescent="0.25">
      <c r="A31">
        <v>1710</v>
      </c>
      <c r="B31" t="s">
        <v>10</v>
      </c>
      <c r="C31" t="s">
        <v>107</v>
      </c>
      <c r="D31" t="s">
        <v>8</v>
      </c>
      <c r="F31">
        <v>68</v>
      </c>
      <c r="H31">
        <v>20</v>
      </c>
      <c r="J31">
        <f t="shared" si="0"/>
        <v>7636</v>
      </c>
      <c r="L31">
        <f t="shared" si="1"/>
        <v>3.4089285714285715</v>
      </c>
    </row>
    <row r="32" spans="1:12" x14ac:dyDescent="0.25">
      <c r="A32">
        <v>1710</v>
      </c>
      <c r="B32" t="s">
        <v>20</v>
      </c>
      <c r="C32" t="s">
        <v>107</v>
      </c>
      <c r="D32" t="s">
        <v>8</v>
      </c>
      <c r="H32">
        <v>17</v>
      </c>
      <c r="J32">
        <f t="shared" si="0"/>
        <v>17</v>
      </c>
      <c r="L32">
        <f t="shared" si="1"/>
        <v>7.5892857142857142E-3</v>
      </c>
    </row>
    <row r="33" spans="1:12" x14ac:dyDescent="0.25">
      <c r="A33">
        <v>1710</v>
      </c>
      <c r="B33" t="s">
        <v>5</v>
      </c>
      <c r="C33" t="s">
        <v>107</v>
      </c>
      <c r="D33" t="s">
        <v>8</v>
      </c>
      <c r="H33">
        <v>8980</v>
      </c>
      <c r="J33">
        <f t="shared" si="0"/>
        <v>8980</v>
      </c>
      <c r="L33">
        <f t="shared" si="1"/>
        <v>4.0089285714285712</v>
      </c>
    </row>
    <row r="34" spans="1:12" x14ac:dyDescent="0.25">
      <c r="A34">
        <v>1710</v>
      </c>
      <c r="B34" t="s">
        <v>28</v>
      </c>
      <c r="C34" t="s">
        <v>107</v>
      </c>
      <c r="D34" t="s">
        <v>8</v>
      </c>
      <c r="F34">
        <v>677</v>
      </c>
      <c r="G34">
        <v>3</v>
      </c>
      <c r="H34">
        <v>15</v>
      </c>
      <c r="J34">
        <f t="shared" si="0"/>
        <v>75923</v>
      </c>
      <c r="L34">
        <f t="shared" si="1"/>
        <v>33.894196428571426</v>
      </c>
    </row>
    <row r="35" spans="1:12" x14ac:dyDescent="0.25">
      <c r="A35">
        <v>1710</v>
      </c>
      <c r="B35" t="s">
        <v>16</v>
      </c>
      <c r="C35" t="s">
        <v>107</v>
      </c>
      <c r="D35" t="s">
        <v>8</v>
      </c>
      <c r="H35">
        <v>770</v>
      </c>
      <c r="I35" t="s">
        <v>68</v>
      </c>
      <c r="J35">
        <f t="shared" si="0"/>
        <v>770</v>
      </c>
      <c r="L35">
        <f t="shared" si="1"/>
        <v>0.34375</v>
      </c>
    </row>
    <row r="36" spans="1:12" x14ac:dyDescent="0.25">
      <c r="A36">
        <v>1710</v>
      </c>
      <c r="B36" t="s">
        <v>24</v>
      </c>
      <c r="C36" t="s">
        <v>107</v>
      </c>
      <c r="D36" t="s">
        <v>8</v>
      </c>
      <c r="H36">
        <v>380</v>
      </c>
      <c r="I36" t="s">
        <v>67</v>
      </c>
      <c r="J36">
        <f t="shared" si="0"/>
        <v>380</v>
      </c>
      <c r="L36">
        <f t="shared" si="1"/>
        <v>0.16964285714285715</v>
      </c>
    </row>
    <row r="37" spans="1:12" x14ac:dyDescent="0.25">
      <c r="A37">
        <v>1710</v>
      </c>
      <c r="B37" t="s">
        <v>11</v>
      </c>
      <c r="C37" t="s">
        <v>107</v>
      </c>
      <c r="D37" t="s">
        <v>8</v>
      </c>
      <c r="F37">
        <v>1018</v>
      </c>
      <c r="H37">
        <v>11</v>
      </c>
      <c r="J37">
        <f t="shared" si="0"/>
        <v>114027</v>
      </c>
      <c r="L37">
        <f t="shared" si="1"/>
        <v>50.904910714285712</v>
      </c>
    </row>
    <row r="38" spans="1:12" x14ac:dyDescent="0.25">
      <c r="A38">
        <v>1710</v>
      </c>
      <c r="B38" t="s">
        <v>22</v>
      </c>
      <c r="C38" t="s">
        <v>107</v>
      </c>
      <c r="D38" t="s">
        <v>8</v>
      </c>
      <c r="J38">
        <f t="shared" si="0"/>
        <v>0</v>
      </c>
      <c r="L38">
        <f t="shared" si="1"/>
        <v>0</v>
      </c>
    </row>
    <row r="39" spans="1:12" x14ac:dyDescent="0.25">
      <c r="A39">
        <v>1710</v>
      </c>
      <c r="B39" t="s">
        <v>17</v>
      </c>
      <c r="C39" t="s">
        <v>107</v>
      </c>
      <c r="D39" t="s">
        <v>8</v>
      </c>
      <c r="H39">
        <v>13348</v>
      </c>
      <c r="I39" t="s">
        <v>69</v>
      </c>
      <c r="J39">
        <f t="shared" si="0"/>
        <v>13348</v>
      </c>
      <c r="L39">
        <f t="shared" si="1"/>
        <v>5.9589285714285714</v>
      </c>
    </row>
    <row r="40" spans="1:12" x14ac:dyDescent="0.25">
      <c r="A40">
        <v>1710</v>
      </c>
      <c r="B40" t="s">
        <v>19</v>
      </c>
      <c r="C40" t="s">
        <v>107</v>
      </c>
      <c r="D40" t="s">
        <v>8</v>
      </c>
      <c r="F40">
        <v>3</v>
      </c>
      <c r="H40">
        <v>1</v>
      </c>
      <c r="J40">
        <f t="shared" si="0"/>
        <v>337</v>
      </c>
      <c r="L40">
        <f t="shared" si="1"/>
        <v>0.15044642857142856</v>
      </c>
    </row>
    <row r="41" spans="1:12" x14ac:dyDescent="0.25">
      <c r="A41">
        <v>1710</v>
      </c>
      <c r="B41" t="s">
        <v>29</v>
      </c>
      <c r="C41" t="s">
        <v>107</v>
      </c>
      <c r="D41" t="s">
        <v>8</v>
      </c>
      <c r="H41">
        <v>269</v>
      </c>
      <c r="J41">
        <f t="shared" si="0"/>
        <v>269</v>
      </c>
      <c r="L41">
        <f t="shared" si="1"/>
        <v>0.12008928571428572</v>
      </c>
    </row>
    <row r="42" spans="1:12" x14ac:dyDescent="0.25">
      <c r="A42">
        <v>1710</v>
      </c>
      <c r="B42" t="s">
        <v>15</v>
      </c>
      <c r="C42" t="s">
        <v>107</v>
      </c>
      <c r="D42" t="s">
        <v>8</v>
      </c>
      <c r="H42">
        <v>1800</v>
      </c>
      <c r="J42">
        <f t="shared" si="0"/>
        <v>1800</v>
      </c>
      <c r="L42">
        <f t="shared" si="1"/>
        <v>0.8035714285714286</v>
      </c>
    </row>
    <row r="43" spans="1:12" x14ac:dyDescent="0.25">
      <c r="A43">
        <v>1710</v>
      </c>
      <c r="B43" t="s">
        <v>18</v>
      </c>
      <c r="C43" t="s">
        <v>107</v>
      </c>
      <c r="D43" t="s">
        <v>8</v>
      </c>
      <c r="H43">
        <v>64</v>
      </c>
      <c r="J43">
        <f t="shared" si="0"/>
        <v>64</v>
      </c>
      <c r="L43">
        <f t="shared" si="1"/>
        <v>2.8571428571428571E-2</v>
      </c>
    </row>
    <row r="44" spans="1:12" x14ac:dyDescent="0.25">
      <c r="A44">
        <v>1710</v>
      </c>
      <c r="B44" t="s">
        <v>13</v>
      </c>
      <c r="C44" t="s">
        <v>107</v>
      </c>
      <c r="D44" t="s">
        <v>8</v>
      </c>
      <c r="F44">
        <v>6</v>
      </c>
      <c r="H44">
        <v>24</v>
      </c>
      <c r="J44">
        <f t="shared" si="0"/>
        <v>696</v>
      </c>
      <c r="L44">
        <f t="shared" si="1"/>
        <v>0.31071428571428572</v>
      </c>
    </row>
    <row r="45" spans="1:12" x14ac:dyDescent="0.25">
      <c r="A45">
        <v>1710</v>
      </c>
      <c r="B45" t="s">
        <v>109</v>
      </c>
      <c r="C45" t="s">
        <v>107</v>
      </c>
      <c r="D45" t="s">
        <v>8</v>
      </c>
      <c r="J45">
        <f t="shared" si="0"/>
        <v>0</v>
      </c>
      <c r="L45">
        <f t="shared" si="1"/>
        <v>0</v>
      </c>
    </row>
  </sheetData>
  <autoFilter ref="A1:L45" xr:uid="{693D6FA2-B6A0-4711-A44A-6CA286BF1E63}">
    <sortState xmlns:xlrd2="http://schemas.microsoft.com/office/spreadsheetml/2017/richdata2" ref="A2:L45">
      <sortCondition ref="D1:D4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F908-12B8-4B3A-A65D-184CD229ACD4}">
  <sheetPr codeName="Sheet5"/>
  <dimension ref="A1:V55"/>
  <sheetViews>
    <sheetView topLeftCell="A28" workbookViewId="0">
      <selection activeCell="H47" sqref="H47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22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48</v>
      </c>
      <c r="F1" s="1" t="s">
        <v>49</v>
      </c>
      <c r="G1" s="1" t="s">
        <v>50</v>
      </c>
      <c r="H1" s="1" t="s">
        <v>51</v>
      </c>
      <c r="I1" s="1"/>
      <c r="J1" s="1" t="s">
        <v>2</v>
      </c>
      <c r="K1" s="1"/>
      <c r="L1" s="1" t="s">
        <v>106</v>
      </c>
      <c r="N1" s="3"/>
      <c r="O1" s="1"/>
      <c r="P1" s="1"/>
      <c r="R1" s="1"/>
      <c r="T1" s="1"/>
      <c r="V1" s="3"/>
    </row>
    <row r="2" spans="1:22" x14ac:dyDescent="0.25">
      <c r="A2">
        <v>1710</v>
      </c>
      <c r="B2" t="s">
        <v>47</v>
      </c>
      <c r="C2" t="s">
        <v>108</v>
      </c>
      <c r="D2" t="s">
        <v>4</v>
      </c>
      <c r="H2">
        <v>9762</v>
      </c>
      <c r="J2">
        <f t="shared" ref="J2:J33" si="0">(E2*2240)+(F2*112)+(G2*28)+H2</f>
        <v>9762</v>
      </c>
      <c r="L2">
        <f t="shared" ref="L2:L33" si="1">J2/2240</f>
        <v>4.3580357142857142</v>
      </c>
    </row>
    <row r="3" spans="1:22" x14ac:dyDescent="0.25">
      <c r="A3">
        <v>1710</v>
      </c>
      <c r="B3" t="s">
        <v>21</v>
      </c>
      <c r="C3" t="s">
        <v>108</v>
      </c>
      <c r="D3" t="s">
        <v>4</v>
      </c>
      <c r="H3">
        <v>268</v>
      </c>
      <c r="J3">
        <f t="shared" si="0"/>
        <v>268</v>
      </c>
      <c r="L3">
        <f t="shared" si="1"/>
        <v>0.11964285714285715</v>
      </c>
    </row>
    <row r="4" spans="1:22" x14ac:dyDescent="0.25">
      <c r="A4">
        <v>1710</v>
      </c>
      <c r="B4" t="s">
        <v>54</v>
      </c>
      <c r="C4" t="s">
        <v>108</v>
      </c>
      <c r="D4" t="s">
        <v>4</v>
      </c>
      <c r="J4">
        <f t="shared" si="0"/>
        <v>0</v>
      </c>
      <c r="L4">
        <f t="shared" si="1"/>
        <v>0</v>
      </c>
    </row>
    <row r="5" spans="1:22" x14ac:dyDescent="0.25">
      <c r="A5">
        <v>1710</v>
      </c>
      <c r="B5" t="s">
        <v>46</v>
      </c>
      <c r="C5" t="s">
        <v>108</v>
      </c>
      <c r="D5" t="s">
        <v>4</v>
      </c>
      <c r="J5">
        <f t="shared" si="0"/>
        <v>0</v>
      </c>
      <c r="L5">
        <f t="shared" si="1"/>
        <v>0</v>
      </c>
    </row>
    <row r="6" spans="1:22" x14ac:dyDescent="0.25">
      <c r="A6">
        <v>1710</v>
      </c>
      <c r="B6" t="s">
        <v>12</v>
      </c>
      <c r="C6" t="s">
        <v>108</v>
      </c>
      <c r="D6" t="s">
        <v>4</v>
      </c>
      <c r="F6">
        <v>129655</v>
      </c>
      <c r="G6">
        <v>1</v>
      </c>
      <c r="H6">
        <v>6</v>
      </c>
      <c r="J6">
        <f t="shared" si="0"/>
        <v>14521394</v>
      </c>
      <c r="L6">
        <f t="shared" si="1"/>
        <v>6482.7651785714288</v>
      </c>
    </row>
    <row r="7" spans="1:22" x14ac:dyDescent="0.25">
      <c r="A7">
        <v>1710</v>
      </c>
      <c r="B7" t="s">
        <v>70</v>
      </c>
      <c r="C7" t="s">
        <v>108</v>
      </c>
      <c r="D7" t="s">
        <v>4</v>
      </c>
      <c r="H7">
        <v>3688</v>
      </c>
      <c r="J7">
        <f t="shared" si="0"/>
        <v>3688</v>
      </c>
      <c r="L7">
        <f t="shared" si="1"/>
        <v>1.6464285714285714</v>
      </c>
    </row>
    <row r="8" spans="1:22" x14ac:dyDescent="0.25">
      <c r="A8">
        <v>1710</v>
      </c>
      <c r="B8" t="s">
        <v>9</v>
      </c>
      <c r="C8" t="s">
        <v>108</v>
      </c>
      <c r="D8" t="s">
        <v>4</v>
      </c>
      <c r="H8">
        <v>80</v>
      </c>
      <c r="J8">
        <f t="shared" si="0"/>
        <v>80</v>
      </c>
      <c r="L8">
        <f t="shared" si="1"/>
        <v>3.5714285714285712E-2</v>
      </c>
    </row>
    <row r="9" spans="1:22" x14ac:dyDescent="0.25">
      <c r="A9">
        <v>1710</v>
      </c>
      <c r="B9" t="s">
        <v>64</v>
      </c>
      <c r="C9" t="s">
        <v>108</v>
      </c>
      <c r="D9" t="s">
        <v>4</v>
      </c>
      <c r="J9">
        <f t="shared" si="0"/>
        <v>0</v>
      </c>
      <c r="L9">
        <f t="shared" si="1"/>
        <v>0</v>
      </c>
    </row>
    <row r="10" spans="1:22" x14ac:dyDescent="0.25">
      <c r="A10">
        <v>1710</v>
      </c>
      <c r="B10" t="s">
        <v>33</v>
      </c>
      <c r="C10" t="s">
        <v>108</v>
      </c>
      <c r="D10" t="s">
        <v>4</v>
      </c>
      <c r="F10">
        <v>81</v>
      </c>
      <c r="G10">
        <v>2</v>
      </c>
      <c r="H10">
        <v>4</v>
      </c>
      <c r="J10">
        <f t="shared" si="0"/>
        <v>9132</v>
      </c>
      <c r="L10">
        <f t="shared" si="1"/>
        <v>4.0767857142857142</v>
      </c>
    </row>
    <row r="11" spans="1:22" x14ac:dyDescent="0.25">
      <c r="A11">
        <v>1710</v>
      </c>
      <c r="B11" t="s">
        <v>55</v>
      </c>
      <c r="C11" t="s">
        <v>108</v>
      </c>
      <c r="D11" t="s">
        <v>4</v>
      </c>
      <c r="H11">
        <v>16</v>
      </c>
      <c r="J11">
        <f t="shared" si="0"/>
        <v>16</v>
      </c>
      <c r="L11">
        <f t="shared" si="1"/>
        <v>7.1428571428571426E-3</v>
      </c>
    </row>
    <row r="12" spans="1:22" x14ac:dyDescent="0.25">
      <c r="A12">
        <v>1710</v>
      </c>
      <c r="B12" t="s">
        <v>60</v>
      </c>
      <c r="C12" t="s">
        <v>108</v>
      </c>
      <c r="D12" t="s">
        <v>4</v>
      </c>
      <c r="H12">
        <v>19</v>
      </c>
      <c r="J12">
        <f t="shared" si="0"/>
        <v>19</v>
      </c>
      <c r="L12">
        <f t="shared" si="1"/>
        <v>8.4821428571428565E-3</v>
      </c>
    </row>
    <row r="13" spans="1:22" x14ac:dyDescent="0.25">
      <c r="A13">
        <v>1710</v>
      </c>
      <c r="B13" t="s">
        <v>6</v>
      </c>
      <c r="C13" t="s">
        <v>108</v>
      </c>
      <c r="D13" t="s">
        <v>4</v>
      </c>
      <c r="H13">
        <f>407.5*200</f>
        <v>81500</v>
      </c>
      <c r="I13" t="s">
        <v>71</v>
      </c>
      <c r="J13">
        <f t="shared" si="0"/>
        <v>81500</v>
      </c>
      <c r="L13">
        <f t="shared" si="1"/>
        <v>36.383928571428569</v>
      </c>
    </row>
    <row r="14" spans="1:22" x14ac:dyDescent="0.25">
      <c r="A14">
        <v>1710</v>
      </c>
      <c r="B14" t="s">
        <v>10</v>
      </c>
      <c r="C14" t="s">
        <v>108</v>
      </c>
      <c r="D14" t="s">
        <v>4</v>
      </c>
      <c r="F14">
        <v>7833</v>
      </c>
      <c r="G14">
        <v>2</v>
      </c>
      <c r="H14">
        <v>8</v>
      </c>
      <c r="J14">
        <f t="shared" si="0"/>
        <v>877360</v>
      </c>
      <c r="L14">
        <f t="shared" si="1"/>
        <v>391.67857142857144</v>
      </c>
    </row>
    <row r="15" spans="1:22" x14ac:dyDescent="0.25">
      <c r="A15">
        <v>1710</v>
      </c>
      <c r="B15" t="s">
        <v>20</v>
      </c>
      <c r="C15" t="s">
        <v>108</v>
      </c>
      <c r="D15" t="s">
        <v>4</v>
      </c>
      <c r="F15">
        <v>1</v>
      </c>
      <c r="G15">
        <v>1</v>
      </c>
      <c r="H15">
        <v>25</v>
      </c>
      <c r="J15">
        <f t="shared" si="0"/>
        <v>165</v>
      </c>
      <c r="L15">
        <f t="shared" si="1"/>
        <v>7.3660714285714288E-2</v>
      </c>
    </row>
    <row r="16" spans="1:22" x14ac:dyDescent="0.25">
      <c r="A16">
        <v>1710</v>
      </c>
      <c r="B16" t="s">
        <v>52</v>
      </c>
      <c r="C16" t="s">
        <v>108</v>
      </c>
      <c r="D16" t="s">
        <v>4</v>
      </c>
      <c r="J16">
        <f t="shared" si="0"/>
        <v>0</v>
      </c>
      <c r="L16">
        <f t="shared" si="1"/>
        <v>0</v>
      </c>
    </row>
    <row r="17" spans="1:12" x14ac:dyDescent="0.25">
      <c r="A17">
        <v>1710</v>
      </c>
      <c r="B17" t="s">
        <v>53</v>
      </c>
      <c r="C17" t="s">
        <v>108</v>
      </c>
      <c r="D17" t="s">
        <v>4</v>
      </c>
      <c r="J17">
        <f t="shared" si="0"/>
        <v>0</v>
      </c>
      <c r="L17">
        <f t="shared" si="1"/>
        <v>0</v>
      </c>
    </row>
    <row r="18" spans="1:12" x14ac:dyDescent="0.25">
      <c r="A18">
        <v>1710</v>
      </c>
      <c r="B18" t="s">
        <v>5</v>
      </c>
      <c r="C18" t="s">
        <v>108</v>
      </c>
      <c r="D18" t="s">
        <v>4</v>
      </c>
      <c r="H18">
        <v>1771</v>
      </c>
      <c r="J18">
        <f t="shared" si="0"/>
        <v>1771</v>
      </c>
      <c r="L18">
        <f t="shared" si="1"/>
        <v>0.79062500000000002</v>
      </c>
    </row>
    <row r="19" spans="1:12" x14ac:dyDescent="0.25">
      <c r="A19">
        <v>1710</v>
      </c>
      <c r="B19" t="s">
        <v>32</v>
      </c>
      <c r="C19" t="s">
        <v>108</v>
      </c>
      <c r="D19" t="s">
        <v>4</v>
      </c>
      <c r="J19">
        <f t="shared" si="0"/>
        <v>0</v>
      </c>
      <c r="L19">
        <f t="shared" si="1"/>
        <v>0</v>
      </c>
    </row>
    <row r="20" spans="1:12" x14ac:dyDescent="0.25">
      <c r="A20">
        <v>1710</v>
      </c>
      <c r="B20" t="s">
        <v>28</v>
      </c>
      <c r="C20" t="s">
        <v>108</v>
      </c>
      <c r="D20" t="s">
        <v>4</v>
      </c>
      <c r="F20">
        <v>79</v>
      </c>
      <c r="J20">
        <f t="shared" si="0"/>
        <v>8848</v>
      </c>
      <c r="L20">
        <f t="shared" si="1"/>
        <v>3.95</v>
      </c>
    </row>
    <row r="21" spans="1:12" x14ac:dyDescent="0.25">
      <c r="A21">
        <v>1710</v>
      </c>
      <c r="B21" t="s">
        <v>16</v>
      </c>
      <c r="C21" t="s">
        <v>108</v>
      </c>
      <c r="D21" t="s">
        <v>4</v>
      </c>
      <c r="H21">
        <v>55144</v>
      </c>
      <c r="I21" t="s">
        <v>72</v>
      </c>
      <c r="J21">
        <f t="shared" si="0"/>
        <v>55144</v>
      </c>
      <c r="L21">
        <f t="shared" si="1"/>
        <v>24.617857142857144</v>
      </c>
    </row>
    <row r="22" spans="1:12" x14ac:dyDescent="0.25">
      <c r="A22">
        <v>1710</v>
      </c>
      <c r="B22" t="s">
        <v>25</v>
      </c>
      <c r="C22" t="s">
        <v>108</v>
      </c>
      <c r="D22" t="s">
        <v>4</v>
      </c>
      <c r="J22">
        <f t="shared" si="0"/>
        <v>0</v>
      </c>
      <c r="L22">
        <f t="shared" si="1"/>
        <v>0</v>
      </c>
    </row>
    <row r="23" spans="1:12" x14ac:dyDescent="0.25">
      <c r="A23">
        <v>1710</v>
      </c>
      <c r="B23" t="s">
        <v>24</v>
      </c>
      <c r="C23" t="s">
        <v>108</v>
      </c>
      <c r="D23" t="s">
        <v>4</v>
      </c>
      <c r="H23">
        <v>48352</v>
      </c>
      <c r="I23" s="2">
        <v>0.79219907407407408</v>
      </c>
      <c r="J23">
        <f t="shared" si="0"/>
        <v>48352</v>
      </c>
      <c r="L23">
        <f t="shared" si="1"/>
        <v>21.585714285714285</v>
      </c>
    </row>
    <row r="24" spans="1:12" x14ac:dyDescent="0.25">
      <c r="A24">
        <v>1710</v>
      </c>
      <c r="B24" t="s">
        <v>11</v>
      </c>
      <c r="C24" t="s">
        <v>108</v>
      </c>
      <c r="D24" t="s">
        <v>4</v>
      </c>
      <c r="F24">
        <v>597</v>
      </c>
      <c r="G24">
        <v>1</v>
      </c>
      <c r="H24">
        <v>7</v>
      </c>
      <c r="J24">
        <f t="shared" si="0"/>
        <v>66899</v>
      </c>
      <c r="L24">
        <f t="shared" si="1"/>
        <v>29.865625000000001</v>
      </c>
    </row>
    <row r="25" spans="1:12" x14ac:dyDescent="0.25">
      <c r="A25">
        <v>1710</v>
      </c>
      <c r="B25" t="s">
        <v>14</v>
      </c>
      <c r="C25" t="s">
        <v>108</v>
      </c>
      <c r="D25" t="s">
        <v>4</v>
      </c>
      <c r="J25">
        <f t="shared" si="0"/>
        <v>0</v>
      </c>
      <c r="L25">
        <f t="shared" si="1"/>
        <v>0</v>
      </c>
    </row>
    <row r="26" spans="1:12" x14ac:dyDescent="0.25">
      <c r="A26">
        <v>1710</v>
      </c>
      <c r="B26" t="s">
        <v>27</v>
      </c>
      <c r="C26" t="s">
        <v>108</v>
      </c>
      <c r="D26" t="s">
        <v>4</v>
      </c>
      <c r="H26">
        <v>196</v>
      </c>
      <c r="J26">
        <f t="shared" si="0"/>
        <v>196</v>
      </c>
      <c r="L26">
        <f t="shared" si="1"/>
        <v>8.7499999999999994E-2</v>
      </c>
    </row>
    <row r="27" spans="1:12" x14ac:dyDescent="0.25">
      <c r="A27">
        <v>1710</v>
      </c>
      <c r="B27" t="s">
        <v>22</v>
      </c>
      <c r="C27" t="s">
        <v>108</v>
      </c>
      <c r="D27" t="s">
        <v>4</v>
      </c>
      <c r="F27">
        <v>20</v>
      </c>
      <c r="G27">
        <v>3</v>
      </c>
      <c r="J27">
        <f t="shared" si="0"/>
        <v>2324</v>
      </c>
      <c r="L27">
        <f t="shared" si="1"/>
        <v>1.0375000000000001</v>
      </c>
    </row>
    <row r="28" spans="1:12" x14ac:dyDescent="0.25">
      <c r="A28">
        <v>1710</v>
      </c>
      <c r="B28" t="s">
        <v>17</v>
      </c>
      <c r="C28" t="s">
        <v>108</v>
      </c>
      <c r="D28" t="s">
        <v>4</v>
      </c>
      <c r="H28">
        <v>90948</v>
      </c>
      <c r="I28" t="s">
        <v>73</v>
      </c>
      <c r="J28">
        <f t="shared" si="0"/>
        <v>90948</v>
      </c>
      <c r="L28">
        <f t="shared" si="1"/>
        <v>40.601785714285711</v>
      </c>
    </row>
    <row r="29" spans="1:12" x14ac:dyDescent="0.25">
      <c r="A29">
        <v>1710</v>
      </c>
      <c r="B29" t="s">
        <v>19</v>
      </c>
      <c r="C29" t="s">
        <v>108</v>
      </c>
      <c r="D29" t="s">
        <v>4</v>
      </c>
      <c r="F29">
        <v>125</v>
      </c>
      <c r="G29">
        <v>3</v>
      </c>
      <c r="H29">
        <v>21</v>
      </c>
      <c r="J29">
        <f t="shared" si="0"/>
        <v>14105</v>
      </c>
      <c r="L29">
        <f t="shared" si="1"/>
        <v>6.296875</v>
      </c>
    </row>
    <row r="30" spans="1:12" x14ac:dyDescent="0.25">
      <c r="A30">
        <v>1710</v>
      </c>
      <c r="B30" t="s">
        <v>31</v>
      </c>
      <c r="C30" t="s">
        <v>108</v>
      </c>
      <c r="D30" t="s">
        <v>4</v>
      </c>
      <c r="J30">
        <f t="shared" si="0"/>
        <v>0</v>
      </c>
      <c r="L30">
        <f t="shared" si="1"/>
        <v>0</v>
      </c>
    </row>
    <row r="31" spans="1:12" x14ac:dyDescent="0.25">
      <c r="A31">
        <v>1710</v>
      </c>
      <c r="B31" t="s">
        <v>29</v>
      </c>
      <c r="C31" t="s">
        <v>108</v>
      </c>
      <c r="D31" t="s">
        <v>4</v>
      </c>
      <c r="H31">
        <v>838</v>
      </c>
      <c r="J31">
        <f t="shared" si="0"/>
        <v>838</v>
      </c>
      <c r="L31">
        <f t="shared" si="1"/>
        <v>0.37410714285714286</v>
      </c>
    </row>
    <row r="32" spans="1:12" x14ac:dyDescent="0.25">
      <c r="A32">
        <v>1710</v>
      </c>
      <c r="B32" t="s">
        <v>15</v>
      </c>
      <c r="C32" t="s">
        <v>108</v>
      </c>
      <c r="D32" t="s">
        <v>4</v>
      </c>
      <c r="J32">
        <f t="shared" si="0"/>
        <v>0</v>
      </c>
      <c r="L32">
        <f t="shared" si="1"/>
        <v>0</v>
      </c>
    </row>
    <row r="33" spans="1:12" x14ac:dyDescent="0.25">
      <c r="A33">
        <v>1710</v>
      </c>
      <c r="B33" t="s">
        <v>18</v>
      </c>
      <c r="C33" t="s">
        <v>108</v>
      </c>
      <c r="D33" t="s">
        <v>4</v>
      </c>
      <c r="H33">
        <v>75</v>
      </c>
      <c r="J33">
        <f t="shared" si="0"/>
        <v>75</v>
      </c>
      <c r="L33">
        <f t="shared" si="1"/>
        <v>3.3482142857142856E-2</v>
      </c>
    </row>
    <row r="34" spans="1:12" x14ac:dyDescent="0.25">
      <c r="A34">
        <v>1710</v>
      </c>
      <c r="B34" t="s">
        <v>13</v>
      </c>
      <c r="C34" t="s">
        <v>108</v>
      </c>
      <c r="D34" t="s">
        <v>4</v>
      </c>
      <c r="F34">
        <v>926</v>
      </c>
      <c r="G34">
        <v>2</v>
      </c>
      <c r="H34">
        <v>27</v>
      </c>
      <c r="J34">
        <f t="shared" ref="J34:J55" si="2">(E34*2240)+(F34*112)+(G34*28)+H34</f>
        <v>103795</v>
      </c>
      <c r="L34">
        <f t="shared" ref="L34:L55" si="3">J34/2240</f>
        <v>46.337053571428569</v>
      </c>
    </row>
    <row r="35" spans="1:12" x14ac:dyDescent="0.25">
      <c r="A35">
        <v>1710</v>
      </c>
      <c r="B35" t="s">
        <v>109</v>
      </c>
      <c r="C35" t="s">
        <v>108</v>
      </c>
      <c r="D35" t="s">
        <v>4</v>
      </c>
      <c r="E35">
        <v>1</v>
      </c>
      <c r="F35">
        <v>12</v>
      </c>
      <c r="G35">
        <v>3</v>
      </c>
      <c r="J35">
        <f t="shared" si="2"/>
        <v>3668</v>
      </c>
      <c r="L35">
        <f t="shared" si="3"/>
        <v>1.6375</v>
      </c>
    </row>
    <row r="36" spans="1:12" x14ac:dyDescent="0.25">
      <c r="A36">
        <v>1710</v>
      </c>
      <c r="B36" t="s">
        <v>110</v>
      </c>
      <c r="C36" t="s">
        <v>108</v>
      </c>
      <c r="D36" t="s">
        <v>4</v>
      </c>
      <c r="J36">
        <f t="shared" si="2"/>
        <v>0</v>
      </c>
      <c r="L36">
        <f t="shared" si="3"/>
        <v>0</v>
      </c>
    </row>
    <row r="37" spans="1:12" x14ac:dyDescent="0.25">
      <c r="A37">
        <v>1710</v>
      </c>
      <c r="B37" t="s">
        <v>111</v>
      </c>
      <c r="C37" t="s">
        <v>108</v>
      </c>
      <c r="D37" t="s">
        <v>4</v>
      </c>
      <c r="J37">
        <f t="shared" si="2"/>
        <v>0</v>
      </c>
      <c r="L37">
        <f t="shared" si="3"/>
        <v>0</v>
      </c>
    </row>
    <row r="38" spans="1:12" x14ac:dyDescent="0.25">
      <c r="A38">
        <v>1710</v>
      </c>
      <c r="B38" t="s">
        <v>43</v>
      </c>
      <c r="C38" t="s">
        <v>108</v>
      </c>
      <c r="D38" t="s">
        <v>8</v>
      </c>
      <c r="H38">
        <v>200</v>
      </c>
      <c r="I38" t="s">
        <v>75</v>
      </c>
      <c r="J38">
        <f t="shared" si="2"/>
        <v>200</v>
      </c>
      <c r="L38">
        <f t="shared" si="3"/>
        <v>8.9285714285714288E-2</v>
      </c>
    </row>
    <row r="39" spans="1:12" x14ac:dyDescent="0.25">
      <c r="A39">
        <v>1710</v>
      </c>
      <c r="B39" t="s">
        <v>12</v>
      </c>
      <c r="C39" t="s">
        <v>108</v>
      </c>
      <c r="D39" t="s">
        <v>8</v>
      </c>
      <c r="F39">
        <v>20651</v>
      </c>
      <c r="G39">
        <v>3</v>
      </c>
      <c r="H39">
        <v>5</v>
      </c>
      <c r="J39">
        <f t="shared" si="2"/>
        <v>2313001</v>
      </c>
      <c r="L39">
        <f t="shared" si="3"/>
        <v>1032.5897321428572</v>
      </c>
    </row>
    <row r="40" spans="1:12" x14ac:dyDescent="0.25">
      <c r="A40">
        <v>1710</v>
      </c>
      <c r="B40" t="s">
        <v>9</v>
      </c>
      <c r="C40" t="s">
        <v>108</v>
      </c>
      <c r="D40" t="s">
        <v>8</v>
      </c>
      <c r="H40">
        <v>28</v>
      </c>
      <c r="J40">
        <f t="shared" si="2"/>
        <v>28</v>
      </c>
      <c r="L40">
        <f t="shared" si="3"/>
        <v>1.2500000000000001E-2</v>
      </c>
    </row>
    <row r="41" spans="1:12" x14ac:dyDescent="0.25">
      <c r="A41">
        <v>1710</v>
      </c>
      <c r="B41" t="s">
        <v>33</v>
      </c>
      <c r="C41" t="s">
        <v>108</v>
      </c>
      <c r="D41" t="s">
        <v>8</v>
      </c>
      <c r="G41">
        <v>3</v>
      </c>
      <c r="H41">
        <v>9</v>
      </c>
      <c r="J41">
        <f t="shared" si="2"/>
        <v>93</v>
      </c>
      <c r="L41">
        <f t="shared" si="3"/>
        <v>4.1517857142857141E-2</v>
      </c>
    </row>
    <row r="42" spans="1:12" x14ac:dyDescent="0.25">
      <c r="A42">
        <v>1710</v>
      </c>
      <c r="B42" t="s">
        <v>6</v>
      </c>
      <c r="C42" t="s">
        <v>108</v>
      </c>
      <c r="D42" t="s">
        <v>8</v>
      </c>
      <c r="H42">
        <v>103188</v>
      </c>
      <c r="J42">
        <f t="shared" si="2"/>
        <v>103188</v>
      </c>
      <c r="L42">
        <f t="shared" si="3"/>
        <v>46.066071428571426</v>
      </c>
    </row>
    <row r="43" spans="1:12" x14ac:dyDescent="0.25">
      <c r="A43">
        <v>1710</v>
      </c>
      <c r="B43" t="s">
        <v>10</v>
      </c>
      <c r="C43" t="s">
        <v>108</v>
      </c>
      <c r="D43" t="s">
        <v>8</v>
      </c>
      <c r="F43">
        <v>444</v>
      </c>
      <c r="G43">
        <v>1</v>
      </c>
      <c r="H43">
        <v>19</v>
      </c>
      <c r="J43">
        <f t="shared" si="2"/>
        <v>49775</v>
      </c>
      <c r="L43">
        <f t="shared" si="3"/>
        <v>22.220982142857142</v>
      </c>
    </row>
    <row r="44" spans="1:12" x14ac:dyDescent="0.25">
      <c r="A44">
        <v>1710</v>
      </c>
      <c r="B44" t="s">
        <v>5</v>
      </c>
      <c r="C44" t="s">
        <v>108</v>
      </c>
      <c r="D44" t="s">
        <v>8</v>
      </c>
      <c r="H44">
        <v>915</v>
      </c>
      <c r="J44">
        <f t="shared" si="2"/>
        <v>915</v>
      </c>
      <c r="L44">
        <f t="shared" si="3"/>
        <v>0.40848214285714285</v>
      </c>
    </row>
    <row r="45" spans="1:12" x14ac:dyDescent="0.25">
      <c r="A45">
        <v>1710</v>
      </c>
      <c r="B45" t="s">
        <v>28</v>
      </c>
      <c r="C45" t="s">
        <v>108</v>
      </c>
      <c r="D45" t="s">
        <v>8</v>
      </c>
      <c r="J45">
        <f t="shared" si="2"/>
        <v>0</v>
      </c>
      <c r="L45">
        <f t="shared" si="3"/>
        <v>0</v>
      </c>
    </row>
    <row r="46" spans="1:12" x14ac:dyDescent="0.25">
      <c r="A46">
        <v>1710</v>
      </c>
      <c r="B46" t="s">
        <v>16</v>
      </c>
      <c r="C46" t="s">
        <v>108</v>
      </c>
      <c r="D46" t="s">
        <v>8</v>
      </c>
      <c r="H46">
        <v>4356</v>
      </c>
      <c r="I46" t="s">
        <v>76</v>
      </c>
      <c r="J46">
        <f t="shared" si="2"/>
        <v>4356</v>
      </c>
      <c r="L46">
        <f t="shared" si="3"/>
        <v>1.9446428571428571</v>
      </c>
    </row>
    <row r="47" spans="1:12" x14ac:dyDescent="0.25">
      <c r="A47">
        <v>1710</v>
      </c>
      <c r="B47" t="s">
        <v>24</v>
      </c>
      <c r="C47" t="s">
        <v>108</v>
      </c>
      <c r="D47" t="s">
        <v>8</v>
      </c>
      <c r="H47">
        <v>210</v>
      </c>
      <c r="I47" t="s">
        <v>74</v>
      </c>
      <c r="J47">
        <f t="shared" si="2"/>
        <v>210</v>
      </c>
      <c r="L47">
        <f t="shared" si="3"/>
        <v>9.375E-2</v>
      </c>
    </row>
    <row r="48" spans="1:12" x14ac:dyDescent="0.25">
      <c r="A48">
        <v>1710</v>
      </c>
      <c r="B48" t="s">
        <v>11</v>
      </c>
      <c r="C48" t="s">
        <v>108</v>
      </c>
      <c r="D48" t="s">
        <v>8</v>
      </c>
      <c r="F48">
        <v>1852</v>
      </c>
      <c r="G48">
        <v>2</v>
      </c>
      <c r="H48">
        <v>3</v>
      </c>
      <c r="J48">
        <f t="shared" si="2"/>
        <v>207483</v>
      </c>
      <c r="L48">
        <f t="shared" si="3"/>
        <v>92.62633928571428</v>
      </c>
    </row>
    <row r="49" spans="1:12" x14ac:dyDescent="0.25">
      <c r="A49">
        <v>1710</v>
      </c>
      <c r="B49" t="s">
        <v>22</v>
      </c>
      <c r="C49" t="s">
        <v>108</v>
      </c>
      <c r="D49" t="s">
        <v>8</v>
      </c>
      <c r="J49">
        <f t="shared" si="2"/>
        <v>0</v>
      </c>
      <c r="L49">
        <f t="shared" si="3"/>
        <v>0</v>
      </c>
    </row>
    <row r="50" spans="1:12" x14ac:dyDescent="0.25">
      <c r="A50">
        <v>1710</v>
      </c>
      <c r="B50" t="s">
        <v>17</v>
      </c>
      <c r="C50" t="s">
        <v>108</v>
      </c>
      <c r="D50" t="s">
        <v>8</v>
      </c>
      <c r="H50">
        <v>25336.5</v>
      </c>
      <c r="I50" t="s">
        <v>77</v>
      </c>
      <c r="J50">
        <f t="shared" si="2"/>
        <v>25336.5</v>
      </c>
      <c r="L50">
        <f t="shared" si="3"/>
        <v>11.3109375</v>
      </c>
    </row>
    <row r="51" spans="1:12" x14ac:dyDescent="0.25">
      <c r="A51">
        <v>1710</v>
      </c>
      <c r="B51" t="s">
        <v>19</v>
      </c>
      <c r="C51" t="s">
        <v>108</v>
      </c>
      <c r="D51" t="s">
        <v>8</v>
      </c>
      <c r="G51">
        <v>1</v>
      </c>
      <c r="H51">
        <v>7</v>
      </c>
      <c r="J51">
        <f t="shared" si="2"/>
        <v>35</v>
      </c>
      <c r="L51">
        <f t="shared" si="3"/>
        <v>1.5625E-2</v>
      </c>
    </row>
    <row r="52" spans="1:12" x14ac:dyDescent="0.25">
      <c r="A52">
        <v>1710</v>
      </c>
      <c r="B52" t="s">
        <v>29</v>
      </c>
      <c r="C52" t="s">
        <v>108</v>
      </c>
      <c r="D52" t="s">
        <v>8</v>
      </c>
      <c r="H52">
        <v>48</v>
      </c>
      <c r="J52">
        <f t="shared" si="2"/>
        <v>48</v>
      </c>
      <c r="L52">
        <f t="shared" si="3"/>
        <v>2.1428571428571429E-2</v>
      </c>
    </row>
    <row r="53" spans="1:12" x14ac:dyDescent="0.25">
      <c r="A53">
        <v>1710</v>
      </c>
      <c r="B53" t="s">
        <v>18</v>
      </c>
      <c r="C53" t="s">
        <v>108</v>
      </c>
      <c r="D53" t="s">
        <v>8</v>
      </c>
      <c r="H53">
        <v>8</v>
      </c>
      <c r="J53">
        <f t="shared" si="2"/>
        <v>8</v>
      </c>
      <c r="L53">
        <f t="shared" si="3"/>
        <v>3.5714285714285713E-3</v>
      </c>
    </row>
    <row r="54" spans="1:12" x14ac:dyDescent="0.25">
      <c r="A54">
        <v>1710</v>
      </c>
      <c r="B54" t="s">
        <v>13</v>
      </c>
      <c r="C54" t="s">
        <v>108</v>
      </c>
      <c r="D54" t="s">
        <v>8</v>
      </c>
      <c r="F54">
        <v>4</v>
      </c>
      <c r="G54">
        <v>3</v>
      </c>
      <c r="H54">
        <v>14</v>
      </c>
      <c r="J54">
        <f t="shared" si="2"/>
        <v>546</v>
      </c>
      <c r="L54">
        <f t="shared" si="3"/>
        <v>0.24374999999999999</v>
      </c>
    </row>
    <row r="55" spans="1:12" x14ac:dyDescent="0.25">
      <c r="J55">
        <f t="shared" si="2"/>
        <v>0</v>
      </c>
      <c r="L55">
        <f t="shared" si="3"/>
        <v>0</v>
      </c>
    </row>
  </sheetData>
  <autoFilter ref="A1:L55" xr:uid="{AAD1F908-12B8-4B3A-A65D-184CD229ACD4}">
    <sortState xmlns:xlrd2="http://schemas.microsoft.com/office/spreadsheetml/2017/richdata2" ref="A2:L55">
      <sortCondition ref="D1:D5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722-BBCD-461E-A313-A1216A062DC6}">
  <sheetPr codeName="Sheet6"/>
  <dimension ref="A1:L7"/>
  <sheetViews>
    <sheetView workbookViewId="0">
      <selection sqref="A1:L1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48</v>
      </c>
      <c r="F1" s="1" t="s">
        <v>49</v>
      </c>
      <c r="G1" s="1" t="s">
        <v>50</v>
      </c>
      <c r="H1" s="1" t="s">
        <v>51</v>
      </c>
      <c r="I1" s="1"/>
      <c r="J1" s="1" t="s">
        <v>2</v>
      </c>
      <c r="K1" s="1"/>
      <c r="L1" s="1" t="s">
        <v>106</v>
      </c>
    </row>
    <row r="2" spans="1:12" x14ac:dyDescent="0.25">
      <c r="A2">
        <v>1710</v>
      </c>
      <c r="B2" t="s">
        <v>5</v>
      </c>
      <c r="C2" t="s">
        <v>113</v>
      </c>
      <c r="D2" t="s">
        <v>8</v>
      </c>
      <c r="J2">
        <f t="shared" ref="J2:J3" si="0">(E2*2240)+(F2*112)+(G2*28)+H2</f>
        <v>0</v>
      </c>
      <c r="K2" s="1"/>
      <c r="L2">
        <f t="shared" ref="L2:L3" si="1">J2/2240</f>
        <v>0</v>
      </c>
    </row>
    <row r="3" spans="1:12" x14ac:dyDescent="0.25">
      <c r="A3">
        <v>1710</v>
      </c>
      <c r="B3" t="s">
        <v>110</v>
      </c>
      <c r="C3" t="s">
        <v>113</v>
      </c>
      <c r="D3" t="s">
        <v>8</v>
      </c>
      <c r="J3">
        <f t="shared" si="0"/>
        <v>0</v>
      </c>
      <c r="K3" s="1"/>
      <c r="L3">
        <f t="shared" si="1"/>
        <v>0</v>
      </c>
    </row>
    <row r="4" spans="1:12" x14ac:dyDescent="0.25">
      <c r="A4">
        <v>1710</v>
      </c>
      <c r="B4" t="s">
        <v>19</v>
      </c>
      <c r="C4" t="s">
        <v>113</v>
      </c>
      <c r="D4" t="s">
        <v>8</v>
      </c>
      <c r="J4">
        <f>(E4*2240)+(F4*112)+(G4*28)+H4</f>
        <v>0</v>
      </c>
      <c r="L4">
        <f>J4/2240</f>
        <v>0</v>
      </c>
    </row>
    <row r="5" spans="1:12" x14ac:dyDescent="0.25">
      <c r="A5">
        <v>1710</v>
      </c>
      <c r="B5" t="s">
        <v>29</v>
      </c>
      <c r="C5" t="s">
        <v>113</v>
      </c>
      <c r="D5" t="s">
        <v>8</v>
      </c>
      <c r="J5">
        <f t="shared" ref="J5:J7" si="2">(E5*2240)+(F5*112)+(G5*28)+H5</f>
        <v>0</v>
      </c>
      <c r="L5">
        <f t="shared" ref="L5:L7" si="3">J5/2240</f>
        <v>0</v>
      </c>
    </row>
    <row r="6" spans="1:12" x14ac:dyDescent="0.25">
      <c r="A6">
        <v>1710</v>
      </c>
      <c r="B6" t="s">
        <v>6</v>
      </c>
      <c r="C6" t="s">
        <v>113</v>
      </c>
      <c r="D6" t="s">
        <v>8</v>
      </c>
      <c r="J6">
        <f t="shared" si="2"/>
        <v>0</v>
      </c>
      <c r="L6">
        <f t="shared" si="3"/>
        <v>0</v>
      </c>
    </row>
    <row r="7" spans="1:12" x14ac:dyDescent="0.25">
      <c r="A7">
        <v>1710</v>
      </c>
      <c r="B7" t="s">
        <v>33</v>
      </c>
      <c r="C7" t="s">
        <v>113</v>
      </c>
      <c r="D7" t="s">
        <v>8</v>
      </c>
      <c r="J7">
        <f t="shared" si="2"/>
        <v>0</v>
      </c>
      <c r="L7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9DECF-9C4B-4D66-A34A-4FCAB8DD57FB}">
  <sheetPr codeName="Sheet7"/>
  <dimension ref="A1:P23"/>
  <sheetViews>
    <sheetView workbookViewId="0">
      <selection sqref="A1:L1"/>
    </sheetView>
  </sheetViews>
  <sheetFormatPr defaultRowHeight="15" x14ac:dyDescent="0.25"/>
  <cols>
    <col min="2" max="3" width="13.85546875" customWidth="1"/>
  </cols>
  <sheetData>
    <row r="1" spans="1:1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48</v>
      </c>
      <c r="F1" s="1" t="s">
        <v>49</v>
      </c>
      <c r="G1" s="1" t="s">
        <v>50</v>
      </c>
      <c r="H1" s="1" t="s">
        <v>51</v>
      </c>
      <c r="I1" s="1"/>
      <c r="J1" s="1" t="s">
        <v>2</v>
      </c>
      <c r="K1" s="1"/>
      <c r="L1" s="1" t="s">
        <v>106</v>
      </c>
      <c r="N1" t="s">
        <v>35</v>
      </c>
      <c r="P1" t="s">
        <v>36</v>
      </c>
    </row>
    <row r="2" spans="1:16" x14ac:dyDescent="0.25">
      <c r="A2">
        <v>1710</v>
      </c>
      <c r="B2" t="s">
        <v>20</v>
      </c>
      <c r="D2" t="s">
        <v>4</v>
      </c>
      <c r="J2">
        <f>(E2*2240)+(F2*112)+(G2*28)+H2</f>
        <v>0</v>
      </c>
      <c r="L2">
        <f>J2/2240</f>
        <v>0</v>
      </c>
      <c r="N2">
        <f>L2+L4+L5+L6+L8+L9+L11+L12+L14+L15+L17</f>
        <v>0</v>
      </c>
      <c r="P2">
        <f>L13</f>
        <v>0</v>
      </c>
    </row>
    <row r="3" spans="1:16" x14ac:dyDescent="0.25">
      <c r="A3">
        <v>1710</v>
      </c>
      <c r="B3" t="s">
        <v>10</v>
      </c>
      <c r="D3" t="s">
        <v>4</v>
      </c>
      <c r="J3">
        <f>(E3*2240)+(F3*112)+(G3*28)+H3</f>
        <v>0</v>
      </c>
      <c r="L3">
        <f>J3/2240</f>
        <v>0</v>
      </c>
    </row>
    <row r="4" spans="1:16" x14ac:dyDescent="0.25">
      <c r="A4">
        <v>1710</v>
      </c>
      <c r="B4" t="s">
        <v>22</v>
      </c>
      <c r="D4" t="s">
        <v>4</v>
      </c>
      <c r="J4">
        <f>(E4*2240)+(F4*112)+(G4*28)+H4</f>
        <v>0</v>
      </c>
      <c r="L4">
        <f t="shared" ref="L4:L23" si="0">J4/2240</f>
        <v>0</v>
      </c>
    </row>
    <row r="5" spans="1:16" x14ac:dyDescent="0.25">
      <c r="A5">
        <v>1710</v>
      </c>
      <c r="B5" t="s">
        <v>15</v>
      </c>
      <c r="D5" t="s">
        <v>4</v>
      </c>
      <c r="J5">
        <f t="shared" ref="J5:J23" si="1">(E5*2240)+(F5*112)+(G5*28)+H5</f>
        <v>0</v>
      </c>
      <c r="L5">
        <f t="shared" si="0"/>
        <v>0</v>
      </c>
    </row>
    <row r="6" spans="1:16" x14ac:dyDescent="0.25">
      <c r="A6">
        <v>1710</v>
      </c>
      <c r="B6" t="s">
        <v>9</v>
      </c>
      <c r="D6" t="s">
        <v>4</v>
      </c>
      <c r="J6">
        <f t="shared" si="1"/>
        <v>0</v>
      </c>
      <c r="L6">
        <f t="shared" si="0"/>
        <v>0</v>
      </c>
    </row>
    <row r="7" spans="1:16" x14ac:dyDescent="0.25">
      <c r="A7">
        <v>1710</v>
      </c>
      <c r="B7" t="s">
        <v>12</v>
      </c>
      <c r="D7" t="s">
        <v>4</v>
      </c>
      <c r="J7">
        <f t="shared" si="1"/>
        <v>0</v>
      </c>
      <c r="L7">
        <f t="shared" si="0"/>
        <v>0</v>
      </c>
    </row>
    <row r="8" spans="1:16" x14ac:dyDescent="0.25">
      <c r="A8">
        <v>1710</v>
      </c>
      <c r="B8" t="s">
        <v>33</v>
      </c>
      <c r="D8" t="s">
        <v>4</v>
      </c>
      <c r="J8">
        <f t="shared" si="1"/>
        <v>0</v>
      </c>
      <c r="L8">
        <f t="shared" si="0"/>
        <v>0</v>
      </c>
    </row>
    <row r="9" spans="1:16" x14ac:dyDescent="0.25">
      <c r="A9">
        <v>1710</v>
      </c>
      <c r="B9" t="s">
        <v>18</v>
      </c>
      <c r="D9" t="s">
        <v>4</v>
      </c>
      <c r="J9">
        <f t="shared" si="1"/>
        <v>0</v>
      </c>
      <c r="L9">
        <f t="shared" si="0"/>
        <v>0</v>
      </c>
    </row>
    <row r="10" spans="1:16" x14ac:dyDescent="0.25">
      <c r="A10">
        <v>1710</v>
      </c>
      <c r="B10" t="s">
        <v>60</v>
      </c>
      <c r="D10" t="s">
        <v>8</v>
      </c>
      <c r="J10">
        <f t="shared" si="1"/>
        <v>0</v>
      </c>
      <c r="L10">
        <f t="shared" si="0"/>
        <v>0</v>
      </c>
    </row>
    <row r="11" spans="1:16" x14ac:dyDescent="0.25">
      <c r="A11">
        <v>1710</v>
      </c>
      <c r="B11" t="s">
        <v>20</v>
      </c>
      <c r="D11" t="s">
        <v>8</v>
      </c>
      <c r="J11">
        <f t="shared" si="1"/>
        <v>0</v>
      </c>
      <c r="L11">
        <f t="shared" si="0"/>
        <v>0</v>
      </c>
    </row>
    <row r="12" spans="1:16" x14ac:dyDescent="0.25">
      <c r="A12">
        <v>1710</v>
      </c>
      <c r="B12" t="s">
        <v>5</v>
      </c>
      <c r="D12" t="s">
        <v>8</v>
      </c>
      <c r="J12">
        <f t="shared" si="1"/>
        <v>0</v>
      </c>
      <c r="L12">
        <f t="shared" si="0"/>
        <v>0</v>
      </c>
    </row>
    <row r="13" spans="1:16" x14ac:dyDescent="0.25">
      <c r="A13">
        <v>1710</v>
      </c>
      <c r="B13" t="s">
        <v>22</v>
      </c>
      <c r="D13" t="s">
        <v>8</v>
      </c>
      <c r="J13">
        <f>(E13*2240)+(F13*112)+(G13*28)+H13</f>
        <v>0</v>
      </c>
      <c r="L13">
        <f t="shared" si="0"/>
        <v>0</v>
      </c>
    </row>
    <row r="14" spans="1:16" x14ac:dyDescent="0.25">
      <c r="A14">
        <v>1710</v>
      </c>
      <c r="B14" t="s">
        <v>12</v>
      </c>
      <c r="D14" t="s">
        <v>8</v>
      </c>
      <c r="J14">
        <f t="shared" si="1"/>
        <v>0</v>
      </c>
      <c r="L14">
        <f t="shared" si="0"/>
        <v>0</v>
      </c>
    </row>
    <row r="15" spans="1:16" x14ac:dyDescent="0.25">
      <c r="A15">
        <v>1710</v>
      </c>
      <c r="B15" t="s">
        <v>6</v>
      </c>
      <c r="D15" t="s">
        <v>8</v>
      </c>
      <c r="J15">
        <f t="shared" si="1"/>
        <v>0</v>
      </c>
      <c r="L15">
        <f t="shared" si="0"/>
        <v>0</v>
      </c>
    </row>
    <row r="16" spans="1:16" x14ac:dyDescent="0.25">
      <c r="A16">
        <v>1710</v>
      </c>
      <c r="B16" t="s">
        <v>62</v>
      </c>
      <c r="D16" t="s">
        <v>8</v>
      </c>
      <c r="J16">
        <f t="shared" si="1"/>
        <v>0</v>
      </c>
      <c r="L16">
        <f t="shared" si="0"/>
        <v>0</v>
      </c>
    </row>
    <row r="17" spans="1:12" x14ac:dyDescent="0.25">
      <c r="A17">
        <v>1710</v>
      </c>
      <c r="B17" t="s">
        <v>33</v>
      </c>
      <c r="D17" t="s">
        <v>8</v>
      </c>
      <c r="J17">
        <f t="shared" si="1"/>
        <v>0</v>
      </c>
      <c r="L17">
        <f t="shared" si="0"/>
        <v>0</v>
      </c>
    </row>
    <row r="18" spans="1:12" x14ac:dyDescent="0.25">
      <c r="A18">
        <v>1710</v>
      </c>
      <c r="B18" t="s">
        <v>16</v>
      </c>
      <c r="D18" t="s">
        <v>8</v>
      </c>
      <c r="J18">
        <f t="shared" si="1"/>
        <v>0</v>
      </c>
      <c r="L18">
        <f t="shared" si="0"/>
        <v>0</v>
      </c>
    </row>
    <row r="19" spans="1:12" x14ac:dyDescent="0.25">
      <c r="A19">
        <v>1710</v>
      </c>
      <c r="B19" t="s">
        <v>42</v>
      </c>
      <c r="D19" t="s">
        <v>4</v>
      </c>
      <c r="J19">
        <f t="shared" si="1"/>
        <v>0</v>
      </c>
      <c r="L19">
        <f t="shared" si="0"/>
        <v>0</v>
      </c>
    </row>
    <row r="20" spans="1:12" x14ac:dyDescent="0.25">
      <c r="A20">
        <v>1710</v>
      </c>
      <c r="B20" t="s">
        <v>56</v>
      </c>
      <c r="D20" t="s">
        <v>4</v>
      </c>
      <c r="J20">
        <f t="shared" si="1"/>
        <v>0</v>
      </c>
      <c r="L20">
        <f t="shared" si="0"/>
        <v>0</v>
      </c>
    </row>
    <row r="21" spans="1:12" x14ac:dyDescent="0.25">
      <c r="A21">
        <v>1710</v>
      </c>
      <c r="B21" t="s">
        <v>110</v>
      </c>
      <c r="D21" t="s">
        <v>4</v>
      </c>
      <c r="J21">
        <f t="shared" si="1"/>
        <v>0</v>
      </c>
      <c r="L21">
        <f t="shared" si="0"/>
        <v>0</v>
      </c>
    </row>
    <row r="22" spans="1:12" x14ac:dyDescent="0.25">
      <c r="A22">
        <v>1710</v>
      </c>
      <c r="B22" t="s">
        <v>28</v>
      </c>
      <c r="D22" t="s">
        <v>4</v>
      </c>
      <c r="J22">
        <f t="shared" si="1"/>
        <v>0</v>
      </c>
      <c r="L22">
        <f t="shared" si="0"/>
        <v>0</v>
      </c>
    </row>
    <row r="23" spans="1:12" x14ac:dyDescent="0.25">
      <c r="A23">
        <v>1710</v>
      </c>
      <c r="B23" t="s">
        <v>17</v>
      </c>
      <c r="D23" t="s">
        <v>4</v>
      </c>
      <c r="J23">
        <f t="shared" si="1"/>
        <v>0</v>
      </c>
      <c r="L23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7725-5A61-4A1B-A740-CC887BCB0E68}">
  <sheetPr codeName="Sheet8"/>
  <dimension ref="A1:L66"/>
  <sheetViews>
    <sheetView topLeftCell="A46" zoomScaleNormal="100" workbookViewId="0">
      <selection activeCell="H65" sqref="H65"/>
    </sheetView>
  </sheetViews>
  <sheetFormatPr defaultRowHeight="15" x14ac:dyDescent="0.25"/>
  <cols>
    <col min="2" max="3" width="14.140625" customWidth="1"/>
  </cols>
  <sheetData>
    <row r="1" spans="1:12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48</v>
      </c>
      <c r="F1" s="1" t="s">
        <v>49</v>
      </c>
      <c r="G1" s="1" t="s">
        <v>50</v>
      </c>
      <c r="H1" s="1" t="s">
        <v>51</v>
      </c>
      <c r="I1" s="1"/>
      <c r="J1" s="1" t="s">
        <v>2</v>
      </c>
      <c r="K1" s="1"/>
      <c r="L1" s="1" t="s">
        <v>106</v>
      </c>
    </row>
    <row r="2" spans="1:12" x14ac:dyDescent="0.25">
      <c r="A2">
        <v>1710</v>
      </c>
      <c r="B2" t="s">
        <v>21</v>
      </c>
      <c r="C2" t="s">
        <v>114</v>
      </c>
      <c r="D2" t="s">
        <v>4</v>
      </c>
      <c r="H2">
        <v>300</v>
      </c>
      <c r="J2">
        <f t="shared" ref="J2:J33" si="0">(E2*2240)+(F2*112)+(G2*28)+H2</f>
        <v>300</v>
      </c>
      <c r="L2">
        <f t="shared" ref="L2:L33" si="1">J2/2240</f>
        <v>0.13392857142857142</v>
      </c>
    </row>
    <row r="3" spans="1:12" x14ac:dyDescent="0.25">
      <c r="A3">
        <v>1710</v>
      </c>
      <c r="B3" t="s">
        <v>42</v>
      </c>
      <c r="C3" t="s">
        <v>114</v>
      </c>
      <c r="D3" t="s">
        <v>4</v>
      </c>
      <c r="J3">
        <f t="shared" si="0"/>
        <v>0</v>
      </c>
      <c r="L3">
        <f t="shared" si="1"/>
        <v>0</v>
      </c>
    </row>
    <row r="4" spans="1:12" x14ac:dyDescent="0.25">
      <c r="A4">
        <v>1710</v>
      </c>
      <c r="B4" t="s">
        <v>12</v>
      </c>
      <c r="C4" t="s">
        <v>114</v>
      </c>
      <c r="D4" t="s">
        <v>4</v>
      </c>
      <c r="F4">
        <v>55665</v>
      </c>
      <c r="G4">
        <v>3</v>
      </c>
      <c r="H4">
        <v>25</v>
      </c>
      <c r="J4">
        <f t="shared" si="0"/>
        <v>6234589</v>
      </c>
      <c r="L4">
        <f t="shared" si="1"/>
        <v>2783.2986607142857</v>
      </c>
    </row>
    <row r="5" spans="1:12" x14ac:dyDescent="0.25">
      <c r="A5">
        <v>1710</v>
      </c>
      <c r="B5" t="s">
        <v>44</v>
      </c>
      <c r="C5" t="s">
        <v>114</v>
      </c>
      <c r="D5" t="s">
        <v>4</v>
      </c>
      <c r="H5">
        <v>4190</v>
      </c>
      <c r="J5">
        <f t="shared" si="0"/>
        <v>4190</v>
      </c>
      <c r="L5">
        <f t="shared" si="1"/>
        <v>1.8705357142857142</v>
      </c>
    </row>
    <row r="6" spans="1:12" x14ac:dyDescent="0.25">
      <c r="A6">
        <v>1710</v>
      </c>
      <c r="B6" t="s">
        <v>9</v>
      </c>
      <c r="C6" t="s">
        <v>114</v>
      </c>
      <c r="D6" t="s">
        <v>4</v>
      </c>
      <c r="H6">
        <v>53</v>
      </c>
      <c r="J6">
        <f t="shared" si="0"/>
        <v>53</v>
      </c>
      <c r="L6">
        <f t="shared" si="1"/>
        <v>2.3660714285714285E-2</v>
      </c>
    </row>
    <row r="7" spans="1:12" x14ac:dyDescent="0.25">
      <c r="A7">
        <v>1710</v>
      </c>
      <c r="B7" t="s">
        <v>64</v>
      </c>
      <c r="C7" t="s">
        <v>114</v>
      </c>
      <c r="D7" t="s">
        <v>4</v>
      </c>
      <c r="H7">
        <v>125</v>
      </c>
      <c r="J7">
        <f t="shared" si="0"/>
        <v>125</v>
      </c>
      <c r="L7">
        <f t="shared" si="1"/>
        <v>5.5803571428571432E-2</v>
      </c>
    </row>
    <row r="8" spans="1:12" x14ac:dyDescent="0.25">
      <c r="A8">
        <v>1710</v>
      </c>
      <c r="B8" t="s">
        <v>33</v>
      </c>
      <c r="C8" t="s">
        <v>114</v>
      </c>
      <c r="D8" t="s">
        <v>4</v>
      </c>
      <c r="F8">
        <v>1323</v>
      </c>
      <c r="G8">
        <v>3</v>
      </c>
      <c r="H8">
        <v>25</v>
      </c>
      <c r="J8">
        <f t="shared" si="0"/>
        <v>148285</v>
      </c>
      <c r="L8">
        <f t="shared" si="1"/>
        <v>66.198660714285708</v>
      </c>
    </row>
    <row r="9" spans="1:12" x14ac:dyDescent="0.25">
      <c r="A9">
        <v>1710</v>
      </c>
      <c r="B9" t="s">
        <v>55</v>
      </c>
      <c r="C9" t="s">
        <v>114</v>
      </c>
      <c r="D9" t="s">
        <v>4</v>
      </c>
      <c r="H9">
        <v>6</v>
      </c>
      <c r="J9">
        <f t="shared" si="0"/>
        <v>6</v>
      </c>
      <c r="L9">
        <f t="shared" si="1"/>
        <v>2.6785714285714286E-3</v>
      </c>
    </row>
    <row r="10" spans="1:12" x14ac:dyDescent="0.25">
      <c r="A10">
        <v>1710</v>
      </c>
      <c r="B10" t="s">
        <v>59</v>
      </c>
      <c r="C10" t="s">
        <v>114</v>
      </c>
      <c r="D10" t="s">
        <v>4</v>
      </c>
      <c r="J10">
        <f t="shared" si="0"/>
        <v>0</v>
      </c>
      <c r="L10">
        <f t="shared" si="1"/>
        <v>0</v>
      </c>
    </row>
    <row r="11" spans="1:12" x14ac:dyDescent="0.25">
      <c r="A11">
        <v>1710</v>
      </c>
      <c r="B11" t="s">
        <v>60</v>
      </c>
      <c r="C11" t="s">
        <v>114</v>
      </c>
      <c r="D11" t="s">
        <v>4</v>
      </c>
      <c r="H11">
        <v>25807</v>
      </c>
      <c r="J11">
        <f t="shared" si="0"/>
        <v>25807</v>
      </c>
      <c r="L11">
        <f t="shared" si="1"/>
        <v>11.520982142857143</v>
      </c>
    </row>
    <row r="12" spans="1:12" x14ac:dyDescent="0.25">
      <c r="A12">
        <v>1710</v>
      </c>
      <c r="B12" t="s">
        <v>6</v>
      </c>
      <c r="C12" t="s">
        <v>114</v>
      </c>
      <c r="D12" t="s">
        <v>4</v>
      </c>
      <c r="H12">
        <f>209*200</f>
        <v>41800</v>
      </c>
      <c r="I12" t="s">
        <v>80</v>
      </c>
      <c r="J12">
        <f t="shared" si="0"/>
        <v>41800</v>
      </c>
      <c r="L12">
        <f t="shared" si="1"/>
        <v>18.660714285714285</v>
      </c>
    </row>
    <row r="13" spans="1:12" x14ac:dyDescent="0.25">
      <c r="A13">
        <v>1710</v>
      </c>
      <c r="B13" t="s">
        <v>10</v>
      </c>
      <c r="C13" t="s">
        <v>114</v>
      </c>
      <c r="D13" t="s">
        <v>4</v>
      </c>
      <c r="F13">
        <v>2521</v>
      </c>
      <c r="G13">
        <v>1</v>
      </c>
      <c r="H13">
        <v>24</v>
      </c>
      <c r="J13">
        <f t="shared" si="0"/>
        <v>282404</v>
      </c>
      <c r="L13">
        <f t="shared" si="1"/>
        <v>126.07321428571429</v>
      </c>
    </row>
    <row r="14" spans="1:12" x14ac:dyDescent="0.25">
      <c r="A14">
        <v>1710</v>
      </c>
      <c r="B14" t="s">
        <v>20</v>
      </c>
      <c r="C14" t="s">
        <v>114</v>
      </c>
      <c r="D14" t="s">
        <v>4</v>
      </c>
      <c r="F14">
        <v>84</v>
      </c>
      <c r="H14">
        <v>15</v>
      </c>
      <c r="J14">
        <f t="shared" si="0"/>
        <v>9423</v>
      </c>
      <c r="L14">
        <f t="shared" si="1"/>
        <v>4.206696428571429</v>
      </c>
    </row>
    <row r="15" spans="1:12" x14ac:dyDescent="0.25">
      <c r="A15">
        <v>1710</v>
      </c>
      <c r="B15" t="s">
        <v>78</v>
      </c>
      <c r="C15" t="s">
        <v>114</v>
      </c>
      <c r="D15" t="s">
        <v>4</v>
      </c>
      <c r="F15">
        <v>7</v>
      </c>
      <c r="G15">
        <v>2</v>
      </c>
      <c r="J15">
        <f t="shared" si="0"/>
        <v>840</v>
      </c>
      <c r="L15">
        <f t="shared" si="1"/>
        <v>0.375</v>
      </c>
    </row>
    <row r="16" spans="1:12" x14ac:dyDescent="0.25">
      <c r="A16">
        <v>1710</v>
      </c>
      <c r="B16" t="s">
        <v>5</v>
      </c>
      <c r="C16" t="s">
        <v>114</v>
      </c>
      <c r="D16" t="s">
        <v>4</v>
      </c>
      <c r="H16">
        <v>96620</v>
      </c>
      <c r="J16">
        <f t="shared" si="0"/>
        <v>96620</v>
      </c>
      <c r="L16">
        <f t="shared" si="1"/>
        <v>43.133928571428569</v>
      </c>
    </row>
    <row r="17" spans="1:12" x14ac:dyDescent="0.25">
      <c r="A17">
        <v>1710</v>
      </c>
      <c r="B17" t="s">
        <v>58</v>
      </c>
      <c r="C17" t="s">
        <v>114</v>
      </c>
      <c r="D17" t="s">
        <v>4</v>
      </c>
      <c r="H17">
        <v>34</v>
      </c>
      <c r="J17">
        <f t="shared" si="0"/>
        <v>34</v>
      </c>
      <c r="L17">
        <f t="shared" si="1"/>
        <v>1.5178571428571428E-2</v>
      </c>
    </row>
    <row r="18" spans="1:12" x14ac:dyDescent="0.25">
      <c r="A18">
        <v>1710</v>
      </c>
      <c r="B18" t="s">
        <v>28</v>
      </c>
      <c r="C18" t="s">
        <v>114</v>
      </c>
      <c r="D18" t="s">
        <v>4</v>
      </c>
      <c r="J18">
        <f t="shared" si="0"/>
        <v>0</v>
      </c>
      <c r="L18">
        <f t="shared" si="1"/>
        <v>0</v>
      </c>
    </row>
    <row r="19" spans="1:12" x14ac:dyDescent="0.25">
      <c r="A19">
        <v>1710</v>
      </c>
      <c r="B19" t="s">
        <v>16</v>
      </c>
      <c r="C19" t="s">
        <v>114</v>
      </c>
      <c r="D19" t="s">
        <v>4</v>
      </c>
      <c r="H19">
        <v>33679</v>
      </c>
      <c r="I19" t="s">
        <v>81</v>
      </c>
      <c r="J19">
        <f t="shared" si="0"/>
        <v>33679</v>
      </c>
      <c r="L19">
        <f t="shared" si="1"/>
        <v>15.035267857142857</v>
      </c>
    </row>
    <row r="20" spans="1:12" x14ac:dyDescent="0.25">
      <c r="A20">
        <v>1710</v>
      </c>
      <c r="B20" t="s">
        <v>24</v>
      </c>
      <c r="C20" t="s">
        <v>114</v>
      </c>
      <c r="D20" t="s">
        <v>4</v>
      </c>
      <c r="H20">
        <v>6862</v>
      </c>
      <c r="I20" t="s">
        <v>79</v>
      </c>
      <c r="J20">
        <f t="shared" si="0"/>
        <v>6862</v>
      </c>
      <c r="L20">
        <f t="shared" si="1"/>
        <v>3.063392857142857</v>
      </c>
    </row>
    <row r="21" spans="1:12" x14ac:dyDescent="0.25">
      <c r="A21">
        <v>1710</v>
      </c>
      <c r="B21" t="s">
        <v>11</v>
      </c>
      <c r="C21" t="s">
        <v>114</v>
      </c>
      <c r="D21" t="s">
        <v>4</v>
      </c>
      <c r="F21">
        <v>240</v>
      </c>
      <c r="J21">
        <f t="shared" si="0"/>
        <v>26880</v>
      </c>
      <c r="L21">
        <f t="shared" si="1"/>
        <v>12</v>
      </c>
    </row>
    <row r="22" spans="1:12" x14ac:dyDescent="0.25">
      <c r="A22">
        <v>1710</v>
      </c>
      <c r="B22" t="s">
        <v>27</v>
      </c>
      <c r="C22" t="s">
        <v>114</v>
      </c>
      <c r="D22" t="s">
        <v>4</v>
      </c>
      <c r="H22">
        <v>137185</v>
      </c>
      <c r="J22">
        <f t="shared" si="0"/>
        <v>137185</v>
      </c>
      <c r="L22">
        <f t="shared" si="1"/>
        <v>61.243303571428569</v>
      </c>
    </row>
    <row r="23" spans="1:12" x14ac:dyDescent="0.25">
      <c r="A23">
        <v>1710</v>
      </c>
      <c r="B23" t="s">
        <v>22</v>
      </c>
      <c r="C23" t="s">
        <v>114</v>
      </c>
      <c r="D23" t="s">
        <v>4</v>
      </c>
      <c r="J23">
        <f t="shared" si="0"/>
        <v>0</v>
      </c>
      <c r="L23">
        <f t="shared" si="1"/>
        <v>0</v>
      </c>
    </row>
    <row r="24" spans="1:12" x14ac:dyDescent="0.25">
      <c r="A24">
        <v>1710</v>
      </c>
      <c r="B24" t="s">
        <v>17</v>
      </c>
      <c r="C24" t="s">
        <v>114</v>
      </c>
      <c r="D24" t="s">
        <v>4</v>
      </c>
      <c r="H24">
        <v>13108</v>
      </c>
      <c r="I24" t="s">
        <v>82</v>
      </c>
      <c r="J24">
        <f t="shared" si="0"/>
        <v>13108</v>
      </c>
      <c r="L24">
        <f t="shared" si="1"/>
        <v>5.8517857142857146</v>
      </c>
    </row>
    <row r="25" spans="1:12" x14ac:dyDescent="0.25">
      <c r="A25">
        <v>1710</v>
      </c>
      <c r="B25" t="s">
        <v>45</v>
      </c>
      <c r="C25" t="s">
        <v>114</v>
      </c>
      <c r="D25" t="s">
        <v>4</v>
      </c>
      <c r="H25">
        <v>22597</v>
      </c>
      <c r="J25">
        <f t="shared" si="0"/>
        <v>22597</v>
      </c>
      <c r="L25">
        <f t="shared" si="1"/>
        <v>10.087946428571428</v>
      </c>
    </row>
    <row r="26" spans="1:12" x14ac:dyDescent="0.25">
      <c r="A26">
        <v>1710</v>
      </c>
      <c r="B26" t="s">
        <v>19</v>
      </c>
      <c r="C26" t="s">
        <v>114</v>
      </c>
      <c r="D26" t="s">
        <v>4</v>
      </c>
      <c r="J26">
        <f t="shared" si="0"/>
        <v>0</v>
      </c>
      <c r="L26">
        <f t="shared" si="1"/>
        <v>0</v>
      </c>
    </row>
    <row r="27" spans="1:12" x14ac:dyDescent="0.25">
      <c r="A27">
        <v>1710</v>
      </c>
      <c r="B27" t="s">
        <v>31</v>
      </c>
      <c r="C27" t="s">
        <v>114</v>
      </c>
      <c r="D27" t="s">
        <v>4</v>
      </c>
      <c r="H27">
        <v>7322</v>
      </c>
      <c r="J27">
        <f t="shared" si="0"/>
        <v>7322</v>
      </c>
      <c r="L27">
        <f t="shared" si="1"/>
        <v>3.2687499999999998</v>
      </c>
    </row>
    <row r="28" spans="1:12" x14ac:dyDescent="0.25">
      <c r="A28">
        <v>1710</v>
      </c>
      <c r="B28" t="s">
        <v>29</v>
      </c>
      <c r="C28" t="s">
        <v>114</v>
      </c>
      <c r="D28" t="s">
        <v>4</v>
      </c>
      <c r="H28">
        <v>602</v>
      </c>
      <c r="J28">
        <f t="shared" si="0"/>
        <v>602</v>
      </c>
      <c r="L28">
        <f t="shared" si="1"/>
        <v>0.26874999999999999</v>
      </c>
    </row>
    <row r="29" spans="1:12" x14ac:dyDescent="0.25">
      <c r="A29">
        <v>1710</v>
      </c>
      <c r="B29" t="s">
        <v>23</v>
      </c>
      <c r="C29" t="s">
        <v>114</v>
      </c>
      <c r="D29" t="s">
        <v>4</v>
      </c>
      <c r="J29">
        <f t="shared" si="0"/>
        <v>0</v>
      </c>
      <c r="L29">
        <f t="shared" si="1"/>
        <v>0</v>
      </c>
    </row>
    <row r="30" spans="1:12" x14ac:dyDescent="0.25">
      <c r="A30">
        <v>1710</v>
      </c>
      <c r="B30" t="s">
        <v>15</v>
      </c>
      <c r="C30" t="s">
        <v>114</v>
      </c>
      <c r="D30" t="s">
        <v>4</v>
      </c>
      <c r="J30">
        <f t="shared" si="0"/>
        <v>0</v>
      </c>
      <c r="L30">
        <f t="shared" si="1"/>
        <v>0</v>
      </c>
    </row>
    <row r="31" spans="1:12" x14ac:dyDescent="0.25">
      <c r="A31">
        <v>1710</v>
      </c>
      <c r="B31" t="s">
        <v>18</v>
      </c>
      <c r="C31" t="s">
        <v>114</v>
      </c>
      <c r="D31" t="s">
        <v>4</v>
      </c>
      <c r="H31">
        <v>1741</v>
      </c>
      <c r="J31">
        <f t="shared" si="0"/>
        <v>1741</v>
      </c>
      <c r="L31">
        <f t="shared" si="1"/>
        <v>0.77723214285714282</v>
      </c>
    </row>
    <row r="32" spans="1:12" x14ac:dyDescent="0.25">
      <c r="A32">
        <v>1710</v>
      </c>
      <c r="B32" t="s">
        <v>13</v>
      </c>
      <c r="C32" t="s">
        <v>114</v>
      </c>
      <c r="D32" t="s">
        <v>4</v>
      </c>
      <c r="F32">
        <v>34</v>
      </c>
      <c r="H32">
        <v>15</v>
      </c>
      <c r="J32">
        <f t="shared" si="0"/>
        <v>3823</v>
      </c>
      <c r="L32">
        <f t="shared" si="1"/>
        <v>1.7066964285714286</v>
      </c>
    </row>
    <row r="33" spans="1:12" x14ac:dyDescent="0.25">
      <c r="A33">
        <v>1710</v>
      </c>
      <c r="B33" t="s">
        <v>115</v>
      </c>
      <c r="C33" t="s">
        <v>114</v>
      </c>
      <c r="D33" t="s">
        <v>4</v>
      </c>
      <c r="J33">
        <f t="shared" si="0"/>
        <v>0</v>
      </c>
      <c r="L33">
        <f t="shared" si="1"/>
        <v>0</v>
      </c>
    </row>
    <row r="34" spans="1:12" x14ac:dyDescent="0.25">
      <c r="A34">
        <v>1710</v>
      </c>
      <c r="B34" t="s">
        <v>110</v>
      </c>
      <c r="C34" t="s">
        <v>114</v>
      </c>
      <c r="D34" t="s">
        <v>4</v>
      </c>
      <c r="E34">
        <v>254</v>
      </c>
      <c r="F34">
        <v>4</v>
      </c>
      <c r="J34">
        <f t="shared" ref="J34:J66" si="2">(E34*2240)+(F34*112)+(G34*28)+H34</f>
        <v>569408</v>
      </c>
      <c r="L34">
        <f t="shared" ref="L34:L66" si="3">J34/2240</f>
        <v>254.2</v>
      </c>
    </row>
    <row r="35" spans="1:12" x14ac:dyDescent="0.25">
      <c r="A35">
        <v>1710</v>
      </c>
      <c r="B35" t="s">
        <v>119</v>
      </c>
      <c r="C35" t="s">
        <v>114</v>
      </c>
      <c r="D35" t="s">
        <v>4</v>
      </c>
      <c r="J35">
        <f t="shared" si="2"/>
        <v>0</v>
      </c>
      <c r="L35">
        <f t="shared" si="3"/>
        <v>0</v>
      </c>
    </row>
    <row r="36" spans="1:12" x14ac:dyDescent="0.25">
      <c r="A36">
        <v>1710</v>
      </c>
      <c r="B36" t="s">
        <v>112</v>
      </c>
      <c r="C36" t="s">
        <v>114</v>
      </c>
      <c r="D36" t="s">
        <v>4</v>
      </c>
      <c r="E36">
        <v>440</v>
      </c>
      <c r="F36">
        <v>12</v>
      </c>
      <c r="G36">
        <v>3</v>
      </c>
      <c r="H36">
        <v>21</v>
      </c>
      <c r="J36">
        <f t="shared" si="2"/>
        <v>987049</v>
      </c>
      <c r="L36">
        <f t="shared" si="3"/>
        <v>440.64687500000002</v>
      </c>
    </row>
    <row r="37" spans="1:12" x14ac:dyDescent="0.25">
      <c r="A37">
        <v>1710</v>
      </c>
      <c r="B37" t="s">
        <v>57</v>
      </c>
      <c r="C37" t="s">
        <v>114</v>
      </c>
      <c r="D37" t="s">
        <v>4</v>
      </c>
      <c r="H37">
        <f>12*200</f>
        <v>2400</v>
      </c>
      <c r="I37" t="s">
        <v>83</v>
      </c>
      <c r="J37">
        <f t="shared" si="2"/>
        <v>2400</v>
      </c>
      <c r="L37">
        <f t="shared" si="3"/>
        <v>1.0714285714285714</v>
      </c>
    </row>
    <row r="38" spans="1:12" x14ac:dyDescent="0.25">
      <c r="A38">
        <v>1710</v>
      </c>
      <c r="B38" t="s">
        <v>12</v>
      </c>
      <c r="C38" t="s">
        <v>114</v>
      </c>
      <c r="D38" t="s">
        <v>8</v>
      </c>
      <c r="F38">
        <v>56653</v>
      </c>
      <c r="G38">
        <v>2</v>
      </c>
      <c r="H38">
        <v>17</v>
      </c>
      <c r="J38">
        <f t="shared" si="2"/>
        <v>6345209</v>
      </c>
      <c r="L38">
        <f t="shared" si="3"/>
        <v>2832.6825892857141</v>
      </c>
    </row>
    <row r="39" spans="1:12" x14ac:dyDescent="0.25">
      <c r="A39">
        <v>1710</v>
      </c>
      <c r="B39" t="s">
        <v>9</v>
      </c>
      <c r="C39" t="s">
        <v>114</v>
      </c>
      <c r="D39" t="s">
        <v>8</v>
      </c>
      <c r="J39">
        <f t="shared" si="2"/>
        <v>0</v>
      </c>
      <c r="L39">
        <f t="shared" si="3"/>
        <v>0</v>
      </c>
    </row>
    <row r="40" spans="1:12" x14ac:dyDescent="0.25">
      <c r="A40">
        <v>1710</v>
      </c>
      <c r="B40" t="s">
        <v>33</v>
      </c>
      <c r="C40" t="s">
        <v>114</v>
      </c>
      <c r="D40" t="s">
        <v>8</v>
      </c>
      <c r="F40">
        <v>2412</v>
      </c>
      <c r="H40">
        <v>26</v>
      </c>
      <c r="J40">
        <f t="shared" si="2"/>
        <v>270170</v>
      </c>
      <c r="L40">
        <f t="shared" si="3"/>
        <v>120.61160714285714</v>
      </c>
    </row>
    <row r="41" spans="1:12" x14ac:dyDescent="0.25">
      <c r="A41">
        <v>1710</v>
      </c>
      <c r="B41" t="s">
        <v>59</v>
      </c>
      <c r="C41" t="s">
        <v>114</v>
      </c>
      <c r="D41" t="s">
        <v>8</v>
      </c>
      <c r="J41">
        <f t="shared" si="2"/>
        <v>0</v>
      </c>
      <c r="L41">
        <f t="shared" si="3"/>
        <v>0</v>
      </c>
    </row>
    <row r="42" spans="1:12" x14ac:dyDescent="0.25">
      <c r="A42">
        <v>1710</v>
      </c>
      <c r="B42" t="s">
        <v>60</v>
      </c>
      <c r="C42" t="s">
        <v>114</v>
      </c>
      <c r="D42" t="s">
        <v>8</v>
      </c>
      <c r="H42">
        <v>7092</v>
      </c>
      <c r="J42">
        <f t="shared" si="2"/>
        <v>7092</v>
      </c>
      <c r="L42">
        <f t="shared" si="3"/>
        <v>3.1660714285714286</v>
      </c>
    </row>
    <row r="43" spans="1:12" x14ac:dyDescent="0.25">
      <c r="A43">
        <v>1710</v>
      </c>
      <c r="B43" t="s">
        <v>6</v>
      </c>
      <c r="C43" t="s">
        <v>114</v>
      </c>
      <c r="D43" t="s">
        <v>8</v>
      </c>
      <c r="H43">
        <v>102579</v>
      </c>
      <c r="J43">
        <f t="shared" si="2"/>
        <v>102579</v>
      </c>
      <c r="L43">
        <f t="shared" si="3"/>
        <v>45.794196428571432</v>
      </c>
    </row>
    <row r="44" spans="1:12" x14ac:dyDescent="0.25">
      <c r="A44">
        <v>1710</v>
      </c>
      <c r="B44" t="s">
        <v>10</v>
      </c>
      <c r="C44" t="s">
        <v>114</v>
      </c>
      <c r="D44" t="s">
        <v>8</v>
      </c>
      <c r="F44">
        <v>500</v>
      </c>
      <c r="G44">
        <v>2</v>
      </c>
      <c r="H44">
        <v>18</v>
      </c>
      <c r="J44">
        <f t="shared" si="2"/>
        <v>56074</v>
      </c>
      <c r="L44">
        <f t="shared" si="3"/>
        <v>25.033035714285713</v>
      </c>
    </row>
    <row r="45" spans="1:12" x14ac:dyDescent="0.25">
      <c r="A45">
        <v>1710</v>
      </c>
      <c r="B45" t="s">
        <v>20</v>
      </c>
      <c r="C45" t="s">
        <v>114</v>
      </c>
      <c r="D45" t="s">
        <v>8</v>
      </c>
      <c r="F45">
        <v>180</v>
      </c>
      <c r="G45">
        <v>1</v>
      </c>
      <c r="H45">
        <v>21</v>
      </c>
      <c r="J45">
        <f t="shared" si="2"/>
        <v>20209</v>
      </c>
      <c r="L45">
        <f t="shared" si="3"/>
        <v>9.0218749999999996</v>
      </c>
    </row>
    <row r="46" spans="1:12" x14ac:dyDescent="0.25">
      <c r="A46">
        <v>1710</v>
      </c>
      <c r="B46" t="s">
        <v>5</v>
      </c>
      <c r="C46" t="s">
        <v>114</v>
      </c>
      <c r="D46" t="s">
        <v>8</v>
      </c>
      <c r="H46">
        <v>78778</v>
      </c>
      <c r="J46">
        <f t="shared" si="2"/>
        <v>78778</v>
      </c>
      <c r="L46">
        <f t="shared" si="3"/>
        <v>35.168750000000003</v>
      </c>
    </row>
    <row r="47" spans="1:12" x14ac:dyDescent="0.25">
      <c r="A47">
        <v>1710</v>
      </c>
      <c r="B47" t="s">
        <v>28</v>
      </c>
      <c r="C47" t="s">
        <v>114</v>
      </c>
      <c r="D47" t="s">
        <v>8</v>
      </c>
      <c r="F47">
        <v>93</v>
      </c>
      <c r="G47">
        <v>1</v>
      </c>
      <c r="H47">
        <v>23</v>
      </c>
      <c r="J47">
        <f t="shared" si="2"/>
        <v>10467</v>
      </c>
      <c r="L47">
        <f t="shared" si="3"/>
        <v>4.6727678571428575</v>
      </c>
    </row>
    <row r="48" spans="1:12" x14ac:dyDescent="0.25">
      <c r="A48">
        <v>1710</v>
      </c>
      <c r="B48" t="s">
        <v>16</v>
      </c>
      <c r="C48" t="s">
        <v>114</v>
      </c>
      <c r="D48" t="s">
        <v>8</v>
      </c>
      <c r="H48">
        <v>39250</v>
      </c>
      <c r="I48" t="s">
        <v>95</v>
      </c>
      <c r="J48">
        <f t="shared" si="2"/>
        <v>39250</v>
      </c>
      <c r="L48">
        <f t="shared" si="3"/>
        <v>17.522321428571427</v>
      </c>
    </row>
    <row r="49" spans="1:12" x14ac:dyDescent="0.25">
      <c r="A49">
        <v>1710</v>
      </c>
      <c r="B49" t="s">
        <v>24</v>
      </c>
      <c r="C49" t="s">
        <v>114</v>
      </c>
      <c r="D49" t="s">
        <v>8</v>
      </c>
      <c r="H49">
        <v>2650</v>
      </c>
      <c r="I49" t="s">
        <v>94</v>
      </c>
      <c r="J49">
        <f t="shared" si="2"/>
        <v>2650</v>
      </c>
      <c r="L49">
        <f t="shared" si="3"/>
        <v>1.1830357142857142</v>
      </c>
    </row>
    <row r="50" spans="1:12" x14ac:dyDescent="0.25">
      <c r="A50">
        <v>1710</v>
      </c>
      <c r="B50" t="s">
        <v>11</v>
      </c>
      <c r="C50" t="s">
        <v>114</v>
      </c>
      <c r="D50" t="s">
        <v>8</v>
      </c>
      <c r="J50">
        <f t="shared" si="2"/>
        <v>0</v>
      </c>
      <c r="L50">
        <f t="shared" si="3"/>
        <v>0</v>
      </c>
    </row>
    <row r="51" spans="1:12" x14ac:dyDescent="0.25">
      <c r="A51">
        <v>1710</v>
      </c>
      <c r="B51" t="s">
        <v>27</v>
      </c>
      <c r="C51" t="s">
        <v>114</v>
      </c>
      <c r="D51" t="s">
        <v>8</v>
      </c>
      <c r="H51">
        <v>80768</v>
      </c>
      <c r="J51">
        <f t="shared" si="2"/>
        <v>80768</v>
      </c>
      <c r="L51">
        <f t="shared" si="3"/>
        <v>36.057142857142857</v>
      </c>
    </row>
    <row r="52" spans="1:12" x14ac:dyDescent="0.25">
      <c r="A52">
        <v>1710</v>
      </c>
      <c r="B52" t="s">
        <v>22</v>
      </c>
      <c r="C52" t="s">
        <v>114</v>
      </c>
      <c r="D52" t="s">
        <v>8</v>
      </c>
      <c r="J52">
        <f t="shared" si="2"/>
        <v>0</v>
      </c>
      <c r="L52">
        <f t="shared" si="3"/>
        <v>0</v>
      </c>
    </row>
    <row r="53" spans="1:12" x14ac:dyDescent="0.25">
      <c r="A53">
        <v>1710</v>
      </c>
      <c r="B53" t="s">
        <v>17</v>
      </c>
      <c r="C53" t="s">
        <v>114</v>
      </c>
      <c r="D53" t="s">
        <v>8</v>
      </c>
      <c r="H53">
        <v>37149.5</v>
      </c>
      <c r="I53" t="s">
        <v>96</v>
      </c>
      <c r="J53">
        <f t="shared" si="2"/>
        <v>37149.5</v>
      </c>
      <c r="L53">
        <f t="shared" si="3"/>
        <v>16.584598214285716</v>
      </c>
    </row>
    <row r="54" spans="1:12" x14ac:dyDescent="0.25">
      <c r="A54">
        <v>1710</v>
      </c>
      <c r="B54" t="s">
        <v>45</v>
      </c>
      <c r="C54" t="s">
        <v>114</v>
      </c>
      <c r="D54" t="s">
        <v>8</v>
      </c>
      <c r="H54">
        <v>20233</v>
      </c>
      <c r="J54">
        <f t="shared" si="2"/>
        <v>20233</v>
      </c>
      <c r="L54">
        <f t="shared" si="3"/>
        <v>9.0325892857142858</v>
      </c>
    </row>
    <row r="55" spans="1:12" x14ac:dyDescent="0.25">
      <c r="A55">
        <v>1710</v>
      </c>
      <c r="B55" t="s">
        <v>19</v>
      </c>
      <c r="C55" t="s">
        <v>114</v>
      </c>
      <c r="D55" t="s">
        <v>8</v>
      </c>
      <c r="F55">
        <v>1</v>
      </c>
      <c r="G55">
        <v>3</v>
      </c>
      <c r="H55">
        <v>25</v>
      </c>
      <c r="J55">
        <f t="shared" si="2"/>
        <v>221</v>
      </c>
      <c r="L55">
        <f t="shared" si="3"/>
        <v>9.8660714285714282E-2</v>
      </c>
    </row>
    <row r="56" spans="1:12" x14ac:dyDescent="0.25">
      <c r="A56">
        <v>1710</v>
      </c>
      <c r="B56" t="s">
        <v>31</v>
      </c>
      <c r="C56" t="s">
        <v>114</v>
      </c>
      <c r="D56" t="s">
        <v>8</v>
      </c>
      <c r="J56">
        <f t="shared" si="2"/>
        <v>0</v>
      </c>
      <c r="L56">
        <f t="shared" si="3"/>
        <v>0</v>
      </c>
    </row>
    <row r="57" spans="1:12" x14ac:dyDescent="0.25">
      <c r="A57">
        <v>1710</v>
      </c>
      <c r="B57" t="s">
        <v>29</v>
      </c>
      <c r="C57" t="s">
        <v>114</v>
      </c>
      <c r="D57" t="s">
        <v>8</v>
      </c>
      <c r="H57">
        <v>286</v>
      </c>
      <c r="J57">
        <f t="shared" si="2"/>
        <v>286</v>
      </c>
      <c r="L57">
        <f t="shared" si="3"/>
        <v>0.12767857142857142</v>
      </c>
    </row>
    <row r="58" spans="1:12" x14ac:dyDescent="0.25">
      <c r="A58">
        <v>1710</v>
      </c>
      <c r="B58" t="s">
        <v>93</v>
      </c>
      <c r="C58" t="s">
        <v>114</v>
      </c>
      <c r="D58" t="s">
        <v>8</v>
      </c>
      <c r="F58">
        <v>36</v>
      </c>
      <c r="J58">
        <f t="shared" si="2"/>
        <v>4032</v>
      </c>
      <c r="L58">
        <f t="shared" si="3"/>
        <v>1.8</v>
      </c>
    </row>
    <row r="59" spans="1:12" x14ac:dyDescent="0.25">
      <c r="A59">
        <v>1710</v>
      </c>
      <c r="B59" t="s">
        <v>37</v>
      </c>
      <c r="C59" t="s">
        <v>114</v>
      </c>
      <c r="D59" t="s">
        <v>8</v>
      </c>
      <c r="J59">
        <f t="shared" si="2"/>
        <v>0</v>
      </c>
      <c r="L59">
        <f t="shared" si="3"/>
        <v>0</v>
      </c>
    </row>
    <row r="60" spans="1:12" x14ac:dyDescent="0.25">
      <c r="A60">
        <v>1710</v>
      </c>
      <c r="B60" t="s">
        <v>15</v>
      </c>
      <c r="C60" t="s">
        <v>114</v>
      </c>
      <c r="D60" t="s">
        <v>8</v>
      </c>
      <c r="H60">
        <v>3831</v>
      </c>
      <c r="J60">
        <f t="shared" si="2"/>
        <v>3831</v>
      </c>
      <c r="L60">
        <f t="shared" si="3"/>
        <v>1.7102678571428571</v>
      </c>
    </row>
    <row r="61" spans="1:12" x14ac:dyDescent="0.25">
      <c r="A61">
        <v>1710</v>
      </c>
      <c r="B61" t="s">
        <v>18</v>
      </c>
      <c r="C61" t="s">
        <v>114</v>
      </c>
      <c r="D61" t="s">
        <v>8</v>
      </c>
      <c r="H61">
        <v>3167</v>
      </c>
      <c r="J61">
        <f t="shared" si="2"/>
        <v>3167</v>
      </c>
      <c r="L61">
        <f t="shared" si="3"/>
        <v>1.4138392857142856</v>
      </c>
    </row>
    <row r="62" spans="1:12" x14ac:dyDescent="0.25">
      <c r="A62">
        <v>1710</v>
      </c>
      <c r="B62" t="s">
        <v>13</v>
      </c>
      <c r="C62" t="s">
        <v>114</v>
      </c>
      <c r="D62" t="s">
        <v>8</v>
      </c>
      <c r="F62">
        <v>5</v>
      </c>
      <c r="G62">
        <v>1</v>
      </c>
      <c r="H62">
        <v>6</v>
      </c>
      <c r="J62">
        <f t="shared" si="2"/>
        <v>594</v>
      </c>
      <c r="L62">
        <f t="shared" si="3"/>
        <v>0.26517857142857143</v>
      </c>
    </row>
    <row r="63" spans="1:12" x14ac:dyDescent="0.25">
      <c r="A63">
        <v>1710</v>
      </c>
      <c r="B63" t="s">
        <v>110</v>
      </c>
      <c r="C63" t="s">
        <v>114</v>
      </c>
      <c r="D63" t="s">
        <v>8</v>
      </c>
      <c r="E63">
        <v>153</v>
      </c>
      <c r="H63">
        <v>23</v>
      </c>
      <c r="J63">
        <f t="shared" si="2"/>
        <v>342743</v>
      </c>
      <c r="L63">
        <f t="shared" si="3"/>
        <v>153.01026785714285</v>
      </c>
    </row>
    <row r="64" spans="1:12" x14ac:dyDescent="0.25">
      <c r="A64">
        <v>1710</v>
      </c>
      <c r="B64" t="s">
        <v>119</v>
      </c>
      <c r="C64" t="s">
        <v>114</v>
      </c>
      <c r="D64" t="s">
        <v>8</v>
      </c>
      <c r="E64">
        <v>33</v>
      </c>
      <c r="F64">
        <v>8</v>
      </c>
      <c r="G64">
        <v>3</v>
      </c>
      <c r="H64">
        <v>27</v>
      </c>
      <c r="J64">
        <f t="shared" si="2"/>
        <v>74927</v>
      </c>
      <c r="L64">
        <f t="shared" si="3"/>
        <v>33.449553571428574</v>
      </c>
    </row>
    <row r="65" spans="1:12" x14ac:dyDescent="0.25">
      <c r="A65">
        <v>1710</v>
      </c>
      <c r="B65" t="s">
        <v>120</v>
      </c>
      <c r="C65" t="s">
        <v>114</v>
      </c>
      <c r="D65" t="s">
        <v>8</v>
      </c>
      <c r="F65">
        <v>6</v>
      </c>
      <c r="G65">
        <v>1</v>
      </c>
      <c r="H65">
        <v>21</v>
      </c>
      <c r="J65">
        <f t="shared" si="2"/>
        <v>721</v>
      </c>
      <c r="L65">
        <f t="shared" si="3"/>
        <v>0.32187500000000002</v>
      </c>
    </row>
    <row r="66" spans="1:12" x14ac:dyDescent="0.25">
      <c r="A66">
        <v>1710</v>
      </c>
      <c r="B66" t="s">
        <v>112</v>
      </c>
      <c r="C66" t="s">
        <v>114</v>
      </c>
      <c r="D66" t="s">
        <v>8</v>
      </c>
      <c r="E66">
        <v>164</v>
      </c>
      <c r="F66">
        <v>1</v>
      </c>
      <c r="H66">
        <v>19</v>
      </c>
      <c r="J66">
        <f t="shared" si="2"/>
        <v>367491</v>
      </c>
      <c r="L66">
        <f t="shared" si="3"/>
        <v>164.05848214285714</v>
      </c>
    </row>
  </sheetData>
  <autoFilter ref="A1:L66" xr:uid="{8C2F7725-5A61-4A1B-A740-CC887BCB0E68}">
    <sortState xmlns:xlrd2="http://schemas.microsoft.com/office/spreadsheetml/2017/richdata2" ref="A2:L66">
      <sortCondition ref="D1:D6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6339-1E58-4188-80A6-B4580F70757D}">
  <sheetPr codeName="Sheet9"/>
  <dimension ref="A1:L32"/>
  <sheetViews>
    <sheetView workbookViewId="0">
      <selection activeCell="H6" sqref="H6"/>
    </sheetView>
  </sheetViews>
  <sheetFormatPr defaultRowHeight="15" x14ac:dyDescent="0.25"/>
  <cols>
    <col min="2" max="2" width="18.140625" customWidth="1"/>
    <col min="3" max="3" width="17.85546875" customWidth="1"/>
    <col min="4" max="4" width="15" customWidth="1"/>
  </cols>
  <sheetData>
    <row r="1" spans="1:12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48</v>
      </c>
      <c r="F1" s="1" t="s">
        <v>49</v>
      </c>
      <c r="G1" s="1" t="s">
        <v>50</v>
      </c>
      <c r="H1" s="1" t="s">
        <v>51</v>
      </c>
      <c r="I1" s="1"/>
      <c r="J1" s="1" t="s">
        <v>2</v>
      </c>
      <c r="K1" s="1"/>
      <c r="L1" s="1" t="s">
        <v>106</v>
      </c>
    </row>
    <row r="2" spans="1:12" x14ac:dyDescent="0.25">
      <c r="A2">
        <v>1710</v>
      </c>
      <c r="B2" t="s">
        <v>12</v>
      </c>
      <c r="C2" t="s">
        <v>116</v>
      </c>
      <c r="D2" t="s">
        <v>4</v>
      </c>
      <c r="F2">
        <v>15768</v>
      </c>
      <c r="H2">
        <v>27</v>
      </c>
      <c r="J2">
        <f t="shared" ref="J2:J32" si="0">(E2*2240)+(F2*112)+(G2*28)+H2</f>
        <v>1766043</v>
      </c>
      <c r="L2">
        <f t="shared" ref="L2:L32" si="1">J2/2240</f>
        <v>788.4120535714286</v>
      </c>
    </row>
    <row r="3" spans="1:12" x14ac:dyDescent="0.25">
      <c r="A3">
        <v>1710</v>
      </c>
      <c r="B3" t="s">
        <v>9</v>
      </c>
      <c r="C3" t="s">
        <v>116</v>
      </c>
      <c r="D3" t="s">
        <v>4</v>
      </c>
      <c r="H3">
        <v>7</v>
      </c>
      <c r="J3">
        <f t="shared" si="0"/>
        <v>7</v>
      </c>
      <c r="L3">
        <f t="shared" si="1"/>
        <v>3.1250000000000002E-3</v>
      </c>
    </row>
    <row r="4" spans="1:12" x14ac:dyDescent="0.25">
      <c r="A4">
        <v>1710</v>
      </c>
      <c r="B4" t="s">
        <v>33</v>
      </c>
      <c r="C4" t="s">
        <v>116</v>
      </c>
      <c r="D4" t="s">
        <v>4</v>
      </c>
      <c r="F4">
        <v>22</v>
      </c>
      <c r="J4">
        <f t="shared" si="0"/>
        <v>2464</v>
      </c>
      <c r="L4">
        <f t="shared" si="1"/>
        <v>1.1000000000000001</v>
      </c>
    </row>
    <row r="5" spans="1:12" x14ac:dyDescent="0.25">
      <c r="A5">
        <v>1710</v>
      </c>
      <c r="B5" t="s">
        <v>60</v>
      </c>
      <c r="C5" t="s">
        <v>116</v>
      </c>
      <c r="D5" t="s">
        <v>4</v>
      </c>
      <c r="E5" s="1"/>
      <c r="F5" s="1"/>
      <c r="G5" s="1"/>
      <c r="I5" s="1"/>
      <c r="J5">
        <f t="shared" si="0"/>
        <v>0</v>
      </c>
      <c r="K5" s="1"/>
      <c r="L5">
        <f t="shared" si="1"/>
        <v>0</v>
      </c>
    </row>
    <row r="6" spans="1:12" x14ac:dyDescent="0.25">
      <c r="A6">
        <v>1710</v>
      </c>
      <c r="B6" t="s">
        <v>6</v>
      </c>
      <c r="C6" t="s">
        <v>116</v>
      </c>
      <c r="D6" t="s">
        <v>4</v>
      </c>
      <c r="H6">
        <f>5*200</f>
        <v>1000</v>
      </c>
      <c r="I6" t="s">
        <v>85</v>
      </c>
      <c r="J6">
        <f t="shared" si="0"/>
        <v>1000</v>
      </c>
      <c r="L6">
        <f t="shared" si="1"/>
        <v>0.44642857142857145</v>
      </c>
    </row>
    <row r="7" spans="1:12" x14ac:dyDescent="0.25">
      <c r="A7">
        <v>1710</v>
      </c>
      <c r="B7" t="s">
        <v>10</v>
      </c>
      <c r="C7" t="s">
        <v>116</v>
      </c>
      <c r="D7" t="s">
        <v>4</v>
      </c>
      <c r="J7">
        <f t="shared" si="0"/>
        <v>0</v>
      </c>
      <c r="L7">
        <f t="shared" si="1"/>
        <v>0</v>
      </c>
    </row>
    <row r="8" spans="1:12" x14ac:dyDescent="0.25">
      <c r="A8">
        <v>1710</v>
      </c>
      <c r="B8" t="s">
        <v>7</v>
      </c>
      <c r="C8" t="s">
        <v>116</v>
      </c>
      <c r="D8" t="s">
        <v>4</v>
      </c>
      <c r="J8">
        <f t="shared" si="0"/>
        <v>0</v>
      </c>
      <c r="L8">
        <f t="shared" si="1"/>
        <v>0</v>
      </c>
    </row>
    <row r="9" spans="1:12" x14ac:dyDescent="0.25">
      <c r="A9">
        <v>1710</v>
      </c>
      <c r="B9" t="s">
        <v>5</v>
      </c>
      <c r="C9" t="s">
        <v>116</v>
      </c>
      <c r="D9" t="s">
        <v>4</v>
      </c>
      <c r="H9">
        <v>3089</v>
      </c>
      <c r="J9">
        <f t="shared" si="0"/>
        <v>3089</v>
      </c>
      <c r="L9">
        <f t="shared" si="1"/>
        <v>1.3790178571428571</v>
      </c>
    </row>
    <row r="10" spans="1:12" x14ac:dyDescent="0.25">
      <c r="A10">
        <v>1710</v>
      </c>
      <c r="B10" t="s">
        <v>28</v>
      </c>
      <c r="C10" t="s">
        <v>116</v>
      </c>
      <c r="D10" t="s">
        <v>4</v>
      </c>
      <c r="F10">
        <v>80</v>
      </c>
      <c r="J10">
        <f t="shared" si="0"/>
        <v>8960</v>
      </c>
      <c r="L10">
        <f t="shared" si="1"/>
        <v>4</v>
      </c>
    </row>
    <row r="11" spans="1:12" x14ac:dyDescent="0.25">
      <c r="A11">
        <v>1710</v>
      </c>
      <c r="B11" t="s">
        <v>16</v>
      </c>
      <c r="C11" t="s">
        <v>116</v>
      </c>
      <c r="D11" t="s">
        <v>4</v>
      </c>
      <c r="H11">
        <v>200</v>
      </c>
      <c r="I11" t="s">
        <v>75</v>
      </c>
      <c r="J11">
        <f t="shared" si="0"/>
        <v>200</v>
      </c>
      <c r="L11">
        <f t="shared" si="1"/>
        <v>8.9285714285714288E-2</v>
      </c>
    </row>
    <row r="12" spans="1:12" x14ac:dyDescent="0.25">
      <c r="A12">
        <v>1710</v>
      </c>
      <c r="B12" t="s">
        <v>24</v>
      </c>
      <c r="C12" t="s">
        <v>116</v>
      </c>
      <c r="D12" t="s">
        <v>4</v>
      </c>
      <c r="H12">
        <v>2660</v>
      </c>
      <c r="I12" t="s">
        <v>84</v>
      </c>
      <c r="J12">
        <f t="shared" si="0"/>
        <v>2660</v>
      </c>
      <c r="L12">
        <f t="shared" si="1"/>
        <v>1.1875</v>
      </c>
    </row>
    <row r="13" spans="1:12" x14ac:dyDescent="0.25">
      <c r="A13">
        <v>1710</v>
      </c>
      <c r="B13" t="s">
        <v>11</v>
      </c>
      <c r="C13" t="s">
        <v>116</v>
      </c>
      <c r="D13" t="s">
        <v>4</v>
      </c>
      <c r="J13">
        <f t="shared" si="0"/>
        <v>0</v>
      </c>
      <c r="L13">
        <f t="shared" si="1"/>
        <v>0</v>
      </c>
    </row>
    <row r="14" spans="1:12" x14ac:dyDescent="0.25">
      <c r="A14">
        <v>1710</v>
      </c>
      <c r="B14" t="s">
        <v>27</v>
      </c>
      <c r="C14" t="s">
        <v>116</v>
      </c>
      <c r="D14" t="s">
        <v>4</v>
      </c>
      <c r="H14">
        <v>1012</v>
      </c>
      <c r="J14">
        <f t="shared" si="0"/>
        <v>1012</v>
      </c>
      <c r="L14">
        <f t="shared" si="1"/>
        <v>0.45178571428571429</v>
      </c>
    </row>
    <row r="15" spans="1:12" x14ac:dyDescent="0.25">
      <c r="A15">
        <v>1710</v>
      </c>
      <c r="B15" t="s">
        <v>22</v>
      </c>
      <c r="C15" t="s">
        <v>116</v>
      </c>
      <c r="D15" t="s">
        <v>4</v>
      </c>
      <c r="F15">
        <v>3</v>
      </c>
      <c r="G15">
        <v>2</v>
      </c>
      <c r="J15">
        <f t="shared" si="0"/>
        <v>392</v>
      </c>
      <c r="L15">
        <f t="shared" si="1"/>
        <v>0.17499999999999999</v>
      </c>
    </row>
    <row r="16" spans="1:12" x14ac:dyDescent="0.25">
      <c r="A16">
        <v>1710</v>
      </c>
      <c r="B16" t="s">
        <v>17</v>
      </c>
      <c r="C16" t="s">
        <v>116</v>
      </c>
      <c r="D16" t="s">
        <v>4</v>
      </c>
      <c r="H16">
        <v>1700</v>
      </c>
      <c r="I16" t="s">
        <v>86</v>
      </c>
      <c r="J16">
        <f t="shared" si="0"/>
        <v>1700</v>
      </c>
      <c r="L16">
        <f t="shared" si="1"/>
        <v>0.7589285714285714</v>
      </c>
    </row>
    <row r="17" spans="1:12" x14ac:dyDescent="0.25">
      <c r="A17">
        <v>1710</v>
      </c>
      <c r="B17" t="s">
        <v>19</v>
      </c>
      <c r="C17" t="s">
        <v>116</v>
      </c>
      <c r="D17" t="s">
        <v>4</v>
      </c>
      <c r="F17">
        <v>5</v>
      </c>
      <c r="G17">
        <v>3</v>
      </c>
      <c r="H17">
        <v>7</v>
      </c>
      <c r="J17">
        <f t="shared" si="0"/>
        <v>651</v>
      </c>
      <c r="L17">
        <f t="shared" si="1"/>
        <v>0.29062500000000002</v>
      </c>
    </row>
    <row r="18" spans="1:12" x14ac:dyDescent="0.25">
      <c r="A18">
        <v>1710</v>
      </c>
      <c r="B18" t="s">
        <v>29</v>
      </c>
      <c r="C18" t="s">
        <v>116</v>
      </c>
      <c r="D18" t="s">
        <v>4</v>
      </c>
      <c r="H18">
        <v>48</v>
      </c>
      <c r="J18">
        <f t="shared" si="0"/>
        <v>48</v>
      </c>
      <c r="L18">
        <f t="shared" si="1"/>
        <v>2.1428571428571429E-2</v>
      </c>
    </row>
    <row r="19" spans="1:12" x14ac:dyDescent="0.25">
      <c r="A19">
        <v>1710</v>
      </c>
      <c r="B19" t="s">
        <v>18</v>
      </c>
      <c r="C19" t="s">
        <v>116</v>
      </c>
      <c r="D19" t="s">
        <v>4</v>
      </c>
      <c r="J19">
        <f t="shared" si="0"/>
        <v>0</v>
      </c>
      <c r="L19">
        <f t="shared" si="1"/>
        <v>0</v>
      </c>
    </row>
    <row r="20" spans="1:12" x14ac:dyDescent="0.25">
      <c r="A20">
        <v>1710</v>
      </c>
      <c r="B20" t="s">
        <v>13</v>
      </c>
      <c r="C20" t="s">
        <v>116</v>
      </c>
      <c r="D20" t="s">
        <v>4</v>
      </c>
      <c r="J20">
        <f t="shared" si="0"/>
        <v>0</v>
      </c>
      <c r="L20">
        <f t="shared" si="1"/>
        <v>0</v>
      </c>
    </row>
    <row r="21" spans="1:12" x14ac:dyDescent="0.25">
      <c r="A21">
        <v>1710</v>
      </c>
      <c r="B21" t="s">
        <v>12</v>
      </c>
      <c r="C21" t="s">
        <v>116</v>
      </c>
      <c r="D21" t="s">
        <v>8</v>
      </c>
      <c r="F21">
        <v>1303</v>
      </c>
      <c r="H21">
        <v>4</v>
      </c>
      <c r="J21">
        <f t="shared" si="0"/>
        <v>145940</v>
      </c>
      <c r="L21">
        <f t="shared" si="1"/>
        <v>65.151785714285708</v>
      </c>
    </row>
    <row r="22" spans="1:12" x14ac:dyDescent="0.25">
      <c r="A22">
        <v>1710</v>
      </c>
      <c r="B22" t="s">
        <v>62</v>
      </c>
      <c r="C22" t="s">
        <v>116</v>
      </c>
      <c r="D22" t="s">
        <v>8</v>
      </c>
      <c r="J22">
        <f t="shared" si="0"/>
        <v>0</v>
      </c>
      <c r="L22">
        <f t="shared" si="1"/>
        <v>0</v>
      </c>
    </row>
    <row r="23" spans="1:12" x14ac:dyDescent="0.25">
      <c r="A23">
        <v>1710</v>
      </c>
      <c r="B23" t="s">
        <v>33</v>
      </c>
      <c r="C23" t="s">
        <v>116</v>
      </c>
      <c r="D23" t="s">
        <v>8</v>
      </c>
      <c r="H23">
        <v>102</v>
      </c>
      <c r="J23">
        <f t="shared" si="0"/>
        <v>102</v>
      </c>
      <c r="L23">
        <f t="shared" si="1"/>
        <v>4.5535714285714284E-2</v>
      </c>
    </row>
    <row r="24" spans="1:12" x14ac:dyDescent="0.25">
      <c r="A24">
        <v>1710</v>
      </c>
      <c r="B24" t="s">
        <v>6</v>
      </c>
      <c r="C24" t="s">
        <v>116</v>
      </c>
      <c r="D24" t="s">
        <v>8</v>
      </c>
      <c r="H24">
        <v>40</v>
      </c>
      <c r="J24">
        <f t="shared" si="0"/>
        <v>40</v>
      </c>
      <c r="L24">
        <f t="shared" si="1"/>
        <v>1.7857142857142856E-2</v>
      </c>
    </row>
    <row r="25" spans="1:12" x14ac:dyDescent="0.25">
      <c r="A25">
        <v>1710</v>
      </c>
      <c r="B25" t="s">
        <v>10</v>
      </c>
      <c r="C25" t="s">
        <v>116</v>
      </c>
      <c r="D25" t="s">
        <v>8</v>
      </c>
      <c r="J25">
        <f t="shared" si="0"/>
        <v>0</v>
      </c>
      <c r="L25">
        <f t="shared" si="1"/>
        <v>0</v>
      </c>
    </row>
    <row r="26" spans="1:12" x14ac:dyDescent="0.25">
      <c r="A26">
        <v>1710</v>
      </c>
      <c r="B26" t="s">
        <v>7</v>
      </c>
      <c r="C26" t="s">
        <v>116</v>
      </c>
      <c r="D26" t="s">
        <v>8</v>
      </c>
      <c r="J26">
        <f t="shared" si="0"/>
        <v>0</v>
      </c>
      <c r="L26">
        <f t="shared" si="1"/>
        <v>0</v>
      </c>
    </row>
    <row r="27" spans="1:12" x14ac:dyDescent="0.25">
      <c r="A27">
        <v>1710</v>
      </c>
      <c r="B27" t="s">
        <v>5</v>
      </c>
      <c r="C27" t="s">
        <v>116</v>
      </c>
      <c r="D27" t="s">
        <v>8</v>
      </c>
      <c r="H27">
        <v>9205</v>
      </c>
      <c r="J27">
        <f t="shared" si="0"/>
        <v>9205</v>
      </c>
      <c r="L27">
        <f t="shared" si="1"/>
        <v>4.109375</v>
      </c>
    </row>
    <row r="28" spans="1:12" x14ac:dyDescent="0.25">
      <c r="A28">
        <v>1710</v>
      </c>
      <c r="B28" t="s">
        <v>16</v>
      </c>
      <c r="C28" t="s">
        <v>116</v>
      </c>
      <c r="D28" t="s">
        <v>8</v>
      </c>
      <c r="H28">
        <v>1310</v>
      </c>
      <c r="I28" t="s">
        <v>97</v>
      </c>
      <c r="J28">
        <f t="shared" si="0"/>
        <v>1310</v>
      </c>
      <c r="L28">
        <f t="shared" si="1"/>
        <v>0.5848214285714286</v>
      </c>
    </row>
    <row r="29" spans="1:12" x14ac:dyDescent="0.25">
      <c r="A29">
        <v>1710</v>
      </c>
      <c r="B29" t="s">
        <v>27</v>
      </c>
      <c r="C29" t="s">
        <v>116</v>
      </c>
      <c r="D29" t="s">
        <v>8</v>
      </c>
      <c r="H29">
        <v>666</v>
      </c>
      <c r="J29">
        <f t="shared" si="0"/>
        <v>666</v>
      </c>
      <c r="L29">
        <f t="shared" si="1"/>
        <v>0.29732142857142857</v>
      </c>
    </row>
    <row r="30" spans="1:12" x14ac:dyDescent="0.25">
      <c r="A30">
        <v>1710</v>
      </c>
      <c r="B30" t="s">
        <v>17</v>
      </c>
      <c r="C30" t="s">
        <v>116</v>
      </c>
      <c r="D30" t="s">
        <v>8</v>
      </c>
      <c r="H30">
        <v>2140.5</v>
      </c>
      <c r="I30" t="s">
        <v>98</v>
      </c>
      <c r="J30">
        <f t="shared" si="0"/>
        <v>2140.5</v>
      </c>
      <c r="L30">
        <f t="shared" si="1"/>
        <v>0.95558035714285716</v>
      </c>
    </row>
    <row r="31" spans="1:12" x14ac:dyDescent="0.25">
      <c r="A31">
        <v>1710</v>
      </c>
      <c r="B31" t="s">
        <v>99</v>
      </c>
      <c r="C31" t="s">
        <v>116</v>
      </c>
      <c r="D31" t="s">
        <v>8</v>
      </c>
      <c r="H31">
        <v>100</v>
      </c>
      <c r="J31">
        <f t="shared" si="0"/>
        <v>100</v>
      </c>
      <c r="L31">
        <f t="shared" si="1"/>
        <v>4.4642857142857144E-2</v>
      </c>
    </row>
    <row r="32" spans="1:12" x14ac:dyDescent="0.25">
      <c r="A32">
        <v>1710</v>
      </c>
      <c r="B32" t="s">
        <v>110</v>
      </c>
      <c r="C32" t="s">
        <v>116</v>
      </c>
      <c r="D32" t="s">
        <v>8</v>
      </c>
      <c r="E32">
        <v>9</v>
      </c>
      <c r="F32">
        <v>10</v>
      </c>
      <c r="G32">
        <v>3</v>
      </c>
      <c r="H32">
        <v>16</v>
      </c>
      <c r="J32">
        <f t="shared" si="0"/>
        <v>21380</v>
      </c>
      <c r="L32">
        <f t="shared" si="1"/>
        <v>9.5446428571428577</v>
      </c>
    </row>
  </sheetData>
  <autoFilter ref="A1:Q32" xr:uid="{782A6339-1E58-4188-80A6-B4580F70757D}">
    <sortState xmlns:xlrd2="http://schemas.microsoft.com/office/spreadsheetml/2017/richdata2" ref="A2:Q32">
      <sortCondition ref="D1:D3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4C2D-B143-49EB-AE6F-B3BFFAC00D68}">
  <sheetPr codeName="Sheet10"/>
  <dimension ref="A1:L37"/>
  <sheetViews>
    <sheetView topLeftCell="A10" workbookViewId="0">
      <selection activeCell="H6" sqref="H6"/>
    </sheetView>
  </sheetViews>
  <sheetFormatPr defaultRowHeight="15" x14ac:dyDescent="0.25"/>
  <cols>
    <col min="2" max="2" width="18.5703125" customWidth="1"/>
    <col min="3" max="3" width="15.85546875" customWidth="1"/>
    <col min="4" max="4" width="16.85546875" customWidth="1"/>
  </cols>
  <sheetData>
    <row r="1" spans="1:12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48</v>
      </c>
      <c r="F1" s="1" t="s">
        <v>49</v>
      </c>
      <c r="G1" s="1" t="s">
        <v>50</v>
      </c>
      <c r="H1" s="1" t="s">
        <v>51</v>
      </c>
      <c r="I1" s="1"/>
      <c r="J1" s="1" t="s">
        <v>2</v>
      </c>
      <c r="K1" s="1"/>
      <c r="L1" s="1" t="s">
        <v>106</v>
      </c>
    </row>
    <row r="2" spans="1:12" x14ac:dyDescent="0.25">
      <c r="A2">
        <v>1710</v>
      </c>
      <c r="B2" t="s">
        <v>12</v>
      </c>
      <c r="C2" t="s">
        <v>117</v>
      </c>
      <c r="D2" t="s">
        <v>4</v>
      </c>
      <c r="J2">
        <f t="shared" ref="J2:J37" si="0">(E2*2240)+(F2*112)+(G2*28)+(H2)</f>
        <v>0</v>
      </c>
      <c r="L2">
        <f t="shared" ref="L2:L37" si="1">J2/2240</f>
        <v>0</v>
      </c>
    </row>
    <row r="3" spans="1:12" x14ac:dyDescent="0.25">
      <c r="A3">
        <v>1710</v>
      </c>
      <c r="B3" t="s">
        <v>9</v>
      </c>
      <c r="C3" t="s">
        <v>117</v>
      </c>
      <c r="D3" t="s">
        <v>4</v>
      </c>
      <c r="J3">
        <f t="shared" si="0"/>
        <v>0</v>
      </c>
      <c r="L3">
        <f t="shared" si="1"/>
        <v>0</v>
      </c>
    </row>
    <row r="4" spans="1:12" x14ac:dyDescent="0.25">
      <c r="A4">
        <v>1710</v>
      </c>
      <c r="B4" t="s">
        <v>33</v>
      </c>
      <c r="C4" t="s">
        <v>117</v>
      </c>
      <c r="D4" t="s">
        <v>4</v>
      </c>
      <c r="J4">
        <f t="shared" si="0"/>
        <v>0</v>
      </c>
      <c r="L4">
        <f t="shared" si="1"/>
        <v>0</v>
      </c>
    </row>
    <row r="5" spans="1:12" x14ac:dyDescent="0.25">
      <c r="A5">
        <v>1710</v>
      </c>
      <c r="B5" t="s">
        <v>60</v>
      </c>
      <c r="C5" t="s">
        <v>117</v>
      </c>
      <c r="D5" t="s">
        <v>4</v>
      </c>
      <c r="J5">
        <f t="shared" si="0"/>
        <v>0</v>
      </c>
      <c r="L5">
        <f t="shared" si="1"/>
        <v>0</v>
      </c>
    </row>
    <row r="6" spans="1:12" x14ac:dyDescent="0.25">
      <c r="A6">
        <v>1710</v>
      </c>
      <c r="B6" t="s">
        <v>6</v>
      </c>
      <c r="C6" t="s">
        <v>117</v>
      </c>
      <c r="D6" t="s">
        <v>4</v>
      </c>
      <c r="H6">
        <f>79*200</f>
        <v>15800</v>
      </c>
      <c r="I6" t="s">
        <v>89</v>
      </c>
      <c r="J6">
        <f t="shared" si="0"/>
        <v>15800</v>
      </c>
      <c r="L6">
        <f t="shared" si="1"/>
        <v>7.0535714285714288</v>
      </c>
    </row>
    <row r="7" spans="1:12" x14ac:dyDescent="0.25">
      <c r="A7">
        <v>1710</v>
      </c>
      <c r="B7" t="s">
        <v>10</v>
      </c>
      <c r="C7" t="s">
        <v>117</v>
      </c>
      <c r="D7" t="s">
        <v>4</v>
      </c>
      <c r="F7">
        <v>60</v>
      </c>
      <c r="J7">
        <f t="shared" si="0"/>
        <v>6720</v>
      </c>
      <c r="L7">
        <f t="shared" si="1"/>
        <v>3</v>
      </c>
    </row>
    <row r="8" spans="1:12" x14ac:dyDescent="0.25">
      <c r="A8">
        <v>1710</v>
      </c>
      <c r="B8" t="s">
        <v>20</v>
      </c>
      <c r="C8" t="s">
        <v>117</v>
      </c>
      <c r="D8" t="s">
        <v>4</v>
      </c>
      <c r="G8">
        <v>3</v>
      </c>
      <c r="H8">
        <v>21</v>
      </c>
      <c r="J8">
        <f t="shared" si="0"/>
        <v>105</v>
      </c>
      <c r="L8">
        <f t="shared" si="1"/>
        <v>4.6875E-2</v>
      </c>
    </row>
    <row r="9" spans="1:12" x14ac:dyDescent="0.25">
      <c r="A9">
        <v>1710</v>
      </c>
      <c r="B9" t="s">
        <v>5</v>
      </c>
      <c r="C9" t="s">
        <v>117</v>
      </c>
      <c r="D9" t="s">
        <v>4</v>
      </c>
      <c r="H9">
        <v>504</v>
      </c>
      <c r="J9">
        <f t="shared" si="0"/>
        <v>504</v>
      </c>
      <c r="L9">
        <f t="shared" si="1"/>
        <v>0.22500000000000001</v>
      </c>
    </row>
    <row r="10" spans="1:12" x14ac:dyDescent="0.25">
      <c r="A10">
        <v>1710</v>
      </c>
      <c r="B10" t="s">
        <v>28</v>
      </c>
      <c r="C10" t="s">
        <v>117</v>
      </c>
      <c r="D10" t="s">
        <v>4</v>
      </c>
      <c r="F10">
        <v>15</v>
      </c>
      <c r="G10">
        <v>3</v>
      </c>
      <c r="J10">
        <f t="shared" si="0"/>
        <v>1764</v>
      </c>
      <c r="L10">
        <f t="shared" si="1"/>
        <v>0.78749999999999998</v>
      </c>
    </row>
    <row r="11" spans="1:12" x14ac:dyDescent="0.25">
      <c r="A11">
        <v>1710</v>
      </c>
      <c r="B11" t="s">
        <v>16</v>
      </c>
      <c r="C11" t="s">
        <v>117</v>
      </c>
      <c r="D11" t="s">
        <v>4</v>
      </c>
      <c r="J11">
        <f t="shared" si="0"/>
        <v>0</v>
      </c>
      <c r="L11">
        <f t="shared" si="1"/>
        <v>0</v>
      </c>
    </row>
    <row r="12" spans="1:12" x14ac:dyDescent="0.25">
      <c r="A12">
        <v>1710</v>
      </c>
      <c r="B12" t="s">
        <v>24</v>
      </c>
      <c r="C12" t="s">
        <v>117</v>
      </c>
      <c r="D12" t="s">
        <v>4</v>
      </c>
      <c r="H12">
        <v>2440.5</v>
      </c>
      <c r="I12" t="s">
        <v>88</v>
      </c>
      <c r="J12">
        <f t="shared" si="0"/>
        <v>2440.5</v>
      </c>
      <c r="L12">
        <f t="shared" si="1"/>
        <v>1.0895089285714286</v>
      </c>
    </row>
    <row r="13" spans="1:12" x14ac:dyDescent="0.25">
      <c r="A13">
        <v>1710</v>
      </c>
      <c r="B13" t="s">
        <v>11</v>
      </c>
      <c r="C13" t="s">
        <v>117</v>
      </c>
      <c r="D13" t="s">
        <v>4</v>
      </c>
      <c r="F13">
        <v>70</v>
      </c>
      <c r="G13">
        <v>2</v>
      </c>
      <c r="J13">
        <f t="shared" si="0"/>
        <v>7896</v>
      </c>
      <c r="L13">
        <f t="shared" si="1"/>
        <v>3.5249999999999999</v>
      </c>
    </row>
    <row r="14" spans="1:12" x14ac:dyDescent="0.25">
      <c r="A14">
        <v>1710</v>
      </c>
      <c r="B14" t="s">
        <v>87</v>
      </c>
      <c r="C14" t="s">
        <v>117</v>
      </c>
      <c r="D14" t="s">
        <v>4</v>
      </c>
      <c r="F14">
        <v>43283</v>
      </c>
      <c r="G14">
        <v>2</v>
      </c>
      <c r="H14">
        <v>3</v>
      </c>
      <c r="J14">
        <f t="shared" si="0"/>
        <v>4847755</v>
      </c>
      <c r="L14">
        <f t="shared" si="1"/>
        <v>2164.1763392857142</v>
      </c>
    </row>
    <row r="15" spans="1:12" x14ac:dyDescent="0.25">
      <c r="A15">
        <v>1710</v>
      </c>
      <c r="B15" t="s">
        <v>30</v>
      </c>
      <c r="C15" t="s">
        <v>117</v>
      </c>
      <c r="D15" t="s">
        <v>4</v>
      </c>
      <c r="J15">
        <f t="shared" si="0"/>
        <v>0</v>
      </c>
      <c r="L15">
        <f t="shared" si="1"/>
        <v>0</v>
      </c>
    </row>
    <row r="16" spans="1:12" x14ac:dyDescent="0.25">
      <c r="A16">
        <v>1710</v>
      </c>
      <c r="B16" t="s">
        <v>17</v>
      </c>
      <c r="C16" t="s">
        <v>117</v>
      </c>
      <c r="D16" t="s">
        <v>4</v>
      </c>
      <c r="J16">
        <f t="shared" si="0"/>
        <v>0</v>
      </c>
      <c r="L16">
        <f t="shared" si="1"/>
        <v>0</v>
      </c>
    </row>
    <row r="17" spans="1:12" x14ac:dyDescent="0.25">
      <c r="A17">
        <v>1710</v>
      </c>
      <c r="B17" t="s">
        <v>19</v>
      </c>
      <c r="C17" t="s">
        <v>117</v>
      </c>
      <c r="D17" t="s">
        <v>4</v>
      </c>
      <c r="G17">
        <v>3</v>
      </c>
      <c r="H17">
        <v>14</v>
      </c>
      <c r="J17">
        <f t="shared" si="0"/>
        <v>98</v>
      </c>
      <c r="L17">
        <f t="shared" si="1"/>
        <v>4.3749999999999997E-2</v>
      </c>
    </row>
    <row r="18" spans="1:12" x14ac:dyDescent="0.25">
      <c r="A18">
        <v>1710</v>
      </c>
      <c r="B18" t="s">
        <v>29</v>
      </c>
      <c r="C18" t="s">
        <v>117</v>
      </c>
      <c r="D18" t="s">
        <v>4</v>
      </c>
      <c r="H18">
        <v>80</v>
      </c>
      <c r="J18">
        <f t="shared" si="0"/>
        <v>80</v>
      </c>
      <c r="L18">
        <f t="shared" si="1"/>
        <v>3.5714285714285712E-2</v>
      </c>
    </row>
    <row r="19" spans="1:12" x14ac:dyDescent="0.25">
      <c r="A19">
        <v>1710</v>
      </c>
      <c r="B19" t="s">
        <v>23</v>
      </c>
      <c r="C19" t="s">
        <v>117</v>
      </c>
      <c r="D19" t="s">
        <v>4</v>
      </c>
      <c r="J19">
        <f t="shared" si="0"/>
        <v>0</v>
      </c>
      <c r="L19">
        <f t="shared" si="1"/>
        <v>0</v>
      </c>
    </row>
    <row r="20" spans="1:12" x14ac:dyDescent="0.25">
      <c r="A20">
        <v>1710</v>
      </c>
      <c r="B20" t="s">
        <v>15</v>
      </c>
      <c r="C20" t="s">
        <v>117</v>
      </c>
      <c r="D20" t="s">
        <v>4</v>
      </c>
      <c r="J20">
        <f t="shared" si="0"/>
        <v>0</v>
      </c>
      <c r="L20">
        <f t="shared" si="1"/>
        <v>0</v>
      </c>
    </row>
    <row r="21" spans="1:12" x14ac:dyDescent="0.25">
      <c r="A21">
        <v>1710</v>
      </c>
      <c r="B21" t="s">
        <v>18</v>
      </c>
      <c r="C21" t="s">
        <v>117</v>
      </c>
      <c r="D21" t="s">
        <v>4</v>
      </c>
      <c r="J21">
        <f t="shared" si="0"/>
        <v>0</v>
      </c>
      <c r="L21">
        <f t="shared" si="1"/>
        <v>0</v>
      </c>
    </row>
    <row r="22" spans="1:12" x14ac:dyDescent="0.25">
      <c r="A22">
        <v>1710</v>
      </c>
      <c r="B22" t="s">
        <v>13</v>
      </c>
      <c r="C22" t="s">
        <v>117</v>
      </c>
      <c r="D22" t="s">
        <v>4</v>
      </c>
      <c r="F22">
        <v>18</v>
      </c>
      <c r="G22">
        <v>3</v>
      </c>
      <c r="H22">
        <v>14</v>
      </c>
      <c r="J22">
        <f t="shared" si="0"/>
        <v>2114</v>
      </c>
      <c r="L22">
        <f t="shared" si="1"/>
        <v>0.94374999999999998</v>
      </c>
    </row>
    <row r="23" spans="1:12" x14ac:dyDescent="0.25">
      <c r="A23">
        <v>1710</v>
      </c>
      <c r="B23" t="s">
        <v>12</v>
      </c>
      <c r="C23" t="s">
        <v>117</v>
      </c>
      <c r="D23" t="s">
        <v>8</v>
      </c>
      <c r="F23">
        <v>23791</v>
      </c>
      <c r="G23">
        <v>2</v>
      </c>
      <c r="H23">
        <v>11</v>
      </c>
      <c r="J23">
        <f t="shared" si="0"/>
        <v>2664659</v>
      </c>
      <c r="L23">
        <f t="shared" si="1"/>
        <v>1189.5799107142857</v>
      </c>
    </row>
    <row r="24" spans="1:12" x14ac:dyDescent="0.25">
      <c r="A24">
        <v>1710</v>
      </c>
      <c r="B24" t="s">
        <v>33</v>
      </c>
      <c r="C24" t="s">
        <v>117</v>
      </c>
      <c r="D24" t="s">
        <v>8</v>
      </c>
      <c r="F24">
        <v>6</v>
      </c>
      <c r="G24">
        <v>1</v>
      </c>
      <c r="H24">
        <v>17</v>
      </c>
      <c r="J24">
        <f t="shared" si="0"/>
        <v>717</v>
      </c>
      <c r="L24">
        <f t="shared" si="1"/>
        <v>0.32008928571428569</v>
      </c>
    </row>
    <row r="25" spans="1:12" x14ac:dyDescent="0.25">
      <c r="A25">
        <v>1710</v>
      </c>
      <c r="B25" t="s">
        <v>6</v>
      </c>
      <c r="C25" t="s">
        <v>117</v>
      </c>
      <c r="D25" t="s">
        <v>8</v>
      </c>
      <c r="H25">
        <v>25142</v>
      </c>
      <c r="J25">
        <f t="shared" si="0"/>
        <v>25142</v>
      </c>
      <c r="L25">
        <f t="shared" si="1"/>
        <v>11.224107142857143</v>
      </c>
    </row>
    <row r="26" spans="1:12" x14ac:dyDescent="0.25">
      <c r="A26">
        <v>1710</v>
      </c>
      <c r="B26" t="s">
        <v>20</v>
      </c>
      <c r="C26" t="s">
        <v>117</v>
      </c>
      <c r="D26" t="s">
        <v>8</v>
      </c>
      <c r="F26">
        <v>4</v>
      </c>
      <c r="G26">
        <v>1</v>
      </c>
      <c r="H26">
        <v>1</v>
      </c>
      <c r="J26">
        <f t="shared" si="0"/>
        <v>477</v>
      </c>
      <c r="L26">
        <f t="shared" si="1"/>
        <v>0.21294642857142856</v>
      </c>
    </row>
    <row r="27" spans="1:12" x14ac:dyDescent="0.25">
      <c r="A27">
        <v>1710</v>
      </c>
      <c r="B27" t="s">
        <v>78</v>
      </c>
      <c r="C27" t="s">
        <v>117</v>
      </c>
      <c r="D27" t="s">
        <v>8</v>
      </c>
      <c r="F27">
        <v>5</v>
      </c>
      <c r="G27">
        <v>3</v>
      </c>
      <c r="H27">
        <v>14</v>
      </c>
      <c r="J27">
        <f t="shared" si="0"/>
        <v>658</v>
      </c>
      <c r="L27">
        <f t="shared" si="1"/>
        <v>0.29375000000000001</v>
      </c>
    </row>
    <row r="28" spans="1:12" x14ac:dyDescent="0.25">
      <c r="A28">
        <v>1710</v>
      </c>
      <c r="B28" t="s">
        <v>5</v>
      </c>
      <c r="C28" t="s">
        <v>117</v>
      </c>
      <c r="D28" t="s">
        <v>8</v>
      </c>
      <c r="H28">
        <v>8748</v>
      </c>
      <c r="J28">
        <f t="shared" si="0"/>
        <v>8748</v>
      </c>
      <c r="L28">
        <f t="shared" si="1"/>
        <v>3.905357142857143</v>
      </c>
    </row>
    <row r="29" spans="1:12" x14ac:dyDescent="0.25">
      <c r="A29">
        <v>1710</v>
      </c>
      <c r="B29" t="s">
        <v>28</v>
      </c>
      <c r="C29" t="s">
        <v>117</v>
      </c>
      <c r="D29" t="s">
        <v>8</v>
      </c>
      <c r="J29">
        <f t="shared" si="0"/>
        <v>0</v>
      </c>
      <c r="L29">
        <f t="shared" si="1"/>
        <v>0</v>
      </c>
    </row>
    <row r="30" spans="1:12" x14ac:dyDescent="0.25">
      <c r="A30">
        <v>1710</v>
      </c>
      <c r="B30" t="s">
        <v>16</v>
      </c>
      <c r="C30" t="s">
        <v>117</v>
      </c>
      <c r="D30" t="s">
        <v>8</v>
      </c>
      <c r="H30">
        <v>230</v>
      </c>
      <c r="I30" t="s">
        <v>100</v>
      </c>
      <c r="J30">
        <f t="shared" si="0"/>
        <v>230</v>
      </c>
      <c r="L30">
        <f t="shared" si="1"/>
        <v>0.10267857142857142</v>
      </c>
    </row>
    <row r="31" spans="1:12" x14ac:dyDescent="0.25">
      <c r="A31">
        <v>1710</v>
      </c>
      <c r="B31" t="s">
        <v>11</v>
      </c>
      <c r="C31" t="s">
        <v>117</v>
      </c>
      <c r="D31" t="s">
        <v>8</v>
      </c>
      <c r="F31">
        <v>242</v>
      </c>
      <c r="G31">
        <v>3</v>
      </c>
      <c r="H31">
        <v>7</v>
      </c>
      <c r="J31">
        <f t="shared" si="0"/>
        <v>27195</v>
      </c>
      <c r="L31">
        <f t="shared" si="1"/>
        <v>12.140625</v>
      </c>
    </row>
    <row r="32" spans="1:12" x14ac:dyDescent="0.25">
      <c r="A32">
        <v>1710</v>
      </c>
      <c r="B32" t="s">
        <v>27</v>
      </c>
      <c r="C32" t="s">
        <v>117</v>
      </c>
      <c r="D32" t="s">
        <v>8</v>
      </c>
      <c r="H32">
        <v>90</v>
      </c>
      <c r="J32">
        <f t="shared" si="0"/>
        <v>90</v>
      </c>
      <c r="L32">
        <f t="shared" si="1"/>
        <v>4.0178571428571432E-2</v>
      </c>
    </row>
    <row r="33" spans="1:12" x14ac:dyDescent="0.25">
      <c r="A33">
        <v>1710</v>
      </c>
      <c r="B33" t="s">
        <v>17</v>
      </c>
      <c r="C33" t="s">
        <v>117</v>
      </c>
      <c r="D33" t="s">
        <v>8</v>
      </c>
      <c r="H33">
        <v>1380</v>
      </c>
      <c r="I33" t="s">
        <v>101</v>
      </c>
      <c r="J33">
        <f t="shared" si="0"/>
        <v>1380</v>
      </c>
      <c r="L33">
        <f t="shared" si="1"/>
        <v>0.6160714285714286</v>
      </c>
    </row>
    <row r="34" spans="1:12" x14ac:dyDescent="0.25">
      <c r="A34">
        <v>1710</v>
      </c>
      <c r="B34" t="s">
        <v>19</v>
      </c>
      <c r="C34" t="s">
        <v>117</v>
      </c>
      <c r="D34" t="s">
        <v>8</v>
      </c>
      <c r="F34">
        <v>3</v>
      </c>
      <c r="G34">
        <v>2</v>
      </c>
      <c r="H34">
        <v>18</v>
      </c>
      <c r="J34">
        <f t="shared" si="0"/>
        <v>410</v>
      </c>
      <c r="L34">
        <f t="shared" si="1"/>
        <v>0.18303571428571427</v>
      </c>
    </row>
    <row r="35" spans="1:12" x14ac:dyDescent="0.25">
      <c r="A35">
        <v>1710</v>
      </c>
      <c r="B35" t="s">
        <v>29</v>
      </c>
      <c r="C35" t="s">
        <v>117</v>
      </c>
      <c r="D35" t="s">
        <v>8</v>
      </c>
      <c r="H35">
        <v>85</v>
      </c>
      <c r="J35">
        <f t="shared" si="0"/>
        <v>85</v>
      </c>
      <c r="L35">
        <f t="shared" si="1"/>
        <v>3.7946428571428568E-2</v>
      </c>
    </row>
    <row r="36" spans="1:12" x14ac:dyDescent="0.25">
      <c r="A36">
        <v>1710</v>
      </c>
      <c r="B36" t="s">
        <v>18</v>
      </c>
      <c r="C36" t="s">
        <v>117</v>
      </c>
      <c r="D36" t="s">
        <v>8</v>
      </c>
      <c r="H36">
        <v>2</v>
      </c>
      <c r="J36">
        <f t="shared" si="0"/>
        <v>2</v>
      </c>
      <c r="L36">
        <f t="shared" si="1"/>
        <v>8.9285714285714283E-4</v>
      </c>
    </row>
    <row r="37" spans="1:12" x14ac:dyDescent="0.25">
      <c r="A37">
        <v>1710</v>
      </c>
      <c r="B37" t="s">
        <v>13</v>
      </c>
      <c r="C37" t="s">
        <v>117</v>
      </c>
      <c r="D37" t="s">
        <v>8</v>
      </c>
      <c r="F37">
        <v>12</v>
      </c>
      <c r="G37">
        <v>1</v>
      </c>
      <c r="H37">
        <v>5</v>
      </c>
      <c r="J37">
        <f t="shared" si="0"/>
        <v>1377</v>
      </c>
      <c r="L37">
        <f t="shared" si="1"/>
        <v>0.61473214285714284</v>
      </c>
    </row>
  </sheetData>
  <autoFilter ref="A1:P37" xr:uid="{DF3C4C2D-B143-49EB-AE6F-B3BFFAC00D68}">
    <sortState xmlns:xlrd2="http://schemas.microsoft.com/office/spreadsheetml/2017/richdata2" ref="A2:P37">
      <sortCondition ref="D1:D37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E782-642A-4A69-B3C3-AA33FAF53666}">
  <sheetPr codeName="Sheet11"/>
  <dimension ref="A1:L22"/>
  <sheetViews>
    <sheetView workbookViewId="0">
      <selection activeCell="H7" sqref="H7"/>
    </sheetView>
  </sheetViews>
  <sheetFormatPr defaultRowHeight="15" x14ac:dyDescent="0.25"/>
  <cols>
    <col min="2" max="3" width="17.85546875" customWidth="1"/>
    <col min="4" max="4" width="15.42578125" customWidth="1"/>
  </cols>
  <sheetData>
    <row r="1" spans="1:12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48</v>
      </c>
      <c r="F1" s="1" t="s">
        <v>49</v>
      </c>
      <c r="G1" s="1" t="s">
        <v>50</v>
      </c>
      <c r="H1" s="1" t="s">
        <v>51</v>
      </c>
      <c r="I1" s="1"/>
      <c r="J1" s="1" t="s">
        <v>2</v>
      </c>
      <c r="K1" s="1"/>
      <c r="L1" s="1" t="s">
        <v>106</v>
      </c>
    </row>
    <row r="2" spans="1:12" x14ac:dyDescent="0.25">
      <c r="A2">
        <v>1710</v>
      </c>
      <c r="B2" t="s">
        <v>21</v>
      </c>
      <c r="C2" t="s">
        <v>118</v>
      </c>
      <c r="D2" t="s">
        <v>4</v>
      </c>
      <c r="J2">
        <f t="shared" ref="J2:J22" si="0">(E2*2240)+(F2*112)+(G2*28)+(H2/16)</f>
        <v>0</v>
      </c>
      <c r="L2">
        <f t="shared" ref="L2:L22" si="1">J2/2240</f>
        <v>0</v>
      </c>
    </row>
    <row r="3" spans="1:12" x14ac:dyDescent="0.25">
      <c r="A3">
        <v>1710</v>
      </c>
      <c r="B3" t="s">
        <v>42</v>
      </c>
      <c r="C3" t="s">
        <v>118</v>
      </c>
      <c r="D3" t="s">
        <v>4</v>
      </c>
      <c r="J3">
        <f t="shared" si="0"/>
        <v>0</v>
      </c>
      <c r="L3">
        <f t="shared" si="1"/>
        <v>0</v>
      </c>
    </row>
    <row r="4" spans="1:12" x14ac:dyDescent="0.25">
      <c r="A4">
        <v>1710</v>
      </c>
      <c r="B4" t="s">
        <v>12</v>
      </c>
      <c r="C4" t="s">
        <v>118</v>
      </c>
      <c r="D4" t="s">
        <v>4</v>
      </c>
      <c r="F4">
        <v>23918</v>
      </c>
      <c r="G4">
        <v>1</v>
      </c>
      <c r="J4">
        <f t="shared" si="0"/>
        <v>2678844</v>
      </c>
      <c r="L4">
        <f t="shared" si="1"/>
        <v>1195.9124999999999</v>
      </c>
    </row>
    <row r="5" spans="1:12" x14ac:dyDescent="0.25">
      <c r="A5">
        <v>1710</v>
      </c>
      <c r="B5" t="s">
        <v>9</v>
      </c>
      <c r="C5" t="s">
        <v>118</v>
      </c>
      <c r="D5" t="s">
        <v>4</v>
      </c>
      <c r="H5">
        <v>12</v>
      </c>
      <c r="J5">
        <f t="shared" si="0"/>
        <v>0.75</v>
      </c>
      <c r="L5">
        <f t="shared" si="1"/>
        <v>3.3482142857142857E-4</v>
      </c>
    </row>
    <row r="6" spans="1:12" x14ac:dyDescent="0.25">
      <c r="A6">
        <v>1710</v>
      </c>
      <c r="B6" t="s">
        <v>33</v>
      </c>
      <c r="C6" t="s">
        <v>118</v>
      </c>
      <c r="D6" t="s">
        <v>4</v>
      </c>
      <c r="J6">
        <f t="shared" si="0"/>
        <v>0</v>
      </c>
      <c r="L6">
        <f t="shared" si="1"/>
        <v>0</v>
      </c>
    </row>
    <row r="7" spans="1:12" x14ac:dyDescent="0.25">
      <c r="A7">
        <v>1710</v>
      </c>
      <c r="B7" t="s">
        <v>6</v>
      </c>
      <c r="C7" t="s">
        <v>118</v>
      </c>
      <c r="D7" t="s">
        <v>4</v>
      </c>
      <c r="H7">
        <f>77*200</f>
        <v>15400</v>
      </c>
      <c r="I7" t="s">
        <v>91</v>
      </c>
      <c r="J7">
        <f t="shared" si="0"/>
        <v>962.5</v>
      </c>
      <c r="L7">
        <f t="shared" si="1"/>
        <v>0.4296875</v>
      </c>
    </row>
    <row r="8" spans="1:12" x14ac:dyDescent="0.25">
      <c r="A8">
        <v>1710</v>
      </c>
      <c r="B8" t="s">
        <v>10</v>
      </c>
      <c r="C8" t="s">
        <v>118</v>
      </c>
      <c r="D8" t="s">
        <v>4</v>
      </c>
      <c r="J8">
        <f t="shared" si="0"/>
        <v>0</v>
      </c>
      <c r="L8">
        <f t="shared" si="1"/>
        <v>0</v>
      </c>
    </row>
    <row r="9" spans="1:12" x14ac:dyDescent="0.25">
      <c r="A9">
        <v>1710</v>
      </c>
      <c r="B9" t="s">
        <v>20</v>
      </c>
      <c r="C9" t="s">
        <v>118</v>
      </c>
      <c r="D9" t="s">
        <v>4</v>
      </c>
      <c r="J9">
        <f t="shared" si="0"/>
        <v>0</v>
      </c>
      <c r="L9">
        <f t="shared" si="1"/>
        <v>0</v>
      </c>
    </row>
    <row r="10" spans="1:12" x14ac:dyDescent="0.25">
      <c r="A10">
        <v>1710</v>
      </c>
      <c r="B10" t="s">
        <v>5</v>
      </c>
      <c r="C10" t="s">
        <v>118</v>
      </c>
      <c r="D10" t="s">
        <v>4</v>
      </c>
      <c r="H10">
        <v>1022</v>
      </c>
      <c r="J10">
        <f t="shared" si="0"/>
        <v>63.875</v>
      </c>
      <c r="L10">
        <f t="shared" si="1"/>
        <v>2.8515624999999999E-2</v>
      </c>
    </row>
    <row r="11" spans="1:12" x14ac:dyDescent="0.25">
      <c r="A11">
        <v>1710</v>
      </c>
      <c r="B11" t="s">
        <v>28</v>
      </c>
      <c r="C11" t="s">
        <v>118</v>
      </c>
      <c r="D11" t="s">
        <v>4</v>
      </c>
      <c r="F11">
        <v>41</v>
      </c>
      <c r="G11">
        <v>1</v>
      </c>
      <c r="H11">
        <v>14</v>
      </c>
      <c r="J11">
        <f t="shared" si="0"/>
        <v>4620.875</v>
      </c>
      <c r="L11">
        <f t="shared" si="1"/>
        <v>2.0628906250000001</v>
      </c>
    </row>
    <row r="12" spans="1:12" x14ac:dyDescent="0.25">
      <c r="A12">
        <v>1710</v>
      </c>
      <c r="B12" t="s">
        <v>24</v>
      </c>
      <c r="C12" t="s">
        <v>118</v>
      </c>
      <c r="D12" t="s">
        <v>4</v>
      </c>
      <c r="H12">
        <v>970</v>
      </c>
      <c r="I12" t="s">
        <v>90</v>
      </c>
      <c r="J12">
        <f t="shared" si="0"/>
        <v>60.625</v>
      </c>
      <c r="L12">
        <f t="shared" si="1"/>
        <v>2.7064732142857144E-2</v>
      </c>
    </row>
    <row r="13" spans="1:12" x14ac:dyDescent="0.25">
      <c r="A13">
        <v>1710</v>
      </c>
      <c r="B13" t="s">
        <v>11</v>
      </c>
      <c r="C13" t="s">
        <v>118</v>
      </c>
      <c r="D13" t="s">
        <v>4</v>
      </c>
      <c r="J13">
        <f t="shared" si="0"/>
        <v>0</v>
      </c>
      <c r="L13">
        <f t="shared" si="1"/>
        <v>0</v>
      </c>
    </row>
    <row r="14" spans="1:12" x14ac:dyDescent="0.25">
      <c r="A14">
        <v>1710</v>
      </c>
      <c r="B14" t="s">
        <v>27</v>
      </c>
      <c r="C14" t="s">
        <v>118</v>
      </c>
      <c r="D14" t="s">
        <v>4</v>
      </c>
      <c r="J14">
        <f t="shared" si="0"/>
        <v>0</v>
      </c>
      <c r="L14">
        <f t="shared" si="1"/>
        <v>0</v>
      </c>
    </row>
    <row r="15" spans="1:12" x14ac:dyDescent="0.25">
      <c r="A15">
        <v>1710</v>
      </c>
      <c r="B15" t="s">
        <v>17</v>
      </c>
      <c r="C15" t="s">
        <v>118</v>
      </c>
      <c r="D15" t="s">
        <v>4</v>
      </c>
      <c r="H15">
        <v>550</v>
      </c>
      <c r="I15" t="s">
        <v>92</v>
      </c>
      <c r="J15">
        <f t="shared" si="0"/>
        <v>34.375</v>
      </c>
      <c r="L15">
        <f t="shared" si="1"/>
        <v>1.5345982142857142E-2</v>
      </c>
    </row>
    <row r="16" spans="1:12" x14ac:dyDescent="0.25">
      <c r="A16">
        <v>1710</v>
      </c>
      <c r="B16" t="s">
        <v>19</v>
      </c>
      <c r="C16" t="s">
        <v>118</v>
      </c>
      <c r="D16" t="s">
        <v>4</v>
      </c>
      <c r="F16">
        <v>3</v>
      </c>
      <c r="G16">
        <v>2</v>
      </c>
      <c r="J16">
        <f t="shared" si="0"/>
        <v>392</v>
      </c>
      <c r="L16">
        <f t="shared" si="1"/>
        <v>0.17499999999999999</v>
      </c>
    </row>
    <row r="17" spans="1:12" x14ac:dyDescent="0.25">
      <c r="A17">
        <v>1710</v>
      </c>
      <c r="B17" t="s">
        <v>29</v>
      </c>
      <c r="C17" t="s">
        <v>118</v>
      </c>
      <c r="D17" t="s">
        <v>4</v>
      </c>
      <c r="G17">
        <v>88</v>
      </c>
      <c r="J17">
        <f t="shared" si="0"/>
        <v>2464</v>
      </c>
      <c r="L17">
        <f t="shared" si="1"/>
        <v>1.1000000000000001</v>
      </c>
    </row>
    <row r="18" spans="1:12" x14ac:dyDescent="0.25">
      <c r="A18">
        <v>1710</v>
      </c>
      <c r="B18" t="s">
        <v>110</v>
      </c>
      <c r="C18" t="s">
        <v>118</v>
      </c>
      <c r="D18" t="s">
        <v>4</v>
      </c>
      <c r="J18">
        <f t="shared" si="0"/>
        <v>0</v>
      </c>
      <c r="L18">
        <f t="shared" si="1"/>
        <v>0</v>
      </c>
    </row>
    <row r="19" spans="1:12" x14ac:dyDescent="0.25">
      <c r="A19">
        <v>1710</v>
      </c>
      <c r="B19" t="s">
        <v>12</v>
      </c>
      <c r="C19" t="s">
        <v>118</v>
      </c>
      <c r="D19" t="s">
        <v>8</v>
      </c>
      <c r="F19">
        <v>6300</v>
      </c>
      <c r="G19">
        <v>2</v>
      </c>
      <c r="H19">
        <v>2</v>
      </c>
      <c r="J19">
        <f t="shared" si="0"/>
        <v>705656.125</v>
      </c>
      <c r="L19">
        <f t="shared" si="1"/>
        <v>315.02505580357143</v>
      </c>
    </row>
    <row r="20" spans="1:12" x14ac:dyDescent="0.25">
      <c r="A20">
        <v>1710</v>
      </c>
      <c r="B20" t="s">
        <v>6</v>
      </c>
      <c r="C20" t="s">
        <v>118</v>
      </c>
      <c r="D20" t="s">
        <v>8</v>
      </c>
      <c r="H20">
        <v>17832</v>
      </c>
      <c r="J20">
        <f t="shared" si="0"/>
        <v>1114.5</v>
      </c>
      <c r="L20">
        <f t="shared" si="1"/>
        <v>0.49754464285714284</v>
      </c>
    </row>
    <row r="21" spans="1:12" x14ac:dyDescent="0.25">
      <c r="A21">
        <v>1710</v>
      </c>
      <c r="B21" t="s">
        <v>5</v>
      </c>
      <c r="C21" t="s">
        <v>118</v>
      </c>
      <c r="D21" t="s">
        <v>8</v>
      </c>
      <c r="H21">
        <v>817</v>
      </c>
      <c r="J21">
        <f t="shared" si="0"/>
        <v>51.0625</v>
      </c>
      <c r="L21">
        <f t="shared" si="1"/>
        <v>2.2795758928571427E-2</v>
      </c>
    </row>
    <row r="22" spans="1:12" x14ac:dyDescent="0.25">
      <c r="A22">
        <v>1710</v>
      </c>
      <c r="B22" t="s">
        <v>27</v>
      </c>
      <c r="C22" t="s">
        <v>118</v>
      </c>
      <c r="D22" t="s">
        <v>8</v>
      </c>
      <c r="H22">
        <v>81</v>
      </c>
      <c r="J22">
        <f t="shared" si="0"/>
        <v>5.0625</v>
      </c>
      <c r="L22">
        <f t="shared" si="1"/>
        <v>2.2600446428571431E-3</v>
      </c>
    </row>
  </sheetData>
  <autoFilter ref="A1:L22" xr:uid="{7ECBE782-642A-4A69-B3C3-AA33FAF53666}">
    <sortState xmlns:xlrd2="http://schemas.microsoft.com/office/spreadsheetml/2017/richdata2" ref="A2:L22">
      <sortCondition ref="D1:D22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6D79-299E-4BDC-A30E-5252DE375C36}">
  <sheetPr codeName="Sheet12"/>
  <dimension ref="A1:J34"/>
  <sheetViews>
    <sheetView workbookViewId="0">
      <selection activeCell="R10" sqref="R10"/>
    </sheetView>
  </sheetViews>
  <sheetFormatPr defaultRowHeight="15" x14ac:dyDescent="0.25"/>
  <cols>
    <col min="1" max="1" width="15" customWidth="1"/>
  </cols>
  <sheetData>
    <row r="1" spans="1:10" x14ac:dyDescent="0.25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/>
      <c r="H1" s="1" t="s">
        <v>2</v>
      </c>
      <c r="I1" s="1"/>
      <c r="J1" s="1" t="s">
        <v>3</v>
      </c>
    </row>
    <row r="2" spans="1:10" x14ac:dyDescent="0.25">
      <c r="A2" t="s">
        <v>28</v>
      </c>
      <c r="B2" t="s">
        <v>4</v>
      </c>
      <c r="H2">
        <f t="shared" ref="H2:H34" si="0">(C2*2240)+(D2*112)+(E2*28)+F2</f>
        <v>0</v>
      </c>
      <c r="I2" s="1"/>
      <c r="J2">
        <f t="shared" ref="J2:J34" si="1">H2/2240</f>
        <v>0</v>
      </c>
    </row>
    <row r="3" spans="1:10" x14ac:dyDescent="0.25">
      <c r="A3" t="s">
        <v>56</v>
      </c>
      <c r="B3" t="s">
        <v>4</v>
      </c>
      <c r="H3">
        <f t="shared" si="0"/>
        <v>0</v>
      </c>
      <c r="I3" s="1"/>
      <c r="J3">
        <f t="shared" si="1"/>
        <v>0</v>
      </c>
    </row>
    <row r="4" spans="1:10" x14ac:dyDescent="0.25">
      <c r="A4" t="s">
        <v>112</v>
      </c>
      <c r="B4" t="s">
        <v>4</v>
      </c>
      <c r="H4">
        <f t="shared" si="0"/>
        <v>0</v>
      </c>
      <c r="I4" s="1"/>
      <c r="J4">
        <f t="shared" si="1"/>
        <v>0</v>
      </c>
    </row>
    <row r="5" spans="1:10" x14ac:dyDescent="0.25">
      <c r="A5" t="s">
        <v>110</v>
      </c>
      <c r="B5" t="s">
        <v>4</v>
      </c>
      <c r="H5">
        <f t="shared" si="0"/>
        <v>0</v>
      </c>
      <c r="I5" s="1"/>
      <c r="J5">
        <f t="shared" si="1"/>
        <v>0</v>
      </c>
    </row>
    <row r="6" spans="1:10" x14ac:dyDescent="0.25">
      <c r="A6" t="s">
        <v>60</v>
      </c>
      <c r="B6" t="s">
        <v>4</v>
      </c>
      <c r="H6">
        <f t="shared" si="0"/>
        <v>0</v>
      </c>
      <c r="I6" s="1"/>
      <c r="J6">
        <f t="shared" si="1"/>
        <v>0</v>
      </c>
    </row>
    <row r="7" spans="1:10" x14ac:dyDescent="0.25">
      <c r="A7" t="s">
        <v>61</v>
      </c>
      <c r="B7" t="s">
        <v>4</v>
      </c>
      <c r="H7">
        <f t="shared" si="0"/>
        <v>0</v>
      </c>
      <c r="I7" s="1"/>
      <c r="J7">
        <f t="shared" si="1"/>
        <v>0</v>
      </c>
    </row>
    <row r="8" spans="1:10" x14ac:dyDescent="0.25">
      <c r="A8" t="s">
        <v>10</v>
      </c>
      <c r="B8" t="s">
        <v>4</v>
      </c>
      <c r="H8">
        <f t="shared" si="0"/>
        <v>0</v>
      </c>
      <c r="I8" s="1"/>
      <c r="J8">
        <f t="shared" si="1"/>
        <v>0</v>
      </c>
    </row>
    <row r="9" spans="1:10" x14ac:dyDescent="0.25">
      <c r="A9" t="s">
        <v>11</v>
      </c>
      <c r="B9" t="s">
        <v>4</v>
      </c>
      <c r="H9">
        <f t="shared" si="0"/>
        <v>0</v>
      </c>
      <c r="J9">
        <f t="shared" si="1"/>
        <v>0</v>
      </c>
    </row>
    <row r="10" spans="1:10" x14ac:dyDescent="0.25">
      <c r="A10" t="s">
        <v>12</v>
      </c>
      <c r="B10" t="s">
        <v>4</v>
      </c>
      <c r="H10">
        <f t="shared" si="0"/>
        <v>0</v>
      </c>
      <c r="J10">
        <f t="shared" si="1"/>
        <v>0</v>
      </c>
    </row>
    <row r="11" spans="1:10" x14ac:dyDescent="0.25">
      <c r="A11" t="s">
        <v>13</v>
      </c>
      <c r="B11" t="s">
        <v>4</v>
      </c>
      <c r="H11">
        <f t="shared" si="0"/>
        <v>0</v>
      </c>
      <c r="J11">
        <f t="shared" si="1"/>
        <v>0</v>
      </c>
    </row>
    <row r="12" spans="1:10" x14ac:dyDescent="0.25">
      <c r="A12" t="s">
        <v>22</v>
      </c>
      <c r="B12" t="s">
        <v>4</v>
      </c>
      <c r="H12">
        <f t="shared" si="0"/>
        <v>0</v>
      </c>
      <c r="J12">
        <f t="shared" si="1"/>
        <v>0</v>
      </c>
    </row>
    <row r="13" spans="1:10" x14ac:dyDescent="0.25">
      <c r="A13" t="s">
        <v>19</v>
      </c>
      <c r="B13" t="s">
        <v>4</v>
      </c>
      <c r="H13">
        <f t="shared" si="0"/>
        <v>0</v>
      </c>
      <c r="J13">
        <f t="shared" si="1"/>
        <v>0</v>
      </c>
    </row>
    <row r="14" spans="1:10" x14ac:dyDescent="0.25">
      <c r="A14" t="s">
        <v>5</v>
      </c>
      <c r="B14" t="s">
        <v>4</v>
      </c>
      <c r="H14">
        <f t="shared" si="0"/>
        <v>0</v>
      </c>
      <c r="J14">
        <f t="shared" si="1"/>
        <v>0</v>
      </c>
    </row>
    <row r="15" spans="1:10" x14ac:dyDescent="0.25">
      <c r="A15" t="s">
        <v>15</v>
      </c>
      <c r="B15" t="s">
        <v>4</v>
      </c>
      <c r="H15">
        <f t="shared" si="0"/>
        <v>0</v>
      </c>
      <c r="J15">
        <f t="shared" si="1"/>
        <v>0</v>
      </c>
    </row>
    <row r="16" spans="1:10" x14ac:dyDescent="0.25">
      <c r="A16" t="s">
        <v>6</v>
      </c>
      <c r="B16" t="s">
        <v>4</v>
      </c>
      <c r="H16">
        <f t="shared" si="0"/>
        <v>0</v>
      </c>
      <c r="J16">
        <f t="shared" si="1"/>
        <v>0</v>
      </c>
    </row>
    <row r="17" spans="1:10" x14ac:dyDescent="0.25">
      <c r="A17" t="s">
        <v>34</v>
      </c>
      <c r="B17" t="s">
        <v>4</v>
      </c>
      <c r="H17">
        <f t="shared" si="0"/>
        <v>0</v>
      </c>
      <c r="J17">
        <f t="shared" si="1"/>
        <v>0</v>
      </c>
    </row>
    <row r="18" spans="1:10" x14ac:dyDescent="0.25">
      <c r="A18" t="s">
        <v>26</v>
      </c>
      <c r="B18" t="s">
        <v>4</v>
      </c>
      <c r="H18">
        <f t="shared" si="0"/>
        <v>0</v>
      </c>
      <c r="J18">
        <f t="shared" si="1"/>
        <v>0</v>
      </c>
    </row>
    <row r="19" spans="1:10" x14ac:dyDescent="0.25">
      <c r="A19" t="s">
        <v>18</v>
      </c>
      <c r="B19" t="s">
        <v>4</v>
      </c>
      <c r="H19">
        <f t="shared" si="0"/>
        <v>0</v>
      </c>
      <c r="J19">
        <f t="shared" si="1"/>
        <v>0</v>
      </c>
    </row>
    <row r="20" spans="1:10" x14ac:dyDescent="0.25">
      <c r="A20" t="s">
        <v>33</v>
      </c>
      <c r="B20" t="s">
        <v>4</v>
      </c>
      <c r="H20">
        <f t="shared" si="0"/>
        <v>0</v>
      </c>
      <c r="J20">
        <f t="shared" si="1"/>
        <v>0</v>
      </c>
    </row>
    <row r="21" spans="1:10" x14ac:dyDescent="0.25">
      <c r="A21" t="s">
        <v>17</v>
      </c>
      <c r="B21" t="s">
        <v>4</v>
      </c>
      <c r="H21">
        <f t="shared" si="0"/>
        <v>0</v>
      </c>
      <c r="J21">
        <f t="shared" si="1"/>
        <v>0</v>
      </c>
    </row>
    <row r="22" spans="1:10" x14ac:dyDescent="0.25">
      <c r="A22" t="s">
        <v>16</v>
      </c>
      <c r="B22" t="s">
        <v>4</v>
      </c>
      <c r="H22">
        <f t="shared" si="0"/>
        <v>0</v>
      </c>
      <c r="J22">
        <f t="shared" si="1"/>
        <v>0</v>
      </c>
    </row>
    <row r="23" spans="1:10" x14ac:dyDescent="0.25">
      <c r="A23" t="s">
        <v>24</v>
      </c>
      <c r="B23" t="s">
        <v>4</v>
      </c>
      <c r="H23">
        <f t="shared" si="0"/>
        <v>0</v>
      </c>
      <c r="J23">
        <f t="shared" si="1"/>
        <v>0</v>
      </c>
    </row>
    <row r="24" spans="1:10" x14ac:dyDescent="0.25">
      <c r="A24" t="s">
        <v>28</v>
      </c>
      <c r="B24" t="s">
        <v>8</v>
      </c>
      <c r="H24">
        <f t="shared" si="0"/>
        <v>0</v>
      </c>
      <c r="J24">
        <f t="shared" si="1"/>
        <v>0</v>
      </c>
    </row>
    <row r="25" spans="1:10" x14ac:dyDescent="0.25">
      <c r="A25" t="s">
        <v>10</v>
      </c>
      <c r="B25" t="s">
        <v>8</v>
      </c>
      <c r="H25">
        <f t="shared" si="0"/>
        <v>0</v>
      </c>
      <c r="J25">
        <f t="shared" si="1"/>
        <v>0</v>
      </c>
    </row>
    <row r="26" spans="1:10" x14ac:dyDescent="0.25">
      <c r="A26" t="s">
        <v>11</v>
      </c>
      <c r="B26" t="s">
        <v>8</v>
      </c>
      <c r="H26">
        <f t="shared" si="0"/>
        <v>0</v>
      </c>
      <c r="J26">
        <f t="shared" si="1"/>
        <v>0</v>
      </c>
    </row>
    <row r="27" spans="1:10" x14ac:dyDescent="0.25">
      <c r="A27" t="s">
        <v>12</v>
      </c>
      <c r="B27" t="s">
        <v>8</v>
      </c>
      <c r="H27">
        <f t="shared" si="0"/>
        <v>0</v>
      </c>
      <c r="J27">
        <f t="shared" si="1"/>
        <v>0</v>
      </c>
    </row>
    <row r="28" spans="1:10" x14ac:dyDescent="0.25">
      <c r="A28" t="s">
        <v>22</v>
      </c>
      <c r="B28" t="s">
        <v>8</v>
      </c>
      <c r="H28">
        <f t="shared" si="0"/>
        <v>0</v>
      </c>
      <c r="J28">
        <f t="shared" si="1"/>
        <v>0</v>
      </c>
    </row>
    <row r="29" spans="1:10" x14ac:dyDescent="0.25">
      <c r="A29" t="s">
        <v>15</v>
      </c>
      <c r="B29" t="s">
        <v>8</v>
      </c>
      <c r="H29">
        <f t="shared" si="0"/>
        <v>0</v>
      </c>
      <c r="J29">
        <f t="shared" si="1"/>
        <v>0</v>
      </c>
    </row>
    <row r="30" spans="1:10" x14ac:dyDescent="0.25">
      <c r="A30" t="s">
        <v>63</v>
      </c>
      <c r="B30" t="s">
        <v>8</v>
      </c>
      <c r="H30">
        <f t="shared" si="0"/>
        <v>0</v>
      </c>
      <c r="J30">
        <f t="shared" si="1"/>
        <v>0</v>
      </c>
    </row>
    <row r="31" spans="1:10" x14ac:dyDescent="0.25">
      <c r="A31" t="s">
        <v>56</v>
      </c>
      <c r="B31" t="s">
        <v>8</v>
      </c>
      <c r="H31">
        <f t="shared" si="0"/>
        <v>0</v>
      </c>
      <c r="J31">
        <f t="shared" si="1"/>
        <v>0</v>
      </c>
    </row>
    <row r="32" spans="1:10" x14ac:dyDescent="0.25">
      <c r="A32" t="s">
        <v>112</v>
      </c>
      <c r="B32" t="s">
        <v>8</v>
      </c>
      <c r="H32">
        <f t="shared" si="0"/>
        <v>0</v>
      </c>
      <c r="J32">
        <f t="shared" si="1"/>
        <v>0</v>
      </c>
    </row>
    <row r="33" spans="1:10" x14ac:dyDescent="0.25">
      <c r="A33" t="s">
        <v>110</v>
      </c>
      <c r="B33" t="s">
        <v>8</v>
      </c>
      <c r="H33">
        <f t="shared" si="0"/>
        <v>0</v>
      </c>
      <c r="J33">
        <f t="shared" si="1"/>
        <v>0</v>
      </c>
    </row>
    <row r="34" spans="1:10" x14ac:dyDescent="0.25">
      <c r="A34" t="s">
        <v>17</v>
      </c>
      <c r="B34" t="s">
        <v>8</v>
      </c>
      <c r="H34">
        <f t="shared" si="0"/>
        <v>0</v>
      </c>
      <c r="J34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Antigua</vt:lpstr>
      <vt:lpstr>Barbados</vt:lpstr>
      <vt:lpstr>Bermuda</vt:lpstr>
      <vt:lpstr>Carolina</vt:lpstr>
      <vt:lpstr>Jamaica</vt:lpstr>
      <vt:lpstr>Mountserat</vt:lpstr>
      <vt:lpstr>Nevis</vt:lpstr>
      <vt:lpstr>St Kitts</vt:lpstr>
      <vt:lpstr>NewEngland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2024-09-24T19:25:05Z</dcterms:created>
  <dcterms:modified xsi:type="dcterms:W3CDTF">2025-04-29T18:56:16Z</dcterms:modified>
</cp:coreProperties>
</file>