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913" documentId="8_{DA9655C0-8F5D-4B8E-B518-C978F552B696}" xr6:coauthVersionLast="47" xr6:coauthVersionMax="47" xr10:uidLastSave="{5343785A-3DD2-4CCE-9B35-02BCA4006C5D}"/>
  <bookViews>
    <workbookView xWindow="-120" yWindow="-120" windowWidth="29040" windowHeight="15840" xr2:uid="{9AAA25C1-312B-404A-9F69-2764525EDC48}"/>
  </bookViews>
  <sheets>
    <sheet name="Master Goods Sheet" sheetId="1" r:id="rId1"/>
    <sheet name="Anguilla" sheetId="10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2" r:id="rId10"/>
  </sheets>
  <definedNames>
    <definedName name="_xlnm._FilterDatabase" localSheetId="1" hidden="1">Anguilla!$A$1:$O$73</definedName>
    <definedName name="_xlnm._FilterDatabase" localSheetId="3" hidden="1">Barbados!$A$1:$N$56</definedName>
    <definedName name="_xlnm._FilterDatabase" localSheetId="5" hidden="1">Jamaica!$A$1:$O$73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2" l="1"/>
  <c r="H19" i="12"/>
  <c r="H54" i="8"/>
  <c r="H19" i="8"/>
  <c r="H53" i="7"/>
  <c r="H18" i="7"/>
  <c r="H52" i="6"/>
  <c r="H19" i="6"/>
  <c r="H81" i="5"/>
  <c r="H21" i="5"/>
  <c r="H63" i="3"/>
  <c r="H17" i="3"/>
  <c r="H9" i="2"/>
  <c r="H67" i="10"/>
  <c r="H34" i="2"/>
  <c r="J34" i="2" s="1"/>
  <c r="L34" i="2" s="1"/>
  <c r="J9" i="2"/>
  <c r="L9" i="2" s="1"/>
  <c r="L3" i="2"/>
  <c r="L4" i="2"/>
  <c r="L5" i="2"/>
  <c r="L6" i="2"/>
  <c r="L7" i="2"/>
  <c r="L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5" i="2"/>
  <c r="L36" i="2"/>
  <c r="L37" i="2"/>
  <c r="L38" i="2"/>
  <c r="L39" i="2"/>
  <c r="L40" i="2"/>
  <c r="L41" i="2"/>
  <c r="L43" i="2"/>
  <c r="L44" i="2"/>
  <c r="L45" i="2"/>
  <c r="L47" i="2"/>
  <c r="L48" i="2"/>
  <c r="L49" i="2"/>
  <c r="L50" i="2"/>
  <c r="C19" i="1" s="1"/>
  <c r="L51" i="2"/>
  <c r="L52" i="2"/>
  <c r="L53" i="2"/>
  <c r="L54" i="2"/>
  <c r="L55" i="2"/>
  <c r="L56" i="2"/>
  <c r="L57" i="2"/>
  <c r="J3" i="2"/>
  <c r="J4" i="2"/>
  <c r="J5" i="2"/>
  <c r="J6" i="2"/>
  <c r="J7" i="2"/>
  <c r="J8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5" i="2"/>
  <c r="J36" i="2"/>
  <c r="J37" i="2"/>
  <c r="J38" i="2"/>
  <c r="J39" i="2"/>
  <c r="J40" i="2"/>
  <c r="J41" i="2"/>
  <c r="J42" i="2"/>
  <c r="L42" i="2" s="1"/>
  <c r="J43" i="2"/>
  <c r="J44" i="2"/>
  <c r="J45" i="2"/>
  <c r="J46" i="2"/>
  <c r="L46" i="2" s="1"/>
  <c r="J47" i="2"/>
  <c r="J48" i="2"/>
  <c r="J49" i="2"/>
  <c r="J50" i="2"/>
  <c r="J51" i="2"/>
  <c r="J52" i="2"/>
  <c r="J53" i="2"/>
  <c r="J54" i="2"/>
  <c r="J55" i="2"/>
  <c r="J56" i="2"/>
  <c r="J57" i="2"/>
  <c r="C5" i="1"/>
  <c r="C13" i="1"/>
  <c r="C14" i="1"/>
  <c r="C22" i="1"/>
  <c r="C23" i="1"/>
  <c r="C24" i="1"/>
  <c r="C25" i="1"/>
  <c r="C30" i="1"/>
  <c r="C31" i="1"/>
  <c r="C2" i="1"/>
  <c r="B10" i="1"/>
  <c r="B11" i="1"/>
  <c r="B14" i="1"/>
  <c r="B19" i="1"/>
  <c r="B20" i="1"/>
  <c r="B22" i="1"/>
  <c r="B23" i="1"/>
  <c r="B24" i="1"/>
  <c r="B25" i="1"/>
  <c r="B27" i="1"/>
  <c r="B29" i="1"/>
  <c r="B30" i="1"/>
  <c r="B31" i="1"/>
  <c r="B2" i="1"/>
  <c r="L51" i="12"/>
  <c r="L52" i="12"/>
  <c r="J51" i="12"/>
  <c r="J52" i="12"/>
  <c r="J70" i="12"/>
  <c r="L70" i="12" s="1"/>
  <c r="J69" i="12"/>
  <c r="L69" i="12" s="1"/>
  <c r="J68" i="12"/>
  <c r="L68" i="12" s="1"/>
  <c r="J67" i="12"/>
  <c r="L67" i="12" s="1"/>
  <c r="J66" i="12"/>
  <c r="L66" i="12" s="1"/>
  <c r="J65" i="12"/>
  <c r="L65" i="12" s="1"/>
  <c r="J64" i="12"/>
  <c r="L64" i="12" s="1"/>
  <c r="J63" i="12"/>
  <c r="L63" i="12" s="1"/>
  <c r="J62" i="12"/>
  <c r="L62" i="12" s="1"/>
  <c r="J61" i="12"/>
  <c r="L61" i="12" s="1"/>
  <c r="J60" i="12"/>
  <c r="L60" i="12" s="1"/>
  <c r="J59" i="12"/>
  <c r="L59" i="12" s="1"/>
  <c r="J58" i="12"/>
  <c r="L58" i="12" s="1"/>
  <c r="J57" i="12"/>
  <c r="L57" i="12" s="1"/>
  <c r="J56" i="12"/>
  <c r="L56" i="12" s="1"/>
  <c r="J55" i="12"/>
  <c r="L55" i="12" s="1"/>
  <c r="J54" i="12"/>
  <c r="L54" i="12" s="1"/>
  <c r="J53" i="12"/>
  <c r="L53" i="12" s="1"/>
  <c r="J50" i="12"/>
  <c r="L50" i="12" s="1"/>
  <c r="J49" i="12"/>
  <c r="L49" i="12" s="1"/>
  <c r="J48" i="12"/>
  <c r="L48" i="12" s="1"/>
  <c r="J47" i="12"/>
  <c r="L47" i="12" s="1"/>
  <c r="J46" i="12"/>
  <c r="L46" i="12" s="1"/>
  <c r="J45" i="12"/>
  <c r="L45" i="12" s="1"/>
  <c r="J44" i="12"/>
  <c r="L44" i="12" s="1"/>
  <c r="J43" i="12"/>
  <c r="L43" i="12" s="1"/>
  <c r="J42" i="12"/>
  <c r="L42" i="12" s="1"/>
  <c r="J41" i="12"/>
  <c r="L41" i="12" s="1"/>
  <c r="J40" i="12"/>
  <c r="L40" i="12" s="1"/>
  <c r="J39" i="12"/>
  <c r="L39" i="12" s="1"/>
  <c r="J38" i="12"/>
  <c r="L38" i="12" s="1"/>
  <c r="J37" i="12"/>
  <c r="L37" i="12" s="1"/>
  <c r="J36" i="12"/>
  <c r="L36" i="12" s="1"/>
  <c r="J35" i="12"/>
  <c r="L35" i="12" s="1"/>
  <c r="J34" i="12"/>
  <c r="L34" i="12" s="1"/>
  <c r="J33" i="12"/>
  <c r="L33" i="12" s="1"/>
  <c r="J32" i="12"/>
  <c r="L32" i="12" s="1"/>
  <c r="J31" i="12"/>
  <c r="L31" i="12" s="1"/>
  <c r="J30" i="12"/>
  <c r="L30" i="12" s="1"/>
  <c r="J29" i="12"/>
  <c r="L29" i="12" s="1"/>
  <c r="J28" i="12"/>
  <c r="L28" i="12" s="1"/>
  <c r="J27" i="12"/>
  <c r="L27" i="12" s="1"/>
  <c r="J26" i="12"/>
  <c r="L26" i="12" s="1"/>
  <c r="J25" i="12"/>
  <c r="L25" i="12" s="1"/>
  <c r="J24" i="12"/>
  <c r="L24" i="12" s="1"/>
  <c r="J23" i="12"/>
  <c r="L23" i="12" s="1"/>
  <c r="J22" i="12"/>
  <c r="L22" i="12" s="1"/>
  <c r="J21" i="12"/>
  <c r="L21" i="12" s="1"/>
  <c r="J20" i="12"/>
  <c r="L20" i="12" s="1"/>
  <c r="J19" i="12"/>
  <c r="L19" i="12" s="1"/>
  <c r="J18" i="12"/>
  <c r="L18" i="12" s="1"/>
  <c r="J17" i="12"/>
  <c r="L17" i="12" s="1"/>
  <c r="J16" i="12"/>
  <c r="L16" i="12" s="1"/>
  <c r="J15" i="12"/>
  <c r="L15" i="12" s="1"/>
  <c r="J14" i="12"/>
  <c r="L14" i="12" s="1"/>
  <c r="J13" i="12"/>
  <c r="L13" i="12" s="1"/>
  <c r="J12" i="12"/>
  <c r="L12" i="12" s="1"/>
  <c r="J11" i="12"/>
  <c r="L11" i="12" s="1"/>
  <c r="J10" i="12"/>
  <c r="L10" i="12" s="1"/>
  <c r="J9" i="12"/>
  <c r="L9" i="12" s="1"/>
  <c r="J8" i="12"/>
  <c r="L8" i="12" s="1"/>
  <c r="J7" i="12"/>
  <c r="L7" i="12" s="1"/>
  <c r="J6" i="12"/>
  <c r="L6" i="12" s="1"/>
  <c r="J5" i="12"/>
  <c r="L5" i="12" s="1"/>
  <c r="J4" i="12"/>
  <c r="L4" i="12" s="1"/>
  <c r="J3" i="12"/>
  <c r="L3" i="12" s="1"/>
  <c r="J2" i="12"/>
  <c r="L2" i="12" s="1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20" i="8"/>
  <c r="L21" i="8"/>
  <c r="L22" i="8"/>
  <c r="L23" i="8"/>
  <c r="L24" i="8"/>
  <c r="L25" i="8"/>
  <c r="L26" i="8"/>
  <c r="L27" i="8"/>
  <c r="L28" i="8"/>
  <c r="L30" i="8"/>
  <c r="L31" i="8"/>
  <c r="L33" i="8"/>
  <c r="L35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5" i="8"/>
  <c r="L56" i="8"/>
  <c r="L57" i="8"/>
  <c r="L58" i="8"/>
  <c r="L59" i="8"/>
  <c r="L61" i="8"/>
  <c r="L62" i="8"/>
  <c r="L64" i="8"/>
  <c r="L65" i="8"/>
  <c r="L67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L19" i="8" s="1"/>
  <c r="J20" i="8"/>
  <c r="J21" i="8"/>
  <c r="J22" i="8"/>
  <c r="J23" i="8"/>
  <c r="J24" i="8"/>
  <c r="J25" i="8"/>
  <c r="J26" i="8"/>
  <c r="J27" i="8"/>
  <c r="J28" i="8"/>
  <c r="J29" i="8"/>
  <c r="L29" i="8" s="1"/>
  <c r="J30" i="8"/>
  <c r="J31" i="8"/>
  <c r="J32" i="8"/>
  <c r="L32" i="8" s="1"/>
  <c r="J33" i="8"/>
  <c r="J34" i="8"/>
  <c r="L34" i="8" s="1"/>
  <c r="J35" i="8"/>
  <c r="J36" i="8"/>
  <c r="L36" i="8" s="1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L54" i="8" s="1"/>
  <c r="J55" i="8"/>
  <c r="J56" i="8"/>
  <c r="J57" i="8"/>
  <c r="J58" i="8"/>
  <c r="J59" i="8"/>
  <c r="J60" i="8"/>
  <c r="L60" i="8" s="1"/>
  <c r="J61" i="8"/>
  <c r="J62" i="8"/>
  <c r="J63" i="8"/>
  <c r="L63" i="8" s="1"/>
  <c r="J64" i="8"/>
  <c r="J65" i="8"/>
  <c r="J66" i="8"/>
  <c r="L66" i="8" s="1"/>
  <c r="J67" i="8"/>
  <c r="J68" i="8"/>
  <c r="L68" i="8" s="1"/>
  <c r="J69" i="8"/>
  <c r="L69" i="8" s="1"/>
  <c r="L49" i="7"/>
  <c r="J49" i="7"/>
  <c r="J55" i="7"/>
  <c r="L55" i="7" s="1"/>
  <c r="J65" i="7"/>
  <c r="L65" i="7" s="1"/>
  <c r="L97" i="5"/>
  <c r="J97" i="5"/>
  <c r="L99" i="5"/>
  <c r="L123" i="5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8" i="5"/>
  <c r="L98" i="5" s="1"/>
  <c r="J99" i="5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93" i="3"/>
  <c r="J93" i="3"/>
  <c r="L54" i="3"/>
  <c r="L59" i="3"/>
  <c r="L60" i="3"/>
  <c r="L61" i="3"/>
  <c r="L73" i="3"/>
  <c r="L74" i="3"/>
  <c r="L79" i="3"/>
  <c r="L80" i="3"/>
  <c r="J51" i="3"/>
  <c r="J52" i="3"/>
  <c r="J53" i="3"/>
  <c r="L53" i="3" s="1"/>
  <c r="J54" i="3"/>
  <c r="J55" i="3"/>
  <c r="L55" i="3" s="1"/>
  <c r="J56" i="3"/>
  <c r="L56" i="3" s="1"/>
  <c r="J57" i="3"/>
  <c r="L57" i="3" s="1"/>
  <c r="J58" i="3"/>
  <c r="L58" i="3" s="1"/>
  <c r="J59" i="3"/>
  <c r="J60" i="3"/>
  <c r="J61" i="3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J74" i="3"/>
  <c r="J75" i="3"/>
  <c r="L75" i="3" s="1"/>
  <c r="J76" i="3"/>
  <c r="L76" i="3" s="1"/>
  <c r="J77" i="3"/>
  <c r="L77" i="3" s="1"/>
  <c r="J78" i="3"/>
  <c r="L78" i="3" s="1"/>
  <c r="J79" i="3"/>
  <c r="J80" i="3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4" i="3"/>
  <c r="L94" i="3" s="1"/>
  <c r="J95" i="3"/>
  <c r="L95" i="3" s="1"/>
  <c r="J96" i="3"/>
  <c r="L96" i="3" s="1"/>
  <c r="C29" i="1"/>
  <c r="C3" i="1"/>
  <c r="C4" i="1"/>
  <c r="C6" i="1"/>
  <c r="C8" i="1"/>
  <c r="C9" i="1"/>
  <c r="C10" i="1"/>
  <c r="C11" i="1"/>
  <c r="C12" i="1"/>
  <c r="C15" i="1"/>
  <c r="C17" i="1"/>
  <c r="C18" i="1"/>
  <c r="C20" i="1"/>
  <c r="C21" i="1"/>
  <c r="C27" i="1"/>
  <c r="C28" i="1"/>
  <c r="J88" i="10"/>
  <c r="L88" i="10" s="1"/>
  <c r="J87" i="10"/>
  <c r="L87" i="10" s="1"/>
  <c r="J86" i="10"/>
  <c r="L86" i="10" s="1"/>
  <c r="J85" i="10"/>
  <c r="L85" i="10" s="1"/>
  <c r="J84" i="10"/>
  <c r="L84" i="10" s="1"/>
  <c r="J83" i="10"/>
  <c r="L83" i="10" s="1"/>
  <c r="J82" i="10"/>
  <c r="L82" i="10" s="1"/>
  <c r="J81" i="10"/>
  <c r="L81" i="10" s="1"/>
  <c r="J80" i="10"/>
  <c r="L80" i="10" s="1"/>
  <c r="J79" i="10"/>
  <c r="L79" i="10" s="1"/>
  <c r="J78" i="10"/>
  <c r="L78" i="10" s="1"/>
  <c r="J77" i="10"/>
  <c r="L77" i="10" s="1"/>
  <c r="J76" i="10"/>
  <c r="L76" i="10" s="1"/>
  <c r="J75" i="10"/>
  <c r="L75" i="10" s="1"/>
  <c r="J74" i="10"/>
  <c r="L74" i="10" s="1"/>
  <c r="J73" i="10"/>
  <c r="L73" i="10" s="1"/>
  <c r="J72" i="10"/>
  <c r="L72" i="10" s="1"/>
  <c r="J71" i="10"/>
  <c r="L71" i="10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J51" i="10"/>
  <c r="L51" i="10" s="1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J32" i="10"/>
  <c r="L32" i="10" s="1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J19" i="10"/>
  <c r="L19" i="10" s="1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37" i="1"/>
  <c r="J2" i="2"/>
  <c r="L2" i="2" s="1"/>
  <c r="L30" i="7"/>
  <c r="L31" i="7"/>
  <c r="L35" i="7"/>
  <c r="J19" i="7"/>
  <c r="L19" i="7" s="1"/>
  <c r="J20" i="7"/>
  <c r="L20" i="7" s="1"/>
  <c r="J21" i="7"/>
  <c r="L21" i="7" s="1"/>
  <c r="J22" i="7"/>
  <c r="L22" i="7" s="1"/>
  <c r="J23" i="7"/>
  <c r="L23" i="7" s="1"/>
  <c r="J24" i="7"/>
  <c r="L24" i="7" s="1"/>
  <c r="J25" i="7"/>
  <c r="L25" i="7" s="1"/>
  <c r="J26" i="7"/>
  <c r="L26" i="7" s="1"/>
  <c r="J27" i="7"/>
  <c r="L27" i="7" s="1"/>
  <c r="J28" i="7"/>
  <c r="L28" i="7" s="1"/>
  <c r="J29" i="7"/>
  <c r="L29" i="7" s="1"/>
  <c r="J30" i="7"/>
  <c r="J31" i="7"/>
  <c r="J32" i="7"/>
  <c r="L32" i="7" s="1"/>
  <c r="J33" i="7"/>
  <c r="L33" i="7" s="1"/>
  <c r="J34" i="7"/>
  <c r="L34" i="7" s="1"/>
  <c r="J35" i="7"/>
  <c r="J36" i="7"/>
  <c r="L36" i="7" s="1"/>
  <c r="J37" i="7"/>
  <c r="L37" i="7" s="1"/>
  <c r="J38" i="7"/>
  <c r="L38" i="7" s="1"/>
  <c r="J39" i="7"/>
  <c r="L39" i="7" s="1"/>
  <c r="J40" i="7"/>
  <c r="L40" i="7" s="1"/>
  <c r="J41" i="7"/>
  <c r="L41" i="7" s="1"/>
  <c r="J42" i="7"/>
  <c r="L42" i="7" s="1"/>
  <c r="J43" i="7"/>
  <c r="L43" i="7" s="1"/>
  <c r="J44" i="7"/>
  <c r="L44" i="7" s="1"/>
  <c r="J45" i="7"/>
  <c r="L45" i="7" s="1"/>
  <c r="J46" i="7"/>
  <c r="L46" i="7" s="1"/>
  <c r="L17" i="6"/>
  <c r="L18" i="6"/>
  <c r="L20" i="6"/>
  <c r="L21" i="6"/>
  <c r="L22" i="6"/>
  <c r="L23" i="6"/>
  <c r="L24" i="6"/>
  <c r="L25" i="6"/>
  <c r="L26" i="6"/>
  <c r="L27" i="6"/>
  <c r="L28" i="6"/>
  <c r="L30" i="6"/>
  <c r="L31" i="6"/>
  <c r="L33" i="6"/>
  <c r="L34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50" i="6"/>
  <c r="L51" i="6"/>
  <c r="L53" i="6"/>
  <c r="L54" i="6"/>
  <c r="L56" i="6"/>
  <c r="L57" i="6"/>
  <c r="J17" i="6"/>
  <c r="J18" i="6"/>
  <c r="J19" i="6"/>
  <c r="L19" i="6" s="1"/>
  <c r="J20" i="6"/>
  <c r="J21" i="6"/>
  <c r="J22" i="6"/>
  <c r="J23" i="6"/>
  <c r="J24" i="6"/>
  <c r="J25" i="6"/>
  <c r="J26" i="6"/>
  <c r="J27" i="6"/>
  <c r="J28" i="6"/>
  <c r="J29" i="6"/>
  <c r="L29" i="6" s="1"/>
  <c r="J30" i="6"/>
  <c r="J31" i="6"/>
  <c r="J32" i="6"/>
  <c r="L32" i="6" s="1"/>
  <c r="J33" i="6"/>
  <c r="J34" i="6"/>
  <c r="J35" i="6"/>
  <c r="L35" i="6" s="1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L49" i="6" s="1"/>
  <c r="J50" i="6"/>
  <c r="J51" i="6"/>
  <c r="J52" i="6"/>
  <c r="L52" i="6" s="1"/>
  <c r="J53" i="6"/>
  <c r="J54" i="6"/>
  <c r="J55" i="6"/>
  <c r="L55" i="6" s="1"/>
  <c r="L23" i="5"/>
  <c r="L24" i="5"/>
  <c r="L25" i="5"/>
  <c r="L26" i="5"/>
  <c r="L27" i="5"/>
  <c r="L29" i="5"/>
  <c r="L30" i="5"/>
  <c r="L41" i="5"/>
  <c r="L43" i="5"/>
  <c r="L44" i="5"/>
  <c r="L45" i="5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J24" i="5"/>
  <c r="J25" i="5"/>
  <c r="J26" i="5"/>
  <c r="J27" i="5"/>
  <c r="J28" i="5"/>
  <c r="L28" i="5" s="1"/>
  <c r="J29" i="5"/>
  <c r="J30" i="5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J42" i="5"/>
  <c r="L42" i="5" s="1"/>
  <c r="J43" i="5"/>
  <c r="J44" i="5"/>
  <c r="J45" i="5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9" i="5"/>
  <c r="L9" i="5" s="1"/>
  <c r="J10" i="5"/>
  <c r="L10" i="5" s="1"/>
  <c r="J11" i="5"/>
  <c r="L11" i="5" s="1"/>
  <c r="J45" i="3"/>
  <c r="L45" i="3" s="1"/>
  <c r="L16" i="3"/>
  <c r="L37" i="3"/>
  <c r="L40" i="3"/>
  <c r="L41" i="3"/>
  <c r="L43" i="3"/>
  <c r="L44" i="3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J17" i="3"/>
  <c r="L17" i="3" s="1"/>
  <c r="J18" i="3"/>
  <c r="L18" i="3" s="1"/>
  <c r="J19" i="3"/>
  <c r="L19" i="3" s="1"/>
  <c r="J20" i="3"/>
  <c r="L20" i="3" s="1"/>
  <c r="J21" i="3"/>
  <c r="L21" i="3" s="1"/>
  <c r="J22" i="3"/>
  <c r="L22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J38" i="3"/>
  <c r="L38" i="3" s="1"/>
  <c r="J39" i="3"/>
  <c r="L39" i="3" s="1"/>
  <c r="J40" i="3"/>
  <c r="J41" i="3"/>
  <c r="J42" i="3"/>
  <c r="L42" i="3" s="1"/>
  <c r="J43" i="3"/>
  <c r="J44" i="3"/>
  <c r="B28" i="1"/>
  <c r="B3" i="1"/>
  <c r="B4" i="1"/>
  <c r="B6" i="1"/>
  <c r="B8" i="1"/>
  <c r="B9" i="1"/>
  <c r="B12" i="1"/>
  <c r="B13" i="1"/>
  <c r="B15" i="1"/>
  <c r="B17" i="1"/>
  <c r="B18" i="1"/>
  <c r="J2" i="8"/>
  <c r="L2" i="8" s="1"/>
  <c r="J69" i="7"/>
  <c r="L69" i="7" s="1"/>
  <c r="J68" i="7"/>
  <c r="L68" i="7" s="1"/>
  <c r="J67" i="7"/>
  <c r="L67" i="7" s="1"/>
  <c r="J66" i="7"/>
  <c r="L66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4" i="7"/>
  <c r="L54" i="7" s="1"/>
  <c r="J53" i="7"/>
  <c r="L53" i="7" s="1"/>
  <c r="J52" i="7"/>
  <c r="L52" i="7" s="1"/>
  <c r="J51" i="7"/>
  <c r="L51" i="7" s="1"/>
  <c r="J50" i="7"/>
  <c r="L50" i="7" s="1"/>
  <c r="J48" i="7"/>
  <c r="L48" i="7" s="1"/>
  <c r="J47" i="7"/>
  <c r="L47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J56" i="6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88" i="5"/>
  <c r="L88" i="5" s="1"/>
  <c r="J87" i="5"/>
  <c r="L87" i="5" s="1"/>
  <c r="J86" i="5"/>
  <c r="L86" i="5" s="1"/>
  <c r="J85" i="5"/>
  <c r="L85" i="5" s="1"/>
  <c r="J84" i="5"/>
  <c r="L84" i="5" s="1"/>
  <c r="J83" i="5"/>
  <c r="L83" i="5" s="1"/>
  <c r="J82" i="5"/>
  <c r="L82" i="5" s="1"/>
  <c r="J81" i="5"/>
  <c r="L81" i="5" s="1"/>
  <c r="J80" i="5"/>
  <c r="L80" i="5" s="1"/>
  <c r="J79" i="5"/>
  <c r="L79" i="5" s="1"/>
  <c r="J78" i="5"/>
  <c r="L78" i="5" s="1"/>
  <c r="J77" i="5"/>
  <c r="L77" i="5" s="1"/>
  <c r="J76" i="5"/>
  <c r="L76" i="5" s="1"/>
  <c r="J75" i="5"/>
  <c r="L75" i="5" s="1"/>
  <c r="J74" i="5"/>
  <c r="L74" i="5" s="1"/>
  <c r="J73" i="5"/>
  <c r="L73" i="5" s="1"/>
  <c r="J72" i="5"/>
  <c r="L72" i="5" s="1"/>
  <c r="J71" i="5"/>
  <c r="L71" i="5" s="1"/>
  <c r="J70" i="5"/>
  <c r="L70" i="5" s="1"/>
  <c r="J69" i="5"/>
  <c r="L69" i="5" s="1"/>
  <c r="J68" i="5"/>
  <c r="L68" i="5" s="1"/>
  <c r="J67" i="5"/>
  <c r="L67" i="5" s="1"/>
  <c r="J66" i="5"/>
  <c r="L66" i="5" s="1"/>
  <c r="J65" i="5"/>
  <c r="L65" i="5" s="1"/>
  <c r="J64" i="5"/>
  <c r="L64" i="5" s="1"/>
  <c r="J63" i="5"/>
  <c r="L63" i="5" s="1"/>
  <c r="J62" i="5"/>
  <c r="L62" i="5" s="1"/>
  <c r="J8" i="5"/>
  <c r="L8" i="5" s="1"/>
  <c r="J7" i="5"/>
  <c r="L7" i="5" s="1"/>
  <c r="J6" i="5"/>
  <c r="L6" i="5" s="1"/>
  <c r="J5" i="5"/>
  <c r="L5" i="5" s="1"/>
  <c r="J4" i="5"/>
  <c r="L4" i="5" s="1"/>
  <c r="J3" i="5"/>
  <c r="L3" i="5" s="1"/>
  <c r="J2" i="5"/>
  <c r="L2" i="5" s="1"/>
  <c r="J14" i="4"/>
  <c r="L14" i="4" s="1"/>
  <c r="J13" i="4"/>
  <c r="L13" i="4" s="1"/>
  <c r="J12" i="4"/>
  <c r="L12" i="4" s="1"/>
  <c r="J11" i="4"/>
  <c r="L11" i="4" s="1"/>
  <c r="J10" i="4"/>
  <c r="L10" i="4" s="1"/>
  <c r="L9" i="4"/>
  <c r="J9" i="4"/>
  <c r="J8" i="4"/>
  <c r="L8" i="4" s="1"/>
  <c r="J7" i="4"/>
  <c r="L7" i="4" s="1"/>
  <c r="J6" i="4"/>
  <c r="L6" i="4" s="1"/>
  <c r="L5" i="4"/>
  <c r="J5" i="4"/>
  <c r="J4" i="4"/>
  <c r="L4" i="4" s="1"/>
  <c r="J3" i="4"/>
  <c r="L3" i="4" s="1"/>
  <c r="J2" i="4"/>
  <c r="L2" i="4" s="1"/>
  <c r="L52" i="3"/>
  <c r="L51" i="3"/>
  <c r="J50" i="3"/>
  <c r="L50" i="3" s="1"/>
  <c r="J49" i="3"/>
  <c r="L49" i="3" s="1"/>
  <c r="J48" i="3"/>
  <c r="L48" i="3" s="1"/>
  <c r="J47" i="3"/>
  <c r="L47" i="3" s="1"/>
  <c r="J46" i="3"/>
  <c r="L46" i="3" s="1"/>
  <c r="J6" i="3"/>
  <c r="L6" i="3" s="1"/>
  <c r="J5" i="3"/>
  <c r="L5" i="3" s="1"/>
  <c r="J4" i="3"/>
  <c r="L4" i="3" s="1"/>
  <c r="J3" i="3"/>
  <c r="L3" i="3" s="1"/>
  <c r="J2" i="3"/>
  <c r="L2" i="3" s="1"/>
  <c r="B21" i="1"/>
  <c r="C26" i="1" l="1"/>
  <c r="B16" i="1"/>
  <c r="B26" i="1"/>
  <c r="C16" i="1"/>
  <c r="B7" i="1"/>
  <c r="C7" i="1"/>
  <c r="B5" i="1"/>
  <c r="D23" i="1"/>
  <c r="D24" i="1"/>
  <c r="D25" i="1"/>
  <c r="D3" i="1" l="1"/>
  <c r="D31" i="1"/>
  <c r="D22" i="1"/>
  <c r="D2" i="1"/>
  <c r="D14" i="1"/>
  <c r="D19" i="1"/>
  <c r="D5" i="1"/>
  <c r="D9" i="1"/>
  <c r="D20" i="1"/>
  <c r="D16" i="1"/>
  <c r="D29" i="1"/>
  <c r="D15" i="1"/>
  <c r="D27" i="1"/>
  <c r="D4" i="1"/>
  <c r="D12" i="1"/>
  <c r="D28" i="1"/>
  <c r="D17" i="1"/>
  <c r="D30" i="1"/>
  <c r="D21" i="1"/>
  <c r="D7" i="1"/>
  <c r="D6" i="1"/>
  <c r="D8" i="1"/>
  <c r="D18" i="1"/>
  <c r="D11" i="1"/>
  <c r="D10" i="1"/>
  <c r="D13" i="1"/>
  <c r="D26" i="1"/>
  <c r="C38" i="1" l="1"/>
</calcChain>
</file>

<file path=xl/sharedStrings.xml><?xml version="1.0" encoding="utf-8"?>
<sst xmlns="http://schemas.openxmlformats.org/spreadsheetml/2006/main" count="2121" uniqueCount="169">
  <si>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</si>
  <si>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</si>
  <si>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</si>
  <si>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</si>
  <si>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</si>
  <si>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</si>
  <si>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</si>
  <si>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</si>
  <si>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</si>
  <si>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</si>
  <si>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</si>
  <si>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</si>
  <si>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</si>
  <si>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</si>
  <si>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</si>
  <si>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</si>
  <si>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</si>
  <si>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</si>
  <si>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</si>
  <si>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</si>
  <si>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Succads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</si>
  <si>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</si>
  <si>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</si>
  <si>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</si>
  <si>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</si>
  <si>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</si>
  <si>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</si>
  <si>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</si>
  <si>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</si>
  <si>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Wood, Braziletto</t>
  </si>
  <si>
    <t>Wood, Fustick</t>
  </si>
  <si>
    <t>Wood, Logwood</t>
  </si>
  <si>
    <t>Wood, Redwood</t>
  </si>
  <si>
    <t>Wood, Sweetwood</t>
  </si>
  <si>
    <t>YEAR</t>
  </si>
  <si>
    <t>COMMODITY_NAME</t>
  </si>
  <si>
    <t>FROM_LOCATION</t>
  </si>
  <si>
    <t>TO_LOCATION</t>
  </si>
  <si>
    <t>ton</t>
  </si>
  <si>
    <t>hh</t>
  </si>
  <si>
    <t>quarter</t>
  </si>
  <si>
    <t>lb</t>
  </si>
  <si>
    <t>Total Pounds</t>
  </si>
  <si>
    <t>WEIGHT</t>
  </si>
  <si>
    <t>Antigua</t>
  </si>
  <si>
    <t>London</t>
  </si>
  <si>
    <t>Green Ginger</t>
  </si>
  <si>
    <t>Lemon Water</t>
  </si>
  <si>
    <t>Pickles</t>
  </si>
  <si>
    <t>Out Ports</t>
  </si>
  <si>
    <t>Cocoa</t>
  </si>
  <si>
    <t>Fustic</t>
  </si>
  <si>
    <t>Almonds, Bitter</t>
  </si>
  <si>
    <t>Barbados</t>
  </si>
  <si>
    <t>Almonds, Sweet</t>
  </si>
  <si>
    <t>Aloes Epatica</t>
  </si>
  <si>
    <t>Anniseeds</t>
  </si>
  <si>
    <t>Barrel Staves</t>
  </si>
  <si>
    <t>Brimstone</t>
  </si>
  <si>
    <t>Cassia Fistula</t>
  </si>
  <si>
    <t>Chocolate Paste</t>
  </si>
  <si>
    <t>Cocheneal</t>
  </si>
  <si>
    <t>Cocoa Paste</t>
  </si>
  <si>
    <t>Hemp</t>
  </si>
  <si>
    <t>Oranges</t>
  </si>
  <si>
    <t>Snuff</t>
  </si>
  <si>
    <t>Bermudos Plat</t>
  </si>
  <si>
    <t>Bermuda</t>
  </si>
  <si>
    <t>Logwood</t>
  </si>
  <si>
    <t>Jamaica</t>
  </si>
  <si>
    <t>Bacon</t>
  </si>
  <si>
    <t>Cortex Winteranus</t>
  </si>
  <si>
    <t>Sarsparila</t>
  </si>
  <si>
    <t>Wood, Nicaragua</t>
  </si>
  <si>
    <t>Tallow</t>
  </si>
  <si>
    <t>Mountserat</t>
  </si>
  <si>
    <t>Nevis</t>
  </si>
  <si>
    <t>StKitts</t>
  </si>
  <si>
    <t>Train Oyl</t>
  </si>
  <si>
    <t>4.5g</t>
  </si>
  <si>
    <t>44928g</t>
  </si>
  <si>
    <t>76t 0hh 52g</t>
  </si>
  <si>
    <t>Wood, Mahogany</t>
  </si>
  <si>
    <t>179 bags</t>
  </si>
  <si>
    <t>Barbados T…</t>
  </si>
  <si>
    <t>Tamerinds</t>
  </si>
  <si>
    <t>21.5g</t>
  </si>
  <si>
    <t>9398g</t>
  </si>
  <si>
    <t>258t 0hh 5g</t>
  </si>
  <si>
    <t>54 bags</t>
  </si>
  <si>
    <t>Coffee</t>
  </si>
  <si>
    <t>Bay Berries</t>
  </si>
  <si>
    <t>Cortex Peru</t>
  </si>
  <si>
    <t>Guinea Grains</t>
  </si>
  <si>
    <t>Gum Guiacum</t>
  </si>
  <si>
    <t>Jallop?</t>
  </si>
  <si>
    <t>Saunders Yellow</t>
  </si>
  <si>
    <t>Indigo, Plantation</t>
  </si>
  <si>
    <t>Indigo, Spanish</t>
  </si>
  <si>
    <t>3097g</t>
  </si>
  <si>
    <t>Orchelia</t>
  </si>
  <si>
    <t>15.75g</t>
  </si>
  <si>
    <t>Smalts</t>
  </si>
  <si>
    <t>546901g</t>
  </si>
  <si>
    <t>38t 3hh 8g</t>
  </si>
  <si>
    <t>Wood, Ebony</t>
  </si>
  <si>
    <t>Wood, Iron</t>
  </si>
  <si>
    <t>1031 bags</t>
  </si>
  <si>
    <t>2g</t>
  </si>
  <si>
    <t>3826g</t>
  </si>
  <si>
    <t>56t 0hh 60g</t>
  </si>
  <si>
    <t>95 bags</t>
  </si>
  <si>
    <t>2657g</t>
  </si>
  <si>
    <t>42t 1h 28g</t>
  </si>
  <si>
    <t>26 bags</t>
  </si>
  <si>
    <t>Copper Ore</t>
  </si>
  <si>
    <t>2.5g</t>
  </si>
  <si>
    <t>12649g</t>
  </si>
  <si>
    <t>74t 3h 40g</t>
  </si>
  <si>
    <t>Port</t>
  </si>
  <si>
    <t>8t 3h 15g</t>
  </si>
  <si>
    <t>266 bags</t>
  </si>
  <si>
    <t>Exports of Ginger this Year</t>
  </si>
  <si>
    <t>t</t>
  </si>
  <si>
    <t>q</t>
  </si>
  <si>
    <t>Portugal</t>
  </si>
  <si>
    <t>Spain</t>
  </si>
  <si>
    <t>Ireland</t>
  </si>
  <si>
    <t>East Country</t>
  </si>
  <si>
    <t>Germany</t>
  </si>
  <si>
    <t>Flanders</t>
  </si>
  <si>
    <t>Denmark/Norway</t>
  </si>
  <si>
    <t>Holland</t>
  </si>
  <si>
    <t>Straights</t>
  </si>
  <si>
    <t>Carolina</t>
  </si>
  <si>
    <t>Virginia and Maryland</t>
  </si>
  <si>
    <t>Anguilla</t>
  </si>
  <si>
    <t>176.5 bags</t>
  </si>
  <si>
    <t>Turpentine</t>
  </si>
  <si>
    <t>1.5g</t>
  </si>
  <si>
    <t>8331g</t>
  </si>
  <si>
    <t>8t 2h</t>
  </si>
  <si>
    <t>Wood, Cam</t>
  </si>
  <si>
    <t>511b</t>
  </si>
  <si>
    <t>Old Pewter</t>
  </si>
  <si>
    <t>5892g</t>
  </si>
  <si>
    <t>32t 3h 59g</t>
  </si>
  <si>
    <t>1307bags</t>
  </si>
  <si>
    <t>10g</t>
  </si>
  <si>
    <t>3.5g</t>
  </si>
  <si>
    <t>175992g</t>
  </si>
  <si>
    <t>17t 3h 22g</t>
  </si>
  <si>
    <t>2399.5 bags</t>
  </si>
  <si>
    <t>1568g</t>
  </si>
  <si>
    <t>1h 50g</t>
  </si>
  <si>
    <t>139.25 bags</t>
  </si>
  <si>
    <t>372g</t>
  </si>
  <si>
    <t>146.75 bags</t>
  </si>
  <si>
    <t>3720g</t>
  </si>
  <si>
    <t>48t 53g</t>
  </si>
  <si>
    <t>503.5 bags</t>
  </si>
  <si>
    <t>34g</t>
  </si>
  <si>
    <t>Tortola</t>
  </si>
  <si>
    <t>1h</t>
  </si>
  <si>
    <t>1800.75 bags</t>
  </si>
  <si>
    <t>5 bags</t>
  </si>
  <si>
    <t>Africa</t>
  </si>
  <si>
    <t>Italy</t>
  </si>
  <si>
    <t>Stayed in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</si>
</sst>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4B7F-3433-4AC4-8B8B-B8C5FDF9E049}">
  <dimension ref="A1:K57"/>
  <sheetViews>
    <sheetView tabSelected="1" workbookViewId="0"/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SUMIFS(Anguilla!$L:$L, Anguilla!$B:$B, $A2, Anguilla!$D:$D, "London") + 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SUMIFS(Tortola!$L:$L, Tortola!$B:$B, $A2, Tortola!$D:$D, "London")</f>
        <v>0</v>
      </c>
      <c r="C2">
        <f>SUMIFS(Anguilla!$L:$L, Anguilla!$B:$B, $A2, Anguilla!$D:$D, "Out Ports") + 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SUMIFS(Tortola!$L:$L, Tortola!$B:$B, $A2, Tortola!$D:$D, "Out Ports")</f>
        <v>0</v>
      </c>
      <c r="D2">
        <f>B2+C2</f>
        <v>0</v>
      </c>
    </row>
    <row r="3" spans="1:4" x14ac:dyDescent="0.25">
      <c r="A3" t="s">
        <v>5</v>
      </c>
      <c r="B3">
        <f>SUMIFS(Anguilla!$L:$L, Anguilla!$B:$B, $A3, Anguilla!$D:$D, "London") + 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SUMIFS(Tortola!$L:$L, Tortola!$B:$B, $A3, Tortola!$D:$D, "London")</f>
        <v>4.1866071428571425</v>
      </c>
      <c r="C3">
        <f>SUMIFS(Anguilla!$L:$L, Anguilla!$B:$B, $A3, Anguilla!$D:$D, "Out Ports") + 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SUMIFS(Tortola!$L:$L, Tortola!$B:$B, $A3, Tortola!$D:$D, "Out Ports")</f>
        <v>6.0566964285714278</v>
      </c>
      <c r="D3">
        <f t="shared" ref="D3:D31" si="0">B3+C3</f>
        <v>10.243303571428569</v>
      </c>
    </row>
    <row r="4" spans="1:4" x14ac:dyDescent="0.25">
      <c r="A4" t="s">
        <v>6</v>
      </c>
      <c r="B4">
        <f>SUMIFS(Anguilla!$L:$L, Anguilla!$B:$B, $A4, Anguilla!$D:$D, "London") + 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SUMIFS(Tortola!$L:$L, Tortola!$B:$B, $A4, Tortola!$D:$D, "London")</f>
        <v>42776.415178571435</v>
      </c>
      <c r="C4">
        <f>SUMIFS(Anguilla!$L:$L, Anguilla!$B:$B, $A4, Anguilla!$D:$D, "Out Ports") + 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SUMIFS(Tortola!$L:$L, Tortola!$B:$B, $A4, Tortola!$D:$D, "Out Ports")</f>
        <v>14464.635714285714</v>
      </c>
      <c r="D4">
        <f t="shared" si="0"/>
        <v>57241.050892857151</v>
      </c>
    </row>
    <row r="5" spans="1:4" x14ac:dyDescent="0.25">
      <c r="A5" t="s">
        <v>7</v>
      </c>
      <c r="B5">
        <f>SUMIFS(Anguilla!$L:$L, Anguilla!$B:$B, $A5, Anguilla!$D:$D, "London") + 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SUMIFS(Tortola!$L:$L, Tortola!$B:$B, $A5, Tortola!$D:$D, "London")</f>
        <v>0</v>
      </c>
      <c r="C5">
        <f>SUMIFS(Anguilla!$L:$L, Anguilla!$B:$B, $A5, Anguilla!$D:$D, "Out Ports") + 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SUMIFS(Tortola!$L:$L, Tortola!$B:$B, $A5, Tortola!$D:$D, "Out Ports")</f>
        <v>0</v>
      </c>
      <c r="D5">
        <f t="shared" si="0"/>
        <v>0</v>
      </c>
    </row>
    <row r="6" spans="1:4" x14ac:dyDescent="0.25">
      <c r="A6" t="s">
        <v>8</v>
      </c>
      <c r="B6">
        <f>SUMIFS(Anguilla!$L:$L, Anguilla!$B:$B, $A6, Anguilla!$D:$D, "London") + 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SUMIFS(Tortola!$L:$L, Tortola!$B:$B, $A6, Tortola!$D:$D, "London")</f>
        <v>12.201785714285714</v>
      </c>
      <c r="C6">
        <f>SUMIFS(Anguilla!$L:$L, Anguilla!$B:$B, $A6, Anguilla!$D:$D, "Out Ports") + 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SUMIFS(Tortola!$L:$L, Tortola!$B:$B, $A6, Tortola!$D:$D, "Out Ports")</f>
        <v>3.8687499999999999</v>
      </c>
      <c r="D6">
        <f t="shared" si="0"/>
        <v>16.070535714285715</v>
      </c>
    </row>
    <row r="7" spans="1:4" x14ac:dyDescent="0.25">
      <c r="A7" t="s">
        <v>9</v>
      </c>
      <c r="B7">
        <f>SUMIFS(Anguilla!$L:$L, Anguilla!$B:$B, $A7, Anguilla!$D:$D, "London") + 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SUMIFS(Tortola!$L:$L, Tortola!$B:$B, $A7, Tortola!$D:$D, "London")</f>
        <v>147.85714285714286</v>
      </c>
      <c r="C7">
        <f>SUMIFS(Anguilla!$L:$L, Anguilla!$B:$B, $A7, Anguilla!$D:$D, "Out Ports") + 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SUMIFS(Tortola!$L:$L, Tortola!$B:$B, $A7, Tortola!$D:$D, "Out Ports")</f>
        <v>616.75</v>
      </c>
      <c r="D7">
        <f t="shared" si="0"/>
        <v>764.60714285714289</v>
      </c>
    </row>
    <row r="8" spans="1:4" x14ac:dyDescent="0.25">
      <c r="A8" t="s">
        <v>10</v>
      </c>
      <c r="B8">
        <f>SUMIFS(Anguilla!$L:$L, Anguilla!$B:$B, $A8, Anguilla!$D:$D, "London") + 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SUMIFS(Tortola!$L:$L, Tortola!$B:$B, $A8, Tortola!$D:$D, "London")</f>
        <v>747.73749999999995</v>
      </c>
      <c r="C8">
        <f>SUMIFS(Anguilla!$L:$L, Anguilla!$B:$B, $A8, Anguilla!$D:$D, "Out Ports") + 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SUMIFS(Tortola!$L:$L, Tortola!$B:$B, $A8, Tortola!$D:$D, "Out Ports")</f>
        <v>405.13973214285716</v>
      </c>
      <c r="D8">
        <f t="shared" si="0"/>
        <v>1152.8772321428571</v>
      </c>
    </row>
    <row r="9" spans="1:4" x14ac:dyDescent="0.25">
      <c r="A9" t="s">
        <v>11</v>
      </c>
      <c r="B9">
        <f>SUMIFS(Anguilla!$L:$L, Anguilla!$B:$B, $A9, Anguilla!$D:$D, "London") + 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SUMIFS(Tortola!$L:$L, Tortola!$B:$B, $A9, Tortola!$D:$D, "London")</f>
        <v>8.282589285714284</v>
      </c>
      <c r="C9">
        <f>SUMIFS(Anguilla!$L:$L, Anguilla!$B:$B, $A9, Anguilla!$D:$D, "Out Ports") + 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SUMIFS(Tortola!$L:$L, Tortola!$B:$B, $A9, Tortola!$D:$D, "Out Ports")</f>
        <v>39.811607142857142</v>
      </c>
      <c r="D9">
        <f t="shared" si="0"/>
        <v>48.094196428571422</v>
      </c>
    </row>
    <row r="10" spans="1:4" x14ac:dyDescent="0.25">
      <c r="A10" t="s">
        <v>12</v>
      </c>
      <c r="B10">
        <f>SUMIFS(Anguilla!$L:$L, Anguilla!$B:$B, $A10, Anguilla!$D:$D, "London") + 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SUMIFS(Tortola!$L:$L, Tortola!$B:$B, $A10, Tortola!$D:$D, "London")</f>
        <v>1.4794642857142859</v>
      </c>
      <c r="C10">
        <f>SUMIFS(Anguilla!$L:$L, Anguilla!$B:$B, $A10, Anguilla!$D:$D, "Out Ports") + 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SUMIFS(Tortola!$L:$L, Tortola!$B:$B, $A10, Tortola!$D:$D, "Out Ports")</f>
        <v>0.84776785714285718</v>
      </c>
      <c r="D10">
        <f t="shared" si="0"/>
        <v>2.327232142857143</v>
      </c>
    </row>
    <row r="11" spans="1:4" x14ac:dyDescent="0.25">
      <c r="A11" t="s">
        <v>13</v>
      </c>
      <c r="B11">
        <f>SUMIFS(Anguilla!$L:$L, Anguilla!$B:$B, $A11, Anguilla!$D:$D, "London") + 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SUMIFS(Tortola!$L:$L, Tortola!$B:$B, $A11, Tortola!$D:$D, "London")</f>
        <v>163.21250000000001</v>
      </c>
      <c r="C11">
        <f>SUMIFS(Anguilla!$L:$L, Anguilla!$B:$B, $A11, Anguilla!$D:$D, "Out Ports") + 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SUMIFS(Tortola!$L:$L, Tortola!$B:$B, $A11, Tortola!$D:$D, "Out Ports")</f>
        <v>158.99107142857144</v>
      </c>
      <c r="D11">
        <f t="shared" si="0"/>
        <v>322.20357142857142</v>
      </c>
    </row>
    <row r="12" spans="1:4" x14ac:dyDescent="0.25">
      <c r="A12" t="s">
        <v>14</v>
      </c>
      <c r="B12">
        <f>SUMIFS(Anguilla!$L:$L, Anguilla!$B:$B, $A12, Anguilla!$D:$D, "London") + 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SUMIFS(Tortola!$L:$L, Tortola!$B:$B, $A12, Tortola!$D:$D, "London")</f>
        <v>13.954017857142857</v>
      </c>
      <c r="C12">
        <f>SUMIFS(Anguilla!$L:$L, Anguilla!$B:$B, $A12, Anguilla!$D:$D, "Out Ports") + 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SUMIFS(Tortola!$L:$L, Tortola!$B:$B, $A12, Tortola!$D:$D, "Out Ports")</f>
        <v>4.5089285714285714E-2</v>
      </c>
      <c r="D12">
        <f t="shared" si="0"/>
        <v>13.999107142857142</v>
      </c>
    </row>
    <row r="13" spans="1:4" x14ac:dyDescent="0.25">
      <c r="A13" t="s">
        <v>15</v>
      </c>
      <c r="B13">
        <f>SUMIFS(Anguilla!$L:$L, Anguilla!$B:$B, $A13, Anguilla!$D:$D, "London") + 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SUMIFS(Tortola!$L:$L, Tortola!$B:$B, $A13, Tortola!$D:$D, "London")</f>
        <v>0</v>
      </c>
      <c r="C13">
        <f>SUMIFS(Anguilla!$L:$L, Anguilla!$B:$B, $A13, Anguilla!$D:$D, "Out Ports") + 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SUMIFS(Tortola!$L:$L, Tortola!$B:$B, $A13, Tortola!$D:$D, "Out Ports")</f>
        <v>0</v>
      </c>
      <c r="D13">
        <f t="shared" si="0"/>
        <v>0</v>
      </c>
    </row>
    <row r="14" spans="1:4" x14ac:dyDescent="0.25">
      <c r="A14" t="s">
        <v>16</v>
      </c>
      <c r="B14">
        <f>SUMIFS(Anguilla!$L:$L, Anguilla!$B:$B, $A14, Anguilla!$D:$D, "London") + 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SUMIFS(Tortola!$L:$L, Tortola!$B:$B, $A14, Tortola!$D:$D, "London")</f>
        <v>118.51607142857142</v>
      </c>
      <c r="C14">
        <f>SUMIFS(Anguilla!$L:$L, Anguilla!$B:$B, $A14, Anguilla!$D:$D, "Out Ports") + 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SUMIFS(Tortola!$L:$L, Tortola!$B:$B, $A14, Tortola!$D:$D, "Out Ports")</f>
        <v>87.887500000000003</v>
      </c>
      <c r="D14">
        <f t="shared" si="0"/>
        <v>206.40357142857141</v>
      </c>
    </row>
    <row r="15" spans="1:4" x14ac:dyDescent="0.25">
      <c r="A15" t="s">
        <v>17</v>
      </c>
      <c r="B15">
        <f>SUMIFS(Anguilla!$L:$L, Anguilla!$B:$B, $A15, Anguilla!$D:$D, "London") + 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SUMIFS(Tortola!$L:$L, Tortola!$B:$B, $A15, Tortola!$D:$D, "London")</f>
        <v>4.7374999999999998</v>
      </c>
      <c r="C15">
        <f>SUMIFS(Anguilla!$L:$L, Anguilla!$B:$B, $A15, Anguilla!$D:$D, "Out Ports") + 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SUMIFS(Tortola!$L:$L, Tortola!$B:$B, $A15, Tortola!$D:$D, "Out Ports")</f>
        <v>31.399553571428573</v>
      </c>
      <c r="D15">
        <f t="shared" si="0"/>
        <v>36.137053571428574</v>
      </c>
    </row>
    <row r="16" spans="1:4" x14ac:dyDescent="0.25">
      <c r="A16" t="s">
        <v>18</v>
      </c>
      <c r="B16">
        <f>SUMIFS(Anguilla!$L:$L, Anguilla!$B:$B, $A16, Anguilla!$D:$D, "London") + 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SUMIFS(Tortola!$L:$L, Tortola!$B:$B, $A16, Tortola!$D:$D, "London")</f>
        <v>2792.5227678571423</v>
      </c>
      <c r="C16">
        <f>SUMIFS(Anguilla!$L:$L, Anguilla!$B:$B, $A16, Anguilla!$D:$D, "Out Ports") + 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SUMIFS(Tortola!$L:$L, Tortola!$B:$B, $A16, Tortola!$D:$D, "Out Ports")</f>
        <v>882.12589285714284</v>
      </c>
      <c r="D16">
        <f t="shared" si="0"/>
        <v>3674.6486607142851</v>
      </c>
    </row>
    <row r="17" spans="1:4" x14ac:dyDescent="0.25">
      <c r="A17" t="s">
        <v>19</v>
      </c>
      <c r="B17">
        <f>SUMIFS(Anguilla!$L:$L, Anguilla!$B:$B, $A17, Anguilla!$D:$D, "London") + 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SUMIFS(Tortola!$L:$L, Tortola!$B:$B, $A17, Tortola!$D:$D, "London")</f>
        <v>6.25E-2</v>
      </c>
      <c r="C17">
        <f>SUMIFS(Anguilla!$L:$L, Anguilla!$B:$B, $A17, Anguilla!$D:$D, "Out Ports") + 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SUMIFS(Tortola!$L:$L, Tortola!$B:$B, $A17, Tortola!$D:$D, "Out Ports")</f>
        <v>3.7174107142857142</v>
      </c>
      <c r="D17">
        <f t="shared" si="0"/>
        <v>3.7799107142857142</v>
      </c>
    </row>
    <row r="18" spans="1:4" x14ac:dyDescent="0.25">
      <c r="A18" t="s">
        <v>20</v>
      </c>
      <c r="B18">
        <f>SUMIFS(Anguilla!$L:$L, Anguilla!$B:$B, $A18, Anguilla!$D:$D, "London") + 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SUMIFS(Tortola!$L:$L, Tortola!$B:$B, $A18, Tortola!$D:$D, "London")</f>
        <v>1.7178571428571427</v>
      </c>
      <c r="C18">
        <f>SUMIFS(Anguilla!$L:$L, Anguilla!$B:$B, $A18, Anguilla!$D:$D, "Out Ports") + 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SUMIFS(Tortola!$L:$L, Tortola!$B:$B, $A18, Tortola!$D:$D, "Out Ports")</f>
        <v>0.19241071428571427</v>
      </c>
      <c r="D18">
        <f t="shared" si="0"/>
        <v>1.9102678571428571</v>
      </c>
    </row>
    <row r="19" spans="1:4" x14ac:dyDescent="0.25">
      <c r="A19" t="s">
        <v>21</v>
      </c>
      <c r="B19">
        <f>SUMIFS(Anguilla!$L:$L, Anguilla!$B:$B, $A19, Anguilla!$D:$D, "London") + 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SUMIFS(Tortola!$L:$L, Tortola!$B:$B, $A19, Tortola!$D:$D, "London")</f>
        <v>3.5714285714285713E-3</v>
      </c>
      <c r="C19">
        <f>SUMIFS(Anguilla!$L:$L, Anguilla!$B:$B, $A19, Anguilla!$D:$D, "Out Ports") + 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SUMIFS(Tortola!$L:$L, Tortola!$B:$B, $A19, Tortola!$D:$D, "Out Ports")</f>
        <v>0</v>
      </c>
      <c r="D19">
        <f t="shared" si="0"/>
        <v>3.5714285714285713E-3</v>
      </c>
    </row>
    <row r="20" spans="1:4" x14ac:dyDescent="0.25">
      <c r="A20" t="s">
        <v>22</v>
      </c>
      <c r="B20">
        <f>SUMIFS(Anguilla!$L:$L, Anguilla!$B:$B, $A20, Anguilla!$D:$D, "London") + 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SUMIFS(Tortola!$L:$L, Tortola!$B:$B, $A20, Tortola!$D:$D, "London")</f>
        <v>2.9203125000000005</v>
      </c>
      <c r="C20">
        <f>SUMIFS(Anguilla!$L:$L, Anguilla!$B:$B, $A20, Anguilla!$D:$D, "Out Ports") + 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SUMIFS(Tortola!$L:$L, Tortola!$B:$B, $A20, Tortola!$D:$D, "Out Ports")</f>
        <v>0.79374999999999996</v>
      </c>
      <c r="D20">
        <f t="shared" si="0"/>
        <v>3.7140625000000007</v>
      </c>
    </row>
    <row r="21" spans="1:4" x14ac:dyDescent="0.25">
      <c r="A21" t="s">
        <v>23</v>
      </c>
      <c r="B21">
        <f>SUMIFS(Anguilla!$L:$L, Anguilla!$B:$B, $A21, Anguilla!$D:$D, "London") + 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SUMIFS(Tortola!$L:$L, Tortola!$B:$B, $A21, Tortola!$D:$D, "London")</f>
        <v>0</v>
      </c>
      <c r="C21">
        <f>SUMIFS(Anguilla!$L:$L, Anguilla!$B:$B, $A21, Anguilla!$D:$D, "Out Ports") + 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SUMIFS(Tortola!$L:$L, Tortola!$B:$B, $A21, Tortola!$D:$D, "Out Ports")</f>
        <v>0</v>
      </c>
      <c r="D21">
        <f t="shared" si="0"/>
        <v>0</v>
      </c>
    </row>
    <row r="22" spans="1:4" x14ac:dyDescent="0.25">
      <c r="A22" t="s">
        <v>24</v>
      </c>
      <c r="B22">
        <f>SUMIFS(Anguilla!$L:$L, Anguilla!$B:$B, $A22, Anguilla!$D:$D, "London") + 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SUMIFS(Tortola!$L:$L, Tortola!$B:$B, $A22, Tortola!$D:$D, "London")</f>
        <v>0</v>
      </c>
      <c r="C22">
        <f>SUMIFS(Anguilla!$L:$L, Anguilla!$B:$B, $A22, Anguilla!$D:$D, "Out Ports") + 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SUMIFS(Tortola!$L:$L, Tortola!$B:$B, $A22, Tortola!$D:$D, "Out Ports")</f>
        <v>0</v>
      </c>
      <c r="D22">
        <f t="shared" si="0"/>
        <v>0</v>
      </c>
    </row>
    <row r="23" spans="1:4" x14ac:dyDescent="0.25">
      <c r="A23" t="s">
        <v>25</v>
      </c>
      <c r="B23">
        <f>SUMIFS(Anguilla!$L:$L, Anguilla!$B:$B, $A23, Anguilla!$D:$D, "London") + 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SUMIFS(Tortola!$L:$L, Tortola!$B:$B, $A23, Tortola!$D:$D, "London")</f>
        <v>0</v>
      </c>
      <c r="C23">
        <f>SUMIFS(Anguilla!$L:$L, Anguilla!$B:$B, $A23, Anguilla!$D:$D, "Out Ports") + 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SUMIFS(Tortola!$L:$L, Tortola!$B:$B, $A23, Tortola!$D:$D, "Out Ports")</f>
        <v>0</v>
      </c>
      <c r="D23">
        <f t="shared" si="0"/>
        <v>0</v>
      </c>
    </row>
    <row r="24" spans="1:4" x14ac:dyDescent="0.25">
      <c r="A24" t="s">
        <v>26</v>
      </c>
      <c r="B24">
        <f>SUMIFS(Anguilla!$L:$L, Anguilla!$B:$B, $A24, Anguilla!$D:$D, "London") + 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SUMIFS(Tortola!$L:$L, Tortola!$B:$B, $A24, Tortola!$D:$D, "London")</f>
        <v>0</v>
      </c>
      <c r="C24">
        <f>SUMIFS(Anguilla!$L:$L, Anguilla!$B:$B, $A24, Anguilla!$D:$D, "Out Ports") + 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SUMIFS(Tortola!$L:$L, Tortola!$B:$B, $A24, Tortola!$D:$D, "Out Ports")</f>
        <v>0</v>
      </c>
      <c r="D24">
        <f t="shared" si="0"/>
        <v>0</v>
      </c>
    </row>
    <row r="25" spans="1:4" x14ac:dyDescent="0.25">
      <c r="A25" t="s">
        <v>27</v>
      </c>
      <c r="B25">
        <f>SUMIFS(Anguilla!$L:$L, Anguilla!$B:$B, $A25, Anguilla!$D:$D, "London") + 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SUMIFS(Tortola!$L:$L, Tortola!$B:$B, $A25, Tortola!$D:$D, "London")</f>
        <v>8.9906249999999996</v>
      </c>
      <c r="C25">
        <f>SUMIFS(Anguilla!$L:$L, Anguilla!$B:$B, $A25, Anguilla!$D:$D, "Out Ports") + 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SUMIFS(Tortola!$L:$L, Tortola!$B:$B, $A25, Tortola!$D:$D, "Out Ports")</f>
        <v>0.49330357142857145</v>
      </c>
      <c r="D25">
        <f t="shared" si="0"/>
        <v>9.4839285714285708</v>
      </c>
    </row>
    <row r="26" spans="1:4" x14ac:dyDescent="0.25">
      <c r="A26" t="s">
        <v>28</v>
      </c>
      <c r="B26">
        <f>SUMIFS(Anguilla!$L:$L, Anguilla!$B:$B, $A26, Anguilla!$D:$D, "London") + 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SUMIFS(Tortola!$L:$L, Tortola!$B:$B, $A26, Tortola!$D:$D, "London")</f>
        <v>581.70982142857144</v>
      </c>
      <c r="C26">
        <f>SUMIFS(Anguilla!$L:$L, Anguilla!$B:$B, $A26, Anguilla!$D:$D, "Out Ports") + 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SUMIFS(Tortola!$L:$L, Tortola!$B:$B, $A26, Tortola!$D:$D, "Out Ports")</f>
        <v>106.24486607142859</v>
      </c>
      <c r="D26">
        <f t="shared" si="0"/>
        <v>687.95468750000009</v>
      </c>
    </row>
    <row r="27" spans="1:4" x14ac:dyDescent="0.25">
      <c r="A27" t="s">
        <v>29</v>
      </c>
      <c r="B27">
        <f>SUMIFS(Anguilla!$L:$L, Anguilla!$B:$B, $A27, Anguilla!$D:$D, "London") + 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SUMIFS(Tortola!$L:$L, Tortola!$B:$B, $A27, Tortola!$D:$D, "London")</f>
        <v>42</v>
      </c>
      <c r="C27">
        <f>SUMIFS(Anguilla!$L:$L, Anguilla!$B:$B, $A27, Anguilla!$D:$D, "Out Ports") + 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SUMIFS(Tortola!$L:$L, Tortola!$B:$B, $A27, Tortola!$D:$D, "Out Ports")</f>
        <v>40.347321428571426</v>
      </c>
      <c r="D27">
        <f t="shared" si="0"/>
        <v>82.347321428571433</v>
      </c>
    </row>
    <row r="28" spans="1:4" x14ac:dyDescent="0.25">
      <c r="A28" t="s">
        <v>30</v>
      </c>
      <c r="B28">
        <f>SUMIFS(Anguilla!$L:$L, Anguilla!$B:$B, $A28, Anguilla!$D:$D, "London") + 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SUMIFS(Tortola!$L:$L, Tortola!$B:$B, $A28, Tortola!$D:$D, "London")</f>
        <v>1238.325</v>
      </c>
      <c r="C28">
        <f>SUMIFS(Anguilla!$L:$L, Anguilla!$B:$B, $A28, Anguilla!$D:$D, "Out Ports") + 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SUMIFS(Tortola!$L:$L, Tortola!$B:$B, $A28, Tortola!$D:$D, "Out Ports")</f>
        <v>1095.0040178571428</v>
      </c>
      <c r="D28">
        <f t="shared" si="0"/>
        <v>2333.3290178571428</v>
      </c>
    </row>
    <row r="29" spans="1:4" x14ac:dyDescent="0.25">
      <c r="A29" t="s">
        <v>31</v>
      </c>
      <c r="B29">
        <f>SUMIFS(Anguilla!$L:$L, Anguilla!$B:$B, $A29, Anguilla!$D:$D, "London") + 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SUMIFS(Tortola!$L:$L, Tortola!$B:$B, $A29, Tortola!$D:$D, "London")</f>
        <v>1583.4428571428571</v>
      </c>
      <c r="C29">
        <f>SUMIFS(Anguilla!$L:$L, Anguilla!$B:$B, $A29, Anguilla!$D:$D, "Out Ports") + 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SUMIFS(Tortola!$L:$L, Tortola!$B:$B, $A29, Tortola!$D:$D, "Out Ports")</f>
        <v>542.58571428571429</v>
      </c>
      <c r="D29">
        <f t="shared" si="0"/>
        <v>2126.0285714285715</v>
      </c>
    </row>
    <row r="30" spans="1:4" x14ac:dyDescent="0.25">
      <c r="A30" t="s">
        <v>32</v>
      </c>
      <c r="B30">
        <f>SUMIFS(Anguilla!$L:$L, Anguilla!$B:$B, $A30, Anguilla!$D:$D, "London") + 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SUMIFS(Tortola!$L:$L, Tortola!$B:$B, $A30, Tortola!$D:$D, "London")</f>
        <v>16.5</v>
      </c>
      <c r="C30">
        <f>SUMIFS(Anguilla!$L:$L, Anguilla!$B:$B, $A30, Anguilla!$D:$D, "Out Ports") + 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SUMIFS(Tortola!$L:$L, Tortola!$B:$B, $A30, Tortola!$D:$D, "Out Ports")</f>
        <v>87.762500000000003</v>
      </c>
      <c r="D30">
        <f t="shared" si="0"/>
        <v>104.2625</v>
      </c>
    </row>
    <row r="31" spans="1:4" x14ac:dyDescent="0.25">
      <c r="A31" t="s">
        <v>33</v>
      </c>
      <c r="B31">
        <f>SUMIFS(Anguilla!$L:$L, Anguilla!$B:$B, $A31, Anguilla!$D:$D, "London") + 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SUMIFS(Tortola!$L:$L, Tortola!$B:$B, $A31, Tortola!$D:$D, "London")</f>
        <v>0</v>
      </c>
      <c r="C31">
        <f>SUMIFS(Anguilla!$L:$L, Anguilla!$B:$B, $A31, Anguilla!$D:$D, "Out Ports") + 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SUMIFS(Tortola!$L:$L, Tortola!$B:$B, $A31, Tortola!$D:$D, "Out Ports")</f>
        <v>0</v>
      </c>
      <c r="D31">
        <f t="shared" si="0"/>
        <v>0</v>
      </c>
    </row>
    <row r="36" spans="1:11" x14ac:dyDescent="0.25">
      <c r="F36" t="s">
        <v>123</v>
      </c>
      <c r="G36" t="s">
        <v>39</v>
      </c>
      <c r="H36" t="s">
        <v>124</v>
      </c>
      <c r="I36" t="s">
        <v>41</v>
      </c>
    </row>
    <row r="37" spans="1:11" x14ac:dyDescent="0.25">
      <c r="A37" t="s">
        <v>122</v>
      </c>
      <c r="C37">
        <f>SUM(K37:K47)</f>
        <v>451.68348214285709</v>
      </c>
      <c r="E37" t="s">
        <v>131</v>
      </c>
      <c r="G37">
        <v>52</v>
      </c>
      <c r="I37">
        <v>7</v>
      </c>
      <c r="K37">
        <f>((F37*2240)+(G37*112)+(H37*28)+I37)/2240</f>
        <v>2.6031249999999999</v>
      </c>
    </row>
    <row r="38" spans="1:11" x14ac:dyDescent="0.25">
      <c r="A38" t="s">
        <v>168</v>
      </c>
      <c r="C38">
        <f>D8-C37</f>
        <v>701.19375000000002</v>
      </c>
      <c r="E38" t="s">
        <v>128</v>
      </c>
      <c r="G38">
        <v>829</v>
      </c>
      <c r="H38">
        <v>3</v>
      </c>
      <c r="K38">
        <f t="shared" ref="K38:K57" si="1">((F38*2240)+(G38*112)+(H38*28)+I38)/2240</f>
        <v>41.487499999999997</v>
      </c>
    </row>
    <row r="39" spans="1:11" x14ac:dyDescent="0.25">
      <c r="E39" t="s">
        <v>130</v>
      </c>
      <c r="H39">
        <v>2</v>
      </c>
      <c r="I39">
        <v>22</v>
      </c>
      <c r="K39">
        <f t="shared" si="1"/>
        <v>3.4821428571428573E-2</v>
      </c>
    </row>
    <row r="40" spans="1:11" x14ac:dyDescent="0.25">
      <c r="E40" t="s">
        <v>129</v>
      </c>
      <c r="G40">
        <v>7323</v>
      </c>
      <c r="H40">
        <v>2</v>
      </c>
      <c r="I40">
        <v>21</v>
      </c>
      <c r="K40">
        <f t="shared" si="1"/>
        <v>366.18437499999999</v>
      </c>
    </row>
    <row r="41" spans="1:11" x14ac:dyDescent="0.25">
      <c r="E41" t="s">
        <v>132</v>
      </c>
      <c r="G41">
        <v>274</v>
      </c>
      <c r="H41">
        <v>2</v>
      </c>
      <c r="I41">
        <v>6</v>
      </c>
      <c r="K41">
        <f t="shared" si="1"/>
        <v>13.727678571428571</v>
      </c>
    </row>
    <row r="42" spans="1:11" x14ac:dyDescent="0.25">
      <c r="E42" t="s">
        <v>127</v>
      </c>
      <c r="G42">
        <v>12</v>
      </c>
      <c r="H42">
        <v>3</v>
      </c>
      <c r="I42">
        <v>26</v>
      </c>
      <c r="K42">
        <f t="shared" si="1"/>
        <v>0.64910714285714288</v>
      </c>
    </row>
    <row r="43" spans="1:11" x14ac:dyDescent="0.25">
      <c r="E43" t="s">
        <v>125</v>
      </c>
      <c r="G43">
        <v>21</v>
      </c>
      <c r="I43">
        <v>9</v>
      </c>
      <c r="K43">
        <f t="shared" si="1"/>
        <v>1.0540178571428571</v>
      </c>
    </row>
    <row r="44" spans="1:11" x14ac:dyDescent="0.25">
      <c r="E44" t="s">
        <v>126</v>
      </c>
      <c r="G44">
        <v>34</v>
      </c>
      <c r="H44">
        <v>1</v>
      </c>
      <c r="I44">
        <v>17</v>
      </c>
      <c r="K44">
        <f t="shared" si="1"/>
        <v>1.7200892857142858</v>
      </c>
    </row>
    <row r="45" spans="1:11" x14ac:dyDescent="0.25">
      <c r="E45" t="s">
        <v>133</v>
      </c>
      <c r="G45">
        <v>479</v>
      </c>
      <c r="H45">
        <v>3</v>
      </c>
      <c r="I45">
        <v>9</v>
      </c>
      <c r="K45">
        <f t="shared" si="1"/>
        <v>23.991517857142856</v>
      </c>
    </row>
    <row r="46" spans="1:11" x14ac:dyDescent="0.25">
      <c r="E46" t="s">
        <v>134</v>
      </c>
      <c r="H46">
        <v>1</v>
      </c>
      <c r="K46">
        <f t="shared" si="1"/>
        <v>1.2500000000000001E-2</v>
      </c>
    </row>
    <row r="47" spans="1:11" x14ac:dyDescent="0.25">
      <c r="E47" t="s">
        <v>135</v>
      </c>
      <c r="G47">
        <v>4</v>
      </c>
      <c r="H47">
        <v>1</v>
      </c>
      <c r="I47">
        <v>14</v>
      </c>
      <c r="K47">
        <f t="shared" si="1"/>
        <v>0.21875</v>
      </c>
    </row>
    <row r="48" spans="1:11" x14ac:dyDescent="0.25">
      <c r="E48" t="s">
        <v>166</v>
      </c>
      <c r="H48">
        <v>1</v>
      </c>
      <c r="K48">
        <f t="shared" si="1"/>
        <v>1.2500000000000001E-2</v>
      </c>
    </row>
    <row r="49" spans="5:11" x14ac:dyDescent="0.25">
      <c r="E49" t="s">
        <v>129</v>
      </c>
      <c r="G49">
        <v>2799</v>
      </c>
      <c r="H49">
        <v>3</v>
      </c>
      <c r="I49">
        <v>1</v>
      </c>
      <c r="K49">
        <f t="shared" si="1"/>
        <v>139.98794642857143</v>
      </c>
    </row>
    <row r="50" spans="5:11" x14ac:dyDescent="0.25">
      <c r="E50" t="s">
        <v>132</v>
      </c>
      <c r="G50">
        <v>1126</v>
      </c>
      <c r="K50">
        <f t="shared" si="1"/>
        <v>56.3</v>
      </c>
    </row>
    <row r="51" spans="5:11" x14ac:dyDescent="0.25">
      <c r="E51" t="s">
        <v>167</v>
      </c>
      <c r="G51">
        <v>74</v>
      </c>
      <c r="H51">
        <v>2</v>
      </c>
      <c r="I51">
        <v>18</v>
      </c>
      <c r="K51">
        <f t="shared" si="1"/>
        <v>3.7330357142857142</v>
      </c>
    </row>
    <row r="52" spans="5:11" x14ac:dyDescent="0.25">
      <c r="K52">
        <f t="shared" si="1"/>
        <v>0</v>
      </c>
    </row>
    <row r="53" spans="5:11" x14ac:dyDescent="0.25">
      <c r="K53">
        <f t="shared" si="1"/>
        <v>0</v>
      </c>
    </row>
    <row r="54" spans="5:11" x14ac:dyDescent="0.25">
      <c r="K54">
        <f t="shared" si="1"/>
        <v>0</v>
      </c>
    </row>
    <row r="55" spans="5:11" x14ac:dyDescent="0.25">
      <c r="K55">
        <f t="shared" si="1"/>
        <v>0</v>
      </c>
    </row>
    <row r="56" spans="5:11" x14ac:dyDescent="0.25">
      <c r="K56">
        <f t="shared" si="1"/>
        <v>0</v>
      </c>
    </row>
    <row r="57" spans="5:11" x14ac:dyDescent="0.25">
      <c r="K57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847F-082D-4CF5-882D-192A7BBD44A8}">
  <dimension ref="A1:L88"/>
  <sheetViews>
    <sheetView topLeftCell="A34" zoomScaleNormal="100" workbookViewId="0">
      <selection activeCell="H68" sqref="H6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A2">
        <v>1755</v>
      </c>
      <c r="B2" t="s">
        <v>52</v>
      </c>
      <c r="C2" t="s">
        <v>136</v>
      </c>
      <c r="D2" t="s">
        <v>45</v>
      </c>
      <c r="J2">
        <f>(E2*2240)+(F2*112)+(G2*28)+H2</f>
        <v>0</v>
      </c>
      <c r="L2">
        <f>J2/2240</f>
        <v>0</v>
      </c>
    </row>
    <row r="3" spans="1:12" x14ac:dyDescent="0.25">
      <c r="A3">
        <v>1755</v>
      </c>
      <c r="B3" t="s">
        <v>54</v>
      </c>
      <c r="C3" t="s">
        <v>136</v>
      </c>
      <c r="D3" t="s">
        <v>45</v>
      </c>
      <c r="J3">
        <f>(E3*2240)+(F3*112)+(G3*28)+H3</f>
        <v>0</v>
      </c>
      <c r="L3">
        <f>J3/2240</f>
        <v>0</v>
      </c>
    </row>
    <row r="4" spans="1:12" x14ac:dyDescent="0.25">
      <c r="A4">
        <v>1755</v>
      </c>
      <c r="B4" t="s">
        <v>55</v>
      </c>
      <c r="C4" t="s">
        <v>136</v>
      </c>
      <c r="D4" t="s">
        <v>45</v>
      </c>
      <c r="J4">
        <f>(E4*2240)+(F4*112)+(G4*28)+H4</f>
        <v>0</v>
      </c>
      <c r="L4">
        <f>J4/2240</f>
        <v>0</v>
      </c>
    </row>
    <row r="5" spans="1:12" x14ac:dyDescent="0.25">
      <c r="A5">
        <v>1755</v>
      </c>
      <c r="B5" t="s">
        <v>4</v>
      </c>
      <c r="C5" t="s">
        <v>136</v>
      </c>
      <c r="D5" t="s">
        <v>45</v>
      </c>
      <c r="J5">
        <f>(E5*2240)+(F5*112)+(G5*28)+H5</f>
        <v>0</v>
      </c>
      <c r="L5">
        <f>J5/2240</f>
        <v>0</v>
      </c>
    </row>
    <row r="6" spans="1:12" x14ac:dyDescent="0.25">
      <c r="A6">
        <v>1755</v>
      </c>
      <c r="B6" t="s">
        <v>56</v>
      </c>
      <c r="C6" t="s">
        <v>136</v>
      </c>
      <c r="D6" t="s">
        <v>45</v>
      </c>
      <c r="J6">
        <f>(E6*2240)+(F6*112)+(G6*28)+H6</f>
        <v>0</v>
      </c>
      <c r="L6">
        <f>J6/2240</f>
        <v>0</v>
      </c>
    </row>
    <row r="7" spans="1:12" x14ac:dyDescent="0.25">
      <c r="A7">
        <v>1755</v>
      </c>
      <c r="B7" t="s">
        <v>70</v>
      </c>
      <c r="C7" t="s">
        <v>136</v>
      </c>
      <c r="D7" t="s">
        <v>45</v>
      </c>
      <c r="J7">
        <f t="shared" ref="J7:J84" si="0">(E7*2240)+(F7*112)+(G7*28)+H7</f>
        <v>0</v>
      </c>
      <c r="L7">
        <f t="shared" ref="L7:L84" si="1">J7/2240</f>
        <v>0</v>
      </c>
    </row>
    <row r="8" spans="1:12" x14ac:dyDescent="0.25">
      <c r="A8">
        <v>1755</v>
      </c>
      <c r="B8" t="s">
        <v>57</v>
      </c>
      <c r="C8" t="s">
        <v>136</v>
      </c>
      <c r="D8" t="s">
        <v>45</v>
      </c>
      <c r="J8">
        <f t="shared" si="0"/>
        <v>0</v>
      </c>
      <c r="L8">
        <f t="shared" si="1"/>
        <v>0</v>
      </c>
    </row>
    <row r="9" spans="1:12" x14ac:dyDescent="0.25">
      <c r="A9">
        <v>1755</v>
      </c>
      <c r="B9" t="s">
        <v>91</v>
      </c>
      <c r="C9" t="s">
        <v>136</v>
      </c>
      <c r="D9" t="s">
        <v>45</v>
      </c>
      <c r="J9">
        <f t="shared" si="0"/>
        <v>0</v>
      </c>
      <c r="L9">
        <f t="shared" si="1"/>
        <v>0</v>
      </c>
    </row>
    <row r="10" spans="1:12" x14ac:dyDescent="0.25">
      <c r="A10">
        <v>1755</v>
      </c>
      <c r="B10" t="s">
        <v>5</v>
      </c>
      <c r="C10" t="s">
        <v>136</v>
      </c>
      <c r="D10" t="s">
        <v>45</v>
      </c>
      <c r="J10">
        <f t="shared" si="0"/>
        <v>0</v>
      </c>
      <c r="L10">
        <f t="shared" si="1"/>
        <v>0</v>
      </c>
    </row>
    <row r="11" spans="1:12" x14ac:dyDescent="0.25">
      <c r="A11">
        <v>1755</v>
      </c>
      <c r="B11" t="s">
        <v>58</v>
      </c>
      <c r="C11" t="s">
        <v>136</v>
      </c>
      <c r="D11" t="s">
        <v>45</v>
      </c>
      <c r="J11">
        <f t="shared" si="0"/>
        <v>0</v>
      </c>
      <c r="L11">
        <f t="shared" si="1"/>
        <v>0</v>
      </c>
    </row>
    <row r="12" spans="1:12" x14ac:dyDescent="0.25">
      <c r="A12">
        <v>1755</v>
      </c>
      <c r="B12" t="s">
        <v>6</v>
      </c>
      <c r="C12" t="s">
        <v>136</v>
      </c>
      <c r="D12" t="s">
        <v>45</v>
      </c>
      <c r="J12">
        <f t="shared" si="0"/>
        <v>0</v>
      </c>
      <c r="L12">
        <f t="shared" si="1"/>
        <v>0</v>
      </c>
    </row>
    <row r="13" spans="1:12" x14ac:dyDescent="0.25">
      <c r="A13">
        <v>1755</v>
      </c>
      <c r="B13" t="s">
        <v>59</v>
      </c>
      <c r="C13" t="s">
        <v>136</v>
      </c>
      <c r="D13" t="s">
        <v>45</v>
      </c>
      <c r="J13">
        <f t="shared" si="0"/>
        <v>0</v>
      </c>
      <c r="L13">
        <f t="shared" si="1"/>
        <v>0</v>
      </c>
    </row>
    <row r="14" spans="1:12" x14ac:dyDescent="0.25">
      <c r="A14">
        <v>1755</v>
      </c>
      <c r="B14" t="s">
        <v>60</v>
      </c>
      <c r="C14" t="s">
        <v>136</v>
      </c>
      <c r="D14" t="s">
        <v>45</v>
      </c>
      <c r="J14">
        <f t="shared" si="0"/>
        <v>0</v>
      </c>
      <c r="L14">
        <f t="shared" si="1"/>
        <v>0</v>
      </c>
    </row>
    <row r="15" spans="1:12" x14ac:dyDescent="0.25">
      <c r="A15">
        <v>1755</v>
      </c>
      <c r="B15" t="s">
        <v>61</v>
      </c>
      <c r="C15" t="s">
        <v>136</v>
      </c>
      <c r="D15" t="s">
        <v>45</v>
      </c>
      <c r="J15">
        <f t="shared" si="0"/>
        <v>0</v>
      </c>
      <c r="L15">
        <f t="shared" si="1"/>
        <v>0</v>
      </c>
    </row>
    <row r="16" spans="1:12" x14ac:dyDescent="0.25">
      <c r="A16">
        <v>1755</v>
      </c>
      <c r="B16" t="s">
        <v>8</v>
      </c>
      <c r="C16" t="s">
        <v>136</v>
      </c>
      <c r="D16" t="s">
        <v>45</v>
      </c>
      <c r="J16">
        <f t="shared" si="0"/>
        <v>0</v>
      </c>
      <c r="L16">
        <f t="shared" si="1"/>
        <v>0</v>
      </c>
    </row>
    <row r="17" spans="1:12" x14ac:dyDescent="0.25">
      <c r="A17">
        <v>1755</v>
      </c>
      <c r="B17" t="s">
        <v>62</v>
      </c>
      <c r="C17" t="s">
        <v>136</v>
      </c>
      <c r="D17" t="s">
        <v>45</v>
      </c>
      <c r="J17">
        <f t="shared" si="0"/>
        <v>0</v>
      </c>
      <c r="L17">
        <f t="shared" si="1"/>
        <v>0</v>
      </c>
    </row>
    <row r="18" spans="1:12" x14ac:dyDescent="0.25">
      <c r="A18">
        <v>1755</v>
      </c>
      <c r="B18" t="s">
        <v>90</v>
      </c>
      <c r="C18" t="s">
        <v>136</v>
      </c>
      <c r="D18" t="s">
        <v>45</v>
      </c>
      <c r="J18">
        <f t="shared" si="0"/>
        <v>0</v>
      </c>
      <c r="L18">
        <f t="shared" si="1"/>
        <v>0</v>
      </c>
    </row>
    <row r="19" spans="1:12" x14ac:dyDescent="0.25">
      <c r="A19">
        <v>1755</v>
      </c>
      <c r="B19" t="s">
        <v>92</v>
      </c>
      <c r="C19" t="s">
        <v>136</v>
      </c>
      <c r="D19" t="s">
        <v>45</v>
      </c>
      <c r="J19">
        <f t="shared" si="0"/>
        <v>0</v>
      </c>
      <c r="L19">
        <f t="shared" si="1"/>
        <v>0</v>
      </c>
    </row>
    <row r="20" spans="1:12" x14ac:dyDescent="0.25">
      <c r="A20">
        <v>1755</v>
      </c>
      <c r="B20" t="s">
        <v>71</v>
      </c>
      <c r="C20" t="s">
        <v>136</v>
      </c>
      <c r="D20" t="s">
        <v>45</v>
      </c>
      <c r="J20">
        <f t="shared" si="0"/>
        <v>0</v>
      </c>
      <c r="L20">
        <f t="shared" si="1"/>
        <v>0</v>
      </c>
    </row>
    <row r="21" spans="1:12" x14ac:dyDescent="0.25">
      <c r="A21">
        <v>1755</v>
      </c>
      <c r="B21" t="s">
        <v>9</v>
      </c>
      <c r="C21" t="s">
        <v>136</v>
      </c>
      <c r="D21" t="s">
        <v>45</v>
      </c>
      <c r="J21">
        <f t="shared" si="0"/>
        <v>0</v>
      </c>
      <c r="L21">
        <f t="shared" si="1"/>
        <v>0</v>
      </c>
    </row>
    <row r="22" spans="1:12" x14ac:dyDescent="0.25">
      <c r="A22">
        <v>1755</v>
      </c>
      <c r="B22" t="s">
        <v>10</v>
      </c>
      <c r="C22" t="s">
        <v>136</v>
      </c>
      <c r="D22" t="s">
        <v>45</v>
      </c>
      <c r="J22">
        <f t="shared" si="0"/>
        <v>0</v>
      </c>
      <c r="L22">
        <f t="shared" si="1"/>
        <v>0</v>
      </c>
    </row>
    <row r="23" spans="1:12" x14ac:dyDescent="0.25">
      <c r="A23">
        <v>1755</v>
      </c>
      <c r="B23" t="s">
        <v>11</v>
      </c>
      <c r="C23" t="s">
        <v>136</v>
      </c>
      <c r="D23" t="s">
        <v>45</v>
      </c>
      <c r="J23">
        <f t="shared" si="0"/>
        <v>0</v>
      </c>
      <c r="L23">
        <f t="shared" si="1"/>
        <v>0</v>
      </c>
    </row>
    <row r="24" spans="1:12" x14ac:dyDescent="0.25">
      <c r="A24">
        <v>1755</v>
      </c>
      <c r="B24" t="s">
        <v>46</v>
      </c>
      <c r="C24" t="s">
        <v>136</v>
      </c>
      <c r="D24" t="s">
        <v>45</v>
      </c>
      <c r="J24">
        <f t="shared" si="0"/>
        <v>0</v>
      </c>
      <c r="L24">
        <f t="shared" si="1"/>
        <v>0</v>
      </c>
    </row>
    <row r="25" spans="1:12" x14ac:dyDescent="0.25">
      <c r="A25">
        <v>1755</v>
      </c>
      <c r="B25" t="s">
        <v>93</v>
      </c>
      <c r="C25" t="s">
        <v>136</v>
      </c>
      <c r="D25" t="s">
        <v>45</v>
      </c>
      <c r="J25">
        <f t="shared" si="0"/>
        <v>0</v>
      </c>
      <c r="L25">
        <f t="shared" si="1"/>
        <v>0</v>
      </c>
    </row>
    <row r="26" spans="1:12" x14ac:dyDescent="0.25">
      <c r="A26">
        <v>1755</v>
      </c>
      <c r="B26" t="s">
        <v>94</v>
      </c>
      <c r="C26" t="s">
        <v>136</v>
      </c>
      <c r="D26" t="s">
        <v>45</v>
      </c>
      <c r="J26">
        <f t="shared" si="0"/>
        <v>0</v>
      </c>
      <c r="L26">
        <f t="shared" si="1"/>
        <v>0</v>
      </c>
    </row>
    <row r="27" spans="1:12" x14ac:dyDescent="0.25">
      <c r="A27">
        <v>1755</v>
      </c>
      <c r="B27" t="s">
        <v>63</v>
      </c>
      <c r="C27" t="s">
        <v>136</v>
      </c>
      <c r="D27" t="s">
        <v>45</v>
      </c>
      <c r="J27">
        <f t="shared" si="0"/>
        <v>0</v>
      </c>
      <c r="L27">
        <f t="shared" si="1"/>
        <v>0</v>
      </c>
    </row>
    <row r="28" spans="1:12" x14ac:dyDescent="0.25">
      <c r="A28">
        <v>1755</v>
      </c>
      <c r="B28" t="s">
        <v>97</v>
      </c>
      <c r="C28" t="s">
        <v>136</v>
      </c>
      <c r="D28" t="s">
        <v>45</v>
      </c>
      <c r="J28">
        <f t="shared" si="0"/>
        <v>0</v>
      </c>
      <c r="L28">
        <f t="shared" si="1"/>
        <v>0</v>
      </c>
    </row>
    <row r="29" spans="1:12" x14ac:dyDescent="0.25">
      <c r="A29">
        <v>1755</v>
      </c>
      <c r="B29" t="s">
        <v>98</v>
      </c>
      <c r="C29" t="s">
        <v>136</v>
      </c>
      <c r="D29" t="s">
        <v>45</v>
      </c>
      <c r="J29">
        <f t="shared" si="0"/>
        <v>0</v>
      </c>
      <c r="L29">
        <f t="shared" si="1"/>
        <v>0</v>
      </c>
    </row>
    <row r="30" spans="1:12" x14ac:dyDescent="0.25">
      <c r="A30">
        <v>1755</v>
      </c>
      <c r="B30" t="s">
        <v>95</v>
      </c>
      <c r="C30" t="s">
        <v>136</v>
      </c>
      <c r="D30" t="s">
        <v>45</v>
      </c>
      <c r="J30">
        <f t="shared" si="0"/>
        <v>0</v>
      </c>
      <c r="L30">
        <f t="shared" si="1"/>
        <v>0</v>
      </c>
    </row>
    <row r="31" spans="1:12" x14ac:dyDescent="0.25">
      <c r="A31">
        <v>1755</v>
      </c>
      <c r="B31" t="s">
        <v>47</v>
      </c>
      <c r="C31" t="s">
        <v>136</v>
      </c>
      <c r="D31" t="s">
        <v>45</v>
      </c>
      <c r="J31">
        <f t="shared" si="0"/>
        <v>0</v>
      </c>
      <c r="L31">
        <f t="shared" si="1"/>
        <v>0</v>
      </c>
    </row>
    <row r="32" spans="1:12" x14ac:dyDescent="0.25">
      <c r="A32">
        <v>1755</v>
      </c>
      <c r="B32" t="s">
        <v>13</v>
      </c>
      <c r="C32" t="s">
        <v>136</v>
      </c>
      <c r="D32" t="s">
        <v>45</v>
      </c>
      <c r="J32">
        <f t="shared" si="0"/>
        <v>0</v>
      </c>
      <c r="L32">
        <f t="shared" si="1"/>
        <v>0</v>
      </c>
    </row>
    <row r="33" spans="1:12" x14ac:dyDescent="0.25">
      <c r="A33">
        <v>1755</v>
      </c>
      <c r="B33" t="s">
        <v>14</v>
      </c>
      <c r="C33" t="s">
        <v>136</v>
      </c>
      <c r="D33" t="s">
        <v>45</v>
      </c>
      <c r="J33">
        <f t="shared" si="0"/>
        <v>0</v>
      </c>
      <c r="L33">
        <f t="shared" si="1"/>
        <v>0</v>
      </c>
    </row>
    <row r="34" spans="1:12" x14ac:dyDescent="0.25">
      <c r="A34">
        <v>1755</v>
      </c>
      <c r="B34" t="s">
        <v>24</v>
      </c>
      <c r="C34" t="s">
        <v>136</v>
      </c>
      <c r="D34" t="s">
        <v>45</v>
      </c>
      <c r="J34">
        <f t="shared" si="0"/>
        <v>0</v>
      </c>
      <c r="L34">
        <f t="shared" si="1"/>
        <v>0</v>
      </c>
    </row>
    <row r="35" spans="1:12" x14ac:dyDescent="0.25">
      <c r="A35">
        <v>1755</v>
      </c>
      <c r="B35" t="s">
        <v>28</v>
      </c>
      <c r="C35" t="s">
        <v>136</v>
      </c>
      <c r="D35" t="s">
        <v>45</v>
      </c>
      <c r="J35">
        <f t="shared" si="0"/>
        <v>0</v>
      </c>
      <c r="L35">
        <f t="shared" si="1"/>
        <v>0</v>
      </c>
    </row>
    <row r="36" spans="1:12" x14ac:dyDescent="0.25">
      <c r="A36">
        <v>1755</v>
      </c>
      <c r="B36" t="s">
        <v>15</v>
      </c>
      <c r="C36" t="s">
        <v>136</v>
      </c>
      <c r="D36" t="s">
        <v>45</v>
      </c>
      <c r="J36">
        <f t="shared" si="0"/>
        <v>0</v>
      </c>
      <c r="L36">
        <f t="shared" si="1"/>
        <v>0</v>
      </c>
    </row>
    <row r="37" spans="1:12" x14ac:dyDescent="0.25">
      <c r="A37">
        <v>1755</v>
      </c>
      <c r="B37" t="s">
        <v>64</v>
      </c>
      <c r="C37" t="s">
        <v>136</v>
      </c>
      <c r="D37" t="s">
        <v>45</v>
      </c>
      <c r="J37">
        <f t="shared" si="0"/>
        <v>0</v>
      </c>
      <c r="L37">
        <f t="shared" si="1"/>
        <v>0</v>
      </c>
    </row>
    <row r="38" spans="1:12" x14ac:dyDescent="0.25">
      <c r="A38">
        <v>1755</v>
      </c>
      <c r="B38" t="s">
        <v>100</v>
      </c>
      <c r="C38" t="s">
        <v>136</v>
      </c>
      <c r="D38" t="s">
        <v>45</v>
      </c>
      <c r="J38">
        <f t="shared" si="0"/>
        <v>0</v>
      </c>
      <c r="L38">
        <f t="shared" si="1"/>
        <v>0</v>
      </c>
    </row>
    <row r="39" spans="1:12" x14ac:dyDescent="0.25">
      <c r="A39">
        <v>1755</v>
      </c>
      <c r="B39" t="s">
        <v>48</v>
      </c>
      <c r="C39" t="s">
        <v>136</v>
      </c>
      <c r="D39" t="s">
        <v>45</v>
      </c>
      <c r="J39">
        <f t="shared" si="0"/>
        <v>0</v>
      </c>
      <c r="L39">
        <f t="shared" si="1"/>
        <v>0</v>
      </c>
    </row>
    <row r="40" spans="1:12" x14ac:dyDescent="0.25">
      <c r="A40">
        <v>1755</v>
      </c>
      <c r="B40" t="s">
        <v>16</v>
      </c>
      <c r="C40" t="s">
        <v>136</v>
      </c>
      <c r="D40" t="s">
        <v>45</v>
      </c>
      <c r="J40">
        <f t="shared" si="0"/>
        <v>0</v>
      </c>
      <c r="L40">
        <f t="shared" si="1"/>
        <v>0</v>
      </c>
    </row>
    <row r="41" spans="1:12" x14ac:dyDescent="0.25">
      <c r="A41">
        <v>1755</v>
      </c>
      <c r="B41" t="s">
        <v>17</v>
      </c>
      <c r="C41" t="s">
        <v>136</v>
      </c>
      <c r="D41" t="s">
        <v>45</v>
      </c>
      <c r="J41">
        <f t="shared" si="0"/>
        <v>0</v>
      </c>
      <c r="L41">
        <f t="shared" si="1"/>
        <v>0</v>
      </c>
    </row>
    <row r="42" spans="1:12" x14ac:dyDescent="0.25">
      <c r="A42">
        <v>1755</v>
      </c>
      <c r="B42" t="s">
        <v>18</v>
      </c>
      <c r="C42" t="s">
        <v>136</v>
      </c>
      <c r="D42" t="s">
        <v>45</v>
      </c>
      <c r="J42">
        <f t="shared" si="0"/>
        <v>0</v>
      </c>
      <c r="L42">
        <f t="shared" si="1"/>
        <v>0</v>
      </c>
    </row>
    <row r="43" spans="1:12" x14ac:dyDescent="0.25">
      <c r="A43">
        <v>1755</v>
      </c>
      <c r="B43" t="s">
        <v>27</v>
      </c>
      <c r="C43" t="s">
        <v>136</v>
      </c>
      <c r="D43" t="s">
        <v>45</v>
      </c>
      <c r="J43">
        <f t="shared" si="0"/>
        <v>0</v>
      </c>
      <c r="L43">
        <f t="shared" si="1"/>
        <v>0</v>
      </c>
    </row>
    <row r="44" spans="1:12" x14ac:dyDescent="0.25">
      <c r="A44">
        <v>1755</v>
      </c>
      <c r="B44" t="s">
        <v>96</v>
      </c>
      <c r="C44" t="s">
        <v>136</v>
      </c>
      <c r="D44" t="s">
        <v>45</v>
      </c>
      <c r="J44">
        <f t="shared" si="0"/>
        <v>0</v>
      </c>
      <c r="L44">
        <f t="shared" si="1"/>
        <v>0</v>
      </c>
    </row>
    <row r="45" spans="1:12" x14ac:dyDescent="0.25">
      <c r="A45">
        <v>1755</v>
      </c>
      <c r="B45" t="s">
        <v>19</v>
      </c>
      <c r="C45" t="s">
        <v>136</v>
      </c>
      <c r="D45" t="s">
        <v>45</v>
      </c>
      <c r="J45">
        <f t="shared" si="0"/>
        <v>0</v>
      </c>
      <c r="L45">
        <f t="shared" si="1"/>
        <v>0</v>
      </c>
    </row>
    <row r="46" spans="1:12" x14ac:dyDescent="0.25">
      <c r="A46">
        <v>1755</v>
      </c>
      <c r="B46" t="s">
        <v>65</v>
      </c>
      <c r="C46" t="s">
        <v>136</v>
      </c>
      <c r="D46" t="s">
        <v>45</v>
      </c>
      <c r="J46">
        <f t="shared" si="0"/>
        <v>0</v>
      </c>
      <c r="L46">
        <f t="shared" si="1"/>
        <v>0</v>
      </c>
    </row>
    <row r="47" spans="1:12" x14ac:dyDescent="0.25">
      <c r="A47">
        <v>1755</v>
      </c>
      <c r="B47" t="s">
        <v>102</v>
      </c>
      <c r="C47" t="s">
        <v>136</v>
      </c>
      <c r="D47" t="s">
        <v>45</v>
      </c>
      <c r="J47">
        <f t="shared" si="0"/>
        <v>0</v>
      </c>
      <c r="L47">
        <f t="shared" si="1"/>
        <v>0</v>
      </c>
    </row>
    <row r="48" spans="1:12" x14ac:dyDescent="0.25">
      <c r="A48">
        <v>1755</v>
      </c>
      <c r="B48" t="s">
        <v>20</v>
      </c>
      <c r="C48" t="s">
        <v>136</v>
      </c>
      <c r="D48" t="s">
        <v>45</v>
      </c>
      <c r="J48">
        <f t="shared" si="0"/>
        <v>0</v>
      </c>
      <c r="L48">
        <f t="shared" si="1"/>
        <v>0</v>
      </c>
    </row>
    <row r="49" spans="1:12" x14ac:dyDescent="0.25">
      <c r="A49">
        <v>1755</v>
      </c>
      <c r="B49" t="s">
        <v>85</v>
      </c>
      <c r="C49" t="s">
        <v>136</v>
      </c>
      <c r="D49" t="s">
        <v>45</v>
      </c>
      <c r="J49">
        <f t="shared" si="0"/>
        <v>0</v>
      </c>
      <c r="L49">
        <f t="shared" si="1"/>
        <v>0</v>
      </c>
    </row>
    <row r="50" spans="1:12" x14ac:dyDescent="0.25">
      <c r="A50">
        <v>1755</v>
      </c>
      <c r="B50" t="s">
        <v>21</v>
      </c>
      <c r="C50" t="s">
        <v>136</v>
      </c>
      <c r="D50" t="s">
        <v>45</v>
      </c>
      <c r="J50">
        <f t="shared" si="0"/>
        <v>0</v>
      </c>
      <c r="L50">
        <f t="shared" si="1"/>
        <v>0</v>
      </c>
    </row>
    <row r="51" spans="1:12" x14ac:dyDescent="0.25">
      <c r="A51">
        <v>1755</v>
      </c>
      <c r="B51" t="s">
        <v>22</v>
      </c>
      <c r="C51" t="s">
        <v>136</v>
      </c>
      <c r="D51" t="s">
        <v>45</v>
      </c>
      <c r="J51">
        <f t="shared" si="0"/>
        <v>0</v>
      </c>
      <c r="L51">
        <f t="shared" si="1"/>
        <v>0</v>
      </c>
    </row>
    <row r="52" spans="1:12" x14ac:dyDescent="0.25">
      <c r="A52">
        <v>1755</v>
      </c>
      <c r="B52" t="s">
        <v>23</v>
      </c>
      <c r="C52" t="s">
        <v>136</v>
      </c>
      <c r="D52" t="s">
        <v>45</v>
      </c>
      <c r="J52">
        <f t="shared" si="0"/>
        <v>0</v>
      </c>
      <c r="L52">
        <f t="shared" si="1"/>
        <v>0</v>
      </c>
    </row>
    <row r="53" spans="1:12" x14ac:dyDescent="0.25">
      <c r="A53">
        <v>1755</v>
      </c>
      <c r="B53" t="s">
        <v>29</v>
      </c>
      <c r="C53" t="s">
        <v>136</v>
      </c>
      <c r="D53" t="s">
        <v>45</v>
      </c>
      <c r="J53">
        <f t="shared" si="0"/>
        <v>0</v>
      </c>
      <c r="L53">
        <f t="shared" si="1"/>
        <v>0</v>
      </c>
    </row>
    <row r="54" spans="1:12" x14ac:dyDescent="0.25">
      <c r="A54">
        <v>1755</v>
      </c>
      <c r="B54" t="s">
        <v>105</v>
      </c>
      <c r="C54" t="s">
        <v>136</v>
      </c>
      <c r="D54" t="s">
        <v>45</v>
      </c>
      <c r="J54">
        <f t="shared" si="0"/>
        <v>0</v>
      </c>
      <c r="L54">
        <f t="shared" si="1"/>
        <v>0</v>
      </c>
    </row>
    <row r="55" spans="1:12" x14ac:dyDescent="0.25">
      <c r="A55">
        <v>1755</v>
      </c>
      <c r="B55" t="s">
        <v>30</v>
      </c>
      <c r="C55" t="s">
        <v>136</v>
      </c>
      <c r="D55" t="s">
        <v>45</v>
      </c>
      <c r="J55">
        <f t="shared" si="0"/>
        <v>0</v>
      </c>
      <c r="L55">
        <f t="shared" si="1"/>
        <v>0</v>
      </c>
    </row>
    <row r="56" spans="1:12" x14ac:dyDescent="0.25">
      <c r="A56">
        <v>1755</v>
      </c>
      <c r="B56" t="s">
        <v>106</v>
      </c>
      <c r="C56" t="s">
        <v>136</v>
      </c>
      <c r="D56" t="s">
        <v>45</v>
      </c>
      <c r="J56">
        <f t="shared" si="0"/>
        <v>0</v>
      </c>
      <c r="L56">
        <f t="shared" si="1"/>
        <v>0</v>
      </c>
    </row>
    <row r="57" spans="1:12" x14ac:dyDescent="0.25">
      <c r="A57">
        <v>1755</v>
      </c>
      <c r="B57" t="s">
        <v>31</v>
      </c>
      <c r="C57" t="s">
        <v>136</v>
      </c>
      <c r="D57" t="s">
        <v>45</v>
      </c>
      <c r="J57">
        <f t="shared" si="0"/>
        <v>0</v>
      </c>
      <c r="L57">
        <f t="shared" si="1"/>
        <v>0</v>
      </c>
    </row>
    <row r="58" spans="1:12" x14ac:dyDescent="0.25">
      <c r="A58">
        <v>1755</v>
      </c>
      <c r="B58" t="s">
        <v>82</v>
      </c>
      <c r="C58" t="s">
        <v>136</v>
      </c>
      <c r="D58" t="s">
        <v>45</v>
      </c>
      <c r="J58">
        <f t="shared" si="0"/>
        <v>0</v>
      </c>
      <c r="L58">
        <f t="shared" si="1"/>
        <v>0</v>
      </c>
    </row>
    <row r="59" spans="1:12" x14ac:dyDescent="0.25">
      <c r="A59">
        <v>1755</v>
      </c>
      <c r="B59" t="s">
        <v>73</v>
      </c>
      <c r="C59" t="s">
        <v>136</v>
      </c>
      <c r="D59" t="s">
        <v>45</v>
      </c>
      <c r="J59">
        <f t="shared" si="0"/>
        <v>0</v>
      </c>
      <c r="L59">
        <f t="shared" si="1"/>
        <v>0</v>
      </c>
    </row>
    <row r="60" spans="1:12" x14ac:dyDescent="0.25">
      <c r="A60">
        <v>1755</v>
      </c>
      <c r="B60" t="s">
        <v>32</v>
      </c>
      <c r="C60" t="s">
        <v>136</v>
      </c>
      <c r="D60" t="s">
        <v>45</v>
      </c>
      <c r="J60">
        <f t="shared" si="0"/>
        <v>0</v>
      </c>
      <c r="L60">
        <f t="shared" si="1"/>
        <v>0</v>
      </c>
    </row>
    <row r="61" spans="1:12" x14ac:dyDescent="0.25">
      <c r="A61">
        <v>1755</v>
      </c>
      <c r="B61" t="s">
        <v>33</v>
      </c>
      <c r="C61" t="s">
        <v>136</v>
      </c>
      <c r="D61" t="s">
        <v>45</v>
      </c>
      <c r="J61">
        <f t="shared" si="0"/>
        <v>0</v>
      </c>
      <c r="L61">
        <f t="shared" si="1"/>
        <v>0</v>
      </c>
    </row>
    <row r="62" spans="1:12" x14ac:dyDescent="0.25">
      <c r="A62">
        <v>1755</v>
      </c>
      <c r="B62" t="s">
        <v>4</v>
      </c>
      <c r="C62" t="s">
        <v>136</v>
      </c>
      <c r="D62" t="s">
        <v>49</v>
      </c>
      <c r="J62">
        <f t="shared" si="0"/>
        <v>0</v>
      </c>
      <c r="L62">
        <f t="shared" si="1"/>
        <v>0</v>
      </c>
    </row>
    <row r="63" spans="1:12" x14ac:dyDescent="0.25">
      <c r="A63">
        <v>1755</v>
      </c>
      <c r="B63" t="s">
        <v>6</v>
      </c>
      <c r="C63" t="s">
        <v>136</v>
      </c>
      <c r="D63" t="s">
        <v>49</v>
      </c>
      <c r="F63">
        <v>638</v>
      </c>
      <c r="G63">
        <v>0</v>
      </c>
      <c r="H63">
        <v>11</v>
      </c>
      <c r="J63">
        <f t="shared" si="0"/>
        <v>71467</v>
      </c>
      <c r="L63">
        <f t="shared" si="1"/>
        <v>31.904910714285716</v>
      </c>
    </row>
    <row r="64" spans="1:12" x14ac:dyDescent="0.25">
      <c r="A64">
        <v>1755</v>
      </c>
      <c r="B64" t="s">
        <v>59</v>
      </c>
      <c r="C64" t="s">
        <v>136</v>
      </c>
      <c r="D64" t="s">
        <v>49</v>
      </c>
      <c r="J64">
        <f t="shared" si="0"/>
        <v>0</v>
      </c>
      <c r="L64">
        <f t="shared" si="1"/>
        <v>0</v>
      </c>
    </row>
    <row r="65" spans="1:12" x14ac:dyDescent="0.25">
      <c r="A65">
        <v>1755</v>
      </c>
      <c r="B65" t="s">
        <v>7</v>
      </c>
      <c r="C65" t="s">
        <v>136</v>
      </c>
      <c r="D65" t="s">
        <v>49</v>
      </c>
      <c r="J65">
        <f t="shared" si="0"/>
        <v>0</v>
      </c>
      <c r="L65">
        <f t="shared" si="1"/>
        <v>0</v>
      </c>
    </row>
    <row r="66" spans="1:12" x14ac:dyDescent="0.25">
      <c r="A66">
        <v>1755</v>
      </c>
      <c r="B66" t="s">
        <v>8</v>
      </c>
      <c r="C66" t="s">
        <v>136</v>
      </c>
      <c r="D66" t="s">
        <v>49</v>
      </c>
      <c r="J66">
        <f t="shared" si="0"/>
        <v>0</v>
      </c>
      <c r="L66">
        <f t="shared" si="1"/>
        <v>0</v>
      </c>
    </row>
    <row r="67" spans="1:12" x14ac:dyDescent="0.25">
      <c r="A67">
        <v>1755</v>
      </c>
      <c r="B67" t="s">
        <v>9</v>
      </c>
      <c r="C67" t="s">
        <v>136</v>
      </c>
      <c r="D67" t="s">
        <v>49</v>
      </c>
      <c r="H67">
        <f>176.5*200</f>
        <v>35300</v>
      </c>
      <c r="I67" t="s">
        <v>137</v>
      </c>
      <c r="J67">
        <f t="shared" si="0"/>
        <v>35300</v>
      </c>
      <c r="L67">
        <f t="shared" si="1"/>
        <v>15.758928571428571</v>
      </c>
    </row>
    <row r="68" spans="1:12" x14ac:dyDescent="0.25">
      <c r="A68">
        <v>1755</v>
      </c>
      <c r="B68" t="s">
        <v>10</v>
      </c>
      <c r="C68" t="s">
        <v>136</v>
      </c>
      <c r="D68" t="s">
        <v>49</v>
      </c>
      <c r="J68">
        <f t="shared" si="0"/>
        <v>0</v>
      </c>
      <c r="L68">
        <f t="shared" si="1"/>
        <v>0</v>
      </c>
    </row>
    <row r="69" spans="1:12" x14ac:dyDescent="0.25">
      <c r="A69">
        <v>1755</v>
      </c>
      <c r="B69" t="s">
        <v>11</v>
      </c>
      <c r="C69" t="s">
        <v>136</v>
      </c>
      <c r="D69" t="s">
        <v>49</v>
      </c>
      <c r="J69">
        <f t="shared" si="0"/>
        <v>0</v>
      </c>
      <c r="L69">
        <f t="shared" si="1"/>
        <v>0</v>
      </c>
    </row>
    <row r="70" spans="1:12" x14ac:dyDescent="0.25">
      <c r="A70">
        <v>1755</v>
      </c>
      <c r="B70" t="s">
        <v>12</v>
      </c>
      <c r="C70" t="s">
        <v>136</v>
      </c>
      <c r="D70" t="s">
        <v>49</v>
      </c>
      <c r="J70">
        <f t="shared" si="0"/>
        <v>0</v>
      </c>
      <c r="L70">
        <f t="shared" si="1"/>
        <v>0</v>
      </c>
    </row>
    <row r="71" spans="1:12" x14ac:dyDescent="0.25">
      <c r="A71">
        <v>1755</v>
      </c>
      <c r="B71" t="s">
        <v>13</v>
      </c>
      <c r="C71" t="s">
        <v>136</v>
      </c>
      <c r="D71" t="s">
        <v>49</v>
      </c>
      <c r="J71">
        <f t="shared" si="0"/>
        <v>0</v>
      </c>
      <c r="L71">
        <f t="shared" si="1"/>
        <v>0</v>
      </c>
    </row>
    <row r="72" spans="1:12" x14ac:dyDescent="0.25">
      <c r="A72">
        <v>1755</v>
      </c>
      <c r="B72" t="s">
        <v>14</v>
      </c>
      <c r="C72" t="s">
        <v>136</v>
      </c>
      <c r="D72" t="s">
        <v>49</v>
      </c>
      <c r="J72">
        <f t="shared" si="0"/>
        <v>0</v>
      </c>
      <c r="L72">
        <f t="shared" si="1"/>
        <v>0</v>
      </c>
    </row>
    <row r="73" spans="1:12" x14ac:dyDescent="0.25">
      <c r="A73">
        <v>1755</v>
      </c>
      <c r="B73" t="s">
        <v>28</v>
      </c>
      <c r="C73" t="s">
        <v>136</v>
      </c>
      <c r="D73" t="s">
        <v>49</v>
      </c>
      <c r="J73">
        <f t="shared" si="0"/>
        <v>0</v>
      </c>
      <c r="L73">
        <f t="shared" si="1"/>
        <v>0</v>
      </c>
    </row>
    <row r="74" spans="1:12" x14ac:dyDescent="0.25">
      <c r="A74">
        <v>1755</v>
      </c>
      <c r="B74" t="s">
        <v>15</v>
      </c>
      <c r="C74" t="s">
        <v>136</v>
      </c>
      <c r="D74" t="s">
        <v>49</v>
      </c>
      <c r="J74">
        <f t="shared" si="0"/>
        <v>0</v>
      </c>
      <c r="L74">
        <f t="shared" si="1"/>
        <v>0</v>
      </c>
    </row>
    <row r="75" spans="1:12" x14ac:dyDescent="0.25">
      <c r="A75">
        <v>1755</v>
      </c>
      <c r="B75" t="s">
        <v>16</v>
      </c>
      <c r="C75" t="s">
        <v>136</v>
      </c>
      <c r="D75" t="s">
        <v>49</v>
      </c>
      <c r="J75">
        <f t="shared" si="0"/>
        <v>0</v>
      </c>
      <c r="L75">
        <f t="shared" si="1"/>
        <v>0</v>
      </c>
    </row>
    <row r="76" spans="1:12" x14ac:dyDescent="0.25">
      <c r="A76">
        <v>1755</v>
      </c>
      <c r="B76" t="s">
        <v>17</v>
      </c>
      <c r="C76" t="s">
        <v>136</v>
      </c>
      <c r="D76" t="s">
        <v>49</v>
      </c>
      <c r="J76">
        <f t="shared" si="0"/>
        <v>0</v>
      </c>
      <c r="L76">
        <f t="shared" si="1"/>
        <v>0</v>
      </c>
    </row>
    <row r="77" spans="1:12" x14ac:dyDescent="0.25">
      <c r="A77">
        <v>1755</v>
      </c>
      <c r="B77" t="s">
        <v>18</v>
      </c>
      <c r="C77" t="s">
        <v>136</v>
      </c>
      <c r="D77" t="s">
        <v>49</v>
      </c>
      <c r="J77">
        <f t="shared" si="0"/>
        <v>0</v>
      </c>
      <c r="L77">
        <f t="shared" si="1"/>
        <v>0</v>
      </c>
    </row>
    <row r="78" spans="1:12" x14ac:dyDescent="0.25">
      <c r="A78">
        <v>1755</v>
      </c>
      <c r="B78" t="s">
        <v>19</v>
      </c>
      <c r="C78" t="s">
        <v>136</v>
      </c>
      <c r="D78" t="s">
        <v>49</v>
      </c>
      <c r="J78">
        <f t="shared" si="0"/>
        <v>0</v>
      </c>
      <c r="L78">
        <f t="shared" si="1"/>
        <v>0</v>
      </c>
    </row>
    <row r="79" spans="1:12" x14ac:dyDescent="0.25">
      <c r="A79">
        <v>1755</v>
      </c>
      <c r="B79" t="s">
        <v>65</v>
      </c>
      <c r="C79" t="s">
        <v>136</v>
      </c>
      <c r="D79" t="s">
        <v>49</v>
      </c>
      <c r="J79">
        <f t="shared" si="0"/>
        <v>0</v>
      </c>
      <c r="L79">
        <f t="shared" si="1"/>
        <v>0</v>
      </c>
    </row>
    <row r="80" spans="1:12" x14ac:dyDescent="0.25">
      <c r="A80">
        <v>1755</v>
      </c>
      <c r="B80" t="s">
        <v>20</v>
      </c>
      <c r="C80" t="s">
        <v>136</v>
      </c>
      <c r="D80" t="s">
        <v>49</v>
      </c>
      <c r="J80">
        <f t="shared" si="0"/>
        <v>0</v>
      </c>
      <c r="L80">
        <f t="shared" si="1"/>
        <v>0</v>
      </c>
    </row>
    <row r="81" spans="1:12" x14ac:dyDescent="0.25">
      <c r="A81">
        <v>1755</v>
      </c>
      <c r="B81" t="s">
        <v>74</v>
      </c>
      <c r="C81" t="s">
        <v>136</v>
      </c>
      <c r="D81" t="s">
        <v>49</v>
      </c>
      <c r="J81">
        <f t="shared" si="0"/>
        <v>0</v>
      </c>
      <c r="L81">
        <f t="shared" si="1"/>
        <v>0</v>
      </c>
    </row>
    <row r="82" spans="1:12" x14ac:dyDescent="0.25">
      <c r="A82">
        <v>1755</v>
      </c>
      <c r="B82" t="s">
        <v>22</v>
      </c>
      <c r="C82" t="s">
        <v>136</v>
      </c>
      <c r="D82" t="s">
        <v>49</v>
      </c>
      <c r="J82">
        <f t="shared" si="0"/>
        <v>0</v>
      </c>
      <c r="L82">
        <f t="shared" si="1"/>
        <v>0</v>
      </c>
    </row>
    <row r="83" spans="1:12" x14ac:dyDescent="0.25">
      <c r="A83">
        <v>1755</v>
      </c>
      <c r="B83" t="s">
        <v>23</v>
      </c>
      <c r="C83" t="s">
        <v>136</v>
      </c>
      <c r="D83" t="s">
        <v>49</v>
      </c>
      <c r="J83">
        <f t="shared" si="0"/>
        <v>0</v>
      </c>
      <c r="L83">
        <f t="shared" si="1"/>
        <v>0</v>
      </c>
    </row>
    <row r="84" spans="1:12" x14ac:dyDescent="0.25">
      <c r="A84">
        <v>1755</v>
      </c>
      <c r="B84" t="s">
        <v>29</v>
      </c>
      <c r="C84" t="s">
        <v>136</v>
      </c>
      <c r="D84" t="s">
        <v>49</v>
      </c>
      <c r="J84">
        <f t="shared" si="0"/>
        <v>0</v>
      </c>
      <c r="L84">
        <f t="shared" si="1"/>
        <v>0</v>
      </c>
    </row>
    <row r="85" spans="1:12" x14ac:dyDescent="0.25">
      <c r="A85">
        <v>1755</v>
      </c>
      <c r="B85" t="s">
        <v>30</v>
      </c>
      <c r="C85" t="s">
        <v>136</v>
      </c>
      <c r="D85" t="s">
        <v>49</v>
      </c>
      <c r="E85">
        <v>7</v>
      </c>
      <c r="F85">
        <v>8</v>
      </c>
      <c r="G85">
        <v>2</v>
      </c>
      <c r="H85">
        <v>27</v>
      </c>
      <c r="J85">
        <f t="shared" ref="J85:J88" si="2">(E85*2240)+(F85*112)+(G85*28)+H85</f>
        <v>16659</v>
      </c>
      <c r="L85">
        <f t="shared" ref="L85:L88" si="3">J85/2240</f>
        <v>7.4370535714285717</v>
      </c>
    </row>
    <row r="86" spans="1:12" x14ac:dyDescent="0.25">
      <c r="A86">
        <v>1755</v>
      </c>
      <c r="B86" t="s">
        <v>31</v>
      </c>
      <c r="C86" t="s">
        <v>136</v>
      </c>
      <c r="D86" t="s">
        <v>49</v>
      </c>
      <c r="J86">
        <f t="shared" si="2"/>
        <v>0</v>
      </c>
      <c r="L86">
        <f t="shared" si="3"/>
        <v>0</v>
      </c>
    </row>
    <row r="87" spans="1:12" x14ac:dyDescent="0.25">
      <c r="A87">
        <v>1755</v>
      </c>
      <c r="B87" t="s">
        <v>73</v>
      </c>
      <c r="C87" t="s">
        <v>136</v>
      </c>
      <c r="D87" t="s">
        <v>49</v>
      </c>
      <c r="J87">
        <f t="shared" si="2"/>
        <v>0</v>
      </c>
      <c r="L87">
        <f t="shared" si="3"/>
        <v>0</v>
      </c>
    </row>
    <row r="88" spans="1:12" x14ac:dyDescent="0.25">
      <c r="A88">
        <v>1755</v>
      </c>
      <c r="B88" t="s">
        <v>32</v>
      </c>
      <c r="C88" t="s">
        <v>136</v>
      </c>
      <c r="D88" t="s">
        <v>49</v>
      </c>
      <c r="J88">
        <f t="shared" si="2"/>
        <v>0</v>
      </c>
      <c r="L88">
        <f t="shared" si="3"/>
        <v>0</v>
      </c>
    </row>
  </sheetData>
  <autoFilter ref="A1:O73" xr:uid="{8C2F7725-5A61-4A1B-A740-CC887BCB0E68}">
    <sortState xmlns:xlrd2="http://schemas.microsoft.com/office/spreadsheetml/2017/richdata2" ref="A2:O73">
      <sortCondition ref="B1:B7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A3CB-436E-4584-AEED-910FFE020EB9}">
  <dimension ref="A1:O57"/>
  <sheetViews>
    <sheetView topLeftCell="A9" zoomScaleNormal="100" workbookViewId="0">
      <selection activeCell="H10" sqref="H10"/>
    </sheetView>
  </sheetViews>
  <sheetFormatPr defaultRowHeight="15" x14ac:dyDescent="0.25"/>
  <cols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  <c r="O1" s="1"/>
    </row>
    <row r="2" spans="1:15" x14ac:dyDescent="0.25">
      <c r="A2">
        <v>1755</v>
      </c>
      <c r="B2" t="s">
        <v>55</v>
      </c>
      <c r="C2" t="s">
        <v>44</v>
      </c>
      <c r="D2" t="s">
        <v>45</v>
      </c>
      <c r="E2" s="1"/>
      <c r="F2" s="1"/>
      <c r="G2" s="1"/>
      <c r="H2">
        <v>45</v>
      </c>
      <c r="I2" s="1"/>
      <c r="J2">
        <f t="shared" ref="J2:J57" si="0">(E2*2240)+(F2*112)+(G2*28)+H2</f>
        <v>45</v>
      </c>
      <c r="K2" s="1"/>
      <c r="L2">
        <f t="shared" ref="L2:L57" si="1">J2/2240</f>
        <v>2.0089285714285716E-2</v>
      </c>
      <c r="O2" s="1"/>
    </row>
    <row r="3" spans="1:15" x14ac:dyDescent="0.25">
      <c r="A3">
        <v>1755</v>
      </c>
      <c r="B3" t="s">
        <v>4</v>
      </c>
      <c r="C3" t="s">
        <v>44</v>
      </c>
      <c r="D3" t="s">
        <v>45</v>
      </c>
      <c r="J3">
        <f t="shared" si="0"/>
        <v>0</v>
      </c>
      <c r="L3">
        <f t="shared" si="1"/>
        <v>0</v>
      </c>
    </row>
    <row r="4" spans="1:15" x14ac:dyDescent="0.25">
      <c r="A4">
        <v>1755</v>
      </c>
      <c r="B4" t="s">
        <v>5</v>
      </c>
      <c r="C4" t="s">
        <v>44</v>
      </c>
      <c r="D4" t="s">
        <v>45</v>
      </c>
      <c r="F4">
        <v>61</v>
      </c>
      <c r="G4">
        <v>1</v>
      </c>
      <c r="H4">
        <v>26</v>
      </c>
      <c r="J4">
        <f t="shared" si="0"/>
        <v>6886</v>
      </c>
      <c r="L4">
        <f t="shared" si="1"/>
        <v>3.0741071428571427</v>
      </c>
    </row>
    <row r="5" spans="1:15" x14ac:dyDescent="0.25">
      <c r="A5">
        <v>1755</v>
      </c>
      <c r="B5" t="s">
        <v>6</v>
      </c>
      <c r="C5" t="s">
        <v>44</v>
      </c>
      <c r="D5" t="s">
        <v>45</v>
      </c>
      <c r="F5">
        <v>211904</v>
      </c>
      <c r="G5">
        <v>2</v>
      </c>
      <c r="H5">
        <v>4</v>
      </c>
      <c r="J5">
        <f t="shared" si="0"/>
        <v>23733308</v>
      </c>
      <c r="L5">
        <f t="shared" si="1"/>
        <v>10595.226785714285</v>
      </c>
    </row>
    <row r="6" spans="1:15" x14ac:dyDescent="0.25">
      <c r="A6">
        <v>1755</v>
      </c>
      <c r="B6" t="s">
        <v>7</v>
      </c>
      <c r="C6" t="s">
        <v>44</v>
      </c>
      <c r="D6" t="s">
        <v>45</v>
      </c>
      <c r="J6">
        <f t="shared" si="0"/>
        <v>0</v>
      </c>
      <c r="L6">
        <f t="shared" si="1"/>
        <v>0</v>
      </c>
    </row>
    <row r="7" spans="1:15" x14ac:dyDescent="0.25">
      <c r="A7">
        <v>1755</v>
      </c>
      <c r="B7" t="s">
        <v>8</v>
      </c>
      <c r="C7" t="s">
        <v>44</v>
      </c>
      <c r="D7" t="s">
        <v>45</v>
      </c>
      <c r="J7">
        <f t="shared" si="0"/>
        <v>0</v>
      </c>
      <c r="L7">
        <f t="shared" si="1"/>
        <v>0</v>
      </c>
    </row>
    <row r="8" spans="1:15" x14ac:dyDescent="0.25">
      <c r="A8">
        <v>1755</v>
      </c>
      <c r="B8" t="s">
        <v>71</v>
      </c>
      <c r="C8" t="s">
        <v>44</v>
      </c>
      <c r="D8" t="s">
        <v>45</v>
      </c>
      <c r="H8">
        <v>300</v>
      </c>
      <c r="J8">
        <f t="shared" si="0"/>
        <v>300</v>
      </c>
      <c r="L8">
        <f t="shared" si="1"/>
        <v>0.13392857142857142</v>
      </c>
    </row>
    <row r="9" spans="1:15" x14ac:dyDescent="0.25">
      <c r="A9">
        <v>1755</v>
      </c>
      <c r="B9" t="s">
        <v>9</v>
      </c>
      <c r="C9" t="s">
        <v>44</v>
      </c>
      <c r="D9" t="s">
        <v>45</v>
      </c>
      <c r="H9">
        <f>179*200</f>
        <v>35800</v>
      </c>
      <c r="I9" t="s">
        <v>83</v>
      </c>
      <c r="J9">
        <f t="shared" si="0"/>
        <v>35800</v>
      </c>
      <c r="L9">
        <f t="shared" si="1"/>
        <v>15.982142857142858</v>
      </c>
    </row>
    <row r="10" spans="1:15" x14ac:dyDescent="0.25">
      <c r="A10">
        <v>1755</v>
      </c>
      <c r="B10" t="s">
        <v>10</v>
      </c>
      <c r="C10" t="s">
        <v>44</v>
      </c>
      <c r="D10" t="s">
        <v>45</v>
      </c>
      <c r="F10">
        <v>5076</v>
      </c>
      <c r="G10">
        <v>3</v>
      </c>
      <c r="H10">
        <v>10</v>
      </c>
      <c r="J10">
        <f t="shared" si="0"/>
        <v>568606</v>
      </c>
      <c r="L10">
        <f t="shared" si="1"/>
        <v>253.84196428571428</v>
      </c>
    </row>
    <row r="11" spans="1:15" x14ac:dyDescent="0.25">
      <c r="A11">
        <v>1755</v>
      </c>
      <c r="B11" t="s">
        <v>11</v>
      </c>
      <c r="C11" t="s">
        <v>44</v>
      </c>
      <c r="D11" t="s">
        <v>45</v>
      </c>
      <c r="F11">
        <v>25</v>
      </c>
      <c r="G11">
        <v>1</v>
      </c>
      <c r="J11">
        <f t="shared" si="0"/>
        <v>2828</v>
      </c>
      <c r="L11">
        <f t="shared" si="1"/>
        <v>1.2625</v>
      </c>
    </row>
    <row r="12" spans="1:15" x14ac:dyDescent="0.25">
      <c r="A12">
        <v>1755</v>
      </c>
      <c r="B12" t="s">
        <v>46</v>
      </c>
      <c r="C12" t="s">
        <v>44</v>
      </c>
      <c r="D12" t="s">
        <v>45</v>
      </c>
      <c r="H12">
        <v>47</v>
      </c>
      <c r="J12">
        <f t="shared" si="0"/>
        <v>47</v>
      </c>
      <c r="L12">
        <f t="shared" si="1"/>
        <v>2.0982142857142855E-2</v>
      </c>
    </row>
    <row r="13" spans="1:15" x14ac:dyDescent="0.25">
      <c r="A13">
        <v>1755</v>
      </c>
      <c r="B13" t="s">
        <v>12</v>
      </c>
      <c r="C13" t="s">
        <v>44</v>
      </c>
      <c r="D13" t="s">
        <v>45</v>
      </c>
      <c r="J13">
        <f t="shared" si="0"/>
        <v>0</v>
      </c>
      <c r="L13">
        <f t="shared" si="1"/>
        <v>0</v>
      </c>
    </row>
    <row r="14" spans="1:15" x14ac:dyDescent="0.25">
      <c r="A14">
        <v>1755</v>
      </c>
      <c r="B14" t="s">
        <v>47</v>
      </c>
      <c r="C14" t="s">
        <v>44</v>
      </c>
      <c r="D14" t="s">
        <v>45</v>
      </c>
      <c r="J14">
        <f t="shared" si="0"/>
        <v>0</v>
      </c>
      <c r="L14">
        <f t="shared" si="1"/>
        <v>0</v>
      </c>
    </row>
    <row r="15" spans="1:15" x14ac:dyDescent="0.25">
      <c r="A15">
        <v>1755</v>
      </c>
      <c r="B15" t="s">
        <v>13</v>
      </c>
      <c r="C15" t="s">
        <v>44</v>
      </c>
      <c r="D15" t="s">
        <v>45</v>
      </c>
      <c r="E15">
        <v>91</v>
      </c>
      <c r="F15">
        <v>14</v>
      </c>
      <c r="G15">
        <v>1</v>
      </c>
      <c r="J15">
        <f t="shared" si="0"/>
        <v>205436</v>
      </c>
      <c r="L15">
        <f t="shared" si="1"/>
        <v>91.712500000000006</v>
      </c>
    </row>
    <row r="16" spans="1:15" x14ac:dyDescent="0.25">
      <c r="A16">
        <v>1755</v>
      </c>
      <c r="B16" t="s">
        <v>14</v>
      </c>
      <c r="C16" t="s">
        <v>44</v>
      </c>
      <c r="D16" t="s">
        <v>45</v>
      </c>
      <c r="J16">
        <f t="shared" si="0"/>
        <v>0</v>
      </c>
      <c r="L16">
        <f t="shared" si="1"/>
        <v>0</v>
      </c>
    </row>
    <row r="17" spans="1:12" x14ac:dyDescent="0.25">
      <c r="A17">
        <v>1755</v>
      </c>
      <c r="B17" t="s">
        <v>28</v>
      </c>
      <c r="C17" t="s">
        <v>44</v>
      </c>
      <c r="D17" t="s">
        <v>45</v>
      </c>
      <c r="H17">
        <v>192089</v>
      </c>
      <c r="I17" t="s">
        <v>81</v>
      </c>
      <c r="J17">
        <f t="shared" si="0"/>
        <v>192089</v>
      </c>
      <c r="L17">
        <f t="shared" si="1"/>
        <v>85.754017857142856</v>
      </c>
    </row>
    <row r="18" spans="1:12" x14ac:dyDescent="0.25">
      <c r="A18">
        <v>1755</v>
      </c>
      <c r="B18" t="s">
        <v>15</v>
      </c>
      <c r="C18" t="s">
        <v>44</v>
      </c>
      <c r="D18" t="s">
        <v>45</v>
      </c>
      <c r="J18">
        <f t="shared" si="0"/>
        <v>0</v>
      </c>
      <c r="L18">
        <f t="shared" si="1"/>
        <v>0</v>
      </c>
    </row>
    <row r="19" spans="1:12" x14ac:dyDescent="0.25">
      <c r="A19">
        <v>1755</v>
      </c>
      <c r="B19" t="s">
        <v>48</v>
      </c>
      <c r="C19" t="s">
        <v>44</v>
      </c>
      <c r="D19" t="s">
        <v>45</v>
      </c>
      <c r="H19">
        <v>45</v>
      </c>
      <c r="I19" t="s">
        <v>79</v>
      </c>
      <c r="J19">
        <f t="shared" si="0"/>
        <v>45</v>
      </c>
      <c r="L19">
        <f t="shared" si="1"/>
        <v>2.0089285714285716E-2</v>
      </c>
    </row>
    <row r="20" spans="1:12" x14ac:dyDescent="0.25">
      <c r="A20">
        <v>1755</v>
      </c>
      <c r="B20" t="s">
        <v>17</v>
      </c>
      <c r="C20" t="s">
        <v>44</v>
      </c>
      <c r="D20" t="s">
        <v>45</v>
      </c>
      <c r="F20">
        <v>94</v>
      </c>
      <c r="G20">
        <v>3</v>
      </c>
      <c r="J20">
        <f t="shared" si="0"/>
        <v>10612</v>
      </c>
      <c r="L20">
        <f t="shared" si="1"/>
        <v>4.7374999999999998</v>
      </c>
    </row>
    <row r="21" spans="1:12" x14ac:dyDescent="0.25">
      <c r="A21">
        <v>1755</v>
      </c>
      <c r="B21" t="s">
        <v>18</v>
      </c>
      <c r="C21" t="s">
        <v>44</v>
      </c>
      <c r="D21" t="s">
        <v>45</v>
      </c>
      <c r="H21">
        <v>449395</v>
      </c>
      <c r="I21" t="s">
        <v>80</v>
      </c>
      <c r="J21">
        <f t="shared" si="0"/>
        <v>449395</v>
      </c>
      <c r="L21">
        <f t="shared" si="1"/>
        <v>200.62276785714286</v>
      </c>
    </row>
    <row r="22" spans="1:12" x14ac:dyDescent="0.25">
      <c r="A22">
        <v>1755</v>
      </c>
      <c r="B22" t="s">
        <v>19</v>
      </c>
      <c r="C22" t="s">
        <v>44</v>
      </c>
      <c r="D22" t="s">
        <v>45</v>
      </c>
      <c r="J22">
        <f t="shared" si="0"/>
        <v>0</v>
      </c>
      <c r="L22">
        <f t="shared" si="1"/>
        <v>0</v>
      </c>
    </row>
    <row r="23" spans="1:12" x14ac:dyDescent="0.25">
      <c r="A23">
        <v>1755</v>
      </c>
      <c r="B23" t="s">
        <v>20</v>
      </c>
      <c r="C23" t="s">
        <v>44</v>
      </c>
      <c r="D23" t="s">
        <v>45</v>
      </c>
      <c r="H23">
        <v>129</v>
      </c>
      <c r="J23">
        <f t="shared" si="0"/>
        <v>129</v>
      </c>
      <c r="L23">
        <f t="shared" si="1"/>
        <v>5.7589285714285711E-2</v>
      </c>
    </row>
    <row r="24" spans="1:12" x14ac:dyDescent="0.25">
      <c r="A24">
        <v>1755</v>
      </c>
      <c r="B24" t="s">
        <v>21</v>
      </c>
      <c r="C24" t="s">
        <v>44</v>
      </c>
      <c r="D24" t="s">
        <v>45</v>
      </c>
      <c r="J24">
        <f t="shared" si="0"/>
        <v>0</v>
      </c>
      <c r="L24">
        <f t="shared" si="1"/>
        <v>0</v>
      </c>
    </row>
    <row r="25" spans="1:12" x14ac:dyDescent="0.25">
      <c r="A25">
        <v>1755</v>
      </c>
      <c r="B25" t="s">
        <v>22</v>
      </c>
      <c r="C25" t="s">
        <v>44</v>
      </c>
      <c r="D25" t="s">
        <v>45</v>
      </c>
      <c r="H25">
        <v>4</v>
      </c>
      <c r="J25">
        <f t="shared" si="0"/>
        <v>4</v>
      </c>
      <c r="L25">
        <f t="shared" si="1"/>
        <v>1.7857142857142857E-3</v>
      </c>
    </row>
    <row r="26" spans="1:12" x14ac:dyDescent="0.25">
      <c r="A26">
        <v>1755</v>
      </c>
      <c r="B26" t="s">
        <v>78</v>
      </c>
      <c r="C26" t="s">
        <v>44</v>
      </c>
      <c r="D26" t="s">
        <v>45</v>
      </c>
      <c r="E26">
        <v>40</v>
      </c>
      <c r="J26">
        <f t="shared" si="0"/>
        <v>89600</v>
      </c>
      <c r="L26">
        <f t="shared" si="1"/>
        <v>40</v>
      </c>
    </row>
    <row r="27" spans="1:12" x14ac:dyDescent="0.25">
      <c r="A27">
        <v>1755</v>
      </c>
      <c r="B27" t="s">
        <v>23</v>
      </c>
      <c r="C27" t="s">
        <v>44</v>
      </c>
      <c r="D27" t="s">
        <v>45</v>
      </c>
      <c r="J27">
        <f t="shared" si="0"/>
        <v>0</v>
      </c>
      <c r="L27">
        <f t="shared" si="1"/>
        <v>0</v>
      </c>
    </row>
    <row r="28" spans="1:12" x14ac:dyDescent="0.25">
      <c r="A28">
        <v>1755</v>
      </c>
      <c r="B28" t="s">
        <v>30</v>
      </c>
      <c r="C28" t="s">
        <v>44</v>
      </c>
      <c r="D28" t="s">
        <v>45</v>
      </c>
      <c r="E28">
        <v>174</v>
      </c>
      <c r="F28">
        <v>14</v>
      </c>
      <c r="G28">
        <v>0</v>
      </c>
      <c r="H28">
        <v>14</v>
      </c>
      <c r="J28">
        <f t="shared" si="0"/>
        <v>391342</v>
      </c>
      <c r="L28">
        <f t="shared" si="1"/>
        <v>174.70625000000001</v>
      </c>
    </row>
    <row r="29" spans="1:12" x14ac:dyDescent="0.25">
      <c r="A29">
        <v>1755</v>
      </c>
      <c r="B29" t="s">
        <v>82</v>
      </c>
      <c r="C29" t="s">
        <v>44</v>
      </c>
      <c r="D29" t="s">
        <v>45</v>
      </c>
      <c r="E29">
        <v>13</v>
      </c>
      <c r="F29">
        <v>14</v>
      </c>
      <c r="J29">
        <f t="shared" si="0"/>
        <v>30688</v>
      </c>
      <c r="L29">
        <f t="shared" si="1"/>
        <v>13.7</v>
      </c>
    </row>
    <row r="30" spans="1:12" x14ac:dyDescent="0.25">
      <c r="A30">
        <v>1755</v>
      </c>
      <c r="B30" t="s">
        <v>5</v>
      </c>
      <c r="C30" t="s">
        <v>44</v>
      </c>
      <c r="D30" t="s">
        <v>49</v>
      </c>
      <c r="F30">
        <v>20</v>
      </c>
      <c r="G30">
        <v>3</v>
      </c>
      <c r="H30">
        <v>10</v>
      </c>
      <c r="J30">
        <f t="shared" si="0"/>
        <v>2334</v>
      </c>
      <c r="L30">
        <f t="shared" si="1"/>
        <v>1.0419642857142857</v>
      </c>
    </row>
    <row r="31" spans="1:12" x14ac:dyDescent="0.25">
      <c r="A31">
        <v>1755</v>
      </c>
      <c r="B31" t="s">
        <v>6</v>
      </c>
      <c r="C31" t="s">
        <v>44</v>
      </c>
      <c r="D31" t="s">
        <v>49</v>
      </c>
      <c r="F31">
        <v>37287</v>
      </c>
      <c r="H31">
        <v>12</v>
      </c>
      <c r="J31">
        <f t="shared" si="0"/>
        <v>4176156</v>
      </c>
      <c r="L31">
        <f t="shared" si="1"/>
        <v>1864.3553571428572</v>
      </c>
    </row>
    <row r="32" spans="1:12" x14ac:dyDescent="0.25">
      <c r="A32">
        <v>1755</v>
      </c>
      <c r="B32" t="s">
        <v>50</v>
      </c>
      <c r="C32" t="s">
        <v>44</v>
      </c>
      <c r="D32" t="s">
        <v>49</v>
      </c>
      <c r="J32">
        <f t="shared" si="0"/>
        <v>0</v>
      </c>
      <c r="L32">
        <f t="shared" si="1"/>
        <v>0</v>
      </c>
    </row>
    <row r="33" spans="1:12" x14ac:dyDescent="0.25">
      <c r="A33">
        <v>1755</v>
      </c>
      <c r="B33" t="s">
        <v>8</v>
      </c>
      <c r="C33" t="s">
        <v>44</v>
      </c>
      <c r="D33" t="s">
        <v>49</v>
      </c>
      <c r="J33">
        <f t="shared" si="0"/>
        <v>0</v>
      </c>
      <c r="L33">
        <f t="shared" si="1"/>
        <v>0</v>
      </c>
    </row>
    <row r="34" spans="1:12" x14ac:dyDescent="0.25">
      <c r="A34">
        <v>1755</v>
      </c>
      <c r="B34" t="s">
        <v>9</v>
      </c>
      <c r="C34" t="s">
        <v>44</v>
      </c>
      <c r="D34" t="s">
        <v>49</v>
      </c>
      <c r="H34">
        <f>170*511</f>
        <v>86870</v>
      </c>
      <c r="I34" t="s">
        <v>143</v>
      </c>
      <c r="J34">
        <f t="shared" si="0"/>
        <v>86870</v>
      </c>
      <c r="L34">
        <f t="shared" si="1"/>
        <v>38.78125</v>
      </c>
    </row>
    <row r="35" spans="1:12" x14ac:dyDescent="0.25">
      <c r="A35">
        <v>1755</v>
      </c>
      <c r="B35" t="s">
        <v>10</v>
      </c>
      <c r="C35" t="s">
        <v>44</v>
      </c>
      <c r="D35" t="s">
        <v>49</v>
      </c>
      <c r="F35">
        <v>140</v>
      </c>
      <c r="G35">
        <v>2</v>
      </c>
      <c r="H35">
        <v>4</v>
      </c>
      <c r="J35">
        <f t="shared" si="0"/>
        <v>15740</v>
      </c>
      <c r="L35">
        <f t="shared" si="1"/>
        <v>7.0267857142857144</v>
      </c>
    </row>
    <row r="36" spans="1:12" x14ac:dyDescent="0.25">
      <c r="A36">
        <v>1755</v>
      </c>
      <c r="B36" t="s">
        <v>11</v>
      </c>
      <c r="C36" t="s">
        <v>44</v>
      </c>
      <c r="D36" t="s">
        <v>49</v>
      </c>
      <c r="F36">
        <v>36</v>
      </c>
      <c r="G36">
        <v>1</v>
      </c>
      <c r="H36">
        <v>8</v>
      </c>
      <c r="J36">
        <f t="shared" si="0"/>
        <v>4068</v>
      </c>
      <c r="L36">
        <f t="shared" si="1"/>
        <v>1.8160714285714286</v>
      </c>
    </row>
    <row r="37" spans="1:12" x14ac:dyDescent="0.25">
      <c r="A37">
        <v>1755</v>
      </c>
      <c r="B37" t="s">
        <v>51</v>
      </c>
      <c r="C37" t="s">
        <v>44</v>
      </c>
      <c r="D37" t="s">
        <v>49</v>
      </c>
      <c r="J37">
        <f t="shared" si="0"/>
        <v>0</v>
      </c>
      <c r="L37">
        <f t="shared" si="1"/>
        <v>0</v>
      </c>
    </row>
    <row r="38" spans="1:12" x14ac:dyDescent="0.25">
      <c r="A38">
        <v>1755</v>
      </c>
      <c r="B38" t="s">
        <v>46</v>
      </c>
      <c r="C38" t="s">
        <v>44</v>
      </c>
      <c r="D38" t="s">
        <v>49</v>
      </c>
      <c r="H38">
        <v>27</v>
      </c>
      <c r="J38">
        <f t="shared" si="0"/>
        <v>27</v>
      </c>
      <c r="L38">
        <f t="shared" si="1"/>
        <v>1.2053571428571429E-2</v>
      </c>
    </row>
    <row r="39" spans="1:12" x14ac:dyDescent="0.25">
      <c r="A39">
        <v>1755</v>
      </c>
      <c r="B39" t="s">
        <v>12</v>
      </c>
      <c r="C39" t="s">
        <v>44</v>
      </c>
      <c r="D39" t="s">
        <v>49</v>
      </c>
      <c r="J39">
        <f t="shared" si="0"/>
        <v>0</v>
      </c>
      <c r="L39">
        <f t="shared" si="1"/>
        <v>0</v>
      </c>
    </row>
    <row r="40" spans="1:12" x14ac:dyDescent="0.25">
      <c r="A40">
        <v>1755</v>
      </c>
      <c r="B40" t="s">
        <v>13</v>
      </c>
      <c r="C40" t="s">
        <v>44</v>
      </c>
      <c r="D40" t="s">
        <v>49</v>
      </c>
      <c r="E40">
        <v>23</v>
      </c>
      <c r="F40">
        <v>16</v>
      </c>
      <c r="J40">
        <f t="shared" si="0"/>
        <v>53312</v>
      </c>
      <c r="L40">
        <f t="shared" si="1"/>
        <v>23.8</v>
      </c>
    </row>
    <row r="41" spans="1:12" x14ac:dyDescent="0.25">
      <c r="A41">
        <v>1755</v>
      </c>
      <c r="B41" t="s">
        <v>14</v>
      </c>
      <c r="C41" t="s">
        <v>44</v>
      </c>
      <c r="D41" t="s">
        <v>49</v>
      </c>
      <c r="J41">
        <f t="shared" si="0"/>
        <v>0</v>
      </c>
      <c r="L41">
        <f t="shared" si="1"/>
        <v>0</v>
      </c>
    </row>
    <row r="42" spans="1:12" x14ac:dyDescent="0.25">
      <c r="A42">
        <v>1755</v>
      </c>
      <c r="B42" t="s">
        <v>28</v>
      </c>
      <c r="C42" t="s">
        <v>44</v>
      </c>
      <c r="D42" t="s">
        <v>49</v>
      </c>
      <c r="H42">
        <v>21425.5</v>
      </c>
      <c r="I42" t="s">
        <v>141</v>
      </c>
      <c r="J42">
        <f t="shared" si="0"/>
        <v>21425.5</v>
      </c>
      <c r="L42">
        <f t="shared" si="1"/>
        <v>9.5649553571428569</v>
      </c>
    </row>
    <row r="43" spans="1:12" x14ac:dyDescent="0.25">
      <c r="A43">
        <v>1755</v>
      </c>
      <c r="B43" t="s">
        <v>15</v>
      </c>
      <c r="C43" t="s">
        <v>44</v>
      </c>
      <c r="D43" t="s">
        <v>49</v>
      </c>
      <c r="J43">
        <f t="shared" si="0"/>
        <v>0</v>
      </c>
      <c r="L43">
        <f t="shared" si="1"/>
        <v>0</v>
      </c>
    </row>
    <row r="44" spans="1:12" x14ac:dyDescent="0.25">
      <c r="A44">
        <v>1755</v>
      </c>
      <c r="B44" t="s">
        <v>48</v>
      </c>
      <c r="C44" t="s">
        <v>44</v>
      </c>
      <c r="D44" t="s">
        <v>49</v>
      </c>
      <c r="H44">
        <v>15</v>
      </c>
      <c r="I44" t="s">
        <v>139</v>
      </c>
      <c r="J44">
        <f t="shared" si="0"/>
        <v>15</v>
      </c>
      <c r="L44">
        <f t="shared" si="1"/>
        <v>6.6964285714285711E-3</v>
      </c>
    </row>
    <row r="45" spans="1:12" x14ac:dyDescent="0.25">
      <c r="A45">
        <v>1755</v>
      </c>
      <c r="B45" t="s">
        <v>17</v>
      </c>
      <c r="C45" t="s">
        <v>44</v>
      </c>
      <c r="D45" t="s">
        <v>49</v>
      </c>
      <c r="J45">
        <f t="shared" si="0"/>
        <v>0</v>
      </c>
      <c r="L45">
        <f t="shared" si="1"/>
        <v>0</v>
      </c>
    </row>
    <row r="46" spans="1:12" x14ac:dyDescent="0.25">
      <c r="A46">
        <v>1755</v>
      </c>
      <c r="B46" t="s">
        <v>18</v>
      </c>
      <c r="C46" t="s">
        <v>44</v>
      </c>
      <c r="D46" t="s">
        <v>49</v>
      </c>
      <c r="H46">
        <v>83331</v>
      </c>
      <c r="I46" t="s">
        <v>140</v>
      </c>
      <c r="J46">
        <f t="shared" si="0"/>
        <v>83331</v>
      </c>
      <c r="L46">
        <f t="shared" si="1"/>
        <v>37.201339285714283</v>
      </c>
    </row>
    <row r="47" spans="1:12" x14ac:dyDescent="0.25">
      <c r="A47">
        <v>1755</v>
      </c>
      <c r="B47" t="s">
        <v>19</v>
      </c>
      <c r="C47" t="s">
        <v>44</v>
      </c>
      <c r="D47" t="s">
        <v>49</v>
      </c>
      <c r="F47">
        <v>3</v>
      </c>
      <c r="G47">
        <v>3</v>
      </c>
      <c r="H47">
        <v>25</v>
      </c>
      <c r="J47">
        <f t="shared" si="0"/>
        <v>445</v>
      </c>
      <c r="L47">
        <f t="shared" si="1"/>
        <v>0.19866071428571427</v>
      </c>
    </row>
    <row r="48" spans="1:12" x14ac:dyDescent="0.25">
      <c r="A48">
        <v>1755</v>
      </c>
      <c r="B48" t="s">
        <v>20</v>
      </c>
      <c r="C48" t="s">
        <v>44</v>
      </c>
      <c r="D48" t="s">
        <v>49</v>
      </c>
      <c r="H48">
        <v>80</v>
      </c>
      <c r="J48">
        <f t="shared" si="0"/>
        <v>80</v>
      </c>
      <c r="L48">
        <f t="shared" si="1"/>
        <v>3.5714285714285712E-2</v>
      </c>
    </row>
    <row r="49" spans="1:12" x14ac:dyDescent="0.25">
      <c r="A49">
        <v>1755</v>
      </c>
      <c r="B49" t="s">
        <v>85</v>
      </c>
      <c r="C49" t="s">
        <v>44</v>
      </c>
      <c r="D49" t="s">
        <v>49</v>
      </c>
      <c r="H49">
        <v>14</v>
      </c>
      <c r="J49">
        <f t="shared" si="0"/>
        <v>14</v>
      </c>
      <c r="L49">
        <f t="shared" si="1"/>
        <v>6.2500000000000003E-3</v>
      </c>
    </row>
    <row r="50" spans="1:12" x14ac:dyDescent="0.25">
      <c r="A50">
        <v>1755</v>
      </c>
      <c r="B50" t="s">
        <v>21</v>
      </c>
      <c r="C50" t="s">
        <v>44</v>
      </c>
      <c r="D50" t="s">
        <v>49</v>
      </c>
      <c r="J50">
        <f t="shared" si="0"/>
        <v>0</v>
      </c>
      <c r="L50">
        <f t="shared" si="1"/>
        <v>0</v>
      </c>
    </row>
    <row r="51" spans="1:12" x14ac:dyDescent="0.25">
      <c r="A51">
        <v>1755</v>
      </c>
      <c r="B51" t="s">
        <v>22</v>
      </c>
      <c r="C51" t="s">
        <v>44</v>
      </c>
      <c r="D51" t="s">
        <v>49</v>
      </c>
      <c r="H51">
        <v>20</v>
      </c>
      <c r="J51">
        <f t="shared" si="0"/>
        <v>20</v>
      </c>
      <c r="L51">
        <f t="shared" si="1"/>
        <v>8.9285714285714281E-3</v>
      </c>
    </row>
    <row r="52" spans="1:12" x14ac:dyDescent="0.25">
      <c r="A52">
        <v>1755</v>
      </c>
      <c r="B52" t="s">
        <v>138</v>
      </c>
      <c r="C52" t="s">
        <v>44</v>
      </c>
      <c r="D52" t="s">
        <v>49</v>
      </c>
      <c r="F52">
        <v>31</v>
      </c>
      <c r="G52">
        <v>2</v>
      </c>
      <c r="H52">
        <v>15</v>
      </c>
      <c r="J52">
        <f t="shared" si="0"/>
        <v>3543</v>
      </c>
      <c r="L52">
        <f t="shared" si="1"/>
        <v>1.5816964285714286</v>
      </c>
    </row>
    <row r="53" spans="1:12" x14ac:dyDescent="0.25">
      <c r="A53">
        <v>1755</v>
      </c>
      <c r="B53" t="s">
        <v>23</v>
      </c>
      <c r="C53" t="s">
        <v>44</v>
      </c>
      <c r="D53" t="s">
        <v>49</v>
      </c>
      <c r="J53">
        <f t="shared" si="0"/>
        <v>0</v>
      </c>
      <c r="L53">
        <f t="shared" si="1"/>
        <v>0</v>
      </c>
    </row>
    <row r="54" spans="1:12" x14ac:dyDescent="0.25">
      <c r="A54">
        <v>1755</v>
      </c>
      <c r="B54" t="s">
        <v>29</v>
      </c>
      <c r="C54" t="s">
        <v>44</v>
      </c>
      <c r="D54" t="s">
        <v>49</v>
      </c>
      <c r="E54">
        <v>12</v>
      </c>
      <c r="F54">
        <v>17</v>
      </c>
      <c r="J54">
        <f t="shared" si="0"/>
        <v>28784</v>
      </c>
      <c r="L54">
        <f t="shared" si="1"/>
        <v>12.85</v>
      </c>
    </row>
    <row r="55" spans="1:12" x14ac:dyDescent="0.25">
      <c r="A55">
        <v>1755</v>
      </c>
      <c r="B55" t="s">
        <v>142</v>
      </c>
      <c r="C55" t="s">
        <v>44</v>
      </c>
      <c r="D55" t="s">
        <v>49</v>
      </c>
      <c r="F55">
        <v>30</v>
      </c>
      <c r="J55">
        <f t="shared" si="0"/>
        <v>3360</v>
      </c>
      <c r="L55">
        <f t="shared" si="1"/>
        <v>1.5</v>
      </c>
    </row>
    <row r="56" spans="1:12" x14ac:dyDescent="0.25">
      <c r="A56">
        <v>1755</v>
      </c>
      <c r="B56" t="s">
        <v>30</v>
      </c>
      <c r="C56" t="s">
        <v>44</v>
      </c>
      <c r="D56" t="s">
        <v>49</v>
      </c>
      <c r="E56">
        <v>90</v>
      </c>
      <c r="F56">
        <v>12</v>
      </c>
      <c r="G56">
        <v>1</v>
      </c>
      <c r="H56">
        <v>20</v>
      </c>
      <c r="J56">
        <f t="shared" si="0"/>
        <v>202992</v>
      </c>
      <c r="L56">
        <f t="shared" si="1"/>
        <v>90.621428571428567</v>
      </c>
    </row>
    <row r="57" spans="1:12" x14ac:dyDescent="0.25">
      <c r="A57">
        <v>1755</v>
      </c>
      <c r="B57" t="s">
        <v>31</v>
      </c>
      <c r="C57" t="s">
        <v>44</v>
      </c>
      <c r="D57" t="s">
        <v>49</v>
      </c>
      <c r="E57">
        <v>1</v>
      </c>
      <c r="F57">
        <v>1</v>
      </c>
      <c r="H57">
        <v>12</v>
      </c>
      <c r="J57">
        <f t="shared" si="0"/>
        <v>2364</v>
      </c>
      <c r="L57">
        <f t="shared" si="1"/>
        <v>1.0553571428571429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6DA1-D12A-407B-9CE0-2F192090A2D6}">
  <dimension ref="A1:L96"/>
  <sheetViews>
    <sheetView topLeftCell="A30" workbookViewId="0">
      <selection activeCell="H63" sqref="H6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A2">
        <v>1755</v>
      </c>
      <c r="B2" t="s">
        <v>52</v>
      </c>
      <c r="C2" t="s">
        <v>53</v>
      </c>
      <c r="D2" t="s">
        <v>45</v>
      </c>
      <c r="J2">
        <f t="shared" ref="J2:J70" si="0">(E2*2240)+(F2*112)+(G2*28)+H2</f>
        <v>0</v>
      </c>
      <c r="L2">
        <f t="shared" ref="L2:L70" si="1">J2/2240</f>
        <v>0</v>
      </c>
    </row>
    <row r="3" spans="1:12" x14ac:dyDescent="0.25">
      <c r="A3">
        <v>1755</v>
      </c>
      <c r="B3" t="s">
        <v>54</v>
      </c>
      <c r="C3" t="s">
        <v>53</v>
      </c>
      <c r="D3" t="s">
        <v>45</v>
      </c>
      <c r="J3">
        <f t="shared" si="0"/>
        <v>0</v>
      </c>
      <c r="L3">
        <f t="shared" si="1"/>
        <v>0</v>
      </c>
    </row>
    <row r="4" spans="1:12" x14ac:dyDescent="0.25">
      <c r="A4">
        <v>1755</v>
      </c>
      <c r="B4" t="s">
        <v>55</v>
      </c>
      <c r="C4" t="s">
        <v>53</v>
      </c>
      <c r="D4" t="s">
        <v>45</v>
      </c>
      <c r="H4">
        <v>12216</v>
      </c>
      <c r="J4">
        <f t="shared" si="0"/>
        <v>12216</v>
      </c>
      <c r="L4">
        <f t="shared" si="1"/>
        <v>5.4535714285714283</v>
      </c>
    </row>
    <row r="5" spans="1:12" x14ac:dyDescent="0.25">
      <c r="A5">
        <v>1755</v>
      </c>
      <c r="B5" t="s">
        <v>4</v>
      </c>
      <c r="C5" t="s">
        <v>53</v>
      </c>
      <c r="D5" t="s">
        <v>45</v>
      </c>
      <c r="J5">
        <f t="shared" si="0"/>
        <v>0</v>
      </c>
      <c r="L5">
        <f t="shared" si="1"/>
        <v>0</v>
      </c>
    </row>
    <row r="6" spans="1:12" x14ac:dyDescent="0.25">
      <c r="A6">
        <v>1755</v>
      </c>
      <c r="B6" t="s">
        <v>56</v>
      </c>
      <c r="C6" t="s">
        <v>53</v>
      </c>
      <c r="D6" t="s">
        <v>45</v>
      </c>
      <c r="J6">
        <f t="shared" si="0"/>
        <v>0</v>
      </c>
      <c r="L6">
        <f t="shared" si="1"/>
        <v>0</v>
      </c>
    </row>
    <row r="7" spans="1:12" x14ac:dyDescent="0.25">
      <c r="A7">
        <v>1755</v>
      </c>
      <c r="B7" t="s">
        <v>84</v>
      </c>
      <c r="C7" t="s">
        <v>53</v>
      </c>
      <c r="D7" t="s">
        <v>45</v>
      </c>
      <c r="H7">
        <v>4310</v>
      </c>
      <c r="J7">
        <f t="shared" si="0"/>
        <v>4310</v>
      </c>
      <c r="L7">
        <f t="shared" si="1"/>
        <v>1.9241071428571428</v>
      </c>
    </row>
    <row r="8" spans="1:12" x14ac:dyDescent="0.25">
      <c r="A8">
        <v>1755</v>
      </c>
      <c r="B8" t="s">
        <v>57</v>
      </c>
      <c r="C8" t="s">
        <v>53</v>
      </c>
      <c r="D8" t="s">
        <v>45</v>
      </c>
      <c r="J8">
        <f t="shared" si="0"/>
        <v>0</v>
      </c>
      <c r="L8">
        <f t="shared" si="1"/>
        <v>0</v>
      </c>
    </row>
    <row r="9" spans="1:12" x14ac:dyDescent="0.25">
      <c r="A9">
        <v>1755</v>
      </c>
      <c r="B9" t="s">
        <v>5</v>
      </c>
      <c r="C9" t="s">
        <v>53</v>
      </c>
      <c r="D9" t="s">
        <v>45</v>
      </c>
      <c r="F9">
        <v>2</v>
      </c>
      <c r="J9">
        <f t="shared" si="0"/>
        <v>224</v>
      </c>
      <c r="L9">
        <f t="shared" si="1"/>
        <v>0.1</v>
      </c>
    </row>
    <row r="10" spans="1:12" x14ac:dyDescent="0.25">
      <c r="A10">
        <v>1755</v>
      </c>
      <c r="B10" t="s">
        <v>58</v>
      </c>
      <c r="C10" t="s">
        <v>53</v>
      </c>
      <c r="D10" t="s">
        <v>45</v>
      </c>
      <c r="J10">
        <f t="shared" si="0"/>
        <v>0</v>
      </c>
      <c r="L10">
        <f t="shared" si="1"/>
        <v>0</v>
      </c>
    </row>
    <row r="11" spans="1:12" x14ac:dyDescent="0.25">
      <c r="A11">
        <v>1755</v>
      </c>
      <c r="B11" t="s">
        <v>6</v>
      </c>
      <c r="C11" t="s">
        <v>53</v>
      </c>
      <c r="D11" t="s">
        <v>45</v>
      </c>
      <c r="F11">
        <v>113177</v>
      </c>
      <c r="G11">
        <v>0</v>
      </c>
      <c r="H11">
        <v>25</v>
      </c>
      <c r="J11">
        <f t="shared" si="0"/>
        <v>12675849</v>
      </c>
      <c r="L11">
        <f t="shared" si="1"/>
        <v>5658.8611607142857</v>
      </c>
    </row>
    <row r="12" spans="1:12" x14ac:dyDescent="0.25">
      <c r="A12">
        <v>1755</v>
      </c>
      <c r="B12" t="s">
        <v>59</v>
      </c>
      <c r="C12" t="s">
        <v>53</v>
      </c>
      <c r="D12" t="s">
        <v>45</v>
      </c>
      <c r="H12">
        <v>238</v>
      </c>
      <c r="J12">
        <f t="shared" si="0"/>
        <v>238</v>
      </c>
      <c r="L12">
        <f t="shared" si="1"/>
        <v>0.10625</v>
      </c>
    </row>
    <row r="13" spans="1:12" x14ac:dyDescent="0.25">
      <c r="A13">
        <v>1755</v>
      </c>
      <c r="B13" t="s">
        <v>60</v>
      </c>
      <c r="C13" t="s">
        <v>53</v>
      </c>
      <c r="D13" t="s">
        <v>45</v>
      </c>
      <c r="J13">
        <f t="shared" si="0"/>
        <v>0</v>
      </c>
      <c r="L13">
        <f t="shared" si="1"/>
        <v>0</v>
      </c>
    </row>
    <row r="14" spans="1:12" x14ac:dyDescent="0.25">
      <c r="A14">
        <v>1755</v>
      </c>
      <c r="B14" t="s">
        <v>61</v>
      </c>
      <c r="C14" t="s">
        <v>53</v>
      </c>
      <c r="D14" t="s">
        <v>45</v>
      </c>
      <c r="J14">
        <f t="shared" si="0"/>
        <v>0</v>
      </c>
      <c r="L14">
        <f t="shared" si="1"/>
        <v>0</v>
      </c>
    </row>
    <row r="15" spans="1:12" x14ac:dyDescent="0.25">
      <c r="A15">
        <v>1755</v>
      </c>
      <c r="B15" t="s">
        <v>8</v>
      </c>
      <c r="C15" t="s">
        <v>53</v>
      </c>
      <c r="D15" t="s">
        <v>45</v>
      </c>
      <c r="F15">
        <v>31</v>
      </c>
      <c r="J15">
        <f t="shared" si="0"/>
        <v>3472</v>
      </c>
      <c r="L15">
        <f t="shared" si="1"/>
        <v>1.55</v>
      </c>
    </row>
    <row r="16" spans="1:12" x14ac:dyDescent="0.25">
      <c r="A16">
        <v>1755</v>
      </c>
      <c r="B16" t="s">
        <v>62</v>
      </c>
      <c r="C16" t="s">
        <v>53</v>
      </c>
      <c r="D16" t="s">
        <v>45</v>
      </c>
      <c r="J16">
        <f t="shared" si="0"/>
        <v>0</v>
      </c>
      <c r="L16">
        <f t="shared" si="1"/>
        <v>0</v>
      </c>
    </row>
    <row r="17" spans="1:12" x14ac:dyDescent="0.25">
      <c r="A17">
        <v>1755</v>
      </c>
      <c r="B17" t="s">
        <v>9</v>
      </c>
      <c r="C17" t="s">
        <v>53</v>
      </c>
      <c r="D17" t="s">
        <v>45</v>
      </c>
      <c r="H17">
        <f>54*200</f>
        <v>10800</v>
      </c>
      <c r="I17" t="s">
        <v>89</v>
      </c>
      <c r="J17">
        <f t="shared" si="0"/>
        <v>10800</v>
      </c>
      <c r="L17">
        <f t="shared" si="1"/>
        <v>4.8214285714285712</v>
      </c>
    </row>
    <row r="18" spans="1:12" x14ac:dyDescent="0.25">
      <c r="A18">
        <v>1755</v>
      </c>
      <c r="B18" t="s">
        <v>10</v>
      </c>
      <c r="C18" t="s">
        <v>53</v>
      </c>
      <c r="D18" t="s">
        <v>45</v>
      </c>
      <c r="F18">
        <v>4233</v>
      </c>
      <c r="G18">
        <v>3</v>
      </c>
      <c r="H18">
        <v>21</v>
      </c>
      <c r="J18">
        <f t="shared" si="0"/>
        <v>474201</v>
      </c>
      <c r="L18">
        <f t="shared" si="1"/>
        <v>211.69687500000001</v>
      </c>
    </row>
    <row r="19" spans="1:12" x14ac:dyDescent="0.25">
      <c r="A19">
        <v>1755</v>
      </c>
      <c r="B19" t="s">
        <v>11</v>
      </c>
      <c r="C19" t="s">
        <v>53</v>
      </c>
      <c r="D19" t="s">
        <v>45</v>
      </c>
      <c r="F19">
        <v>35</v>
      </c>
      <c r="G19">
        <v>2</v>
      </c>
      <c r="H19">
        <v>14</v>
      </c>
      <c r="J19">
        <f t="shared" si="0"/>
        <v>3990</v>
      </c>
      <c r="L19">
        <f t="shared" si="1"/>
        <v>1.78125</v>
      </c>
    </row>
    <row r="20" spans="1:12" x14ac:dyDescent="0.25">
      <c r="A20">
        <v>1755</v>
      </c>
      <c r="B20" t="s">
        <v>46</v>
      </c>
      <c r="C20" t="s">
        <v>53</v>
      </c>
      <c r="D20" t="s">
        <v>45</v>
      </c>
      <c r="H20">
        <v>707</v>
      </c>
      <c r="J20">
        <f t="shared" si="0"/>
        <v>707</v>
      </c>
      <c r="L20">
        <f t="shared" si="1"/>
        <v>0.31562499999999999</v>
      </c>
    </row>
    <row r="21" spans="1:12" x14ac:dyDescent="0.25">
      <c r="A21">
        <v>1755</v>
      </c>
      <c r="B21" t="s">
        <v>63</v>
      </c>
      <c r="C21" t="s">
        <v>53</v>
      </c>
      <c r="D21" t="s">
        <v>45</v>
      </c>
      <c r="J21">
        <f t="shared" si="0"/>
        <v>0</v>
      </c>
      <c r="L21">
        <f t="shared" si="1"/>
        <v>0</v>
      </c>
    </row>
    <row r="22" spans="1:12" x14ac:dyDescent="0.25">
      <c r="A22">
        <v>1755</v>
      </c>
      <c r="B22" t="s">
        <v>12</v>
      </c>
      <c r="C22" t="s">
        <v>53</v>
      </c>
      <c r="D22" t="s">
        <v>45</v>
      </c>
      <c r="J22">
        <f t="shared" si="0"/>
        <v>0</v>
      </c>
      <c r="L22">
        <f t="shared" si="1"/>
        <v>0</v>
      </c>
    </row>
    <row r="23" spans="1:12" x14ac:dyDescent="0.25">
      <c r="A23">
        <v>1755</v>
      </c>
      <c r="B23" t="s">
        <v>47</v>
      </c>
      <c r="C23" t="s">
        <v>53</v>
      </c>
      <c r="D23" t="s">
        <v>45</v>
      </c>
      <c r="J23">
        <f t="shared" si="0"/>
        <v>0</v>
      </c>
      <c r="L23">
        <f t="shared" si="1"/>
        <v>0</v>
      </c>
    </row>
    <row r="24" spans="1:12" x14ac:dyDescent="0.25">
      <c r="A24">
        <v>1755</v>
      </c>
      <c r="B24" t="s">
        <v>13</v>
      </c>
      <c r="C24" t="s">
        <v>53</v>
      </c>
      <c r="D24" t="s">
        <v>45</v>
      </c>
      <c r="J24">
        <f t="shared" si="0"/>
        <v>0</v>
      </c>
      <c r="L24">
        <f t="shared" si="1"/>
        <v>0</v>
      </c>
    </row>
    <row r="25" spans="1:12" x14ac:dyDescent="0.25">
      <c r="A25">
        <v>1755</v>
      </c>
      <c r="B25" t="s">
        <v>14</v>
      </c>
      <c r="C25" t="s">
        <v>53</v>
      </c>
      <c r="D25" t="s">
        <v>45</v>
      </c>
      <c r="J25">
        <f t="shared" si="0"/>
        <v>0</v>
      </c>
      <c r="L25">
        <f t="shared" si="1"/>
        <v>0</v>
      </c>
    </row>
    <row r="26" spans="1:12" x14ac:dyDescent="0.25">
      <c r="A26">
        <v>1755</v>
      </c>
      <c r="B26" t="s">
        <v>24</v>
      </c>
      <c r="C26" t="s">
        <v>53</v>
      </c>
      <c r="D26" t="s">
        <v>45</v>
      </c>
      <c r="J26">
        <f t="shared" si="0"/>
        <v>0</v>
      </c>
      <c r="L26">
        <f t="shared" si="1"/>
        <v>0</v>
      </c>
    </row>
    <row r="27" spans="1:12" x14ac:dyDescent="0.25">
      <c r="A27">
        <v>1755</v>
      </c>
      <c r="B27" t="s">
        <v>28</v>
      </c>
      <c r="C27" t="s">
        <v>53</v>
      </c>
      <c r="D27" t="s">
        <v>45</v>
      </c>
      <c r="H27">
        <v>650377</v>
      </c>
      <c r="I27" t="s">
        <v>88</v>
      </c>
      <c r="J27">
        <f t="shared" si="0"/>
        <v>650377</v>
      </c>
      <c r="L27">
        <f t="shared" si="1"/>
        <v>290.34687500000001</v>
      </c>
    </row>
    <row r="28" spans="1:12" x14ac:dyDescent="0.25">
      <c r="A28">
        <v>1755</v>
      </c>
      <c r="B28" t="s">
        <v>15</v>
      </c>
      <c r="C28" t="s">
        <v>53</v>
      </c>
      <c r="D28" t="s">
        <v>45</v>
      </c>
      <c r="J28">
        <f t="shared" si="0"/>
        <v>0</v>
      </c>
      <c r="L28">
        <f t="shared" si="1"/>
        <v>0</v>
      </c>
    </row>
    <row r="29" spans="1:12" x14ac:dyDescent="0.25">
      <c r="A29">
        <v>1755</v>
      </c>
      <c r="B29" t="s">
        <v>64</v>
      </c>
      <c r="C29" t="s">
        <v>53</v>
      </c>
      <c r="D29" t="s">
        <v>45</v>
      </c>
      <c r="J29">
        <f t="shared" si="0"/>
        <v>0</v>
      </c>
      <c r="L29">
        <f t="shared" si="1"/>
        <v>0</v>
      </c>
    </row>
    <row r="30" spans="1:12" x14ac:dyDescent="0.25">
      <c r="A30">
        <v>1755</v>
      </c>
      <c r="B30" t="s">
        <v>48</v>
      </c>
      <c r="C30" t="s">
        <v>53</v>
      </c>
      <c r="D30" t="s">
        <v>45</v>
      </c>
      <c r="H30">
        <v>215</v>
      </c>
      <c r="I30" t="s">
        <v>86</v>
      </c>
      <c r="J30">
        <f t="shared" si="0"/>
        <v>215</v>
      </c>
      <c r="L30">
        <f t="shared" si="1"/>
        <v>9.5982142857142863E-2</v>
      </c>
    </row>
    <row r="31" spans="1:12" x14ac:dyDescent="0.25">
      <c r="A31">
        <v>1755</v>
      </c>
      <c r="B31" t="s">
        <v>16</v>
      </c>
      <c r="C31" t="s">
        <v>53</v>
      </c>
      <c r="D31" t="s">
        <v>45</v>
      </c>
      <c r="H31">
        <v>494</v>
      </c>
      <c r="J31">
        <f t="shared" si="0"/>
        <v>494</v>
      </c>
      <c r="L31">
        <f t="shared" si="1"/>
        <v>0.22053571428571428</v>
      </c>
    </row>
    <row r="32" spans="1:12" x14ac:dyDescent="0.25">
      <c r="A32">
        <v>1755</v>
      </c>
      <c r="B32" t="s">
        <v>17</v>
      </c>
      <c r="C32" t="s">
        <v>53</v>
      </c>
      <c r="D32" t="s">
        <v>45</v>
      </c>
      <c r="J32">
        <f t="shared" si="0"/>
        <v>0</v>
      </c>
      <c r="L32">
        <f t="shared" si="1"/>
        <v>0</v>
      </c>
    </row>
    <row r="33" spans="1:12" x14ac:dyDescent="0.25">
      <c r="A33">
        <v>1755</v>
      </c>
      <c r="B33" t="s">
        <v>18</v>
      </c>
      <c r="C33" t="s">
        <v>53</v>
      </c>
      <c r="D33" t="s">
        <v>45</v>
      </c>
      <c r="H33">
        <v>94850</v>
      </c>
      <c r="I33" t="s">
        <v>87</v>
      </c>
      <c r="J33">
        <f t="shared" si="0"/>
        <v>94850</v>
      </c>
      <c r="L33">
        <f t="shared" si="1"/>
        <v>42.34375</v>
      </c>
    </row>
    <row r="34" spans="1:12" x14ac:dyDescent="0.25">
      <c r="A34">
        <v>1755</v>
      </c>
      <c r="B34" t="s">
        <v>27</v>
      </c>
      <c r="C34" t="s">
        <v>53</v>
      </c>
      <c r="D34" t="s">
        <v>45</v>
      </c>
      <c r="H34">
        <v>206</v>
      </c>
      <c r="J34">
        <f t="shared" si="0"/>
        <v>206</v>
      </c>
      <c r="L34">
        <f t="shared" si="1"/>
        <v>9.1964285714285721E-2</v>
      </c>
    </row>
    <row r="35" spans="1:12" x14ac:dyDescent="0.25">
      <c r="A35">
        <v>1755</v>
      </c>
      <c r="B35" t="s">
        <v>19</v>
      </c>
      <c r="C35" t="s">
        <v>53</v>
      </c>
      <c r="D35" t="s">
        <v>45</v>
      </c>
      <c r="J35">
        <f t="shared" si="0"/>
        <v>0</v>
      </c>
      <c r="L35">
        <f t="shared" si="1"/>
        <v>0</v>
      </c>
    </row>
    <row r="36" spans="1:12" x14ac:dyDescent="0.25">
      <c r="A36">
        <v>1755</v>
      </c>
      <c r="B36" t="s">
        <v>65</v>
      </c>
      <c r="C36" t="s">
        <v>53</v>
      </c>
      <c r="D36" t="s">
        <v>45</v>
      </c>
      <c r="J36">
        <f t="shared" si="0"/>
        <v>0</v>
      </c>
      <c r="L36">
        <f t="shared" si="1"/>
        <v>0</v>
      </c>
    </row>
    <row r="37" spans="1:12" x14ac:dyDescent="0.25">
      <c r="A37">
        <v>1755</v>
      </c>
      <c r="B37" t="s">
        <v>20</v>
      </c>
      <c r="C37" t="s">
        <v>53</v>
      </c>
      <c r="D37" t="s">
        <v>45</v>
      </c>
      <c r="H37">
        <v>1689</v>
      </c>
      <c r="J37">
        <f t="shared" si="0"/>
        <v>1689</v>
      </c>
      <c r="L37">
        <f t="shared" si="1"/>
        <v>0.75401785714285718</v>
      </c>
    </row>
    <row r="38" spans="1:12" x14ac:dyDescent="0.25">
      <c r="A38">
        <v>1755</v>
      </c>
      <c r="B38" t="s">
        <v>85</v>
      </c>
      <c r="C38" t="s">
        <v>53</v>
      </c>
      <c r="D38" t="s">
        <v>45</v>
      </c>
      <c r="H38">
        <v>744</v>
      </c>
      <c r="J38">
        <f t="shared" si="0"/>
        <v>744</v>
      </c>
      <c r="L38">
        <f t="shared" si="1"/>
        <v>0.33214285714285713</v>
      </c>
    </row>
    <row r="39" spans="1:12" x14ac:dyDescent="0.25">
      <c r="A39">
        <v>1755</v>
      </c>
      <c r="B39" t="s">
        <v>21</v>
      </c>
      <c r="C39" t="s">
        <v>53</v>
      </c>
      <c r="D39" t="s">
        <v>45</v>
      </c>
      <c r="J39">
        <f t="shared" si="0"/>
        <v>0</v>
      </c>
      <c r="L39">
        <f t="shared" si="1"/>
        <v>0</v>
      </c>
    </row>
    <row r="40" spans="1:12" x14ac:dyDescent="0.25">
      <c r="A40">
        <v>1755</v>
      </c>
      <c r="B40" t="s">
        <v>22</v>
      </c>
      <c r="C40" t="s">
        <v>53</v>
      </c>
      <c r="D40" t="s">
        <v>45</v>
      </c>
      <c r="J40">
        <f t="shared" si="0"/>
        <v>0</v>
      </c>
      <c r="L40">
        <f t="shared" si="1"/>
        <v>0</v>
      </c>
    </row>
    <row r="41" spans="1:12" x14ac:dyDescent="0.25">
      <c r="A41">
        <v>1755</v>
      </c>
      <c r="B41" t="s">
        <v>23</v>
      </c>
      <c r="C41" t="s">
        <v>53</v>
      </c>
      <c r="D41" t="s">
        <v>45</v>
      </c>
      <c r="J41">
        <f t="shared" si="0"/>
        <v>0</v>
      </c>
      <c r="L41">
        <f t="shared" si="1"/>
        <v>0</v>
      </c>
    </row>
    <row r="42" spans="1:12" x14ac:dyDescent="0.25">
      <c r="A42">
        <v>1755</v>
      </c>
      <c r="B42" t="s">
        <v>29</v>
      </c>
      <c r="C42" t="s">
        <v>53</v>
      </c>
      <c r="D42" t="s">
        <v>45</v>
      </c>
      <c r="E42">
        <v>26</v>
      </c>
      <c r="J42">
        <f t="shared" si="0"/>
        <v>58240</v>
      </c>
      <c r="L42">
        <f t="shared" si="1"/>
        <v>26</v>
      </c>
    </row>
    <row r="43" spans="1:12" x14ac:dyDescent="0.25">
      <c r="A43">
        <v>1755</v>
      </c>
      <c r="B43" t="s">
        <v>30</v>
      </c>
      <c r="C43" t="s">
        <v>53</v>
      </c>
      <c r="D43" t="s">
        <v>45</v>
      </c>
      <c r="E43">
        <v>87</v>
      </c>
      <c r="J43">
        <f t="shared" si="0"/>
        <v>194880</v>
      </c>
      <c r="L43">
        <f t="shared" si="1"/>
        <v>87</v>
      </c>
    </row>
    <row r="44" spans="1:12" x14ac:dyDescent="0.25">
      <c r="A44">
        <v>1755</v>
      </c>
      <c r="B44" t="s">
        <v>31</v>
      </c>
      <c r="C44" t="s">
        <v>53</v>
      </c>
      <c r="D44" t="s">
        <v>45</v>
      </c>
      <c r="J44">
        <f t="shared" si="0"/>
        <v>0</v>
      </c>
      <c r="L44">
        <f t="shared" si="1"/>
        <v>0</v>
      </c>
    </row>
    <row r="45" spans="1:12" x14ac:dyDescent="0.25">
      <c r="A45">
        <v>1755</v>
      </c>
      <c r="B45" t="s">
        <v>73</v>
      </c>
      <c r="C45" t="s">
        <v>53</v>
      </c>
      <c r="D45" t="s">
        <v>45</v>
      </c>
      <c r="E45">
        <v>37</v>
      </c>
      <c r="F45">
        <v>4</v>
      </c>
      <c r="G45">
        <v>3</v>
      </c>
      <c r="J45">
        <f t="shared" si="0"/>
        <v>83412</v>
      </c>
      <c r="L45">
        <f t="shared" si="1"/>
        <v>37.237499999999997</v>
      </c>
    </row>
    <row r="46" spans="1:12" x14ac:dyDescent="0.25">
      <c r="A46">
        <v>1755</v>
      </c>
      <c r="B46" t="s">
        <v>32</v>
      </c>
      <c r="C46" t="s">
        <v>53</v>
      </c>
      <c r="D46" t="s">
        <v>45</v>
      </c>
      <c r="J46">
        <f t="shared" si="0"/>
        <v>0</v>
      </c>
      <c r="L46">
        <f t="shared" si="1"/>
        <v>0</v>
      </c>
    </row>
    <row r="47" spans="1:12" x14ac:dyDescent="0.25">
      <c r="A47">
        <v>1755</v>
      </c>
      <c r="B47" t="s">
        <v>33</v>
      </c>
      <c r="C47" t="s">
        <v>53</v>
      </c>
      <c r="D47" t="s">
        <v>45</v>
      </c>
      <c r="J47">
        <f t="shared" si="0"/>
        <v>0</v>
      </c>
      <c r="L47">
        <f t="shared" si="1"/>
        <v>0</v>
      </c>
    </row>
    <row r="48" spans="1:12" x14ac:dyDescent="0.25">
      <c r="A48">
        <v>1755</v>
      </c>
      <c r="B48" t="s">
        <v>52</v>
      </c>
      <c r="C48" t="s">
        <v>53</v>
      </c>
      <c r="D48" t="s">
        <v>49</v>
      </c>
      <c r="J48">
        <f t="shared" si="0"/>
        <v>0</v>
      </c>
      <c r="L48">
        <f t="shared" si="1"/>
        <v>0</v>
      </c>
    </row>
    <row r="49" spans="1:12" x14ac:dyDescent="0.25">
      <c r="A49">
        <v>1755</v>
      </c>
      <c r="B49" t="s">
        <v>54</v>
      </c>
      <c r="C49" t="s">
        <v>53</v>
      </c>
      <c r="D49" t="s">
        <v>49</v>
      </c>
      <c r="J49">
        <f t="shared" si="0"/>
        <v>0</v>
      </c>
      <c r="L49">
        <f t="shared" si="1"/>
        <v>0</v>
      </c>
    </row>
    <row r="50" spans="1:12" x14ac:dyDescent="0.25">
      <c r="A50">
        <v>1755</v>
      </c>
      <c r="B50" t="s">
        <v>55</v>
      </c>
      <c r="C50" t="s">
        <v>53</v>
      </c>
      <c r="D50" t="s">
        <v>49</v>
      </c>
      <c r="H50">
        <v>166</v>
      </c>
      <c r="J50">
        <f t="shared" si="0"/>
        <v>166</v>
      </c>
      <c r="L50">
        <f t="shared" si="1"/>
        <v>7.4107142857142858E-2</v>
      </c>
    </row>
    <row r="51" spans="1:12" x14ac:dyDescent="0.25">
      <c r="A51">
        <v>1755</v>
      </c>
      <c r="B51" t="s">
        <v>4</v>
      </c>
      <c r="C51" t="s">
        <v>53</v>
      </c>
      <c r="D51" t="s">
        <v>49</v>
      </c>
      <c r="J51">
        <f t="shared" si="0"/>
        <v>0</v>
      </c>
      <c r="L51">
        <f t="shared" si="1"/>
        <v>0</v>
      </c>
    </row>
    <row r="52" spans="1:12" x14ac:dyDescent="0.25">
      <c r="A52">
        <v>1755</v>
      </c>
      <c r="B52" t="s">
        <v>56</v>
      </c>
      <c r="C52" t="s">
        <v>53</v>
      </c>
      <c r="D52" t="s">
        <v>49</v>
      </c>
      <c r="J52">
        <f t="shared" si="0"/>
        <v>0</v>
      </c>
      <c r="L52">
        <f t="shared" si="1"/>
        <v>0</v>
      </c>
    </row>
    <row r="53" spans="1:12" x14ac:dyDescent="0.25">
      <c r="A53">
        <v>1755</v>
      </c>
      <c r="B53" t="s">
        <v>84</v>
      </c>
      <c r="C53" t="s">
        <v>53</v>
      </c>
      <c r="D53" t="s">
        <v>49</v>
      </c>
      <c r="H53">
        <v>50</v>
      </c>
      <c r="J53">
        <f t="shared" si="0"/>
        <v>50</v>
      </c>
      <c r="L53">
        <f t="shared" si="1"/>
        <v>2.2321428571428572E-2</v>
      </c>
    </row>
    <row r="54" spans="1:12" x14ac:dyDescent="0.25">
      <c r="A54">
        <v>1755</v>
      </c>
      <c r="B54" t="s">
        <v>57</v>
      </c>
      <c r="C54" t="s">
        <v>53</v>
      </c>
      <c r="D54" t="s">
        <v>49</v>
      </c>
      <c r="J54">
        <f t="shared" si="0"/>
        <v>0</v>
      </c>
      <c r="L54">
        <f t="shared" si="1"/>
        <v>0</v>
      </c>
    </row>
    <row r="55" spans="1:12" x14ac:dyDescent="0.25">
      <c r="A55">
        <v>1755</v>
      </c>
      <c r="B55" t="s">
        <v>5</v>
      </c>
      <c r="C55" t="s">
        <v>53</v>
      </c>
      <c r="D55" t="s">
        <v>49</v>
      </c>
      <c r="F55">
        <v>55</v>
      </c>
      <c r="G55">
        <v>3</v>
      </c>
      <c r="H55">
        <v>16</v>
      </c>
      <c r="J55">
        <f t="shared" si="0"/>
        <v>6260</v>
      </c>
      <c r="L55">
        <f t="shared" si="1"/>
        <v>2.7946428571428572</v>
      </c>
    </row>
    <row r="56" spans="1:12" x14ac:dyDescent="0.25">
      <c r="A56">
        <v>1755</v>
      </c>
      <c r="B56" t="s">
        <v>58</v>
      </c>
      <c r="C56" t="s">
        <v>53</v>
      </c>
      <c r="D56" t="s">
        <v>49</v>
      </c>
      <c r="J56">
        <f t="shared" si="0"/>
        <v>0</v>
      </c>
      <c r="L56">
        <f t="shared" si="1"/>
        <v>0</v>
      </c>
    </row>
    <row r="57" spans="1:12" x14ac:dyDescent="0.25">
      <c r="A57">
        <v>1755</v>
      </c>
      <c r="B57" t="s">
        <v>6</v>
      </c>
      <c r="C57" t="s">
        <v>53</v>
      </c>
      <c r="D57" t="s">
        <v>49</v>
      </c>
      <c r="F57">
        <v>63603</v>
      </c>
      <c r="H57">
        <v>14</v>
      </c>
      <c r="J57">
        <f t="shared" si="0"/>
        <v>7123550</v>
      </c>
      <c r="L57">
        <f t="shared" si="1"/>
        <v>3180.15625</v>
      </c>
    </row>
    <row r="58" spans="1:12" x14ac:dyDescent="0.25">
      <c r="A58">
        <v>1755</v>
      </c>
      <c r="B58" t="s">
        <v>59</v>
      </c>
      <c r="C58" t="s">
        <v>53</v>
      </c>
      <c r="D58" t="s">
        <v>49</v>
      </c>
      <c r="J58">
        <f t="shared" si="0"/>
        <v>0</v>
      </c>
      <c r="L58">
        <f t="shared" si="1"/>
        <v>0</v>
      </c>
    </row>
    <row r="59" spans="1:12" x14ac:dyDescent="0.25">
      <c r="A59">
        <v>1755</v>
      </c>
      <c r="B59" t="s">
        <v>60</v>
      </c>
      <c r="C59" t="s">
        <v>53</v>
      </c>
      <c r="D59" t="s">
        <v>49</v>
      </c>
      <c r="J59">
        <f t="shared" si="0"/>
        <v>0</v>
      </c>
      <c r="L59">
        <f t="shared" si="1"/>
        <v>0</v>
      </c>
    </row>
    <row r="60" spans="1:12" x14ac:dyDescent="0.25">
      <c r="A60">
        <v>1755</v>
      </c>
      <c r="B60" t="s">
        <v>61</v>
      </c>
      <c r="C60" t="s">
        <v>53</v>
      </c>
      <c r="D60" t="s">
        <v>49</v>
      </c>
      <c r="J60">
        <f t="shared" si="0"/>
        <v>0</v>
      </c>
      <c r="L60">
        <f t="shared" si="1"/>
        <v>0</v>
      </c>
    </row>
    <row r="61" spans="1:12" x14ac:dyDescent="0.25">
      <c r="A61">
        <v>1755</v>
      </c>
      <c r="B61" t="s">
        <v>8</v>
      </c>
      <c r="C61" t="s">
        <v>53</v>
      </c>
      <c r="D61" t="s">
        <v>49</v>
      </c>
      <c r="F61">
        <v>70</v>
      </c>
      <c r="H61">
        <v>14</v>
      </c>
      <c r="J61">
        <f t="shared" si="0"/>
        <v>7854</v>
      </c>
      <c r="L61">
        <f t="shared" si="1"/>
        <v>3.5062500000000001</v>
      </c>
    </row>
    <row r="62" spans="1:12" x14ac:dyDescent="0.25">
      <c r="A62">
        <v>1755</v>
      </c>
      <c r="B62" t="s">
        <v>62</v>
      </c>
      <c r="C62" t="s">
        <v>53</v>
      </c>
      <c r="D62" t="s">
        <v>49</v>
      </c>
      <c r="J62">
        <f t="shared" si="0"/>
        <v>0</v>
      </c>
      <c r="L62">
        <f t="shared" si="1"/>
        <v>0</v>
      </c>
    </row>
    <row r="63" spans="1:12" x14ac:dyDescent="0.25">
      <c r="A63">
        <v>1755</v>
      </c>
      <c r="B63" t="s">
        <v>9</v>
      </c>
      <c r="C63" t="s">
        <v>53</v>
      </c>
      <c r="D63" t="s">
        <v>49</v>
      </c>
      <c r="H63">
        <f>1307*200</f>
        <v>261400</v>
      </c>
      <c r="I63" t="s">
        <v>147</v>
      </c>
      <c r="J63">
        <f t="shared" si="0"/>
        <v>261400</v>
      </c>
      <c r="L63">
        <f t="shared" si="1"/>
        <v>116.69642857142857</v>
      </c>
    </row>
    <row r="64" spans="1:12" x14ac:dyDescent="0.25">
      <c r="A64">
        <v>1755</v>
      </c>
      <c r="B64" t="s">
        <v>10</v>
      </c>
      <c r="C64" t="s">
        <v>53</v>
      </c>
      <c r="D64" t="s">
        <v>49</v>
      </c>
      <c r="F64">
        <v>1496</v>
      </c>
      <c r="G64">
        <v>2</v>
      </c>
      <c r="H64">
        <v>24</v>
      </c>
      <c r="J64">
        <f t="shared" si="0"/>
        <v>167632</v>
      </c>
      <c r="L64">
        <f t="shared" si="1"/>
        <v>74.835714285714289</v>
      </c>
    </row>
    <row r="65" spans="1:12" x14ac:dyDescent="0.25">
      <c r="A65">
        <v>1755</v>
      </c>
      <c r="B65" t="s">
        <v>11</v>
      </c>
      <c r="C65" t="s">
        <v>53</v>
      </c>
      <c r="D65" t="s">
        <v>49</v>
      </c>
      <c r="F65">
        <v>189</v>
      </c>
      <c r="H65">
        <v>22</v>
      </c>
      <c r="J65">
        <f t="shared" si="0"/>
        <v>21190</v>
      </c>
      <c r="L65">
        <f t="shared" si="1"/>
        <v>9.4598214285714288</v>
      </c>
    </row>
    <row r="66" spans="1:12" x14ac:dyDescent="0.25">
      <c r="A66">
        <v>1755</v>
      </c>
      <c r="B66" t="s">
        <v>46</v>
      </c>
      <c r="C66" t="s">
        <v>53</v>
      </c>
      <c r="D66" t="s">
        <v>49</v>
      </c>
      <c r="H66">
        <v>19</v>
      </c>
      <c r="J66">
        <f t="shared" si="0"/>
        <v>19</v>
      </c>
      <c r="L66">
        <f t="shared" si="1"/>
        <v>8.4821428571428565E-3</v>
      </c>
    </row>
    <row r="67" spans="1:12" x14ac:dyDescent="0.25">
      <c r="A67">
        <v>1755</v>
      </c>
      <c r="B67" t="s">
        <v>93</v>
      </c>
      <c r="C67" t="s">
        <v>53</v>
      </c>
      <c r="D67" t="s">
        <v>49</v>
      </c>
      <c r="H67">
        <v>691</v>
      </c>
      <c r="J67">
        <f t="shared" si="0"/>
        <v>691</v>
      </c>
      <c r="L67">
        <f t="shared" si="1"/>
        <v>0.30848214285714287</v>
      </c>
    </row>
    <row r="68" spans="1:12" x14ac:dyDescent="0.25">
      <c r="A68">
        <v>1755</v>
      </c>
      <c r="B68" t="s">
        <v>63</v>
      </c>
      <c r="C68" t="s">
        <v>53</v>
      </c>
      <c r="D68" t="s">
        <v>49</v>
      </c>
      <c r="J68">
        <f t="shared" si="0"/>
        <v>0</v>
      </c>
      <c r="L68">
        <f t="shared" si="1"/>
        <v>0</v>
      </c>
    </row>
    <row r="69" spans="1:12" x14ac:dyDescent="0.25">
      <c r="A69">
        <v>1755</v>
      </c>
      <c r="B69" t="s">
        <v>12</v>
      </c>
      <c r="C69" t="s">
        <v>53</v>
      </c>
      <c r="D69" t="s">
        <v>49</v>
      </c>
      <c r="J69">
        <f t="shared" si="0"/>
        <v>0</v>
      </c>
      <c r="L69">
        <f t="shared" si="1"/>
        <v>0</v>
      </c>
    </row>
    <row r="70" spans="1:12" x14ac:dyDescent="0.25">
      <c r="A70">
        <v>1755</v>
      </c>
      <c r="B70" t="s">
        <v>47</v>
      </c>
      <c r="C70" t="s">
        <v>53</v>
      </c>
      <c r="D70" t="s">
        <v>49</v>
      </c>
      <c r="J70">
        <f t="shared" si="0"/>
        <v>0</v>
      </c>
      <c r="L70">
        <f t="shared" si="1"/>
        <v>0</v>
      </c>
    </row>
    <row r="71" spans="1:12" x14ac:dyDescent="0.25">
      <c r="A71">
        <v>1755</v>
      </c>
      <c r="B71" t="s">
        <v>13</v>
      </c>
      <c r="C71" t="s">
        <v>53</v>
      </c>
      <c r="D71" t="s">
        <v>49</v>
      </c>
      <c r="E71">
        <v>15</v>
      </c>
      <c r="J71">
        <f t="shared" ref="J71:J96" si="2">(E71*2240)+(F71*112)+(G71*28)+H71</f>
        <v>33600</v>
      </c>
      <c r="L71">
        <f t="shared" ref="L71:L96" si="3">J71/2240</f>
        <v>15</v>
      </c>
    </row>
    <row r="72" spans="1:12" x14ac:dyDescent="0.25">
      <c r="A72">
        <v>1755</v>
      </c>
      <c r="B72" t="s">
        <v>14</v>
      </c>
      <c r="C72" t="s">
        <v>53</v>
      </c>
      <c r="D72" t="s">
        <v>49</v>
      </c>
      <c r="J72">
        <f t="shared" si="2"/>
        <v>0</v>
      </c>
      <c r="L72">
        <f t="shared" si="3"/>
        <v>0</v>
      </c>
    </row>
    <row r="73" spans="1:12" x14ac:dyDescent="0.25">
      <c r="A73">
        <v>1755</v>
      </c>
      <c r="B73" t="s">
        <v>24</v>
      </c>
      <c r="C73" t="s">
        <v>53</v>
      </c>
      <c r="D73" t="s">
        <v>49</v>
      </c>
      <c r="J73">
        <f t="shared" si="2"/>
        <v>0</v>
      </c>
      <c r="L73">
        <f t="shared" si="3"/>
        <v>0</v>
      </c>
    </row>
    <row r="74" spans="1:12" x14ac:dyDescent="0.25">
      <c r="A74">
        <v>1755</v>
      </c>
      <c r="B74" t="s">
        <v>28</v>
      </c>
      <c r="C74" t="s">
        <v>53</v>
      </c>
      <c r="D74" t="s">
        <v>49</v>
      </c>
      <c r="H74">
        <v>71930</v>
      </c>
      <c r="I74" t="s">
        <v>146</v>
      </c>
      <c r="J74">
        <f t="shared" si="2"/>
        <v>71930</v>
      </c>
      <c r="L74">
        <f t="shared" si="3"/>
        <v>32.111607142857146</v>
      </c>
    </row>
    <row r="75" spans="1:12" x14ac:dyDescent="0.25">
      <c r="A75">
        <v>1755</v>
      </c>
      <c r="B75" t="s">
        <v>15</v>
      </c>
      <c r="C75" t="s">
        <v>53</v>
      </c>
      <c r="D75" t="s">
        <v>49</v>
      </c>
      <c r="J75">
        <f t="shared" si="2"/>
        <v>0</v>
      </c>
      <c r="L75">
        <f t="shared" si="3"/>
        <v>0</v>
      </c>
    </row>
    <row r="76" spans="1:12" x14ac:dyDescent="0.25">
      <c r="A76">
        <v>1755</v>
      </c>
      <c r="B76" t="s">
        <v>144</v>
      </c>
      <c r="C76" t="s">
        <v>53</v>
      </c>
      <c r="D76" t="s">
        <v>49</v>
      </c>
      <c r="F76">
        <v>5</v>
      </c>
      <c r="H76">
        <v>17</v>
      </c>
      <c r="J76">
        <f t="shared" si="2"/>
        <v>577</v>
      </c>
      <c r="L76">
        <f t="shared" si="3"/>
        <v>0.25758928571428569</v>
      </c>
    </row>
    <row r="77" spans="1:12" x14ac:dyDescent="0.25">
      <c r="A77">
        <v>1755</v>
      </c>
      <c r="B77" t="s">
        <v>64</v>
      </c>
      <c r="C77" t="s">
        <v>53</v>
      </c>
      <c r="D77" t="s">
        <v>49</v>
      </c>
      <c r="J77">
        <f t="shared" si="2"/>
        <v>0</v>
      </c>
      <c r="L77">
        <f t="shared" si="3"/>
        <v>0</v>
      </c>
    </row>
    <row r="78" spans="1:12" x14ac:dyDescent="0.25">
      <c r="A78">
        <v>1755</v>
      </c>
      <c r="B78" t="s">
        <v>48</v>
      </c>
      <c r="C78" t="s">
        <v>53</v>
      </c>
      <c r="D78" t="s">
        <v>49</v>
      </c>
      <c r="J78">
        <f t="shared" si="2"/>
        <v>0</v>
      </c>
      <c r="L78">
        <f t="shared" si="3"/>
        <v>0</v>
      </c>
    </row>
    <row r="79" spans="1:12" x14ac:dyDescent="0.25">
      <c r="A79">
        <v>1755</v>
      </c>
      <c r="B79" t="s">
        <v>16</v>
      </c>
      <c r="C79" t="s">
        <v>53</v>
      </c>
      <c r="D79" t="s">
        <v>49</v>
      </c>
      <c r="J79">
        <f t="shared" si="2"/>
        <v>0</v>
      </c>
      <c r="L79">
        <f t="shared" si="3"/>
        <v>0</v>
      </c>
    </row>
    <row r="80" spans="1:12" x14ac:dyDescent="0.25">
      <c r="A80">
        <v>1755</v>
      </c>
      <c r="B80" t="s">
        <v>17</v>
      </c>
      <c r="C80" t="s">
        <v>53</v>
      </c>
      <c r="D80" t="s">
        <v>49</v>
      </c>
      <c r="F80">
        <v>627</v>
      </c>
      <c r="G80">
        <v>3</v>
      </c>
      <c r="H80">
        <v>27</v>
      </c>
      <c r="J80">
        <f t="shared" si="2"/>
        <v>70335</v>
      </c>
      <c r="L80">
        <f t="shared" si="3"/>
        <v>31.399553571428573</v>
      </c>
    </row>
    <row r="81" spans="1:12" x14ac:dyDescent="0.25">
      <c r="A81">
        <v>1755</v>
      </c>
      <c r="B81" t="s">
        <v>18</v>
      </c>
      <c r="C81" t="s">
        <v>53</v>
      </c>
      <c r="D81" t="s">
        <v>49</v>
      </c>
      <c r="H81">
        <v>59465</v>
      </c>
      <c r="I81" t="s">
        <v>145</v>
      </c>
      <c r="J81">
        <f t="shared" si="2"/>
        <v>59465</v>
      </c>
      <c r="L81">
        <f t="shared" si="3"/>
        <v>26.546875</v>
      </c>
    </row>
    <row r="82" spans="1:12" x14ac:dyDescent="0.25">
      <c r="A82">
        <v>1755</v>
      </c>
      <c r="B82" t="s">
        <v>27</v>
      </c>
      <c r="C82" t="s">
        <v>53</v>
      </c>
      <c r="D82" t="s">
        <v>49</v>
      </c>
      <c r="J82">
        <f t="shared" si="2"/>
        <v>0</v>
      </c>
      <c r="L82">
        <f t="shared" si="3"/>
        <v>0</v>
      </c>
    </row>
    <row r="83" spans="1:12" x14ac:dyDescent="0.25">
      <c r="A83">
        <v>1755</v>
      </c>
      <c r="B83" t="s">
        <v>19</v>
      </c>
      <c r="C83" t="s">
        <v>53</v>
      </c>
      <c r="D83" t="s">
        <v>49</v>
      </c>
      <c r="F83">
        <v>6</v>
      </c>
      <c r="G83">
        <v>1</v>
      </c>
      <c r="H83">
        <v>8</v>
      </c>
      <c r="J83">
        <f t="shared" si="2"/>
        <v>708</v>
      </c>
      <c r="L83">
        <f t="shared" si="3"/>
        <v>0.31607142857142856</v>
      </c>
    </row>
    <row r="84" spans="1:12" x14ac:dyDescent="0.25">
      <c r="A84">
        <v>1755</v>
      </c>
      <c r="B84" t="s">
        <v>65</v>
      </c>
      <c r="C84" t="s">
        <v>53</v>
      </c>
      <c r="D84" t="s">
        <v>49</v>
      </c>
      <c r="J84">
        <f t="shared" si="2"/>
        <v>0</v>
      </c>
      <c r="L84">
        <f t="shared" si="3"/>
        <v>0</v>
      </c>
    </row>
    <row r="85" spans="1:12" x14ac:dyDescent="0.25">
      <c r="A85">
        <v>1755</v>
      </c>
      <c r="B85" t="s">
        <v>20</v>
      </c>
      <c r="C85" t="s">
        <v>53</v>
      </c>
      <c r="D85" t="s">
        <v>49</v>
      </c>
      <c r="H85">
        <v>72</v>
      </c>
      <c r="J85">
        <f t="shared" si="2"/>
        <v>72</v>
      </c>
      <c r="L85">
        <f t="shared" si="3"/>
        <v>3.214285714285714E-2</v>
      </c>
    </row>
    <row r="86" spans="1:12" x14ac:dyDescent="0.25">
      <c r="A86">
        <v>1755</v>
      </c>
      <c r="B86" t="s">
        <v>85</v>
      </c>
      <c r="C86" t="s">
        <v>53</v>
      </c>
      <c r="D86" t="s">
        <v>49</v>
      </c>
      <c r="H86">
        <v>111</v>
      </c>
      <c r="J86">
        <f t="shared" si="2"/>
        <v>111</v>
      </c>
      <c r="L86">
        <f t="shared" si="3"/>
        <v>4.9553571428571426E-2</v>
      </c>
    </row>
    <row r="87" spans="1:12" x14ac:dyDescent="0.25">
      <c r="A87">
        <v>1755</v>
      </c>
      <c r="B87" t="s">
        <v>21</v>
      </c>
      <c r="C87" t="s">
        <v>53</v>
      </c>
      <c r="D87" t="s">
        <v>49</v>
      </c>
      <c r="J87">
        <f t="shared" si="2"/>
        <v>0</v>
      </c>
      <c r="L87">
        <f t="shared" si="3"/>
        <v>0</v>
      </c>
    </row>
    <row r="88" spans="1:12" x14ac:dyDescent="0.25">
      <c r="A88">
        <v>1755</v>
      </c>
      <c r="B88" t="s">
        <v>22</v>
      </c>
      <c r="C88" t="s">
        <v>53</v>
      </c>
      <c r="D88" t="s">
        <v>49</v>
      </c>
      <c r="J88">
        <f t="shared" si="2"/>
        <v>0</v>
      </c>
      <c r="L88">
        <f t="shared" si="3"/>
        <v>0</v>
      </c>
    </row>
    <row r="89" spans="1:12" x14ac:dyDescent="0.25">
      <c r="A89">
        <v>1755</v>
      </c>
      <c r="B89" t="s">
        <v>23</v>
      </c>
      <c r="C89" t="s">
        <v>53</v>
      </c>
      <c r="D89" t="s">
        <v>49</v>
      </c>
      <c r="J89">
        <f t="shared" si="2"/>
        <v>0</v>
      </c>
      <c r="L89">
        <f t="shared" si="3"/>
        <v>0</v>
      </c>
    </row>
    <row r="90" spans="1:12" x14ac:dyDescent="0.25">
      <c r="A90">
        <v>1755</v>
      </c>
      <c r="B90" t="s">
        <v>29</v>
      </c>
      <c r="C90" t="s">
        <v>53</v>
      </c>
      <c r="D90" t="s">
        <v>49</v>
      </c>
      <c r="J90">
        <f t="shared" si="2"/>
        <v>0</v>
      </c>
      <c r="L90">
        <f t="shared" si="3"/>
        <v>0</v>
      </c>
    </row>
    <row r="91" spans="1:12" x14ac:dyDescent="0.25">
      <c r="A91">
        <v>1755</v>
      </c>
      <c r="B91" t="s">
        <v>30</v>
      </c>
      <c r="C91" t="s">
        <v>53</v>
      </c>
      <c r="D91" t="s">
        <v>49</v>
      </c>
      <c r="E91">
        <v>81</v>
      </c>
      <c r="F91">
        <v>19</v>
      </c>
      <c r="G91">
        <v>1</v>
      </c>
      <c r="J91">
        <f t="shared" si="2"/>
        <v>183596</v>
      </c>
      <c r="L91">
        <f t="shared" si="3"/>
        <v>81.962500000000006</v>
      </c>
    </row>
    <row r="92" spans="1:12" x14ac:dyDescent="0.25">
      <c r="A92">
        <v>1755</v>
      </c>
      <c r="B92" t="s">
        <v>31</v>
      </c>
      <c r="C92" t="s">
        <v>53</v>
      </c>
      <c r="D92" t="s">
        <v>49</v>
      </c>
      <c r="J92">
        <f t="shared" si="2"/>
        <v>0</v>
      </c>
      <c r="L92">
        <f t="shared" si="3"/>
        <v>0</v>
      </c>
    </row>
    <row r="93" spans="1:12" x14ac:dyDescent="0.25">
      <c r="A93">
        <v>1755</v>
      </c>
      <c r="B93" t="s">
        <v>82</v>
      </c>
      <c r="C93" t="s">
        <v>53</v>
      </c>
      <c r="D93" t="s">
        <v>49</v>
      </c>
      <c r="E93">
        <v>4</v>
      </c>
      <c r="J93">
        <f t="shared" si="2"/>
        <v>8960</v>
      </c>
      <c r="L93">
        <f t="shared" si="3"/>
        <v>4</v>
      </c>
    </row>
    <row r="94" spans="1:12" x14ac:dyDescent="0.25">
      <c r="A94">
        <v>1755</v>
      </c>
      <c r="B94" t="s">
        <v>73</v>
      </c>
      <c r="C94" t="s">
        <v>53</v>
      </c>
      <c r="D94" t="s">
        <v>49</v>
      </c>
      <c r="J94">
        <f t="shared" si="2"/>
        <v>0</v>
      </c>
      <c r="L94">
        <f t="shared" si="3"/>
        <v>0</v>
      </c>
    </row>
    <row r="95" spans="1:12" x14ac:dyDescent="0.25">
      <c r="A95">
        <v>1755</v>
      </c>
      <c r="B95" t="s">
        <v>32</v>
      </c>
      <c r="C95" t="s">
        <v>53</v>
      </c>
      <c r="D95" t="s">
        <v>49</v>
      </c>
      <c r="E95">
        <v>86</v>
      </c>
      <c r="F95">
        <v>7</v>
      </c>
      <c r="G95">
        <v>1</v>
      </c>
      <c r="J95">
        <f t="shared" si="2"/>
        <v>193452</v>
      </c>
      <c r="L95">
        <f t="shared" si="3"/>
        <v>86.362499999999997</v>
      </c>
    </row>
    <row r="96" spans="1:12" x14ac:dyDescent="0.25">
      <c r="A96">
        <v>1755</v>
      </c>
      <c r="B96" t="s">
        <v>33</v>
      </c>
      <c r="C96" t="s">
        <v>53</v>
      </c>
      <c r="D96" t="s">
        <v>49</v>
      </c>
      <c r="J96">
        <f t="shared" si="2"/>
        <v>0</v>
      </c>
      <c r="L96">
        <f t="shared" si="3"/>
        <v>0</v>
      </c>
    </row>
  </sheetData>
  <autoFilter ref="A1:N56" xr:uid="{AAD1F908-12B8-4B3A-A65D-184CD229ACD4}">
    <sortState xmlns:xlrd2="http://schemas.microsoft.com/office/spreadsheetml/2017/richdata2" ref="A2:N56">
      <sortCondition ref="B1:B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AE8A-4F39-49B1-A6CE-16ED64FE833A}">
  <dimension ref="A1:L14"/>
  <sheetViews>
    <sheetView topLeftCell="B1" workbookViewId="0">
      <selection activeCell="H17" sqref="H17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B2" t="s">
        <v>66</v>
      </c>
      <c r="C2" t="s">
        <v>67</v>
      </c>
      <c r="D2" t="s">
        <v>45</v>
      </c>
      <c r="J2">
        <f t="shared" ref="J2:J8" si="0">(E2*2240)+(F2*112)+(G2*28)+H2</f>
        <v>0</v>
      </c>
      <c r="L2">
        <f t="shared" ref="L2:L8" si="1">J2/2240</f>
        <v>0</v>
      </c>
    </row>
    <row r="3" spans="1:12" x14ac:dyDescent="0.25">
      <c r="B3" t="s">
        <v>8</v>
      </c>
      <c r="C3" t="s">
        <v>67</v>
      </c>
      <c r="D3" t="s">
        <v>45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B4" t="s">
        <v>9</v>
      </c>
      <c r="C4" t="s">
        <v>67</v>
      </c>
      <c r="D4" t="s">
        <v>45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B5" t="s">
        <v>29</v>
      </c>
      <c r="C5" t="s">
        <v>67</v>
      </c>
      <c r="D5" t="s">
        <v>45</v>
      </c>
      <c r="J5">
        <f t="shared" si="0"/>
        <v>0</v>
      </c>
      <c r="L5">
        <f t="shared" si="1"/>
        <v>0</v>
      </c>
    </row>
    <row r="6" spans="1:12" x14ac:dyDescent="0.25">
      <c r="B6" t="s">
        <v>31</v>
      </c>
      <c r="C6" t="s">
        <v>67</v>
      </c>
      <c r="D6" t="s">
        <v>45</v>
      </c>
      <c r="J6">
        <f t="shared" si="0"/>
        <v>0</v>
      </c>
      <c r="L6">
        <f t="shared" si="1"/>
        <v>0</v>
      </c>
    </row>
    <row r="7" spans="1:12" x14ac:dyDescent="0.25">
      <c r="B7" t="s">
        <v>12</v>
      </c>
      <c r="C7" t="s">
        <v>67</v>
      </c>
      <c r="D7" t="s">
        <v>49</v>
      </c>
      <c r="J7">
        <f t="shared" si="0"/>
        <v>0</v>
      </c>
      <c r="K7" s="1"/>
      <c r="L7">
        <f t="shared" si="1"/>
        <v>0</v>
      </c>
    </row>
    <row r="8" spans="1:12" x14ac:dyDescent="0.25">
      <c r="B8" t="s">
        <v>68</v>
      </c>
      <c r="C8" t="s">
        <v>67</v>
      </c>
      <c r="D8" t="s">
        <v>49</v>
      </c>
      <c r="J8">
        <f t="shared" si="0"/>
        <v>0</v>
      </c>
      <c r="K8" s="1"/>
      <c r="L8">
        <f t="shared" si="1"/>
        <v>0</v>
      </c>
    </row>
    <row r="9" spans="1:12" x14ac:dyDescent="0.25">
      <c r="B9" t="s">
        <v>19</v>
      </c>
      <c r="C9" t="s">
        <v>67</v>
      </c>
      <c r="D9" t="s">
        <v>49</v>
      </c>
      <c r="J9">
        <f>(E9*2240)+(F9*112)+(G9*28)+H9</f>
        <v>0</v>
      </c>
      <c r="L9">
        <f>J9/2240</f>
        <v>0</v>
      </c>
    </row>
    <row r="10" spans="1:12" x14ac:dyDescent="0.25">
      <c r="B10" t="s">
        <v>20</v>
      </c>
      <c r="C10" t="s">
        <v>67</v>
      </c>
      <c r="D10" t="s">
        <v>49</v>
      </c>
      <c r="J10">
        <f t="shared" ref="J10:J14" si="2">(E10*2240)+(F10*112)+(G10*28)+H10</f>
        <v>0</v>
      </c>
      <c r="L10">
        <f t="shared" ref="L10:L14" si="3">J10/2240</f>
        <v>0</v>
      </c>
    </row>
    <row r="11" spans="1:12" x14ac:dyDescent="0.25">
      <c r="B11" t="s">
        <v>9</v>
      </c>
      <c r="C11" t="s">
        <v>67</v>
      </c>
      <c r="D11" t="s">
        <v>49</v>
      </c>
      <c r="J11">
        <f t="shared" si="2"/>
        <v>0</v>
      </c>
      <c r="L11">
        <f t="shared" si="3"/>
        <v>0</v>
      </c>
    </row>
    <row r="12" spans="1:12" x14ac:dyDescent="0.25">
      <c r="B12" t="s">
        <v>8</v>
      </c>
      <c r="C12" t="s">
        <v>67</v>
      </c>
      <c r="D12" t="s">
        <v>49</v>
      </c>
      <c r="J12">
        <f t="shared" si="2"/>
        <v>0</v>
      </c>
      <c r="L12">
        <f t="shared" si="3"/>
        <v>0</v>
      </c>
    </row>
    <row r="13" spans="1:12" x14ac:dyDescent="0.25">
      <c r="B13" t="s">
        <v>29</v>
      </c>
      <c r="C13" t="s">
        <v>67</v>
      </c>
      <c r="D13" t="s">
        <v>49</v>
      </c>
      <c r="J13">
        <f t="shared" si="2"/>
        <v>0</v>
      </c>
      <c r="L13">
        <f t="shared" si="3"/>
        <v>0</v>
      </c>
    </row>
    <row r="14" spans="1:12" x14ac:dyDescent="0.25">
      <c r="B14" t="s">
        <v>31</v>
      </c>
      <c r="C14" t="s">
        <v>67</v>
      </c>
      <c r="D14" t="s">
        <v>49</v>
      </c>
      <c r="J14">
        <f t="shared" si="2"/>
        <v>0</v>
      </c>
      <c r="L14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B6BD-DD0B-41AE-A6F1-7EB95F48E8DE}">
  <dimension ref="A1:L123"/>
  <sheetViews>
    <sheetView topLeftCell="A48" zoomScaleNormal="100" workbookViewId="0">
      <selection activeCell="H82" sqref="H8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A2">
        <v>1755</v>
      </c>
      <c r="B2" t="s">
        <v>52</v>
      </c>
      <c r="C2" t="s">
        <v>69</v>
      </c>
      <c r="D2" t="s">
        <v>45</v>
      </c>
      <c r="J2">
        <f>(E2*2240)+(F2*112)+(G2*28)+H2</f>
        <v>0</v>
      </c>
      <c r="L2">
        <f>J2/2240</f>
        <v>0</v>
      </c>
    </row>
    <row r="3" spans="1:12" x14ac:dyDescent="0.25">
      <c r="A3">
        <v>1755</v>
      </c>
      <c r="B3" t="s">
        <v>54</v>
      </c>
      <c r="C3" t="s">
        <v>69</v>
      </c>
      <c r="D3" t="s">
        <v>45</v>
      </c>
      <c r="J3">
        <f>(E3*2240)+(F3*112)+(G3*28)+H3</f>
        <v>0</v>
      </c>
      <c r="L3">
        <f>J3/2240</f>
        <v>0</v>
      </c>
    </row>
    <row r="4" spans="1:12" x14ac:dyDescent="0.25">
      <c r="A4">
        <v>1755</v>
      </c>
      <c r="B4" t="s">
        <v>55</v>
      </c>
      <c r="C4" t="s">
        <v>69</v>
      </c>
      <c r="D4" t="s">
        <v>45</v>
      </c>
      <c r="J4">
        <f>(E4*2240)+(F4*112)+(G4*28)+H4</f>
        <v>0</v>
      </c>
      <c r="L4">
        <f>J4/2240</f>
        <v>0</v>
      </c>
    </row>
    <row r="5" spans="1:12" x14ac:dyDescent="0.25">
      <c r="A5">
        <v>1755</v>
      </c>
      <c r="B5" t="s">
        <v>4</v>
      </c>
      <c r="C5" t="s">
        <v>69</v>
      </c>
      <c r="D5" t="s">
        <v>45</v>
      </c>
      <c r="J5">
        <f>(E5*2240)+(F5*112)+(G5*28)+H5</f>
        <v>0</v>
      </c>
      <c r="L5">
        <f>J5/2240</f>
        <v>0</v>
      </c>
    </row>
    <row r="6" spans="1:12" x14ac:dyDescent="0.25">
      <c r="A6">
        <v>1755</v>
      </c>
      <c r="B6" t="s">
        <v>56</v>
      </c>
      <c r="C6" t="s">
        <v>69</v>
      </c>
      <c r="D6" t="s">
        <v>45</v>
      </c>
      <c r="J6">
        <f>(E6*2240)+(F6*112)+(G6*28)+H6</f>
        <v>0</v>
      </c>
      <c r="L6">
        <f>J6/2240</f>
        <v>0</v>
      </c>
    </row>
    <row r="7" spans="1:12" x14ac:dyDescent="0.25">
      <c r="A7">
        <v>1755</v>
      </c>
      <c r="B7" t="s">
        <v>70</v>
      </c>
      <c r="C7" t="s">
        <v>69</v>
      </c>
      <c r="D7" t="s">
        <v>45</v>
      </c>
      <c r="J7">
        <f t="shared" ref="J7:J84" si="0">(E7*2240)+(F7*112)+(G7*28)+H7</f>
        <v>0</v>
      </c>
      <c r="L7">
        <f t="shared" ref="L7:L84" si="1">J7/2240</f>
        <v>0</v>
      </c>
    </row>
    <row r="8" spans="1:12" x14ac:dyDescent="0.25">
      <c r="A8">
        <v>1755</v>
      </c>
      <c r="B8" t="s">
        <v>57</v>
      </c>
      <c r="C8" t="s">
        <v>69</v>
      </c>
      <c r="D8" t="s">
        <v>45</v>
      </c>
      <c r="J8">
        <f t="shared" si="0"/>
        <v>0</v>
      </c>
      <c r="L8">
        <f t="shared" si="1"/>
        <v>0</v>
      </c>
    </row>
    <row r="9" spans="1:12" x14ac:dyDescent="0.25">
      <c r="A9">
        <v>1755</v>
      </c>
      <c r="B9" t="s">
        <v>91</v>
      </c>
      <c r="C9" t="s">
        <v>69</v>
      </c>
      <c r="D9" t="s">
        <v>45</v>
      </c>
      <c r="F9">
        <v>50</v>
      </c>
      <c r="J9">
        <f t="shared" si="0"/>
        <v>5600</v>
      </c>
      <c r="L9">
        <f t="shared" si="1"/>
        <v>2.5</v>
      </c>
    </row>
    <row r="10" spans="1:12" x14ac:dyDescent="0.25">
      <c r="A10">
        <v>1755</v>
      </c>
      <c r="B10" t="s">
        <v>5</v>
      </c>
      <c r="C10" t="s">
        <v>69</v>
      </c>
      <c r="D10" t="s">
        <v>45</v>
      </c>
      <c r="F10">
        <v>10</v>
      </c>
      <c r="J10">
        <f t="shared" si="0"/>
        <v>1120</v>
      </c>
      <c r="L10">
        <f t="shared" si="1"/>
        <v>0.5</v>
      </c>
    </row>
    <row r="11" spans="1:12" x14ac:dyDescent="0.25">
      <c r="A11">
        <v>1755</v>
      </c>
      <c r="B11" t="s">
        <v>58</v>
      </c>
      <c r="C11" t="s">
        <v>69</v>
      </c>
      <c r="D11" t="s">
        <v>45</v>
      </c>
      <c r="J11">
        <f t="shared" si="0"/>
        <v>0</v>
      </c>
      <c r="L11">
        <f t="shared" si="1"/>
        <v>0</v>
      </c>
    </row>
    <row r="12" spans="1:12" x14ac:dyDescent="0.25">
      <c r="A12">
        <v>1755</v>
      </c>
      <c r="B12" t="s">
        <v>6</v>
      </c>
      <c r="C12" t="s">
        <v>69</v>
      </c>
      <c r="D12" t="s">
        <v>45</v>
      </c>
      <c r="F12">
        <v>271888</v>
      </c>
      <c r="G12">
        <v>2</v>
      </c>
      <c r="H12">
        <v>7</v>
      </c>
      <c r="J12">
        <f t="shared" si="0"/>
        <v>30451519</v>
      </c>
      <c r="L12">
        <f t="shared" si="1"/>
        <v>13594.428125</v>
      </c>
    </row>
    <row r="13" spans="1:12" x14ac:dyDescent="0.25">
      <c r="A13">
        <v>1755</v>
      </c>
      <c r="B13" t="s">
        <v>59</v>
      </c>
      <c r="C13" t="s">
        <v>69</v>
      </c>
      <c r="D13" t="s">
        <v>45</v>
      </c>
      <c r="H13">
        <v>184</v>
      </c>
      <c r="J13">
        <f t="shared" si="0"/>
        <v>184</v>
      </c>
      <c r="L13">
        <f t="shared" si="1"/>
        <v>8.2142857142857142E-2</v>
      </c>
    </row>
    <row r="14" spans="1:12" x14ac:dyDescent="0.25">
      <c r="A14">
        <v>1755</v>
      </c>
      <c r="B14" t="s">
        <v>60</v>
      </c>
      <c r="C14" t="s">
        <v>69</v>
      </c>
      <c r="D14" t="s">
        <v>45</v>
      </c>
      <c r="J14">
        <f t="shared" si="0"/>
        <v>0</v>
      </c>
      <c r="L14">
        <f t="shared" si="1"/>
        <v>0</v>
      </c>
    </row>
    <row r="15" spans="1:12" x14ac:dyDescent="0.25">
      <c r="A15">
        <v>1755</v>
      </c>
      <c r="B15" t="s">
        <v>61</v>
      </c>
      <c r="C15" t="s">
        <v>69</v>
      </c>
      <c r="D15" t="s">
        <v>45</v>
      </c>
      <c r="J15">
        <f t="shared" si="0"/>
        <v>0</v>
      </c>
      <c r="L15">
        <f t="shared" si="1"/>
        <v>0</v>
      </c>
    </row>
    <row r="16" spans="1:12" x14ac:dyDescent="0.25">
      <c r="A16">
        <v>1755</v>
      </c>
      <c r="B16" t="s">
        <v>8</v>
      </c>
      <c r="C16" t="s">
        <v>69</v>
      </c>
      <c r="D16" t="s">
        <v>45</v>
      </c>
      <c r="F16">
        <v>213</v>
      </c>
      <c r="H16">
        <v>4</v>
      </c>
      <c r="J16">
        <f t="shared" si="0"/>
        <v>23860</v>
      </c>
      <c r="L16">
        <f t="shared" si="1"/>
        <v>10.651785714285714</v>
      </c>
    </row>
    <row r="17" spans="1:12" x14ac:dyDescent="0.25">
      <c r="A17">
        <v>1755</v>
      </c>
      <c r="B17" t="s">
        <v>62</v>
      </c>
      <c r="C17" t="s">
        <v>69</v>
      </c>
      <c r="D17" t="s">
        <v>45</v>
      </c>
      <c r="J17">
        <f t="shared" si="0"/>
        <v>0</v>
      </c>
      <c r="L17">
        <f t="shared" si="1"/>
        <v>0</v>
      </c>
    </row>
    <row r="18" spans="1:12" x14ac:dyDescent="0.25">
      <c r="A18">
        <v>1755</v>
      </c>
      <c r="B18" t="s">
        <v>90</v>
      </c>
      <c r="C18" t="s">
        <v>69</v>
      </c>
      <c r="D18" t="s">
        <v>45</v>
      </c>
      <c r="F18">
        <v>555</v>
      </c>
      <c r="G18">
        <v>3</v>
      </c>
      <c r="H18">
        <v>20</v>
      </c>
      <c r="J18">
        <f t="shared" si="0"/>
        <v>62264</v>
      </c>
      <c r="L18">
        <f t="shared" si="1"/>
        <v>27.796428571428571</v>
      </c>
    </row>
    <row r="19" spans="1:12" x14ac:dyDescent="0.25">
      <c r="A19">
        <v>1755</v>
      </c>
      <c r="B19" t="s">
        <v>92</v>
      </c>
      <c r="C19" t="s">
        <v>69</v>
      </c>
      <c r="D19" t="s">
        <v>45</v>
      </c>
      <c r="H19">
        <v>731</v>
      </c>
      <c r="J19">
        <f t="shared" si="0"/>
        <v>731</v>
      </c>
      <c r="L19">
        <f t="shared" si="1"/>
        <v>0.32633928571428572</v>
      </c>
    </row>
    <row r="20" spans="1:12" x14ac:dyDescent="0.25">
      <c r="A20">
        <v>1755</v>
      </c>
      <c r="B20" t="s">
        <v>71</v>
      </c>
      <c r="C20" t="s">
        <v>69</v>
      </c>
      <c r="D20" t="s">
        <v>45</v>
      </c>
      <c r="J20">
        <f t="shared" si="0"/>
        <v>0</v>
      </c>
      <c r="L20">
        <f t="shared" si="1"/>
        <v>0</v>
      </c>
    </row>
    <row r="21" spans="1:12" x14ac:dyDescent="0.25">
      <c r="A21">
        <v>1755</v>
      </c>
      <c r="B21" t="s">
        <v>9</v>
      </c>
      <c r="C21" t="s">
        <v>69</v>
      </c>
      <c r="D21" t="s">
        <v>45</v>
      </c>
      <c r="H21">
        <f>1031*200</f>
        <v>206200</v>
      </c>
      <c r="I21" t="s">
        <v>107</v>
      </c>
      <c r="J21">
        <f t="shared" si="0"/>
        <v>206200</v>
      </c>
      <c r="L21">
        <f t="shared" si="1"/>
        <v>92.053571428571431</v>
      </c>
    </row>
    <row r="22" spans="1:12" x14ac:dyDescent="0.25">
      <c r="A22">
        <v>1755</v>
      </c>
      <c r="B22" t="s">
        <v>10</v>
      </c>
      <c r="C22" t="s">
        <v>69</v>
      </c>
      <c r="D22" t="s">
        <v>45</v>
      </c>
      <c r="F22">
        <v>5565</v>
      </c>
      <c r="G22">
        <v>1</v>
      </c>
      <c r="H22">
        <v>6</v>
      </c>
      <c r="J22">
        <f t="shared" si="0"/>
        <v>623314</v>
      </c>
      <c r="L22">
        <f t="shared" si="1"/>
        <v>278.26517857142858</v>
      </c>
    </row>
    <row r="23" spans="1:12" x14ac:dyDescent="0.25">
      <c r="A23">
        <v>1755</v>
      </c>
      <c r="B23" t="s">
        <v>11</v>
      </c>
      <c r="C23" t="s">
        <v>69</v>
      </c>
      <c r="D23" t="s">
        <v>45</v>
      </c>
      <c r="F23">
        <v>38</v>
      </c>
      <c r="H23">
        <v>3</v>
      </c>
      <c r="J23">
        <f t="shared" si="0"/>
        <v>4259</v>
      </c>
      <c r="L23">
        <f t="shared" si="1"/>
        <v>1.9013392857142857</v>
      </c>
    </row>
    <row r="24" spans="1:12" x14ac:dyDescent="0.25">
      <c r="A24">
        <v>1755</v>
      </c>
      <c r="B24" t="s">
        <v>46</v>
      </c>
      <c r="C24" t="s">
        <v>69</v>
      </c>
      <c r="D24" t="s">
        <v>45</v>
      </c>
      <c r="H24">
        <v>433</v>
      </c>
      <c r="J24">
        <f t="shared" si="0"/>
        <v>433</v>
      </c>
      <c r="L24">
        <f t="shared" si="1"/>
        <v>0.19330357142857144</v>
      </c>
    </row>
    <row r="25" spans="1:12" x14ac:dyDescent="0.25">
      <c r="A25">
        <v>1755</v>
      </c>
      <c r="B25" t="s">
        <v>93</v>
      </c>
      <c r="C25" t="s">
        <v>69</v>
      </c>
      <c r="D25" t="s">
        <v>45</v>
      </c>
      <c r="H25">
        <v>1268</v>
      </c>
      <c r="J25">
        <f t="shared" si="0"/>
        <v>1268</v>
      </c>
      <c r="L25">
        <f t="shared" si="1"/>
        <v>0.56607142857142856</v>
      </c>
    </row>
    <row r="26" spans="1:12" x14ac:dyDescent="0.25">
      <c r="A26">
        <v>1755</v>
      </c>
      <c r="B26" t="s">
        <v>94</v>
      </c>
      <c r="C26" t="s">
        <v>69</v>
      </c>
      <c r="D26" t="s">
        <v>45</v>
      </c>
      <c r="H26">
        <v>2997</v>
      </c>
      <c r="J26">
        <f t="shared" si="0"/>
        <v>2997</v>
      </c>
      <c r="L26">
        <f t="shared" si="1"/>
        <v>1.3379464285714286</v>
      </c>
    </row>
    <row r="27" spans="1:12" x14ac:dyDescent="0.25">
      <c r="A27">
        <v>1755</v>
      </c>
      <c r="B27" t="s">
        <v>63</v>
      </c>
      <c r="C27" t="s">
        <v>69</v>
      </c>
      <c r="D27" t="s">
        <v>45</v>
      </c>
      <c r="J27">
        <f t="shared" si="0"/>
        <v>0</v>
      </c>
      <c r="L27">
        <f t="shared" si="1"/>
        <v>0</v>
      </c>
    </row>
    <row r="28" spans="1:12" x14ac:dyDescent="0.25">
      <c r="A28">
        <v>1755</v>
      </c>
      <c r="B28" t="s">
        <v>97</v>
      </c>
      <c r="C28" t="s">
        <v>69</v>
      </c>
      <c r="D28" t="s">
        <v>45</v>
      </c>
      <c r="H28">
        <v>440</v>
      </c>
      <c r="J28">
        <f t="shared" si="0"/>
        <v>440</v>
      </c>
      <c r="L28">
        <f t="shared" si="1"/>
        <v>0.19642857142857142</v>
      </c>
    </row>
    <row r="29" spans="1:12" x14ac:dyDescent="0.25">
      <c r="A29">
        <v>1755</v>
      </c>
      <c r="B29" t="s">
        <v>98</v>
      </c>
      <c r="C29" t="s">
        <v>69</v>
      </c>
      <c r="D29" t="s">
        <v>45</v>
      </c>
      <c r="H29">
        <v>2645</v>
      </c>
      <c r="J29">
        <f t="shared" si="0"/>
        <v>2645</v>
      </c>
      <c r="L29">
        <f t="shared" si="1"/>
        <v>1.1808035714285714</v>
      </c>
    </row>
    <row r="30" spans="1:12" x14ac:dyDescent="0.25">
      <c r="A30">
        <v>1755</v>
      </c>
      <c r="B30" t="s">
        <v>95</v>
      </c>
      <c r="C30" t="s">
        <v>69</v>
      </c>
      <c r="D30" t="s">
        <v>45</v>
      </c>
      <c r="H30">
        <v>3929</v>
      </c>
      <c r="J30">
        <f t="shared" si="0"/>
        <v>3929</v>
      </c>
      <c r="L30">
        <f t="shared" si="1"/>
        <v>1.7540178571428571</v>
      </c>
    </row>
    <row r="31" spans="1:12" x14ac:dyDescent="0.25">
      <c r="A31">
        <v>1755</v>
      </c>
      <c r="B31" t="s">
        <v>47</v>
      </c>
      <c r="C31" t="s">
        <v>69</v>
      </c>
      <c r="D31" t="s">
        <v>45</v>
      </c>
      <c r="J31">
        <f t="shared" si="0"/>
        <v>0</v>
      </c>
      <c r="L31">
        <f t="shared" si="1"/>
        <v>0</v>
      </c>
    </row>
    <row r="32" spans="1:12" x14ac:dyDescent="0.25">
      <c r="A32">
        <v>1755</v>
      </c>
      <c r="B32" t="s">
        <v>13</v>
      </c>
      <c r="C32" t="s">
        <v>69</v>
      </c>
      <c r="D32" t="s">
        <v>45</v>
      </c>
      <c r="E32">
        <v>65</v>
      </c>
      <c r="F32">
        <v>10</v>
      </c>
      <c r="J32">
        <f t="shared" si="0"/>
        <v>146720</v>
      </c>
      <c r="L32">
        <f t="shared" si="1"/>
        <v>65.5</v>
      </c>
    </row>
    <row r="33" spans="1:12" x14ac:dyDescent="0.25">
      <c r="A33">
        <v>1755</v>
      </c>
      <c r="B33" t="s">
        <v>14</v>
      </c>
      <c r="C33" t="s">
        <v>69</v>
      </c>
      <c r="D33" t="s">
        <v>45</v>
      </c>
      <c r="H33">
        <v>31257</v>
      </c>
      <c r="I33" t="s">
        <v>99</v>
      </c>
      <c r="J33">
        <f t="shared" si="0"/>
        <v>31257</v>
      </c>
      <c r="L33">
        <f t="shared" si="1"/>
        <v>13.954017857142857</v>
      </c>
    </row>
    <row r="34" spans="1:12" x14ac:dyDescent="0.25">
      <c r="A34">
        <v>1755</v>
      </c>
      <c r="B34" t="s">
        <v>24</v>
      </c>
      <c r="C34" t="s">
        <v>69</v>
      </c>
      <c r="D34" t="s">
        <v>45</v>
      </c>
      <c r="J34">
        <f t="shared" si="0"/>
        <v>0</v>
      </c>
      <c r="L34">
        <f t="shared" si="1"/>
        <v>0</v>
      </c>
    </row>
    <row r="35" spans="1:12" x14ac:dyDescent="0.25">
      <c r="A35">
        <v>1755</v>
      </c>
      <c r="B35" t="s">
        <v>28</v>
      </c>
      <c r="C35" t="s">
        <v>69</v>
      </c>
      <c r="D35" t="s">
        <v>45</v>
      </c>
      <c r="H35">
        <v>84495</v>
      </c>
      <c r="I35" t="s">
        <v>104</v>
      </c>
      <c r="J35">
        <f t="shared" si="0"/>
        <v>84495</v>
      </c>
      <c r="L35">
        <f t="shared" si="1"/>
        <v>37.720982142857146</v>
      </c>
    </row>
    <row r="36" spans="1:12" x14ac:dyDescent="0.25">
      <c r="A36">
        <v>1755</v>
      </c>
      <c r="B36" t="s">
        <v>15</v>
      </c>
      <c r="C36" t="s">
        <v>69</v>
      </c>
      <c r="D36" t="s">
        <v>45</v>
      </c>
      <c r="J36">
        <f t="shared" si="0"/>
        <v>0</v>
      </c>
      <c r="L36">
        <f t="shared" si="1"/>
        <v>0</v>
      </c>
    </row>
    <row r="37" spans="1:12" x14ac:dyDescent="0.25">
      <c r="A37">
        <v>1755</v>
      </c>
      <c r="B37" t="s">
        <v>64</v>
      </c>
      <c r="C37" t="s">
        <v>69</v>
      </c>
      <c r="D37" t="s">
        <v>45</v>
      </c>
      <c r="J37">
        <f t="shared" si="0"/>
        <v>0</v>
      </c>
      <c r="L37">
        <f t="shared" si="1"/>
        <v>0</v>
      </c>
    </row>
    <row r="38" spans="1:12" x14ac:dyDescent="0.25">
      <c r="A38">
        <v>1755</v>
      </c>
      <c r="B38" t="s">
        <v>100</v>
      </c>
      <c r="C38" t="s">
        <v>69</v>
      </c>
      <c r="D38" t="s">
        <v>45</v>
      </c>
      <c r="F38">
        <v>10</v>
      </c>
      <c r="J38">
        <f t="shared" si="0"/>
        <v>1120</v>
      </c>
      <c r="L38">
        <f t="shared" si="1"/>
        <v>0.5</v>
      </c>
    </row>
    <row r="39" spans="1:12" x14ac:dyDescent="0.25">
      <c r="A39">
        <v>1755</v>
      </c>
      <c r="B39" t="s">
        <v>48</v>
      </c>
      <c r="C39" t="s">
        <v>69</v>
      </c>
      <c r="D39" t="s">
        <v>45</v>
      </c>
      <c r="H39">
        <v>159</v>
      </c>
      <c r="I39" t="s">
        <v>101</v>
      </c>
      <c r="J39">
        <f t="shared" si="0"/>
        <v>159</v>
      </c>
      <c r="L39">
        <f t="shared" si="1"/>
        <v>7.0982142857142855E-2</v>
      </c>
    </row>
    <row r="40" spans="1:12" x14ac:dyDescent="0.25">
      <c r="A40">
        <v>1755</v>
      </c>
      <c r="B40" t="s">
        <v>16</v>
      </c>
      <c r="C40" t="s">
        <v>69</v>
      </c>
      <c r="D40" t="s">
        <v>45</v>
      </c>
      <c r="H40">
        <v>264682</v>
      </c>
      <c r="J40">
        <f t="shared" si="0"/>
        <v>264682</v>
      </c>
      <c r="L40">
        <f t="shared" si="1"/>
        <v>118.16160714285714</v>
      </c>
    </row>
    <row r="41" spans="1:12" x14ac:dyDescent="0.25">
      <c r="A41">
        <v>1755</v>
      </c>
      <c r="B41" t="s">
        <v>17</v>
      </c>
      <c r="C41" t="s">
        <v>69</v>
      </c>
      <c r="D41" t="s">
        <v>45</v>
      </c>
      <c r="J41">
        <f t="shared" si="0"/>
        <v>0</v>
      </c>
      <c r="L41">
        <f t="shared" si="1"/>
        <v>0</v>
      </c>
    </row>
    <row r="42" spans="1:12" x14ac:dyDescent="0.25">
      <c r="A42">
        <v>1755</v>
      </c>
      <c r="B42" t="s">
        <v>18</v>
      </c>
      <c r="C42" t="s">
        <v>69</v>
      </c>
      <c r="D42" t="s">
        <v>45</v>
      </c>
      <c r="H42">
        <v>5519637</v>
      </c>
      <c r="I42" t="s">
        <v>103</v>
      </c>
      <c r="J42">
        <f t="shared" si="0"/>
        <v>5519637</v>
      </c>
      <c r="L42">
        <f t="shared" si="1"/>
        <v>2464.1236607142855</v>
      </c>
    </row>
    <row r="43" spans="1:12" x14ac:dyDescent="0.25">
      <c r="A43">
        <v>1755</v>
      </c>
      <c r="B43" t="s">
        <v>27</v>
      </c>
      <c r="C43" t="s">
        <v>69</v>
      </c>
      <c r="D43" t="s">
        <v>45</v>
      </c>
      <c r="H43">
        <v>19933</v>
      </c>
      <c r="J43">
        <f t="shared" si="0"/>
        <v>19933</v>
      </c>
      <c r="L43">
        <f t="shared" si="1"/>
        <v>8.8986607142857146</v>
      </c>
    </row>
    <row r="44" spans="1:12" x14ac:dyDescent="0.25">
      <c r="A44">
        <v>1755</v>
      </c>
      <c r="B44" t="s">
        <v>96</v>
      </c>
      <c r="C44" t="s">
        <v>69</v>
      </c>
      <c r="D44" t="s">
        <v>45</v>
      </c>
      <c r="H44">
        <v>22400</v>
      </c>
      <c r="J44">
        <f t="shared" si="0"/>
        <v>22400</v>
      </c>
      <c r="L44">
        <f t="shared" si="1"/>
        <v>10</v>
      </c>
    </row>
    <row r="45" spans="1:12" x14ac:dyDescent="0.25">
      <c r="A45">
        <v>1755</v>
      </c>
      <c r="B45" t="s">
        <v>19</v>
      </c>
      <c r="C45" t="s">
        <v>69</v>
      </c>
      <c r="D45" t="s">
        <v>45</v>
      </c>
      <c r="J45">
        <f t="shared" si="0"/>
        <v>0</v>
      </c>
      <c r="L45">
        <f t="shared" si="1"/>
        <v>0</v>
      </c>
    </row>
    <row r="46" spans="1:12" x14ac:dyDescent="0.25">
      <c r="A46">
        <v>1755</v>
      </c>
      <c r="B46" t="s">
        <v>65</v>
      </c>
      <c r="C46" t="s">
        <v>69</v>
      </c>
      <c r="D46" t="s">
        <v>45</v>
      </c>
      <c r="J46">
        <f t="shared" si="0"/>
        <v>0</v>
      </c>
      <c r="L46">
        <f t="shared" si="1"/>
        <v>0</v>
      </c>
    </row>
    <row r="47" spans="1:12" x14ac:dyDescent="0.25">
      <c r="A47">
        <v>1755</v>
      </c>
      <c r="B47" t="s">
        <v>102</v>
      </c>
      <c r="C47" t="s">
        <v>69</v>
      </c>
      <c r="D47" t="s">
        <v>45</v>
      </c>
      <c r="H47">
        <v>2400</v>
      </c>
      <c r="J47">
        <f t="shared" si="0"/>
        <v>2400</v>
      </c>
      <c r="L47">
        <f t="shared" si="1"/>
        <v>1.0714285714285714</v>
      </c>
    </row>
    <row r="48" spans="1:12" x14ac:dyDescent="0.25">
      <c r="A48">
        <v>1755</v>
      </c>
      <c r="B48" t="s">
        <v>20</v>
      </c>
      <c r="C48" t="s">
        <v>69</v>
      </c>
      <c r="D48" t="s">
        <v>45</v>
      </c>
      <c r="H48">
        <v>1444</v>
      </c>
      <c r="J48">
        <f t="shared" si="0"/>
        <v>1444</v>
      </c>
      <c r="L48">
        <f t="shared" si="1"/>
        <v>0.64464285714285718</v>
      </c>
    </row>
    <row r="49" spans="1:12" x14ac:dyDescent="0.25">
      <c r="A49">
        <v>1755</v>
      </c>
      <c r="B49" t="s">
        <v>85</v>
      </c>
      <c r="C49" t="s">
        <v>69</v>
      </c>
      <c r="D49" t="s">
        <v>45</v>
      </c>
      <c r="H49">
        <v>1083</v>
      </c>
      <c r="J49">
        <f t="shared" si="0"/>
        <v>1083</v>
      </c>
      <c r="L49">
        <f t="shared" si="1"/>
        <v>0.48348214285714286</v>
      </c>
    </row>
    <row r="50" spans="1:12" x14ac:dyDescent="0.25">
      <c r="A50">
        <v>1755</v>
      </c>
      <c r="B50" t="s">
        <v>21</v>
      </c>
      <c r="C50" t="s">
        <v>69</v>
      </c>
      <c r="D50" t="s">
        <v>45</v>
      </c>
      <c r="H50">
        <v>8</v>
      </c>
      <c r="J50">
        <f t="shared" si="0"/>
        <v>8</v>
      </c>
      <c r="L50">
        <f t="shared" si="1"/>
        <v>3.5714285714285713E-3</v>
      </c>
    </row>
    <row r="51" spans="1:12" x14ac:dyDescent="0.25">
      <c r="A51">
        <v>1755</v>
      </c>
      <c r="B51" t="s">
        <v>22</v>
      </c>
      <c r="C51" t="s">
        <v>69</v>
      </c>
      <c r="D51" t="s">
        <v>45</v>
      </c>
      <c r="H51">
        <v>6279</v>
      </c>
      <c r="J51">
        <f t="shared" si="0"/>
        <v>6279</v>
      </c>
      <c r="L51">
        <f t="shared" si="1"/>
        <v>2.8031250000000001</v>
      </c>
    </row>
    <row r="52" spans="1:12" x14ac:dyDescent="0.25">
      <c r="A52">
        <v>1755</v>
      </c>
      <c r="B52" t="s">
        <v>23</v>
      </c>
      <c r="C52" t="s">
        <v>69</v>
      </c>
      <c r="D52" t="s">
        <v>45</v>
      </c>
      <c r="J52">
        <f t="shared" si="0"/>
        <v>0</v>
      </c>
      <c r="L52">
        <f t="shared" si="1"/>
        <v>0</v>
      </c>
    </row>
    <row r="53" spans="1:12" x14ac:dyDescent="0.25">
      <c r="A53">
        <v>1755</v>
      </c>
      <c r="B53" t="s">
        <v>29</v>
      </c>
      <c r="C53" t="s">
        <v>69</v>
      </c>
      <c r="D53" t="s">
        <v>45</v>
      </c>
      <c r="J53">
        <f t="shared" si="0"/>
        <v>0</v>
      </c>
      <c r="L53">
        <f t="shared" si="1"/>
        <v>0</v>
      </c>
    </row>
    <row r="54" spans="1:12" x14ac:dyDescent="0.25">
      <c r="A54">
        <v>1755</v>
      </c>
      <c r="B54" t="s">
        <v>105</v>
      </c>
      <c r="C54" t="s">
        <v>69</v>
      </c>
      <c r="D54" t="s">
        <v>45</v>
      </c>
      <c r="E54">
        <v>32</v>
      </c>
      <c r="J54">
        <f t="shared" si="0"/>
        <v>71680</v>
      </c>
      <c r="L54">
        <f t="shared" si="1"/>
        <v>32</v>
      </c>
    </row>
    <row r="55" spans="1:12" x14ac:dyDescent="0.25">
      <c r="A55">
        <v>1755</v>
      </c>
      <c r="B55" t="s">
        <v>30</v>
      </c>
      <c r="C55" t="s">
        <v>69</v>
      </c>
      <c r="D55" t="s">
        <v>45</v>
      </c>
      <c r="E55">
        <v>801</v>
      </c>
      <c r="F55">
        <v>17</v>
      </c>
      <c r="G55">
        <v>1</v>
      </c>
      <c r="H55">
        <v>14</v>
      </c>
      <c r="J55">
        <f t="shared" si="0"/>
        <v>1796186</v>
      </c>
      <c r="L55">
        <f t="shared" si="1"/>
        <v>801.86874999999998</v>
      </c>
    </row>
    <row r="56" spans="1:12" x14ac:dyDescent="0.25">
      <c r="A56">
        <v>1755</v>
      </c>
      <c r="B56" t="s">
        <v>106</v>
      </c>
      <c r="C56" t="s">
        <v>69</v>
      </c>
      <c r="D56" t="s">
        <v>45</v>
      </c>
      <c r="E56">
        <v>3</v>
      </c>
      <c r="J56">
        <f t="shared" si="0"/>
        <v>6720</v>
      </c>
      <c r="L56">
        <f t="shared" si="1"/>
        <v>3</v>
      </c>
    </row>
    <row r="57" spans="1:12" x14ac:dyDescent="0.25">
      <c r="A57">
        <v>1755</v>
      </c>
      <c r="B57" t="s">
        <v>31</v>
      </c>
      <c r="C57" t="s">
        <v>69</v>
      </c>
      <c r="D57" t="s">
        <v>45</v>
      </c>
      <c r="E57">
        <v>1577</v>
      </c>
      <c r="F57">
        <v>8</v>
      </c>
      <c r="G57">
        <v>3</v>
      </c>
      <c r="H57">
        <v>12</v>
      </c>
      <c r="J57">
        <f t="shared" si="0"/>
        <v>3533472</v>
      </c>
      <c r="L57">
        <f t="shared" si="1"/>
        <v>1577.4428571428571</v>
      </c>
    </row>
    <row r="58" spans="1:12" x14ac:dyDescent="0.25">
      <c r="A58">
        <v>1755</v>
      </c>
      <c r="B58" t="s">
        <v>82</v>
      </c>
      <c r="C58" t="s">
        <v>69</v>
      </c>
      <c r="D58" t="s">
        <v>45</v>
      </c>
      <c r="E58">
        <v>1301</v>
      </c>
      <c r="F58">
        <v>19</v>
      </c>
      <c r="G58">
        <v>2</v>
      </c>
      <c r="H58">
        <v>3</v>
      </c>
      <c r="J58">
        <f t="shared" si="0"/>
        <v>2916427</v>
      </c>
      <c r="L58">
        <f t="shared" si="1"/>
        <v>1301.9763392857142</v>
      </c>
    </row>
    <row r="59" spans="1:12" x14ac:dyDescent="0.25">
      <c r="A59">
        <v>1755</v>
      </c>
      <c r="B59" t="s">
        <v>73</v>
      </c>
      <c r="C59" t="s">
        <v>69</v>
      </c>
      <c r="D59" t="s">
        <v>45</v>
      </c>
      <c r="E59">
        <v>143</v>
      </c>
      <c r="F59">
        <v>18</v>
      </c>
      <c r="G59">
        <v>2</v>
      </c>
      <c r="J59">
        <f t="shared" si="0"/>
        <v>322392</v>
      </c>
      <c r="L59">
        <f t="shared" si="1"/>
        <v>143.92500000000001</v>
      </c>
    </row>
    <row r="60" spans="1:12" x14ac:dyDescent="0.25">
      <c r="A60">
        <v>1755</v>
      </c>
      <c r="B60" t="s">
        <v>32</v>
      </c>
      <c r="C60" t="s">
        <v>69</v>
      </c>
      <c r="D60" t="s">
        <v>45</v>
      </c>
      <c r="E60">
        <v>16</v>
      </c>
      <c r="J60">
        <f t="shared" si="0"/>
        <v>35840</v>
      </c>
      <c r="L60">
        <f t="shared" si="1"/>
        <v>16</v>
      </c>
    </row>
    <row r="61" spans="1:12" x14ac:dyDescent="0.25">
      <c r="A61">
        <v>1755</v>
      </c>
      <c r="B61" t="s">
        <v>33</v>
      </c>
      <c r="C61" t="s">
        <v>69</v>
      </c>
      <c r="D61" t="s">
        <v>45</v>
      </c>
      <c r="J61">
        <f t="shared" si="0"/>
        <v>0</v>
      </c>
      <c r="L61">
        <f t="shared" si="1"/>
        <v>0</v>
      </c>
    </row>
    <row r="62" spans="1:12" x14ac:dyDescent="0.25">
      <c r="A62">
        <v>1755</v>
      </c>
      <c r="B62" t="s">
        <v>52</v>
      </c>
      <c r="C62" t="s">
        <v>69</v>
      </c>
      <c r="D62" t="s">
        <v>49</v>
      </c>
      <c r="J62">
        <f t="shared" si="0"/>
        <v>0</v>
      </c>
      <c r="L62">
        <f t="shared" si="1"/>
        <v>0</v>
      </c>
    </row>
    <row r="63" spans="1:12" x14ac:dyDescent="0.25">
      <c r="A63">
        <v>1755</v>
      </c>
      <c r="B63" t="s">
        <v>54</v>
      </c>
      <c r="C63" t="s">
        <v>69</v>
      </c>
      <c r="D63" t="s">
        <v>49</v>
      </c>
      <c r="J63">
        <f t="shared" si="0"/>
        <v>0</v>
      </c>
      <c r="L63">
        <f t="shared" si="1"/>
        <v>0</v>
      </c>
    </row>
    <row r="64" spans="1:12" x14ac:dyDescent="0.25">
      <c r="A64">
        <v>1755</v>
      </c>
      <c r="B64" t="s">
        <v>55</v>
      </c>
      <c r="C64" t="s">
        <v>69</v>
      </c>
      <c r="D64" t="s">
        <v>49</v>
      </c>
      <c r="J64">
        <f t="shared" si="0"/>
        <v>0</v>
      </c>
      <c r="L64">
        <f t="shared" si="1"/>
        <v>0</v>
      </c>
    </row>
    <row r="65" spans="1:12" x14ac:dyDescent="0.25">
      <c r="A65">
        <v>1755</v>
      </c>
      <c r="B65" t="s">
        <v>4</v>
      </c>
      <c r="C65" t="s">
        <v>69</v>
      </c>
      <c r="D65" t="s">
        <v>49</v>
      </c>
      <c r="J65">
        <f t="shared" si="0"/>
        <v>0</v>
      </c>
      <c r="L65">
        <f t="shared" si="1"/>
        <v>0</v>
      </c>
    </row>
    <row r="66" spans="1:12" x14ac:dyDescent="0.25">
      <c r="A66">
        <v>1755</v>
      </c>
      <c r="B66" t="s">
        <v>56</v>
      </c>
      <c r="C66" t="s">
        <v>69</v>
      </c>
      <c r="D66" t="s">
        <v>49</v>
      </c>
      <c r="J66">
        <f t="shared" si="0"/>
        <v>0</v>
      </c>
      <c r="L66">
        <f t="shared" si="1"/>
        <v>0</v>
      </c>
    </row>
    <row r="67" spans="1:12" x14ac:dyDescent="0.25">
      <c r="A67">
        <v>1755</v>
      </c>
      <c r="B67" t="s">
        <v>70</v>
      </c>
      <c r="C67" t="s">
        <v>69</v>
      </c>
      <c r="D67" t="s">
        <v>49</v>
      </c>
      <c r="J67">
        <f t="shared" si="0"/>
        <v>0</v>
      </c>
      <c r="L67">
        <f t="shared" si="1"/>
        <v>0</v>
      </c>
    </row>
    <row r="68" spans="1:12" x14ac:dyDescent="0.25">
      <c r="A68">
        <v>1755</v>
      </c>
      <c r="B68" t="s">
        <v>57</v>
      </c>
      <c r="C68" t="s">
        <v>69</v>
      </c>
      <c r="D68" t="s">
        <v>49</v>
      </c>
      <c r="J68">
        <f t="shared" si="0"/>
        <v>0</v>
      </c>
      <c r="L68">
        <f t="shared" si="1"/>
        <v>0</v>
      </c>
    </row>
    <row r="69" spans="1:12" x14ac:dyDescent="0.25">
      <c r="A69">
        <v>1755</v>
      </c>
      <c r="B69" t="s">
        <v>91</v>
      </c>
      <c r="C69" t="s">
        <v>69</v>
      </c>
      <c r="D69" t="s">
        <v>49</v>
      </c>
      <c r="J69">
        <f t="shared" si="0"/>
        <v>0</v>
      </c>
      <c r="L69">
        <f t="shared" si="1"/>
        <v>0</v>
      </c>
    </row>
    <row r="70" spans="1:12" x14ac:dyDescent="0.25">
      <c r="A70">
        <v>1755</v>
      </c>
      <c r="B70" t="s">
        <v>5</v>
      </c>
      <c r="C70" t="s">
        <v>69</v>
      </c>
      <c r="D70" t="s">
        <v>49</v>
      </c>
      <c r="F70">
        <v>31</v>
      </c>
      <c r="G70">
        <v>3</v>
      </c>
      <c r="J70">
        <f t="shared" si="0"/>
        <v>3556</v>
      </c>
      <c r="L70">
        <f t="shared" si="1"/>
        <v>1.5874999999999999</v>
      </c>
    </row>
    <row r="71" spans="1:12" x14ac:dyDescent="0.25">
      <c r="A71">
        <v>1755</v>
      </c>
      <c r="B71" t="s">
        <v>58</v>
      </c>
      <c r="C71" t="s">
        <v>69</v>
      </c>
      <c r="D71" t="s">
        <v>49</v>
      </c>
      <c r="J71">
        <f t="shared" si="0"/>
        <v>0</v>
      </c>
      <c r="L71">
        <f t="shared" si="1"/>
        <v>0</v>
      </c>
    </row>
    <row r="72" spans="1:12" x14ac:dyDescent="0.25">
      <c r="A72">
        <v>1755</v>
      </c>
      <c r="B72" t="s">
        <v>6</v>
      </c>
      <c r="C72" t="s">
        <v>69</v>
      </c>
      <c r="D72" t="s">
        <v>49</v>
      </c>
      <c r="F72">
        <v>153529</v>
      </c>
      <c r="G72">
        <v>3</v>
      </c>
      <c r="H72">
        <v>14</v>
      </c>
      <c r="J72">
        <f t="shared" si="0"/>
        <v>17195346</v>
      </c>
      <c r="L72">
        <f t="shared" si="1"/>
        <v>7676.4937499999996</v>
      </c>
    </row>
    <row r="73" spans="1:12" x14ac:dyDescent="0.25">
      <c r="A73">
        <v>1755</v>
      </c>
      <c r="B73" t="s">
        <v>59</v>
      </c>
      <c r="C73" t="s">
        <v>69</v>
      </c>
      <c r="D73" t="s">
        <v>49</v>
      </c>
      <c r="J73">
        <f t="shared" si="0"/>
        <v>0</v>
      </c>
      <c r="L73">
        <f t="shared" si="1"/>
        <v>0</v>
      </c>
    </row>
    <row r="74" spans="1:12" x14ac:dyDescent="0.25">
      <c r="A74">
        <v>1755</v>
      </c>
      <c r="B74" t="s">
        <v>60</v>
      </c>
      <c r="C74" t="s">
        <v>69</v>
      </c>
      <c r="D74" t="s">
        <v>49</v>
      </c>
      <c r="J74">
        <f t="shared" si="0"/>
        <v>0</v>
      </c>
      <c r="L74">
        <f t="shared" si="1"/>
        <v>0</v>
      </c>
    </row>
    <row r="75" spans="1:12" x14ac:dyDescent="0.25">
      <c r="A75">
        <v>1755</v>
      </c>
      <c r="B75" t="s">
        <v>61</v>
      </c>
      <c r="C75" t="s">
        <v>69</v>
      </c>
      <c r="D75" t="s">
        <v>49</v>
      </c>
      <c r="J75">
        <f t="shared" si="0"/>
        <v>0</v>
      </c>
      <c r="L75">
        <f t="shared" si="1"/>
        <v>0</v>
      </c>
    </row>
    <row r="76" spans="1:12" x14ac:dyDescent="0.25">
      <c r="A76">
        <v>1755</v>
      </c>
      <c r="B76" t="s">
        <v>8</v>
      </c>
      <c r="C76" t="s">
        <v>69</v>
      </c>
      <c r="D76" t="s">
        <v>49</v>
      </c>
      <c r="F76">
        <v>7</v>
      </c>
      <c r="G76">
        <v>1</v>
      </c>
      <c r="J76">
        <f t="shared" si="0"/>
        <v>812</v>
      </c>
      <c r="L76">
        <f t="shared" si="1"/>
        <v>0.36249999999999999</v>
      </c>
    </row>
    <row r="77" spans="1:12" x14ac:dyDescent="0.25">
      <c r="A77">
        <v>1755</v>
      </c>
      <c r="B77" t="s">
        <v>62</v>
      </c>
      <c r="C77" t="s">
        <v>69</v>
      </c>
      <c r="D77" t="s">
        <v>49</v>
      </c>
      <c r="J77">
        <f t="shared" si="0"/>
        <v>0</v>
      </c>
      <c r="L77">
        <f t="shared" si="1"/>
        <v>0</v>
      </c>
    </row>
    <row r="78" spans="1:12" x14ac:dyDescent="0.25">
      <c r="A78">
        <v>1755</v>
      </c>
      <c r="B78" t="s">
        <v>90</v>
      </c>
      <c r="C78" t="s">
        <v>69</v>
      </c>
      <c r="D78" t="s">
        <v>49</v>
      </c>
      <c r="F78">
        <v>30</v>
      </c>
      <c r="H78">
        <v>16</v>
      </c>
      <c r="J78">
        <f t="shared" si="0"/>
        <v>3376</v>
      </c>
      <c r="L78">
        <f t="shared" si="1"/>
        <v>1.5071428571428571</v>
      </c>
    </row>
    <row r="79" spans="1:12" x14ac:dyDescent="0.25">
      <c r="A79">
        <v>1755</v>
      </c>
      <c r="B79" t="s">
        <v>92</v>
      </c>
      <c r="C79" t="s">
        <v>69</v>
      </c>
      <c r="D79" t="s">
        <v>49</v>
      </c>
      <c r="J79">
        <f t="shared" si="0"/>
        <v>0</v>
      </c>
      <c r="L79">
        <f t="shared" si="1"/>
        <v>0</v>
      </c>
    </row>
    <row r="80" spans="1:12" x14ac:dyDescent="0.25">
      <c r="A80">
        <v>1755</v>
      </c>
      <c r="B80" t="s">
        <v>71</v>
      </c>
      <c r="C80" t="s">
        <v>69</v>
      </c>
      <c r="D80" t="s">
        <v>49</v>
      </c>
      <c r="H80">
        <v>110</v>
      </c>
      <c r="J80">
        <f t="shared" si="0"/>
        <v>110</v>
      </c>
      <c r="L80">
        <f t="shared" si="1"/>
        <v>4.9107142857142856E-2</v>
      </c>
    </row>
    <row r="81" spans="1:12" x14ac:dyDescent="0.25">
      <c r="A81">
        <v>1755</v>
      </c>
      <c r="B81" t="s">
        <v>9</v>
      </c>
      <c r="C81" t="s">
        <v>69</v>
      </c>
      <c r="D81" t="s">
        <v>49</v>
      </c>
      <c r="H81">
        <f>2399.5*200</f>
        <v>479900</v>
      </c>
      <c r="I81" t="s">
        <v>152</v>
      </c>
      <c r="J81">
        <f t="shared" si="0"/>
        <v>479900</v>
      </c>
      <c r="L81">
        <f t="shared" si="1"/>
        <v>214.24107142857142</v>
      </c>
    </row>
    <row r="82" spans="1:12" x14ac:dyDescent="0.25">
      <c r="A82">
        <v>1755</v>
      </c>
      <c r="B82" t="s">
        <v>10</v>
      </c>
      <c r="C82" t="s">
        <v>69</v>
      </c>
      <c r="D82" t="s">
        <v>49</v>
      </c>
      <c r="F82">
        <v>6457</v>
      </c>
      <c r="G82">
        <v>2</v>
      </c>
      <c r="H82">
        <v>7</v>
      </c>
      <c r="J82">
        <f t="shared" si="0"/>
        <v>723247</v>
      </c>
      <c r="L82">
        <f t="shared" si="1"/>
        <v>322.87812500000001</v>
      </c>
    </row>
    <row r="83" spans="1:12" x14ac:dyDescent="0.25">
      <c r="A83">
        <v>1755</v>
      </c>
      <c r="B83" t="s">
        <v>11</v>
      </c>
      <c r="C83" t="s">
        <v>69</v>
      </c>
      <c r="D83" t="s">
        <v>49</v>
      </c>
      <c r="F83">
        <v>268</v>
      </c>
      <c r="G83">
        <v>2</v>
      </c>
      <c r="H83">
        <v>14</v>
      </c>
      <c r="J83">
        <f t="shared" si="0"/>
        <v>30086</v>
      </c>
      <c r="L83">
        <f t="shared" si="1"/>
        <v>13.43125</v>
      </c>
    </row>
    <row r="84" spans="1:12" x14ac:dyDescent="0.25">
      <c r="A84">
        <v>1755</v>
      </c>
      <c r="B84" t="s">
        <v>46</v>
      </c>
      <c r="C84" t="s">
        <v>69</v>
      </c>
      <c r="D84" t="s">
        <v>49</v>
      </c>
      <c r="H84">
        <v>357</v>
      </c>
      <c r="J84">
        <f t="shared" si="0"/>
        <v>357</v>
      </c>
      <c r="L84">
        <f t="shared" si="1"/>
        <v>0.15937499999999999</v>
      </c>
    </row>
    <row r="85" spans="1:12" x14ac:dyDescent="0.25">
      <c r="A85">
        <v>1755</v>
      </c>
      <c r="B85" t="s">
        <v>93</v>
      </c>
      <c r="C85" t="s">
        <v>69</v>
      </c>
      <c r="D85" t="s">
        <v>49</v>
      </c>
      <c r="H85">
        <v>7813</v>
      </c>
      <c r="J85">
        <f t="shared" ref="J85:J123" si="2">(E85*2240)+(F85*112)+(G85*28)+H85</f>
        <v>7813</v>
      </c>
      <c r="L85">
        <f t="shared" ref="L85:L123" si="3">J85/2240</f>
        <v>3.4879464285714286</v>
      </c>
    </row>
    <row r="86" spans="1:12" x14ac:dyDescent="0.25">
      <c r="A86">
        <v>1755</v>
      </c>
      <c r="B86" t="s">
        <v>94</v>
      </c>
      <c r="C86" t="s">
        <v>69</v>
      </c>
      <c r="D86" t="s">
        <v>49</v>
      </c>
      <c r="H86">
        <v>83</v>
      </c>
      <c r="J86">
        <f t="shared" si="2"/>
        <v>83</v>
      </c>
      <c r="L86">
        <f t="shared" si="3"/>
        <v>3.7053571428571429E-2</v>
      </c>
    </row>
    <row r="87" spans="1:12" x14ac:dyDescent="0.25">
      <c r="A87">
        <v>1755</v>
      </c>
      <c r="B87" t="s">
        <v>63</v>
      </c>
      <c r="C87" t="s">
        <v>69</v>
      </c>
      <c r="D87" t="s">
        <v>49</v>
      </c>
      <c r="J87">
        <f t="shared" si="2"/>
        <v>0</v>
      </c>
      <c r="L87">
        <f t="shared" si="3"/>
        <v>0</v>
      </c>
    </row>
    <row r="88" spans="1:12" x14ac:dyDescent="0.25">
      <c r="A88">
        <v>1755</v>
      </c>
      <c r="B88" t="s">
        <v>97</v>
      </c>
      <c r="C88" t="s">
        <v>69</v>
      </c>
      <c r="D88" t="s">
        <v>49</v>
      </c>
      <c r="H88">
        <v>2468</v>
      </c>
      <c r="J88">
        <f t="shared" si="2"/>
        <v>2468</v>
      </c>
      <c r="L88">
        <f t="shared" si="3"/>
        <v>1.1017857142857144</v>
      </c>
    </row>
    <row r="89" spans="1:12" x14ac:dyDescent="0.25">
      <c r="A89">
        <v>1755</v>
      </c>
      <c r="B89" t="s">
        <v>98</v>
      </c>
      <c r="C89" t="s">
        <v>69</v>
      </c>
      <c r="D89" t="s">
        <v>49</v>
      </c>
      <c r="J89">
        <f t="shared" si="2"/>
        <v>0</v>
      </c>
      <c r="L89">
        <f t="shared" si="3"/>
        <v>0</v>
      </c>
    </row>
    <row r="90" spans="1:12" x14ac:dyDescent="0.25">
      <c r="A90">
        <v>1755</v>
      </c>
      <c r="B90" t="s">
        <v>95</v>
      </c>
      <c r="C90" t="s">
        <v>69</v>
      </c>
      <c r="D90" t="s">
        <v>49</v>
      </c>
      <c r="J90">
        <f t="shared" si="2"/>
        <v>0</v>
      </c>
      <c r="L90">
        <f t="shared" si="3"/>
        <v>0</v>
      </c>
    </row>
    <row r="91" spans="1:12" x14ac:dyDescent="0.25">
      <c r="A91">
        <v>1755</v>
      </c>
      <c r="B91" t="s">
        <v>47</v>
      </c>
      <c r="C91" t="s">
        <v>69</v>
      </c>
      <c r="D91" t="s">
        <v>49</v>
      </c>
      <c r="J91">
        <f t="shared" si="2"/>
        <v>0</v>
      </c>
      <c r="L91">
        <f t="shared" si="3"/>
        <v>0</v>
      </c>
    </row>
    <row r="92" spans="1:12" x14ac:dyDescent="0.25">
      <c r="A92">
        <v>1755</v>
      </c>
      <c r="B92" t="s">
        <v>13</v>
      </c>
      <c r="C92" t="s">
        <v>69</v>
      </c>
      <c r="D92" t="s">
        <v>49</v>
      </c>
      <c r="E92">
        <v>86</v>
      </c>
      <c r="F92">
        <v>2</v>
      </c>
      <c r="G92">
        <v>1</v>
      </c>
      <c r="H92">
        <v>20</v>
      </c>
      <c r="J92">
        <f t="shared" si="2"/>
        <v>192912</v>
      </c>
      <c r="L92">
        <f t="shared" si="3"/>
        <v>86.121428571428567</v>
      </c>
    </row>
    <row r="93" spans="1:12" x14ac:dyDescent="0.25">
      <c r="A93">
        <v>1755</v>
      </c>
      <c r="B93" t="s">
        <v>14</v>
      </c>
      <c r="C93" t="s">
        <v>69</v>
      </c>
      <c r="D93" t="s">
        <v>49</v>
      </c>
      <c r="H93">
        <v>101</v>
      </c>
      <c r="I93" t="s">
        <v>148</v>
      </c>
      <c r="J93">
        <f t="shared" si="2"/>
        <v>101</v>
      </c>
      <c r="L93">
        <f t="shared" si="3"/>
        <v>4.5089285714285714E-2</v>
      </c>
    </row>
    <row r="94" spans="1:12" x14ac:dyDescent="0.25">
      <c r="A94">
        <v>1755</v>
      </c>
      <c r="B94" t="s">
        <v>24</v>
      </c>
      <c r="C94" t="s">
        <v>69</v>
      </c>
      <c r="D94" t="s">
        <v>49</v>
      </c>
      <c r="J94">
        <f t="shared" si="2"/>
        <v>0</v>
      </c>
      <c r="L94">
        <f t="shared" si="3"/>
        <v>0</v>
      </c>
    </row>
    <row r="95" spans="1:12" x14ac:dyDescent="0.25">
      <c r="A95">
        <v>1755</v>
      </c>
      <c r="B95" t="s">
        <v>28</v>
      </c>
      <c r="C95" t="s">
        <v>69</v>
      </c>
      <c r="D95" t="s">
        <v>49</v>
      </c>
      <c r="H95">
        <v>38856</v>
      </c>
      <c r="I95" t="s">
        <v>151</v>
      </c>
      <c r="J95">
        <f t="shared" si="2"/>
        <v>38856</v>
      </c>
      <c r="L95">
        <f t="shared" si="3"/>
        <v>17.346428571428572</v>
      </c>
    </row>
    <row r="96" spans="1:12" x14ac:dyDescent="0.25">
      <c r="A96">
        <v>1755</v>
      </c>
      <c r="B96" t="s">
        <v>15</v>
      </c>
      <c r="C96" t="s">
        <v>69</v>
      </c>
      <c r="D96" t="s">
        <v>49</v>
      </c>
      <c r="J96">
        <f t="shared" si="2"/>
        <v>0</v>
      </c>
      <c r="L96">
        <f t="shared" si="3"/>
        <v>0</v>
      </c>
    </row>
    <row r="97" spans="1:12" x14ac:dyDescent="0.25">
      <c r="A97">
        <v>1755</v>
      </c>
      <c r="B97" t="s">
        <v>144</v>
      </c>
      <c r="C97" t="s">
        <v>69</v>
      </c>
      <c r="D97" t="s">
        <v>49</v>
      </c>
      <c r="F97">
        <v>5</v>
      </c>
      <c r="H97">
        <v>19</v>
      </c>
      <c r="J97">
        <f t="shared" si="2"/>
        <v>579</v>
      </c>
      <c r="L97">
        <f t="shared" si="3"/>
        <v>0.25848214285714288</v>
      </c>
    </row>
    <row r="98" spans="1:12" x14ac:dyDescent="0.25">
      <c r="A98">
        <v>1755</v>
      </c>
      <c r="B98" t="s">
        <v>64</v>
      </c>
      <c r="C98" t="s">
        <v>69</v>
      </c>
      <c r="D98" t="s">
        <v>49</v>
      </c>
      <c r="J98">
        <f t="shared" si="2"/>
        <v>0</v>
      </c>
      <c r="L98">
        <f t="shared" si="3"/>
        <v>0</v>
      </c>
    </row>
    <row r="99" spans="1:12" x14ac:dyDescent="0.25">
      <c r="A99">
        <v>1755</v>
      </c>
      <c r="B99" t="s">
        <v>100</v>
      </c>
      <c r="C99" t="s">
        <v>69</v>
      </c>
      <c r="D99" t="s">
        <v>49</v>
      </c>
      <c r="J99">
        <f t="shared" si="2"/>
        <v>0</v>
      </c>
      <c r="L99">
        <f t="shared" si="3"/>
        <v>0</v>
      </c>
    </row>
    <row r="100" spans="1:12" x14ac:dyDescent="0.25">
      <c r="A100">
        <v>1755</v>
      </c>
      <c r="B100" t="s">
        <v>48</v>
      </c>
      <c r="C100" t="s">
        <v>69</v>
      </c>
      <c r="D100" t="s">
        <v>49</v>
      </c>
      <c r="H100">
        <v>35</v>
      </c>
      <c r="I100" t="s">
        <v>149</v>
      </c>
      <c r="J100">
        <f t="shared" si="2"/>
        <v>35</v>
      </c>
      <c r="L100">
        <f t="shared" si="3"/>
        <v>1.5625E-2</v>
      </c>
    </row>
    <row r="101" spans="1:12" x14ac:dyDescent="0.25">
      <c r="A101">
        <v>1755</v>
      </c>
      <c r="B101" t="s">
        <v>16</v>
      </c>
      <c r="C101" t="s">
        <v>69</v>
      </c>
      <c r="D101" t="s">
        <v>49</v>
      </c>
      <c r="H101">
        <v>196868</v>
      </c>
      <c r="J101">
        <f t="shared" si="2"/>
        <v>196868</v>
      </c>
      <c r="L101">
        <f t="shared" si="3"/>
        <v>87.887500000000003</v>
      </c>
    </row>
    <row r="102" spans="1:12" x14ac:dyDescent="0.25">
      <c r="A102">
        <v>1755</v>
      </c>
      <c r="B102" t="s">
        <v>17</v>
      </c>
      <c r="C102" t="s">
        <v>69</v>
      </c>
      <c r="D102" t="s">
        <v>49</v>
      </c>
      <c r="J102">
        <f t="shared" si="2"/>
        <v>0</v>
      </c>
      <c r="L102">
        <f t="shared" si="3"/>
        <v>0</v>
      </c>
    </row>
    <row r="103" spans="1:12" x14ac:dyDescent="0.25">
      <c r="A103">
        <v>1755</v>
      </c>
      <c r="B103" t="s">
        <v>18</v>
      </c>
      <c r="C103" t="s">
        <v>69</v>
      </c>
      <c r="D103" t="s">
        <v>49</v>
      </c>
      <c r="H103">
        <v>1776211</v>
      </c>
      <c r="I103" t="s">
        <v>150</v>
      </c>
      <c r="J103">
        <f t="shared" si="2"/>
        <v>1776211</v>
      </c>
      <c r="L103">
        <f t="shared" si="3"/>
        <v>792.95133928571431</v>
      </c>
    </row>
    <row r="104" spans="1:12" x14ac:dyDescent="0.25">
      <c r="A104">
        <v>1755</v>
      </c>
      <c r="B104" t="s">
        <v>27</v>
      </c>
      <c r="C104" t="s">
        <v>69</v>
      </c>
      <c r="D104" t="s">
        <v>49</v>
      </c>
      <c r="H104">
        <v>1105</v>
      </c>
      <c r="J104">
        <f t="shared" si="2"/>
        <v>1105</v>
      </c>
      <c r="L104">
        <f t="shared" si="3"/>
        <v>0.49330357142857145</v>
      </c>
    </row>
    <row r="105" spans="1:12" x14ac:dyDescent="0.25">
      <c r="A105">
        <v>1755</v>
      </c>
      <c r="B105" t="s">
        <v>96</v>
      </c>
      <c r="C105" t="s">
        <v>69</v>
      </c>
      <c r="D105" t="s">
        <v>49</v>
      </c>
      <c r="J105">
        <f t="shared" si="2"/>
        <v>0</v>
      </c>
      <c r="L105">
        <f t="shared" si="3"/>
        <v>0</v>
      </c>
    </row>
    <row r="106" spans="1:12" x14ac:dyDescent="0.25">
      <c r="A106">
        <v>1755</v>
      </c>
      <c r="B106" t="s">
        <v>19</v>
      </c>
      <c r="C106" t="s">
        <v>69</v>
      </c>
      <c r="D106" t="s">
        <v>49</v>
      </c>
      <c r="F106">
        <v>58</v>
      </c>
      <c r="G106">
        <v>1</v>
      </c>
      <c r="J106">
        <f t="shared" si="2"/>
        <v>6524</v>
      </c>
      <c r="L106">
        <f t="shared" si="3"/>
        <v>2.9125000000000001</v>
      </c>
    </row>
    <row r="107" spans="1:12" x14ac:dyDescent="0.25">
      <c r="A107">
        <v>1755</v>
      </c>
      <c r="B107" t="s">
        <v>65</v>
      </c>
      <c r="C107" t="s">
        <v>69</v>
      </c>
      <c r="D107" t="s">
        <v>49</v>
      </c>
      <c r="H107">
        <v>455</v>
      </c>
      <c r="J107">
        <f t="shared" si="2"/>
        <v>455</v>
      </c>
      <c r="L107">
        <f t="shared" si="3"/>
        <v>0.203125</v>
      </c>
    </row>
    <row r="108" spans="1:12" x14ac:dyDescent="0.25">
      <c r="A108">
        <v>1755</v>
      </c>
      <c r="B108" t="s">
        <v>102</v>
      </c>
      <c r="C108" t="s">
        <v>69</v>
      </c>
      <c r="D108" t="s">
        <v>49</v>
      </c>
      <c r="J108">
        <f t="shared" si="2"/>
        <v>0</v>
      </c>
      <c r="L108">
        <f t="shared" si="3"/>
        <v>0</v>
      </c>
    </row>
    <row r="109" spans="1:12" x14ac:dyDescent="0.25">
      <c r="A109">
        <v>1755</v>
      </c>
      <c r="B109" t="s">
        <v>20</v>
      </c>
      <c r="C109" t="s">
        <v>69</v>
      </c>
      <c r="D109" t="s">
        <v>49</v>
      </c>
      <c r="H109">
        <v>151</v>
      </c>
      <c r="J109">
        <f t="shared" si="2"/>
        <v>151</v>
      </c>
      <c r="L109">
        <f t="shared" si="3"/>
        <v>6.7410714285714282E-2</v>
      </c>
    </row>
    <row r="110" spans="1:12" x14ac:dyDescent="0.25">
      <c r="A110">
        <v>1755</v>
      </c>
      <c r="B110" t="s">
        <v>85</v>
      </c>
      <c r="C110" t="s">
        <v>69</v>
      </c>
      <c r="D110" t="s">
        <v>49</v>
      </c>
      <c r="H110">
        <v>195</v>
      </c>
      <c r="J110">
        <f t="shared" si="2"/>
        <v>195</v>
      </c>
      <c r="L110">
        <f t="shared" si="3"/>
        <v>8.7053571428571425E-2</v>
      </c>
    </row>
    <row r="111" spans="1:12" x14ac:dyDescent="0.25">
      <c r="A111">
        <v>1755</v>
      </c>
      <c r="B111" t="s">
        <v>21</v>
      </c>
      <c r="C111" t="s">
        <v>69</v>
      </c>
      <c r="D111" t="s">
        <v>49</v>
      </c>
      <c r="J111">
        <f t="shared" si="2"/>
        <v>0</v>
      </c>
      <c r="L111">
        <f t="shared" si="3"/>
        <v>0</v>
      </c>
    </row>
    <row r="112" spans="1:12" x14ac:dyDescent="0.25">
      <c r="A112">
        <v>1755</v>
      </c>
      <c r="B112" t="s">
        <v>22</v>
      </c>
      <c r="C112" t="s">
        <v>69</v>
      </c>
      <c r="D112" t="s">
        <v>49</v>
      </c>
      <c r="H112">
        <v>1717</v>
      </c>
      <c r="J112">
        <f t="shared" si="2"/>
        <v>1717</v>
      </c>
      <c r="L112">
        <f t="shared" si="3"/>
        <v>0.76651785714285714</v>
      </c>
    </row>
    <row r="113" spans="1:12" x14ac:dyDescent="0.25">
      <c r="A113">
        <v>1755</v>
      </c>
      <c r="B113" t="s">
        <v>23</v>
      </c>
      <c r="C113" t="s">
        <v>69</v>
      </c>
      <c r="D113" t="s">
        <v>49</v>
      </c>
      <c r="J113">
        <f t="shared" si="2"/>
        <v>0</v>
      </c>
      <c r="L113">
        <f t="shared" si="3"/>
        <v>0</v>
      </c>
    </row>
    <row r="114" spans="1:12" x14ac:dyDescent="0.25">
      <c r="A114">
        <v>1755</v>
      </c>
      <c r="B114" t="s">
        <v>29</v>
      </c>
      <c r="C114" t="s">
        <v>69</v>
      </c>
      <c r="D114" t="s">
        <v>49</v>
      </c>
      <c r="E114">
        <v>27</v>
      </c>
      <c r="F114">
        <v>9</v>
      </c>
      <c r="G114">
        <v>3</v>
      </c>
      <c r="H114">
        <v>22</v>
      </c>
      <c r="J114">
        <f t="shared" si="2"/>
        <v>61594</v>
      </c>
      <c r="L114">
        <f t="shared" si="3"/>
        <v>27.497321428571428</v>
      </c>
    </row>
    <row r="115" spans="1:12" x14ac:dyDescent="0.25">
      <c r="A115">
        <v>1755</v>
      </c>
      <c r="B115" t="s">
        <v>142</v>
      </c>
      <c r="C115" t="s">
        <v>69</v>
      </c>
      <c r="D115" t="s">
        <v>49</v>
      </c>
      <c r="F115">
        <v>10</v>
      </c>
    </row>
    <row r="116" spans="1:12" x14ac:dyDescent="0.25">
      <c r="A116">
        <v>1755</v>
      </c>
      <c r="B116" t="s">
        <v>105</v>
      </c>
      <c r="C116" t="s">
        <v>69</v>
      </c>
      <c r="D116" t="s">
        <v>49</v>
      </c>
      <c r="E116">
        <v>14</v>
      </c>
      <c r="F116">
        <v>8</v>
      </c>
      <c r="J116">
        <f t="shared" si="2"/>
        <v>32256</v>
      </c>
      <c r="L116">
        <f t="shared" si="3"/>
        <v>14.4</v>
      </c>
    </row>
    <row r="117" spans="1:12" x14ac:dyDescent="0.25">
      <c r="A117">
        <v>1755</v>
      </c>
      <c r="B117" t="s">
        <v>30</v>
      </c>
      <c r="C117" t="s">
        <v>69</v>
      </c>
      <c r="D117" t="s">
        <v>49</v>
      </c>
      <c r="E117">
        <v>753</v>
      </c>
      <c r="F117">
        <v>11</v>
      </c>
      <c r="G117">
        <v>3</v>
      </c>
      <c r="H117">
        <v>18</v>
      </c>
      <c r="J117">
        <f t="shared" si="2"/>
        <v>1688054</v>
      </c>
      <c r="L117">
        <f t="shared" si="3"/>
        <v>753.59553571428569</v>
      </c>
    </row>
    <row r="118" spans="1:12" x14ac:dyDescent="0.25">
      <c r="A118">
        <v>1755</v>
      </c>
      <c r="B118" t="s">
        <v>106</v>
      </c>
      <c r="C118" t="s">
        <v>69</v>
      </c>
      <c r="D118" t="s">
        <v>49</v>
      </c>
      <c r="J118">
        <f t="shared" si="2"/>
        <v>0</v>
      </c>
      <c r="L118">
        <f t="shared" si="3"/>
        <v>0</v>
      </c>
    </row>
    <row r="119" spans="1:12" x14ac:dyDescent="0.25">
      <c r="A119">
        <v>1755</v>
      </c>
      <c r="B119" t="s">
        <v>31</v>
      </c>
      <c r="C119" t="s">
        <v>69</v>
      </c>
      <c r="D119" t="s">
        <v>49</v>
      </c>
      <c r="E119">
        <v>541</v>
      </c>
      <c r="F119">
        <v>10</v>
      </c>
      <c r="G119">
        <v>2</v>
      </c>
      <c r="H119">
        <v>12</v>
      </c>
      <c r="J119">
        <f t="shared" si="2"/>
        <v>1213028</v>
      </c>
      <c r="L119">
        <f t="shared" si="3"/>
        <v>541.53035714285716</v>
      </c>
    </row>
    <row r="120" spans="1:12" x14ac:dyDescent="0.25">
      <c r="A120">
        <v>1755</v>
      </c>
      <c r="B120" t="s">
        <v>82</v>
      </c>
      <c r="C120" t="s">
        <v>69</v>
      </c>
      <c r="D120" t="s">
        <v>49</v>
      </c>
      <c r="E120">
        <v>450</v>
      </c>
      <c r="F120">
        <v>3</v>
      </c>
      <c r="J120">
        <f t="shared" si="2"/>
        <v>1008336</v>
      </c>
      <c r="L120">
        <f t="shared" si="3"/>
        <v>450.15</v>
      </c>
    </row>
    <row r="121" spans="1:12" x14ac:dyDescent="0.25">
      <c r="A121">
        <v>1755</v>
      </c>
      <c r="B121" t="s">
        <v>73</v>
      </c>
      <c r="C121" t="s">
        <v>69</v>
      </c>
      <c r="D121" t="s">
        <v>49</v>
      </c>
      <c r="E121">
        <v>116</v>
      </c>
      <c r="F121">
        <v>16</v>
      </c>
      <c r="J121">
        <f t="shared" si="2"/>
        <v>261632</v>
      </c>
      <c r="L121">
        <f t="shared" si="3"/>
        <v>116.8</v>
      </c>
    </row>
    <row r="122" spans="1:12" x14ac:dyDescent="0.25">
      <c r="A122">
        <v>1755</v>
      </c>
      <c r="B122" t="s">
        <v>32</v>
      </c>
      <c r="C122" t="s">
        <v>69</v>
      </c>
      <c r="D122" t="s">
        <v>49</v>
      </c>
      <c r="J122">
        <f t="shared" si="2"/>
        <v>0</v>
      </c>
      <c r="L122">
        <f t="shared" si="3"/>
        <v>0</v>
      </c>
    </row>
    <row r="123" spans="1:12" x14ac:dyDescent="0.25">
      <c r="A123">
        <v>1755</v>
      </c>
      <c r="B123" t="s">
        <v>33</v>
      </c>
      <c r="C123" t="s">
        <v>69</v>
      </c>
      <c r="D123" t="s">
        <v>49</v>
      </c>
      <c r="J123">
        <f t="shared" si="2"/>
        <v>0</v>
      </c>
      <c r="L123">
        <f t="shared" si="3"/>
        <v>0</v>
      </c>
    </row>
  </sheetData>
  <autoFilter ref="A1:O73" xr:uid="{8C2F7725-5A61-4A1B-A740-CC887BCB0E68}">
    <sortState xmlns:xlrd2="http://schemas.microsoft.com/office/spreadsheetml/2017/richdata2" ref="A2:O73">
      <sortCondition ref="B1:B7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F6BC-E8E0-48E5-95B1-703505D7AB50}">
  <dimension ref="A1:L67"/>
  <sheetViews>
    <sheetView topLeftCell="A19" workbookViewId="0">
      <selection activeCell="H53" sqref="H5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A2">
        <v>1755</v>
      </c>
      <c r="B2" t="s">
        <v>52</v>
      </c>
      <c r="C2" t="s">
        <v>75</v>
      </c>
      <c r="D2" t="s">
        <v>45</v>
      </c>
      <c r="J2">
        <f>(E2*2240)+(F2*112)+(G2*28)+H2</f>
        <v>0</v>
      </c>
      <c r="L2">
        <f>J2/2240</f>
        <v>0</v>
      </c>
    </row>
    <row r="3" spans="1:12" x14ac:dyDescent="0.25">
      <c r="A3">
        <v>1755</v>
      </c>
      <c r="B3" t="s">
        <v>54</v>
      </c>
      <c r="C3" t="s">
        <v>75</v>
      </c>
      <c r="D3" t="s">
        <v>45</v>
      </c>
      <c r="J3">
        <f>(E3*2240)+(F3*112)+(G3*28)+H3</f>
        <v>0</v>
      </c>
      <c r="L3">
        <f>J3/2240</f>
        <v>0</v>
      </c>
    </row>
    <row r="4" spans="1:12" x14ac:dyDescent="0.25">
      <c r="A4">
        <v>1755</v>
      </c>
      <c r="B4" t="s">
        <v>55</v>
      </c>
      <c r="C4" t="s">
        <v>75</v>
      </c>
      <c r="D4" t="s">
        <v>45</v>
      </c>
      <c r="J4">
        <f>(E4*2240)+(F4*112)+(G4*28)+H4</f>
        <v>0</v>
      </c>
      <c r="L4">
        <f>J4/2240</f>
        <v>0</v>
      </c>
    </row>
    <row r="5" spans="1:12" x14ac:dyDescent="0.25">
      <c r="A5">
        <v>1755</v>
      </c>
      <c r="B5" t="s">
        <v>4</v>
      </c>
      <c r="C5" t="s">
        <v>75</v>
      </c>
      <c r="D5" t="s">
        <v>45</v>
      </c>
      <c r="J5">
        <f>(E5*2240)+(F5*112)+(G5*28)+H5</f>
        <v>0</v>
      </c>
      <c r="L5">
        <f>J5/2240</f>
        <v>0</v>
      </c>
    </row>
    <row r="6" spans="1:12" x14ac:dyDescent="0.25">
      <c r="A6">
        <v>1755</v>
      </c>
      <c r="B6" t="s">
        <v>56</v>
      </c>
      <c r="C6" t="s">
        <v>75</v>
      </c>
      <c r="D6" t="s">
        <v>45</v>
      </c>
      <c r="J6">
        <f>(E6*2240)+(F6*112)+(G6*28)+H6</f>
        <v>0</v>
      </c>
      <c r="L6">
        <f>J6/2240</f>
        <v>0</v>
      </c>
    </row>
    <row r="7" spans="1:12" x14ac:dyDescent="0.25">
      <c r="A7">
        <v>1755</v>
      </c>
      <c r="B7" t="s">
        <v>70</v>
      </c>
      <c r="C7" t="s">
        <v>75</v>
      </c>
      <c r="D7" t="s">
        <v>45</v>
      </c>
      <c r="J7">
        <f t="shared" ref="J7:J67" si="0">(E7*2240)+(F7*112)+(G7*28)+H7</f>
        <v>0</v>
      </c>
      <c r="L7">
        <f t="shared" ref="L7:L67" si="1">J7/2240</f>
        <v>0</v>
      </c>
    </row>
    <row r="8" spans="1:12" x14ac:dyDescent="0.25">
      <c r="A8">
        <v>1755</v>
      </c>
      <c r="B8" t="s">
        <v>57</v>
      </c>
      <c r="C8" t="s">
        <v>75</v>
      </c>
      <c r="D8" t="s">
        <v>45</v>
      </c>
      <c r="J8">
        <f t="shared" si="0"/>
        <v>0</v>
      </c>
      <c r="L8">
        <f t="shared" si="1"/>
        <v>0</v>
      </c>
    </row>
    <row r="9" spans="1:12" x14ac:dyDescent="0.25">
      <c r="A9">
        <v>1755</v>
      </c>
      <c r="B9" t="s">
        <v>5</v>
      </c>
      <c r="C9" t="s">
        <v>75</v>
      </c>
      <c r="D9" t="s">
        <v>45</v>
      </c>
      <c r="F9">
        <v>10</v>
      </c>
      <c r="G9">
        <v>1</v>
      </c>
      <c r="J9">
        <f t="shared" si="0"/>
        <v>1148</v>
      </c>
      <c r="L9">
        <f t="shared" si="1"/>
        <v>0.51249999999999996</v>
      </c>
    </row>
    <row r="10" spans="1:12" x14ac:dyDescent="0.25">
      <c r="A10">
        <v>1755</v>
      </c>
      <c r="B10" t="s">
        <v>58</v>
      </c>
      <c r="C10" t="s">
        <v>75</v>
      </c>
      <c r="D10" t="s">
        <v>45</v>
      </c>
      <c r="J10">
        <f t="shared" si="0"/>
        <v>0</v>
      </c>
      <c r="L10">
        <f t="shared" si="1"/>
        <v>0</v>
      </c>
    </row>
    <row r="11" spans="1:12" x14ac:dyDescent="0.25">
      <c r="A11">
        <v>1755</v>
      </c>
      <c r="B11" t="s">
        <v>6</v>
      </c>
      <c r="C11" t="s">
        <v>75</v>
      </c>
      <c r="D11" t="s">
        <v>45</v>
      </c>
      <c r="F11">
        <v>47959</v>
      </c>
      <c r="G11">
        <v>1</v>
      </c>
      <c r="H11">
        <v>20</v>
      </c>
      <c r="J11">
        <f t="shared" si="0"/>
        <v>5371456</v>
      </c>
      <c r="L11">
        <f t="shared" si="1"/>
        <v>2397.9714285714285</v>
      </c>
    </row>
    <row r="12" spans="1:12" x14ac:dyDescent="0.25">
      <c r="A12">
        <v>1755</v>
      </c>
      <c r="B12" t="s">
        <v>59</v>
      </c>
      <c r="C12" t="s">
        <v>75</v>
      </c>
      <c r="D12" t="s">
        <v>45</v>
      </c>
      <c r="J12">
        <f t="shared" si="0"/>
        <v>0</v>
      </c>
      <c r="L12">
        <f t="shared" si="1"/>
        <v>0</v>
      </c>
    </row>
    <row r="13" spans="1:12" x14ac:dyDescent="0.25">
      <c r="A13">
        <v>1755</v>
      </c>
      <c r="B13" t="s">
        <v>60</v>
      </c>
      <c r="C13" t="s">
        <v>75</v>
      </c>
      <c r="D13" t="s">
        <v>45</v>
      </c>
      <c r="J13">
        <f t="shared" si="0"/>
        <v>0</v>
      </c>
      <c r="L13">
        <f t="shared" si="1"/>
        <v>0</v>
      </c>
    </row>
    <row r="14" spans="1:12" x14ac:dyDescent="0.25">
      <c r="A14">
        <v>1755</v>
      </c>
      <c r="B14" t="s">
        <v>61</v>
      </c>
      <c r="C14" t="s">
        <v>75</v>
      </c>
      <c r="D14" t="s">
        <v>45</v>
      </c>
      <c r="J14">
        <f t="shared" si="0"/>
        <v>0</v>
      </c>
      <c r="L14">
        <f t="shared" si="1"/>
        <v>0</v>
      </c>
    </row>
    <row r="15" spans="1:12" x14ac:dyDescent="0.25">
      <c r="A15">
        <v>1755</v>
      </c>
      <c r="B15" t="s">
        <v>8</v>
      </c>
      <c r="C15" t="s">
        <v>75</v>
      </c>
      <c r="D15" t="s">
        <v>45</v>
      </c>
      <c r="J15">
        <f t="shared" si="0"/>
        <v>0</v>
      </c>
      <c r="L15">
        <f t="shared" si="1"/>
        <v>0</v>
      </c>
    </row>
    <row r="16" spans="1:12" x14ac:dyDescent="0.25">
      <c r="A16">
        <v>1755</v>
      </c>
      <c r="B16" t="s">
        <v>62</v>
      </c>
      <c r="C16" t="s">
        <v>75</v>
      </c>
      <c r="D16" t="s">
        <v>45</v>
      </c>
      <c r="J16">
        <f t="shared" si="0"/>
        <v>0</v>
      </c>
      <c r="L16">
        <f t="shared" si="1"/>
        <v>0</v>
      </c>
    </row>
    <row r="17" spans="1:12" x14ac:dyDescent="0.25">
      <c r="A17">
        <v>1755</v>
      </c>
      <c r="B17" t="s">
        <v>90</v>
      </c>
      <c r="C17" t="s">
        <v>75</v>
      </c>
      <c r="D17" t="s">
        <v>45</v>
      </c>
      <c r="F17">
        <v>1</v>
      </c>
      <c r="G17">
        <v>1</v>
      </c>
      <c r="H17">
        <v>7</v>
      </c>
      <c r="J17">
        <f t="shared" si="0"/>
        <v>147</v>
      </c>
      <c r="L17">
        <f t="shared" si="1"/>
        <v>6.5625000000000003E-2</v>
      </c>
    </row>
    <row r="18" spans="1:12" x14ac:dyDescent="0.25">
      <c r="A18">
        <v>1755</v>
      </c>
      <c r="B18" t="s">
        <v>71</v>
      </c>
      <c r="C18" t="s">
        <v>75</v>
      </c>
      <c r="D18" t="s">
        <v>45</v>
      </c>
      <c r="J18">
        <f t="shared" si="0"/>
        <v>0</v>
      </c>
      <c r="L18">
        <f t="shared" si="1"/>
        <v>0</v>
      </c>
    </row>
    <row r="19" spans="1:12" x14ac:dyDescent="0.25">
      <c r="A19">
        <v>1755</v>
      </c>
      <c r="B19" t="s">
        <v>9</v>
      </c>
      <c r="C19" t="s">
        <v>75</v>
      </c>
      <c r="D19" t="s">
        <v>45</v>
      </c>
      <c r="H19">
        <f>95*200</f>
        <v>19000</v>
      </c>
      <c r="I19" t="s">
        <v>111</v>
      </c>
      <c r="J19">
        <f t="shared" si="0"/>
        <v>19000</v>
      </c>
      <c r="L19">
        <f t="shared" si="1"/>
        <v>8.4821428571428577</v>
      </c>
    </row>
    <row r="20" spans="1:12" x14ac:dyDescent="0.25">
      <c r="A20">
        <v>1755</v>
      </c>
      <c r="B20" t="s">
        <v>10</v>
      </c>
      <c r="C20" t="s">
        <v>75</v>
      </c>
      <c r="D20" t="s">
        <v>45</v>
      </c>
      <c r="F20">
        <v>11</v>
      </c>
      <c r="G20">
        <v>1</v>
      </c>
      <c r="H20">
        <v>12</v>
      </c>
      <c r="J20">
        <f t="shared" si="0"/>
        <v>1272</v>
      </c>
      <c r="L20">
        <f t="shared" si="1"/>
        <v>0.56785714285714284</v>
      </c>
    </row>
    <row r="21" spans="1:12" x14ac:dyDescent="0.25">
      <c r="A21">
        <v>1755</v>
      </c>
      <c r="B21" t="s">
        <v>11</v>
      </c>
      <c r="C21" t="s">
        <v>75</v>
      </c>
      <c r="D21" t="s">
        <v>45</v>
      </c>
      <c r="F21">
        <v>2</v>
      </c>
      <c r="J21">
        <f t="shared" si="0"/>
        <v>224</v>
      </c>
      <c r="L21">
        <f t="shared" si="1"/>
        <v>0.1</v>
      </c>
    </row>
    <row r="22" spans="1:12" x14ac:dyDescent="0.25">
      <c r="A22">
        <v>1755</v>
      </c>
      <c r="B22" t="s">
        <v>46</v>
      </c>
      <c r="C22" t="s">
        <v>75</v>
      </c>
      <c r="D22" t="s">
        <v>45</v>
      </c>
      <c r="J22">
        <f t="shared" si="0"/>
        <v>0</v>
      </c>
      <c r="L22">
        <f t="shared" si="1"/>
        <v>0</v>
      </c>
    </row>
    <row r="23" spans="1:12" x14ac:dyDescent="0.25">
      <c r="A23">
        <v>1755</v>
      </c>
      <c r="B23" t="s">
        <v>63</v>
      </c>
      <c r="C23" t="s">
        <v>75</v>
      </c>
      <c r="D23" t="s">
        <v>45</v>
      </c>
      <c r="J23">
        <f t="shared" si="0"/>
        <v>0</v>
      </c>
      <c r="L23">
        <f t="shared" si="1"/>
        <v>0</v>
      </c>
    </row>
    <row r="24" spans="1:12" x14ac:dyDescent="0.25">
      <c r="A24">
        <v>1755</v>
      </c>
      <c r="B24" t="s">
        <v>12</v>
      </c>
      <c r="C24" t="s">
        <v>75</v>
      </c>
      <c r="D24" t="s">
        <v>45</v>
      </c>
      <c r="H24">
        <v>2814</v>
      </c>
      <c r="J24">
        <f t="shared" si="0"/>
        <v>2814</v>
      </c>
      <c r="L24">
        <f t="shared" si="1"/>
        <v>1.2562500000000001</v>
      </c>
    </row>
    <row r="25" spans="1:12" x14ac:dyDescent="0.25">
      <c r="A25">
        <v>1755</v>
      </c>
      <c r="B25" t="s">
        <v>47</v>
      </c>
      <c r="C25" t="s">
        <v>75</v>
      </c>
      <c r="D25" t="s">
        <v>45</v>
      </c>
      <c r="J25">
        <f t="shared" si="0"/>
        <v>0</v>
      </c>
      <c r="L25">
        <f t="shared" si="1"/>
        <v>0</v>
      </c>
    </row>
    <row r="26" spans="1:12" x14ac:dyDescent="0.25">
      <c r="A26">
        <v>1755</v>
      </c>
      <c r="B26" t="s">
        <v>13</v>
      </c>
      <c r="C26" t="s">
        <v>75</v>
      </c>
      <c r="D26" t="s">
        <v>45</v>
      </c>
      <c r="J26">
        <f t="shared" si="0"/>
        <v>0</v>
      </c>
      <c r="L26">
        <f t="shared" si="1"/>
        <v>0</v>
      </c>
    </row>
    <row r="27" spans="1:12" x14ac:dyDescent="0.25">
      <c r="A27">
        <v>1755</v>
      </c>
      <c r="B27" t="s">
        <v>14</v>
      </c>
      <c r="C27" t="s">
        <v>75</v>
      </c>
      <c r="D27" t="s">
        <v>45</v>
      </c>
      <c r="J27">
        <f t="shared" si="0"/>
        <v>0</v>
      </c>
      <c r="L27">
        <f t="shared" si="1"/>
        <v>0</v>
      </c>
    </row>
    <row r="28" spans="1:12" x14ac:dyDescent="0.25">
      <c r="A28">
        <v>1755</v>
      </c>
      <c r="B28" t="s">
        <v>24</v>
      </c>
      <c r="C28" t="s">
        <v>75</v>
      </c>
      <c r="D28" t="s">
        <v>45</v>
      </c>
      <c r="J28">
        <f t="shared" si="0"/>
        <v>0</v>
      </c>
      <c r="L28">
        <f t="shared" si="1"/>
        <v>0</v>
      </c>
    </row>
    <row r="29" spans="1:12" x14ac:dyDescent="0.25">
      <c r="A29">
        <v>1755</v>
      </c>
      <c r="B29" t="s">
        <v>28</v>
      </c>
      <c r="C29" t="s">
        <v>75</v>
      </c>
      <c r="D29" t="s">
        <v>45</v>
      </c>
      <c r="H29">
        <v>122685</v>
      </c>
      <c r="I29" t="s">
        <v>110</v>
      </c>
      <c r="J29">
        <f t="shared" si="0"/>
        <v>122685</v>
      </c>
      <c r="L29">
        <f t="shared" si="1"/>
        <v>54.770089285714285</v>
      </c>
    </row>
    <row r="30" spans="1:12" x14ac:dyDescent="0.25">
      <c r="A30">
        <v>1755</v>
      </c>
      <c r="B30" t="s">
        <v>15</v>
      </c>
      <c r="C30" t="s">
        <v>75</v>
      </c>
      <c r="D30" t="s">
        <v>45</v>
      </c>
      <c r="J30">
        <f t="shared" si="0"/>
        <v>0</v>
      </c>
      <c r="L30">
        <f t="shared" si="1"/>
        <v>0</v>
      </c>
    </row>
    <row r="31" spans="1:12" x14ac:dyDescent="0.25">
      <c r="A31">
        <v>1755</v>
      </c>
      <c r="B31" t="s">
        <v>64</v>
      </c>
      <c r="C31" t="s">
        <v>75</v>
      </c>
      <c r="D31" t="s">
        <v>45</v>
      </c>
      <c r="J31">
        <f t="shared" si="0"/>
        <v>0</v>
      </c>
      <c r="L31">
        <f t="shared" si="1"/>
        <v>0</v>
      </c>
    </row>
    <row r="32" spans="1:12" x14ac:dyDescent="0.25">
      <c r="A32">
        <v>1755</v>
      </c>
      <c r="B32" t="s">
        <v>48</v>
      </c>
      <c r="C32" t="s">
        <v>75</v>
      </c>
      <c r="D32" t="s">
        <v>45</v>
      </c>
      <c r="H32">
        <v>20</v>
      </c>
      <c r="I32" t="s">
        <v>108</v>
      </c>
      <c r="J32">
        <f t="shared" si="0"/>
        <v>20</v>
      </c>
      <c r="L32">
        <f t="shared" si="1"/>
        <v>8.9285714285714281E-3</v>
      </c>
    </row>
    <row r="33" spans="1:12" x14ac:dyDescent="0.25">
      <c r="A33">
        <v>1755</v>
      </c>
      <c r="B33" t="s">
        <v>16</v>
      </c>
      <c r="C33" t="s">
        <v>75</v>
      </c>
      <c r="D33" t="s">
        <v>45</v>
      </c>
      <c r="J33">
        <f t="shared" si="0"/>
        <v>0</v>
      </c>
      <c r="L33">
        <f t="shared" si="1"/>
        <v>0</v>
      </c>
    </row>
    <row r="34" spans="1:12" x14ac:dyDescent="0.25">
      <c r="A34">
        <v>1755</v>
      </c>
      <c r="B34" t="s">
        <v>17</v>
      </c>
      <c r="C34" t="s">
        <v>75</v>
      </c>
      <c r="D34" t="s">
        <v>45</v>
      </c>
      <c r="J34">
        <f t="shared" si="0"/>
        <v>0</v>
      </c>
      <c r="L34">
        <f t="shared" si="1"/>
        <v>0</v>
      </c>
    </row>
    <row r="35" spans="1:12" x14ac:dyDescent="0.25">
      <c r="A35">
        <v>1755</v>
      </c>
      <c r="B35" t="s">
        <v>18</v>
      </c>
      <c r="C35" t="s">
        <v>75</v>
      </c>
      <c r="D35" t="s">
        <v>45</v>
      </c>
      <c r="H35">
        <v>38270</v>
      </c>
      <c r="I35" t="s">
        <v>109</v>
      </c>
      <c r="J35">
        <f t="shared" si="0"/>
        <v>38270</v>
      </c>
      <c r="L35">
        <f t="shared" si="1"/>
        <v>17.084821428571427</v>
      </c>
    </row>
    <row r="36" spans="1:12" x14ac:dyDescent="0.25">
      <c r="A36">
        <v>1755</v>
      </c>
      <c r="B36" t="s">
        <v>72</v>
      </c>
      <c r="C36" t="s">
        <v>75</v>
      </c>
      <c r="D36" t="s">
        <v>45</v>
      </c>
      <c r="J36">
        <f t="shared" si="0"/>
        <v>0</v>
      </c>
      <c r="L36">
        <f t="shared" si="1"/>
        <v>0</v>
      </c>
    </row>
    <row r="37" spans="1:12" x14ac:dyDescent="0.25">
      <c r="A37">
        <v>1755</v>
      </c>
      <c r="B37" t="s">
        <v>19</v>
      </c>
      <c r="C37" t="s">
        <v>75</v>
      </c>
      <c r="D37" t="s">
        <v>45</v>
      </c>
      <c r="J37">
        <f t="shared" si="0"/>
        <v>0</v>
      </c>
      <c r="L37">
        <f t="shared" si="1"/>
        <v>0</v>
      </c>
    </row>
    <row r="38" spans="1:12" x14ac:dyDescent="0.25">
      <c r="A38">
        <v>1755</v>
      </c>
      <c r="B38" t="s">
        <v>65</v>
      </c>
      <c r="C38" t="s">
        <v>75</v>
      </c>
      <c r="D38" t="s">
        <v>45</v>
      </c>
      <c r="J38">
        <f t="shared" si="0"/>
        <v>0</v>
      </c>
      <c r="L38">
        <f t="shared" si="1"/>
        <v>0</v>
      </c>
    </row>
    <row r="39" spans="1:12" x14ac:dyDescent="0.25">
      <c r="A39">
        <v>1755</v>
      </c>
      <c r="B39" t="s">
        <v>20</v>
      </c>
      <c r="C39" t="s">
        <v>75</v>
      </c>
      <c r="D39" t="s">
        <v>45</v>
      </c>
      <c r="H39">
        <v>63</v>
      </c>
      <c r="J39">
        <f t="shared" si="0"/>
        <v>63</v>
      </c>
      <c r="L39">
        <f t="shared" si="1"/>
        <v>2.8125000000000001E-2</v>
      </c>
    </row>
    <row r="40" spans="1:12" x14ac:dyDescent="0.25">
      <c r="A40">
        <v>1755</v>
      </c>
      <c r="B40" t="s">
        <v>21</v>
      </c>
      <c r="C40" t="s">
        <v>75</v>
      </c>
      <c r="D40" t="s">
        <v>45</v>
      </c>
      <c r="J40">
        <f t="shared" si="0"/>
        <v>0</v>
      </c>
      <c r="L40">
        <f t="shared" si="1"/>
        <v>0</v>
      </c>
    </row>
    <row r="41" spans="1:12" x14ac:dyDescent="0.25">
      <c r="A41">
        <v>1755</v>
      </c>
      <c r="B41" t="s">
        <v>22</v>
      </c>
      <c r="C41" t="s">
        <v>75</v>
      </c>
      <c r="D41" t="s">
        <v>45</v>
      </c>
      <c r="H41">
        <v>238.5</v>
      </c>
      <c r="J41">
        <f t="shared" si="0"/>
        <v>238.5</v>
      </c>
      <c r="L41">
        <f t="shared" si="1"/>
        <v>0.10647321428571428</v>
      </c>
    </row>
    <row r="42" spans="1:12" x14ac:dyDescent="0.25">
      <c r="A42">
        <v>1755</v>
      </c>
      <c r="B42" t="s">
        <v>23</v>
      </c>
      <c r="C42" t="s">
        <v>75</v>
      </c>
      <c r="D42" t="s">
        <v>45</v>
      </c>
      <c r="J42">
        <f t="shared" si="0"/>
        <v>0</v>
      </c>
      <c r="L42">
        <f t="shared" si="1"/>
        <v>0</v>
      </c>
    </row>
    <row r="43" spans="1:12" x14ac:dyDescent="0.25">
      <c r="A43">
        <v>1755</v>
      </c>
      <c r="B43" t="s">
        <v>29</v>
      </c>
      <c r="C43" t="s">
        <v>75</v>
      </c>
      <c r="D43" t="s">
        <v>45</v>
      </c>
      <c r="J43">
        <f t="shared" si="0"/>
        <v>0</v>
      </c>
      <c r="L43">
        <f t="shared" si="1"/>
        <v>0</v>
      </c>
    </row>
    <row r="44" spans="1:12" x14ac:dyDescent="0.25">
      <c r="A44">
        <v>1755</v>
      </c>
      <c r="B44" t="s">
        <v>30</v>
      </c>
      <c r="C44" t="s">
        <v>75</v>
      </c>
      <c r="D44" t="s">
        <v>45</v>
      </c>
      <c r="E44">
        <v>25</v>
      </c>
      <c r="J44">
        <f t="shared" si="0"/>
        <v>56000</v>
      </c>
      <c r="L44">
        <f t="shared" si="1"/>
        <v>25</v>
      </c>
    </row>
    <row r="45" spans="1:12" x14ac:dyDescent="0.25">
      <c r="A45">
        <v>1755</v>
      </c>
      <c r="B45" t="s">
        <v>31</v>
      </c>
      <c r="C45" t="s">
        <v>75</v>
      </c>
      <c r="D45" t="s">
        <v>45</v>
      </c>
      <c r="J45">
        <f t="shared" si="0"/>
        <v>0</v>
      </c>
      <c r="L45">
        <f t="shared" si="1"/>
        <v>0</v>
      </c>
    </row>
    <row r="46" spans="1:12" x14ac:dyDescent="0.25">
      <c r="A46">
        <v>1755</v>
      </c>
      <c r="B46" t="s">
        <v>73</v>
      </c>
      <c r="C46" t="s">
        <v>75</v>
      </c>
      <c r="D46" t="s">
        <v>45</v>
      </c>
      <c r="J46">
        <f t="shared" si="0"/>
        <v>0</v>
      </c>
      <c r="L46">
        <f t="shared" si="1"/>
        <v>0</v>
      </c>
    </row>
    <row r="47" spans="1:12" x14ac:dyDescent="0.25">
      <c r="A47">
        <v>1755</v>
      </c>
      <c r="B47" t="s">
        <v>32</v>
      </c>
      <c r="C47" t="s">
        <v>75</v>
      </c>
      <c r="D47" t="s">
        <v>45</v>
      </c>
      <c r="F47">
        <v>10</v>
      </c>
      <c r="J47">
        <f t="shared" si="0"/>
        <v>1120</v>
      </c>
      <c r="L47">
        <f t="shared" si="1"/>
        <v>0.5</v>
      </c>
    </row>
    <row r="48" spans="1:12" x14ac:dyDescent="0.25">
      <c r="A48">
        <v>1755</v>
      </c>
      <c r="B48" t="s">
        <v>33</v>
      </c>
      <c r="C48" t="s">
        <v>75</v>
      </c>
      <c r="D48" t="s">
        <v>45</v>
      </c>
      <c r="J48">
        <f t="shared" si="0"/>
        <v>0</v>
      </c>
      <c r="L48">
        <f t="shared" si="1"/>
        <v>0</v>
      </c>
    </row>
    <row r="49" spans="1:12" x14ac:dyDescent="0.25">
      <c r="A49">
        <v>1755</v>
      </c>
      <c r="B49" t="s">
        <v>6</v>
      </c>
      <c r="C49" t="s">
        <v>75</v>
      </c>
      <c r="D49" t="s">
        <v>49</v>
      </c>
      <c r="F49">
        <v>5351</v>
      </c>
      <c r="G49">
        <v>3</v>
      </c>
      <c r="H49">
        <v>16</v>
      </c>
      <c r="J49">
        <f t="shared" si="0"/>
        <v>599412</v>
      </c>
      <c r="L49">
        <f t="shared" si="1"/>
        <v>267.59464285714284</v>
      </c>
    </row>
    <row r="50" spans="1:12" x14ac:dyDescent="0.25">
      <c r="A50">
        <v>1755</v>
      </c>
      <c r="B50" t="s">
        <v>7</v>
      </c>
      <c r="C50" t="s">
        <v>75</v>
      </c>
      <c r="D50" t="s">
        <v>49</v>
      </c>
      <c r="J50">
        <f t="shared" si="0"/>
        <v>0</v>
      </c>
      <c r="L50">
        <f t="shared" si="1"/>
        <v>0</v>
      </c>
    </row>
    <row r="51" spans="1:12" x14ac:dyDescent="0.25">
      <c r="A51">
        <v>1755</v>
      </c>
      <c r="B51" t="s">
        <v>8</v>
      </c>
      <c r="C51" t="s">
        <v>75</v>
      </c>
      <c r="D51" t="s">
        <v>49</v>
      </c>
      <c r="J51">
        <f t="shared" si="0"/>
        <v>0</v>
      </c>
      <c r="L51">
        <f t="shared" si="1"/>
        <v>0</v>
      </c>
    </row>
    <row r="52" spans="1:12" x14ac:dyDescent="0.25">
      <c r="A52">
        <v>1755</v>
      </c>
      <c r="B52" t="s">
        <v>9</v>
      </c>
      <c r="C52" t="s">
        <v>75</v>
      </c>
      <c r="D52" t="s">
        <v>49</v>
      </c>
      <c r="H52">
        <f>139.25*200</f>
        <v>27850</v>
      </c>
      <c r="I52" t="s">
        <v>155</v>
      </c>
      <c r="J52">
        <f t="shared" si="0"/>
        <v>27850</v>
      </c>
      <c r="L52">
        <f t="shared" si="1"/>
        <v>12.433035714285714</v>
      </c>
    </row>
    <row r="53" spans="1:12" x14ac:dyDescent="0.25">
      <c r="A53">
        <v>1755</v>
      </c>
      <c r="B53" t="s">
        <v>10</v>
      </c>
      <c r="C53" t="s">
        <v>75</v>
      </c>
      <c r="D53" t="s">
        <v>49</v>
      </c>
      <c r="J53">
        <f t="shared" si="0"/>
        <v>0</v>
      </c>
      <c r="L53">
        <f t="shared" si="1"/>
        <v>0</v>
      </c>
    </row>
    <row r="54" spans="1:12" x14ac:dyDescent="0.25">
      <c r="A54">
        <v>1755</v>
      </c>
      <c r="B54" t="s">
        <v>11</v>
      </c>
      <c r="C54" t="s">
        <v>75</v>
      </c>
      <c r="D54" t="s">
        <v>49</v>
      </c>
      <c r="J54">
        <f t="shared" si="0"/>
        <v>0</v>
      </c>
      <c r="L54">
        <f t="shared" si="1"/>
        <v>0</v>
      </c>
    </row>
    <row r="55" spans="1:12" x14ac:dyDescent="0.25">
      <c r="A55">
        <v>1755</v>
      </c>
      <c r="B55" t="s">
        <v>12</v>
      </c>
      <c r="C55" t="s">
        <v>75</v>
      </c>
      <c r="D55" t="s">
        <v>49</v>
      </c>
      <c r="H55">
        <v>1800</v>
      </c>
      <c r="J55">
        <f t="shared" si="0"/>
        <v>1800</v>
      </c>
      <c r="L55">
        <f t="shared" si="1"/>
        <v>0.8035714285714286</v>
      </c>
    </row>
    <row r="56" spans="1:12" x14ac:dyDescent="0.25">
      <c r="A56">
        <v>1755</v>
      </c>
      <c r="B56" t="s">
        <v>13</v>
      </c>
      <c r="C56" t="s">
        <v>75</v>
      </c>
      <c r="D56" t="s">
        <v>49</v>
      </c>
      <c r="J56">
        <f t="shared" si="0"/>
        <v>0</v>
      </c>
      <c r="L56">
        <f t="shared" si="1"/>
        <v>0</v>
      </c>
    </row>
    <row r="57" spans="1:12" x14ac:dyDescent="0.25">
      <c r="A57">
        <v>1755</v>
      </c>
      <c r="B57" t="s">
        <v>14</v>
      </c>
      <c r="C57" t="s">
        <v>75</v>
      </c>
      <c r="D57" t="s">
        <v>49</v>
      </c>
      <c r="J57">
        <f t="shared" si="0"/>
        <v>0</v>
      </c>
      <c r="L57">
        <f t="shared" si="1"/>
        <v>0</v>
      </c>
    </row>
    <row r="58" spans="1:12" x14ac:dyDescent="0.25">
      <c r="A58">
        <v>1755</v>
      </c>
      <c r="B58" t="s">
        <v>28</v>
      </c>
      <c r="C58" t="s">
        <v>75</v>
      </c>
      <c r="D58" t="s">
        <v>49</v>
      </c>
      <c r="H58">
        <v>1020</v>
      </c>
      <c r="I58" t="s">
        <v>154</v>
      </c>
      <c r="J58">
        <f t="shared" si="0"/>
        <v>1020</v>
      </c>
      <c r="L58">
        <f t="shared" si="1"/>
        <v>0.45535714285714285</v>
      </c>
    </row>
    <row r="59" spans="1:12" x14ac:dyDescent="0.25">
      <c r="A59">
        <v>1755</v>
      </c>
      <c r="B59" t="s">
        <v>15</v>
      </c>
      <c r="C59" t="s">
        <v>75</v>
      </c>
      <c r="D59" t="s">
        <v>49</v>
      </c>
      <c r="J59">
        <f t="shared" si="0"/>
        <v>0</v>
      </c>
      <c r="L59">
        <f t="shared" si="1"/>
        <v>0</v>
      </c>
    </row>
    <row r="60" spans="1:12" x14ac:dyDescent="0.25">
      <c r="A60">
        <v>1755</v>
      </c>
      <c r="B60" t="s">
        <v>17</v>
      </c>
      <c r="C60" t="s">
        <v>75</v>
      </c>
      <c r="D60" t="s">
        <v>49</v>
      </c>
      <c r="J60">
        <f t="shared" si="0"/>
        <v>0</v>
      </c>
      <c r="L60">
        <f t="shared" si="1"/>
        <v>0</v>
      </c>
    </row>
    <row r="61" spans="1:12" x14ac:dyDescent="0.25">
      <c r="A61">
        <v>1755</v>
      </c>
      <c r="B61" t="s">
        <v>18</v>
      </c>
      <c r="C61" t="s">
        <v>75</v>
      </c>
      <c r="D61" t="s">
        <v>49</v>
      </c>
      <c r="H61">
        <v>15684</v>
      </c>
      <c r="I61" t="s">
        <v>153</v>
      </c>
      <c r="J61">
        <f t="shared" si="0"/>
        <v>15684</v>
      </c>
      <c r="L61">
        <f t="shared" si="1"/>
        <v>7.0017857142857141</v>
      </c>
    </row>
    <row r="62" spans="1:12" x14ac:dyDescent="0.25">
      <c r="A62">
        <v>1755</v>
      </c>
      <c r="B62" t="s">
        <v>19</v>
      </c>
      <c r="C62" t="s">
        <v>75</v>
      </c>
      <c r="D62" t="s">
        <v>49</v>
      </c>
      <c r="J62">
        <f t="shared" si="0"/>
        <v>0</v>
      </c>
      <c r="L62">
        <f t="shared" si="1"/>
        <v>0</v>
      </c>
    </row>
    <row r="63" spans="1:12" x14ac:dyDescent="0.25">
      <c r="A63">
        <v>1755</v>
      </c>
      <c r="B63" t="s">
        <v>20</v>
      </c>
      <c r="C63" t="s">
        <v>75</v>
      </c>
      <c r="D63" t="s">
        <v>49</v>
      </c>
      <c r="H63">
        <v>25</v>
      </c>
      <c r="J63">
        <f t="shared" si="0"/>
        <v>25</v>
      </c>
      <c r="L63">
        <f t="shared" si="1"/>
        <v>1.1160714285714286E-2</v>
      </c>
    </row>
    <row r="64" spans="1:12" x14ac:dyDescent="0.25">
      <c r="A64">
        <v>1755</v>
      </c>
      <c r="B64" t="s">
        <v>22</v>
      </c>
      <c r="C64" t="s">
        <v>75</v>
      </c>
      <c r="D64" t="s">
        <v>49</v>
      </c>
      <c r="J64">
        <f t="shared" si="0"/>
        <v>0</v>
      </c>
      <c r="L64">
        <f t="shared" si="1"/>
        <v>0</v>
      </c>
    </row>
    <row r="65" spans="1:12" x14ac:dyDescent="0.25">
      <c r="A65">
        <v>1755</v>
      </c>
      <c r="B65" t="s">
        <v>23</v>
      </c>
      <c r="C65" t="s">
        <v>75</v>
      </c>
      <c r="D65" t="s">
        <v>49</v>
      </c>
      <c r="J65">
        <f t="shared" si="0"/>
        <v>0</v>
      </c>
      <c r="L65">
        <f t="shared" si="1"/>
        <v>0</v>
      </c>
    </row>
    <row r="66" spans="1:12" x14ac:dyDescent="0.25">
      <c r="A66">
        <v>1755</v>
      </c>
      <c r="B66" t="s">
        <v>30</v>
      </c>
      <c r="C66" t="s">
        <v>75</v>
      </c>
      <c r="D66" t="s">
        <v>49</v>
      </c>
      <c r="E66">
        <v>7</v>
      </c>
      <c r="F66">
        <v>10</v>
      </c>
      <c r="G66">
        <v>2</v>
      </c>
      <c r="J66">
        <f t="shared" si="0"/>
        <v>16856</v>
      </c>
      <c r="L66">
        <f t="shared" si="1"/>
        <v>7.5250000000000004</v>
      </c>
    </row>
    <row r="67" spans="1:12" x14ac:dyDescent="0.25">
      <c r="J67">
        <f t="shared" si="0"/>
        <v>0</v>
      </c>
      <c r="L67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9EB4-5083-4535-B5FF-025F32C1933C}">
  <dimension ref="A1:L69"/>
  <sheetViews>
    <sheetView topLeftCell="A20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A2">
        <v>1755</v>
      </c>
      <c r="B2" t="s">
        <v>52</v>
      </c>
      <c r="C2" t="s">
        <v>76</v>
      </c>
      <c r="D2" t="s">
        <v>45</v>
      </c>
      <c r="J2">
        <f>(E2*2240)+(F2*112)+(G2*28)+H2</f>
        <v>0</v>
      </c>
      <c r="L2">
        <f>J2/2240</f>
        <v>0</v>
      </c>
    </row>
    <row r="3" spans="1:12" x14ac:dyDescent="0.25">
      <c r="A3">
        <v>1755</v>
      </c>
      <c r="B3" t="s">
        <v>54</v>
      </c>
      <c r="C3" t="s">
        <v>76</v>
      </c>
      <c r="D3" t="s">
        <v>45</v>
      </c>
      <c r="J3">
        <f>(E3*2240)+(F3*112)+(G3*28)+H3</f>
        <v>0</v>
      </c>
      <c r="L3">
        <f>J3/2240</f>
        <v>0</v>
      </c>
    </row>
    <row r="4" spans="1:12" x14ac:dyDescent="0.25">
      <c r="A4">
        <v>1755</v>
      </c>
      <c r="B4" t="s">
        <v>55</v>
      </c>
      <c r="C4" t="s">
        <v>76</v>
      </c>
      <c r="D4" t="s">
        <v>45</v>
      </c>
      <c r="J4">
        <f>(E4*2240)+(F4*112)+(G4*28)+H4</f>
        <v>0</v>
      </c>
      <c r="L4">
        <f>J4/2240</f>
        <v>0</v>
      </c>
    </row>
    <row r="5" spans="1:12" x14ac:dyDescent="0.25">
      <c r="A5">
        <v>1755</v>
      </c>
      <c r="B5" t="s">
        <v>4</v>
      </c>
      <c r="C5" t="s">
        <v>76</v>
      </c>
      <c r="D5" t="s">
        <v>45</v>
      </c>
      <c r="J5">
        <f>(E5*2240)+(F5*112)+(G5*28)+H5</f>
        <v>0</v>
      </c>
      <c r="L5">
        <f>J5/2240</f>
        <v>0</v>
      </c>
    </row>
    <row r="6" spans="1:12" x14ac:dyDescent="0.25">
      <c r="A6">
        <v>1755</v>
      </c>
      <c r="B6" t="s">
        <v>56</v>
      </c>
      <c r="C6" t="s">
        <v>76</v>
      </c>
      <c r="D6" t="s">
        <v>45</v>
      </c>
      <c r="J6">
        <f>(E6*2240)+(F6*112)+(G6*28)+H6</f>
        <v>0</v>
      </c>
      <c r="L6">
        <f>J6/2240</f>
        <v>0</v>
      </c>
    </row>
    <row r="7" spans="1:12" x14ac:dyDescent="0.25">
      <c r="A7">
        <v>1755</v>
      </c>
      <c r="B7" t="s">
        <v>70</v>
      </c>
      <c r="C7" t="s">
        <v>76</v>
      </c>
      <c r="D7" t="s">
        <v>45</v>
      </c>
      <c r="J7">
        <f t="shared" ref="J7:J69" si="0">(E7*2240)+(F7*112)+(G7*28)+H7</f>
        <v>0</v>
      </c>
      <c r="L7">
        <f t="shared" ref="L7:L69" si="1">J7/2240</f>
        <v>0</v>
      </c>
    </row>
    <row r="8" spans="1:12" x14ac:dyDescent="0.25">
      <c r="A8">
        <v>1755</v>
      </c>
      <c r="B8" t="s">
        <v>57</v>
      </c>
      <c r="C8" t="s">
        <v>76</v>
      </c>
      <c r="D8" t="s">
        <v>45</v>
      </c>
      <c r="J8">
        <f t="shared" si="0"/>
        <v>0</v>
      </c>
      <c r="L8">
        <f t="shared" si="1"/>
        <v>0</v>
      </c>
    </row>
    <row r="9" spans="1:12" x14ac:dyDescent="0.25">
      <c r="A9">
        <v>1755</v>
      </c>
      <c r="B9" t="s">
        <v>5</v>
      </c>
      <c r="C9" t="s">
        <v>76</v>
      </c>
      <c r="D9" t="s">
        <v>45</v>
      </c>
      <c r="J9">
        <f t="shared" si="0"/>
        <v>0</v>
      </c>
      <c r="L9">
        <f t="shared" si="1"/>
        <v>0</v>
      </c>
    </row>
    <row r="10" spans="1:12" x14ac:dyDescent="0.25">
      <c r="A10">
        <v>1755</v>
      </c>
      <c r="B10" t="s">
        <v>58</v>
      </c>
      <c r="C10" t="s">
        <v>76</v>
      </c>
      <c r="D10" t="s">
        <v>45</v>
      </c>
      <c r="J10">
        <f t="shared" si="0"/>
        <v>0</v>
      </c>
      <c r="L10">
        <f t="shared" si="1"/>
        <v>0</v>
      </c>
    </row>
    <row r="11" spans="1:12" x14ac:dyDescent="0.25">
      <c r="A11">
        <v>1755</v>
      </c>
      <c r="B11" t="s">
        <v>6</v>
      </c>
      <c r="C11" t="s">
        <v>76</v>
      </c>
      <c r="D11" t="s">
        <v>45</v>
      </c>
      <c r="F11">
        <v>48710</v>
      </c>
      <c r="G11">
        <v>0</v>
      </c>
      <c r="H11">
        <v>11</v>
      </c>
      <c r="J11">
        <f t="shared" si="0"/>
        <v>5455531</v>
      </c>
      <c r="L11">
        <f t="shared" si="1"/>
        <v>2435.5049107142859</v>
      </c>
    </row>
    <row r="12" spans="1:12" x14ac:dyDescent="0.25">
      <c r="A12">
        <v>1755</v>
      </c>
      <c r="B12" t="s">
        <v>59</v>
      </c>
      <c r="C12" t="s">
        <v>76</v>
      </c>
      <c r="D12" t="s">
        <v>45</v>
      </c>
      <c r="J12">
        <f t="shared" si="0"/>
        <v>0</v>
      </c>
      <c r="L12">
        <f t="shared" si="1"/>
        <v>0</v>
      </c>
    </row>
    <row r="13" spans="1:12" x14ac:dyDescent="0.25">
      <c r="A13">
        <v>1755</v>
      </c>
      <c r="B13" t="s">
        <v>60</v>
      </c>
      <c r="C13" t="s">
        <v>76</v>
      </c>
      <c r="D13" t="s">
        <v>45</v>
      </c>
      <c r="J13">
        <f t="shared" si="0"/>
        <v>0</v>
      </c>
      <c r="L13">
        <f t="shared" si="1"/>
        <v>0</v>
      </c>
    </row>
    <row r="14" spans="1:12" x14ac:dyDescent="0.25">
      <c r="A14">
        <v>1755</v>
      </c>
      <c r="B14" t="s">
        <v>61</v>
      </c>
      <c r="C14" t="s">
        <v>76</v>
      </c>
      <c r="D14" t="s">
        <v>45</v>
      </c>
      <c r="J14">
        <f t="shared" si="0"/>
        <v>0</v>
      </c>
      <c r="L14">
        <f t="shared" si="1"/>
        <v>0</v>
      </c>
    </row>
    <row r="15" spans="1:12" x14ac:dyDescent="0.25">
      <c r="A15">
        <v>1755</v>
      </c>
      <c r="B15" t="s">
        <v>8</v>
      </c>
      <c r="C15" t="s">
        <v>76</v>
      </c>
      <c r="D15" t="s">
        <v>45</v>
      </c>
      <c r="J15">
        <f t="shared" si="0"/>
        <v>0</v>
      </c>
      <c r="L15">
        <f t="shared" si="1"/>
        <v>0</v>
      </c>
    </row>
    <row r="16" spans="1:12" x14ac:dyDescent="0.25">
      <c r="A16">
        <v>1755</v>
      </c>
      <c r="B16" t="s">
        <v>62</v>
      </c>
      <c r="C16" t="s">
        <v>76</v>
      </c>
      <c r="D16" t="s">
        <v>45</v>
      </c>
      <c r="J16">
        <f t="shared" si="0"/>
        <v>0</v>
      </c>
      <c r="L16">
        <f t="shared" si="1"/>
        <v>0</v>
      </c>
    </row>
    <row r="17" spans="1:12" x14ac:dyDescent="0.25">
      <c r="A17">
        <v>1755</v>
      </c>
      <c r="B17" t="s">
        <v>71</v>
      </c>
      <c r="C17" t="s">
        <v>76</v>
      </c>
      <c r="D17" t="s">
        <v>45</v>
      </c>
      <c r="J17">
        <f t="shared" si="0"/>
        <v>0</v>
      </c>
      <c r="L17">
        <f t="shared" si="1"/>
        <v>0</v>
      </c>
    </row>
    <row r="18" spans="1:12" x14ac:dyDescent="0.25">
      <c r="A18">
        <v>1755</v>
      </c>
      <c r="B18" t="s">
        <v>9</v>
      </c>
      <c r="C18" t="s">
        <v>76</v>
      </c>
      <c r="D18" t="s">
        <v>45</v>
      </c>
      <c r="H18">
        <f>26*200</f>
        <v>5200</v>
      </c>
      <c r="I18" t="s">
        <v>114</v>
      </c>
      <c r="J18">
        <f t="shared" si="0"/>
        <v>5200</v>
      </c>
      <c r="L18">
        <f t="shared" si="1"/>
        <v>2.3214285714285716</v>
      </c>
    </row>
    <row r="19" spans="1:12" x14ac:dyDescent="0.25">
      <c r="A19">
        <v>1755</v>
      </c>
      <c r="B19" t="s">
        <v>10</v>
      </c>
      <c r="C19" t="s">
        <v>76</v>
      </c>
      <c r="D19" t="s">
        <v>45</v>
      </c>
      <c r="F19">
        <v>6</v>
      </c>
      <c r="G19">
        <v>3</v>
      </c>
      <c r="H19">
        <v>21</v>
      </c>
      <c r="J19">
        <f t="shared" si="0"/>
        <v>777</v>
      </c>
      <c r="L19">
        <f t="shared" si="1"/>
        <v>0.34687499999999999</v>
      </c>
    </row>
    <row r="20" spans="1:12" x14ac:dyDescent="0.25">
      <c r="A20">
        <v>1755</v>
      </c>
      <c r="B20" t="s">
        <v>11</v>
      </c>
      <c r="C20" t="s">
        <v>76</v>
      </c>
      <c r="D20" t="s">
        <v>45</v>
      </c>
      <c r="J20">
        <f t="shared" si="0"/>
        <v>0</v>
      </c>
      <c r="L20">
        <f t="shared" si="1"/>
        <v>0</v>
      </c>
    </row>
    <row r="21" spans="1:12" x14ac:dyDescent="0.25">
      <c r="A21">
        <v>1755</v>
      </c>
      <c r="B21" t="s">
        <v>46</v>
      </c>
      <c r="C21" t="s">
        <v>76</v>
      </c>
      <c r="D21" t="s">
        <v>45</v>
      </c>
      <c r="J21">
        <f t="shared" si="0"/>
        <v>0</v>
      </c>
      <c r="L21">
        <f t="shared" si="1"/>
        <v>0</v>
      </c>
    </row>
    <row r="22" spans="1:12" x14ac:dyDescent="0.25">
      <c r="A22">
        <v>1755</v>
      </c>
      <c r="B22" t="s">
        <v>63</v>
      </c>
      <c r="C22" t="s">
        <v>76</v>
      </c>
      <c r="D22" t="s">
        <v>45</v>
      </c>
      <c r="J22">
        <f t="shared" si="0"/>
        <v>0</v>
      </c>
      <c r="L22">
        <f t="shared" si="1"/>
        <v>0</v>
      </c>
    </row>
    <row r="23" spans="1:12" x14ac:dyDescent="0.25">
      <c r="A23">
        <v>1755</v>
      </c>
      <c r="B23" t="s">
        <v>12</v>
      </c>
      <c r="C23" t="s">
        <v>76</v>
      </c>
      <c r="D23" t="s">
        <v>45</v>
      </c>
      <c r="J23">
        <f t="shared" si="0"/>
        <v>0</v>
      </c>
      <c r="L23">
        <f t="shared" si="1"/>
        <v>0</v>
      </c>
    </row>
    <row r="24" spans="1:12" x14ac:dyDescent="0.25">
      <c r="A24">
        <v>1755</v>
      </c>
      <c r="B24" t="s">
        <v>47</v>
      </c>
      <c r="C24" t="s">
        <v>76</v>
      </c>
      <c r="D24" t="s">
        <v>45</v>
      </c>
      <c r="J24">
        <f t="shared" si="0"/>
        <v>0</v>
      </c>
      <c r="L24">
        <f t="shared" si="1"/>
        <v>0</v>
      </c>
    </row>
    <row r="25" spans="1:12" x14ac:dyDescent="0.25">
      <c r="A25">
        <v>1755</v>
      </c>
      <c r="B25" t="s">
        <v>13</v>
      </c>
      <c r="C25" t="s">
        <v>76</v>
      </c>
      <c r="D25" t="s">
        <v>45</v>
      </c>
      <c r="J25">
        <f t="shared" si="0"/>
        <v>0</v>
      </c>
      <c r="L25">
        <f t="shared" si="1"/>
        <v>0</v>
      </c>
    </row>
    <row r="26" spans="1:12" x14ac:dyDescent="0.25">
      <c r="A26">
        <v>1755</v>
      </c>
      <c r="B26" t="s">
        <v>14</v>
      </c>
      <c r="C26" t="s">
        <v>76</v>
      </c>
      <c r="D26" t="s">
        <v>45</v>
      </c>
      <c r="J26">
        <f t="shared" si="0"/>
        <v>0</v>
      </c>
      <c r="L26">
        <f t="shared" si="1"/>
        <v>0</v>
      </c>
    </row>
    <row r="27" spans="1:12" x14ac:dyDescent="0.25">
      <c r="A27">
        <v>1755</v>
      </c>
      <c r="B27" t="s">
        <v>24</v>
      </c>
      <c r="C27" t="s">
        <v>76</v>
      </c>
      <c r="D27" t="s">
        <v>45</v>
      </c>
      <c r="J27">
        <f t="shared" si="0"/>
        <v>0</v>
      </c>
      <c r="L27">
        <f t="shared" si="1"/>
        <v>0</v>
      </c>
    </row>
    <row r="28" spans="1:12" x14ac:dyDescent="0.25">
      <c r="A28">
        <v>1755</v>
      </c>
      <c r="B28" t="s">
        <v>28</v>
      </c>
      <c r="C28" t="s">
        <v>76</v>
      </c>
      <c r="D28" t="s">
        <v>45</v>
      </c>
      <c r="H28">
        <v>91543</v>
      </c>
      <c r="I28" t="s">
        <v>113</v>
      </c>
      <c r="J28">
        <f t="shared" si="0"/>
        <v>91543</v>
      </c>
      <c r="L28">
        <f t="shared" si="1"/>
        <v>40.867410714285711</v>
      </c>
    </row>
    <row r="29" spans="1:12" x14ac:dyDescent="0.25">
      <c r="A29">
        <v>1755</v>
      </c>
      <c r="B29" t="s">
        <v>15</v>
      </c>
      <c r="C29" t="s">
        <v>76</v>
      </c>
      <c r="D29" t="s">
        <v>45</v>
      </c>
      <c r="J29">
        <f t="shared" si="0"/>
        <v>0</v>
      </c>
      <c r="L29">
        <f t="shared" si="1"/>
        <v>0</v>
      </c>
    </row>
    <row r="30" spans="1:12" x14ac:dyDescent="0.25">
      <c r="A30">
        <v>1755</v>
      </c>
      <c r="B30" t="s">
        <v>64</v>
      </c>
      <c r="C30" t="s">
        <v>76</v>
      </c>
      <c r="D30" t="s">
        <v>45</v>
      </c>
      <c r="J30">
        <f t="shared" si="0"/>
        <v>0</v>
      </c>
      <c r="L30">
        <f t="shared" si="1"/>
        <v>0</v>
      </c>
    </row>
    <row r="31" spans="1:12" x14ac:dyDescent="0.25">
      <c r="A31">
        <v>1755</v>
      </c>
      <c r="B31" t="s">
        <v>48</v>
      </c>
      <c r="C31" t="s">
        <v>76</v>
      </c>
      <c r="D31" t="s">
        <v>45</v>
      </c>
      <c r="J31">
        <f t="shared" si="0"/>
        <v>0</v>
      </c>
      <c r="L31">
        <f t="shared" si="1"/>
        <v>0</v>
      </c>
    </row>
    <row r="32" spans="1:12" x14ac:dyDescent="0.25">
      <c r="A32">
        <v>1755</v>
      </c>
      <c r="B32" t="s">
        <v>16</v>
      </c>
      <c r="C32" t="s">
        <v>76</v>
      </c>
      <c r="D32" t="s">
        <v>45</v>
      </c>
      <c r="J32">
        <f t="shared" si="0"/>
        <v>0</v>
      </c>
      <c r="L32">
        <f t="shared" si="1"/>
        <v>0</v>
      </c>
    </row>
    <row r="33" spans="1:12" x14ac:dyDescent="0.25">
      <c r="A33">
        <v>1755</v>
      </c>
      <c r="B33" t="s">
        <v>17</v>
      </c>
      <c r="C33" t="s">
        <v>76</v>
      </c>
      <c r="D33" t="s">
        <v>45</v>
      </c>
      <c r="J33">
        <f t="shared" si="0"/>
        <v>0</v>
      </c>
      <c r="L33">
        <f t="shared" si="1"/>
        <v>0</v>
      </c>
    </row>
    <row r="34" spans="1:12" x14ac:dyDescent="0.25">
      <c r="A34">
        <v>1755</v>
      </c>
      <c r="B34" t="s">
        <v>18</v>
      </c>
      <c r="C34" t="s">
        <v>76</v>
      </c>
      <c r="D34" t="s">
        <v>45</v>
      </c>
      <c r="H34">
        <v>26577</v>
      </c>
      <c r="I34" t="s">
        <v>112</v>
      </c>
      <c r="J34">
        <f t="shared" si="0"/>
        <v>26577</v>
      </c>
      <c r="L34">
        <f t="shared" si="1"/>
        <v>11.864732142857143</v>
      </c>
    </row>
    <row r="35" spans="1:12" x14ac:dyDescent="0.25">
      <c r="A35">
        <v>1755</v>
      </c>
      <c r="B35" t="s">
        <v>72</v>
      </c>
      <c r="C35" t="s">
        <v>76</v>
      </c>
      <c r="D35" t="s">
        <v>45</v>
      </c>
      <c r="J35">
        <f t="shared" si="0"/>
        <v>0</v>
      </c>
      <c r="L35">
        <f t="shared" si="1"/>
        <v>0</v>
      </c>
    </row>
    <row r="36" spans="1:12" x14ac:dyDescent="0.25">
      <c r="A36">
        <v>1755</v>
      </c>
      <c r="B36" t="s">
        <v>19</v>
      </c>
      <c r="C36" t="s">
        <v>76</v>
      </c>
      <c r="D36" t="s">
        <v>45</v>
      </c>
      <c r="J36">
        <f t="shared" si="0"/>
        <v>0</v>
      </c>
      <c r="L36">
        <f t="shared" si="1"/>
        <v>0</v>
      </c>
    </row>
    <row r="37" spans="1:12" x14ac:dyDescent="0.25">
      <c r="A37">
        <v>1755</v>
      </c>
      <c r="B37" t="s">
        <v>65</v>
      </c>
      <c r="C37" t="s">
        <v>76</v>
      </c>
      <c r="D37" t="s">
        <v>45</v>
      </c>
      <c r="J37">
        <f t="shared" si="0"/>
        <v>0</v>
      </c>
      <c r="L37">
        <f t="shared" si="1"/>
        <v>0</v>
      </c>
    </row>
    <row r="38" spans="1:12" x14ac:dyDescent="0.25">
      <c r="A38">
        <v>1755</v>
      </c>
      <c r="B38" t="s">
        <v>20</v>
      </c>
      <c r="C38" t="s">
        <v>76</v>
      </c>
      <c r="D38" t="s">
        <v>45</v>
      </c>
      <c r="H38">
        <v>75</v>
      </c>
      <c r="J38">
        <f t="shared" si="0"/>
        <v>75</v>
      </c>
      <c r="L38">
        <f t="shared" si="1"/>
        <v>3.3482142857142856E-2</v>
      </c>
    </row>
    <row r="39" spans="1:12" x14ac:dyDescent="0.25">
      <c r="A39">
        <v>1755</v>
      </c>
      <c r="B39" t="s">
        <v>85</v>
      </c>
      <c r="C39" t="s">
        <v>76</v>
      </c>
      <c r="D39" t="s">
        <v>45</v>
      </c>
      <c r="H39">
        <v>9</v>
      </c>
      <c r="J39">
        <f t="shared" si="0"/>
        <v>9</v>
      </c>
      <c r="L39">
        <f t="shared" si="1"/>
        <v>4.0178571428571425E-3</v>
      </c>
    </row>
    <row r="40" spans="1:12" x14ac:dyDescent="0.25">
      <c r="A40">
        <v>1755</v>
      </c>
      <c r="B40" t="s">
        <v>21</v>
      </c>
      <c r="C40" t="s">
        <v>76</v>
      </c>
      <c r="D40" t="s">
        <v>45</v>
      </c>
      <c r="J40">
        <f t="shared" si="0"/>
        <v>0</v>
      </c>
      <c r="L40">
        <f t="shared" si="1"/>
        <v>0</v>
      </c>
    </row>
    <row r="41" spans="1:12" x14ac:dyDescent="0.25">
      <c r="A41">
        <v>1755</v>
      </c>
      <c r="B41" t="s">
        <v>22</v>
      </c>
      <c r="C41" t="s">
        <v>76</v>
      </c>
      <c r="D41" t="s">
        <v>45</v>
      </c>
      <c r="J41">
        <f t="shared" si="0"/>
        <v>0</v>
      </c>
      <c r="L41">
        <f t="shared" si="1"/>
        <v>0</v>
      </c>
    </row>
    <row r="42" spans="1:12" x14ac:dyDescent="0.25">
      <c r="A42">
        <v>1755</v>
      </c>
      <c r="B42" t="s">
        <v>23</v>
      </c>
      <c r="C42" t="s">
        <v>76</v>
      </c>
      <c r="D42" t="s">
        <v>45</v>
      </c>
      <c r="J42">
        <f t="shared" si="0"/>
        <v>0</v>
      </c>
      <c r="L42">
        <f t="shared" si="1"/>
        <v>0</v>
      </c>
    </row>
    <row r="43" spans="1:12" x14ac:dyDescent="0.25">
      <c r="A43">
        <v>1755</v>
      </c>
      <c r="B43" t="s">
        <v>29</v>
      </c>
      <c r="C43" t="s">
        <v>76</v>
      </c>
      <c r="D43" t="s">
        <v>45</v>
      </c>
      <c r="J43">
        <f t="shared" si="0"/>
        <v>0</v>
      </c>
      <c r="L43">
        <f t="shared" si="1"/>
        <v>0</v>
      </c>
    </row>
    <row r="44" spans="1:12" x14ac:dyDescent="0.25">
      <c r="A44">
        <v>1755</v>
      </c>
      <c r="B44" t="s">
        <v>30</v>
      </c>
      <c r="C44" t="s">
        <v>76</v>
      </c>
      <c r="D44" t="s">
        <v>45</v>
      </c>
      <c r="E44">
        <v>28</v>
      </c>
      <c r="F44">
        <v>15</v>
      </c>
      <c r="J44">
        <f t="shared" si="0"/>
        <v>64400</v>
      </c>
      <c r="L44">
        <f t="shared" si="1"/>
        <v>28.75</v>
      </c>
    </row>
    <row r="45" spans="1:12" x14ac:dyDescent="0.25">
      <c r="A45">
        <v>1755</v>
      </c>
      <c r="B45" t="s">
        <v>31</v>
      </c>
      <c r="C45" t="s">
        <v>76</v>
      </c>
      <c r="D45" t="s">
        <v>45</v>
      </c>
      <c r="J45">
        <f t="shared" si="0"/>
        <v>0</v>
      </c>
      <c r="L45">
        <f t="shared" si="1"/>
        <v>0</v>
      </c>
    </row>
    <row r="46" spans="1:12" x14ac:dyDescent="0.25">
      <c r="A46">
        <v>1755</v>
      </c>
      <c r="B46" t="s">
        <v>73</v>
      </c>
      <c r="C46" t="s">
        <v>76</v>
      </c>
      <c r="D46" t="s">
        <v>45</v>
      </c>
      <c r="J46">
        <f t="shared" si="0"/>
        <v>0</v>
      </c>
      <c r="L46">
        <f t="shared" si="1"/>
        <v>0</v>
      </c>
    </row>
    <row r="47" spans="1:12" x14ac:dyDescent="0.25">
      <c r="A47">
        <v>1755</v>
      </c>
      <c r="B47" t="s">
        <v>32</v>
      </c>
      <c r="C47" t="s">
        <v>76</v>
      </c>
      <c r="D47" t="s">
        <v>45</v>
      </c>
      <c r="J47">
        <f t="shared" si="0"/>
        <v>0</v>
      </c>
      <c r="L47">
        <f t="shared" si="1"/>
        <v>0</v>
      </c>
    </row>
    <row r="48" spans="1:12" x14ac:dyDescent="0.25">
      <c r="A48">
        <v>1755</v>
      </c>
      <c r="B48" t="s">
        <v>33</v>
      </c>
      <c r="C48" t="s">
        <v>76</v>
      </c>
      <c r="D48" t="s">
        <v>45</v>
      </c>
      <c r="J48">
        <f t="shared" si="0"/>
        <v>0</v>
      </c>
      <c r="L48">
        <f t="shared" si="1"/>
        <v>0</v>
      </c>
    </row>
    <row r="49" spans="1:12" x14ac:dyDescent="0.25">
      <c r="A49">
        <v>1755</v>
      </c>
      <c r="B49" t="s">
        <v>5</v>
      </c>
      <c r="C49" t="s">
        <v>76</v>
      </c>
      <c r="D49" t="s">
        <v>49</v>
      </c>
      <c r="F49">
        <v>8</v>
      </c>
      <c r="H49">
        <v>24</v>
      </c>
      <c r="J49">
        <f t="shared" si="0"/>
        <v>920</v>
      </c>
      <c r="L49">
        <f t="shared" si="1"/>
        <v>0.4107142857142857</v>
      </c>
    </row>
    <row r="50" spans="1:12" x14ac:dyDescent="0.25">
      <c r="A50">
        <v>1755</v>
      </c>
      <c r="B50" t="s">
        <v>6</v>
      </c>
      <c r="C50" t="s">
        <v>76</v>
      </c>
      <c r="D50" t="s">
        <v>49</v>
      </c>
      <c r="F50">
        <v>6989</v>
      </c>
      <c r="G50">
        <v>1</v>
      </c>
      <c r="H50">
        <v>6</v>
      </c>
      <c r="J50">
        <f t="shared" si="0"/>
        <v>782802</v>
      </c>
      <c r="L50">
        <f t="shared" si="1"/>
        <v>349.46517857142857</v>
      </c>
    </row>
    <row r="51" spans="1:12" x14ac:dyDescent="0.25">
      <c r="A51">
        <v>1755</v>
      </c>
      <c r="B51" t="s">
        <v>7</v>
      </c>
      <c r="C51" t="s">
        <v>76</v>
      </c>
      <c r="D51" t="s">
        <v>49</v>
      </c>
      <c r="J51">
        <f t="shared" si="0"/>
        <v>0</v>
      </c>
      <c r="L51">
        <f t="shared" si="1"/>
        <v>0</v>
      </c>
    </row>
    <row r="52" spans="1:12" x14ac:dyDescent="0.25">
      <c r="A52">
        <v>1755</v>
      </c>
      <c r="B52" t="s">
        <v>8</v>
      </c>
      <c r="C52" t="s">
        <v>76</v>
      </c>
      <c r="D52" t="s">
        <v>49</v>
      </c>
      <c r="J52">
        <f t="shared" si="0"/>
        <v>0</v>
      </c>
      <c r="L52">
        <f t="shared" si="1"/>
        <v>0</v>
      </c>
    </row>
    <row r="53" spans="1:12" x14ac:dyDescent="0.25">
      <c r="A53">
        <v>1755</v>
      </c>
      <c r="B53" t="s">
        <v>9</v>
      </c>
      <c r="C53" t="s">
        <v>76</v>
      </c>
      <c r="D53" t="s">
        <v>49</v>
      </c>
      <c r="H53">
        <f>146.75*200</f>
        <v>29350</v>
      </c>
      <c r="I53" t="s">
        <v>157</v>
      </c>
      <c r="J53">
        <f t="shared" si="0"/>
        <v>29350</v>
      </c>
      <c r="L53">
        <f t="shared" si="1"/>
        <v>13.102678571428571</v>
      </c>
    </row>
    <row r="54" spans="1:12" x14ac:dyDescent="0.25">
      <c r="A54">
        <v>1755</v>
      </c>
      <c r="B54" t="s">
        <v>10</v>
      </c>
      <c r="C54" t="s">
        <v>76</v>
      </c>
      <c r="D54" t="s">
        <v>49</v>
      </c>
      <c r="J54">
        <f t="shared" si="0"/>
        <v>0</v>
      </c>
      <c r="L54">
        <f t="shared" si="1"/>
        <v>0</v>
      </c>
    </row>
    <row r="55" spans="1:12" x14ac:dyDescent="0.25">
      <c r="A55">
        <v>1755</v>
      </c>
      <c r="B55" t="s">
        <v>11</v>
      </c>
      <c r="C55" t="s">
        <v>76</v>
      </c>
      <c r="D55" t="s">
        <v>49</v>
      </c>
      <c r="F55">
        <v>1</v>
      </c>
      <c r="G55">
        <v>2</v>
      </c>
      <c r="J55">
        <f t="shared" si="0"/>
        <v>168</v>
      </c>
      <c r="L55">
        <f t="shared" si="1"/>
        <v>7.4999999999999997E-2</v>
      </c>
    </row>
    <row r="56" spans="1:12" x14ac:dyDescent="0.25">
      <c r="A56">
        <v>1755</v>
      </c>
      <c r="B56" t="s">
        <v>12</v>
      </c>
      <c r="C56" t="s">
        <v>76</v>
      </c>
      <c r="D56" t="s">
        <v>49</v>
      </c>
      <c r="H56">
        <v>99</v>
      </c>
      <c r="J56">
        <f t="shared" si="0"/>
        <v>99</v>
      </c>
      <c r="L56">
        <f t="shared" si="1"/>
        <v>4.4196428571428574E-2</v>
      </c>
    </row>
    <row r="57" spans="1:12" x14ac:dyDescent="0.25">
      <c r="A57">
        <v>1755</v>
      </c>
      <c r="B57" t="s">
        <v>13</v>
      </c>
      <c r="C57" t="s">
        <v>76</v>
      </c>
      <c r="D57" t="s">
        <v>49</v>
      </c>
      <c r="J57">
        <f t="shared" si="0"/>
        <v>0</v>
      </c>
      <c r="L57">
        <f t="shared" si="1"/>
        <v>0</v>
      </c>
    </row>
    <row r="58" spans="1:12" x14ac:dyDescent="0.25">
      <c r="A58">
        <v>1755</v>
      </c>
      <c r="B58" t="s">
        <v>14</v>
      </c>
      <c r="C58" t="s">
        <v>76</v>
      </c>
      <c r="D58" t="s">
        <v>49</v>
      </c>
      <c r="J58">
        <f t="shared" si="0"/>
        <v>0</v>
      </c>
      <c r="L58">
        <f t="shared" si="1"/>
        <v>0</v>
      </c>
    </row>
    <row r="59" spans="1:12" x14ac:dyDescent="0.25">
      <c r="A59">
        <v>1755</v>
      </c>
      <c r="B59" t="s">
        <v>28</v>
      </c>
      <c r="C59" t="s">
        <v>76</v>
      </c>
      <c r="D59" t="s">
        <v>49</v>
      </c>
      <c r="J59">
        <f t="shared" si="0"/>
        <v>0</v>
      </c>
      <c r="L59">
        <f t="shared" si="1"/>
        <v>0</v>
      </c>
    </row>
    <row r="60" spans="1:12" x14ac:dyDescent="0.25">
      <c r="A60">
        <v>1755</v>
      </c>
      <c r="B60" t="s">
        <v>15</v>
      </c>
      <c r="C60" t="s">
        <v>76</v>
      </c>
      <c r="D60" t="s">
        <v>49</v>
      </c>
      <c r="J60">
        <f t="shared" si="0"/>
        <v>0</v>
      </c>
      <c r="L60">
        <f t="shared" si="1"/>
        <v>0</v>
      </c>
    </row>
    <row r="61" spans="1:12" x14ac:dyDescent="0.25">
      <c r="A61">
        <v>1755</v>
      </c>
      <c r="B61" t="s">
        <v>17</v>
      </c>
      <c r="C61" t="s">
        <v>76</v>
      </c>
      <c r="D61" t="s">
        <v>49</v>
      </c>
      <c r="J61">
        <f t="shared" si="0"/>
        <v>0</v>
      </c>
      <c r="L61">
        <f t="shared" si="1"/>
        <v>0</v>
      </c>
    </row>
    <row r="62" spans="1:12" x14ac:dyDescent="0.25">
      <c r="A62">
        <v>1755</v>
      </c>
      <c r="B62" t="s">
        <v>18</v>
      </c>
      <c r="C62" t="s">
        <v>76</v>
      </c>
      <c r="D62" t="s">
        <v>49</v>
      </c>
      <c r="H62">
        <v>3721</v>
      </c>
      <c r="I62" t="s">
        <v>156</v>
      </c>
      <c r="J62">
        <f t="shared" si="0"/>
        <v>3721</v>
      </c>
      <c r="L62">
        <f t="shared" si="1"/>
        <v>1.6611607142857143</v>
      </c>
    </row>
    <row r="63" spans="1:12" x14ac:dyDescent="0.25">
      <c r="A63">
        <v>1755</v>
      </c>
      <c r="B63" t="s">
        <v>19</v>
      </c>
      <c r="C63" t="s">
        <v>76</v>
      </c>
      <c r="D63" t="s">
        <v>49</v>
      </c>
      <c r="F63">
        <v>1</v>
      </c>
      <c r="J63">
        <f t="shared" si="0"/>
        <v>112</v>
      </c>
      <c r="L63">
        <f t="shared" si="1"/>
        <v>0.05</v>
      </c>
    </row>
    <row r="64" spans="1:12" x14ac:dyDescent="0.25">
      <c r="A64">
        <v>1755</v>
      </c>
      <c r="B64" t="s">
        <v>20</v>
      </c>
      <c r="C64" t="s">
        <v>76</v>
      </c>
      <c r="D64" t="s">
        <v>49</v>
      </c>
      <c r="J64">
        <f t="shared" si="0"/>
        <v>0</v>
      </c>
      <c r="L64">
        <f t="shared" si="1"/>
        <v>0</v>
      </c>
    </row>
    <row r="65" spans="1:12" x14ac:dyDescent="0.25">
      <c r="A65">
        <v>1755</v>
      </c>
      <c r="B65" t="s">
        <v>85</v>
      </c>
      <c r="C65" t="s">
        <v>76</v>
      </c>
      <c r="D65" t="s">
        <v>49</v>
      </c>
      <c r="H65">
        <v>4</v>
      </c>
      <c r="J65">
        <f t="shared" si="0"/>
        <v>4</v>
      </c>
      <c r="L65">
        <f t="shared" si="1"/>
        <v>1.7857142857142857E-3</v>
      </c>
    </row>
    <row r="66" spans="1:12" x14ac:dyDescent="0.25">
      <c r="A66">
        <v>1755</v>
      </c>
      <c r="B66" t="s">
        <v>22</v>
      </c>
      <c r="C66" t="s">
        <v>76</v>
      </c>
      <c r="D66" t="s">
        <v>49</v>
      </c>
      <c r="J66">
        <f t="shared" si="0"/>
        <v>0</v>
      </c>
      <c r="L66">
        <f t="shared" si="1"/>
        <v>0</v>
      </c>
    </row>
    <row r="67" spans="1:12" x14ac:dyDescent="0.25">
      <c r="A67">
        <v>1755</v>
      </c>
      <c r="B67" t="s">
        <v>23</v>
      </c>
      <c r="C67" t="s">
        <v>76</v>
      </c>
      <c r="D67" t="s">
        <v>49</v>
      </c>
      <c r="J67">
        <f t="shared" si="0"/>
        <v>0</v>
      </c>
      <c r="L67">
        <f t="shared" si="1"/>
        <v>0</v>
      </c>
    </row>
    <row r="68" spans="1:12" x14ac:dyDescent="0.25">
      <c r="A68">
        <v>1755</v>
      </c>
      <c r="B68" t="s">
        <v>30</v>
      </c>
      <c r="C68" t="s">
        <v>76</v>
      </c>
      <c r="D68" t="s">
        <v>49</v>
      </c>
      <c r="E68">
        <v>43</v>
      </c>
      <c r="F68">
        <v>10</v>
      </c>
      <c r="J68">
        <f t="shared" si="0"/>
        <v>97440</v>
      </c>
      <c r="L68">
        <f t="shared" si="1"/>
        <v>43.5</v>
      </c>
    </row>
    <row r="69" spans="1:12" x14ac:dyDescent="0.25">
      <c r="J69">
        <f t="shared" si="0"/>
        <v>0</v>
      </c>
      <c r="L69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3747-4BF6-44C1-BEC5-AF966F083A7B}">
  <dimension ref="A1:L69"/>
  <sheetViews>
    <sheetView topLeftCell="A21" workbookViewId="0">
      <selection activeCell="H55" sqref="H5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A2">
        <v>1755</v>
      </c>
      <c r="B2" t="s">
        <v>52</v>
      </c>
      <c r="C2" t="s">
        <v>77</v>
      </c>
      <c r="D2" t="s">
        <v>45</v>
      </c>
      <c r="J2">
        <f>(E2*2240)+(F2*112)+(G2*28)+H2</f>
        <v>0</v>
      </c>
      <c r="L2">
        <f>J2/2240</f>
        <v>0</v>
      </c>
    </row>
    <row r="3" spans="1:12" x14ac:dyDescent="0.25">
      <c r="A3">
        <v>1755</v>
      </c>
      <c r="B3" t="s">
        <v>54</v>
      </c>
      <c r="C3" t="s">
        <v>77</v>
      </c>
      <c r="D3" t="s">
        <v>45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1755</v>
      </c>
      <c r="B4" t="s">
        <v>55</v>
      </c>
      <c r="C4" t="s">
        <v>77</v>
      </c>
      <c r="D4" t="s">
        <v>45</v>
      </c>
      <c r="J4">
        <f t="shared" si="0"/>
        <v>0</v>
      </c>
      <c r="L4">
        <f t="shared" si="1"/>
        <v>0</v>
      </c>
    </row>
    <row r="5" spans="1:12" x14ac:dyDescent="0.25">
      <c r="A5">
        <v>1755</v>
      </c>
      <c r="B5" t="s">
        <v>4</v>
      </c>
      <c r="C5" t="s">
        <v>77</v>
      </c>
      <c r="D5" t="s">
        <v>45</v>
      </c>
      <c r="J5">
        <f t="shared" si="0"/>
        <v>0</v>
      </c>
      <c r="L5">
        <f t="shared" si="1"/>
        <v>0</v>
      </c>
    </row>
    <row r="6" spans="1:12" x14ac:dyDescent="0.25">
      <c r="A6">
        <v>1755</v>
      </c>
      <c r="B6" t="s">
        <v>56</v>
      </c>
      <c r="C6" t="s">
        <v>77</v>
      </c>
      <c r="D6" t="s">
        <v>45</v>
      </c>
      <c r="J6">
        <f t="shared" si="0"/>
        <v>0</v>
      </c>
      <c r="L6">
        <f t="shared" si="1"/>
        <v>0</v>
      </c>
    </row>
    <row r="7" spans="1:12" x14ac:dyDescent="0.25">
      <c r="A7">
        <v>1755</v>
      </c>
      <c r="B7" t="s">
        <v>70</v>
      </c>
      <c r="C7" t="s">
        <v>77</v>
      </c>
      <c r="D7" t="s">
        <v>45</v>
      </c>
      <c r="J7">
        <f t="shared" si="0"/>
        <v>0</v>
      </c>
      <c r="L7">
        <f t="shared" si="1"/>
        <v>0</v>
      </c>
    </row>
    <row r="8" spans="1:12" x14ac:dyDescent="0.25">
      <c r="A8">
        <v>1755</v>
      </c>
      <c r="B8" t="s">
        <v>57</v>
      </c>
      <c r="C8" t="s">
        <v>77</v>
      </c>
      <c r="D8" t="s">
        <v>45</v>
      </c>
      <c r="J8">
        <f t="shared" si="0"/>
        <v>0</v>
      </c>
      <c r="L8">
        <f t="shared" si="1"/>
        <v>0</v>
      </c>
    </row>
    <row r="9" spans="1:12" x14ac:dyDescent="0.25">
      <c r="A9">
        <v>1755</v>
      </c>
      <c r="B9" t="s">
        <v>5</v>
      </c>
      <c r="C9" t="s">
        <v>77</v>
      </c>
      <c r="D9" t="s">
        <v>45</v>
      </c>
      <c r="J9">
        <f t="shared" si="0"/>
        <v>0</v>
      </c>
      <c r="L9">
        <f t="shared" si="1"/>
        <v>0</v>
      </c>
    </row>
    <row r="10" spans="1:12" x14ac:dyDescent="0.25">
      <c r="A10">
        <v>1755</v>
      </c>
      <c r="B10" t="s">
        <v>58</v>
      </c>
      <c r="C10" t="s">
        <v>77</v>
      </c>
      <c r="D10" t="s">
        <v>45</v>
      </c>
      <c r="J10">
        <f t="shared" si="0"/>
        <v>0</v>
      </c>
      <c r="L10">
        <f t="shared" si="1"/>
        <v>0</v>
      </c>
    </row>
    <row r="11" spans="1:12" x14ac:dyDescent="0.25">
      <c r="A11">
        <v>1755</v>
      </c>
      <c r="B11" t="s">
        <v>6</v>
      </c>
      <c r="C11" t="s">
        <v>77</v>
      </c>
      <c r="D11" t="s">
        <v>45</v>
      </c>
      <c r="F11">
        <v>161591</v>
      </c>
      <c r="G11">
        <v>3</v>
      </c>
      <c r="H11">
        <v>9</v>
      </c>
      <c r="J11">
        <f t="shared" si="0"/>
        <v>18098285</v>
      </c>
      <c r="L11">
        <f t="shared" si="1"/>
        <v>8079.5915178571431</v>
      </c>
    </row>
    <row r="12" spans="1:12" x14ac:dyDescent="0.25">
      <c r="A12">
        <v>1755</v>
      </c>
      <c r="B12" t="s">
        <v>59</v>
      </c>
      <c r="C12" t="s">
        <v>77</v>
      </c>
      <c r="D12" t="s">
        <v>45</v>
      </c>
      <c r="J12">
        <f t="shared" si="0"/>
        <v>0</v>
      </c>
      <c r="L12">
        <f t="shared" si="1"/>
        <v>0</v>
      </c>
    </row>
    <row r="13" spans="1:12" x14ac:dyDescent="0.25">
      <c r="A13">
        <v>1755</v>
      </c>
      <c r="B13" t="s">
        <v>60</v>
      </c>
      <c r="C13" t="s">
        <v>77</v>
      </c>
      <c r="D13" t="s">
        <v>45</v>
      </c>
      <c r="J13">
        <f t="shared" si="0"/>
        <v>0</v>
      </c>
      <c r="L13">
        <f t="shared" si="1"/>
        <v>0</v>
      </c>
    </row>
    <row r="14" spans="1:12" x14ac:dyDescent="0.25">
      <c r="A14">
        <v>1755</v>
      </c>
      <c r="B14" t="s">
        <v>61</v>
      </c>
      <c r="C14" t="s">
        <v>77</v>
      </c>
      <c r="D14" t="s">
        <v>45</v>
      </c>
      <c r="J14">
        <f t="shared" si="0"/>
        <v>0</v>
      </c>
      <c r="L14">
        <f t="shared" si="1"/>
        <v>0</v>
      </c>
    </row>
    <row r="15" spans="1:12" x14ac:dyDescent="0.25">
      <c r="A15">
        <v>1755</v>
      </c>
      <c r="B15" t="s">
        <v>8</v>
      </c>
      <c r="C15" t="s">
        <v>77</v>
      </c>
      <c r="D15" t="s">
        <v>45</v>
      </c>
      <c r="J15">
        <f t="shared" si="0"/>
        <v>0</v>
      </c>
      <c r="L15">
        <f t="shared" si="1"/>
        <v>0</v>
      </c>
    </row>
    <row r="16" spans="1:12" x14ac:dyDescent="0.25">
      <c r="A16">
        <v>1755</v>
      </c>
      <c r="B16" t="s">
        <v>62</v>
      </c>
      <c r="C16" t="s">
        <v>77</v>
      </c>
      <c r="D16" t="s">
        <v>45</v>
      </c>
      <c r="J16">
        <f t="shared" si="0"/>
        <v>0</v>
      </c>
      <c r="L16">
        <f t="shared" si="1"/>
        <v>0</v>
      </c>
    </row>
    <row r="17" spans="1:12" x14ac:dyDescent="0.25">
      <c r="A17">
        <v>1755</v>
      </c>
      <c r="B17" t="s">
        <v>115</v>
      </c>
      <c r="C17" t="s">
        <v>77</v>
      </c>
      <c r="D17" t="s">
        <v>45</v>
      </c>
      <c r="F17">
        <v>300</v>
      </c>
      <c r="J17">
        <f t="shared" si="0"/>
        <v>33600</v>
      </c>
      <c r="L17">
        <f t="shared" si="1"/>
        <v>15</v>
      </c>
    </row>
    <row r="18" spans="1:12" x14ac:dyDescent="0.25">
      <c r="A18">
        <v>1755</v>
      </c>
      <c r="B18" t="s">
        <v>71</v>
      </c>
      <c r="C18" t="s">
        <v>77</v>
      </c>
      <c r="D18" t="s">
        <v>45</v>
      </c>
      <c r="J18">
        <f t="shared" si="0"/>
        <v>0</v>
      </c>
      <c r="L18">
        <f t="shared" si="1"/>
        <v>0</v>
      </c>
    </row>
    <row r="19" spans="1:12" x14ac:dyDescent="0.25">
      <c r="A19">
        <v>1755</v>
      </c>
      <c r="B19" t="s">
        <v>9</v>
      </c>
      <c r="C19" t="s">
        <v>77</v>
      </c>
      <c r="D19" t="s">
        <v>45</v>
      </c>
      <c r="H19">
        <f>266*200</f>
        <v>53200</v>
      </c>
      <c r="I19" t="s">
        <v>121</v>
      </c>
      <c r="J19">
        <f t="shared" si="0"/>
        <v>53200</v>
      </c>
      <c r="L19">
        <f t="shared" si="1"/>
        <v>23.75</v>
      </c>
    </row>
    <row r="20" spans="1:12" x14ac:dyDescent="0.25">
      <c r="A20">
        <v>1755</v>
      </c>
      <c r="B20" t="s">
        <v>10</v>
      </c>
      <c r="C20" t="s">
        <v>77</v>
      </c>
      <c r="D20" t="s">
        <v>45</v>
      </c>
      <c r="F20">
        <v>60</v>
      </c>
      <c r="G20">
        <v>1</v>
      </c>
      <c r="H20">
        <v>14</v>
      </c>
      <c r="J20">
        <f t="shared" si="0"/>
        <v>6762</v>
      </c>
      <c r="L20">
        <f t="shared" si="1"/>
        <v>3.0187499999999998</v>
      </c>
    </row>
    <row r="21" spans="1:12" x14ac:dyDescent="0.25">
      <c r="A21">
        <v>1755</v>
      </c>
      <c r="B21" t="s">
        <v>11</v>
      </c>
      <c r="C21" t="s">
        <v>77</v>
      </c>
      <c r="D21" t="s">
        <v>45</v>
      </c>
      <c r="F21">
        <v>64</v>
      </c>
      <c r="G21">
        <v>3</v>
      </c>
      <c r="J21">
        <f t="shared" si="0"/>
        <v>7252</v>
      </c>
      <c r="L21">
        <f t="shared" si="1"/>
        <v>3.2374999999999998</v>
      </c>
    </row>
    <row r="22" spans="1:12" x14ac:dyDescent="0.25">
      <c r="A22">
        <v>1755</v>
      </c>
      <c r="B22" t="s">
        <v>46</v>
      </c>
      <c r="C22" t="s">
        <v>77</v>
      </c>
      <c r="D22" t="s">
        <v>45</v>
      </c>
      <c r="H22">
        <v>62</v>
      </c>
      <c r="J22">
        <f t="shared" si="0"/>
        <v>62</v>
      </c>
      <c r="L22">
        <f t="shared" si="1"/>
        <v>2.7678571428571427E-2</v>
      </c>
    </row>
    <row r="23" spans="1:12" x14ac:dyDescent="0.25">
      <c r="A23">
        <v>1755</v>
      </c>
      <c r="B23" t="s">
        <v>63</v>
      </c>
      <c r="C23" t="s">
        <v>77</v>
      </c>
      <c r="D23" t="s">
        <v>45</v>
      </c>
      <c r="J23">
        <f t="shared" si="0"/>
        <v>0</v>
      </c>
      <c r="L23">
        <f t="shared" si="1"/>
        <v>0</v>
      </c>
    </row>
    <row r="24" spans="1:12" x14ac:dyDescent="0.25">
      <c r="A24">
        <v>1755</v>
      </c>
      <c r="B24" t="s">
        <v>12</v>
      </c>
      <c r="C24" t="s">
        <v>77</v>
      </c>
      <c r="D24" t="s">
        <v>45</v>
      </c>
      <c r="H24">
        <v>500</v>
      </c>
      <c r="J24">
        <f t="shared" si="0"/>
        <v>500</v>
      </c>
      <c r="L24">
        <f t="shared" si="1"/>
        <v>0.22321428571428573</v>
      </c>
    </row>
    <row r="25" spans="1:12" x14ac:dyDescent="0.25">
      <c r="A25">
        <v>1755</v>
      </c>
      <c r="B25" t="s">
        <v>47</v>
      </c>
      <c r="C25" t="s">
        <v>77</v>
      </c>
      <c r="D25" t="s">
        <v>45</v>
      </c>
      <c r="J25">
        <f t="shared" si="0"/>
        <v>0</v>
      </c>
      <c r="L25">
        <f t="shared" si="1"/>
        <v>0</v>
      </c>
    </row>
    <row r="26" spans="1:12" x14ac:dyDescent="0.25">
      <c r="A26">
        <v>1755</v>
      </c>
      <c r="B26" t="s">
        <v>13</v>
      </c>
      <c r="C26" t="s">
        <v>77</v>
      </c>
      <c r="D26" t="s">
        <v>45</v>
      </c>
      <c r="E26">
        <v>6</v>
      </c>
      <c r="J26">
        <f t="shared" si="0"/>
        <v>13440</v>
      </c>
      <c r="L26">
        <f t="shared" si="1"/>
        <v>6</v>
      </c>
    </row>
    <row r="27" spans="1:12" x14ac:dyDescent="0.25">
      <c r="A27">
        <v>1755</v>
      </c>
      <c r="B27" t="s">
        <v>14</v>
      </c>
      <c r="C27" t="s">
        <v>77</v>
      </c>
      <c r="D27" t="s">
        <v>45</v>
      </c>
      <c r="J27">
        <f t="shared" si="0"/>
        <v>0</v>
      </c>
      <c r="L27">
        <f t="shared" si="1"/>
        <v>0</v>
      </c>
    </row>
    <row r="28" spans="1:12" x14ac:dyDescent="0.25">
      <c r="A28">
        <v>1755</v>
      </c>
      <c r="B28" t="s">
        <v>24</v>
      </c>
      <c r="C28" t="s">
        <v>77</v>
      </c>
      <c r="D28" t="s">
        <v>45</v>
      </c>
      <c r="J28">
        <f t="shared" si="0"/>
        <v>0</v>
      </c>
      <c r="L28">
        <f t="shared" si="1"/>
        <v>0</v>
      </c>
    </row>
    <row r="29" spans="1:12" x14ac:dyDescent="0.25">
      <c r="A29">
        <v>1755</v>
      </c>
      <c r="B29" t="s">
        <v>28</v>
      </c>
      <c r="C29" t="s">
        <v>77</v>
      </c>
      <c r="D29" t="s">
        <v>45</v>
      </c>
      <c r="H29">
        <v>161841</v>
      </c>
      <c r="I29" t="s">
        <v>118</v>
      </c>
      <c r="J29">
        <f t="shared" si="0"/>
        <v>161841</v>
      </c>
      <c r="L29">
        <f t="shared" si="1"/>
        <v>72.250446428571422</v>
      </c>
    </row>
    <row r="30" spans="1:12" x14ac:dyDescent="0.25">
      <c r="A30">
        <v>1755</v>
      </c>
      <c r="B30" t="s">
        <v>15</v>
      </c>
      <c r="C30" t="s">
        <v>77</v>
      </c>
      <c r="D30" t="s">
        <v>45</v>
      </c>
      <c r="J30">
        <f t="shared" si="0"/>
        <v>0</v>
      </c>
      <c r="L30">
        <f t="shared" si="1"/>
        <v>0</v>
      </c>
    </row>
    <row r="31" spans="1:12" x14ac:dyDescent="0.25">
      <c r="A31">
        <v>1755</v>
      </c>
      <c r="B31" t="s">
        <v>64</v>
      </c>
      <c r="C31" t="s">
        <v>77</v>
      </c>
      <c r="D31" t="s">
        <v>45</v>
      </c>
      <c r="J31">
        <f t="shared" si="0"/>
        <v>0</v>
      </c>
      <c r="L31">
        <f t="shared" si="1"/>
        <v>0</v>
      </c>
    </row>
    <row r="32" spans="1:12" x14ac:dyDescent="0.25">
      <c r="A32">
        <v>1755</v>
      </c>
      <c r="B32" t="s">
        <v>48</v>
      </c>
      <c r="C32" t="s">
        <v>77</v>
      </c>
      <c r="D32" t="s">
        <v>45</v>
      </c>
      <c r="H32">
        <v>25</v>
      </c>
      <c r="I32" t="s">
        <v>116</v>
      </c>
      <c r="J32">
        <f t="shared" si="0"/>
        <v>25</v>
      </c>
      <c r="L32">
        <f t="shared" si="1"/>
        <v>1.1160714285714286E-2</v>
      </c>
    </row>
    <row r="33" spans="1:12" x14ac:dyDescent="0.25">
      <c r="A33">
        <v>1755</v>
      </c>
      <c r="B33" t="s">
        <v>16</v>
      </c>
      <c r="C33" t="s">
        <v>77</v>
      </c>
      <c r="D33" t="s">
        <v>45</v>
      </c>
      <c r="H33">
        <v>300</v>
      </c>
      <c r="J33">
        <f t="shared" si="0"/>
        <v>300</v>
      </c>
      <c r="L33">
        <f t="shared" si="1"/>
        <v>0.13392857142857142</v>
      </c>
    </row>
    <row r="34" spans="1:12" x14ac:dyDescent="0.25">
      <c r="A34">
        <v>1755</v>
      </c>
      <c r="B34" t="s">
        <v>119</v>
      </c>
      <c r="C34" t="s">
        <v>77</v>
      </c>
      <c r="D34" t="s">
        <v>45</v>
      </c>
      <c r="H34">
        <v>18995</v>
      </c>
      <c r="I34" t="s">
        <v>120</v>
      </c>
      <c r="J34">
        <f t="shared" si="0"/>
        <v>18995</v>
      </c>
      <c r="L34">
        <f t="shared" si="1"/>
        <v>8.4799107142857135</v>
      </c>
    </row>
    <row r="35" spans="1:12" x14ac:dyDescent="0.25">
      <c r="A35">
        <v>1755</v>
      </c>
      <c r="B35" t="s">
        <v>17</v>
      </c>
      <c r="C35" t="s">
        <v>77</v>
      </c>
      <c r="D35" t="s">
        <v>45</v>
      </c>
      <c r="J35">
        <f t="shared" si="0"/>
        <v>0</v>
      </c>
      <c r="L35">
        <f t="shared" si="1"/>
        <v>0</v>
      </c>
    </row>
    <row r="36" spans="1:12" x14ac:dyDescent="0.25">
      <c r="A36">
        <v>1755</v>
      </c>
      <c r="B36" t="s">
        <v>18</v>
      </c>
      <c r="C36" t="s">
        <v>77</v>
      </c>
      <c r="D36" t="s">
        <v>45</v>
      </c>
      <c r="H36">
        <v>126522</v>
      </c>
      <c r="I36" t="s">
        <v>117</v>
      </c>
      <c r="J36">
        <f t="shared" si="0"/>
        <v>126522</v>
      </c>
      <c r="L36">
        <f t="shared" si="1"/>
        <v>56.483035714285712</v>
      </c>
    </row>
    <row r="37" spans="1:12" x14ac:dyDescent="0.25">
      <c r="A37">
        <v>1755</v>
      </c>
      <c r="B37" t="s">
        <v>72</v>
      </c>
      <c r="C37" t="s">
        <v>77</v>
      </c>
      <c r="D37" t="s">
        <v>45</v>
      </c>
      <c r="J37">
        <f t="shared" si="0"/>
        <v>0</v>
      </c>
      <c r="L37">
        <f t="shared" si="1"/>
        <v>0</v>
      </c>
    </row>
    <row r="38" spans="1:12" x14ac:dyDescent="0.25">
      <c r="A38">
        <v>1755</v>
      </c>
      <c r="B38" t="s">
        <v>19</v>
      </c>
      <c r="C38" t="s">
        <v>77</v>
      </c>
      <c r="D38" t="s">
        <v>45</v>
      </c>
      <c r="F38">
        <v>1</v>
      </c>
      <c r="G38">
        <v>1</v>
      </c>
      <c r="J38">
        <f t="shared" si="0"/>
        <v>140</v>
      </c>
      <c r="L38">
        <f t="shared" si="1"/>
        <v>6.25E-2</v>
      </c>
    </row>
    <row r="39" spans="1:12" x14ac:dyDescent="0.25">
      <c r="A39">
        <v>1755</v>
      </c>
      <c r="B39" t="s">
        <v>65</v>
      </c>
      <c r="C39" t="s">
        <v>77</v>
      </c>
      <c r="D39" t="s">
        <v>45</v>
      </c>
      <c r="J39">
        <f t="shared" si="0"/>
        <v>0</v>
      </c>
      <c r="L39">
        <f t="shared" si="1"/>
        <v>0</v>
      </c>
    </row>
    <row r="40" spans="1:12" x14ac:dyDescent="0.25">
      <c r="A40">
        <v>1755</v>
      </c>
      <c r="B40" t="s">
        <v>20</v>
      </c>
      <c r="C40" t="s">
        <v>77</v>
      </c>
      <c r="D40" t="s">
        <v>45</v>
      </c>
      <c r="H40">
        <v>448</v>
      </c>
      <c r="J40">
        <f t="shared" si="0"/>
        <v>448</v>
      </c>
      <c r="L40">
        <f t="shared" si="1"/>
        <v>0.2</v>
      </c>
    </row>
    <row r="41" spans="1:12" x14ac:dyDescent="0.25">
      <c r="A41">
        <v>1755</v>
      </c>
      <c r="B41" t="s">
        <v>85</v>
      </c>
      <c r="C41" t="s">
        <v>77</v>
      </c>
      <c r="D41" t="s">
        <v>45</v>
      </c>
      <c r="H41">
        <v>239</v>
      </c>
      <c r="J41">
        <f t="shared" si="0"/>
        <v>239</v>
      </c>
      <c r="L41">
        <f t="shared" si="1"/>
        <v>0.10669642857142857</v>
      </c>
    </row>
    <row r="42" spans="1:12" x14ac:dyDescent="0.25">
      <c r="A42">
        <v>1755</v>
      </c>
      <c r="B42" t="s">
        <v>21</v>
      </c>
      <c r="C42" t="s">
        <v>77</v>
      </c>
      <c r="D42" t="s">
        <v>45</v>
      </c>
      <c r="J42">
        <f t="shared" si="0"/>
        <v>0</v>
      </c>
      <c r="L42">
        <f t="shared" si="1"/>
        <v>0</v>
      </c>
    </row>
    <row r="43" spans="1:12" x14ac:dyDescent="0.25">
      <c r="A43">
        <v>1755</v>
      </c>
      <c r="B43" t="s">
        <v>22</v>
      </c>
      <c r="C43" t="s">
        <v>77</v>
      </c>
      <c r="D43" t="s">
        <v>45</v>
      </c>
      <c r="H43">
        <v>20</v>
      </c>
      <c r="J43">
        <f t="shared" si="0"/>
        <v>20</v>
      </c>
      <c r="L43">
        <f t="shared" si="1"/>
        <v>8.9285714285714281E-3</v>
      </c>
    </row>
    <row r="44" spans="1:12" x14ac:dyDescent="0.25">
      <c r="A44">
        <v>1755</v>
      </c>
      <c r="B44" t="s">
        <v>23</v>
      </c>
      <c r="C44" t="s">
        <v>77</v>
      </c>
      <c r="D44" t="s">
        <v>45</v>
      </c>
      <c r="J44">
        <f t="shared" si="0"/>
        <v>0</v>
      </c>
      <c r="L44">
        <f t="shared" si="1"/>
        <v>0</v>
      </c>
    </row>
    <row r="45" spans="1:12" x14ac:dyDescent="0.25">
      <c r="A45">
        <v>1755</v>
      </c>
      <c r="B45" t="s">
        <v>29</v>
      </c>
      <c r="C45" t="s">
        <v>77</v>
      </c>
      <c r="D45" t="s">
        <v>45</v>
      </c>
      <c r="E45">
        <v>16</v>
      </c>
      <c r="J45">
        <f t="shared" si="0"/>
        <v>35840</v>
      </c>
      <c r="L45">
        <f t="shared" si="1"/>
        <v>16</v>
      </c>
    </row>
    <row r="46" spans="1:12" x14ac:dyDescent="0.25">
      <c r="A46">
        <v>1755</v>
      </c>
      <c r="B46" t="s">
        <v>30</v>
      </c>
      <c r="C46" t="s">
        <v>77</v>
      </c>
      <c r="D46" t="s">
        <v>45</v>
      </c>
      <c r="E46">
        <v>121</v>
      </c>
      <c r="J46">
        <f t="shared" si="0"/>
        <v>271040</v>
      </c>
      <c r="L46">
        <f t="shared" si="1"/>
        <v>121</v>
      </c>
    </row>
    <row r="47" spans="1:12" x14ac:dyDescent="0.25">
      <c r="A47">
        <v>1755</v>
      </c>
      <c r="B47" t="s">
        <v>31</v>
      </c>
      <c r="C47" t="s">
        <v>77</v>
      </c>
      <c r="D47" t="s">
        <v>45</v>
      </c>
      <c r="E47">
        <v>6</v>
      </c>
      <c r="J47">
        <f t="shared" si="0"/>
        <v>13440</v>
      </c>
      <c r="L47">
        <f t="shared" si="1"/>
        <v>6</v>
      </c>
    </row>
    <row r="48" spans="1:12" x14ac:dyDescent="0.25">
      <c r="A48">
        <v>1755</v>
      </c>
      <c r="B48" t="s">
        <v>73</v>
      </c>
      <c r="C48" t="s">
        <v>77</v>
      </c>
      <c r="D48" t="s">
        <v>45</v>
      </c>
      <c r="J48">
        <f t="shared" si="0"/>
        <v>0</v>
      </c>
      <c r="L48">
        <f t="shared" si="1"/>
        <v>0</v>
      </c>
    </row>
    <row r="49" spans="1:12" x14ac:dyDescent="0.25">
      <c r="A49">
        <v>1755</v>
      </c>
      <c r="B49" t="s">
        <v>32</v>
      </c>
      <c r="C49" t="s">
        <v>77</v>
      </c>
      <c r="D49" t="s">
        <v>45</v>
      </c>
      <c r="J49">
        <f t="shared" si="0"/>
        <v>0</v>
      </c>
      <c r="L49">
        <f t="shared" si="1"/>
        <v>0</v>
      </c>
    </row>
    <row r="50" spans="1:12" x14ac:dyDescent="0.25">
      <c r="A50">
        <v>1755</v>
      </c>
      <c r="B50" t="s">
        <v>33</v>
      </c>
      <c r="C50" t="s">
        <v>77</v>
      </c>
      <c r="D50" t="s">
        <v>45</v>
      </c>
      <c r="J50">
        <f t="shared" si="0"/>
        <v>0</v>
      </c>
      <c r="L50">
        <f t="shared" si="1"/>
        <v>0</v>
      </c>
    </row>
    <row r="51" spans="1:12" x14ac:dyDescent="0.25">
      <c r="A51">
        <v>1755</v>
      </c>
      <c r="B51" t="s">
        <v>6</v>
      </c>
      <c r="C51" t="s">
        <v>77</v>
      </c>
      <c r="D51" t="s">
        <v>49</v>
      </c>
      <c r="F51">
        <v>18177</v>
      </c>
      <c r="G51">
        <v>1</v>
      </c>
      <c r="H51">
        <v>7</v>
      </c>
      <c r="J51">
        <f t="shared" si="0"/>
        <v>2035859</v>
      </c>
      <c r="L51">
        <f t="shared" si="1"/>
        <v>908.86562500000002</v>
      </c>
    </row>
    <row r="52" spans="1:12" x14ac:dyDescent="0.25">
      <c r="A52">
        <v>1755</v>
      </c>
      <c r="B52" t="s">
        <v>7</v>
      </c>
      <c r="C52" t="s">
        <v>77</v>
      </c>
      <c r="D52" t="s">
        <v>49</v>
      </c>
      <c r="J52">
        <f t="shared" si="0"/>
        <v>0</v>
      </c>
      <c r="L52">
        <f t="shared" si="1"/>
        <v>0</v>
      </c>
    </row>
    <row r="53" spans="1:12" x14ac:dyDescent="0.25">
      <c r="A53">
        <v>1755</v>
      </c>
      <c r="B53" t="s">
        <v>8</v>
      </c>
      <c r="C53" t="s">
        <v>77</v>
      </c>
      <c r="D53" t="s">
        <v>49</v>
      </c>
      <c r="J53">
        <f t="shared" si="0"/>
        <v>0</v>
      </c>
      <c r="L53">
        <f t="shared" si="1"/>
        <v>0</v>
      </c>
    </row>
    <row r="54" spans="1:12" x14ac:dyDescent="0.25">
      <c r="A54">
        <v>1755</v>
      </c>
      <c r="B54" t="s">
        <v>9</v>
      </c>
      <c r="C54" t="s">
        <v>77</v>
      </c>
      <c r="D54" t="s">
        <v>49</v>
      </c>
      <c r="H54">
        <f>503.5*200</f>
        <v>100700</v>
      </c>
      <c r="I54" t="s">
        <v>160</v>
      </c>
      <c r="J54">
        <f t="shared" si="0"/>
        <v>100700</v>
      </c>
      <c r="L54">
        <f t="shared" si="1"/>
        <v>44.955357142857146</v>
      </c>
    </row>
    <row r="55" spans="1:12" x14ac:dyDescent="0.25">
      <c r="A55">
        <v>1755</v>
      </c>
      <c r="B55" t="s">
        <v>10</v>
      </c>
      <c r="C55" t="s">
        <v>77</v>
      </c>
      <c r="D55" t="s">
        <v>49</v>
      </c>
      <c r="J55">
        <f t="shared" si="0"/>
        <v>0</v>
      </c>
      <c r="L55">
        <f t="shared" si="1"/>
        <v>0</v>
      </c>
    </row>
    <row r="56" spans="1:12" x14ac:dyDescent="0.25">
      <c r="A56">
        <v>1755</v>
      </c>
      <c r="B56" t="s">
        <v>11</v>
      </c>
      <c r="C56" t="s">
        <v>77</v>
      </c>
      <c r="D56" t="s">
        <v>49</v>
      </c>
      <c r="F56">
        <v>300</v>
      </c>
      <c r="G56">
        <v>2</v>
      </c>
      <c r="H56">
        <v>10</v>
      </c>
      <c r="J56">
        <f t="shared" si="0"/>
        <v>33666</v>
      </c>
      <c r="L56">
        <f t="shared" si="1"/>
        <v>15.029464285714285</v>
      </c>
    </row>
    <row r="57" spans="1:12" x14ac:dyDescent="0.25">
      <c r="A57">
        <v>1755</v>
      </c>
      <c r="B57" t="s">
        <v>12</v>
      </c>
      <c r="C57" t="s">
        <v>77</v>
      </c>
      <c r="D57" t="s">
        <v>49</v>
      </c>
      <c r="J57">
        <f t="shared" si="0"/>
        <v>0</v>
      </c>
      <c r="L57">
        <f t="shared" si="1"/>
        <v>0</v>
      </c>
    </row>
    <row r="58" spans="1:12" x14ac:dyDescent="0.25">
      <c r="A58">
        <v>1755</v>
      </c>
      <c r="B58" t="s">
        <v>13</v>
      </c>
      <c r="C58" t="s">
        <v>77</v>
      </c>
      <c r="D58" t="s">
        <v>49</v>
      </c>
      <c r="E58">
        <v>5</v>
      </c>
      <c r="F58">
        <v>10</v>
      </c>
      <c r="G58">
        <v>1</v>
      </c>
      <c r="H58">
        <v>12</v>
      </c>
      <c r="J58">
        <f t="shared" si="0"/>
        <v>12360</v>
      </c>
      <c r="L58">
        <f t="shared" si="1"/>
        <v>5.5178571428571432</v>
      </c>
    </row>
    <row r="59" spans="1:12" x14ac:dyDescent="0.25">
      <c r="A59">
        <v>1755</v>
      </c>
      <c r="B59" t="s">
        <v>14</v>
      </c>
      <c r="C59" t="s">
        <v>77</v>
      </c>
      <c r="D59" t="s">
        <v>49</v>
      </c>
      <c r="J59">
        <f t="shared" si="0"/>
        <v>0</v>
      </c>
      <c r="L59">
        <f t="shared" si="1"/>
        <v>0</v>
      </c>
    </row>
    <row r="60" spans="1:12" x14ac:dyDescent="0.25">
      <c r="A60">
        <v>1755</v>
      </c>
      <c r="B60" t="s">
        <v>28</v>
      </c>
      <c r="C60" t="s">
        <v>77</v>
      </c>
      <c r="D60" t="s">
        <v>49</v>
      </c>
      <c r="H60">
        <v>104237</v>
      </c>
      <c r="I60" t="s">
        <v>159</v>
      </c>
      <c r="J60">
        <f t="shared" si="0"/>
        <v>104237</v>
      </c>
      <c r="L60">
        <f t="shared" si="1"/>
        <v>46.534374999999997</v>
      </c>
    </row>
    <row r="61" spans="1:12" x14ac:dyDescent="0.25">
      <c r="A61">
        <v>1755</v>
      </c>
      <c r="B61" t="s">
        <v>15</v>
      </c>
      <c r="C61" t="s">
        <v>77</v>
      </c>
      <c r="D61" t="s">
        <v>49</v>
      </c>
      <c r="J61">
        <f t="shared" si="0"/>
        <v>0</v>
      </c>
      <c r="L61">
        <f t="shared" si="1"/>
        <v>0</v>
      </c>
    </row>
    <row r="62" spans="1:12" x14ac:dyDescent="0.25">
      <c r="A62">
        <v>1755</v>
      </c>
      <c r="B62" t="s">
        <v>17</v>
      </c>
      <c r="C62" t="s">
        <v>77</v>
      </c>
      <c r="D62" t="s">
        <v>49</v>
      </c>
      <c r="J62">
        <f t="shared" si="0"/>
        <v>0</v>
      </c>
      <c r="L62">
        <f t="shared" si="1"/>
        <v>0</v>
      </c>
    </row>
    <row r="63" spans="1:12" x14ac:dyDescent="0.25">
      <c r="A63">
        <v>1755</v>
      </c>
      <c r="B63" t="s">
        <v>18</v>
      </c>
      <c r="C63" t="s">
        <v>77</v>
      </c>
      <c r="D63" t="s">
        <v>49</v>
      </c>
      <c r="H63">
        <v>37210</v>
      </c>
      <c r="I63" t="s">
        <v>158</v>
      </c>
      <c r="J63">
        <f t="shared" si="0"/>
        <v>37210</v>
      </c>
      <c r="L63">
        <f t="shared" si="1"/>
        <v>16.611607142857142</v>
      </c>
    </row>
    <row r="64" spans="1:12" x14ac:dyDescent="0.25">
      <c r="A64">
        <v>1755</v>
      </c>
      <c r="B64" t="s">
        <v>19</v>
      </c>
      <c r="C64" t="s">
        <v>77</v>
      </c>
      <c r="D64" t="s">
        <v>49</v>
      </c>
      <c r="F64">
        <v>4</v>
      </c>
      <c r="G64">
        <v>3</v>
      </c>
      <c r="H64">
        <v>6</v>
      </c>
      <c r="J64">
        <f t="shared" si="0"/>
        <v>538</v>
      </c>
      <c r="L64">
        <f t="shared" si="1"/>
        <v>0.24017857142857144</v>
      </c>
    </row>
    <row r="65" spans="1:12" x14ac:dyDescent="0.25">
      <c r="A65">
        <v>1755</v>
      </c>
      <c r="B65" t="s">
        <v>20</v>
      </c>
      <c r="C65" t="s">
        <v>77</v>
      </c>
      <c r="D65" t="s">
        <v>49</v>
      </c>
      <c r="H65">
        <v>103</v>
      </c>
      <c r="J65">
        <f t="shared" si="0"/>
        <v>103</v>
      </c>
      <c r="L65">
        <f t="shared" si="1"/>
        <v>4.598214285714286E-2</v>
      </c>
    </row>
    <row r="66" spans="1:12" x14ac:dyDescent="0.25">
      <c r="A66">
        <v>1755</v>
      </c>
      <c r="B66" t="s">
        <v>22</v>
      </c>
      <c r="C66" t="s">
        <v>77</v>
      </c>
      <c r="D66" t="s">
        <v>49</v>
      </c>
      <c r="H66">
        <v>10</v>
      </c>
      <c r="J66">
        <f t="shared" si="0"/>
        <v>10</v>
      </c>
      <c r="L66">
        <f t="shared" si="1"/>
        <v>4.464285714285714E-3</v>
      </c>
    </row>
    <row r="67" spans="1:12" x14ac:dyDescent="0.25">
      <c r="A67">
        <v>1755</v>
      </c>
      <c r="B67" t="s">
        <v>23</v>
      </c>
      <c r="C67" t="s">
        <v>77</v>
      </c>
      <c r="D67" t="s">
        <v>49</v>
      </c>
      <c r="J67">
        <f t="shared" ref="J67:J69" si="2">(E67*2240)+(F67*112)+(G67*28)+H67</f>
        <v>0</v>
      </c>
      <c r="L67">
        <f t="shared" ref="L67:L69" si="3">J67/2240</f>
        <v>0</v>
      </c>
    </row>
    <row r="68" spans="1:12" x14ac:dyDescent="0.25">
      <c r="A68">
        <v>1755</v>
      </c>
      <c r="B68" t="s">
        <v>30</v>
      </c>
      <c r="C68" t="s">
        <v>77</v>
      </c>
      <c r="D68" t="s">
        <v>49</v>
      </c>
      <c r="E68">
        <v>12</v>
      </c>
      <c r="F68">
        <v>16</v>
      </c>
      <c r="G68">
        <v>2</v>
      </c>
      <c r="J68">
        <f t="shared" si="2"/>
        <v>28728</v>
      </c>
      <c r="L68">
        <f t="shared" si="3"/>
        <v>12.824999999999999</v>
      </c>
    </row>
    <row r="69" spans="1:12" x14ac:dyDescent="0.25">
      <c r="A69">
        <v>1755</v>
      </c>
      <c r="B69" t="s">
        <v>32</v>
      </c>
      <c r="C69" t="s">
        <v>77</v>
      </c>
      <c r="D69" t="s">
        <v>49</v>
      </c>
      <c r="F69">
        <v>28</v>
      </c>
      <c r="J69">
        <f t="shared" si="2"/>
        <v>3136</v>
      </c>
      <c r="L69">
        <f t="shared" si="3"/>
        <v>1.4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50BB-2015-4957-B4AE-E068BE690A73}">
  <dimension ref="A1:L70"/>
  <sheetViews>
    <sheetView topLeftCell="A22" workbookViewId="0">
      <selection activeCell="H56" sqref="H5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/>
      <c r="J1" s="1" t="s">
        <v>42</v>
      </c>
      <c r="K1" s="1"/>
      <c r="L1" s="1" t="s">
        <v>43</v>
      </c>
    </row>
    <row r="2" spans="1:12" x14ac:dyDescent="0.25">
      <c r="A2">
        <v>1755</v>
      </c>
      <c r="B2" t="s">
        <v>52</v>
      </c>
      <c r="C2" t="s">
        <v>162</v>
      </c>
      <c r="D2" t="s">
        <v>45</v>
      </c>
      <c r="J2">
        <f>(E2*2240)+(F2*112)+(G2*28)+H2</f>
        <v>0</v>
      </c>
      <c r="L2">
        <f>J2/2240</f>
        <v>0</v>
      </c>
    </row>
    <row r="3" spans="1:12" x14ac:dyDescent="0.25">
      <c r="A3">
        <v>1755</v>
      </c>
      <c r="B3" t="s">
        <v>54</v>
      </c>
      <c r="C3" t="s">
        <v>162</v>
      </c>
      <c r="D3" t="s">
        <v>45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1755</v>
      </c>
      <c r="B4" t="s">
        <v>55</v>
      </c>
      <c r="C4" t="s">
        <v>162</v>
      </c>
      <c r="D4" t="s">
        <v>45</v>
      </c>
      <c r="J4">
        <f t="shared" si="0"/>
        <v>0</v>
      </c>
      <c r="L4">
        <f t="shared" si="1"/>
        <v>0</v>
      </c>
    </row>
    <row r="5" spans="1:12" x14ac:dyDescent="0.25">
      <c r="A5">
        <v>1755</v>
      </c>
      <c r="B5" t="s">
        <v>4</v>
      </c>
      <c r="C5" t="s">
        <v>162</v>
      </c>
      <c r="D5" t="s">
        <v>45</v>
      </c>
      <c r="J5">
        <f t="shared" si="0"/>
        <v>0</v>
      </c>
      <c r="L5">
        <f t="shared" si="1"/>
        <v>0</v>
      </c>
    </row>
    <row r="6" spans="1:12" x14ac:dyDescent="0.25">
      <c r="A6">
        <v>1755</v>
      </c>
      <c r="B6" t="s">
        <v>56</v>
      </c>
      <c r="C6" t="s">
        <v>162</v>
      </c>
      <c r="D6" t="s">
        <v>45</v>
      </c>
      <c r="J6">
        <f t="shared" si="0"/>
        <v>0</v>
      </c>
      <c r="L6">
        <f t="shared" si="1"/>
        <v>0</v>
      </c>
    </row>
    <row r="7" spans="1:12" x14ac:dyDescent="0.25">
      <c r="A7">
        <v>1755</v>
      </c>
      <c r="B7" t="s">
        <v>70</v>
      </c>
      <c r="C7" t="s">
        <v>162</v>
      </c>
      <c r="D7" t="s">
        <v>45</v>
      </c>
      <c r="J7">
        <f t="shared" si="0"/>
        <v>0</v>
      </c>
      <c r="L7">
        <f t="shared" si="1"/>
        <v>0</v>
      </c>
    </row>
    <row r="8" spans="1:12" x14ac:dyDescent="0.25">
      <c r="A8">
        <v>1755</v>
      </c>
      <c r="B8" t="s">
        <v>57</v>
      </c>
      <c r="C8" t="s">
        <v>162</v>
      </c>
      <c r="D8" t="s">
        <v>45</v>
      </c>
      <c r="J8">
        <f t="shared" si="0"/>
        <v>0</v>
      </c>
      <c r="L8">
        <f t="shared" si="1"/>
        <v>0</v>
      </c>
    </row>
    <row r="9" spans="1:12" x14ac:dyDescent="0.25">
      <c r="A9">
        <v>1755</v>
      </c>
      <c r="B9" t="s">
        <v>5</v>
      </c>
      <c r="C9" t="s">
        <v>162</v>
      </c>
      <c r="D9" t="s">
        <v>45</v>
      </c>
      <c r="J9">
        <f t="shared" si="0"/>
        <v>0</v>
      </c>
      <c r="L9">
        <f t="shared" si="1"/>
        <v>0</v>
      </c>
    </row>
    <row r="10" spans="1:12" x14ac:dyDescent="0.25">
      <c r="A10">
        <v>1755</v>
      </c>
      <c r="B10" t="s">
        <v>58</v>
      </c>
      <c r="C10" t="s">
        <v>162</v>
      </c>
      <c r="D10" t="s">
        <v>45</v>
      </c>
      <c r="J10">
        <f t="shared" si="0"/>
        <v>0</v>
      </c>
      <c r="L10">
        <f t="shared" si="1"/>
        <v>0</v>
      </c>
    </row>
    <row r="11" spans="1:12" x14ac:dyDescent="0.25">
      <c r="A11">
        <v>1755</v>
      </c>
      <c r="B11" t="s">
        <v>6</v>
      </c>
      <c r="C11" t="s">
        <v>162</v>
      </c>
      <c r="D11" t="s">
        <v>45</v>
      </c>
      <c r="F11">
        <v>296</v>
      </c>
      <c r="G11">
        <v>2</v>
      </c>
      <c r="H11">
        <v>14</v>
      </c>
      <c r="J11">
        <f t="shared" si="0"/>
        <v>33222</v>
      </c>
      <c r="L11">
        <f t="shared" si="1"/>
        <v>14.831250000000001</v>
      </c>
    </row>
    <row r="12" spans="1:12" x14ac:dyDescent="0.25">
      <c r="A12">
        <v>1755</v>
      </c>
      <c r="B12" t="s">
        <v>59</v>
      </c>
      <c r="C12" t="s">
        <v>162</v>
      </c>
      <c r="D12" t="s">
        <v>45</v>
      </c>
      <c r="J12">
        <f t="shared" si="0"/>
        <v>0</v>
      </c>
      <c r="L12">
        <f t="shared" si="1"/>
        <v>0</v>
      </c>
    </row>
    <row r="13" spans="1:12" x14ac:dyDescent="0.25">
      <c r="A13">
        <v>1755</v>
      </c>
      <c r="B13" t="s">
        <v>60</v>
      </c>
      <c r="C13" t="s">
        <v>162</v>
      </c>
      <c r="D13" t="s">
        <v>45</v>
      </c>
      <c r="J13">
        <f t="shared" si="0"/>
        <v>0</v>
      </c>
      <c r="L13">
        <f t="shared" si="1"/>
        <v>0</v>
      </c>
    </row>
    <row r="14" spans="1:12" x14ac:dyDescent="0.25">
      <c r="A14">
        <v>1755</v>
      </c>
      <c r="B14" t="s">
        <v>61</v>
      </c>
      <c r="C14" t="s">
        <v>162</v>
      </c>
      <c r="D14" t="s">
        <v>45</v>
      </c>
      <c r="J14">
        <f t="shared" si="0"/>
        <v>0</v>
      </c>
      <c r="L14">
        <f t="shared" si="1"/>
        <v>0</v>
      </c>
    </row>
    <row r="15" spans="1:12" x14ac:dyDescent="0.25">
      <c r="A15">
        <v>1755</v>
      </c>
      <c r="B15" t="s">
        <v>8</v>
      </c>
      <c r="C15" t="s">
        <v>162</v>
      </c>
      <c r="D15" t="s">
        <v>45</v>
      </c>
      <c r="J15">
        <f t="shared" si="0"/>
        <v>0</v>
      </c>
      <c r="L15">
        <f t="shared" si="1"/>
        <v>0</v>
      </c>
    </row>
    <row r="16" spans="1:12" x14ac:dyDescent="0.25">
      <c r="A16">
        <v>1755</v>
      </c>
      <c r="B16" t="s">
        <v>62</v>
      </c>
      <c r="C16" t="s">
        <v>162</v>
      </c>
      <c r="D16" t="s">
        <v>45</v>
      </c>
      <c r="J16">
        <f t="shared" si="0"/>
        <v>0</v>
      </c>
      <c r="L16">
        <f t="shared" si="1"/>
        <v>0</v>
      </c>
    </row>
    <row r="17" spans="1:12" x14ac:dyDescent="0.25">
      <c r="A17">
        <v>1755</v>
      </c>
      <c r="B17" t="s">
        <v>115</v>
      </c>
      <c r="C17" t="s">
        <v>162</v>
      </c>
      <c r="D17" t="s">
        <v>45</v>
      </c>
      <c r="J17">
        <f t="shared" si="0"/>
        <v>0</v>
      </c>
      <c r="L17">
        <f t="shared" si="1"/>
        <v>0</v>
      </c>
    </row>
    <row r="18" spans="1:12" x14ac:dyDescent="0.25">
      <c r="A18">
        <v>1755</v>
      </c>
      <c r="B18" t="s">
        <v>71</v>
      </c>
      <c r="C18" t="s">
        <v>162</v>
      </c>
      <c r="D18" t="s">
        <v>45</v>
      </c>
      <c r="J18">
        <f t="shared" si="0"/>
        <v>0</v>
      </c>
      <c r="L18">
        <f t="shared" si="1"/>
        <v>0</v>
      </c>
    </row>
    <row r="19" spans="1:12" x14ac:dyDescent="0.25">
      <c r="A19">
        <v>1755</v>
      </c>
      <c r="B19" t="s">
        <v>9</v>
      </c>
      <c r="C19" t="s">
        <v>162</v>
      </c>
      <c r="D19" t="s">
        <v>45</v>
      </c>
      <c r="H19">
        <f>5*200</f>
        <v>1000</v>
      </c>
      <c r="I19" t="s">
        <v>165</v>
      </c>
      <c r="J19">
        <f t="shared" si="0"/>
        <v>1000</v>
      </c>
      <c r="L19">
        <f t="shared" si="1"/>
        <v>0.44642857142857145</v>
      </c>
    </row>
    <row r="20" spans="1:12" x14ac:dyDescent="0.25">
      <c r="A20">
        <v>1755</v>
      </c>
      <c r="B20" t="s">
        <v>10</v>
      </c>
      <c r="C20" t="s">
        <v>162</v>
      </c>
      <c r="D20" t="s">
        <v>45</v>
      </c>
      <c r="J20">
        <f t="shared" si="0"/>
        <v>0</v>
      </c>
      <c r="L20">
        <f t="shared" si="1"/>
        <v>0</v>
      </c>
    </row>
    <row r="21" spans="1:12" x14ac:dyDescent="0.25">
      <c r="A21">
        <v>1755</v>
      </c>
      <c r="B21" t="s">
        <v>11</v>
      </c>
      <c r="C21" t="s">
        <v>162</v>
      </c>
      <c r="D21" t="s">
        <v>45</v>
      </c>
      <c r="J21">
        <f t="shared" si="0"/>
        <v>0</v>
      </c>
      <c r="L21">
        <f t="shared" si="1"/>
        <v>0</v>
      </c>
    </row>
    <row r="22" spans="1:12" x14ac:dyDescent="0.25">
      <c r="A22">
        <v>1755</v>
      </c>
      <c r="B22" t="s">
        <v>46</v>
      </c>
      <c r="C22" t="s">
        <v>162</v>
      </c>
      <c r="D22" t="s">
        <v>45</v>
      </c>
      <c r="J22">
        <f t="shared" si="0"/>
        <v>0</v>
      </c>
      <c r="L22">
        <f t="shared" si="1"/>
        <v>0</v>
      </c>
    </row>
    <row r="23" spans="1:12" x14ac:dyDescent="0.25">
      <c r="A23">
        <v>1755</v>
      </c>
      <c r="B23" t="s">
        <v>63</v>
      </c>
      <c r="C23" t="s">
        <v>162</v>
      </c>
      <c r="D23" t="s">
        <v>45</v>
      </c>
      <c r="J23">
        <f t="shared" si="0"/>
        <v>0</v>
      </c>
      <c r="L23">
        <f t="shared" si="1"/>
        <v>0</v>
      </c>
    </row>
    <row r="24" spans="1:12" x14ac:dyDescent="0.25">
      <c r="A24">
        <v>1755</v>
      </c>
      <c r="B24" t="s">
        <v>12</v>
      </c>
      <c r="C24" t="s">
        <v>162</v>
      </c>
      <c r="D24" t="s">
        <v>45</v>
      </c>
      <c r="J24">
        <f t="shared" si="0"/>
        <v>0</v>
      </c>
      <c r="L24">
        <f t="shared" si="1"/>
        <v>0</v>
      </c>
    </row>
    <row r="25" spans="1:12" x14ac:dyDescent="0.25">
      <c r="A25">
        <v>1755</v>
      </c>
      <c r="B25" t="s">
        <v>47</v>
      </c>
      <c r="C25" t="s">
        <v>162</v>
      </c>
      <c r="D25" t="s">
        <v>45</v>
      </c>
      <c r="J25">
        <f t="shared" si="0"/>
        <v>0</v>
      </c>
      <c r="L25">
        <f t="shared" si="1"/>
        <v>0</v>
      </c>
    </row>
    <row r="26" spans="1:12" x14ac:dyDescent="0.25">
      <c r="A26">
        <v>1755</v>
      </c>
      <c r="B26" t="s">
        <v>13</v>
      </c>
      <c r="C26" t="s">
        <v>162</v>
      </c>
      <c r="D26" t="s">
        <v>45</v>
      </c>
      <c r="J26">
        <f t="shared" si="0"/>
        <v>0</v>
      </c>
      <c r="L26">
        <f t="shared" si="1"/>
        <v>0</v>
      </c>
    </row>
    <row r="27" spans="1:12" x14ac:dyDescent="0.25">
      <c r="A27">
        <v>1755</v>
      </c>
      <c r="B27" t="s">
        <v>14</v>
      </c>
      <c r="C27" t="s">
        <v>162</v>
      </c>
      <c r="D27" t="s">
        <v>45</v>
      </c>
      <c r="J27">
        <f t="shared" si="0"/>
        <v>0</v>
      </c>
      <c r="L27">
        <f t="shared" si="1"/>
        <v>0</v>
      </c>
    </row>
    <row r="28" spans="1:12" x14ac:dyDescent="0.25">
      <c r="A28">
        <v>1755</v>
      </c>
      <c r="B28" t="s">
        <v>24</v>
      </c>
      <c r="C28" t="s">
        <v>162</v>
      </c>
      <c r="D28" t="s">
        <v>45</v>
      </c>
      <c r="J28">
        <f t="shared" si="0"/>
        <v>0</v>
      </c>
      <c r="L28">
        <f t="shared" si="1"/>
        <v>0</v>
      </c>
    </row>
    <row r="29" spans="1:12" x14ac:dyDescent="0.25">
      <c r="A29">
        <v>1755</v>
      </c>
      <c r="B29" t="s">
        <v>28</v>
      </c>
      <c r="C29" t="s">
        <v>162</v>
      </c>
      <c r="D29" t="s">
        <v>45</v>
      </c>
      <c r="J29">
        <f t="shared" si="0"/>
        <v>0</v>
      </c>
      <c r="L29">
        <f t="shared" si="1"/>
        <v>0</v>
      </c>
    </row>
    <row r="30" spans="1:12" x14ac:dyDescent="0.25">
      <c r="A30">
        <v>1755</v>
      </c>
      <c r="B30" t="s">
        <v>15</v>
      </c>
      <c r="C30" t="s">
        <v>162</v>
      </c>
      <c r="D30" t="s">
        <v>45</v>
      </c>
      <c r="J30">
        <f t="shared" si="0"/>
        <v>0</v>
      </c>
      <c r="L30">
        <f t="shared" si="1"/>
        <v>0</v>
      </c>
    </row>
    <row r="31" spans="1:12" x14ac:dyDescent="0.25">
      <c r="A31">
        <v>1755</v>
      </c>
      <c r="B31" t="s">
        <v>64</v>
      </c>
      <c r="C31" t="s">
        <v>162</v>
      </c>
      <c r="D31" t="s">
        <v>45</v>
      </c>
      <c r="J31">
        <f t="shared" si="0"/>
        <v>0</v>
      </c>
      <c r="L31">
        <f t="shared" si="1"/>
        <v>0</v>
      </c>
    </row>
    <row r="32" spans="1:12" x14ac:dyDescent="0.25">
      <c r="A32">
        <v>1755</v>
      </c>
      <c r="B32" t="s">
        <v>48</v>
      </c>
      <c r="C32" t="s">
        <v>162</v>
      </c>
      <c r="D32" t="s">
        <v>45</v>
      </c>
      <c r="J32">
        <f t="shared" si="0"/>
        <v>0</v>
      </c>
      <c r="L32">
        <f t="shared" si="1"/>
        <v>0</v>
      </c>
    </row>
    <row r="33" spans="1:12" x14ac:dyDescent="0.25">
      <c r="A33">
        <v>1755</v>
      </c>
      <c r="B33" t="s">
        <v>16</v>
      </c>
      <c r="C33" t="s">
        <v>162</v>
      </c>
      <c r="D33" t="s">
        <v>45</v>
      </c>
      <c r="J33">
        <f t="shared" si="0"/>
        <v>0</v>
      </c>
      <c r="L33">
        <f t="shared" si="1"/>
        <v>0</v>
      </c>
    </row>
    <row r="34" spans="1:12" x14ac:dyDescent="0.25">
      <c r="A34">
        <v>1755</v>
      </c>
      <c r="B34" t="s">
        <v>119</v>
      </c>
      <c r="C34" t="s">
        <v>162</v>
      </c>
      <c r="D34" t="s">
        <v>45</v>
      </c>
      <c r="J34">
        <f t="shared" si="0"/>
        <v>0</v>
      </c>
      <c r="L34">
        <f t="shared" si="1"/>
        <v>0</v>
      </c>
    </row>
    <row r="35" spans="1:12" x14ac:dyDescent="0.25">
      <c r="A35">
        <v>1755</v>
      </c>
      <c r="B35" t="s">
        <v>17</v>
      </c>
      <c r="C35" t="s">
        <v>162</v>
      </c>
      <c r="D35" t="s">
        <v>45</v>
      </c>
      <c r="J35">
        <f t="shared" si="0"/>
        <v>0</v>
      </c>
      <c r="L35">
        <f t="shared" si="1"/>
        <v>0</v>
      </c>
    </row>
    <row r="36" spans="1:12" x14ac:dyDescent="0.25">
      <c r="A36">
        <v>1755</v>
      </c>
      <c r="B36" t="s">
        <v>18</v>
      </c>
      <c r="C36" t="s">
        <v>162</v>
      </c>
      <c r="D36" t="s">
        <v>45</v>
      </c>
      <c r="J36">
        <f t="shared" si="0"/>
        <v>0</v>
      </c>
      <c r="L36">
        <f t="shared" si="1"/>
        <v>0</v>
      </c>
    </row>
    <row r="37" spans="1:12" x14ac:dyDescent="0.25">
      <c r="A37">
        <v>1755</v>
      </c>
      <c r="B37" t="s">
        <v>72</v>
      </c>
      <c r="C37" t="s">
        <v>162</v>
      </c>
      <c r="D37" t="s">
        <v>45</v>
      </c>
      <c r="J37">
        <f t="shared" si="0"/>
        <v>0</v>
      </c>
      <c r="L37">
        <f t="shared" si="1"/>
        <v>0</v>
      </c>
    </row>
    <row r="38" spans="1:12" x14ac:dyDescent="0.25">
      <c r="A38">
        <v>1755</v>
      </c>
      <c r="B38" t="s">
        <v>19</v>
      </c>
      <c r="C38" t="s">
        <v>162</v>
      </c>
      <c r="D38" t="s">
        <v>45</v>
      </c>
      <c r="J38">
        <f t="shared" si="0"/>
        <v>0</v>
      </c>
      <c r="L38">
        <f t="shared" si="1"/>
        <v>0</v>
      </c>
    </row>
    <row r="39" spans="1:12" x14ac:dyDescent="0.25">
      <c r="A39">
        <v>1755</v>
      </c>
      <c r="B39" t="s">
        <v>65</v>
      </c>
      <c r="C39" t="s">
        <v>162</v>
      </c>
      <c r="D39" t="s">
        <v>45</v>
      </c>
      <c r="J39">
        <f t="shared" si="0"/>
        <v>0</v>
      </c>
      <c r="L39">
        <f t="shared" si="1"/>
        <v>0</v>
      </c>
    </row>
    <row r="40" spans="1:12" x14ac:dyDescent="0.25">
      <c r="A40">
        <v>1755</v>
      </c>
      <c r="B40" t="s">
        <v>20</v>
      </c>
      <c r="C40" t="s">
        <v>162</v>
      </c>
      <c r="D40" t="s">
        <v>45</v>
      </c>
      <c r="J40">
        <f t="shared" si="0"/>
        <v>0</v>
      </c>
      <c r="L40">
        <f t="shared" si="1"/>
        <v>0</v>
      </c>
    </row>
    <row r="41" spans="1:12" x14ac:dyDescent="0.25">
      <c r="A41">
        <v>1755</v>
      </c>
      <c r="B41" t="s">
        <v>85</v>
      </c>
      <c r="C41" t="s">
        <v>162</v>
      </c>
      <c r="D41" t="s">
        <v>45</v>
      </c>
      <c r="J41">
        <f t="shared" si="0"/>
        <v>0</v>
      </c>
      <c r="L41">
        <f t="shared" si="1"/>
        <v>0</v>
      </c>
    </row>
    <row r="42" spans="1:12" x14ac:dyDescent="0.25">
      <c r="A42">
        <v>1755</v>
      </c>
      <c r="B42" t="s">
        <v>21</v>
      </c>
      <c r="C42" t="s">
        <v>162</v>
      </c>
      <c r="D42" t="s">
        <v>45</v>
      </c>
      <c r="J42">
        <f t="shared" si="0"/>
        <v>0</v>
      </c>
      <c r="L42">
        <f t="shared" si="1"/>
        <v>0</v>
      </c>
    </row>
    <row r="43" spans="1:12" x14ac:dyDescent="0.25">
      <c r="A43">
        <v>1755</v>
      </c>
      <c r="B43" t="s">
        <v>22</v>
      </c>
      <c r="C43" t="s">
        <v>162</v>
      </c>
      <c r="D43" t="s">
        <v>45</v>
      </c>
      <c r="J43">
        <f t="shared" si="0"/>
        <v>0</v>
      </c>
      <c r="L43">
        <f t="shared" si="1"/>
        <v>0</v>
      </c>
    </row>
    <row r="44" spans="1:12" x14ac:dyDescent="0.25">
      <c r="A44">
        <v>1755</v>
      </c>
      <c r="B44" t="s">
        <v>23</v>
      </c>
      <c r="C44" t="s">
        <v>162</v>
      </c>
      <c r="D44" t="s">
        <v>45</v>
      </c>
      <c r="J44">
        <f t="shared" si="0"/>
        <v>0</v>
      </c>
      <c r="L44">
        <f t="shared" si="1"/>
        <v>0</v>
      </c>
    </row>
    <row r="45" spans="1:12" x14ac:dyDescent="0.25">
      <c r="A45">
        <v>1755</v>
      </c>
      <c r="B45" t="s">
        <v>29</v>
      </c>
      <c r="C45" t="s">
        <v>162</v>
      </c>
      <c r="D45" t="s">
        <v>45</v>
      </c>
      <c r="J45">
        <f t="shared" si="0"/>
        <v>0</v>
      </c>
      <c r="L45">
        <f t="shared" si="1"/>
        <v>0</v>
      </c>
    </row>
    <row r="46" spans="1:12" x14ac:dyDescent="0.25">
      <c r="A46">
        <v>1755</v>
      </c>
      <c r="B46" t="s">
        <v>30</v>
      </c>
      <c r="C46" t="s">
        <v>162</v>
      </c>
      <c r="D46" t="s">
        <v>45</v>
      </c>
      <c r="J46">
        <f t="shared" si="0"/>
        <v>0</v>
      </c>
      <c r="L46">
        <f t="shared" si="1"/>
        <v>0</v>
      </c>
    </row>
    <row r="47" spans="1:12" x14ac:dyDescent="0.25">
      <c r="A47">
        <v>1755</v>
      </c>
      <c r="B47" t="s">
        <v>31</v>
      </c>
      <c r="C47" t="s">
        <v>162</v>
      </c>
      <c r="D47" t="s">
        <v>45</v>
      </c>
      <c r="J47">
        <f t="shared" si="0"/>
        <v>0</v>
      </c>
      <c r="L47">
        <f t="shared" si="1"/>
        <v>0</v>
      </c>
    </row>
    <row r="48" spans="1:12" x14ac:dyDescent="0.25">
      <c r="A48">
        <v>1755</v>
      </c>
      <c r="B48" t="s">
        <v>73</v>
      </c>
      <c r="C48" t="s">
        <v>162</v>
      </c>
      <c r="D48" t="s">
        <v>45</v>
      </c>
      <c r="J48">
        <f t="shared" si="0"/>
        <v>0</v>
      </c>
      <c r="L48">
        <f t="shared" si="1"/>
        <v>0</v>
      </c>
    </row>
    <row r="49" spans="1:12" x14ac:dyDescent="0.25">
      <c r="A49">
        <v>1755</v>
      </c>
      <c r="B49" t="s">
        <v>32</v>
      </c>
      <c r="C49" t="s">
        <v>162</v>
      </c>
      <c r="D49" t="s">
        <v>45</v>
      </c>
      <c r="J49">
        <f t="shared" si="0"/>
        <v>0</v>
      </c>
      <c r="L49">
        <f t="shared" si="1"/>
        <v>0</v>
      </c>
    </row>
    <row r="50" spans="1:12" x14ac:dyDescent="0.25">
      <c r="A50">
        <v>1755</v>
      </c>
      <c r="B50" t="s">
        <v>33</v>
      </c>
      <c r="C50" t="s">
        <v>162</v>
      </c>
      <c r="D50" t="s">
        <v>45</v>
      </c>
      <c r="J50">
        <f t="shared" si="0"/>
        <v>0</v>
      </c>
      <c r="L50">
        <f t="shared" si="1"/>
        <v>0</v>
      </c>
    </row>
    <row r="51" spans="1:12" x14ac:dyDescent="0.25">
      <c r="A51">
        <v>1755</v>
      </c>
      <c r="B51" t="s">
        <v>5</v>
      </c>
      <c r="C51" t="s">
        <v>162</v>
      </c>
      <c r="D51" t="s">
        <v>49</v>
      </c>
      <c r="F51">
        <v>4</v>
      </c>
      <c r="G51">
        <v>1</v>
      </c>
      <c r="H51">
        <v>21</v>
      </c>
      <c r="J51">
        <f t="shared" si="0"/>
        <v>497</v>
      </c>
      <c r="L51">
        <f t="shared" si="1"/>
        <v>0.22187499999999999</v>
      </c>
    </row>
    <row r="52" spans="1:12" x14ac:dyDescent="0.25">
      <c r="A52">
        <v>1755</v>
      </c>
      <c r="B52" t="s">
        <v>6</v>
      </c>
      <c r="C52" t="s">
        <v>162</v>
      </c>
      <c r="D52" t="s">
        <v>49</v>
      </c>
      <c r="F52">
        <v>3716</v>
      </c>
      <c r="J52">
        <f t="shared" si="0"/>
        <v>416192</v>
      </c>
      <c r="L52">
        <f t="shared" si="1"/>
        <v>185.8</v>
      </c>
    </row>
    <row r="53" spans="1:12" x14ac:dyDescent="0.25">
      <c r="A53">
        <v>1755</v>
      </c>
      <c r="B53" t="s">
        <v>7</v>
      </c>
      <c r="C53" t="s">
        <v>162</v>
      </c>
      <c r="D53" t="s">
        <v>49</v>
      </c>
      <c r="J53">
        <f t="shared" si="0"/>
        <v>0</v>
      </c>
      <c r="L53">
        <f t="shared" si="1"/>
        <v>0</v>
      </c>
    </row>
    <row r="54" spans="1:12" x14ac:dyDescent="0.25">
      <c r="A54">
        <v>1755</v>
      </c>
      <c r="B54" t="s">
        <v>8</v>
      </c>
      <c r="C54" t="s">
        <v>162</v>
      </c>
      <c r="D54" t="s">
        <v>49</v>
      </c>
      <c r="J54">
        <f t="shared" si="0"/>
        <v>0</v>
      </c>
      <c r="L54">
        <f t="shared" si="1"/>
        <v>0</v>
      </c>
    </row>
    <row r="55" spans="1:12" x14ac:dyDescent="0.25">
      <c r="A55">
        <v>1755</v>
      </c>
      <c r="B55" t="s">
        <v>9</v>
      </c>
      <c r="C55" t="s">
        <v>162</v>
      </c>
      <c r="D55" t="s">
        <v>49</v>
      </c>
      <c r="H55">
        <f>1800.75*200</f>
        <v>360150</v>
      </c>
      <c r="I55" t="s">
        <v>164</v>
      </c>
      <c r="J55">
        <f>(E55*2240)+(F55*112)+(G55*28)+H55</f>
        <v>360150</v>
      </c>
      <c r="L55">
        <f t="shared" si="1"/>
        <v>160.78125</v>
      </c>
    </row>
    <row r="56" spans="1:12" x14ac:dyDescent="0.25">
      <c r="A56">
        <v>1755</v>
      </c>
      <c r="B56" t="s">
        <v>10</v>
      </c>
      <c r="C56" t="s">
        <v>162</v>
      </c>
      <c r="D56" t="s">
        <v>49</v>
      </c>
      <c r="F56">
        <v>7</v>
      </c>
      <c r="G56">
        <v>3</v>
      </c>
      <c r="H56">
        <v>26</v>
      </c>
      <c r="J56">
        <f>(E56*2240)+(F56*112)+(G56*28)+H56</f>
        <v>894</v>
      </c>
      <c r="L56">
        <f t="shared" si="1"/>
        <v>0.39910714285714288</v>
      </c>
    </row>
    <row r="57" spans="1:12" x14ac:dyDescent="0.25">
      <c r="A57">
        <v>1755</v>
      </c>
      <c r="B57" t="s">
        <v>11</v>
      </c>
      <c r="C57" t="s">
        <v>162</v>
      </c>
      <c r="D57" t="s">
        <v>49</v>
      </c>
      <c r="J57">
        <f t="shared" si="0"/>
        <v>0</v>
      </c>
      <c r="L57">
        <f t="shared" si="1"/>
        <v>0</v>
      </c>
    </row>
    <row r="58" spans="1:12" x14ac:dyDescent="0.25">
      <c r="A58">
        <v>1755</v>
      </c>
      <c r="B58" t="s">
        <v>12</v>
      </c>
      <c r="C58" t="s">
        <v>162</v>
      </c>
      <c r="D58" t="s">
        <v>49</v>
      </c>
      <c r="J58">
        <f t="shared" si="0"/>
        <v>0</v>
      </c>
      <c r="L58">
        <f t="shared" si="1"/>
        <v>0</v>
      </c>
    </row>
    <row r="59" spans="1:12" x14ac:dyDescent="0.25">
      <c r="A59">
        <v>1755</v>
      </c>
      <c r="B59" t="s">
        <v>13</v>
      </c>
      <c r="C59" t="s">
        <v>162</v>
      </c>
      <c r="D59" t="s">
        <v>49</v>
      </c>
      <c r="E59">
        <v>28</v>
      </c>
      <c r="F59">
        <v>11</v>
      </c>
      <c r="H59">
        <v>4</v>
      </c>
      <c r="J59">
        <f t="shared" si="0"/>
        <v>63956</v>
      </c>
      <c r="L59">
        <f t="shared" si="1"/>
        <v>28.551785714285714</v>
      </c>
    </row>
    <row r="60" spans="1:12" x14ac:dyDescent="0.25">
      <c r="A60">
        <v>1755</v>
      </c>
      <c r="B60" t="s">
        <v>14</v>
      </c>
      <c r="C60" t="s">
        <v>162</v>
      </c>
      <c r="D60" t="s">
        <v>49</v>
      </c>
      <c r="J60">
        <f t="shared" si="0"/>
        <v>0</v>
      </c>
      <c r="L60">
        <f t="shared" si="1"/>
        <v>0</v>
      </c>
    </row>
    <row r="61" spans="1:12" x14ac:dyDescent="0.25">
      <c r="A61">
        <v>1755</v>
      </c>
      <c r="B61" t="s">
        <v>28</v>
      </c>
      <c r="C61" t="s">
        <v>162</v>
      </c>
      <c r="D61" t="s">
        <v>49</v>
      </c>
      <c r="H61">
        <v>520</v>
      </c>
      <c r="I61" t="s">
        <v>163</v>
      </c>
      <c r="J61">
        <f t="shared" si="0"/>
        <v>520</v>
      </c>
      <c r="L61">
        <f t="shared" si="1"/>
        <v>0.23214285714285715</v>
      </c>
    </row>
    <row r="62" spans="1:12" x14ac:dyDescent="0.25">
      <c r="A62">
        <v>1755</v>
      </c>
      <c r="B62" t="s">
        <v>15</v>
      </c>
      <c r="C62" t="s">
        <v>162</v>
      </c>
      <c r="D62" t="s">
        <v>49</v>
      </c>
      <c r="J62">
        <f t="shared" si="0"/>
        <v>0</v>
      </c>
      <c r="L62">
        <f t="shared" si="1"/>
        <v>0</v>
      </c>
    </row>
    <row r="63" spans="1:12" x14ac:dyDescent="0.25">
      <c r="A63">
        <v>1755</v>
      </c>
      <c r="B63" t="s">
        <v>17</v>
      </c>
      <c r="C63" t="s">
        <v>162</v>
      </c>
      <c r="D63" t="s">
        <v>49</v>
      </c>
      <c r="J63">
        <f t="shared" si="0"/>
        <v>0</v>
      </c>
      <c r="L63">
        <f t="shared" si="1"/>
        <v>0</v>
      </c>
    </row>
    <row r="64" spans="1:12" x14ac:dyDescent="0.25">
      <c r="A64">
        <v>1755</v>
      </c>
      <c r="B64" t="s">
        <v>18</v>
      </c>
      <c r="C64" t="s">
        <v>162</v>
      </c>
      <c r="D64" t="s">
        <v>49</v>
      </c>
      <c r="H64">
        <v>340</v>
      </c>
      <c r="I64" t="s">
        <v>161</v>
      </c>
      <c r="J64">
        <f t="shared" si="0"/>
        <v>340</v>
      </c>
      <c r="L64">
        <f t="shared" si="1"/>
        <v>0.15178571428571427</v>
      </c>
    </row>
    <row r="65" spans="1:12" x14ac:dyDescent="0.25">
      <c r="A65">
        <v>1755</v>
      </c>
      <c r="B65" t="s">
        <v>19</v>
      </c>
      <c r="C65" t="s">
        <v>162</v>
      </c>
      <c r="D65" t="s">
        <v>49</v>
      </c>
      <c r="J65">
        <f t="shared" si="0"/>
        <v>0</v>
      </c>
      <c r="L65">
        <f t="shared" si="1"/>
        <v>0</v>
      </c>
    </row>
    <row r="66" spans="1:12" x14ac:dyDescent="0.25">
      <c r="A66">
        <v>1755</v>
      </c>
      <c r="B66" t="s">
        <v>20</v>
      </c>
      <c r="C66" t="s">
        <v>162</v>
      </c>
      <c r="D66" t="s">
        <v>49</v>
      </c>
      <c r="J66">
        <f t="shared" si="0"/>
        <v>0</v>
      </c>
      <c r="L66">
        <f t="shared" si="1"/>
        <v>0</v>
      </c>
    </row>
    <row r="67" spans="1:12" x14ac:dyDescent="0.25">
      <c r="A67">
        <v>1755</v>
      </c>
      <c r="B67" t="s">
        <v>22</v>
      </c>
      <c r="C67" t="s">
        <v>162</v>
      </c>
      <c r="D67" t="s">
        <v>49</v>
      </c>
      <c r="H67">
        <v>31</v>
      </c>
      <c r="J67">
        <f t="shared" si="0"/>
        <v>31</v>
      </c>
      <c r="L67">
        <f t="shared" si="1"/>
        <v>1.3839285714285714E-2</v>
      </c>
    </row>
    <row r="68" spans="1:12" x14ac:dyDescent="0.25">
      <c r="A68">
        <v>1755</v>
      </c>
      <c r="B68" t="s">
        <v>23</v>
      </c>
      <c r="C68" t="s">
        <v>162</v>
      </c>
      <c r="D68" t="s">
        <v>49</v>
      </c>
      <c r="J68">
        <f t="shared" ref="J68:J70" si="2">(E68*2240)+(F68*112)+(G68*28)+H68</f>
        <v>0</v>
      </c>
      <c r="L68">
        <f t="shared" ref="L68:L70" si="3">J68/2240</f>
        <v>0</v>
      </c>
    </row>
    <row r="69" spans="1:12" x14ac:dyDescent="0.25">
      <c r="A69">
        <v>1755</v>
      </c>
      <c r="B69" t="s">
        <v>30</v>
      </c>
      <c r="C69" t="s">
        <v>162</v>
      </c>
      <c r="D69" t="s">
        <v>49</v>
      </c>
      <c r="E69">
        <v>97</v>
      </c>
      <c r="F69">
        <v>10</v>
      </c>
      <c r="G69">
        <v>3</v>
      </c>
      <c r="J69">
        <f t="shared" si="2"/>
        <v>218484</v>
      </c>
      <c r="L69">
        <f t="shared" si="3"/>
        <v>97.537499999999994</v>
      </c>
    </row>
    <row r="70" spans="1:12" x14ac:dyDescent="0.25">
      <c r="A70">
        <v>1755</v>
      </c>
      <c r="B70" t="s">
        <v>32</v>
      </c>
      <c r="C70" t="s">
        <v>162</v>
      </c>
      <c r="D70" t="s">
        <v>49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2025-03-14T19:46:18Z</dcterms:created>
  <dcterms:modified xsi:type="dcterms:W3CDTF">2025-04-29T19:32:09Z</dcterms:modified>
</cp:coreProperties>
</file>