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530" documentId="8_{E1B83F32-C5F9-4F0E-95EC-DECA34B20CCA}" xr6:coauthVersionLast="47" xr6:coauthVersionMax="47" xr10:uidLastSave="{A423594C-7FA8-44AC-8C88-944F2E84F4E0}"/>
  <bookViews>
    <workbookView xWindow="28680" yWindow="228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  <sheet name="WestIndiesGeneral" sheetId="11" r:id="rId11"/>
  </sheets>
  <definedNames>
    <definedName name="_xlnm._FilterDatabase" localSheetId="3" hidden="1">Barbados!$A$1:$N$57</definedName>
    <definedName name="_xlnm._FilterDatabase" localSheetId="5" hidden="1">Jamaica!$A$1:$O$63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6" i="11" l="1"/>
  <c r="H84" i="8"/>
  <c r="H83" i="7"/>
  <c r="H84" i="6"/>
  <c r="H88" i="5"/>
  <c r="H71" i="3"/>
  <c r="L59" i="3"/>
  <c r="J59" i="3"/>
  <c r="J70" i="3"/>
  <c r="L70" i="3" s="1"/>
  <c r="H88" i="2"/>
  <c r="L8" i="11"/>
  <c r="J8" i="11"/>
  <c r="H22" i="8"/>
  <c r="L42" i="8"/>
  <c r="J42" i="8"/>
  <c r="H22" i="7"/>
  <c r="H22" i="6"/>
  <c r="L55" i="6"/>
  <c r="J55" i="6"/>
  <c r="H24" i="5"/>
  <c r="H33" i="5"/>
  <c r="L30" i="5"/>
  <c r="J30" i="5"/>
  <c r="J8" i="5"/>
  <c r="L8" i="5" s="1"/>
  <c r="H20" i="3"/>
  <c r="J20" i="3" s="1"/>
  <c r="L20" i="3" s="1"/>
  <c r="J48" i="3"/>
  <c r="L48" i="3" s="1"/>
  <c r="J45" i="3"/>
  <c r="L45" i="3" s="1"/>
  <c r="J7" i="3"/>
  <c r="L7" i="3" s="1"/>
  <c r="J18" i="3"/>
  <c r="L18" i="3" s="1"/>
  <c r="H24" i="2"/>
  <c r="L56" i="2"/>
  <c r="J56" i="2"/>
  <c r="J39" i="2"/>
  <c r="L39" i="2" s="1"/>
  <c r="J40" i="2"/>
  <c r="L40" i="2" s="1"/>
  <c r="J41" i="2"/>
  <c r="L41" i="2" s="1"/>
  <c r="J42" i="2"/>
  <c r="L42" i="2" s="1"/>
  <c r="J43" i="2"/>
  <c r="L43" i="2" s="1"/>
  <c r="J44" i="2"/>
  <c r="L44" i="2" s="1"/>
  <c r="J45" i="2"/>
  <c r="L45" i="2" s="1"/>
  <c r="J46" i="2"/>
  <c r="L46" i="2" s="1"/>
  <c r="J47" i="2"/>
  <c r="L47" i="2" s="1"/>
  <c r="J48" i="2"/>
  <c r="L48" i="2" s="1"/>
  <c r="J49" i="2"/>
  <c r="L49" i="2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7" i="2"/>
  <c r="L57" i="2" s="1"/>
  <c r="J58" i="2"/>
  <c r="L58" i="2" s="1"/>
  <c r="J8" i="2"/>
  <c r="L8" i="2" s="1"/>
  <c r="J120" i="2"/>
  <c r="L120" i="2" s="1"/>
  <c r="J74" i="2"/>
  <c r="L74" i="2" s="1"/>
  <c r="J120" i="5"/>
  <c r="L120" i="5" s="1"/>
  <c r="J74" i="5"/>
  <c r="L74" i="5" s="1"/>
  <c r="J88" i="3"/>
  <c r="L88" i="3" s="1"/>
  <c r="J121" i="2"/>
  <c r="L121" i="2" s="1"/>
  <c r="J55" i="11"/>
  <c r="L55" i="11" s="1"/>
  <c r="J11" i="11"/>
  <c r="L11" i="11" s="1"/>
  <c r="J56" i="5"/>
  <c r="L56" i="5" s="1"/>
  <c r="J9" i="5"/>
  <c r="L9" i="5" s="1"/>
  <c r="J14" i="4"/>
  <c r="L14" i="4" s="1"/>
  <c r="J16" i="4"/>
  <c r="L16" i="4" s="1"/>
  <c r="J12" i="4"/>
  <c r="L12" i="4" s="1"/>
  <c r="J9" i="4"/>
  <c r="L9" i="4" s="1"/>
  <c r="J6" i="4"/>
  <c r="L6" i="4" s="1"/>
  <c r="J24" i="3"/>
  <c r="L24" i="3" s="1"/>
  <c r="J30" i="2"/>
  <c r="L30" i="2" s="1"/>
  <c r="J9" i="2"/>
  <c r="L9" i="2" s="1"/>
  <c r="C23" i="1"/>
  <c r="C24" i="1"/>
  <c r="B23" i="1"/>
  <c r="B24" i="1"/>
  <c r="J129" i="11"/>
  <c r="L129" i="11" s="1"/>
  <c r="J128" i="11"/>
  <c r="L128" i="11" s="1"/>
  <c r="J127" i="11"/>
  <c r="L127" i="11" s="1"/>
  <c r="J126" i="11"/>
  <c r="L126" i="11" s="1"/>
  <c r="J125" i="11"/>
  <c r="L125" i="11" s="1"/>
  <c r="J124" i="11"/>
  <c r="L124" i="11" s="1"/>
  <c r="J123" i="11"/>
  <c r="L123" i="11" s="1"/>
  <c r="J122" i="11"/>
  <c r="L122" i="11" s="1"/>
  <c r="J121" i="11"/>
  <c r="L121" i="11" s="1"/>
  <c r="J120" i="11"/>
  <c r="L120" i="11" s="1"/>
  <c r="J119" i="11"/>
  <c r="L119" i="11" s="1"/>
  <c r="J118" i="11"/>
  <c r="L118" i="11" s="1"/>
  <c r="J117" i="11"/>
  <c r="L117" i="11" s="1"/>
  <c r="J116" i="11"/>
  <c r="L116" i="11" s="1"/>
  <c r="J115" i="11"/>
  <c r="L115" i="11" s="1"/>
  <c r="J114" i="11"/>
  <c r="L114" i="11" s="1"/>
  <c r="J113" i="11"/>
  <c r="L113" i="11" s="1"/>
  <c r="J112" i="11"/>
  <c r="L112" i="11" s="1"/>
  <c r="J111" i="11"/>
  <c r="L111" i="11" s="1"/>
  <c r="J110" i="11"/>
  <c r="L110" i="11" s="1"/>
  <c r="J109" i="11"/>
  <c r="L109" i="11" s="1"/>
  <c r="J108" i="11"/>
  <c r="L108" i="11" s="1"/>
  <c r="J107" i="11"/>
  <c r="L107" i="11" s="1"/>
  <c r="J106" i="11"/>
  <c r="L106" i="11" s="1"/>
  <c r="J105" i="11"/>
  <c r="L105" i="11" s="1"/>
  <c r="J104" i="11"/>
  <c r="L104" i="11" s="1"/>
  <c r="J103" i="11"/>
  <c r="L103" i="11" s="1"/>
  <c r="J102" i="11"/>
  <c r="L102" i="11" s="1"/>
  <c r="J101" i="11"/>
  <c r="L101" i="11" s="1"/>
  <c r="J100" i="11"/>
  <c r="L100" i="11" s="1"/>
  <c r="J99" i="11"/>
  <c r="L99" i="11" s="1"/>
  <c r="J98" i="11"/>
  <c r="L98" i="11" s="1"/>
  <c r="J97" i="11"/>
  <c r="L97" i="11" s="1"/>
  <c r="J96" i="11"/>
  <c r="L96" i="11" s="1"/>
  <c r="J95" i="11"/>
  <c r="L95" i="11" s="1"/>
  <c r="J94" i="11"/>
  <c r="L94" i="11" s="1"/>
  <c r="J93" i="11"/>
  <c r="L93" i="11" s="1"/>
  <c r="J92" i="11"/>
  <c r="L92" i="11" s="1"/>
  <c r="J91" i="11"/>
  <c r="L91" i="11" s="1"/>
  <c r="J90" i="11"/>
  <c r="L90" i="11" s="1"/>
  <c r="J89" i="11"/>
  <c r="L89" i="11" s="1"/>
  <c r="J88" i="11"/>
  <c r="L88" i="11" s="1"/>
  <c r="J87" i="11"/>
  <c r="L87" i="11" s="1"/>
  <c r="J86" i="11"/>
  <c r="L86" i="11" s="1"/>
  <c r="J85" i="11"/>
  <c r="L85" i="11" s="1"/>
  <c r="J84" i="11"/>
  <c r="L84" i="11" s="1"/>
  <c r="J83" i="11"/>
  <c r="L83" i="11" s="1"/>
  <c r="J82" i="11"/>
  <c r="L82" i="11" s="1"/>
  <c r="J81" i="11"/>
  <c r="L81" i="11" s="1"/>
  <c r="J80" i="11"/>
  <c r="L80" i="11" s="1"/>
  <c r="J79" i="11"/>
  <c r="L79" i="11" s="1"/>
  <c r="J78" i="11"/>
  <c r="L78" i="11" s="1"/>
  <c r="J77" i="11"/>
  <c r="L77" i="11" s="1"/>
  <c r="J76" i="11"/>
  <c r="L76" i="11" s="1"/>
  <c r="J75" i="11"/>
  <c r="L75" i="11" s="1"/>
  <c r="J74" i="11"/>
  <c r="L74" i="11" s="1"/>
  <c r="J73" i="11"/>
  <c r="L73" i="11" s="1"/>
  <c r="J72" i="11"/>
  <c r="L72" i="11" s="1"/>
  <c r="J71" i="11"/>
  <c r="L71" i="11" s="1"/>
  <c r="J70" i="11"/>
  <c r="L70" i="11" s="1"/>
  <c r="J69" i="11"/>
  <c r="L69" i="11" s="1"/>
  <c r="J68" i="11"/>
  <c r="L68" i="11" s="1"/>
  <c r="J67" i="11"/>
  <c r="L67" i="11" s="1"/>
  <c r="J66" i="11"/>
  <c r="L66" i="11" s="1"/>
  <c r="J65" i="11"/>
  <c r="L65" i="11" s="1"/>
  <c r="J64" i="11"/>
  <c r="L64" i="11" s="1"/>
  <c r="J63" i="11"/>
  <c r="L63" i="11" s="1"/>
  <c r="J62" i="11"/>
  <c r="L62" i="11" s="1"/>
  <c r="J61" i="11"/>
  <c r="L61" i="11" s="1"/>
  <c r="J60" i="11"/>
  <c r="L60" i="11" s="1"/>
  <c r="J59" i="11"/>
  <c r="L59" i="11" s="1"/>
  <c r="J58" i="11"/>
  <c r="L58" i="11" s="1"/>
  <c r="J57" i="11"/>
  <c r="L57" i="11" s="1"/>
  <c r="J56" i="11"/>
  <c r="L56" i="11" s="1"/>
  <c r="J54" i="11"/>
  <c r="L54" i="11" s="1"/>
  <c r="J53" i="11"/>
  <c r="L53" i="11" s="1"/>
  <c r="J52" i="11"/>
  <c r="L52" i="11" s="1"/>
  <c r="J51" i="11"/>
  <c r="L51" i="11" s="1"/>
  <c r="J50" i="11"/>
  <c r="L50" i="11" s="1"/>
  <c r="J49" i="11"/>
  <c r="L49" i="11" s="1"/>
  <c r="J48" i="11"/>
  <c r="L48" i="11" s="1"/>
  <c r="J47" i="11"/>
  <c r="L47" i="11" s="1"/>
  <c r="J46" i="11"/>
  <c r="L46" i="11" s="1"/>
  <c r="J45" i="11"/>
  <c r="L45" i="11" s="1"/>
  <c r="J44" i="11"/>
  <c r="L44" i="11" s="1"/>
  <c r="J43" i="11"/>
  <c r="L43" i="11" s="1"/>
  <c r="J42" i="11"/>
  <c r="L42" i="11" s="1"/>
  <c r="J41" i="11"/>
  <c r="L41" i="11" s="1"/>
  <c r="J40" i="11"/>
  <c r="L40" i="11" s="1"/>
  <c r="J39" i="11"/>
  <c r="L39" i="11" s="1"/>
  <c r="J38" i="11"/>
  <c r="L38" i="11" s="1"/>
  <c r="J37" i="11"/>
  <c r="L37" i="11" s="1"/>
  <c r="J36" i="11"/>
  <c r="L36" i="11" s="1"/>
  <c r="J35" i="11"/>
  <c r="L35" i="11" s="1"/>
  <c r="J34" i="11"/>
  <c r="L34" i="11" s="1"/>
  <c r="J33" i="11"/>
  <c r="L33" i="11" s="1"/>
  <c r="J32" i="11"/>
  <c r="L32" i="11" s="1"/>
  <c r="J31" i="11"/>
  <c r="L31" i="11" s="1"/>
  <c r="J30" i="11"/>
  <c r="L30" i="11" s="1"/>
  <c r="J29" i="11"/>
  <c r="L29" i="11" s="1"/>
  <c r="J28" i="11"/>
  <c r="L28" i="11" s="1"/>
  <c r="J27" i="11"/>
  <c r="L27" i="11" s="1"/>
  <c r="J26" i="11"/>
  <c r="L26" i="11" s="1"/>
  <c r="J25" i="11"/>
  <c r="L25" i="11" s="1"/>
  <c r="J24" i="11"/>
  <c r="L24" i="11" s="1"/>
  <c r="J23" i="11"/>
  <c r="L23" i="11" s="1"/>
  <c r="J22" i="11"/>
  <c r="L22" i="11" s="1"/>
  <c r="J21" i="11"/>
  <c r="L21" i="11" s="1"/>
  <c r="J20" i="11"/>
  <c r="L20" i="11" s="1"/>
  <c r="J19" i="11"/>
  <c r="L19" i="11" s="1"/>
  <c r="J18" i="11"/>
  <c r="L18" i="11" s="1"/>
  <c r="J17" i="11"/>
  <c r="L17" i="11" s="1"/>
  <c r="J16" i="11"/>
  <c r="L16" i="11" s="1"/>
  <c r="J15" i="11"/>
  <c r="L15" i="11" s="1"/>
  <c r="J14" i="11"/>
  <c r="L14" i="11" s="1"/>
  <c r="J13" i="11"/>
  <c r="L13" i="11" s="1"/>
  <c r="J12" i="11"/>
  <c r="L12" i="11" s="1"/>
  <c r="J10" i="11"/>
  <c r="L10" i="11" s="1"/>
  <c r="J9" i="11"/>
  <c r="L9" i="11" s="1"/>
  <c r="J7" i="11"/>
  <c r="L7" i="11" s="1"/>
  <c r="J6" i="11"/>
  <c r="L6" i="11" s="1"/>
  <c r="J5" i="11"/>
  <c r="L5" i="11" s="1"/>
  <c r="J4" i="11"/>
  <c r="L4" i="11" s="1"/>
  <c r="J3" i="11"/>
  <c r="L3" i="11" s="1"/>
  <c r="J2" i="11"/>
  <c r="L2" i="11" s="1"/>
  <c r="J126" i="10"/>
  <c r="L126" i="10" s="1"/>
  <c r="J125" i="10"/>
  <c r="L125" i="10" s="1"/>
  <c r="L124" i="10"/>
  <c r="J124" i="10"/>
  <c r="J123" i="10"/>
  <c r="L123" i="10" s="1"/>
  <c r="J122" i="10"/>
  <c r="L122" i="10" s="1"/>
  <c r="J121" i="10"/>
  <c r="L121" i="10" s="1"/>
  <c r="L120" i="10"/>
  <c r="J120" i="10"/>
  <c r="J119" i="10"/>
  <c r="L119" i="10" s="1"/>
  <c r="J118" i="10"/>
  <c r="L118" i="10" s="1"/>
  <c r="J117" i="10"/>
  <c r="L117" i="10" s="1"/>
  <c r="L116" i="10"/>
  <c r="J116" i="10"/>
  <c r="J115" i="10"/>
  <c r="L115" i="10" s="1"/>
  <c r="J114" i="10"/>
  <c r="L114" i="10" s="1"/>
  <c r="J113" i="10"/>
  <c r="L113" i="10" s="1"/>
  <c r="L112" i="10"/>
  <c r="J112" i="10"/>
  <c r="J111" i="10"/>
  <c r="L111" i="10" s="1"/>
  <c r="J110" i="10"/>
  <c r="L110" i="10" s="1"/>
  <c r="J109" i="10"/>
  <c r="L109" i="10" s="1"/>
  <c r="L108" i="10"/>
  <c r="J108" i="10"/>
  <c r="J107" i="10"/>
  <c r="L107" i="10" s="1"/>
  <c r="J106" i="10"/>
  <c r="L106" i="10" s="1"/>
  <c r="J105" i="10"/>
  <c r="L105" i="10" s="1"/>
  <c r="L104" i="10"/>
  <c r="J104" i="10"/>
  <c r="J103" i="10"/>
  <c r="L103" i="10" s="1"/>
  <c r="J102" i="10"/>
  <c r="L102" i="10" s="1"/>
  <c r="J101" i="10"/>
  <c r="L101" i="10" s="1"/>
  <c r="L100" i="10"/>
  <c r="J100" i="10"/>
  <c r="J99" i="10"/>
  <c r="L99" i="10" s="1"/>
  <c r="J98" i="10"/>
  <c r="L98" i="10" s="1"/>
  <c r="J97" i="10"/>
  <c r="L97" i="10" s="1"/>
  <c r="L96" i="10"/>
  <c r="J96" i="10"/>
  <c r="J95" i="10"/>
  <c r="L95" i="10" s="1"/>
  <c r="J94" i="10"/>
  <c r="L94" i="10" s="1"/>
  <c r="J93" i="10"/>
  <c r="L93" i="10" s="1"/>
  <c r="L92" i="10"/>
  <c r="J92" i="10"/>
  <c r="J91" i="10"/>
  <c r="L91" i="10" s="1"/>
  <c r="J90" i="10"/>
  <c r="L90" i="10" s="1"/>
  <c r="J89" i="10"/>
  <c r="L89" i="10" s="1"/>
  <c r="L88" i="10"/>
  <c r="J88" i="10"/>
  <c r="J87" i="10"/>
  <c r="L87" i="10" s="1"/>
  <c r="J86" i="10"/>
  <c r="L86" i="10" s="1"/>
  <c r="J85" i="10"/>
  <c r="L85" i="10" s="1"/>
  <c r="L84" i="10"/>
  <c r="J84" i="10"/>
  <c r="J83" i="10"/>
  <c r="L83" i="10" s="1"/>
  <c r="J82" i="10"/>
  <c r="L82" i="10" s="1"/>
  <c r="J81" i="10"/>
  <c r="L81" i="10" s="1"/>
  <c r="L80" i="10"/>
  <c r="J80" i="10"/>
  <c r="J79" i="10"/>
  <c r="L79" i="10" s="1"/>
  <c r="J78" i="10"/>
  <c r="L78" i="10" s="1"/>
  <c r="J77" i="10"/>
  <c r="L77" i="10" s="1"/>
  <c r="L76" i="10"/>
  <c r="J76" i="10"/>
  <c r="J75" i="10"/>
  <c r="L75" i="10" s="1"/>
  <c r="J74" i="10"/>
  <c r="L74" i="10" s="1"/>
  <c r="J73" i="10"/>
  <c r="L73" i="10" s="1"/>
  <c r="L72" i="10"/>
  <c r="J72" i="10"/>
  <c r="J71" i="10"/>
  <c r="L71" i="10" s="1"/>
  <c r="J70" i="10"/>
  <c r="L70" i="10" s="1"/>
  <c r="J69" i="10"/>
  <c r="L69" i="10" s="1"/>
  <c r="L68" i="10"/>
  <c r="J68" i="10"/>
  <c r="J67" i="10"/>
  <c r="L67" i="10" s="1"/>
  <c r="J66" i="10"/>
  <c r="L66" i="10" s="1"/>
  <c r="J65" i="10"/>
  <c r="L65" i="10" s="1"/>
  <c r="L64" i="10"/>
  <c r="J64" i="10"/>
  <c r="J63" i="10"/>
  <c r="L63" i="10" s="1"/>
  <c r="J62" i="10"/>
  <c r="L62" i="10" s="1"/>
  <c r="J61" i="10"/>
  <c r="L61" i="10" s="1"/>
  <c r="L60" i="10"/>
  <c r="J60" i="10"/>
  <c r="J59" i="10"/>
  <c r="L59" i="10" s="1"/>
  <c r="J58" i="10"/>
  <c r="L58" i="10" s="1"/>
  <c r="J57" i="10"/>
  <c r="L57" i="10" s="1"/>
  <c r="L56" i="10"/>
  <c r="J56" i="10"/>
  <c r="J55" i="10"/>
  <c r="L55" i="10" s="1"/>
  <c r="J54" i="10"/>
  <c r="L54" i="10" s="1"/>
  <c r="J53" i="10"/>
  <c r="L53" i="10" s="1"/>
  <c r="L52" i="10"/>
  <c r="J52" i="10"/>
  <c r="J51" i="10"/>
  <c r="L51" i="10" s="1"/>
  <c r="J50" i="10"/>
  <c r="L50" i="10" s="1"/>
  <c r="J49" i="10"/>
  <c r="L49" i="10" s="1"/>
  <c r="L48" i="10"/>
  <c r="J48" i="10"/>
  <c r="J47" i="10"/>
  <c r="L47" i="10" s="1"/>
  <c r="J46" i="10"/>
  <c r="L46" i="10" s="1"/>
  <c r="J45" i="10"/>
  <c r="L45" i="10" s="1"/>
  <c r="L44" i="10"/>
  <c r="J44" i="10"/>
  <c r="J43" i="10"/>
  <c r="L43" i="10" s="1"/>
  <c r="J42" i="10"/>
  <c r="L42" i="10" s="1"/>
  <c r="J41" i="10"/>
  <c r="L41" i="10" s="1"/>
  <c r="L40" i="10"/>
  <c r="J40" i="10"/>
  <c r="J39" i="10"/>
  <c r="L39" i="10" s="1"/>
  <c r="J38" i="10"/>
  <c r="L38" i="10" s="1"/>
  <c r="J37" i="10"/>
  <c r="L37" i="10" s="1"/>
  <c r="L36" i="10"/>
  <c r="J36" i="10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L28" i="10"/>
  <c r="J28" i="10"/>
  <c r="J27" i="10"/>
  <c r="L27" i="10" s="1"/>
  <c r="J26" i="10"/>
  <c r="L26" i="10" s="1"/>
  <c r="J25" i="10"/>
  <c r="L25" i="10" s="1"/>
  <c r="L24" i="10"/>
  <c r="J24" i="10"/>
  <c r="J23" i="10"/>
  <c r="L23" i="10" s="1"/>
  <c r="J22" i="10"/>
  <c r="L22" i="10" s="1"/>
  <c r="J21" i="10"/>
  <c r="L21" i="10" s="1"/>
  <c r="L20" i="10"/>
  <c r="J20" i="10"/>
  <c r="J19" i="10"/>
  <c r="L19" i="10" s="1"/>
  <c r="J18" i="10"/>
  <c r="L18" i="10" s="1"/>
  <c r="J17" i="10"/>
  <c r="L17" i="10" s="1"/>
  <c r="L16" i="10"/>
  <c r="J16" i="10"/>
  <c r="J15" i="10"/>
  <c r="L15" i="10" s="1"/>
  <c r="J14" i="10"/>
  <c r="L14" i="10" s="1"/>
  <c r="J13" i="10"/>
  <c r="L13" i="10" s="1"/>
  <c r="L12" i="10"/>
  <c r="J12" i="10"/>
  <c r="J11" i="10"/>
  <c r="L11" i="10" s="1"/>
  <c r="J10" i="10"/>
  <c r="L10" i="10" s="1"/>
  <c r="J9" i="10"/>
  <c r="L9" i="10" s="1"/>
  <c r="L8" i="10"/>
  <c r="J8" i="10"/>
  <c r="J7" i="10"/>
  <c r="L7" i="10" s="1"/>
  <c r="J6" i="10"/>
  <c r="L6" i="10" s="1"/>
  <c r="J5" i="10"/>
  <c r="L5" i="10" s="1"/>
  <c r="L4" i="10"/>
  <c r="J4" i="10"/>
  <c r="J3" i="10"/>
  <c r="L3" i="10" s="1"/>
  <c r="J2" i="10"/>
  <c r="L2" i="10" s="1"/>
  <c r="J127" i="8"/>
  <c r="L127" i="8" s="1"/>
  <c r="J126" i="8"/>
  <c r="L126" i="8" s="1"/>
  <c r="J125" i="8"/>
  <c r="L125" i="8" s="1"/>
  <c r="J124" i="8"/>
  <c r="L124" i="8" s="1"/>
  <c r="J123" i="8"/>
  <c r="L123" i="8" s="1"/>
  <c r="J122" i="8"/>
  <c r="L122" i="8" s="1"/>
  <c r="J121" i="8"/>
  <c r="L121" i="8" s="1"/>
  <c r="J120" i="8"/>
  <c r="L120" i="8" s="1"/>
  <c r="J119" i="8"/>
  <c r="L119" i="8" s="1"/>
  <c r="J118" i="8"/>
  <c r="L118" i="8" s="1"/>
  <c r="J117" i="8"/>
  <c r="L117" i="8" s="1"/>
  <c r="J116" i="8"/>
  <c r="L116" i="8" s="1"/>
  <c r="J115" i="8"/>
  <c r="L115" i="8" s="1"/>
  <c r="J114" i="8"/>
  <c r="L114" i="8" s="1"/>
  <c r="J113" i="8"/>
  <c r="L113" i="8" s="1"/>
  <c r="J112" i="8"/>
  <c r="L112" i="8" s="1"/>
  <c r="J111" i="8"/>
  <c r="L111" i="8" s="1"/>
  <c r="J110" i="8"/>
  <c r="L110" i="8" s="1"/>
  <c r="J109" i="8"/>
  <c r="L109" i="8" s="1"/>
  <c r="J108" i="8"/>
  <c r="L108" i="8" s="1"/>
  <c r="J107" i="8"/>
  <c r="L107" i="8" s="1"/>
  <c r="J106" i="8"/>
  <c r="L106" i="8" s="1"/>
  <c r="J105" i="8"/>
  <c r="L105" i="8" s="1"/>
  <c r="J104" i="8"/>
  <c r="L104" i="8" s="1"/>
  <c r="J103" i="8"/>
  <c r="L103" i="8" s="1"/>
  <c r="J102" i="8"/>
  <c r="L102" i="8" s="1"/>
  <c r="J101" i="8"/>
  <c r="L101" i="8" s="1"/>
  <c r="J100" i="8"/>
  <c r="L100" i="8" s="1"/>
  <c r="J99" i="8"/>
  <c r="L99" i="8" s="1"/>
  <c r="J98" i="8"/>
  <c r="L98" i="8" s="1"/>
  <c r="J97" i="8"/>
  <c r="L97" i="8" s="1"/>
  <c r="J96" i="8"/>
  <c r="L96" i="8" s="1"/>
  <c r="J95" i="8"/>
  <c r="L95" i="8" s="1"/>
  <c r="J94" i="8"/>
  <c r="L94" i="8" s="1"/>
  <c r="J93" i="8"/>
  <c r="L93" i="8" s="1"/>
  <c r="J92" i="8"/>
  <c r="L92" i="8" s="1"/>
  <c r="J91" i="8"/>
  <c r="L91" i="8" s="1"/>
  <c r="J90" i="8"/>
  <c r="L90" i="8" s="1"/>
  <c r="J89" i="8"/>
  <c r="L89" i="8" s="1"/>
  <c r="J88" i="8"/>
  <c r="L88" i="8" s="1"/>
  <c r="J87" i="8"/>
  <c r="L87" i="8" s="1"/>
  <c r="J86" i="8"/>
  <c r="L86" i="8" s="1"/>
  <c r="J85" i="8"/>
  <c r="L85" i="8" s="1"/>
  <c r="J84" i="8"/>
  <c r="L84" i="8" s="1"/>
  <c r="J83" i="8"/>
  <c r="L83" i="8" s="1"/>
  <c r="J82" i="8"/>
  <c r="L82" i="8" s="1"/>
  <c r="J81" i="8"/>
  <c r="L81" i="8" s="1"/>
  <c r="J80" i="8"/>
  <c r="L80" i="8" s="1"/>
  <c r="J79" i="8"/>
  <c r="L79" i="8" s="1"/>
  <c r="J78" i="8"/>
  <c r="L78" i="8" s="1"/>
  <c r="J77" i="8"/>
  <c r="L77" i="8" s="1"/>
  <c r="J76" i="8"/>
  <c r="L76" i="8" s="1"/>
  <c r="J75" i="8"/>
  <c r="L75" i="8" s="1"/>
  <c r="J74" i="8"/>
  <c r="L74" i="8" s="1"/>
  <c r="J73" i="8"/>
  <c r="L73" i="8" s="1"/>
  <c r="J72" i="8"/>
  <c r="L72" i="8" s="1"/>
  <c r="J71" i="8"/>
  <c r="L71" i="8" s="1"/>
  <c r="J70" i="8"/>
  <c r="L70" i="8" s="1"/>
  <c r="J69" i="8"/>
  <c r="L69" i="8" s="1"/>
  <c r="J68" i="8"/>
  <c r="L68" i="8" s="1"/>
  <c r="J67" i="8"/>
  <c r="L67" i="8" s="1"/>
  <c r="J66" i="8"/>
  <c r="L66" i="8" s="1"/>
  <c r="J65" i="8"/>
  <c r="L65" i="8" s="1"/>
  <c r="J64" i="8"/>
  <c r="L64" i="8" s="1"/>
  <c r="J63" i="8"/>
  <c r="L63" i="8" s="1"/>
  <c r="J62" i="8"/>
  <c r="L62" i="8" s="1"/>
  <c r="J61" i="8"/>
  <c r="L61" i="8" s="1"/>
  <c r="J60" i="8"/>
  <c r="L60" i="8" s="1"/>
  <c r="J59" i="8"/>
  <c r="L59" i="8" s="1"/>
  <c r="J58" i="8"/>
  <c r="L58" i="8" s="1"/>
  <c r="J57" i="8"/>
  <c r="L57" i="8" s="1"/>
  <c r="J56" i="8"/>
  <c r="L56" i="8" s="1"/>
  <c r="J55" i="8"/>
  <c r="L55" i="8" s="1"/>
  <c r="J54" i="8"/>
  <c r="L54" i="8" s="1"/>
  <c r="J53" i="8"/>
  <c r="L53" i="8" s="1"/>
  <c r="J52" i="8"/>
  <c r="L52" i="8" s="1"/>
  <c r="J51" i="8"/>
  <c r="L51" i="8" s="1"/>
  <c r="J50" i="8"/>
  <c r="L50" i="8" s="1"/>
  <c r="J49" i="8"/>
  <c r="L49" i="8" s="1"/>
  <c r="J48" i="8"/>
  <c r="L48" i="8" s="1"/>
  <c r="J47" i="8"/>
  <c r="L47" i="8" s="1"/>
  <c r="J46" i="8"/>
  <c r="L46" i="8" s="1"/>
  <c r="J45" i="8"/>
  <c r="L45" i="8" s="1"/>
  <c r="J44" i="8"/>
  <c r="L44" i="8" s="1"/>
  <c r="J43" i="8"/>
  <c r="L43" i="8" s="1"/>
  <c r="J41" i="8"/>
  <c r="L41" i="8" s="1"/>
  <c r="J40" i="8"/>
  <c r="L40" i="8" s="1"/>
  <c r="J39" i="8"/>
  <c r="L39" i="8" s="1"/>
  <c r="J38" i="8"/>
  <c r="L38" i="8" s="1"/>
  <c r="J37" i="8"/>
  <c r="L37" i="8" s="1"/>
  <c r="J36" i="8"/>
  <c r="L36" i="8" s="1"/>
  <c r="J35" i="8"/>
  <c r="L35" i="8" s="1"/>
  <c r="J34" i="8"/>
  <c r="L34" i="8" s="1"/>
  <c r="J33" i="8"/>
  <c r="L33" i="8" s="1"/>
  <c r="J32" i="8"/>
  <c r="L32" i="8" s="1"/>
  <c r="J31" i="8"/>
  <c r="L31" i="8" s="1"/>
  <c r="J30" i="8"/>
  <c r="L30" i="8" s="1"/>
  <c r="J29" i="8"/>
  <c r="L29" i="8" s="1"/>
  <c r="J28" i="8"/>
  <c r="L28" i="8" s="1"/>
  <c r="J27" i="8"/>
  <c r="L27" i="8" s="1"/>
  <c r="J26" i="8"/>
  <c r="L26" i="8" s="1"/>
  <c r="J25" i="8"/>
  <c r="L25" i="8" s="1"/>
  <c r="J24" i="8"/>
  <c r="L24" i="8" s="1"/>
  <c r="J23" i="8"/>
  <c r="L23" i="8" s="1"/>
  <c r="J22" i="8"/>
  <c r="L22" i="8" s="1"/>
  <c r="J21" i="8"/>
  <c r="L21" i="8" s="1"/>
  <c r="L20" i="8"/>
  <c r="J20" i="8"/>
  <c r="J19" i="8"/>
  <c r="L19" i="8" s="1"/>
  <c r="J18" i="8"/>
  <c r="L18" i="8" s="1"/>
  <c r="J17" i="8"/>
  <c r="L17" i="8" s="1"/>
  <c r="J16" i="8"/>
  <c r="L16" i="8" s="1"/>
  <c r="J15" i="8"/>
  <c r="L15" i="8" s="1"/>
  <c r="J14" i="8"/>
  <c r="L14" i="8" s="1"/>
  <c r="J13" i="8"/>
  <c r="L13" i="8" s="1"/>
  <c r="J12" i="8"/>
  <c r="L12" i="8" s="1"/>
  <c r="J11" i="8"/>
  <c r="L11" i="8" s="1"/>
  <c r="J10" i="8"/>
  <c r="L10" i="8" s="1"/>
  <c r="J9" i="8"/>
  <c r="L9" i="8" s="1"/>
  <c r="J8" i="8"/>
  <c r="L8" i="8" s="1"/>
  <c r="J7" i="8"/>
  <c r="L7" i="8" s="1"/>
  <c r="J6" i="8"/>
  <c r="L6" i="8" s="1"/>
  <c r="J5" i="8"/>
  <c r="L5" i="8" s="1"/>
  <c r="L4" i="8"/>
  <c r="J4" i="8"/>
  <c r="J3" i="8"/>
  <c r="L3" i="8" s="1"/>
  <c r="J2" i="8"/>
  <c r="L2" i="8" s="1"/>
  <c r="J126" i="7"/>
  <c r="L126" i="7" s="1"/>
  <c r="J125" i="7"/>
  <c r="L125" i="7" s="1"/>
  <c r="J124" i="7"/>
  <c r="L124" i="7" s="1"/>
  <c r="J123" i="7"/>
  <c r="L123" i="7" s="1"/>
  <c r="J122" i="7"/>
  <c r="L122" i="7" s="1"/>
  <c r="J121" i="7"/>
  <c r="L121" i="7" s="1"/>
  <c r="J120" i="7"/>
  <c r="L120" i="7" s="1"/>
  <c r="J119" i="7"/>
  <c r="L119" i="7" s="1"/>
  <c r="J118" i="7"/>
  <c r="L118" i="7" s="1"/>
  <c r="J117" i="7"/>
  <c r="L117" i="7" s="1"/>
  <c r="J116" i="7"/>
  <c r="L116" i="7" s="1"/>
  <c r="J115" i="7"/>
  <c r="L115" i="7" s="1"/>
  <c r="J114" i="7"/>
  <c r="L114" i="7" s="1"/>
  <c r="J113" i="7"/>
  <c r="L113" i="7" s="1"/>
  <c r="L112" i="7"/>
  <c r="J112" i="7"/>
  <c r="J111" i="7"/>
  <c r="L111" i="7" s="1"/>
  <c r="J110" i="7"/>
  <c r="L110" i="7" s="1"/>
  <c r="J109" i="7"/>
  <c r="L109" i="7" s="1"/>
  <c r="L108" i="7"/>
  <c r="J108" i="7"/>
  <c r="J107" i="7"/>
  <c r="L107" i="7" s="1"/>
  <c r="J106" i="7"/>
  <c r="L106" i="7" s="1"/>
  <c r="J105" i="7"/>
  <c r="L105" i="7" s="1"/>
  <c r="L104" i="7"/>
  <c r="J104" i="7"/>
  <c r="J103" i="7"/>
  <c r="L103" i="7" s="1"/>
  <c r="J102" i="7"/>
  <c r="L102" i="7" s="1"/>
  <c r="J101" i="7"/>
  <c r="L101" i="7" s="1"/>
  <c r="J100" i="7"/>
  <c r="L100" i="7" s="1"/>
  <c r="J99" i="7"/>
  <c r="L99" i="7" s="1"/>
  <c r="J98" i="7"/>
  <c r="L98" i="7" s="1"/>
  <c r="J97" i="7"/>
  <c r="L97" i="7" s="1"/>
  <c r="J96" i="7"/>
  <c r="L96" i="7" s="1"/>
  <c r="J95" i="7"/>
  <c r="L95" i="7" s="1"/>
  <c r="J94" i="7"/>
  <c r="L94" i="7" s="1"/>
  <c r="J93" i="7"/>
  <c r="L93" i="7" s="1"/>
  <c r="J92" i="7"/>
  <c r="L92" i="7" s="1"/>
  <c r="J91" i="7"/>
  <c r="L91" i="7" s="1"/>
  <c r="J90" i="7"/>
  <c r="L90" i="7" s="1"/>
  <c r="J89" i="7"/>
  <c r="L89" i="7" s="1"/>
  <c r="J88" i="7"/>
  <c r="L88" i="7" s="1"/>
  <c r="J87" i="7"/>
  <c r="L87" i="7" s="1"/>
  <c r="J86" i="7"/>
  <c r="L86" i="7" s="1"/>
  <c r="J85" i="7"/>
  <c r="L85" i="7" s="1"/>
  <c r="J84" i="7"/>
  <c r="L84" i="7" s="1"/>
  <c r="J83" i="7"/>
  <c r="L83" i="7" s="1"/>
  <c r="J82" i="7"/>
  <c r="L82" i="7" s="1"/>
  <c r="J81" i="7"/>
  <c r="L81" i="7" s="1"/>
  <c r="J80" i="7"/>
  <c r="L80" i="7" s="1"/>
  <c r="J79" i="7"/>
  <c r="L79" i="7" s="1"/>
  <c r="J78" i="7"/>
  <c r="L78" i="7" s="1"/>
  <c r="J77" i="7"/>
  <c r="L77" i="7" s="1"/>
  <c r="J76" i="7"/>
  <c r="L76" i="7" s="1"/>
  <c r="J75" i="7"/>
  <c r="L75" i="7" s="1"/>
  <c r="J74" i="7"/>
  <c r="L74" i="7" s="1"/>
  <c r="J73" i="7"/>
  <c r="L73" i="7" s="1"/>
  <c r="J72" i="7"/>
  <c r="L72" i="7" s="1"/>
  <c r="J71" i="7"/>
  <c r="L71" i="7" s="1"/>
  <c r="J70" i="7"/>
  <c r="L70" i="7" s="1"/>
  <c r="J69" i="7"/>
  <c r="L69" i="7" s="1"/>
  <c r="J68" i="7"/>
  <c r="L68" i="7" s="1"/>
  <c r="J67" i="7"/>
  <c r="L67" i="7" s="1"/>
  <c r="J66" i="7"/>
  <c r="L66" i="7" s="1"/>
  <c r="J65" i="7"/>
  <c r="L65" i="7" s="1"/>
  <c r="L64" i="7"/>
  <c r="J64" i="7"/>
  <c r="J63" i="7"/>
  <c r="L63" i="7" s="1"/>
  <c r="J62" i="7"/>
  <c r="L62" i="7" s="1"/>
  <c r="J61" i="7"/>
  <c r="L61" i="7" s="1"/>
  <c r="L60" i="7"/>
  <c r="J60" i="7"/>
  <c r="J59" i="7"/>
  <c r="L59" i="7" s="1"/>
  <c r="J58" i="7"/>
  <c r="L58" i="7" s="1"/>
  <c r="J57" i="7"/>
  <c r="L57" i="7" s="1"/>
  <c r="J56" i="7"/>
  <c r="L56" i="7" s="1"/>
  <c r="J55" i="7"/>
  <c r="L55" i="7" s="1"/>
  <c r="J54" i="7"/>
  <c r="L54" i="7" s="1"/>
  <c r="J53" i="7"/>
  <c r="L53" i="7" s="1"/>
  <c r="J52" i="7"/>
  <c r="L52" i="7" s="1"/>
  <c r="J51" i="7"/>
  <c r="L51" i="7" s="1"/>
  <c r="J50" i="7"/>
  <c r="L50" i="7" s="1"/>
  <c r="J49" i="7"/>
  <c r="L49" i="7" s="1"/>
  <c r="J48" i="7"/>
  <c r="L48" i="7" s="1"/>
  <c r="J47" i="7"/>
  <c r="L47" i="7" s="1"/>
  <c r="J46" i="7"/>
  <c r="L46" i="7" s="1"/>
  <c r="J45" i="7"/>
  <c r="L45" i="7" s="1"/>
  <c r="J44" i="7"/>
  <c r="L44" i="7" s="1"/>
  <c r="J43" i="7"/>
  <c r="L43" i="7" s="1"/>
  <c r="J42" i="7"/>
  <c r="L42" i="7" s="1"/>
  <c r="J41" i="7"/>
  <c r="L41" i="7" s="1"/>
  <c r="J40" i="7"/>
  <c r="L40" i="7" s="1"/>
  <c r="J39" i="7"/>
  <c r="L39" i="7" s="1"/>
  <c r="J38" i="7"/>
  <c r="L38" i="7" s="1"/>
  <c r="J37" i="7"/>
  <c r="L37" i="7" s="1"/>
  <c r="J36" i="7"/>
  <c r="L36" i="7" s="1"/>
  <c r="J35" i="7"/>
  <c r="L35" i="7" s="1"/>
  <c r="J34" i="7"/>
  <c r="L34" i="7" s="1"/>
  <c r="J33" i="7"/>
  <c r="L33" i="7" s="1"/>
  <c r="J32" i="7"/>
  <c r="L32" i="7" s="1"/>
  <c r="J31" i="7"/>
  <c r="L31" i="7" s="1"/>
  <c r="J30" i="7"/>
  <c r="L30" i="7" s="1"/>
  <c r="J29" i="7"/>
  <c r="L29" i="7" s="1"/>
  <c r="J28" i="7"/>
  <c r="L28" i="7" s="1"/>
  <c r="J27" i="7"/>
  <c r="L27" i="7" s="1"/>
  <c r="J26" i="7"/>
  <c r="L26" i="7" s="1"/>
  <c r="J25" i="7"/>
  <c r="L25" i="7" s="1"/>
  <c r="J24" i="7"/>
  <c r="L24" i="7" s="1"/>
  <c r="J23" i="7"/>
  <c r="L23" i="7" s="1"/>
  <c r="J22" i="7"/>
  <c r="L22" i="7" s="1"/>
  <c r="J21" i="7"/>
  <c r="L21" i="7" s="1"/>
  <c r="L20" i="7"/>
  <c r="J20" i="7"/>
  <c r="J19" i="7"/>
  <c r="L19" i="7" s="1"/>
  <c r="J18" i="7"/>
  <c r="L18" i="7" s="1"/>
  <c r="J17" i="7"/>
  <c r="L17" i="7" s="1"/>
  <c r="L16" i="7"/>
  <c r="J16" i="7"/>
  <c r="J15" i="7"/>
  <c r="L15" i="7" s="1"/>
  <c r="J14" i="7"/>
  <c r="L14" i="7" s="1"/>
  <c r="J13" i="7"/>
  <c r="L13" i="7" s="1"/>
  <c r="J12" i="7"/>
  <c r="L12" i="7" s="1"/>
  <c r="J11" i="7"/>
  <c r="L11" i="7" s="1"/>
  <c r="J10" i="7"/>
  <c r="L10" i="7" s="1"/>
  <c r="J9" i="7"/>
  <c r="L9" i="7" s="1"/>
  <c r="J8" i="7"/>
  <c r="L8" i="7" s="1"/>
  <c r="J7" i="7"/>
  <c r="L7" i="7" s="1"/>
  <c r="J6" i="7"/>
  <c r="L6" i="7" s="1"/>
  <c r="J5" i="7"/>
  <c r="L5" i="7" s="1"/>
  <c r="J4" i="7"/>
  <c r="L4" i="7" s="1"/>
  <c r="J3" i="7"/>
  <c r="L3" i="7" s="1"/>
  <c r="J2" i="7"/>
  <c r="L2" i="7" s="1"/>
  <c r="J127" i="6"/>
  <c r="L127" i="6" s="1"/>
  <c r="J126" i="6"/>
  <c r="L126" i="6" s="1"/>
  <c r="J125" i="6"/>
  <c r="L125" i="6" s="1"/>
  <c r="J124" i="6"/>
  <c r="L124" i="6" s="1"/>
  <c r="J123" i="6"/>
  <c r="L123" i="6" s="1"/>
  <c r="J122" i="6"/>
  <c r="L122" i="6" s="1"/>
  <c r="J121" i="6"/>
  <c r="L121" i="6" s="1"/>
  <c r="J120" i="6"/>
  <c r="L120" i="6" s="1"/>
  <c r="J119" i="6"/>
  <c r="L119" i="6" s="1"/>
  <c r="J118" i="6"/>
  <c r="L118" i="6" s="1"/>
  <c r="J117" i="6"/>
  <c r="L117" i="6" s="1"/>
  <c r="J116" i="6"/>
  <c r="L116" i="6" s="1"/>
  <c r="J115" i="6"/>
  <c r="L115" i="6" s="1"/>
  <c r="J114" i="6"/>
  <c r="L114" i="6" s="1"/>
  <c r="J113" i="6"/>
  <c r="L113" i="6" s="1"/>
  <c r="J112" i="6"/>
  <c r="L112" i="6" s="1"/>
  <c r="J111" i="6"/>
  <c r="L111" i="6" s="1"/>
  <c r="J110" i="6"/>
  <c r="L110" i="6" s="1"/>
  <c r="J109" i="6"/>
  <c r="L109" i="6" s="1"/>
  <c r="J108" i="6"/>
  <c r="L108" i="6" s="1"/>
  <c r="J107" i="6"/>
  <c r="L107" i="6" s="1"/>
  <c r="J106" i="6"/>
  <c r="L106" i="6" s="1"/>
  <c r="J105" i="6"/>
  <c r="L105" i="6" s="1"/>
  <c r="J104" i="6"/>
  <c r="L104" i="6" s="1"/>
  <c r="J103" i="6"/>
  <c r="L103" i="6" s="1"/>
  <c r="J102" i="6"/>
  <c r="L102" i="6" s="1"/>
  <c r="J101" i="6"/>
  <c r="L101" i="6" s="1"/>
  <c r="J100" i="6"/>
  <c r="L100" i="6" s="1"/>
  <c r="J99" i="6"/>
  <c r="L99" i="6" s="1"/>
  <c r="J98" i="6"/>
  <c r="L98" i="6" s="1"/>
  <c r="J97" i="6"/>
  <c r="L97" i="6" s="1"/>
  <c r="J96" i="6"/>
  <c r="L96" i="6" s="1"/>
  <c r="J95" i="6"/>
  <c r="L95" i="6" s="1"/>
  <c r="J94" i="6"/>
  <c r="L94" i="6" s="1"/>
  <c r="J93" i="6"/>
  <c r="L93" i="6" s="1"/>
  <c r="J92" i="6"/>
  <c r="L92" i="6" s="1"/>
  <c r="J91" i="6"/>
  <c r="L91" i="6" s="1"/>
  <c r="J90" i="6"/>
  <c r="L90" i="6" s="1"/>
  <c r="J89" i="6"/>
  <c r="L89" i="6" s="1"/>
  <c r="J88" i="6"/>
  <c r="L88" i="6" s="1"/>
  <c r="J87" i="6"/>
  <c r="L87" i="6" s="1"/>
  <c r="J86" i="6"/>
  <c r="L86" i="6" s="1"/>
  <c r="J85" i="6"/>
  <c r="L85" i="6" s="1"/>
  <c r="J84" i="6"/>
  <c r="L84" i="6" s="1"/>
  <c r="J83" i="6"/>
  <c r="L83" i="6" s="1"/>
  <c r="J82" i="6"/>
  <c r="L82" i="6" s="1"/>
  <c r="J81" i="6"/>
  <c r="L81" i="6" s="1"/>
  <c r="J80" i="6"/>
  <c r="L80" i="6" s="1"/>
  <c r="J79" i="6"/>
  <c r="L79" i="6" s="1"/>
  <c r="J78" i="6"/>
  <c r="L78" i="6" s="1"/>
  <c r="J77" i="6"/>
  <c r="L77" i="6" s="1"/>
  <c r="J76" i="6"/>
  <c r="L76" i="6" s="1"/>
  <c r="J75" i="6"/>
  <c r="L75" i="6" s="1"/>
  <c r="J74" i="6"/>
  <c r="L74" i="6" s="1"/>
  <c r="J73" i="6"/>
  <c r="L73" i="6" s="1"/>
  <c r="J72" i="6"/>
  <c r="L72" i="6" s="1"/>
  <c r="J71" i="6"/>
  <c r="L71" i="6" s="1"/>
  <c r="J70" i="6"/>
  <c r="L70" i="6" s="1"/>
  <c r="J69" i="6"/>
  <c r="L69" i="6" s="1"/>
  <c r="J68" i="6"/>
  <c r="L68" i="6" s="1"/>
  <c r="J67" i="6"/>
  <c r="L67" i="6" s="1"/>
  <c r="J66" i="6"/>
  <c r="L66" i="6" s="1"/>
  <c r="J65" i="6"/>
  <c r="L65" i="6" s="1"/>
  <c r="J64" i="6"/>
  <c r="L64" i="6" s="1"/>
  <c r="J63" i="6"/>
  <c r="L63" i="6" s="1"/>
  <c r="J62" i="6"/>
  <c r="L62" i="6" s="1"/>
  <c r="J61" i="6"/>
  <c r="L61" i="6" s="1"/>
  <c r="J60" i="6"/>
  <c r="L60" i="6" s="1"/>
  <c r="J59" i="6"/>
  <c r="L59" i="6" s="1"/>
  <c r="J58" i="6"/>
  <c r="L58" i="6" s="1"/>
  <c r="J57" i="6"/>
  <c r="L57" i="6" s="1"/>
  <c r="J56" i="6"/>
  <c r="L56" i="6" s="1"/>
  <c r="J54" i="6"/>
  <c r="L54" i="6" s="1"/>
  <c r="J53" i="6"/>
  <c r="L53" i="6" s="1"/>
  <c r="J52" i="6"/>
  <c r="L52" i="6" s="1"/>
  <c r="J51" i="6"/>
  <c r="L51" i="6" s="1"/>
  <c r="J50" i="6"/>
  <c r="L50" i="6" s="1"/>
  <c r="J49" i="6"/>
  <c r="L49" i="6" s="1"/>
  <c r="J48" i="6"/>
  <c r="L48" i="6" s="1"/>
  <c r="J47" i="6"/>
  <c r="L47" i="6" s="1"/>
  <c r="J46" i="6"/>
  <c r="L46" i="6" s="1"/>
  <c r="J45" i="6"/>
  <c r="L45" i="6" s="1"/>
  <c r="L44" i="6"/>
  <c r="J44" i="6"/>
  <c r="J43" i="6"/>
  <c r="L43" i="6" s="1"/>
  <c r="J42" i="6"/>
  <c r="L42" i="6" s="1"/>
  <c r="J41" i="6"/>
  <c r="L41" i="6" s="1"/>
  <c r="J40" i="6"/>
  <c r="L40" i="6" s="1"/>
  <c r="J39" i="6"/>
  <c r="L39" i="6" s="1"/>
  <c r="J38" i="6"/>
  <c r="L38" i="6" s="1"/>
  <c r="J37" i="6"/>
  <c r="L37" i="6" s="1"/>
  <c r="J36" i="6"/>
  <c r="L36" i="6" s="1"/>
  <c r="J35" i="6"/>
  <c r="L35" i="6" s="1"/>
  <c r="J34" i="6"/>
  <c r="L34" i="6" s="1"/>
  <c r="J33" i="6"/>
  <c r="L33" i="6" s="1"/>
  <c r="J32" i="6"/>
  <c r="L32" i="6" s="1"/>
  <c r="J31" i="6"/>
  <c r="L31" i="6" s="1"/>
  <c r="J30" i="6"/>
  <c r="L30" i="6" s="1"/>
  <c r="J29" i="6"/>
  <c r="L29" i="6" s="1"/>
  <c r="J28" i="6"/>
  <c r="L28" i="6" s="1"/>
  <c r="J27" i="6"/>
  <c r="L27" i="6" s="1"/>
  <c r="J26" i="6"/>
  <c r="L26" i="6" s="1"/>
  <c r="J25" i="6"/>
  <c r="L25" i="6" s="1"/>
  <c r="J24" i="6"/>
  <c r="L24" i="6" s="1"/>
  <c r="J23" i="6"/>
  <c r="L23" i="6" s="1"/>
  <c r="J22" i="6"/>
  <c r="L22" i="6" s="1"/>
  <c r="J21" i="6"/>
  <c r="L21" i="6" s="1"/>
  <c r="J20" i="6"/>
  <c r="L20" i="6" s="1"/>
  <c r="J19" i="6"/>
  <c r="L19" i="6" s="1"/>
  <c r="J18" i="6"/>
  <c r="L18" i="6" s="1"/>
  <c r="J17" i="6"/>
  <c r="L17" i="6" s="1"/>
  <c r="J16" i="6"/>
  <c r="L16" i="6" s="1"/>
  <c r="J15" i="6"/>
  <c r="L15" i="6" s="1"/>
  <c r="J14" i="6"/>
  <c r="L14" i="6" s="1"/>
  <c r="J13" i="6"/>
  <c r="L13" i="6" s="1"/>
  <c r="J12" i="6"/>
  <c r="L12" i="6" s="1"/>
  <c r="J11" i="6"/>
  <c r="L11" i="6" s="1"/>
  <c r="J10" i="6"/>
  <c r="L10" i="6" s="1"/>
  <c r="J9" i="6"/>
  <c r="L9" i="6" s="1"/>
  <c r="J8" i="6"/>
  <c r="L8" i="6" s="1"/>
  <c r="J7" i="6"/>
  <c r="L7" i="6" s="1"/>
  <c r="J6" i="6"/>
  <c r="L6" i="6" s="1"/>
  <c r="J5" i="6"/>
  <c r="L5" i="6" s="1"/>
  <c r="J4" i="6"/>
  <c r="L4" i="6" s="1"/>
  <c r="J3" i="6"/>
  <c r="L3" i="6" s="1"/>
  <c r="J2" i="6"/>
  <c r="L2" i="6" s="1"/>
  <c r="J133" i="2"/>
  <c r="L133" i="2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J125" i="2"/>
  <c r="L125" i="2" s="1"/>
  <c r="J124" i="2"/>
  <c r="L124" i="2" s="1"/>
  <c r="J123" i="2"/>
  <c r="L123" i="2" s="1"/>
  <c r="J122" i="2"/>
  <c r="L122" i="2" s="1"/>
  <c r="J119" i="2"/>
  <c r="L119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J90" i="2"/>
  <c r="L90" i="2" s="1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3" i="2"/>
  <c r="L73" i="2" s="1"/>
  <c r="J72" i="2"/>
  <c r="L72" i="2" s="1"/>
  <c r="J71" i="2"/>
  <c r="L71" i="2" s="1"/>
  <c r="J70" i="2"/>
  <c r="L70" i="2" s="1"/>
  <c r="J69" i="2"/>
  <c r="L69" i="2" s="1"/>
  <c r="J68" i="2"/>
  <c r="L68" i="2" s="1"/>
  <c r="J67" i="2"/>
  <c r="L67" i="2" s="1"/>
  <c r="J66" i="2"/>
  <c r="L66" i="2" s="1"/>
  <c r="J65" i="2"/>
  <c r="L65" i="2" s="1"/>
  <c r="J64" i="2"/>
  <c r="L64" i="2" s="1"/>
  <c r="J63" i="2"/>
  <c r="L63" i="2" s="1"/>
  <c r="J62" i="2"/>
  <c r="L62" i="2" s="1"/>
  <c r="J61" i="2"/>
  <c r="L61" i="2" s="1"/>
  <c r="J60" i="2"/>
  <c r="L60" i="2" s="1"/>
  <c r="J59" i="2"/>
  <c r="L5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J11" i="2"/>
  <c r="L11" i="2" s="1"/>
  <c r="J10" i="2"/>
  <c r="L10" i="2" s="1"/>
  <c r="J7" i="2"/>
  <c r="L7" i="2" s="1"/>
  <c r="J6" i="2"/>
  <c r="L6" i="2" s="1"/>
  <c r="J5" i="2"/>
  <c r="L5" i="2" s="1"/>
  <c r="J4" i="2"/>
  <c r="L4" i="2" s="1"/>
  <c r="J3" i="2"/>
  <c r="L3" i="2" s="1"/>
  <c r="J2" i="2"/>
  <c r="L2" i="2" s="1"/>
  <c r="J3" i="3"/>
  <c r="L3" i="3" s="1"/>
  <c r="J4" i="3"/>
  <c r="L4" i="3" s="1"/>
  <c r="J5" i="3"/>
  <c r="L5" i="3" s="1"/>
  <c r="J6" i="3"/>
  <c r="L6" i="3" s="1"/>
  <c r="J8" i="3"/>
  <c r="L8" i="3" s="1"/>
  <c r="J9" i="3"/>
  <c r="L9" i="3" s="1"/>
  <c r="J10" i="3"/>
  <c r="L10" i="3" s="1"/>
  <c r="J11" i="3"/>
  <c r="L11" i="3" s="1"/>
  <c r="J12" i="3"/>
  <c r="L12" i="3" s="1"/>
  <c r="J13" i="3"/>
  <c r="L13" i="3" s="1"/>
  <c r="J14" i="3"/>
  <c r="L14" i="3" s="1"/>
  <c r="J15" i="3"/>
  <c r="L15" i="3" s="1"/>
  <c r="J16" i="3"/>
  <c r="L16" i="3" s="1"/>
  <c r="J17" i="3"/>
  <c r="L17" i="3" s="1"/>
  <c r="J19" i="3"/>
  <c r="L19" i="3" s="1"/>
  <c r="J21" i="3"/>
  <c r="L21" i="3" s="1"/>
  <c r="J22" i="3"/>
  <c r="L22" i="3" s="1"/>
  <c r="J23" i="3"/>
  <c r="L23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6" i="3"/>
  <c r="L46" i="3" s="1"/>
  <c r="J47" i="3"/>
  <c r="L47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L55" i="3" s="1"/>
  <c r="J56" i="3"/>
  <c r="L56" i="3" s="1"/>
  <c r="J57" i="3"/>
  <c r="L57" i="3" s="1"/>
  <c r="J58" i="3"/>
  <c r="L58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L69" i="3" s="1"/>
  <c r="J71" i="3"/>
  <c r="L71" i="3" s="1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L85" i="3" s="1"/>
  <c r="J86" i="3"/>
  <c r="L86" i="3" s="1"/>
  <c r="J87" i="3"/>
  <c r="L87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J99" i="3"/>
  <c r="L99" i="3" s="1"/>
  <c r="J100" i="3"/>
  <c r="L100" i="3" s="1"/>
  <c r="J101" i="3"/>
  <c r="L101" i="3" s="1"/>
  <c r="J102" i="3"/>
  <c r="L102" i="3" s="1"/>
  <c r="J103" i="3"/>
  <c r="L103" i="3" s="1"/>
  <c r="J104" i="3"/>
  <c r="L104" i="3" s="1"/>
  <c r="J105" i="3"/>
  <c r="L105" i="3" s="1"/>
  <c r="J3" i="4"/>
  <c r="L3" i="4" s="1"/>
  <c r="J4" i="4"/>
  <c r="L4" i="4" s="1"/>
  <c r="J5" i="4"/>
  <c r="L5" i="4" s="1"/>
  <c r="J7" i="4"/>
  <c r="L7" i="4" s="1"/>
  <c r="J8" i="4"/>
  <c r="L8" i="4" s="1"/>
  <c r="J10" i="4"/>
  <c r="L10" i="4" s="1"/>
  <c r="J11" i="4"/>
  <c r="L11" i="4" s="1"/>
  <c r="J13" i="4"/>
  <c r="L13" i="4" s="1"/>
  <c r="J15" i="4"/>
  <c r="L15" i="4" s="1"/>
  <c r="J17" i="4"/>
  <c r="L17" i="4" s="1"/>
  <c r="J18" i="4"/>
  <c r="L18" i="4" s="1"/>
  <c r="J19" i="4"/>
  <c r="L19" i="4" s="1"/>
  <c r="J20" i="4"/>
  <c r="L20" i="4" s="1"/>
  <c r="J21" i="4"/>
  <c r="L21" i="4" s="1"/>
  <c r="J22" i="4"/>
  <c r="L22" i="4" s="1"/>
  <c r="J23" i="4"/>
  <c r="L23" i="4" s="1"/>
  <c r="J24" i="4"/>
  <c r="L24" i="4" s="1"/>
  <c r="J25" i="4"/>
  <c r="L25" i="4" s="1"/>
  <c r="J26" i="4"/>
  <c r="L26" i="4" s="1"/>
  <c r="J27" i="4"/>
  <c r="L27" i="4" s="1"/>
  <c r="J28" i="4"/>
  <c r="L28" i="4" s="1"/>
  <c r="J3" i="5"/>
  <c r="L3" i="5" s="1"/>
  <c r="J4" i="5"/>
  <c r="L4" i="5" s="1"/>
  <c r="J5" i="5"/>
  <c r="L5" i="5" s="1"/>
  <c r="J6" i="5"/>
  <c r="L6" i="5" s="1"/>
  <c r="J7" i="5"/>
  <c r="L7" i="5" s="1"/>
  <c r="J10" i="5"/>
  <c r="L10" i="5" s="1"/>
  <c r="J11" i="5"/>
  <c r="L11" i="5" s="1"/>
  <c r="J12" i="5"/>
  <c r="L12" i="5" s="1"/>
  <c r="J13" i="5"/>
  <c r="L13" i="5" s="1"/>
  <c r="J14" i="5"/>
  <c r="L14" i="5" s="1"/>
  <c r="J15" i="5"/>
  <c r="L15" i="5" s="1"/>
  <c r="J16" i="5"/>
  <c r="L16" i="5" s="1"/>
  <c r="J17" i="5"/>
  <c r="L17" i="5" s="1"/>
  <c r="J18" i="5"/>
  <c r="L18" i="5" s="1"/>
  <c r="J19" i="5"/>
  <c r="L19" i="5" s="1"/>
  <c r="J20" i="5"/>
  <c r="L20" i="5" s="1"/>
  <c r="J21" i="5"/>
  <c r="L21" i="5" s="1"/>
  <c r="J22" i="5"/>
  <c r="L22" i="5" s="1"/>
  <c r="J23" i="5"/>
  <c r="L23" i="5" s="1"/>
  <c r="J24" i="5"/>
  <c r="L24" i="5" s="1"/>
  <c r="J25" i="5"/>
  <c r="L25" i="5" s="1"/>
  <c r="J26" i="5"/>
  <c r="L26" i="5" s="1"/>
  <c r="J27" i="5"/>
  <c r="L27" i="5" s="1"/>
  <c r="J28" i="5"/>
  <c r="L28" i="5" s="1"/>
  <c r="J29" i="5"/>
  <c r="L29" i="5" s="1"/>
  <c r="J31" i="5"/>
  <c r="L31" i="5" s="1"/>
  <c r="J32" i="5"/>
  <c r="L32" i="5" s="1"/>
  <c r="J33" i="5"/>
  <c r="L33" i="5" s="1"/>
  <c r="J34" i="5"/>
  <c r="L34" i="5" s="1"/>
  <c r="J35" i="5"/>
  <c r="L35" i="5" s="1"/>
  <c r="J36" i="5"/>
  <c r="L36" i="5" s="1"/>
  <c r="J37" i="5"/>
  <c r="L37" i="5" s="1"/>
  <c r="J38" i="5"/>
  <c r="L38" i="5" s="1"/>
  <c r="J39" i="5"/>
  <c r="L39" i="5" s="1"/>
  <c r="J40" i="5"/>
  <c r="L40" i="5" s="1"/>
  <c r="J41" i="5"/>
  <c r="L41" i="5" s="1"/>
  <c r="J42" i="5"/>
  <c r="L42" i="5" s="1"/>
  <c r="J43" i="5"/>
  <c r="L43" i="5" s="1"/>
  <c r="J44" i="5"/>
  <c r="L44" i="5" s="1"/>
  <c r="J45" i="5"/>
  <c r="L45" i="5" s="1"/>
  <c r="J46" i="5"/>
  <c r="L46" i="5" s="1"/>
  <c r="J47" i="5"/>
  <c r="L47" i="5" s="1"/>
  <c r="J48" i="5"/>
  <c r="L48" i="5" s="1"/>
  <c r="J49" i="5"/>
  <c r="L49" i="5" s="1"/>
  <c r="J50" i="5"/>
  <c r="L50" i="5" s="1"/>
  <c r="J51" i="5"/>
  <c r="L51" i="5" s="1"/>
  <c r="J52" i="5"/>
  <c r="L52" i="5" s="1"/>
  <c r="J53" i="5"/>
  <c r="L53" i="5" s="1"/>
  <c r="J54" i="5"/>
  <c r="L54" i="5" s="1"/>
  <c r="J55" i="5"/>
  <c r="L55" i="5" s="1"/>
  <c r="J57" i="5"/>
  <c r="L57" i="5" s="1"/>
  <c r="J58" i="5"/>
  <c r="L58" i="5" s="1"/>
  <c r="J59" i="5"/>
  <c r="L59" i="5" s="1"/>
  <c r="J60" i="5"/>
  <c r="L60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J67" i="5"/>
  <c r="L67" i="5" s="1"/>
  <c r="J68" i="5"/>
  <c r="L68" i="5" s="1"/>
  <c r="J69" i="5"/>
  <c r="L69" i="5" s="1"/>
  <c r="J70" i="5"/>
  <c r="L70" i="5" s="1"/>
  <c r="J71" i="5"/>
  <c r="L71" i="5" s="1"/>
  <c r="J72" i="5"/>
  <c r="L72" i="5" s="1"/>
  <c r="J73" i="5"/>
  <c r="L73" i="5" s="1"/>
  <c r="J75" i="5"/>
  <c r="L75" i="5" s="1"/>
  <c r="J76" i="5"/>
  <c r="L76" i="5" s="1"/>
  <c r="J77" i="5"/>
  <c r="L77" i="5" s="1"/>
  <c r="J78" i="5"/>
  <c r="L78" i="5" s="1"/>
  <c r="J79" i="5"/>
  <c r="L79" i="5" s="1"/>
  <c r="J80" i="5"/>
  <c r="L80" i="5" s="1"/>
  <c r="J81" i="5"/>
  <c r="L81" i="5" s="1"/>
  <c r="J82" i="5"/>
  <c r="L82" i="5" s="1"/>
  <c r="J83" i="5"/>
  <c r="L83" i="5" s="1"/>
  <c r="J84" i="5"/>
  <c r="L84" i="5" s="1"/>
  <c r="J85" i="5"/>
  <c r="L85" i="5" s="1"/>
  <c r="J86" i="5"/>
  <c r="L86" i="5" s="1"/>
  <c r="J87" i="5"/>
  <c r="L87" i="5" s="1"/>
  <c r="J88" i="5"/>
  <c r="L88" i="5" s="1"/>
  <c r="J89" i="5"/>
  <c r="L89" i="5" s="1"/>
  <c r="J90" i="5"/>
  <c r="L90" i="5" s="1"/>
  <c r="J91" i="5"/>
  <c r="L91" i="5" s="1"/>
  <c r="J92" i="5"/>
  <c r="L92" i="5" s="1"/>
  <c r="J93" i="5"/>
  <c r="L93" i="5" s="1"/>
  <c r="J94" i="5"/>
  <c r="L94" i="5" s="1"/>
  <c r="J95" i="5"/>
  <c r="L95" i="5" s="1"/>
  <c r="J96" i="5"/>
  <c r="L96" i="5" s="1"/>
  <c r="J97" i="5"/>
  <c r="L97" i="5" s="1"/>
  <c r="J98" i="5"/>
  <c r="L98" i="5" s="1"/>
  <c r="J99" i="5"/>
  <c r="L99" i="5" s="1"/>
  <c r="J100" i="5"/>
  <c r="L100" i="5" s="1"/>
  <c r="J101" i="5"/>
  <c r="L101" i="5" s="1"/>
  <c r="J102" i="5"/>
  <c r="L102" i="5" s="1"/>
  <c r="J103" i="5"/>
  <c r="L103" i="5" s="1"/>
  <c r="J104" i="5"/>
  <c r="L104" i="5" s="1"/>
  <c r="J105" i="5"/>
  <c r="L105" i="5" s="1"/>
  <c r="J106" i="5"/>
  <c r="L106" i="5" s="1"/>
  <c r="J107" i="5"/>
  <c r="L107" i="5" s="1"/>
  <c r="J108" i="5"/>
  <c r="L108" i="5" s="1"/>
  <c r="J109" i="5"/>
  <c r="L109" i="5" s="1"/>
  <c r="J110" i="5"/>
  <c r="L110" i="5" s="1"/>
  <c r="J111" i="5"/>
  <c r="L111" i="5" s="1"/>
  <c r="J112" i="5"/>
  <c r="L112" i="5" s="1"/>
  <c r="J113" i="5"/>
  <c r="L113" i="5" s="1"/>
  <c r="J114" i="5"/>
  <c r="L114" i="5" s="1"/>
  <c r="J115" i="5"/>
  <c r="L115" i="5" s="1"/>
  <c r="J116" i="5"/>
  <c r="L116" i="5" s="1"/>
  <c r="J117" i="5"/>
  <c r="L117" i="5" s="1"/>
  <c r="J118" i="5"/>
  <c r="L118" i="5" s="1"/>
  <c r="J119" i="5"/>
  <c r="L119" i="5" s="1"/>
  <c r="J121" i="5"/>
  <c r="L121" i="5" s="1"/>
  <c r="J122" i="5"/>
  <c r="L122" i="5" s="1"/>
  <c r="J123" i="5"/>
  <c r="L123" i="5" s="1"/>
  <c r="J124" i="5"/>
  <c r="L124" i="5" s="1"/>
  <c r="J125" i="5"/>
  <c r="L125" i="5" s="1"/>
  <c r="J126" i="5"/>
  <c r="L126" i="5" s="1"/>
  <c r="J127" i="5"/>
  <c r="L127" i="5" s="1"/>
  <c r="J128" i="5"/>
  <c r="L128" i="5" s="1"/>
  <c r="J129" i="5"/>
  <c r="L129" i="5" s="1"/>
  <c r="J130" i="5"/>
  <c r="L130" i="5" s="1"/>
  <c r="J131" i="5"/>
  <c r="L131" i="5" s="1"/>
  <c r="J132" i="5"/>
  <c r="L132" i="5" s="1"/>
  <c r="C5" i="1" l="1"/>
  <c r="C13" i="1"/>
  <c r="B14" i="1"/>
  <c r="C16" i="1"/>
  <c r="B25" i="1"/>
  <c r="B31" i="1"/>
  <c r="C25" i="1"/>
  <c r="B3" i="1"/>
  <c r="C15" i="1"/>
  <c r="B16" i="1"/>
  <c r="C4" i="1"/>
  <c r="C18" i="1"/>
  <c r="B27" i="1"/>
  <c r="B17" i="1"/>
  <c r="B10" i="1"/>
  <c r="B15" i="1"/>
  <c r="B9" i="1"/>
  <c r="C22" i="1"/>
  <c r="B11" i="1"/>
  <c r="B18" i="1"/>
  <c r="C26" i="1"/>
  <c r="C19" i="1"/>
  <c r="C20" i="1"/>
  <c r="B28" i="1"/>
  <c r="B4" i="1"/>
  <c r="B6" i="1"/>
  <c r="C2" i="1"/>
  <c r="C7" i="1"/>
  <c r="C21" i="1"/>
  <c r="B12" i="1"/>
  <c r="B20" i="1"/>
  <c r="C8" i="1"/>
  <c r="C27" i="1"/>
  <c r="C12" i="1"/>
  <c r="B19" i="1"/>
  <c r="B2" i="1"/>
  <c r="B21" i="1"/>
  <c r="C9" i="1"/>
  <c r="B5" i="1"/>
  <c r="D5" i="1" s="1"/>
  <c r="B26" i="1"/>
  <c r="B13" i="1"/>
  <c r="B7" i="1"/>
  <c r="B22" i="1"/>
  <c r="B8" i="1"/>
  <c r="C14" i="1"/>
  <c r="C3" i="1"/>
  <c r="C28" i="1"/>
  <c r="C29" i="1"/>
  <c r="B29" i="1"/>
  <c r="C10" i="1"/>
  <c r="C17" i="1"/>
  <c r="C30" i="1"/>
  <c r="B30" i="1"/>
  <c r="C6" i="1"/>
  <c r="C11" i="1"/>
  <c r="C31" i="1"/>
  <c r="D24" i="1"/>
  <c r="D23" i="1"/>
  <c r="J2" i="5"/>
  <c r="L2" i="5" s="1"/>
  <c r="J2" i="4"/>
  <c r="L2" i="4" s="1"/>
  <c r="J2" i="3"/>
  <c r="L2" i="3" s="1"/>
  <c r="D13" i="1" l="1"/>
  <c r="D14" i="1"/>
  <c r="D17" i="1"/>
  <c r="D10" i="1"/>
  <c r="D25" i="1"/>
  <c r="D31" i="1"/>
  <c r="D15" i="1"/>
  <c r="D16" i="1"/>
  <c r="D22" i="1"/>
  <c r="D27" i="1"/>
  <c r="D3" i="1"/>
  <c r="D4" i="1"/>
  <c r="D26" i="1"/>
  <c r="D18" i="1"/>
  <c r="D20" i="1"/>
  <c r="D6" i="1"/>
  <c r="D28" i="1"/>
  <c r="D9" i="1"/>
  <c r="D11" i="1"/>
  <c r="D2" i="1"/>
  <c r="D21" i="1"/>
  <c r="D7" i="1"/>
  <c r="D19" i="1"/>
  <c r="D8" i="1"/>
  <c r="D30" i="1"/>
  <c r="D12" i="1"/>
  <c r="D29" i="1"/>
</calcChain>
</file>

<file path=xl/sharedStrings.xml><?xml version="1.0" encoding="utf-8"?>
<sst xmlns="http://schemas.openxmlformats.org/spreadsheetml/2006/main" count="3517" uniqueCount="160">
  <si>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</si>
  <si>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</si>
  <si>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</si>
  <si>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</si>
  <si>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</si>
  <si>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</si>
  <si>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</si>
  <si>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</si>
  <si>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</si>
  <si>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</si>
  <si>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</si>
  <si>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</si>
  <si>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</si>
  <si>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</si>
  <si>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</si>
  <si>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</si>
  <si>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</si>
  <si>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</si>
  <si>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</si>
  <si>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</si>
  <si>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</si>
  <si>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</si>
  <si>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</si>
  <si>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</si>
  <si>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</si>
  <si>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</si>
  <si>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</si>
  <si>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</si>
  <si>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</si>
  <si>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</si>
  <si>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</si>
  <si>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</si>
  <si>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</si>
  <si>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</si>
  <si>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</si>
  <si>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</si>
  <si>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</si>
  <si>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</si>
  <si>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</si>
  <si>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</si>
  <si>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</si>
  <si>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</si>
  <si>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</si>
  <si>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</si>
  <si>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</si>
  <si>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</si>
  <si>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</si>
  <si>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</si>
  <si>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</si>
  <si>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</si>
  <si>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</si>
  <si>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</si>
  <si>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</si>
  <si>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</si>
  <si>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</si>
  <si>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</si>
  <si>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</si>
  <si>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</si>
  <si>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</si>
  <si>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</si>
  <si>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</si>
  <si>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</si>
  <si>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</si>
  <si>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</si>
  <si>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</si>
  <si>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</si>
  <si>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</si>
  <si>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</si>
  <si>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</si>
  <si>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</si>
  <si>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</si>
  <si>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</si>
  <si>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</si>
  <si>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</si>
  <si>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</si>
  <si>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</si>
  <si>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</si>
  <si>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</si>
  <si>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</si>
  <si>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</si>
  <si>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</si>
  <si>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</si>
  <si>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</si>
  <si>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</si>
  <si>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</si>
  <si>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</si>
  <si>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</si>
  <si>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</si>
  <si>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</si>
  <si>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</si>
  <si>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Turpentine</t>
  </si>
  <si>
    <t>Wood, Cam</t>
  </si>
  <si>
    <t>Barbados T…</t>
  </si>
  <si>
    <t>Old Pewter</t>
  </si>
  <si>
    <t>Tortola</t>
  </si>
  <si>
    <t>Tamarinds</t>
  </si>
  <si>
    <t>Cascarilla</t>
  </si>
  <si>
    <t>Hypococania</t>
  </si>
  <si>
    <t>Wood, Cocus</t>
  </si>
  <si>
    <t>Wood, Cocoa</t>
  </si>
  <si>
    <t>WestIndiesGeneral</t>
  </si>
  <si>
    <t>Balsam Natural</t>
  </si>
  <si>
    <t>Gum Seneca</t>
  </si>
  <si>
    <t>Gum Guiaci</t>
  </si>
  <si>
    <t>Beaver Skins</t>
  </si>
  <si>
    <t>Whalefins</t>
  </si>
  <si>
    <t>Potatoes</t>
  </si>
  <si>
    <t>Balsam Capavia</t>
  </si>
  <si>
    <t>20.5g</t>
  </si>
  <si>
    <t>29999.5g</t>
  </si>
  <si>
    <t>58t 1h 56g</t>
  </si>
  <si>
    <t>318.25bags</t>
  </si>
  <si>
    <t>103g</t>
  </si>
  <si>
    <t>14036g</t>
  </si>
  <si>
    <t>110t 3h 61g</t>
  </si>
  <si>
    <t>Wood, Camwood</t>
  </si>
  <si>
    <t>261bags+161lb</t>
  </si>
  <si>
    <t>2h 31g</t>
  </si>
  <si>
    <t>Balsam Artificial</t>
  </si>
  <si>
    <t>Jollop</t>
  </si>
  <si>
    <t>9164g</t>
  </si>
  <si>
    <t>36g</t>
  </si>
  <si>
    <t>215029g</t>
  </si>
  <si>
    <t>29t 7g</t>
  </si>
  <si>
    <t>461bags+146lb</t>
  </si>
  <si>
    <t>1g</t>
  </si>
  <si>
    <t>2790.5g</t>
  </si>
  <si>
    <t>1h 52g</t>
  </si>
  <si>
    <t>93bags</t>
  </si>
  <si>
    <t>3g</t>
  </si>
  <si>
    <t>943g</t>
  </si>
  <si>
    <t>1t 1h 33g</t>
  </si>
  <si>
    <t>120bags</t>
  </si>
  <si>
    <t>9g</t>
  </si>
  <si>
    <t>8382.5g</t>
  </si>
  <si>
    <t>117t 2h 2g</t>
  </si>
  <si>
    <t>325.5bags</t>
  </si>
  <si>
    <t>10t 2h</t>
  </si>
  <si>
    <t>4720.5g</t>
  </si>
  <si>
    <t>11t 1h 16g</t>
  </si>
  <si>
    <t>1846bags+120lb</t>
  </si>
  <si>
    <t>7g</t>
  </si>
  <si>
    <t>10610.5g</t>
  </si>
  <si>
    <t>3t 2h 55g</t>
  </si>
  <si>
    <t>1695bags</t>
  </si>
  <si>
    <t>951g</t>
  </si>
  <si>
    <t>91683g</t>
  </si>
  <si>
    <t>8t 1h 2g</t>
  </si>
  <si>
    <t>1342bags</t>
  </si>
  <si>
    <t>2g</t>
  </si>
  <si>
    <t>601g</t>
  </si>
  <si>
    <t>6g</t>
  </si>
  <si>
    <t>125bags</t>
  </si>
  <si>
    <t>20g</t>
  </si>
  <si>
    <t>56.5bags</t>
  </si>
  <si>
    <t>1911g</t>
  </si>
  <si>
    <t>9t 3h 9g</t>
  </si>
  <si>
    <t>1103bags</t>
  </si>
  <si>
    <t>84g</t>
  </si>
  <si>
    <t>219bags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</si>
</sst>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F11" sqref="F11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 + SUMIFS(WestIndiesGeneral!$L:$L, WestIndiesGeneral!$B:$B, $A2, WestIndiesGeneral!$D:$D, "London")</f>
        <v>0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 + SUMIFS(WestIndiesGeneral!$L:$L, WestIndiesGeneral!$B:$B, $A2, WestIndiesGeneral!$D:$D, "London")</f>
        <v>0</v>
      </c>
      <c r="D2">
        <f>B2+C2</f>
        <v>0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 + SUMIFS(WestIndiesGeneral!$L:$L, WestIndiesGeneral!$B:$B, $A3, WestIndiesGeneral!$D:$D, "London")</f>
        <v>10.5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 + SUMIFS(WestIndiesGeneral!$L:$L, WestIndiesGeneral!$B:$B, $A3, WestIndiesGeneral!$D:$D, "London")</f>
        <v>0.61830357142857151</v>
      </c>
      <c r="D3">
        <f t="shared" ref="D3:D31" si="0">B3+C3</f>
        <v>11.118303571428571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 + SUMIFS(WestIndiesGeneral!$L:$L, WestIndiesGeneral!$B:$B, $A4, WestIndiesGeneral!$D:$D, "London")</f>
        <v>35192.117857142861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 + SUMIFS(WestIndiesGeneral!$L:$L, WestIndiesGeneral!$B:$B, $A4, WestIndiesGeneral!$D:$D, "London")</f>
        <v>12290.125892857142</v>
      </c>
      <c r="D4">
        <f t="shared" si="0"/>
        <v>47482.243750000001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 + SUMIFS(WestIndiesGeneral!$L:$L, WestIndiesGeneral!$B:$B, $A5, WestIndiesGeneral!$D:$D, "London")</f>
        <v>0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 + SUMIFS(WestIndiesGeneral!$L:$L, WestIndiesGeneral!$B:$B, $A5, WestIndiesGeneral!$D:$D, "London")</f>
        <v>0</v>
      </c>
      <c r="D5">
        <f t="shared" si="0"/>
        <v>0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 + SUMIFS(WestIndiesGeneral!$L:$L, WestIndiesGeneral!$B:$B, $A6, WestIndiesGeneral!$D:$D, "London")</f>
        <v>0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 + SUMIFS(WestIndiesGeneral!$L:$L, WestIndiesGeneral!$B:$B, $A6, WestIndiesGeneral!$D:$D, "London")</f>
        <v>2.8624999999999998</v>
      </c>
      <c r="D6">
        <f t="shared" si="0"/>
        <v>2.8624999999999998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 + SUMIFS(WestIndiesGeneral!$L:$L, WestIndiesGeneral!$B:$B, $A7, WestIndiesGeneral!$D:$D, "London")</f>
        <v>141.09687500000001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 + SUMIFS(WestIndiesGeneral!$L:$L, WestIndiesGeneral!$B:$B, $A7, WestIndiesGeneral!$D:$D, "London")</f>
        <v>550.72321428571422</v>
      </c>
      <c r="D7">
        <f t="shared" si="0"/>
        <v>691.82008928571418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 + SUMIFS(WestIndiesGeneral!$L:$L, WestIndiesGeneral!$B:$B, $A8, WestIndiesGeneral!$D:$D, "London")</f>
        <v>873.21919642857154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 + SUMIFS(WestIndiesGeneral!$L:$L, WestIndiesGeneral!$B:$B, $A8, WestIndiesGeneral!$D:$D, "London")</f>
        <v>603.28169642857142</v>
      </c>
      <c r="D8">
        <f t="shared" si="0"/>
        <v>1476.5008928571428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 + SUMIFS(WestIndiesGeneral!$L:$L, WestIndiesGeneral!$B:$B, $A9, WestIndiesGeneral!$D:$D, "London")</f>
        <v>32.828125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 + SUMIFS(WestIndiesGeneral!$L:$L, WestIndiesGeneral!$B:$B, $A9, WestIndiesGeneral!$D:$D, "London")</f>
        <v>32.854910714285715</v>
      </c>
      <c r="D9">
        <f t="shared" si="0"/>
        <v>65.683035714285722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 + SUMIFS(WestIndiesGeneral!$L:$L, WestIndiesGeneral!$B:$B, $A10, WestIndiesGeneral!$D:$D, "London")</f>
        <v>27.405803571428574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 + SUMIFS(WestIndiesGeneral!$L:$L, WestIndiesGeneral!$B:$B, $A10, WestIndiesGeneral!$D:$D, "London")</f>
        <v>11.000446428571427</v>
      </c>
      <c r="D10">
        <f t="shared" si="0"/>
        <v>38.40625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 + SUMIFS(WestIndiesGeneral!$L:$L, WestIndiesGeneral!$B:$B, $A11, WestIndiesGeneral!$D:$D, "London")</f>
        <v>30.887499999999999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 + SUMIFS(WestIndiesGeneral!$L:$L, WestIndiesGeneral!$B:$B, $A11, WestIndiesGeneral!$D:$D, "London")</f>
        <v>0.32857142857142857</v>
      </c>
      <c r="D11">
        <f t="shared" si="0"/>
        <v>31.216071428571428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 + SUMIFS(WestIndiesGeneral!$L:$L, WestIndiesGeneral!$B:$B, $A12, WestIndiesGeneral!$D:$D, "London")</f>
        <v>41.381250000000001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 + SUMIFS(WestIndiesGeneral!$L:$L, WestIndiesGeneral!$B:$B, $A12, WestIndiesGeneral!$D:$D, "London")</f>
        <v>4.2466517857142856</v>
      </c>
      <c r="D12">
        <f t="shared" si="0"/>
        <v>45.627901785714286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 + SUMIFS(WestIndiesGeneral!$L:$L, WestIndiesGeneral!$B:$B, $A13, WestIndiesGeneral!$D:$D, "London")</f>
        <v>0.85133928571428574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 + SUMIFS(WestIndiesGeneral!$L:$L, WestIndiesGeneral!$B:$B, $A13, WestIndiesGeneral!$D:$D, "London")</f>
        <v>0</v>
      </c>
      <c r="D13">
        <f t="shared" si="0"/>
        <v>0.85133928571428574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 + SUMIFS(WestIndiesGeneral!$L:$L, WestIndiesGeneral!$B:$B, $A14, WestIndiesGeneral!$D:$D, "London")</f>
        <v>230.43526785714283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 + SUMIFS(WestIndiesGeneral!$L:$L, WestIndiesGeneral!$B:$B, $A14, WestIndiesGeneral!$D:$D, "London")</f>
        <v>186.671875</v>
      </c>
      <c r="D14">
        <f t="shared" si="0"/>
        <v>417.10714285714283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 + SUMIFS(WestIndiesGeneral!$L:$L, WestIndiesGeneral!$B:$B, $A15, WestIndiesGeneral!$D:$D, "London")</f>
        <v>11.5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 + SUMIFS(WestIndiesGeneral!$L:$L, WestIndiesGeneral!$B:$B, $A15, WestIndiesGeneral!$D:$D, "London")</f>
        <v>3.9249999999999998</v>
      </c>
      <c r="D15">
        <f t="shared" si="0"/>
        <v>15.425000000000001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 + SUMIFS(WestIndiesGeneral!$L:$L, WestIndiesGeneral!$B:$B, $A16, WestIndiesGeneral!$D:$D, "London")</f>
        <v>1210.938169642857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 + SUMIFS(WestIndiesGeneral!$L:$L, WestIndiesGeneral!$B:$B, $A16, WestIndiesGeneral!$D:$D, "London")</f>
        <v>489.17031249999997</v>
      </c>
      <c r="D16">
        <f t="shared" si="0"/>
        <v>1700.1084821428569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 + SUMIFS(WestIndiesGeneral!$L:$L, WestIndiesGeneral!$B:$B, $A17, WestIndiesGeneral!$D:$D, "London")</f>
        <v>0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 + SUMIFS(WestIndiesGeneral!$L:$L, WestIndiesGeneral!$B:$B, $A17, WestIndiesGeneral!$D:$D, "London")</f>
        <v>2.0812500000000003</v>
      </c>
      <c r="D17">
        <f t="shared" si="0"/>
        <v>2.0812500000000003</v>
      </c>
    </row>
    <row r="18" spans="1:4" x14ac:dyDescent="0.25">
      <c r="A18" t="s">
        <v>54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 + SUMIFS(WestIndiesGeneral!$L:$L, WestIndiesGeneral!$B:$B, $A18, WestIndiesGeneral!$D:$D, "London")</f>
        <v>2.3776785714285711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 + SUMIFS(WestIndiesGeneral!$L:$L, WestIndiesGeneral!$B:$B, $A18, WestIndiesGeneral!$D:$D, "London")</f>
        <v>0.14821428571428572</v>
      </c>
      <c r="D18">
        <f t="shared" si="0"/>
        <v>2.5258928571428569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 + SUMIFS(WestIndiesGeneral!$L:$L, WestIndiesGeneral!$B:$B, $A19, WestIndiesGeneral!$D:$D, "London")</f>
        <v>0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 + SUMIFS(WestIndiesGeneral!$L:$L, WestIndiesGeneral!$B:$B, $A19, WestIndiesGeneral!$D:$D, "London")</f>
        <v>0</v>
      </c>
      <c r="D19">
        <f t="shared" si="0"/>
        <v>0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 + SUMIFS(WestIndiesGeneral!$L:$L, WestIndiesGeneral!$B:$B, $A20, WestIndiesGeneral!$D:$D, "London")</f>
        <v>2.7749999999999999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 + SUMIFS(WestIndiesGeneral!$L:$L, WestIndiesGeneral!$B:$B, $A20, WestIndiesGeneral!$D:$D, "London")</f>
        <v>0.47589285714285717</v>
      </c>
      <c r="D20">
        <f t="shared" si="0"/>
        <v>3.250892857142857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 + SUMIFS(WestIndiesGeneral!$L:$L, WestIndiesGeneral!$B:$B, $A21, WestIndiesGeneral!$D:$D, "London")</f>
        <v>0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 + SUMIFS(WestIndiesGeneral!$L:$L, WestIndiesGeneral!$B:$B, $A21, WestIndiesGeneral!$D:$D, "London")</f>
        <v>0</v>
      </c>
      <c r="D21">
        <f t="shared" si="0"/>
        <v>0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 + SUMIFS(WestIndiesGeneral!$L:$L, WestIndiesGeneral!$B:$B, $A22, WestIndiesGeneral!$D:$D,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 + SUMIFS(WestIndiesGeneral!$L:$L, WestIndiesGeneral!$B:$B, $A22, WestIndiesGeneral!$D:$D, "London")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 + SUMIFS(WestIndiesGeneral!$L:$L, WestIndiesGeneral!$B:$B, $A23, WestIndiesGeneral!$D:$D,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 + SUMIFS(WestIndiesGeneral!$L:$L, WestIndiesGeneral!$B:$B, $A23, WestIndiesGeneral!$D:$D, "London")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 + SUMIFS(WestIndiesGeneral!$L:$L, WestIndiesGeneral!$B:$B, $A24, WestIndiesGeneral!$D:$D,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 + SUMIFS(WestIndiesGeneral!$L:$L, WestIndiesGeneral!$B:$B, $A24, WestIndiesGeneral!$D:$D, "London")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 + SUMIFS(WestIndiesGeneral!$L:$L, WestIndiesGeneral!$B:$B, $A25, WestIndiesGeneral!$D:$D, "London")</f>
        <v>11.101785714285715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 + SUMIFS(WestIndiesGeneral!$L:$L, WestIndiesGeneral!$B:$B, $A25, WestIndiesGeneral!$D:$D, "London")</f>
        <v>0</v>
      </c>
      <c r="D25">
        <f t="shared" si="0"/>
        <v>11.101785714285715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 + SUMIFS(WestIndiesGeneral!$L:$L, WestIndiesGeneral!$B:$B, $A26, WestIndiesGeneral!$D:$D, "London")</f>
        <v>370.17589285714286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 + SUMIFS(WestIndiesGeneral!$L:$L, WestIndiesGeneral!$B:$B, $A26, WestIndiesGeneral!$D:$D, "London")</f>
        <v>49.062053571428578</v>
      </c>
      <c r="D26">
        <f t="shared" si="0"/>
        <v>419.23794642857143</v>
      </c>
    </row>
    <row r="27" spans="1:4" x14ac:dyDescent="0.25">
      <c r="A27" t="s">
        <v>61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 + SUMIFS(WestIndiesGeneral!$L:$L, WestIndiesGeneral!$B:$B, $A27, WestIndiesGeneral!$D:$D, "London")</f>
        <v>73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 + SUMIFS(WestIndiesGeneral!$L:$L, WestIndiesGeneral!$B:$B, $A27, WestIndiesGeneral!$D:$D, "London")</f>
        <v>0</v>
      </c>
      <c r="D27">
        <f t="shared" si="0"/>
        <v>73</v>
      </c>
    </row>
    <row r="28" spans="1:4" x14ac:dyDescent="0.25">
      <c r="A28" t="s">
        <v>62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 + SUMIFS(WestIndiesGeneral!$L:$L, WestIndiesGeneral!$B:$B, $A28, WestIndiesGeneral!$D:$D, "London")</f>
        <v>260.02946428571431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 + SUMIFS(WestIndiesGeneral!$L:$L, WestIndiesGeneral!$B:$B, $A28, WestIndiesGeneral!$D:$D, "London")</f>
        <v>166.27321428571429</v>
      </c>
      <c r="D28">
        <f t="shared" si="0"/>
        <v>426.3026785714286</v>
      </c>
    </row>
    <row r="29" spans="1:4" x14ac:dyDescent="0.25">
      <c r="A29" t="s">
        <v>63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 + SUMIFS(WestIndiesGeneral!$L:$L, WestIndiesGeneral!$B:$B, $A29, WestIndiesGeneral!$D:$D, "London")</f>
        <v>502.21205357142856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 + SUMIFS(WestIndiesGeneral!$L:$L, WestIndiesGeneral!$B:$B, $A29, WestIndiesGeneral!$D:$D, "London")</f>
        <v>204.03035714285716</v>
      </c>
      <c r="D29">
        <f t="shared" si="0"/>
        <v>706.24241071428571</v>
      </c>
    </row>
    <row r="30" spans="1:4" x14ac:dyDescent="0.25">
      <c r="A30" t="s">
        <v>64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 + SUMIFS(WestIndiesGeneral!$L:$L, WestIndiesGeneral!$B:$B, $A30, WestIndiesGeneral!$D:$D, "London")</f>
        <v>185.61250000000001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 + SUMIFS(WestIndiesGeneral!$L:$L, WestIndiesGeneral!$B:$B, $A30, WestIndiesGeneral!$D:$D, "London")</f>
        <v>49.736160714285717</v>
      </c>
      <c r="D30">
        <f t="shared" si="0"/>
        <v>235.34866071428573</v>
      </c>
    </row>
    <row r="31" spans="1:4" x14ac:dyDescent="0.25">
      <c r="A31" t="s">
        <v>65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 + SUMIFS(WestIndiesGeneral!$L:$L, WestIndiesGeneral!$B:$B, $A31, WestIndiesGeneral!$D:$D, "London")</f>
        <v>0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 + SUMIFS(WestIndiesGeneral!$L:$L, WestIndiesGeneral!$B:$B, $A31, WestIndiesGeneral!$D:$D, "London")</f>
        <v>0</v>
      </c>
      <c r="D3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A2" sqref="A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B2" t="s">
        <v>55</v>
      </c>
      <c r="C2" t="s">
        <v>75</v>
      </c>
      <c r="D2" t="s">
        <v>33</v>
      </c>
    </row>
    <row r="3" spans="1:12" x14ac:dyDescent="0.25">
      <c r="B3" t="s">
        <v>57</v>
      </c>
      <c r="C3" t="s">
        <v>75</v>
      </c>
      <c r="D3" t="s">
        <v>33</v>
      </c>
    </row>
    <row r="4" spans="1:12" x14ac:dyDescent="0.25">
      <c r="B4" t="s">
        <v>36</v>
      </c>
      <c r="C4" t="s">
        <v>75</v>
      </c>
      <c r="D4" t="s">
        <v>33</v>
      </c>
    </row>
    <row r="5" spans="1:12" x14ac:dyDescent="0.25">
      <c r="B5" t="s">
        <v>4</v>
      </c>
      <c r="C5" t="s">
        <v>75</v>
      </c>
      <c r="D5" t="s">
        <v>33</v>
      </c>
    </row>
    <row r="6" spans="1:12" x14ac:dyDescent="0.25">
      <c r="B6" t="s">
        <v>58</v>
      </c>
      <c r="C6" t="s">
        <v>75</v>
      </c>
      <c r="D6" t="s">
        <v>33</v>
      </c>
    </row>
    <row r="7" spans="1:12" x14ac:dyDescent="0.25">
      <c r="B7" t="s">
        <v>69</v>
      </c>
      <c r="C7" t="s">
        <v>75</v>
      </c>
      <c r="D7" t="s">
        <v>33</v>
      </c>
    </row>
    <row r="8" spans="1:12" x14ac:dyDescent="0.25">
      <c r="B8" t="s">
        <v>43</v>
      </c>
      <c r="C8" t="s">
        <v>75</v>
      </c>
      <c r="D8" t="s">
        <v>33</v>
      </c>
    </row>
    <row r="9" spans="1:12" x14ac:dyDescent="0.25">
      <c r="B9" t="s">
        <v>76</v>
      </c>
      <c r="C9" t="s">
        <v>75</v>
      </c>
      <c r="D9" t="s">
        <v>33</v>
      </c>
    </row>
    <row r="10" spans="1:12" x14ac:dyDescent="0.25">
      <c r="B10" t="s">
        <v>5</v>
      </c>
      <c r="C10" t="s">
        <v>75</v>
      </c>
      <c r="D10" t="s">
        <v>33</v>
      </c>
    </row>
    <row r="11" spans="1:12" x14ac:dyDescent="0.25">
      <c r="B11" t="s">
        <v>59</v>
      </c>
      <c r="C11" t="s">
        <v>75</v>
      </c>
      <c r="D11" t="s">
        <v>33</v>
      </c>
    </row>
    <row r="12" spans="1:12" x14ac:dyDescent="0.25">
      <c r="B12" t="s">
        <v>6</v>
      </c>
      <c r="C12" t="s">
        <v>75</v>
      </c>
      <c r="D12" t="s">
        <v>33</v>
      </c>
    </row>
    <row r="13" spans="1:12" x14ac:dyDescent="0.25">
      <c r="B13" t="s">
        <v>60</v>
      </c>
      <c r="C13" t="s">
        <v>75</v>
      </c>
      <c r="D13" t="s">
        <v>33</v>
      </c>
    </row>
    <row r="14" spans="1:12" x14ac:dyDescent="0.25">
      <c r="B14" t="s">
        <v>38</v>
      </c>
      <c r="C14" t="s">
        <v>75</v>
      </c>
      <c r="D14" t="s">
        <v>33</v>
      </c>
    </row>
    <row r="15" spans="1:12" x14ac:dyDescent="0.25">
      <c r="B15" t="s">
        <v>37</v>
      </c>
      <c r="C15" t="s">
        <v>75</v>
      </c>
      <c r="D15" t="s">
        <v>33</v>
      </c>
    </row>
    <row r="16" spans="1:12" x14ac:dyDescent="0.25">
      <c r="B16" t="s">
        <v>8</v>
      </c>
      <c r="C16" t="s">
        <v>75</v>
      </c>
      <c r="D16" t="s">
        <v>33</v>
      </c>
    </row>
    <row r="17" spans="2:4" x14ac:dyDescent="0.25">
      <c r="B17" t="s">
        <v>40</v>
      </c>
      <c r="C17" t="s">
        <v>75</v>
      </c>
      <c r="D17" t="s">
        <v>33</v>
      </c>
    </row>
    <row r="18" spans="2:4" x14ac:dyDescent="0.25">
      <c r="B18" t="s">
        <v>77</v>
      </c>
      <c r="C18" t="s">
        <v>75</v>
      </c>
      <c r="D18" t="s">
        <v>33</v>
      </c>
    </row>
    <row r="19" spans="2:4" x14ac:dyDescent="0.25">
      <c r="B19" t="s">
        <v>78</v>
      </c>
      <c r="C19" t="s">
        <v>75</v>
      </c>
      <c r="D19" t="s">
        <v>33</v>
      </c>
    </row>
    <row r="20" spans="2:4" x14ac:dyDescent="0.25">
      <c r="B20" t="s">
        <v>46</v>
      </c>
      <c r="C20" t="s">
        <v>75</v>
      </c>
      <c r="D20" t="s">
        <v>33</v>
      </c>
    </row>
    <row r="21" spans="2:4" x14ac:dyDescent="0.25">
      <c r="B21" t="s">
        <v>9</v>
      </c>
      <c r="C21" t="s">
        <v>75</v>
      </c>
      <c r="D21" t="s">
        <v>33</v>
      </c>
    </row>
    <row r="22" spans="2:4" x14ac:dyDescent="0.25">
      <c r="B22" t="s">
        <v>10</v>
      </c>
      <c r="C22" t="s">
        <v>75</v>
      </c>
      <c r="D22" t="s">
        <v>33</v>
      </c>
    </row>
    <row r="23" spans="2:4" x14ac:dyDescent="0.25">
      <c r="B23" t="s">
        <v>11</v>
      </c>
      <c r="C23" t="s">
        <v>75</v>
      </c>
      <c r="D23" t="s">
        <v>33</v>
      </c>
    </row>
    <row r="24" spans="2:4" x14ac:dyDescent="0.25">
      <c r="B24" t="s">
        <v>39</v>
      </c>
      <c r="C24" t="s">
        <v>75</v>
      </c>
      <c r="D24" t="s">
        <v>33</v>
      </c>
    </row>
    <row r="25" spans="2:4" x14ac:dyDescent="0.25">
      <c r="B25" t="s">
        <v>79</v>
      </c>
      <c r="C25" t="s">
        <v>75</v>
      </c>
      <c r="D25" t="s">
        <v>33</v>
      </c>
    </row>
    <row r="26" spans="2:4" x14ac:dyDescent="0.25">
      <c r="B26" t="s">
        <v>103</v>
      </c>
      <c r="C26" t="s">
        <v>75</v>
      </c>
      <c r="D26" t="s">
        <v>33</v>
      </c>
    </row>
    <row r="27" spans="2:4" x14ac:dyDescent="0.25">
      <c r="B27" t="s">
        <v>44</v>
      </c>
      <c r="C27" t="s">
        <v>75</v>
      </c>
      <c r="D27" t="s">
        <v>33</v>
      </c>
    </row>
    <row r="28" spans="2:4" x14ac:dyDescent="0.25">
      <c r="B28" t="s">
        <v>80</v>
      </c>
      <c r="C28" t="s">
        <v>75</v>
      </c>
      <c r="D28" t="s">
        <v>33</v>
      </c>
    </row>
    <row r="29" spans="2:4" x14ac:dyDescent="0.25">
      <c r="B29" t="s">
        <v>81</v>
      </c>
      <c r="C29" t="s">
        <v>75</v>
      </c>
      <c r="D29" t="s">
        <v>33</v>
      </c>
    </row>
    <row r="30" spans="2:4" x14ac:dyDescent="0.25">
      <c r="B30" t="s">
        <v>82</v>
      </c>
      <c r="C30" t="s">
        <v>75</v>
      </c>
      <c r="D30" t="s">
        <v>33</v>
      </c>
    </row>
    <row r="31" spans="2:4" x14ac:dyDescent="0.25">
      <c r="B31" t="s">
        <v>34</v>
      </c>
      <c r="C31" t="s">
        <v>75</v>
      </c>
      <c r="D31" t="s">
        <v>33</v>
      </c>
    </row>
    <row r="32" spans="2:4" x14ac:dyDescent="0.25">
      <c r="B32" t="s">
        <v>13</v>
      </c>
      <c r="C32" t="s">
        <v>75</v>
      </c>
      <c r="D32" t="s">
        <v>33</v>
      </c>
    </row>
    <row r="33" spans="2:4" x14ac:dyDescent="0.25">
      <c r="B33" t="s">
        <v>14</v>
      </c>
      <c r="C33" t="s">
        <v>75</v>
      </c>
      <c r="D33" t="s">
        <v>33</v>
      </c>
    </row>
    <row r="34" spans="2:4" x14ac:dyDescent="0.25">
      <c r="B34" t="s">
        <v>23</v>
      </c>
      <c r="C34" t="s">
        <v>75</v>
      </c>
      <c r="D34" t="s">
        <v>33</v>
      </c>
    </row>
    <row r="35" spans="2:4" x14ac:dyDescent="0.25">
      <c r="B35" t="s">
        <v>27</v>
      </c>
      <c r="C35" t="s">
        <v>75</v>
      </c>
      <c r="D35" t="s">
        <v>33</v>
      </c>
    </row>
    <row r="36" spans="2:4" x14ac:dyDescent="0.25">
      <c r="B36" t="s">
        <v>15</v>
      </c>
      <c r="C36" t="s">
        <v>75</v>
      </c>
      <c r="D36" t="s">
        <v>33</v>
      </c>
    </row>
    <row r="37" spans="2:4" x14ac:dyDescent="0.25">
      <c r="B37" t="s">
        <v>42</v>
      </c>
      <c r="C37" t="s">
        <v>75</v>
      </c>
      <c r="D37" t="s">
        <v>33</v>
      </c>
    </row>
    <row r="38" spans="2:4" x14ac:dyDescent="0.25">
      <c r="B38" t="s">
        <v>83</v>
      </c>
      <c r="C38" t="s">
        <v>75</v>
      </c>
      <c r="D38" t="s">
        <v>33</v>
      </c>
    </row>
    <row r="39" spans="2:4" x14ac:dyDescent="0.25">
      <c r="B39" t="s">
        <v>47</v>
      </c>
      <c r="C39" t="s">
        <v>75</v>
      </c>
      <c r="D39" t="s">
        <v>33</v>
      </c>
    </row>
    <row r="40" spans="2:4" x14ac:dyDescent="0.25">
      <c r="B40" t="s">
        <v>16</v>
      </c>
      <c r="C40" t="s">
        <v>75</v>
      </c>
      <c r="D40" t="s">
        <v>33</v>
      </c>
    </row>
    <row r="41" spans="2:4" x14ac:dyDescent="0.25">
      <c r="B41" t="s">
        <v>17</v>
      </c>
      <c r="C41" t="s">
        <v>75</v>
      </c>
      <c r="D41" t="s">
        <v>33</v>
      </c>
    </row>
    <row r="42" spans="2:4" x14ac:dyDescent="0.25">
      <c r="B42" t="s">
        <v>18</v>
      </c>
      <c r="C42" t="s">
        <v>75</v>
      </c>
      <c r="D42" t="s">
        <v>33</v>
      </c>
    </row>
    <row r="43" spans="2:4" x14ac:dyDescent="0.25">
      <c r="B43" t="s">
        <v>26</v>
      </c>
      <c r="C43" t="s">
        <v>75</v>
      </c>
      <c r="D43" t="s">
        <v>33</v>
      </c>
    </row>
    <row r="44" spans="2:4" x14ac:dyDescent="0.25">
      <c r="B44" t="s">
        <v>84</v>
      </c>
      <c r="C44" t="s">
        <v>75</v>
      </c>
      <c r="D44" t="s">
        <v>33</v>
      </c>
    </row>
    <row r="45" spans="2:4" x14ac:dyDescent="0.25">
      <c r="B45" t="s">
        <v>19</v>
      </c>
      <c r="C45" t="s">
        <v>75</v>
      </c>
      <c r="D45" t="s">
        <v>33</v>
      </c>
    </row>
    <row r="46" spans="2:4" x14ac:dyDescent="0.25">
      <c r="B46" t="s">
        <v>45</v>
      </c>
      <c r="C46" t="s">
        <v>75</v>
      </c>
      <c r="D46" t="s">
        <v>33</v>
      </c>
    </row>
    <row r="47" spans="2:4" x14ac:dyDescent="0.25">
      <c r="B47" t="s">
        <v>85</v>
      </c>
      <c r="C47" t="s">
        <v>75</v>
      </c>
      <c r="D47" t="s">
        <v>33</v>
      </c>
    </row>
    <row r="48" spans="2:4" x14ac:dyDescent="0.25">
      <c r="B48" t="s">
        <v>54</v>
      </c>
      <c r="C48" t="s">
        <v>75</v>
      </c>
      <c r="D48" t="s">
        <v>33</v>
      </c>
    </row>
    <row r="49" spans="2:4" x14ac:dyDescent="0.25">
      <c r="B49" t="s">
        <v>86</v>
      </c>
      <c r="C49" t="s">
        <v>75</v>
      </c>
      <c r="D49" t="s">
        <v>33</v>
      </c>
    </row>
    <row r="50" spans="2:4" x14ac:dyDescent="0.25">
      <c r="B50" t="s">
        <v>20</v>
      </c>
      <c r="C50" t="s">
        <v>75</v>
      </c>
      <c r="D50" t="s">
        <v>33</v>
      </c>
    </row>
    <row r="51" spans="2:4" x14ac:dyDescent="0.25">
      <c r="B51" t="s">
        <v>21</v>
      </c>
      <c r="C51" t="s">
        <v>75</v>
      </c>
      <c r="D51" t="s">
        <v>33</v>
      </c>
    </row>
    <row r="52" spans="2:4" x14ac:dyDescent="0.25">
      <c r="B52" t="s">
        <v>22</v>
      </c>
      <c r="C52" t="s">
        <v>75</v>
      </c>
      <c r="D52" t="s">
        <v>33</v>
      </c>
    </row>
    <row r="53" spans="2:4" x14ac:dyDescent="0.25">
      <c r="B53" t="s">
        <v>61</v>
      </c>
      <c r="C53" t="s">
        <v>75</v>
      </c>
      <c r="D53" t="s">
        <v>33</v>
      </c>
    </row>
    <row r="54" spans="2:4" x14ac:dyDescent="0.25">
      <c r="B54" t="s">
        <v>87</v>
      </c>
      <c r="C54" t="s">
        <v>75</v>
      </c>
      <c r="D54" t="s">
        <v>33</v>
      </c>
    </row>
    <row r="55" spans="2:4" x14ac:dyDescent="0.25">
      <c r="B55" t="s">
        <v>62</v>
      </c>
      <c r="C55" t="s">
        <v>75</v>
      </c>
      <c r="D55" t="s">
        <v>33</v>
      </c>
    </row>
    <row r="56" spans="2:4" x14ac:dyDescent="0.25">
      <c r="B56" t="s">
        <v>88</v>
      </c>
      <c r="C56" t="s">
        <v>75</v>
      </c>
      <c r="D56" t="s">
        <v>33</v>
      </c>
    </row>
    <row r="57" spans="2:4" x14ac:dyDescent="0.25">
      <c r="B57" t="s">
        <v>63</v>
      </c>
      <c r="C57" t="s">
        <v>75</v>
      </c>
      <c r="D57" t="s">
        <v>33</v>
      </c>
    </row>
    <row r="58" spans="2:4" x14ac:dyDescent="0.25">
      <c r="B58" t="s">
        <v>89</v>
      </c>
      <c r="C58" t="s">
        <v>75</v>
      </c>
      <c r="D58" t="s">
        <v>33</v>
      </c>
    </row>
    <row r="59" spans="2:4" x14ac:dyDescent="0.25">
      <c r="B59" t="s">
        <v>70</v>
      </c>
      <c r="C59" t="s">
        <v>75</v>
      </c>
      <c r="D59" t="s">
        <v>33</v>
      </c>
    </row>
    <row r="60" spans="2:4" x14ac:dyDescent="0.25">
      <c r="B60" t="s">
        <v>64</v>
      </c>
      <c r="C60" t="s">
        <v>75</v>
      </c>
      <c r="D60" t="s">
        <v>33</v>
      </c>
    </row>
    <row r="61" spans="2:4" x14ac:dyDescent="0.25">
      <c r="B61" t="s">
        <v>65</v>
      </c>
      <c r="C61" t="s">
        <v>75</v>
      </c>
      <c r="D61" t="s">
        <v>33</v>
      </c>
    </row>
    <row r="62" spans="2:4" x14ac:dyDescent="0.25">
      <c r="B62" t="s">
        <v>4</v>
      </c>
      <c r="C62" t="s">
        <v>75</v>
      </c>
      <c r="D62" t="s">
        <v>35</v>
      </c>
    </row>
    <row r="63" spans="2:4" x14ac:dyDescent="0.25">
      <c r="B63" t="s">
        <v>6</v>
      </c>
      <c r="C63" t="s">
        <v>75</v>
      </c>
      <c r="D63" t="s">
        <v>35</v>
      </c>
    </row>
    <row r="64" spans="2:4" x14ac:dyDescent="0.25">
      <c r="B64" t="s">
        <v>60</v>
      </c>
      <c r="C64" t="s">
        <v>75</v>
      </c>
      <c r="D64" t="s">
        <v>35</v>
      </c>
    </row>
    <row r="65" spans="2:4" x14ac:dyDescent="0.25">
      <c r="B65" t="s">
        <v>7</v>
      </c>
      <c r="C65" t="s">
        <v>75</v>
      </c>
      <c r="D65" t="s">
        <v>35</v>
      </c>
    </row>
    <row r="66" spans="2:4" x14ac:dyDescent="0.25">
      <c r="B66" t="s">
        <v>8</v>
      </c>
      <c r="C66" t="s">
        <v>75</v>
      </c>
      <c r="D66" t="s">
        <v>35</v>
      </c>
    </row>
    <row r="67" spans="2:4" x14ac:dyDescent="0.25">
      <c r="B67" t="s">
        <v>9</v>
      </c>
      <c r="C67" t="s">
        <v>75</v>
      </c>
      <c r="D67" t="s">
        <v>35</v>
      </c>
    </row>
    <row r="68" spans="2:4" x14ac:dyDescent="0.25">
      <c r="B68" t="s">
        <v>10</v>
      </c>
      <c r="C68" t="s">
        <v>75</v>
      </c>
      <c r="D68" t="s">
        <v>35</v>
      </c>
    </row>
    <row r="69" spans="2:4" x14ac:dyDescent="0.25">
      <c r="B69" t="s">
        <v>11</v>
      </c>
      <c r="C69" t="s">
        <v>75</v>
      </c>
      <c r="D69" t="s">
        <v>35</v>
      </c>
    </row>
    <row r="70" spans="2:4" x14ac:dyDescent="0.25">
      <c r="B70" t="s">
        <v>12</v>
      </c>
      <c r="C70" t="s">
        <v>75</v>
      </c>
      <c r="D70" t="s">
        <v>35</v>
      </c>
    </row>
    <row r="71" spans="2:4" x14ac:dyDescent="0.25">
      <c r="B71" t="s">
        <v>13</v>
      </c>
      <c r="C71" t="s">
        <v>75</v>
      </c>
      <c r="D71" t="s">
        <v>35</v>
      </c>
    </row>
    <row r="72" spans="2:4" x14ac:dyDescent="0.25">
      <c r="B72" t="s">
        <v>14</v>
      </c>
      <c r="C72" t="s">
        <v>75</v>
      </c>
      <c r="D72" t="s">
        <v>35</v>
      </c>
    </row>
    <row r="73" spans="2:4" x14ac:dyDescent="0.25">
      <c r="B73" t="s">
        <v>27</v>
      </c>
      <c r="C73" t="s">
        <v>75</v>
      </c>
      <c r="D73" t="s">
        <v>35</v>
      </c>
    </row>
    <row r="74" spans="2:4" x14ac:dyDescent="0.25">
      <c r="B74" t="s">
        <v>15</v>
      </c>
      <c r="C74" t="s">
        <v>75</v>
      </c>
      <c r="D74" t="s">
        <v>35</v>
      </c>
    </row>
    <row r="75" spans="2:4" x14ac:dyDescent="0.25">
      <c r="B75" t="s">
        <v>16</v>
      </c>
      <c r="C75" t="s">
        <v>75</v>
      </c>
      <c r="D75" t="s">
        <v>35</v>
      </c>
    </row>
    <row r="76" spans="2:4" x14ac:dyDescent="0.25">
      <c r="B76" t="s">
        <v>17</v>
      </c>
      <c r="C76" t="s">
        <v>75</v>
      </c>
      <c r="D76" t="s">
        <v>35</v>
      </c>
    </row>
    <row r="77" spans="2:4" x14ac:dyDescent="0.25">
      <c r="B77" t="s">
        <v>18</v>
      </c>
      <c r="C77" t="s">
        <v>75</v>
      </c>
      <c r="D77" t="s">
        <v>35</v>
      </c>
    </row>
    <row r="78" spans="2:4" x14ac:dyDescent="0.25">
      <c r="B78" t="s">
        <v>19</v>
      </c>
      <c r="C78" t="s">
        <v>75</v>
      </c>
      <c r="D78" t="s">
        <v>35</v>
      </c>
    </row>
    <row r="79" spans="2:4" x14ac:dyDescent="0.25">
      <c r="B79" t="s">
        <v>45</v>
      </c>
      <c r="C79" t="s">
        <v>75</v>
      </c>
      <c r="D79" t="s">
        <v>35</v>
      </c>
    </row>
    <row r="80" spans="2:4" x14ac:dyDescent="0.25">
      <c r="B80" t="s">
        <v>54</v>
      </c>
      <c r="C80" t="s">
        <v>75</v>
      </c>
      <c r="D80" t="s">
        <v>35</v>
      </c>
    </row>
    <row r="81" spans="2:4" x14ac:dyDescent="0.25">
      <c r="B81" t="s">
        <v>71</v>
      </c>
      <c r="C81" t="s">
        <v>75</v>
      </c>
      <c r="D81" t="s">
        <v>35</v>
      </c>
    </row>
    <row r="82" spans="2:4" x14ac:dyDescent="0.25">
      <c r="B82" t="s">
        <v>21</v>
      </c>
      <c r="C82" t="s">
        <v>75</v>
      </c>
      <c r="D82" t="s">
        <v>35</v>
      </c>
    </row>
    <row r="83" spans="2:4" x14ac:dyDescent="0.25">
      <c r="B83" t="s">
        <v>22</v>
      </c>
      <c r="C83" t="s">
        <v>75</v>
      </c>
      <c r="D83" t="s">
        <v>35</v>
      </c>
    </row>
    <row r="84" spans="2:4" x14ac:dyDescent="0.25">
      <c r="B84" t="s">
        <v>61</v>
      </c>
      <c r="C84" t="s">
        <v>75</v>
      </c>
      <c r="D84" t="s">
        <v>35</v>
      </c>
    </row>
    <row r="85" spans="2:4" x14ac:dyDescent="0.25">
      <c r="B85" t="s">
        <v>62</v>
      </c>
      <c r="C85" t="s">
        <v>75</v>
      </c>
      <c r="D85" t="s">
        <v>35</v>
      </c>
    </row>
    <row r="86" spans="2:4" x14ac:dyDescent="0.25">
      <c r="B86" t="s">
        <v>63</v>
      </c>
      <c r="C86" t="s">
        <v>75</v>
      </c>
      <c r="D86" t="s">
        <v>35</v>
      </c>
    </row>
    <row r="87" spans="2:4" x14ac:dyDescent="0.25">
      <c r="B87" t="s">
        <v>70</v>
      </c>
      <c r="C87" t="s">
        <v>75</v>
      </c>
      <c r="D87" t="s">
        <v>35</v>
      </c>
    </row>
    <row r="88" spans="2:4" x14ac:dyDescent="0.25">
      <c r="B88" t="s">
        <v>64</v>
      </c>
      <c r="C88" t="s">
        <v>75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133"/>
  <sheetViews>
    <sheetView topLeftCell="A90" workbookViewId="0">
      <selection activeCell="H111" sqref="H111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1739</v>
      </c>
      <c r="B2" t="s">
        <v>55</v>
      </c>
      <c r="C2" t="s">
        <v>53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1739</v>
      </c>
      <c r="B3" t="s">
        <v>57</v>
      </c>
      <c r="C3" t="s">
        <v>53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5" x14ac:dyDescent="0.25">
      <c r="A4">
        <v>1739</v>
      </c>
      <c r="B4" t="s">
        <v>36</v>
      </c>
      <c r="C4" t="s">
        <v>53</v>
      </c>
      <c r="D4" t="s">
        <v>33</v>
      </c>
      <c r="H4">
        <v>60</v>
      </c>
      <c r="J4">
        <f t="shared" si="0"/>
        <v>60</v>
      </c>
      <c r="L4">
        <f t="shared" si="1"/>
        <v>2.6785714285714284E-2</v>
      </c>
    </row>
    <row r="5" spans="1:15" x14ac:dyDescent="0.25">
      <c r="A5">
        <v>1739</v>
      </c>
      <c r="B5" t="s">
        <v>4</v>
      </c>
      <c r="C5" t="s">
        <v>53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1739</v>
      </c>
      <c r="B6" t="s">
        <v>58</v>
      </c>
      <c r="C6" t="s">
        <v>53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1739</v>
      </c>
      <c r="B7" t="s">
        <v>69</v>
      </c>
      <c r="C7" t="s">
        <v>53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1739</v>
      </c>
      <c r="B8" t="s">
        <v>107</v>
      </c>
      <c r="C8" t="s">
        <v>53</v>
      </c>
      <c r="D8" t="s">
        <v>33</v>
      </c>
      <c r="H8">
        <v>1081</v>
      </c>
      <c r="J8">
        <f t="shared" si="0"/>
        <v>1081</v>
      </c>
      <c r="L8">
        <f t="shared" si="1"/>
        <v>0.48258928571428572</v>
      </c>
    </row>
    <row r="9" spans="1:15" x14ac:dyDescent="0.25">
      <c r="A9">
        <v>1739</v>
      </c>
      <c r="B9" t="s">
        <v>101</v>
      </c>
      <c r="C9" t="s">
        <v>53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1739</v>
      </c>
      <c r="B10" t="s">
        <v>43</v>
      </c>
      <c r="C10" t="s">
        <v>53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1739</v>
      </c>
      <c r="B11" t="s">
        <v>76</v>
      </c>
      <c r="C11" t="s">
        <v>53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1739</v>
      </c>
      <c r="B12" t="s">
        <v>5</v>
      </c>
      <c r="C12" t="s">
        <v>53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1739</v>
      </c>
      <c r="B13" t="s">
        <v>59</v>
      </c>
      <c r="C13" t="s">
        <v>53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1739</v>
      </c>
      <c r="B14" t="s">
        <v>6</v>
      </c>
      <c r="C14" t="s">
        <v>53</v>
      </c>
      <c r="D14" t="s">
        <v>33</v>
      </c>
      <c r="F14">
        <v>148416</v>
      </c>
      <c r="G14">
        <v>2</v>
      </c>
      <c r="H14">
        <v>19</v>
      </c>
      <c r="J14">
        <f>(E14*2240)+(F14*112)+(G14*28)+H14</f>
        <v>16622667</v>
      </c>
      <c r="L14">
        <f t="shared" si="1"/>
        <v>7420.8334821428571</v>
      </c>
    </row>
    <row r="15" spans="1:15" x14ac:dyDescent="0.25">
      <c r="A15">
        <v>1739</v>
      </c>
      <c r="B15" t="s">
        <v>96</v>
      </c>
      <c r="C15" t="s">
        <v>53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1739</v>
      </c>
      <c r="B16" t="s">
        <v>60</v>
      </c>
      <c r="C16" t="s">
        <v>53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1739</v>
      </c>
      <c r="B17" t="s">
        <v>7</v>
      </c>
      <c r="C17" t="s">
        <v>53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1739</v>
      </c>
      <c r="B18" t="s">
        <v>37</v>
      </c>
      <c r="C18" t="s">
        <v>53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1739</v>
      </c>
      <c r="B19" t="s">
        <v>8</v>
      </c>
      <c r="C19" t="s">
        <v>53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1739</v>
      </c>
      <c r="B20" t="s">
        <v>40</v>
      </c>
      <c r="C20" t="s">
        <v>53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1739</v>
      </c>
      <c r="B21" t="s">
        <v>77</v>
      </c>
      <c r="C21" t="s">
        <v>53</v>
      </c>
      <c r="D21" t="s">
        <v>33</v>
      </c>
      <c r="F21">
        <v>5</v>
      </c>
      <c r="G21">
        <v>3</v>
      </c>
      <c r="H21">
        <v>16</v>
      </c>
      <c r="J21">
        <f t="shared" si="0"/>
        <v>660</v>
      </c>
      <c r="L21">
        <f t="shared" si="1"/>
        <v>0.29464285714285715</v>
      </c>
    </row>
    <row r="22" spans="1:12" x14ac:dyDescent="0.25">
      <c r="A22">
        <v>1739</v>
      </c>
      <c r="B22" t="s">
        <v>78</v>
      </c>
      <c r="C22" t="s">
        <v>53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1739</v>
      </c>
      <c r="B23" t="s">
        <v>46</v>
      </c>
      <c r="C23" t="s">
        <v>53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1739</v>
      </c>
      <c r="B24" t="s">
        <v>9</v>
      </c>
      <c r="C24" t="s">
        <v>53</v>
      </c>
      <c r="D24" t="s">
        <v>33</v>
      </c>
      <c r="H24">
        <f>318.25*200</f>
        <v>63650</v>
      </c>
      <c r="I24" t="s">
        <v>111</v>
      </c>
      <c r="J24">
        <f t="shared" si="0"/>
        <v>63650</v>
      </c>
      <c r="L24">
        <f t="shared" si="1"/>
        <v>28.415178571428573</v>
      </c>
    </row>
    <row r="25" spans="1:12" x14ac:dyDescent="0.25">
      <c r="A25">
        <v>1739</v>
      </c>
      <c r="B25" t="s">
        <v>10</v>
      </c>
      <c r="C25" t="s">
        <v>53</v>
      </c>
      <c r="D25" t="s">
        <v>33</v>
      </c>
      <c r="F25">
        <v>1119</v>
      </c>
      <c r="G25">
        <v>3</v>
      </c>
      <c r="H25">
        <v>8</v>
      </c>
      <c r="J25">
        <f t="shared" si="0"/>
        <v>125420</v>
      </c>
      <c r="L25">
        <f t="shared" si="1"/>
        <v>55.991071428571431</v>
      </c>
    </row>
    <row r="26" spans="1:12" x14ac:dyDescent="0.25">
      <c r="A26">
        <v>1739</v>
      </c>
      <c r="B26" t="s">
        <v>11</v>
      </c>
      <c r="C26" t="s">
        <v>53</v>
      </c>
      <c r="D26" t="s">
        <v>33</v>
      </c>
      <c r="F26">
        <v>62</v>
      </c>
      <c r="H26">
        <v>5</v>
      </c>
      <c r="J26">
        <f t="shared" si="0"/>
        <v>6949</v>
      </c>
      <c r="L26">
        <f t="shared" si="1"/>
        <v>3.1022321428571429</v>
      </c>
    </row>
    <row r="27" spans="1:12" x14ac:dyDescent="0.25">
      <c r="A27">
        <v>1739</v>
      </c>
      <c r="B27" t="s">
        <v>39</v>
      </c>
      <c r="C27" t="s">
        <v>53</v>
      </c>
      <c r="D27" t="s">
        <v>33</v>
      </c>
      <c r="H27">
        <v>164</v>
      </c>
      <c r="J27">
        <f t="shared" si="0"/>
        <v>164</v>
      </c>
      <c r="L27">
        <f t="shared" si="1"/>
        <v>7.3214285714285718E-2</v>
      </c>
    </row>
    <row r="28" spans="1:12" x14ac:dyDescent="0.25">
      <c r="A28">
        <v>1739</v>
      </c>
      <c r="B28" t="s">
        <v>79</v>
      </c>
      <c r="C28" t="s">
        <v>53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1739</v>
      </c>
      <c r="B29" t="s">
        <v>103</v>
      </c>
      <c r="C29" t="s">
        <v>53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1739</v>
      </c>
      <c r="B30" t="s">
        <v>102</v>
      </c>
      <c r="C30" t="s">
        <v>53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1739</v>
      </c>
      <c r="B31" t="s">
        <v>44</v>
      </c>
      <c r="C31" t="s">
        <v>53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1739</v>
      </c>
      <c r="B32" t="s">
        <v>97</v>
      </c>
      <c r="C32" t="s">
        <v>53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1739</v>
      </c>
      <c r="B33" t="s">
        <v>12</v>
      </c>
      <c r="C33" t="s">
        <v>53</v>
      </c>
      <c r="D33" t="s">
        <v>33</v>
      </c>
      <c r="H33">
        <v>205</v>
      </c>
      <c r="J33">
        <f t="shared" si="0"/>
        <v>205</v>
      </c>
      <c r="L33">
        <f t="shared" si="1"/>
        <v>9.1517857142857137E-2</v>
      </c>
    </row>
    <row r="34" spans="1:12" x14ac:dyDescent="0.25">
      <c r="A34">
        <v>1739</v>
      </c>
      <c r="B34" t="s">
        <v>82</v>
      </c>
      <c r="C34" t="s">
        <v>53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1739</v>
      </c>
      <c r="B35" t="s">
        <v>34</v>
      </c>
      <c r="C35" t="s">
        <v>53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1739</v>
      </c>
      <c r="B36" t="s">
        <v>13</v>
      </c>
      <c r="C36" t="s">
        <v>53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1739</v>
      </c>
      <c r="B37" t="s">
        <v>14</v>
      </c>
      <c r="C37" t="s">
        <v>53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1739</v>
      </c>
      <c r="B38" t="s">
        <v>23</v>
      </c>
      <c r="C38" t="s">
        <v>53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1739</v>
      </c>
      <c r="B39" t="s">
        <v>27</v>
      </c>
      <c r="C39" t="s">
        <v>53</v>
      </c>
      <c r="D39" t="s">
        <v>33</v>
      </c>
      <c r="H39">
        <v>147388</v>
      </c>
      <c r="I39" t="s">
        <v>110</v>
      </c>
      <c r="J39">
        <f t="shared" si="0"/>
        <v>147388</v>
      </c>
      <c r="L39">
        <f t="shared" si="1"/>
        <v>65.79821428571428</v>
      </c>
    </row>
    <row r="40" spans="1:12" x14ac:dyDescent="0.25">
      <c r="A40">
        <v>1739</v>
      </c>
      <c r="B40" t="s">
        <v>15</v>
      </c>
      <c r="C40" t="s">
        <v>53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1739</v>
      </c>
      <c r="B41" t="s">
        <v>42</v>
      </c>
      <c r="C41" t="s">
        <v>53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1739</v>
      </c>
      <c r="B42" t="s">
        <v>83</v>
      </c>
      <c r="C42" t="s">
        <v>53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1739</v>
      </c>
      <c r="B43" t="s">
        <v>47</v>
      </c>
      <c r="C43" t="s">
        <v>53</v>
      </c>
      <c r="D43" t="s">
        <v>33</v>
      </c>
      <c r="H43">
        <v>205</v>
      </c>
      <c r="I43" t="s">
        <v>108</v>
      </c>
      <c r="J43">
        <f t="shared" si="0"/>
        <v>205</v>
      </c>
      <c r="L43">
        <f t="shared" si="1"/>
        <v>9.1517857142857137E-2</v>
      </c>
    </row>
    <row r="44" spans="1:12" x14ac:dyDescent="0.25">
      <c r="A44">
        <v>1739</v>
      </c>
      <c r="B44" t="s">
        <v>16</v>
      </c>
      <c r="C44" t="s">
        <v>53</v>
      </c>
      <c r="D44" t="s">
        <v>33</v>
      </c>
      <c r="H44">
        <v>4040</v>
      </c>
      <c r="J44">
        <f t="shared" si="0"/>
        <v>4040</v>
      </c>
      <c r="L44">
        <f t="shared" si="1"/>
        <v>1.8035714285714286</v>
      </c>
    </row>
    <row r="45" spans="1:12" x14ac:dyDescent="0.25">
      <c r="A45">
        <v>1739</v>
      </c>
      <c r="B45" t="s">
        <v>17</v>
      </c>
      <c r="C45" t="s">
        <v>53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1739</v>
      </c>
      <c r="B46" t="s">
        <v>18</v>
      </c>
      <c r="C46" t="s">
        <v>53</v>
      </c>
      <c r="D46" t="s">
        <v>33</v>
      </c>
      <c r="H46">
        <v>300072</v>
      </c>
      <c r="I46" t="s">
        <v>109</v>
      </c>
      <c r="J46">
        <f t="shared" si="0"/>
        <v>300072</v>
      </c>
      <c r="L46">
        <f t="shared" si="1"/>
        <v>133.96071428571429</v>
      </c>
    </row>
    <row r="47" spans="1:12" x14ac:dyDescent="0.25">
      <c r="A47">
        <v>1739</v>
      </c>
      <c r="B47" t="s">
        <v>26</v>
      </c>
      <c r="C47" t="s">
        <v>53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1739</v>
      </c>
      <c r="B48" t="s">
        <v>84</v>
      </c>
      <c r="C48" t="s">
        <v>53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1739</v>
      </c>
      <c r="B49" t="s">
        <v>19</v>
      </c>
      <c r="C49" t="s">
        <v>53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1739</v>
      </c>
      <c r="B50" t="s">
        <v>45</v>
      </c>
      <c r="C50" t="s">
        <v>53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1739</v>
      </c>
      <c r="B51" t="s">
        <v>85</v>
      </c>
      <c r="C51" t="s">
        <v>53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1739</v>
      </c>
      <c r="B52" t="s">
        <v>54</v>
      </c>
      <c r="C52" t="s">
        <v>53</v>
      </c>
      <c r="D52" t="s">
        <v>33</v>
      </c>
      <c r="H52">
        <v>783</v>
      </c>
      <c r="J52">
        <f t="shared" si="0"/>
        <v>783</v>
      </c>
      <c r="L52">
        <f t="shared" si="1"/>
        <v>0.34955357142857141</v>
      </c>
    </row>
    <row r="53" spans="1:12" x14ac:dyDescent="0.25">
      <c r="A53">
        <v>1739</v>
      </c>
      <c r="B53" t="s">
        <v>95</v>
      </c>
      <c r="C53" t="s">
        <v>53</v>
      </c>
      <c r="D53" t="s">
        <v>33</v>
      </c>
      <c r="H53">
        <v>122</v>
      </c>
      <c r="J53">
        <f t="shared" si="0"/>
        <v>122</v>
      </c>
      <c r="L53">
        <f t="shared" si="1"/>
        <v>5.4464285714285715E-2</v>
      </c>
    </row>
    <row r="54" spans="1:12" x14ac:dyDescent="0.25">
      <c r="A54">
        <v>1739</v>
      </c>
      <c r="B54" t="s">
        <v>20</v>
      </c>
      <c r="C54" t="s">
        <v>53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1739</v>
      </c>
      <c r="B55" t="s">
        <v>21</v>
      </c>
      <c r="C55" t="s">
        <v>53</v>
      </c>
      <c r="D55" t="s">
        <v>33</v>
      </c>
      <c r="H55">
        <v>32</v>
      </c>
      <c r="J55">
        <f t="shared" si="0"/>
        <v>32</v>
      </c>
      <c r="L55">
        <f t="shared" si="1"/>
        <v>1.4285714285714285E-2</v>
      </c>
    </row>
    <row r="56" spans="1:12" x14ac:dyDescent="0.25">
      <c r="A56">
        <v>1739</v>
      </c>
      <c r="B56" t="s">
        <v>90</v>
      </c>
      <c r="C56" t="s">
        <v>53</v>
      </c>
      <c r="D56" t="s">
        <v>33</v>
      </c>
      <c r="F56">
        <v>20</v>
      </c>
      <c r="J56">
        <f t="shared" si="0"/>
        <v>2240</v>
      </c>
      <c r="L56">
        <f t="shared" si="1"/>
        <v>1</v>
      </c>
    </row>
    <row r="57" spans="1:12" x14ac:dyDescent="0.25">
      <c r="A57">
        <v>1739</v>
      </c>
      <c r="B57" t="s">
        <v>22</v>
      </c>
      <c r="C57" t="s">
        <v>53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1739</v>
      </c>
      <c r="B58" t="s">
        <v>61</v>
      </c>
      <c r="C58" t="s">
        <v>53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1739</v>
      </c>
      <c r="B59" t="s">
        <v>99</v>
      </c>
      <c r="C59" t="s">
        <v>53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1739</v>
      </c>
      <c r="B60" t="s">
        <v>87</v>
      </c>
      <c r="C60" t="s">
        <v>53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1739</v>
      </c>
      <c r="B61" t="s">
        <v>62</v>
      </c>
      <c r="C61" t="s">
        <v>53</v>
      </c>
      <c r="D61" t="s">
        <v>33</v>
      </c>
      <c r="E61">
        <v>5</v>
      </c>
      <c r="J61">
        <f t="shared" si="0"/>
        <v>11200</v>
      </c>
      <c r="L61">
        <f t="shared" si="1"/>
        <v>5</v>
      </c>
    </row>
    <row r="62" spans="1:12" x14ac:dyDescent="0.25">
      <c r="A62">
        <v>1739</v>
      </c>
      <c r="B62" t="s">
        <v>88</v>
      </c>
      <c r="C62" t="s">
        <v>53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1739</v>
      </c>
      <c r="B63" t="s">
        <v>63</v>
      </c>
      <c r="C63" t="s">
        <v>53</v>
      </c>
      <c r="D63" t="s">
        <v>33</v>
      </c>
      <c r="E63">
        <v>5</v>
      </c>
      <c r="J63">
        <f t="shared" si="0"/>
        <v>11200</v>
      </c>
      <c r="L63">
        <f t="shared" si="1"/>
        <v>5</v>
      </c>
    </row>
    <row r="64" spans="1:12" x14ac:dyDescent="0.25">
      <c r="A64">
        <v>1739</v>
      </c>
      <c r="B64" t="s">
        <v>89</v>
      </c>
      <c r="C64" t="s">
        <v>53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1739</v>
      </c>
      <c r="B65" t="s">
        <v>70</v>
      </c>
      <c r="C65" t="s">
        <v>53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1739</v>
      </c>
      <c r="B66" t="s">
        <v>64</v>
      </c>
      <c r="C66" t="s">
        <v>53</v>
      </c>
      <c r="D66" t="s">
        <v>33</v>
      </c>
      <c r="F66">
        <v>10</v>
      </c>
      <c r="J66">
        <f t="shared" si="0"/>
        <v>1120</v>
      </c>
      <c r="L66">
        <f t="shared" si="1"/>
        <v>0.5</v>
      </c>
    </row>
    <row r="67" spans="1:12" x14ac:dyDescent="0.25">
      <c r="A67">
        <v>1739</v>
      </c>
      <c r="B67" t="s">
        <v>65</v>
      </c>
      <c r="C67" t="s">
        <v>53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1739</v>
      </c>
      <c r="B68" t="s">
        <v>55</v>
      </c>
      <c r="C68" t="s">
        <v>53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1739</v>
      </c>
      <c r="B69" t="s">
        <v>57</v>
      </c>
      <c r="C69" t="s">
        <v>53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1739</v>
      </c>
      <c r="B70" t="s">
        <v>36</v>
      </c>
      <c r="C70" t="s">
        <v>53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1739</v>
      </c>
      <c r="B71" t="s">
        <v>4</v>
      </c>
      <c r="C71" t="s">
        <v>53</v>
      </c>
      <c r="D71" t="s">
        <v>35</v>
      </c>
      <c r="J71">
        <f t="shared" ref="J71:J133" si="2">(E71*2240)+(F71*112)+(G71*28)+H71</f>
        <v>0</v>
      </c>
      <c r="L71">
        <f t="shared" ref="L71:L133" si="3">J71/2240</f>
        <v>0</v>
      </c>
    </row>
    <row r="72" spans="1:12" x14ac:dyDescent="0.25">
      <c r="A72">
        <v>1739</v>
      </c>
      <c r="B72" t="s">
        <v>58</v>
      </c>
      <c r="C72" t="s">
        <v>53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1739</v>
      </c>
      <c r="B73" t="s">
        <v>69</v>
      </c>
      <c r="C73" t="s">
        <v>53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1739</v>
      </c>
      <c r="B74" t="s">
        <v>107</v>
      </c>
      <c r="C74" t="s">
        <v>53</v>
      </c>
      <c r="D74" t="s">
        <v>35</v>
      </c>
      <c r="H74">
        <v>121</v>
      </c>
      <c r="J74">
        <f t="shared" si="2"/>
        <v>121</v>
      </c>
      <c r="L74">
        <f t="shared" si="3"/>
        <v>5.4017857142857145E-2</v>
      </c>
    </row>
    <row r="75" spans="1:12" x14ac:dyDescent="0.25">
      <c r="A75">
        <v>1739</v>
      </c>
      <c r="B75" t="s">
        <v>43</v>
      </c>
      <c r="C75" t="s">
        <v>53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1739</v>
      </c>
      <c r="B76" t="s">
        <v>76</v>
      </c>
      <c r="C76" t="s">
        <v>53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1739</v>
      </c>
      <c r="B77" t="s">
        <v>5</v>
      </c>
      <c r="C77" t="s">
        <v>53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1739</v>
      </c>
      <c r="B78" t="s">
        <v>59</v>
      </c>
      <c r="C78" t="s">
        <v>53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1739</v>
      </c>
      <c r="B79" t="s">
        <v>6</v>
      </c>
      <c r="C79" t="s">
        <v>53</v>
      </c>
      <c r="D79" t="s">
        <v>35</v>
      </c>
      <c r="F79">
        <v>45309</v>
      </c>
      <c r="G79">
        <v>2</v>
      </c>
      <c r="H79">
        <v>11</v>
      </c>
      <c r="J79">
        <f>(E79*2240)+(F79*112)+(G79*28)+H79</f>
        <v>5074675</v>
      </c>
      <c r="L79">
        <f t="shared" si="3"/>
        <v>2265.4799107142858</v>
      </c>
    </row>
    <row r="80" spans="1:12" x14ac:dyDescent="0.25">
      <c r="A80">
        <v>1739</v>
      </c>
      <c r="B80" t="s">
        <v>60</v>
      </c>
      <c r="C80" t="s">
        <v>53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1739</v>
      </c>
      <c r="B81" t="s">
        <v>7</v>
      </c>
      <c r="C81" t="s">
        <v>53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1739</v>
      </c>
      <c r="B82" t="s">
        <v>37</v>
      </c>
      <c r="C82" t="s">
        <v>53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1739</v>
      </c>
      <c r="B83" t="s">
        <v>8</v>
      </c>
      <c r="C83" t="s">
        <v>53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1739</v>
      </c>
      <c r="B84" t="s">
        <v>40</v>
      </c>
      <c r="C84" t="s">
        <v>53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1739</v>
      </c>
      <c r="B85" t="s">
        <v>77</v>
      </c>
      <c r="C85" t="s">
        <v>53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1739</v>
      </c>
      <c r="B86" t="s">
        <v>78</v>
      </c>
      <c r="C86" t="s">
        <v>53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1739</v>
      </c>
      <c r="B87" t="s">
        <v>46</v>
      </c>
      <c r="C87" t="s">
        <v>53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1739</v>
      </c>
      <c r="B88" t="s">
        <v>9</v>
      </c>
      <c r="C88" t="s">
        <v>53</v>
      </c>
      <c r="D88" t="s">
        <v>35</v>
      </c>
      <c r="H88">
        <f>1846*200+120</f>
        <v>369320</v>
      </c>
      <c r="I88" t="s">
        <v>140</v>
      </c>
      <c r="J88">
        <f t="shared" si="2"/>
        <v>369320</v>
      </c>
      <c r="L88">
        <f t="shared" si="3"/>
        <v>164.875</v>
      </c>
    </row>
    <row r="89" spans="1:12" x14ac:dyDescent="0.25">
      <c r="A89">
        <v>1739</v>
      </c>
      <c r="B89" t="s">
        <v>10</v>
      </c>
      <c r="C89" t="s">
        <v>53</v>
      </c>
      <c r="D89" t="s">
        <v>35</v>
      </c>
      <c r="F89">
        <v>1912</v>
      </c>
      <c r="G89">
        <v>3</v>
      </c>
      <c r="H89">
        <v>5</v>
      </c>
      <c r="J89">
        <f t="shared" si="2"/>
        <v>214233</v>
      </c>
      <c r="L89">
        <f t="shared" si="3"/>
        <v>95.639732142857142</v>
      </c>
    </row>
    <row r="90" spans="1:12" x14ac:dyDescent="0.25">
      <c r="A90">
        <v>1739</v>
      </c>
      <c r="B90" t="s">
        <v>11</v>
      </c>
      <c r="C90" t="s">
        <v>53</v>
      </c>
      <c r="D90" t="s">
        <v>35</v>
      </c>
      <c r="F90">
        <v>97</v>
      </c>
      <c r="G90">
        <v>2</v>
      </c>
      <c r="H90">
        <v>21</v>
      </c>
      <c r="J90">
        <f t="shared" si="2"/>
        <v>10941</v>
      </c>
      <c r="L90">
        <f t="shared" si="3"/>
        <v>4.8843750000000004</v>
      </c>
    </row>
    <row r="91" spans="1:12" x14ac:dyDescent="0.25">
      <c r="A91">
        <v>1739</v>
      </c>
      <c r="B91" t="s">
        <v>39</v>
      </c>
      <c r="C91" t="s">
        <v>53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1739</v>
      </c>
      <c r="B92" t="s">
        <v>79</v>
      </c>
      <c r="C92" t="s">
        <v>53</v>
      </c>
      <c r="D92" t="s">
        <v>35</v>
      </c>
      <c r="H92">
        <v>1806</v>
      </c>
      <c r="J92">
        <f t="shared" si="2"/>
        <v>1806</v>
      </c>
      <c r="L92">
        <f t="shared" si="3"/>
        <v>0.80625000000000002</v>
      </c>
    </row>
    <row r="93" spans="1:12" x14ac:dyDescent="0.25">
      <c r="A93">
        <v>1739</v>
      </c>
      <c r="B93" t="s">
        <v>103</v>
      </c>
      <c r="C93" t="s">
        <v>53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1739</v>
      </c>
      <c r="B94" t="s">
        <v>44</v>
      </c>
      <c r="C94" t="s">
        <v>53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1739</v>
      </c>
      <c r="B95" t="s">
        <v>97</v>
      </c>
      <c r="C95" t="s">
        <v>53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1739</v>
      </c>
      <c r="B96" t="s">
        <v>12</v>
      </c>
      <c r="C96" t="s">
        <v>53</v>
      </c>
      <c r="D96" t="s">
        <v>35</v>
      </c>
      <c r="H96">
        <v>2600</v>
      </c>
      <c r="J96">
        <f t="shared" si="2"/>
        <v>2600</v>
      </c>
      <c r="L96">
        <f t="shared" si="3"/>
        <v>1.1607142857142858</v>
      </c>
    </row>
    <row r="97" spans="1:12" x14ac:dyDescent="0.25">
      <c r="A97">
        <v>1739</v>
      </c>
      <c r="B97" t="s">
        <v>82</v>
      </c>
      <c r="C97" t="s">
        <v>53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1739</v>
      </c>
      <c r="B98" t="s">
        <v>34</v>
      </c>
      <c r="C98" t="s">
        <v>53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1739</v>
      </c>
      <c r="B99" t="s">
        <v>13</v>
      </c>
      <c r="C99" t="s">
        <v>53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1739</v>
      </c>
      <c r="B100" t="s">
        <v>14</v>
      </c>
      <c r="C100" t="s">
        <v>53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1739</v>
      </c>
      <c r="B101" t="s">
        <v>23</v>
      </c>
      <c r="C101" t="s">
        <v>53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1739</v>
      </c>
      <c r="B102" t="s">
        <v>27</v>
      </c>
      <c r="C102" t="s">
        <v>53</v>
      </c>
      <c r="D102" t="s">
        <v>35</v>
      </c>
      <c r="H102">
        <v>28517.5</v>
      </c>
      <c r="I102" t="s">
        <v>139</v>
      </c>
      <c r="J102">
        <f t="shared" si="2"/>
        <v>28517.5</v>
      </c>
      <c r="L102">
        <f t="shared" si="3"/>
        <v>12.731026785714286</v>
      </c>
    </row>
    <row r="103" spans="1:12" x14ac:dyDescent="0.25">
      <c r="A103">
        <v>1739</v>
      </c>
      <c r="B103" t="s">
        <v>15</v>
      </c>
      <c r="C103" t="s">
        <v>53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1739</v>
      </c>
      <c r="B104" t="s">
        <v>93</v>
      </c>
      <c r="C104" t="s">
        <v>53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1739</v>
      </c>
      <c r="B105" t="s">
        <v>42</v>
      </c>
      <c r="C105" t="s">
        <v>53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1739</v>
      </c>
      <c r="B106" t="s">
        <v>83</v>
      </c>
      <c r="C106" t="s">
        <v>53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1739</v>
      </c>
      <c r="B107" t="s">
        <v>47</v>
      </c>
      <c r="C107" t="s">
        <v>53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1739</v>
      </c>
      <c r="B108" t="s">
        <v>16</v>
      </c>
      <c r="C108" t="s">
        <v>53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1739</v>
      </c>
      <c r="B109" t="s">
        <v>17</v>
      </c>
      <c r="C109" t="s">
        <v>53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1739</v>
      </c>
      <c r="B110" t="s">
        <v>18</v>
      </c>
      <c r="C110" t="s">
        <v>53</v>
      </c>
      <c r="D110" t="s">
        <v>35</v>
      </c>
      <c r="H110">
        <v>47217</v>
      </c>
      <c r="I110" t="s">
        <v>138</v>
      </c>
      <c r="J110">
        <f t="shared" si="2"/>
        <v>47217</v>
      </c>
      <c r="L110">
        <f t="shared" si="3"/>
        <v>21.079017857142858</v>
      </c>
    </row>
    <row r="111" spans="1:12" x14ac:dyDescent="0.25">
      <c r="A111">
        <v>1739</v>
      </c>
      <c r="B111" t="s">
        <v>26</v>
      </c>
      <c r="C111" t="s">
        <v>53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1739</v>
      </c>
      <c r="B112" t="s">
        <v>84</v>
      </c>
      <c r="C112" t="s">
        <v>53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1739</v>
      </c>
      <c r="B113" t="s">
        <v>19</v>
      </c>
      <c r="C113" t="s">
        <v>53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1739</v>
      </c>
      <c r="B114" t="s">
        <v>45</v>
      </c>
      <c r="C114" t="s">
        <v>53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1739</v>
      </c>
      <c r="B115" t="s">
        <v>85</v>
      </c>
      <c r="C115" t="s">
        <v>53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1739</v>
      </c>
      <c r="B116" t="s">
        <v>54</v>
      </c>
      <c r="C116" t="s">
        <v>53</v>
      </c>
      <c r="D116" t="s">
        <v>35</v>
      </c>
      <c r="H116">
        <v>14</v>
      </c>
      <c r="J116">
        <f t="shared" si="2"/>
        <v>14</v>
      </c>
      <c r="L116">
        <f t="shared" si="3"/>
        <v>6.2500000000000003E-3</v>
      </c>
    </row>
    <row r="117" spans="1:12" x14ac:dyDescent="0.25">
      <c r="A117">
        <v>1739</v>
      </c>
      <c r="B117" t="s">
        <v>95</v>
      </c>
      <c r="C117" t="s">
        <v>53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1739</v>
      </c>
      <c r="B118" t="s">
        <v>20</v>
      </c>
      <c r="C118" t="s">
        <v>53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1739</v>
      </c>
      <c r="B119" t="s">
        <v>21</v>
      </c>
      <c r="C119" t="s">
        <v>53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1739</v>
      </c>
      <c r="B120" t="s">
        <v>90</v>
      </c>
      <c r="C120" t="s">
        <v>53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1739</v>
      </c>
      <c r="B121" t="s">
        <v>105</v>
      </c>
      <c r="C121" t="s">
        <v>53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1739</v>
      </c>
      <c r="B122" t="s">
        <v>22</v>
      </c>
      <c r="C122" t="s">
        <v>53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1739</v>
      </c>
      <c r="B123" t="s">
        <v>61</v>
      </c>
      <c r="C123" t="s">
        <v>53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1739</v>
      </c>
      <c r="B124" t="s">
        <v>91</v>
      </c>
      <c r="C124" t="s">
        <v>53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1739</v>
      </c>
      <c r="B125" t="s">
        <v>98</v>
      </c>
      <c r="C125" t="s">
        <v>53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1739</v>
      </c>
      <c r="B126" t="s">
        <v>87</v>
      </c>
      <c r="C126" t="s">
        <v>53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1739</v>
      </c>
      <c r="B127" t="s">
        <v>62</v>
      </c>
      <c r="C127" t="s">
        <v>53</v>
      </c>
      <c r="D127" t="s">
        <v>35</v>
      </c>
      <c r="E127">
        <v>36</v>
      </c>
      <c r="F127">
        <v>10</v>
      </c>
      <c r="H127">
        <v>15</v>
      </c>
      <c r="J127">
        <f t="shared" si="2"/>
        <v>81775</v>
      </c>
      <c r="L127">
        <f t="shared" si="3"/>
        <v>36.506696428571431</v>
      </c>
    </row>
    <row r="128" spans="1:12" x14ac:dyDescent="0.25">
      <c r="A128">
        <v>1739</v>
      </c>
      <c r="B128" t="s">
        <v>88</v>
      </c>
      <c r="C128" t="s">
        <v>53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1739</v>
      </c>
      <c r="B129" t="s">
        <v>63</v>
      </c>
      <c r="C129" t="s">
        <v>53</v>
      </c>
      <c r="D129" t="s">
        <v>35</v>
      </c>
      <c r="J129">
        <f t="shared" si="2"/>
        <v>0</v>
      </c>
      <c r="L129">
        <f t="shared" si="3"/>
        <v>0</v>
      </c>
    </row>
    <row r="130" spans="1:12" x14ac:dyDescent="0.25">
      <c r="A130">
        <v>1739</v>
      </c>
      <c r="B130" t="s">
        <v>89</v>
      </c>
      <c r="C130" t="s">
        <v>53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1739</v>
      </c>
      <c r="B131" t="s">
        <v>70</v>
      </c>
      <c r="C131" t="s">
        <v>53</v>
      </c>
      <c r="D131" t="s">
        <v>35</v>
      </c>
      <c r="J131">
        <f t="shared" si="2"/>
        <v>0</v>
      </c>
      <c r="L131">
        <f t="shared" si="3"/>
        <v>0</v>
      </c>
    </row>
    <row r="132" spans="1:12" x14ac:dyDescent="0.25">
      <c r="A132">
        <v>1739</v>
      </c>
      <c r="B132" t="s">
        <v>64</v>
      </c>
      <c r="C132" t="s">
        <v>53</v>
      </c>
      <c r="D132" t="s">
        <v>35</v>
      </c>
      <c r="E132">
        <v>24</v>
      </c>
      <c r="F132">
        <v>4</v>
      </c>
      <c r="J132">
        <f t="shared" si="2"/>
        <v>54208</v>
      </c>
      <c r="L132">
        <f t="shared" si="3"/>
        <v>24.2</v>
      </c>
    </row>
    <row r="133" spans="1:12" x14ac:dyDescent="0.25">
      <c r="A133">
        <v>1739</v>
      </c>
      <c r="B133" t="s">
        <v>65</v>
      </c>
      <c r="C133" t="s">
        <v>53</v>
      </c>
      <c r="D133" t="s">
        <v>35</v>
      </c>
      <c r="J133">
        <f t="shared" si="2"/>
        <v>0</v>
      </c>
      <c r="L133">
        <f t="shared" si="3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105"/>
  <sheetViews>
    <sheetView topLeftCell="A77" workbookViewId="0">
      <selection activeCell="H91" sqref="H91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1739</v>
      </c>
      <c r="B2" t="s">
        <v>55</v>
      </c>
      <c r="C2" t="s">
        <v>56</v>
      </c>
      <c r="D2" t="s">
        <v>33</v>
      </c>
      <c r="F2">
        <v>1</v>
      </c>
      <c r="G2">
        <v>3</v>
      </c>
      <c r="J2">
        <f t="shared" ref="J2:J72" si="0">(E2*2240)+(F2*112)+(G2*28)+H2</f>
        <v>196</v>
      </c>
      <c r="L2">
        <f t="shared" ref="L2:L72" si="1">J2/2240</f>
        <v>8.7499999999999994E-2</v>
      </c>
    </row>
    <row r="3" spans="1:12" x14ac:dyDescent="0.25">
      <c r="A3">
        <v>1739</v>
      </c>
      <c r="B3" t="s">
        <v>57</v>
      </c>
      <c r="C3" t="s">
        <v>56</v>
      </c>
      <c r="D3" t="s">
        <v>33</v>
      </c>
      <c r="J3">
        <f t="shared" si="0"/>
        <v>0</v>
      </c>
      <c r="L3">
        <f t="shared" si="1"/>
        <v>0</v>
      </c>
    </row>
    <row r="4" spans="1:12" x14ac:dyDescent="0.25">
      <c r="A4">
        <v>1739</v>
      </c>
      <c r="B4" t="s">
        <v>36</v>
      </c>
      <c r="C4" t="s">
        <v>56</v>
      </c>
      <c r="D4" t="s">
        <v>33</v>
      </c>
      <c r="H4">
        <v>43783</v>
      </c>
      <c r="J4">
        <f t="shared" si="0"/>
        <v>43783</v>
      </c>
      <c r="L4">
        <f t="shared" si="1"/>
        <v>19.545982142857142</v>
      </c>
    </row>
    <row r="5" spans="1:12" x14ac:dyDescent="0.25">
      <c r="A5">
        <v>1739</v>
      </c>
      <c r="B5" t="s">
        <v>4</v>
      </c>
      <c r="C5" t="s">
        <v>56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1739</v>
      </c>
      <c r="B6" t="s">
        <v>58</v>
      </c>
      <c r="C6" t="s">
        <v>56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1739</v>
      </c>
      <c r="B7" t="s">
        <v>107</v>
      </c>
      <c r="C7" t="s">
        <v>56</v>
      </c>
      <c r="D7" t="s">
        <v>33</v>
      </c>
      <c r="H7">
        <v>1130</v>
      </c>
      <c r="J7">
        <f t="shared" si="0"/>
        <v>1130</v>
      </c>
      <c r="L7">
        <f t="shared" si="1"/>
        <v>0.5044642857142857</v>
      </c>
    </row>
    <row r="8" spans="1:12" x14ac:dyDescent="0.25">
      <c r="A8">
        <v>1739</v>
      </c>
      <c r="B8" t="s">
        <v>92</v>
      </c>
      <c r="C8" t="s">
        <v>56</v>
      </c>
      <c r="D8" t="s">
        <v>33</v>
      </c>
      <c r="H8">
        <v>3805</v>
      </c>
      <c r="J8">
        <f t="shared" si="0"/>
        <v>3805</v>
      </c>
      <c r="L8">
        <f t="shared" si="1"/>
        <v>1.6986607142857142</v>
      </c>
    </row>
    <row r="9" spans="1:12" x14ac:dyDescent="0.25">
      <c r="A9">
        <v>1739</v>
      </c>
      <c r="B9" t="s">
        <v>43</v>
      </c>
      <c r="C9" t="s">
        <v>56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1739</v>
      </c>
      <c r="B10" t="s">
        <v>5</v>
      </c>
      <c r="C10" t="s">
        <v>56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1739</v>
      </c>
      <c r="B11" t="s">
        <v>59</v>
      </c>
      <c r="C11" t="s">
        <v>56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1739</v>
      </c>
      <c r="B12" t="s">
        <v>6</v>
      </c>
      <c r="C12" t="s">
        <v>56</v>
      </c>
      <c r="D12" t="s">
        <v>33</v>
      </c>
      <c r="F12">
        <v>87430</v>
      </c>
      <c r="G12">
        <v>2</v>
      </c>
      <c r="H12">
        <v>7</v>
      </c>
      <c r="J12">
        <f t="shared" si="0"/>
        <v>9792223</v>
      </c>
      <c r="L12">
        <f t="shared" si="1"/>
        <v>4371.5281249999998</v>
      </c>
    </row>
    <row r="13" spans="1:12" x14ac:dyDescent="0.25">
      <c r="A13">
        <v>1739</v>
      </c>
      <c r="B13" t="s">
        <v>60</v>
      </c>
      <c r="C13" t="s">
        <v>56</v>
      </c>
      <c r="D13" t="s">
        <v>33</v>
      </c>
      <c r="H13">
        <v>1524</v>
      </c>
      <c r="J13">
        <f t="shared" si="0"/>
        <v>1524</v>
      </c>
      <c r="L13">
        <f t="shared" si="1"/>
        <v>0.68035714285714288</v>
      </c>
    </row>
    <row r="14" spans="1:12" x14ac:dyDescent="0.25">
      <c r="A14">
        <v>1739</v>
      </c>
      <c r="B14" t="s">
        <v>7</v>
      </c>
      <c r="C14" t="s">
        <v>56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1739</v>
      </c>
      <c r="B15" t="s">
        <v>37</v>
      </c>
      <c r="C15" t="s">
        <v>56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1739</v>
      </c>
      <c r="B16" t="s">
        <v>8</v>
      </c>
      <c r="C16" t="s">
        <v>56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1739</v>
      </c>
      <c r="B17" t="s">
        <v>40</v>
      </c>
      <c r="C17" t="s">
        <v>56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1739</v>
      </c>
      <c r="B18" t="s">
        <v>77</v>
      </c>
      <c r="C18" t="s">
        <v>56</v>
      </c>
      <c r="D18" t="s">
        <v>33</v>
      </c>
      <c r="F18">
        <v>9</v>
      </c>
      <c r="H18">
        <v>7</v>
      </c>
      <c r="J18">
        <f t="shared" si="0"/>
        <v>1015</v>
      </c>
      <c r="L18">
        <f t="shared" si="1"/>
        <v>0.453125</v>
      </c>
    </row>
    <row r="19" spans="1:12" x14ac:dyDescent="0.25">
      <c r="A19">
        <v>1739</v>
      </c>
      <c r="B19" t="s">
        <v>78</v>
      </c>
      <c r="C19" t="s">
        <v>56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1739</v>
      </c>
      <c r="B20" t="s">
        <v>9</v>
      </c>
      <c r="C20" t="s">
        <v>56</v>
      </c>
      <c r="D20" t="s">
        <v>33</v>
      </c>
      <c r="H20">
        <f>261*200+161</f>
        <v>52361</v>
      </c>
      <c r="I20" t="s">
        <v>116</v>
      </c>
      <c r="J20">
        <f t="shared" si="0"/>
        <v>52361</v>
      </c>
      <c r="L20">
        <f t="shared" si="1"/>
        <v>23.375446428571429</v>
      </c>
    </row>
    <row r="21" spans="1:12" x14ac:dyDescent="0.25">
      <c r="A21">
        <v>1739</v>
      </c>
      <c r="B21" t="s">
        <v>10</v>
      </c>
      <c r="C21" t="s">
        <v>56</v>
      </c>
      <c r="D21" t="s">
        <v>33</v>
      </c>
      <c r="F21">
        <v>3214</v>
      </c>
      <c r="G21">
        <v>3</v>
      </c>
      <c r="H21">
        <v>10</v>
      </c>
      <c r="J21">
        <f t="shared" si="0"/>
        <v>360062</v>
      </c>
      <c r="L21">
        <f t="shared" si="1"/>
        <v>160.74196428571429</v>
      </c>
    </row>
    <row r="22" spans="1:12" x14ac:dyDescent="0.25">
      <c r="A22">
        <v>1739</v>
      </c>
      <c r="B22" t="s">
        <v>11</v>
      </c>
      <c r="C22" t="s">
        <v>56</v>
      </c>
      <c r="D22" t="s">
        <v>33</v>
      </c>
      <c r="F22">
        <v>165</v>
      </c>
      <c r="H22">
        <v>19</v>
      </c>
      <c r="J22">
        <f t="shared" si="0"/>
        <v>18499</v>
      </c>
      <c r="L22">
        <f t="shared" si="1"/>
        <v>8.258482142857142</v>
      </c>
    </row>
    <row r="23" spans="1:12" x14ac:dyDescent="0.25">
      <c r="A23">
        <v>1739</v>
      </c>
      <c r="B23" t="s">
        <v>39</v>
      </c>
      <c r="C23" t="s">
        <v>56</v>
      </c>
      <c r="D23" t="s">
        <v>33</v>
      </c>
      <c r="H23">
        <v>790</v>
      </c>
      <c r="J23">
        <f t="shared" si="0"/>
        <v>790</v>
      </c>
      <c r="L23">
        <f t="shared" si="1"/>
        <v>0.35267857142857145</v>
      </c>
    </row>
    <row r="24" spans="1:12" x14ac:dyDescent="0.25">
      <c r="A24">
        <v>1739</v>
      </c>
      <c r="B24" t="s">
        <v>102</v>
      </c>
      <c r="C24" t="s">
        <v>56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1739</v>
      </c>
      <c r="B25" t="s">
        <v>44</v>
      </c>
      <c r="C25" t="s">
        <v>56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1739</v>
      </c>
      <c r="B26" t="s">
        <v>12</v>
      </c>
      <c r="C26" t="s">
        <v>56</v>
      </c>
      <c r="D26" t="s">
        <v>33</v>
      </c>
      <c r="H26">
        <v>660</v>
      </c>
      <c r="J26">
        <f t="shared" si="0"/>
        <v>660</v>
      </c>
      <c r="L26">
        <f t="shared" si="1"/>
        <v>0.29464285714285715</v>
      </c>
    </row>
    <row r="27" spans="1:12" x14ac:dyDescent="0.25">
      <c r="A27">
        <v>1739</v>
      </c>
      <c r="B27" t="s">
        <v>34</v>
      </c>
      <c r="C27" t="s">
        <v>56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1739</v>
      </c>
      <c r="B28" t="s">
        <v>13</v>
      </c>
      <c r="C28" t="s">
        <v>56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1739</v>
      </c>
      <c r="B29" t="s">
        <v>14</v>
      </c>
      <c r="C29" t="s">
        <v>56</v>
      </c>
      <c r="D29" t="s">
        <v>33</v>
      </c>
      <c r="H29">
        <v>1030.5</v>
      </c>
      <c r="I29" t="s">
        <v>112</v>
      </c>
      <c r="J29">
        <f t="shared" si="0"/>
        <v>1030.5</v>
      </c>
      <c r="L29">
        <f t="shared" si="1"/>
        <v>0.46004464285714286</v>
      </c>
    </row>
    <row r="30" spans="1:12" x14ac:dyDescent="0.25">
      <c r="A30">
        <v>1739</v>
      </c>
      <c r="B30" t="s">
        <v>23</v>
      </c>
      <c r="C30" t="s">
        <v>56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1739</v>
      </c>
      <c r="B31" t="s">
        <v>27</v>
      </c>
      <c r="C31" t="s">
        <v>56</v>
      </c>
      <c r="D31" t="s">
        <v>33</v>
      </c>
      <c r="H31">
        <v>279772</v>
      </c>
      <c r="I31" t="s">
        <v>114</v>
      </c>
      <c r="J31">
        <f t="shared" si="0"/>
        <v>279772</v>
      </c>
      <c r="L31">
        <f t="shared" si="1"/>
        <v>124.89821428571429</v>
      </c>
    </row>
    <row r="32" spans="1:12" x14ac:dyDescent="0.25">
      <c r="A32">
        <v>1739</v>
      </c>
      <c r="B32" t="s">
        <v>15</v>
      </c>
      <c r="C32" t="s">
        <v>56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1739</v>
      </c>
      <c r="B33" t="s">
        <v>42</v>
      </c>
      <c r="C33" t="s">
        <v>56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1739</v>
      </c>
      <c r="B34" t="s">
        <v>47</v>
      </c>
      <c r="C34" t="s">
        <v>56</v>
      </c>
      <c r="D34" t="s">
        <v>33</v>
      </c>
      <c r="H34">
        <v>1030.5</v>
      </c>
      <c r="I34" t="s">
        <v>112</v>
      </c>
      <c r="J34">
        <f t="shared" si="0"/>
        <v>1030.5</v>
      </c>
      <c r="L34">
        <f t="shared" si="1"/>
        <v>0.46004464285714286</v>
      </c>
    </row>
    <row r="35" spans="1:12" x14ac:dyDescent="0.25">
      <c r="A35">
        <v>1739</v>
      </c>
      <c r="B35" t="s">
        <v>16</v>
      </c>
      <c r="C35" t="s">
        <v>56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1739</v>
      </c>
      <c r="B36" t="s">
        <v>17</v>
      </c>
      <c r="C36" t="s">
        <v>56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1739</v>
      </c>
      <c r="B37" t="s">
        <v>18</v>
      </c>
      <c r="C37" t="s">
        <v>56</v>
      </c>
      <c r="D37" t="s">
        <v>33</v>
      </c>
      <c r="H37">
        <v>140396</v>
      </c>
      <c r="I37" t="s">
        <v>113</v>
      </c>
      <c r="J37">
        <f t="shared" si="0"/>
        <v>140396</v>
      </c>
      <c r="L37">
        <f t="shared" si="1"/>
        <v>62.676785714285714</v>
      </c>
    </row>
    <row r="38" spans="1:12" x14ac:dyDescent="0.25">
      <c r="A38">
        <v>1739</v>
      </c>
      <c r="B38" t="s">
        <v>26</v>
      </c>
      <c r="C38" t="s">
        <v>56</v>
      </c>
      <c r="D38" t="s">
        <v>33</v>
      </c>
      <c r="H38">
        <v>140</v>
      </c>
      <c r="J38">
        <f t="shared" si="0"/>
        <v>140</v>
      </c>
      <c r="L38">
        <f t="shared" si="1"/>
        <v>6.25E-2</v>
      </c>
    </row>
    <row r="39" spans="1:12" x14ac:dyDescent="0.25">
      <c r="A39">
        <v>1739</v>
      </c>
      <c r="B39" t="s">
        <v>19</v>
      </c>
      <c r="C39" t="s">
        <v>56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1739</v>
      </c>
      <c r="B40" t="s">
        <v>45</v>
      </c>
      <c r="C40" t="s">
        <v>56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1739</v>
      </c>
      <c r="B41" t="s">
        <v>54</v>
      </c>
      <c r="C41" t="s">
        <v>56</v>
      </c>
      <c r="D41" t="s">
        <v>33</v>
      </c>
      <c r="H41">
        <v>2077</v>
      </c>
      <c r="J41">
        <f t="shared" si="0"/>
        <v>2077</v>
      </c>
      <c r="L41">
        <f t="shared" si="1"/>
        <v>0.92723214285714284</v>
      </c>
    </row>
    <row r="42" spans="1:12" x14ac:dyDescent="0.25">
      <c r="A42">
        <v>1739</v>
      </c>
      <c r="B42" t="s">
        <v>95</v>
      </c>
      <c r="C42" t="s">
        <v>56</v>
      </c>
      <c r="D42" t="s">
        <v>33</v>
      </c>
      <c r="H42">
        <v>1995</v>
      </c>
      <c r="J42">
        <f t="shared" si="0"/>
        <v>1995</v>
      </c>
      <c r="L42">
        <f t="shared" si="1"/>
        <v>0.890625</v>
      </c>
    </row>
    <row r="43" spans="1:12" x14ac:dyDescent="0.25">
      <c r="A43">
        <v>1739</v>
      </c>
      <c r="B43" t="s">
        <v>20</v>
      </c>
      <c r="C43" t="s">
        <v>56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1739</v>
      </c>
      <c r="B44" t="s">
        <v>21</v>
      </c>
      <c r="C44" t="s">
        <v>56</v>
      </c>
      <c r="D44" t="s">
        <v>33</v>
      </c>
      <c r="H44">
        <v>18</v>
      </c>
      <c r="J44">
        <f t="shared" si="0"/>
        <v>18</v>
      </c>
      <c r="L44">
        <f t="shared" si="1"/>
        <v>8.0357142857142849E-3</v>
      </c>
    </row>
    <row r="45" spans="1:12" x14ac:dyDescent="0.25">
      <c r="A45">
        <v>1739</v>
      </c>
      <c r="B45" t="s">
        <v>90</v>
      </c>
      <c r="C45" t="s">
        <v>56</v>
      </c>
      <c r="D45" t="s">
        <v>33</v>
      </c>
      <c r="F45">
        <v>51</v>
      </c>
      <c r="G45">
        <v>2</v>
      </c>
      <c r="J45">
        <f t="shared" si="0"/>
        <v>5768</v>
      </c>
      <c r="L45">
        <f t="shared" si="1"/>
        <v>2.5750000000000002</v>
      </c>
    </row>
    <row r="46" spans="1:12" x14ac:dyDescent="0.25">
      <c r="A46">
        <v>1739</v>
      </c>
      <c r="B46" t="s">
        <v>22</v>
      </c>
      <c r="C46" t="s">
        <v>56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1739</v>
      </c>
      <c r="B47" t="s">
        <v>61</v>
      </c>
      <c r="C47" t="s">
        <v>56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1739</v>
      </c>
      <c r="B48" t="s">
        <v>115</v>
      </c>
      <c r="C48" t="s">
        <v>56</v>
      </c>
      <c r="D48" t="s">
        <v>33</v>
      </c>
      <c r="E48">
        <v>10</v>
      </c>
      <c r="J48">
        <f t="shared" si="0"/>
        <v>22400</v>
      </c>
      <c r="L48">
        <f t="shared" si="1"/>
        <v>10</v>
      </c>
    </row>
    <row r="49" spans="1:12" x14ac:dyDescent="0.25">
      <c r="A49">
        <v>1739</v>
      </c>
      <c r="B49" t="s">
        <v>62</v>
      </c>
      <c r="C49" t="s">
        <v>56</v>
      </c>
      <c r="D49" t="s">
        <v>33</v>
      </c>
      <c r="E49">
        <v>47</v>
      </c>
      <c r="J49">
        <f t="shared" si="0"/>
        <v>105280</v>
      </c>
      <c r="L49">
        <f t="shared" si="1"/>
        <v>47</v>
      </c>
    </row>
    <row r="50" spans="1:12" x14ac:dyDescent="0.25">
      <c r="A50">
        <v>1739</v>
      </c>
      <c r="B50" t="s">
        <v>63</v>
      </c>
      <c r="C50" t="s">
        <v>56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1739</v>
      </c>
      <c r="B51" t="s">
        <v>70</v>
      </c>
      <c r="C51" t="s">
        <v>56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1739</v>
      </c>
      <c r="B52" t="s">
        <v>64</v>
      </c>
      <c r="C52" t="s">
        <v>56</v>
      </c>
      <c r="D52" t="s">
        <v>33</v>
      </c>
      <c r="E52">
        <v>150</v>
      </c>
      <c r="J52">
        <f t="shared" si="0"/>
        <v>336000</v>
      </c>
      <c r="L52">
        <f t="shared" si="1"/>
        <v>150</v>
      </c>
    </row>
    <row r="53" spans="1:12" x14ac:dyDescent="0.25">
      <c r="A53">
        <v>1739</v>
      </c>
      <c r="B53" t="s">
        <v>65</v>
      </c>
      <c r="C53" t="s">
        <v>56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1739</v>
      </c>
      <c r="B54" t="s">
        <v>55</v>
      </c>
      <c r="C54" t="s">
        <v>56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1739</v>
      </c>
      <c r="B55" t="s">
        <v>57</v>
      </c>
      <c r="C55" t="s">
        <v>56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1739</v>
      </c>
      <c r="B56" t="s">
        <v>36</v>
      </c>
      <c r="C56" t="s">
        <v>56</v>
      </c>
      <c r="D56" t="s">
        <v>35</v>
      </c>
      <c r="H56">
        <v>260</v>
      </c>
      <c r="J56">
        <f t="shared" si="0"/>
        <v>260</v>
      </c>
      <c r="L56">
        <f t="shared" si="1"/>
        <v>0.11607142857142858</v>
      </c>
    </row>
    <row r="57" spans="1:12" x14ac:dyDescent="0.25">
      <c r="A57">
        <v>1739</v>
      </c>
      <c r="B57" t="s">
        <v>4</v>
      </c>
      <c r="C57" t="s">
        <v>56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1739</v>
      </c>
      <c r="B58" t="s">
        <v>58</v>
      </c>
      <c r="C58" t="s">
        <v>56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1739</v>
      </c>
      <c r="B59" t="s">
        <v>107</v>
      </c>
      <c r="C59" t="s">
        <v>56</v>
      </c>
      <c r="D59" t="s">
        <v>35</v>
      </c>
      <c r="H59">
        <v>266</v>
      </c>
      <c r="J59">
        <f t="shared" si="0"/>
        <v>266</v>
      </c>
      <c r="L59">
        <f t="shared" si="1"/>
        <v>0.11874999999999999</v>
      </c>
    </row>
    <row r="60" spans="1:12" x14ac:dyDescent="0.25">
      <c r="A60">
        <v>1739</v>
      </c>
      <c r="B60" t="s">
        <v>92</v>
      </c>
      <c r="C60" t="s">
        <v>56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1739</v>
      </c>
      <c r="B61" t="s">
        <v>43</v>
      </c>
      <c r="C61" t="s">
        <v>56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1739</v>
      </c>
      <c r="B62" t="s">
        <v>5</v>
      </c>
      <c r="C62" t="s">
        <v>56</v>
      </c>
      <c r="D62" t="s">
        <v>35</v>
      </c>
      <c r="F62">
        <v>6</v>
      </c>
      <c r="H62">
        <v>1</v>
      </c>
      <c r="J62">
        <f t="shared" si="0"/>
        <v>673</v>
      </c>
      <c r="L62">
        <f t="shared" si="1"/>
        <v>0.30044642857142856</v>
      </c>
    </row>
    <row r="63" spans="1:12" x14ac:dyDescent="0.25">
      <c r="A63">
        <v>1739</v>
      </c>
      <c r="B63" t="s">
        <v>59</v>
      </c>
      <c r="C63" t="s">
        <v>56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1739</v>
      </c>
      <c r="B64" t="s">
        <v>6</v>
      </c>
      <c r="C64" t="s">
        <v>56</v>
      </c>
      <c r="D64" t="s">
        <v>35</v>
      </c>
      <c r="F64">
        <v>31916</v>
      </c>
      <c r="G64">
        <v>2</v>
      </c>
      <c r="H64">
        <v>12</v>
      </c>
      <c r="J64">
        <f t="shared" si="0"/>
        <v>3574660</v>
      </c>
      <c r="L64">
        <f t="shared" si="1"/>
        <v>1595.8303571428571</v>
      </c>
    </row>
    <row r="65" spans="1:12" x14ac:dyDescent="0.25">
      <c r="A65">
        <v>1739</v>
      </c>
      <c r="B65" t="s">
        <v>60</v>
      </c>
      <c r="C65" t="s">
        <v>56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1739</v>
      </c>
      <c r="B66" t="s">
        <v>38</v>
      </c>
      <c r="C66" t="s">
        <v>56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1739</v>
      </c>
      <c r="B67" t="s">
        <v>37</v>
      </c>
      <c r="C67" t="s">
        <v>56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1739</v>
      </c>
      <c r="B68" t="s">
        <v>8</v>
      </c>
      <c r="C68" t="s">
        <v>56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1739</v>
      </c>
      <c r="B69" t="s">
        <v>40</v>
      </c>
      <c r="C69" t="s">
        <v>56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1739</v>
      </c>
      <c r="B70" t="s">
        <v>77</v>
      </c>
      <c r="C70" t="s">
        <v>56</v>
      </c>
      <c r="D70" t="s">
        <v>35</v>
      </c>
      <c r="F70">
        <v>5</v>
      </c>
      <c r="G70">
        <v>3</v>
      </c>
      <c r="J70">
        <f t="shared" si="0"/>
        <v>644</v>
      </c>
      <c r="L70">
        <f t="shared" si="1"/>
        <v>0.28749999999999998</v>
      </c>
    </row>
    <row r="71" spans="1:12" x14ac:dyDescent="0.25">
      <c r="A71">
        <v>1739</v>
      </c>
      <c r="B71" t="s">
        <v>9</v>
      </c>
      <c r="C71" t="s">
        <v>56</v>
      </c>
      <c r="D71" t="s">
        <v>35</v>
      </c>
      <c r="H71">
        <f>1695*200</f>
        <v>339000</v>
      </c>
      <c r="I71" t="s">
        <v>144</v>
      </c>
      <c r="J71">
        <f t="shared" si="0"/>
        <v>339000</v>
      </c>
      <c r="L71">
        <f t="shared" si="1"/>
        <v>151.33928571428572</v>
      </c>
    </row>
    <row r="72" spans="1:12" x14ac:dyDescent="0.25">
      <c r="A72">
        <v>1739</v>
      </c>
      <c r="B72" t="s">
        <v>10</v>
      </c>
      <c r="C72" t="s">
        <v>56</v>
      </c>
      <c r="D72" t="s">
        <v>35</v>
      </c>
      <c r="F72">
        <v>381</v>
      </c>
      <c r="G72">
        <v>3</v>
      </c>
      <c r="H72">
        <v>22</v>
      </c>
      <c r="J72">
        <f t="shared" si="0"/>
        <v>42778</v>
      </c>
      <c r="L72">
        <f t="shared" si="1"/>
        <v>19.09732142857143</v>
      </c>
    </row>
    <row r="73" spans="1:12" x14ac:dyDescent="0.25">
      <c r="A73">
        <v>1739</v>
      </c>
      <c r="B73" t="s">
        <v>11</v>
      </c>
      <c r="C73" t="s">
        <v>56</v>
      </c>
      <c r="D73" t="s">
        <v>35</v>
      </c>
      <c r="F73">
        <v>188</v>
      </c>
      <c r="G73">
        <v>1</v>
      </c>
      <c r="H73">
        <v>3</v>
      </c>
      <c r="J73">
        <f t="shared" ref="J73:J105" si="2">(E73*2240)+(F73*112)+(G73*28)+H73</f>
        <v>21087</v>
      </c>
      <c r="L73">
        <f t="shared" ref="L73:L105" si="3">J73/2240</f>
        <v>9.4138392857142854</v>
      </c>
    </row>
    <row r="74" spans="1:12" x14ac:dyDescent="0.25">
      <c r="A74">
        <v>1739</v>
      </c>
      <c r="B74" t="s">
        <v>39</v>
      </c>
      <c r="C74" t="s">
        <v>56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1739</v>
      </c>
      <c r="B75" t="s">
        <v>79</v>
      </c>
      <c r="C75" t="s">
        <v>56</v>
      </c>
      <c r="D75" t="s">
        <v>35</v>
      </c>
      <c r="F75">
        <v>15</v>
      </c>
      <c r="G75">
        <v>3</v>
      </c>
      <c r="H75">
        <v>18</v>
      </c>
      <c r="J75">
        <f t="shared" si="2"/>
        <v>1782</v>
      </c>
      <c r="L75">
        <f t="shared" si="3"/>
        <v>0.79553571428571423</v>
      </c>
    </row>
    <row r="76" spans="1:12" x14ac:dyDescent="0.25">
      <c r="A76">
        <v>1739</v>
      </c>
      <c r="B76" t="s">
        <v>44</v>
      </c>
      <c r="C76" t="s">
        <v>56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1739</v>
      </c>
      <c r="B77" t="s">
        <v>12</v>
      </c>
      <c r="C77" t="s">
        <v>56</v>
      </c>
      <c r="D77" t="s">
        <v>35</v>
      </c>
      <c r="H77">
        <v>357</v>
      </c>
      <c r="J77">
        <f t="shared" si="2"/>
        <v>357</v>
      </c>
      <c r="L77">
        <f t="shared" si="3"/>
        <v>0.15937499999999999</v>
      </c>
    </row>
    <row r="78" spans="1:12" x14ac:dyDescent="0.25">
      <c r="A78">
        <v>1739</v>
      </c>
      <c r="B78" t="s">
        <v>34</v>
      </c>
      <c r="C78" t="s">
        <v>56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1739</v>
      </c>
      <c r="B79" t="s">
        <v>13</v>
      </c>
      <c r="C79" t="s">
        <v>56</v>
      </c>
      <c r="D79" t="s">
        <v>35</v>
      </c>
      <c r="F79">
        <v>5</v>
      </c>
      <c r="J79">
        <f t="shared" si="2"/>
        <v>560</v>
      </c>
      <c r="L79">
        <f t="shared" si="3"/>
        <v>0.25</v>
      </c>
    </row>
    <row r="80" spans="1:12" x14ac:dyDescent="0.25">
      <c r="A80">
        <v>1739</v>
      </c>
      <c r="B80" t="s">
        <v>14</v>
      </c>
      <c r="C80" t="s">
        <v>56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1739</v>
      </c>
      <c r="B81" t="s">
        <v>23</v>
      </c>
      <c r="C81" t="s">
        <v>56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1739</v>
      </c>
      <c r="B82" t="s">
        <v>27</v>
      </c>
      <c r="C82" t="s">
        <v>56</v>
      </c>
      <c r="D82" t="s">
        <v>35</v>
      </c>
      <c r="H82">
        <v>9372.5</v>
      </c>
      <c r="I82" t="s">
        <v>143</v>
      </c>
      <c r="J82">
        <f t="shared" si="2"/>
        <v>9372.5</v>
      </c>
      <c r="L82">
        <f t="shared" si="3"/>
        <v>4.1841517857142856</v>
      </c>
    </row>
    <row r="83" spans="1:12" x14ac:dyDescent="0.25">
      <c r="A83">
        <v>1739</v>
      </c>
      <c r="B83" t="s">
        <v>15</v>
      </c>
      <c r="C83" t="s">
        <v>56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1739</v>
      </c>
      <c r="B84" t="s">
        <v>93</v>
      </c>
      <c r="C84" t="s">
        <v>56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1739</v>
      </c>
      <c r="B85" t="s">
        <v>42</v>
      </c>
      <c r="C85" t="s">
        <v>56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1739</v>
      </c>
      <c r="B86" t="s">
        <v>47</v>
      </c>
      <c r="C86" t="s">
        <v>56</v>
      </c>
      <c r="D86" t="s">
        <v>35</v>
      </c>
      <c r="H86">
        <v>70</v>
      </c>
      <c r="I86" t="s">
        <v>141</v>
      </c>
      <c r="J86">
        <f t="shared" si="2"/>
        <v>70</v>
      </c>
      <c r="L86">
        <f t="shared" si="3"/>
        <v>3.125E-2</v>
      </c>
    </row>
    <row r="87" spans="1:12" x14ac:dyDescent="0.25">
      <c r="A87">
        <v>1739</v>
      </c>
      <c r="B87" t="s">
        <v>16</v>
      </c>
      <c r="C87" t="s">
        <v>56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1739</v>
      </c>
      <c r="B88" t="s">
        <v>106</v>
      </c>
      <c r="C88" t="s">
        <v>56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1739</v>
      </c>
      <c r="B89" t="s">
        <v>17</v>
      </c>
      <c r="C89" t="s">
        <v>56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1739</v>
      </c>
      <c r="B90" t="s">
        <v>18</v>
      </c>
      <c r="C90" t="s">
        <v>56</v>
      </c>
      <c r="D90" t="s">
        <v>35</v>
      </c>
      <c r="H90">
        <v>106132.5</v>
      </c>
      <c r="I90" t="s">
        <v>142</v>
      </c>
      <c r="J90">
        <f t="shared" si="2"/>
        <v>106132.5</v>
      </c>
      <c r="L90">
        <f t="shared" si="3"/>
        <v>47.380580357142854</v>
      </c>
    </row>
    <row r="91" spans="1:12" x14ac:dyDescent="0.25">
      <c r="A91">
        <v>1739</v>
      </c>
      <c r="B91" t="s">
        <v>26</v>
      </c>
      <c r="C91" t="s">
        <v>56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1739</v>
      </c>
      <c r="B92" t="s">
        <v>19</v>
      </c>
      <c r="C92" t="s">
        <v>56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1739</v>
      </c>
      <c r="B93" t="s">
        <v>45</v>
      </c>
      <c r="C93" t="s">
        <v>56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1739</v>
      </c>
      <c r="B94" t="s">
        <v>54</v>
      </c>
      <c r="C94" t="s">
        <v>56</v>
      </c>
      <c r="D94" t="s">
        <v>35</v>
      </c>
      <c r="H94">
        <v>62</v>
      </c>
      <c r="J94">
        <f t="shared" si="2"/>
        <v>62</v>
      </c>
      <c r="L94">
        <f t="shared" si="3"/>
        <v>2.7678571428571427E-2</v>
      </c>
    </row>
    <row r="95" spans="1:12" x14ac:dyDescent="0.25">
      <c r="A95">
        <v>1739</v>
      </c>
      <c r="B95" t="s">
        <v>95</v>
      </c>
      <c r="C95" t="s">
        <v>56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1739</v>
      </c>
      <c r="B96" t="s">
        <v>20</v>
      </c>
      <c r="C96" t="s">
        <v>56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1739</v>
      </c>
      <c r="B97" t="s">
        <v>21</v>
      </c>
      <c r="C97" t="s">
        <v>56</v>
      </c>
      <c r="D97" t="s">
        <v>35</v>
      </c>
      <c r="H97">
        <v>27</v>
      </c>
      <c r="J97">
        <f t="shared" si="2"/>
        <v>27</v>
      </c>
      <c r="L97">
        <f t="shared" si="3"/>
        <v>1.2053571428571429E-2</v>
      </c>
    </row>
    <row r="98" spans="1:12" x14ac:dyDescent="0.25">
      <c r="A98">
        <v>1739</v>
      </c>
      <c r="B98" t="s">
        <v>22</v>
      </c>
      <c r="C98" t="s">
        <v>56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1739</v>
      </c>
      <c r="B99" t="s">
        <v>61</v>
      </c>
      <c r="C99" t="s">
        <v>56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1739</v>
      </c>
      <c r="B100" t="s">
        <v>62</v>
      </c>
      <c r="C100" t="s">
        <v>56</v>
      </c>
      <c r="D100" t="s">
        <v>35</v>
      </c>
      <c r="E100">
        <v>11</v>
      </c>
      <c r="F100">
        <v>1</v>
      </c>
      <c r="G100">
        <v>2</v>
      </c>
      <c r="H100">
        <v>8</v>
      </c>
      <c r="J100">
        <f t="shared" si="2"/>
        <v>24816</v>
      </c>
      <c r="L100">
        <f t="shared" si="3"/>
        <v>11.078571428571429</v>
      </c>
    </row>
    <row r="101" spans="1:12" x14ac:dyDescent="0.25">
      <c r="A101">
        <v>1739</v>
      </c>
      <c r="B101" t="s">
        <v>63</v>
      </c>
      <c r="C101" t="s">
        <v>56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1739</v>
      </c>
      <c r="B102" t="s">
        <v>89</v>
      </c>
      <c r="C102" t="s">
        <v>56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1739</v>
      </c>
      <c r="B103" t="s">
        <v>70</v>
      </c>
      <c r="C103" t="s">
        <v>56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1739</v>
      </c>
      <c r="B104" t="s">
        <v>64</v>
      </c>
      <c r="C104" t="s">
        <v>56</v>
      </c>
      <c r="D104" t="s">
        <v>35</v>
      </c>
      <c r="E104">
        <v>17</v>
      </c>
      <c r="F104">
        <v>10</v>
      </c>
      <c r="J104">
        <f t="shared" si="2"/>
        <v>39200</v>
      </c>
      <c r="L104">
        <f t="shared" si="3"/>
        <v>17.5</v>
      </c>
    </row>
    <row r="105" spans="1:12" x14ac:dyDescent="0.25">
      <c r="A105">
        <v>1739</v>
      </c>
      <c r="B105" t="s">
        <v>65</v>
      </c>
      <c r="C105" t="s">
        <v>56</v>
      </c>
      <c r="D105" t="s">
        <v>35</v>
      </c>
      <c r="J105">
        <f t="shared" si="2"/>
        <v>0</v>
      </c>
      <c r="L105">
        <f t="shared" si="3"/>
        <v>0</v>
      </c>
    </row>
  </sheetData>
  <autoFilter ref="A1:N57" xr:uid="{AAD1F908-12B8-4B3A-A65D-184CD229ACD4}">
    <sortState xmlns:xlrd2="http://schemas.microsoft.com/office/spreadsheetml/2017/richdata2" ref="A2:N57">
      <sortCondition ref="B1:B5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8"/>
  <sheetViews>
    <sheetView workbookViewId="0">
      <selection activeCell="H9" sqref="H9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1739</v>
      </c>
      <c r="B2" t="s">
        <v>66</v>
      </c>
      <c r="C2" t="s">
        <v>67</v>
      </c>
      <c r="D2" t="s">
        <v>33</v>
      </c>
      <c r="J2">
        <f t="shared" ref="J2:J28" si="0">(E2*2240)+(F2*112)+(G2*28)+H2</f>
        <v>0</v>
      </c>
      <c r="L2">
        <f t="shared" ref="L2:L28" si="1">J2/2240</f>
        <v>0</v>
      </c>
    </row>
    <row r="3" spans="1:12" x14ac:dyDescent="0.25">
      <c r="A3">
        <v>1739</v>
      </c>
      <c r="B3" t="s">
        <v>6</v>
      </c>
      <c r="C3" t="s">
        <v>67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1739</v>
      </c>
      <c r="B4" t="s">
        <v>8</v>
      </c>
      <c r="C4" t="s">
        <v>67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1739</v>
      </c>
      <c r="B5" t="s">
        <v>9</v>
      </c>
      <c r="C5" t="s">
        <v>67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1739</v>
      </c>
      <c r="B6" t="s">
        <v>11</v>
      </c>
      <c r="C6" t="s">
        <v>67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1739</v>
      </c>
      <c r="B7" t="s">
        <v>12</v>
      </c>
      <c r="C7" t="s">
        <v>67</v>
      </c>
      <c r="D7" t="s">
        <v>33</v>
      </c>
      <c r="H7">
        <v>3233</v>
      </c>
      <c r="J7">
        <f t="shared" si="0"/>
        <v>3233</v>
      </c>
      <c r="L7">
        <f t="shared" si="1"/>
        <v>1.4433035714285714</v>
      </c>
    </row>
    <row r="8" spans="1:12" x14ac:dyDescent="0.25">
      <c r="A8">
        <v>1739</v>
      </c>
      <c r="B8" t="s">
        <v>27</v>
      </c>
      <c r="C8" t="s">
        <v>67</v>
      </c>
      <c r="D8" t="s">
        <v>33</v>
      </c>
      <c r="H8">
        <v>1570.5</v>
      </c>
      <c r="I8" t="s">
        <v>117</v>
      </c>
      <c r="J8">
        <f t="shared" si="0"/>
        <v>1570.5</v>
      </c>
      <c r="K8" s="1"/>
      <c r="L8">
        <f t="shared" si="1"/>
        <v>0.70111607142857146</v>
      </c>
    </row>
    <row r="9" spans="1:12" x14ac:dyDescent="0.25">
      <c r="A9">
        <v>1739</v>
      </c>
      <c r="B9" t="s">
        <v>15</v>
      </c>
      <c r="C9" t="s">
        <v>67</v>
      </c>
      <c r="D9" t="s">
        <v>33</v>
      </c>
      <c r="J9">
        <f t="shared" si="0"/>
        <v>0</v>
      </c>
      <c r="K9" s="1"/>
      <c r="L9">
        <f t="shared" si="1"/>
        <v>0</v>
      </c>
    </row>
    <row r="10" spans="1:12" x14ac:dyDescent="0.25">
      <c r="A10">
        <v>1739</v>
      </c>
      <c r="B10" t="s">
        <v>17</v>
      </c>
      <c r="C10" t="s">
        <v>67</v>
      </c>
      <c r="D10" t="s">
        <v>33</v>
      </c>
      <c r="J10">
        <f t="shared" si="0"/>
        <v>0</v>
      </c>
      <c r="K10" s="1"/>
      <c r="L10">
        <f t="shared" si="1"/>
        <v>0</v>
      </c>
    </row>
    <row r="11" spans="1:12" x14ac:dyDescent="0.25">
      <c r="A11">
        <v>1739</v>
      </c>
      <c r="B11" t="s">
        <v>18</v>
      </c>
      <c r="C11" t="s">
        <v>67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1739</v>
      </c>
      <c r="B12" t="s">
        <v>19</v>
      </c>
      <c r="C12" t="s">
        <v>67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1739</v>
      </c>
      <c r="B13" t="s">
        <v>21</v>
      </c>
      <c r="C13" t="s">
        <v>67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1739</v>
      </c>
      <c r="B14" t="s">
        <v>90</v>
      </c>
      <c r="C14" t="s">
        <v>67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1739</v>
      </c>
      <c r="B15" t="s">
        <v>61</v>
      </c>
      <c r="C15" t="s">
        <v>67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1739</v>
      </c>
      <c r="B16" t="s">
        <v>62</v>
      </c>
      <c r="C16" t="s">
        <v>67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1739</v>
      </c>
      <c r="B17" t="s">
        <v>63</v>
      </c>
      <c r="C17" t="s">
        <v>67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1739</v>
      </c>
      <c r="B18" t="s">
        <v>6</v>
      </c>
      <c r="C18" t="s">
        <v>67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1739</v>
      </c>
      <c r="B19" t="s">
        <v>12</v>
      </c>
      <c r="C19" t="s">
        <v>67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1739</v>
      </c>
      <c r="B20" t="s">
        <v>41</v>
      </c>
      <c r="C20" t="s">
        <v>67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1739</v>
      </c>
      <c r="B21" t="s">
        <v>27</v>
      </c>
      <c r="C21" t="s">
        <v>67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1739</v>
      </c>
      <c r="B22" t="s">
        <v>17</v>
      </c>
      <c r="C22" t="s">
        <v>67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1739</v>
      </c>
      <c r="B23" t="s">
        <v>19</v>
      </c>
      <c r="C23" t="s">
        <v>67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1739</v>
      </c>
      <c r="B24" t="s">
        <v>54</v>
      </c>
      <c r="C24" t="s">
        <v>67</v>
      </c>
      <c r="D24" t="s">
        <v>35</v>
      </c>
      <c r="J24">
        <f t="shared" si="0"/>
        <v>0</v>
      </c>
      <c r="L24">
        <f t="shared" si="1"/>
        <v>0</v>
      </c>
    </row>
    <row r="25" spans="1:12" x14ac:dyDescent="0.25">
      <c r="A25">
        <v>1739</v>
      </c>
      <c r="B25" t="s">
        <v>9</v>
      </c>
      <c r="C25" t="s">
        <v>67</v>
      </c>
      <c r="D25" t="s">
        <v>35</v>
      </c>
      <c r="J25">
        <f t="shared" si="0"/>
        <v>0</v>
      </c>
      <c r="L25">
        <f t="shared" si="1"/>
        <v>0</v>
      </c>
    </row>
    <row r="26" spans="1:12" x14ac:dyDescent="0.25">
      <c r="A26">
        <v>1739</v>
      </c>
      <c r="B26" t="s">
        <v>8</v>
      </c>
      <c r="C26" t="s">
        <v>67</v>
      </c>
      <c r="D26" t="s">
        <v>35</v>
      </c>
      <c r="J26">
        <f t="shared" si="0"/>
        <v>0</v>
      </c>
      <c r="L26">
        <f t="shared" si="1"/>
        <v>0</v>
      </c>
    </row>
    <row r="27" spans="1:12" x14ac:dyDescent="0.25">
      <c r="A27">
        <v>1739</v>
      </c>
      <c r="B27" t="s">
        <v>61</v>
      </c>
      <c r="C27" t="s">
        <v>67</v>
      </c>
      <c r="D27" t="s">
        <v>35</v>
      </c>
      <c r="J27">
        <f t="shared" si="0"/>
        <v>0</v>
      </c>
      <c r="L27">
        <f t="shared" si="1"/>
        <v>0</v>
      </c>
    </row>
    <row r="28" spans="1:12" x14ac:dyDescent="0.25">
      <c r="A28">
        <v>1739</v>
      </c>
      <c r="B28" t="s">
        <v>63</v>
      </c>
      <c r="C28" t="s">
        <v>67</v>
      </c>
      <c r="D28" t="s">
        <v>35</v>
      </c>
      <c r="J28">
        <f t="shared" si="0"/>
        <v>0</v>
      </c>
      <c r="L28">
        <f t="shared" si="1"/>
        <v>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32"/>
  <sheetViews>
    <sheetView topLeftCell="A83" zoomScaleNormal="100" workbookViewId="0">
      <selection activeCell="H111" sqref="H111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</row>
    <row r="2" spans="1:12" x14ac:dyDescent="0.25">
      <c r="A2">
        <v>1739</v>
      </c>
      <c r="B2" t="s">
        <v>55</v>
      </c>
      <c r="C2" t="s">
        <v>68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1739</v>
      </c>
      <c r="B3" t="s">
        <v>57</v>
      </c>
      <c r="C3" t="s">
        <v>68</v>
      </c>
      <c r="D3" t="s">
        <v>33</v>
      </c>
      <c r="J3">
        <f t="shared" ref="J3:J70" si="0">(E3*2240)+(F3*112)+(G3*28)+H3</f>
        <v>0</v>
      </c>
      <c r="L3">
        <f t="shared" ref="L3:L70" si="1">J3/2240</f>
        <v>0</v>
      </c>
    </row>
    <row r="4" spans="1:12" x14ac:dyDescent="0.25">
      <c r="A4">
        <v>1739</v>
      </c>
      <c r="B4" t="s">
        <v>36</v>
      </c>
      <c r="C4" t="s">
        <v>68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1739</v>
      </c>
      <c r="B5" t="s">
        <v>4</v>
      </c>
      <c r="C5" t="s">
        <v>68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1739</v>
      </c>
      <c r="B6" t="s">
        <v>58</v>
      </c>
      <c r="C6" t="s">
        <v>68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1739</v>
      </c>
      <c r="B7" t="s">
        <v>69</v>
      </c>
      <c r="C7" t="s">
        <v>68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1739</v>
      </c>
      <c r="B8" t="s">
        <v>118</v>
      </c>
      <c r="C8" t="s">
        <v>68</v>
      </c>
      <c r="D8" t="s">
        <v>33</v>
      </c>
      <c r="H8">
        <v>922</v>
      </c>
      <c r="J8">
        <f t="shared" si="0"/>
        <v>922</v>
      </c>
      <c r="L8">
        <f t="shared" si="1"/>
        <v>0.41160714285714284</v>
      </c>
    </row>
    <row r="9" spans="1:12" x14ac:dyDescent="0.25">
      <c r="A9">
        <v>1739</v>
      </c>
      <c r="B9" t="s">
        <v>101</v>
      </c>
      <c r="C9" t="s">
        <v>68</v>
      </c>
      <c r="D9" t="s">
        <v>33</v>
      </c>
      <c r="H9">
        <v>98</v>
      </c>
      <c r="J9">
        <f t="shared" si="0"/>
        <v>98</v>
      </c>
      <c r="L9">
        <f t="shared" si="1"/>
        <v>4.3749999999999997E-2</v>
      </c>
    </row>
    <row r="10" spans="1:12" x14ac:dyDescent="0.25">
      <c r="A10">
        <v>1739</v>
      </c>
      <c r="B10" t="s">
        <v>43</v>
      </c>
      <c r="C10" t="s">
        <v>68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1739</v>
      </c>
      <c r="B11" t="s">
        <v>76</v>
      </c>
      <c r="C11" t="s">
        <v>68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1739</v>
      </c>
      <c r="B12" t="s">
        <v>5</v>
      </c>
      <c r="C12" t="s">
        <v>68</v>
      </c>
      <c r="D12" t="s">
        <v>33</v>
      </c>
      <c r="F12">
        <v>210</v>
      </c>
      <c r="J12">
        <f t="shared" si="0"/>
        <v>23520</v>
      </c>
      <c r="L12">
        <f t="shared" si="1"/>
        <v>10.5</v>
      </c>
    </row>
    <row r="13" spans="1:12" x14ac:dyDescent="0.25">
      <c r="A13">
        <v>1739</v>
      </c>
      <c r="B13" t="s">
        <v>59</v>
      </c>
      <c r="C13" t="s">
        <v>68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1739</v>
      </c>
      <c r="B14" t="s">
        <v>6</v>
      </c>
      <c r="C14" t="s">
        <v>68</v>
      </c>
      <c r="D14" t="s">
        <v>33</v>
      </c>
      <c r="F14">
        <v>250229</v>
      </c>
      <c r="G14">
        <v>2</v>
      </c>
      <c r="H14">
        <v>2</v>
      </c>
      <c r="J14">
        <f t="shared" si="0"/>
        <v>28025706</v>
      </c>
      <c r="L14">
        <f t="shared" si="1"/>
        <v>12511.475892857143</v>
      </c>
    </row>
    <row r="15" spans="1:12" x14ac:dyDescent="0.25">
      <c r="A15">
        <v>1739</v>
      </c>
      <c r="B15" t="s">
        <v>96</v>
      </c>
      <c r="C15" t="s">
        <v>68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1739</v>
      </c>
      <c r="B16" t="s">
        <v>60</v>
      </c>
      <c r="C16" t="s">
        <v>68</v>
      </c>
      <c r="D16" t="s">
        <v>33</v>
      </c>
      <c r="H16">
        <v>93</v>
      </c>
      <c r="J16">
        <f t="shared" si="0"/>
        <v>93</v>
      </c>
      <c r="L16">
        <f t="shared" si="1"/>
        <v>4.1517857142857141E-2</v>
      </c>
    </row>
    <row r="17" spans="1:12" x14ac:dyDescent="0.25">
      <c r="A17">
        <v>1739</v>
      </c>
      <c r="B17" t="s">
        <v>7</v>
      </c>
      <c r="C17" t="s">
        <v>68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1739</v>
      </c>
      <c r="B18" t="s">
        <v>37</v>
      </c>
      <c r="C18" t="s">
        <v>68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1739</v>
      </c>
      <c r="B19" t="s">
        <v>8</v>
      </c>
      <c r="C19" t="s">
        <v>68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1739</v>
      </c>
      <c r="B20" t="s">
        <v>40</v>
      </c>
      <c r="C20" t="s">
        <v>68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1739</v>
      </c>
      <c r="B21" t="s">
        <v>77</v>
      </c>
      <c r="C21" t="s">
        <v>68</v>
      </c>
      <c r="D21" t="s">
        <v>33</v>
      </c>
      <c r="F21">
        <v>2082</v>
      </c>
      <c r="G21">
        <v>3</v>
      </c>
      <c r="H21">
        <v>24</v>
      </c>
      <c r="J21">
        <f t="shared" si="0"/>
        <v>233292</v>
      </c>
      <c r="L21">
        <f t="shared" si="1"/>
        <v>104.14821428571429</v>
      </c>
    </row>
    <row r="22" spans="1:12" x14ac:dyDescent="0.25">
      <c r="A22">
        <v>1739</v>
      </c>
      <c r="B22" t="s">
        <v>78</v>
      </c>
      <c r="C22" t="s">
        <v>68</v>
      </c>
      <c r="D22" t="s">
        <v>33</v>
      </c>
      <c r="H22">
        <v>87745.5</v>
      </c>
      <c r="J22">
        <f t="shared" si="0"/>
        <v>87745.5</v>
      </c>
      <c r="L22">
        <f t="shared" si="1"/>
        <v>39.172098214285711</v>
      </c>
    </row>
    <row r="23" spans="1:12" x14ac:dyDescent="0.25">
      <c r="A23">
        <v>1739</v>
      </c>
      <c r="B23" t="s">
        <v>46</v>
      </c>
      <c r="C23" t="s">
        <v>68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1739</v>
      </c>
      <c r="B24" t="s">
        <v>9</v>
      </c>
      <c r="C24" t="s">
        <v>68</v>
      </c>
      <c r="D24" t="s">
        <v>33</v>
      </c>
      <c r="H24">
        <f>(461*200)+146</f>
        <v>92346</v>
      </c>
      <c r="I24" t="s">
        <v>124</v>
      </c>
      <c r="J24">
        <f t="shared" si="0"/>
        <v>92346</v>
      </c>
      <c r="L24">
        <f t="shared" si="1"/>
        <v>41.22589285714286</v>
      </c>
    </row>
    <row r="25" spans="1:12" x14ac:dyDescent="0.25">
      <c r="A25">
        <v>1739</v>
      </c>
      <c r="B25" t="s">
        <v>10</v>
      </c>
      <c r="C25" t="s">
        <v>68</v>
      </c>
      <c r="D25" t="s">
        <v>33</v>
      </c>
      <c r="F25">
        <v>13126</v>
      </c>
      <c r="H25">
        <v>6</v>
      </c>
      <c r="J25">
        <f t="shared" si="0"/>
        <v>1470118</v>
      </c>
      <c r="L25">
        <f t="shared" si="1"/>
        <v>656.3026785714286</v>
      </c>
    </row>
    <row r="26" spans="1:12" x14ac:dyDescent="0.25">
      <c r="A26">
        <v>1739</v>
      </c>
      <c r="B26" t="s">
        <v>11</v>
      </c>
      <c r="C26" t="s">
        <v>68</v>
      </c>
      <c r="D26" t="s">
        <v>33</v>
      </c>
      <c r="F26">
        <v>54</v>
      </c>
      <c r="G26">
        <v>2</v>
      </c>
      <c r="H26">
        <v>6</v>
      </c>
      <c r="J26">
        <f t="shared" si="0"/>
        <v>6110</v>
      </c>
      <c r="L26">
        <f t="shared" si="1"/>
        <v>2.7276785714285716</v>
      </c>
    </row>
    <row r="27" spans="1:12" x14ac:dyDescent="0.25">
      <c r="A27">
        <v>1739</v>
      </c>
      <c r="B27" t="s">
        <v>39</v>
      </c>
      <c r="C27" t="s">
        <v>68</v>
      </c>
      <c r="D27" t="s">
        <v>33</v>
      </c>
      <c r="H27">
        <v>554</v>
      </c>
      <c r="J27">
        <f t="shared" si="0"/>
        <v>554</v>
      </c>
      <c r="L27">
        <f t="shared" si="1"/>
        <v>0.24732142857142858</v>
      </c>
    </row>
    <row r="28" spans="1:12" x14ac:dyDescent="0.25">
      <c r="A28">
        <v>1739</v>
      </c>
      <c r="B28" t="s">
        <v>79</v>
      </c>
      <c r="C28" t="s">
        <v>68</v>
      </c>
      <c r="D28" t="s">
        <v>33</v>
      </c>
      <c r="H28">
        <v>4</v>
      </c>
      <c r="J28">
        <f t="shared" si="0"/>
        <v>4</v>
      </c>
      <c r="L28">
        <f t="shared" si="1"/>
        <v>1.7857142857142857E-3</v>
      </c>
    </row>
    <row r="29" spans="1:12" x14ac:dyDescent="0.25">
      <c r="A29">
        <v>1739</v>
      </c>
      <c r="B29" t="s">
        <v>103</v>
      </c>
      <c r="C29" t="s">
        <v>68</v>
      </c>
      <c r="D29" t="s">
        <v>33</v>
      </c>
      <c r="H29">
        <v>3824</v>
      </c>
      <c r="J29">
        <f t="shared" si="0"/>
        <v>3824</v>
      </c>
      <c r="L29">
        <f t="shared" si="1"/>
        <v>1.7071428571428571</v>
      </c>
    </row>
    <row r="30" spans="1:12" x14ac:dyDescent="0.25">
      <c r="A30">
        <v>1739</v>
      </c>
      <c r="B30" t="s">
        <v>102</v>
      </c>
      <c r="C30" t="s">
        <v>68</v>
      </c>
      <c r="D30" t="s">
        <v>33</v>
      </c>
      <c r="E30">
        <v>13</v>
      </c>
      <c r="J30">
        <f t="shared" si="0"/>
        <v>29120</v>
      </c>
      <c r="L30">
        <f t="shared" si="1"/>
        <v>13</v>
      </c>
    </row>
    <row r="31" spans="1:12" x14ac:dyDescent="0.25">
      <c r="A31">
        <v>1739</v>
      </c>
      <c r="B31" t="s">
        <v>44</v>
      </c>
      <c r="C31" t="s">
        <v>68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1739</v>
      </c>
      <c r="B32" t="s">
        <v>97</v>
      </c>
      <c r="C32" t="s">
        <v>68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1739</v>
      </c>
      <c r="B33" t="s">
        <v>12</v>
      </c>
      <c r="C33" t="s">
        <v>68</v>
      </c>
      <c r="D33" t="s">
        <v>33</v>
      </c>
      <c r="H33">
        <f>3000+43551</f>
        <v>46551</v>
      </c>
      <c r="J33">
        <f t="shared" si="0"/>
        <v>46551</v>
      </c>
      <c r="L33">
        <f t="shared" si="1"/>
        <v>20.781696428571429</v>
      </c>
    </row>
    <row r="34" spans="1:12" x14ac:dyDescent="0.25">
      <c r="A34">
        <v>1739</v>
      </c>
      <c r="B34" t="s">
        <v>119</v>
      </c>
      <c r="C34" t="s">
        <v>68</v>
      </c>
      <c r="D34" t="s">
        <v>33</v>
      </c>
      <c r="H34">
        <v>620</v>
      </c>
      <c r="J34">
        <f t="shared" si="0"/>
        <v>620</v>
      </c>
      <c r="L34">
        <f t="shared" si="1"/>
        <v>0.2767857142857143</v>
      </c>
    </row>
    <row r="35" spans="1:12" x14ac:dyDescent="0.25">
      <c r="A35">
        <v>1739</v>
      </c>
      <c r="B35" t="s">
        <v>34</v>
      </c>
      <c r="C35" t="s">
        <v>68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1739</v>
      </c>
      <c r="B36" t="s">
        <v>13</v>
      </c>
      <c r="C36" t="s">
        <v>68</v>
      </c>
      <c r="D36" t="s">
        <v>33</v>
      </c>
      <c r="E36">
        <v>30</v>
      </c>
      <c r="F36">
        <v>17</v>
      </c>
      <c r="G36">
        <v>3</v>
      </c>
      <c r="J36">
        <f t="shared" si="0"/>
        <v>69188</v>
      </c>
      <c r="L36">
        <f t="shared" si="1"/>
        <v>30.887499999999999</v>
      </c>
    </row>
    <row r="37" spans="1:12" x14ac:dyDescent="0.25">
      <c r="A37">
        <v>1739</v>
      </c>
      <c r="B37" t="s">
        <v>14</v>
      </c>
      <c r="C37" t="s">
        <v>68</v>
      </c>
      <c r="D37" t="s">
        <v>33</v>
      </c>
      <c r="H37">
        <v>91663.5</v>
      </c>
      <c r="I37" t="s">
        <v>120</v>
      </c>
      <c r="J37">
        <f t="shared" si="0"/>
        <v>91663.5</v>
      </c>
      <c r="L37">
        <f t="shared" si="1"/>
        <v>40.92120535714286</v>
      </c>
    </row>
    <row r="38" spans="1:12" x14ac:dyDescent="0.25">
      <c r="A38">
        <v>1739</v>
      </c>
      <c r="B38" t="s">
        <v>23</v>
      </c>
      <c r="C38" t="s">
        <v>68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1739</v>
      </c>
      <c r="B39" t="s">
        <v>27</v>
      </c>
      <c r="C39" t="s">
        <v>68</v>
      </c>
      <c r="D39" t="s">
        <v>33</v>
      </c>
      <c r="H39">
        <v>73169</v>
      </c>
      <c r="I39" t="s">
        <v>123</v>
      </c>
      <c r="J39">
        <f t="shared" si="0"/>
        <v>73169</v>
      </c>
      <c r="L39">
        <f t="shared" si="1"/>
        <v>32.66473214285714</v>
      </c>
    </row>
    <row r="40" spans="1:12" x14ac:dyDescent="0.25">
      <c r="A40">
        <v>1739</v>
      </c>
      <c r="B40" t="s">
        <v>15</v>
      </c>
      <c r="C40" t="s">
        <v>68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1739</v>
      </c>
      <c r="B41" t="s">
        <v>42</v>
      </c>
      <c r="C41" t="s">
        <v>68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1739</v>
      </c>
      <c r="B42" t="s">
        <v>83</v>
      </c>
      <c r="C42" t="s">
        <v>68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1739</v>
      </c>
      <c r="B43" t="s">
        <v>47</v>
      </c>
      <c r="C43" t="s">
        <v>68</v>
      </c>
      <c r="D43" t="s">
        <v>33</v>
      </c>
      <c r="H43">
        <v>360</v>
      </c>
      <c r="I43" t="s">
        <v>121</v>
      </c>
      <c r="J43">
        <f t="shared" si="0"/>
        <v>360</v>
      </c>
      <c r="L43">
        <f t="shared" si="1"/>
        <v>0.16071428571428573</v>
      </c>
    </row>
    <row r="44" spans="1:12" x14ac:dyDescent="0.25">
      <c r="A44">
        <v>1739</v>
      </c>
      <c r="B44" t="s">
        <v>16</v>
      </c>
      <c r="C44" t="s">
        <v>68</v>
      </c>
      <c r="D44" t="s">
        <v>33</v>
      </c>
      <c r="H44">
        <v>512135</v>
      </c>
      <c r="J44">
        <f t="shared" si="0"/>
        <v>512135</v>
      </c>
      <c r="L44">
        <f t="shared" si="1"/>
        <v>228.63169642857142</v>
      </c>
    </row>
    <row r="45" spans="1:12" x14ac:dyDescent="0.25">
      <c r="A45">
        <v>1739</v>
      </c>
      <c r="B45" t="s">
        <v>17</v>
      </c>
      <c r="C45" t="s">
        <v>68</v>
      </c>
      <c r="D45" t="s">
        <v>33</v>
      </c>
      <c r="F45">
        <v>210</v>
      </c>
      <c r="J45">
        <f t="shared" si="0"/>
        <v>23520</v>
      </c>
      <c r="L45">
        <f t="shared" si="1"/>
        <v>10.5</v>
      </c>
    </row>
    <row r="46" spans="1:12" x14ac:dyDescent="0.25">
      <c r="A46">
        <v>1739</v>
      </c>
      <c r="B46" t="s">
        <v>18</v>
      </c>
      <c r="C46" t="s">
        <v>68</v>
      </c>
      <c r="D46" t="s">
        <v>33</v>
      </c>
      <c r="H46">
        <v>2150842.5</v>
      </c>
      <c r="I46" t="s">
        <v>122</v>
      </c>
      <c r="J46">
        <f t="shared" si="0"/>
        <v>2150842.5</v>
      </c>
      <c r="L46">
        <f t="shared" si="1"/>
        <v>960.19754464285711</v>
      </c>
    </row>
    <row r="47" spans="1:12" x14ac:dyDescent="0.25">
      <c r="A47">
        <v>1739</v>
      </c>
      <c r="B47" t="s">
        <v>26</v>
      </c>
      <c r="C47" t="s">
        <v>68</v>
      </c>
      <c r="D47" t="s">
        <v>33</v>
      </c>
      <c r="H47">
        <v>24728</v>
      </c>
      <c r="J47">
        <f t="shared" si="0"/>
        <v>24728</v>
      </c>
      <c r="L47">
        <f t="shared" si="1"/>
        <v>11.039285714285715</v>
      </c>
    </row>
    <row r="48" spans="1:12" x14ac:dyDescent="0.25">
      <c r="A48">
        <v>1739</v>
      </c>
      <c r="B48" t="s">
        <v>84</v>
      </c>
      <c r="C48" t="s">
        <v>68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1739</v>
      </c>
      <c r="B49" t="s">
        <v>19</v>
      </c>
      <c r="C49" t="s">
        <v>68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1739</v>
      </c>
      <c r="B50" t="s">
        <v>45</v>
      </c>
      <c r="C50" t="s">
        <v>68</v>
      </c>
      <c r="D50" t="s">
        <v>33</v>
      </c>
      <c r="H50">
        <v>42</v>
      </c>
      <c r="J50">
        <f t="shared" si="0"/>
        <v>42</v>
      </c>
      <c r="L50">
        <f t="shared" si="1"/>
        <v>1.8749999999999999E-2</v>
      </c>
    </row>
    <row r="51" spans="1:12" x14ac:dyDescent="0.25">
      <c r="A51">
        <v>1739</v>
      </c>
      <c r="B51" t="s">
        <v>85</v>
      </c>
      <c r="C51" t="s">
        <v>68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1739</v>
      </c>
      <c r="B52" t="s">
        <v>54</v>
      </c>
      <c r="C52" t="s">
        <v>68</v>
      </c>
      <c r="D52" t="s">
        <v>33</v>
      </c>
      <c r="H52">
        <v>2053</v>
      </c>
      <c r="J52">
        <f t="shared" si="0"/>
        <v>2053</v>
      </c>
      <c r="L52">
        <f t="shared" si="1"/>
        <v>0.91651785714285716</v>
      </c>
    </row>
    <row r="53" spans="1:12" x14ac:dyDescent="0.25">
      <c r="A53">
        <v>1739</v>
      </c>
      <c r="B53" t="s">
        <v>95</v>
      </c>
      <c r="C53" t="s">
        <v>68</v>
      </c>
      <c r="D53" t="s">
        <v>33</v>
      </c>
      <c r="H53">
        <v>721</v>
      </c>
      <c r="J53">
        <f t="shared" si="0"/>
        <v>721</v>
      </c>
      <c r="L53">
        <f t="shared" si="1"/>
        <v>0.32187500000000002</v>
      </c>
    </row>
    <row r="54" spans="1:12" x14ac:dyDescent="0.25">
      <c r="A54">
        <v>1739</v>
      </c>
      <c r="B54" t="s">
        <v>20</v>
      </c>
      <c r="C54" t="s">
        <v>68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1739</v>
      </c>
      <c r="B55" t="s">
        <v>21</v>
      </c>
      <c r="C55" t="s">
        <v>68</v>
      </c>
      <c r="D55" t="s">
        <v>33</v>
      </c>
      <c r="H55">
        <v>6157</v>
      </c>
      <c r="J55">
        <f t="shared" si="0"/>
        <v>6157</v>
      </c>
      <c r="L55">
        <f t="shared" si="1"/>
        <v>2.7486607142857142</v>
      </c>
    </row>
    <row r="56" spans="1:12" x14ac:dyDescent="0.25">
      <c r="A56">
        <v>1739</v>
      </c>
      <c r="B56" t="s">
        <v>90</v>
      </c>
      <c r="C56" t="s">
        <v>68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1739</v>
      </c>
      <c r="B57" t="s">
        <v>22</v>
      </c>
      <c r="C57" t="s">
        <v>68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1739</v>
      </c>
      <c r="B58" t="s">
        <v>61</v>
      </c>
      <c r="C58" t="s">
        <v>68</v>
      </c>
      <c r="D58" t="s">
        <v>33</v>
      </c>
      <c r="E58">
        <v>64</v>
      </c>
      <c r="J58">
        <f t="shared" si="0"/>
        <v>143360</v>
      </c>
      <c r="L58">
        <f t="shared" si="1"/>
        <v>64</v>
      </c>
    </row>
    <row r="59" spans="1:12" x14ac:dyDescent="0.25">
      <c r="A59">
        <v>1739</v>
      </c>
      <c r="B59" t="s">
        <v>98</v>
      </c>
      <c r="C59" t="s">
        <v>68</v>
      </c>
      <c r="D59" t="s">
        <v>33</v>
      </c>
      <c r="E59">
        <v>94</v>
      </c>
      <c r="F59">
        <v>18</v>
      </c>
      <c r="J59">
        <f t="shared" si="0"/>
        <v>212576</v>
      </c>
      <c r="L59">
        <f t="shared" si="1"/>
        <v>94.9</v>
      </c>
    </row>
    <row r="60" spans="1:12" x14ac:dyDescent="0.25">
      <c r="A60">
        <v>1739</v>
      </c>
      <c r="B60" t="s">
        <v>87</v>
      </c>
      <c r="C60" t="s">
        <v>68</v>
      </c>
      <c r="D60" t="s">
        <v>33</v>
      </c>
      <c r="E60">
        <v>47</v>
      </c>
      <c r="J60">
        <f t="shared" si="0"/>
        <v>105280</v>
      </c>
      <c r="L60">
        <f t="shared" si="1"/>
        <v>47</v>
      </c>
    </row>
    <row r="61" spans="1:12" x14ac:dyDescent="0.25">
      <c r="A61">
        <v>1739</v>
      </c>
      <c r="B61" t="s">
        <v>62</v>
      </c>
      <c r="C61" t="s">
        <v>68</v>
      </c>
      <c r="D61" t="s">
        <v>33</v>
      </c>
      <c r="E61">
        <v>165</v>
      </c>
      <c r="G61">
        <v>2</v>
      </c>
      <c r="H61">
        <v>10</v>
      </c>
      <c r="J61">
        <f t="shared" si="0"/>
        <v>369666</v>
      </c>
      <c r="L61">
        <f t="shared" si="1"/>
        <v>165.02946428571428</v>
      </c>
    </row>
    <row r="62" spans="1:12" x14ac:dyDescent="0.25">
      <c r="A62">
        <v>1739</v>
      </c>
      <c r="B62" t="s">
        <v>88</v>
      </c>
      <c r="C62" t="s">
        <v>68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1739</v>
      </c>
      <c r="B63" t="s">
        <v>63</v>
      </c>
      <c r="C63" t="s">
        <v>68</v>
      </c>
      <c r="D63" t="s">
        <v>33</v>
      </c>
      <c r="E63">
        <v>494</v>
      </c>
      <c r="F63">
        <v>7</v>
      </c>
      <c r="G63">
        <v>3</v>
      </c>
      <c r="J63">
        <f t="shared" si="0"/>
        <v>1107428</v>
      </c>
      <c r="L63">
        <f t="shared" si="1"/>
        <v>494.38749999999999</v>
      </c>
    </row>
    <row r="64" spans="1:12" x14ac:dyDescent="0.25">
      <c r="A64">
        <v>1739</v>
      </c>
      <c r="B64" t="s">
        <v>89</v>
      </c>
      <c r="C64" t="s">
        <v>68</v>
      </c>
      <c r="D64" t="s">
        <v>33</v>
      </c>
      <c r="E64">
        <v>946</v>
      </c>
      <c r="F64">
        <v>2509</v>
      </c>
      <c r="J64">
        <f t="shared" si="0"/>
        <v>2400048</v>
      </c>
      <c r="L64">
        <f t="shared" si="1"/>
        <v>1071.45</v>
      </c>
    </row>
    <row r="65" spans="1:12" x14ac:dyDescent="0.25">
      <c r="A65">
        <v>1739</v>
      </c>
      <c r="B65" t="s">
        <v>70</v>
      </c>
      <c r="C65" t="s">
        <v>68</v>
      </c>
      <c r="D65" t="s">
        <v>33</v>
      </c>
      <c r="E65">
        <v>309</v>
      </c>
      <c r="F65">
        <v>10</v>
      </c>
      <c r="J65">
        <f t="shared" si="0"/>
        <v>693280</v>
      </c>
      <c r="L65">
        <f t="shared" si="1"/>
        <v>309.5</v>
      </c>
    </row>
    <row r="66" spans="1:12" x14ac:dyDescent="0.25">
      <c r="A66">
        <v>1739</v>
      </c>
      <c r="B66" t="s">
        <v>64</v>
      </c>
      <c r="C66" t="s">
        <v>68</v>
      </c>
      <c r="D66" t="s">
        <v>33</v>
      </c>
      <c r="E66">
        <v>3</v>
      </c>
      <c r="J66">
        <f t="shared" si="0"/>
        <v>6720</v>
      </c>
      <c r="L66">
        <f t="shared" si="1"/>
        <v>3</v>
      </c>
    </row>
    <row r="67" spans="1:12" x14ac:dyDescent="0.25">
      <c r="A67">
        <v>1739</v>
      </c>
      <c r="B67" t="s">
        <v>65</v>
      </c>
      <c r="C67" t="s">
        <v>68</v>
      </c>
      <c r="D67" t="s">
        <v>33</v>
      </c>
      <c r="J67">
        <f t="shared" si="0"/>
        <v>0</v>
      </c>
      <c r="L67">
        <f t="shared" si="1"/>
        <v>0</v>
      </c>
    </row>
    <row r="68" spans="1:12" x14ac:dyDescent="0.25">
      <c r="A68">
        <v>1739</v>
      </c>
      <c r="B68" t="s">
        <v>55</v>
      </c>
      <c r="C68" t="s">
        <v>68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1739</v>
      </c>
      <c r="B69" t="s">
        <v>57</v>
      </c>
      <c r="C69" t="s">
        <v>68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1739</v>
      </c>
      <c r="B70" t="s">
        <v>36</v>
      </c>
      <c r="C70" t="s">
        <v>68</v>
      </c>
      <c r="D70" t="s">
        <v>35</v>
      </c>
      <c r="J70">
        <f t="shared" si="0"/>
        <v>0</v>
      </c>
      <c r="L70">
        <f t="shared" si="1"/>
        <v>0</v>
      </c>
    </row>
    <row r="71" spans="1:12" x14ac:dyDescent="0.25">
      <c r="A71">
        <v>1739</v>
      </c>
      <c r="B71" t="s">
        <v>4</v>
      </c>
      <c r="C71" t="s">
        <v>68</v>
      </c>
      <c r="D71" t="s">
        <v>35</v>
      </c>
      <c r="J71">
        <f t="shared" ref="J71:J132" si="2">(E71*2240)+(F71*112)+(G71*28)+H71</f>
        <v>0</v>
      </c>
      <c r="L71">
        <f t="shared" ref="L71:L132" si="3">J71/2240</f>
        <v>0</v>
      </c>
    </row>
    <row r="72" spans="1:12" x14ac:dyDescent="0.25">
      <c r="A72">
        <v>1739</v>
      </c>
      <c r="B72" t="s">
        <v>58</v>
      </c>
      <c r="C72" t="s">
        <v>68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1739</v>
      </c>
      <c r="B73" t="s">
        <v>69</v>
      </c>
      <c r="C73" t="s">
        <v>68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1739</v>
      </c>
      <c r="B74" t="s">
        <v>101</v>
      </c>
      <c r="C74" t="s">
        <v>68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1739</v>
      </c>
      <c r="B75" t="s">
        <v>43</v>
      </c>
      <c r="C75" t="s">
        <v>68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1739</v>
      </c>
      <c r="B76" t="s">
        <v>76</v>
      </c>
      <c r="C76" t="s">
        <v>68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1739</v>
      </c>
      <c r="B77" t="s">
        <v>5</v>
      </c>
      <c r="C77" t="s">
        <v>68</v>
      </c>
      <c r="D77" t="s">
        <v>35</v>
      </c>
      <c r="F77">
        <v>6</v>
      </c>
      <c r="J77">
        <f t="shared" si="2"/>
        <v>672</v>
      </c>
      <c r="L77">
        <f t="shared" si="3"/>
        <v>0.3</v>
      </c>
    </row>
    <row r="78" spans="1:12" x14ac:dyDescent="0.25">
      <c r="A78">
        <v>1739</v>
      </c>
      <c r="B78" t="s">
        <v>59</v>
      </c>
      <c r="C78" t="s">
        <v>68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1739</v>
      </c>
      <c r="B79" t="s">
        <v>6</v>
      </c>
      <c r="C79" t="s">
        <v>68</v>
      </c>
      <c r="D79" t="s">
        <v>35</v>
      </c>
      <c r="F79">
        <v>142593</v>
      </c>
      <c r="H79">
        <v>25</v>
      </c>
      <c r="J79">
        <f t="shared" si="2"/>
        <v>15970441</v>
      </c>
      <c r="L79">
        <f t="shared" si="3"/>
        <v>7129.6611607142859</v>
      </c>
    </row>
    <row r="80" spans="1:12" x14ac:dyDescent="0.25">
      <c r="A80">
        <v>1739</v>
      </c>
      <c r="B80" t="s">
        <v>60</v>
      </c>
      <c r="C80" t="s">
        <v>68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1739</v>
      </c>
      <c r="B81" t="s">
        <v>38</v>
      </c>
      <c r="C81" t="s">
        <v>68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1739</v>
      </c>
      <c r="B82" t="s">
        <v>37</v>
      </c>
      <c r="C82" t="s">
        <v>68</v>
      </c>
      <c r="D82" t="s">
        <v>35</v>
      </c>
      <c r="H82">
        <v>25</v>
      </c>
      <c r="J82">
        <f t="shared" si="2"/>
        <v>25</v>
      </c>
      <c r="L82">
        <f t="shared" si="3"/>
        <v>1.1160714285714286E-2</v>
      </c>
    </row>
    <row r="83" spans="1:12" x14ac:dyDescent="0.25">
      <c r="A83">
        <v>1739</v>
      </c>
      <c r="B83" t="s">
        <v>8</v>
      </c>
      <c r="C83" t="s">
        <v>68</v>
      </c>
      <c r="D83" t="s">
        <v>35</v>
      </c>
      <c r="F83">
        <v>29</v>
      </c>
      <c r="G83">
        <v>1</v>
      </c>
      <c r="H83">
        <v>23</v>
      </c>
      <c r="J83">
        <f t="shared" si="2"/>
        <v>3299</v>
      </c>
      <c r="L83">
        <f t="shared" si="3"/>
        <v>1.4727678571428571</v>
      </c>
    </row>
    <row r="84" spans="1:12" x14ac:dyDescent="0.25">
      <c r="A84">
        <v>1739</v>
      </c>
      <c r="B84" t="s">
        <v>40</v>
      </c>
      <c r="C84" t="s">
        <v>68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1739</v>
      </c>
      <c r="B85" t="s">
        <v>77</v>
      </c>
      <c r="C85" t="s">
        <v>68</v>
      </c>
      <c r="D85" t="s">
        <v>35</v>
      </c>
      <c r="F85">
        <v>50</v>
      </c>
      <c r="G85">
        <v>2</v>
      </c>
      <c r="H85">
        <v>21</v>
      </c>
      <c r="J85">
        <f t="shared" si="2"/>
        <v>5677</v>
      </c>
      <c r="L85">
        <f t="shared" si="3"/>
        <v>2.5343749999999998</v>
      </c>
    </row>
    <row r="86" spans="1:12" x14ac:dyDescent="0.25">
      <c r="A86">
        <v>1739</v>
      </c>
      <c r="B86" t="s">
        <v>78</v>
      </c>
      <c r="C86" t="s">
        <v>68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1739</v>
      </c>
      <c r="B87" t="s">
        <v>46</v>
      </c>
      <c r="C87" t="s">
        <v>68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1739</v>
      </c>
      <c r="B88" t="s">
        <v>9</v>
      </c>
      <c r="C88" t="s">
        <v>68</v>
      </c>
      <c r="D88" t="s">
        <v>35</v>
      </c>
      <c r="H88">
        <f>1342*200</f>
        <v>268400</v>
      </c>
      <c r="I88" t="s">
        <v>148</v>
      </c>
      <c r="J88">
        <f t="shared" si="2"/>
        <v>268400</v>
      </c>
      <c r="L88">
        <f t="shared" si="3"/>
        <v>119.82142857142857</v>
      </c>
    </row>
    <row r="89" spans="1:12" x14ac:dyDescent="0.25">
      <c r="A89">
        <v>1739</v>
      </c>
      <c r="B89" t="s">
        <v>10</v>
      </c>
      <c r="C89" t="s">
        <v>68</v>
      </c>
      <c r="D89" t="s">
        <v>35</v>
      </c>
      <c r="F89">
        <v>9762</v>
      </c>
      <c r="G89">
        <v>1</v>
      </c>
      <c r="H89">
        <v>3</v>
      </c>
      <c r="J89">
        <f t="shared" si="2"/>
        <v>1093375</v>
      </c>
      <c r="L89">
        <f t="shared" si="3"/>
        <v>488.11383928571428</v>
      </c>
    </row>
    <row r="90" spans="1:12" x14ac:dyDescent="0.25">
      <c r="A90">
        <v>1739</v>
      </c>
      <c r="B90" t="s">
        <v>11</v>
      </c>
      <c r="C90" t="s">
        <v>68</v>
      </c>
      <c r="D90" t="s">
        <v>35</v>
      </c>
      <c r="F90">
        <v>203</v>
      </c>
      <c r="G90">
        <v>1</v>
      </c>
      <c r="H90">
        <v>6</v>
      </c>
      <c r="J90">
        <f t="shared" si="2"/>
        <v>22770</v>
      </c>
      <c r="L90">
        <f t="shared" si="3"/>
        <v>10.165178571428571</v>
      </c>
    </row>
    <row r="91" spans="1:12" x14ac:dyDescent="0.25">
      <c r="A91">
        <v>1739</v>
      </c>
      <c r="B91" t="s">
        <v>39</v>
      </c>
      <c r="C91" t="s">
        <v>68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1739</v>
      </c>
      <c r="B92" t="s">
        <v>79</v>
      </c>
      <c r="C92" t="s">
        <v>68</v>
      </c>
      <c r="D92" t="s">
        <v>35</v>
      </c>
      <c r="H92">
        <v>3000</v>
      </c>
      <c r="J92">
        <f t="shared" si="2"/>
        <v>3000</v>
      </c>
      <c r="L92">
        <f t="shared" si="3"/>
        <v>1.3392857142857142</v>
      </c>
    </row>
    <row r="93" spans="1:12" x14ac:dyDescent="0.25">
      <c r="A93">
        <v>1739</v>
      </c>
      <c r="B93" t="s">
        <v>103</v>
      </c>
      <c r="C93" t="s">
        <v>68</v>
      </c>
      <c r="D93" t="s">
        <v>35</v>
      </c>
      <c r="H93">
        <v>235</v>
      </c>
      <c r="J93">
        <f t="shared" si="2"/>
        <v>235</v>
      </c>
      <c r="L93">
        <f t="shared" si="3"/>
        <v>0.10491071428571429</v>
      </c>
    </row>
    <row r="94" spans="1:12" x14ac:dyDescent="0.25">
      <c r="A94">
        <v>1739</v>
      </c>
      <c r="B94" t="s">
        <v>44</v>
      </c>
      <c r="C94" t="s">
        <v>68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1739</v>
      </c>
      <c r="B95" t="s">
        <v>97</v>
      </c>
      <c r="C95" t="s">
        <v>68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1739</v>
      </c>
      <c r="B96" t="s">
        <v>12</v>
      </c>
      <c r="C96" t="s">
        <v>68</v>
      </c>
      <c r="D96" t="s">
        <v>35</v>
      </c>
      <c r="H96">
        <v>15234</v>
      </c>
      <c r="J96">
        <f t="shared" si="2"/>
        <v>15234</v>
      </c>
      <c r="L96">
        <f t="shared" si="3"/>
        <v>6.8008928571428573</v>
      </c>
    </row>
    <row r="97" spans="1:12" x14ac:dyDescent="0.25">
      <c r="A97">
        <v>1739</v>
      </c>
      <c r="B97" t="s">
        <v>82</v>
      </c>
      <c r="C97" t="s">
        <v>68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1739</v>
      </c>
      <c r="B98" t="s">
        <v>34</v>
      </c>
      <c r="C98" t="s">
        <v>68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1739</v>
      </c>
      <c r="B99" t="s">
        <v>13</v>
      </c>
      <c r="C99" t="s">
        <v>68</v>
      </c>
      <c r="D99" t="s">
        <v>35</v>
      </c>
      <c r="F99">
        <v>1</v>
      </c>
      <c r="G99">
        <v>2</v>
      </c>
      <c r="H99">
        <v>8</v>
      </c>
      <c r="J99">
        <f t="shared" si="2"/>
        <v>176</v>
      </c>
      <c r="L99">
        <f t="shared" si="3"/>
        <v>7.857142857142857E-2</v>
      </c>
    </row>
    <row r="100" spans="1:12" x14ac:dyDescent="0.25">
      <c r="A100">
        <v>1739</v>
      </c>
      <c r="B100" t="s">
        <v>14</v>
      </c>
      <c r="C100" t="s">
        <v>68</v>
      </c>
      <c r="D100" t="s">
        <v>35</v>
      </c>
      <c r="H100">
        <v>9512.5</v>
      </c>
      <c r="I100" t="s">
        <v>145</v>
      </c>
      <c r="J100">
        <f t="shared" si="2"/>
        <v>9512.5</v>
      </c>
      <c r="L100">
        <f t="shared" si="3"/>
        <v>4.2466517857142856</v>
      </c>
    </row>
    <row r="101" spans="1:12" x14ac:dyDescent="0.25">
      <c r="A101">
        <v>1739</v>
      </c>
      <c r="B101" t="s">
        <v>23</v>
      </c>
      <c r="C101" t="s">
        <v>68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1739</v>
      </c>
      <c r="B102" t="s">
        <v>27</v>
      </c>
      <c r="C102" t="s">
        <v>68</v>
      </c>
      <c r="D102" t="s">
        <v>35</v>
      </c>
      <c r="H102">
        <v>20815.5</v>
      </c>
      <c r="I102" t="s">
        <v>147</v>
      </c>
      <c r="J102">
        <f t="shared" si="2"/>
        <v>20815.5</v>
      </c>
      <c r="L102">
        <f t="shared" si="3"/>
        <v>9.2926339285714281</v>
      </c>
    </row>
    <row r="103" spans="1:12" x14ac:dyDescent="0.25">
      <c r="A103">
        <v>1739</v>
      </c>
      <c r="B103" t="s">
        <v>15</v>
      </c>
      <c r="C103" t="s">
        <v>68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1739</v>
      </c>
      <c r="B104" t="s">
        <v>93</v>
      </c>
      <c r="C104" t="s">
        <v>68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1739</v>
      </c>
      <c r="B105" t="s">
        <v>42</v>
      </c>
      <c r="C105" t="s">
        <v>68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1739</v>
      </c>
      <c r="B106" t="s">
        <v>83</v>
      </c>
      <c r="C106" t="s">
        <v>68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1739</v>
      </c>
      <c r="B107" t="s">
        <v>47</v>
      </c>
      <c r="C107" t="s">
        <v>68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1739</v>
      </c>
      <c r="B108" t="s">
        <v>16</v>
      </c>
      <c r="C108" t="s">
        <v>68</v>
      </c>
      <c r="D108" t="s">
        <v>35</v>
      </c>
      <c r="H108">
        <v>418063</v>
      </c>
      <c r="J108">
        <f t="shared" si="2"/>
        <v>418063</v>
      </c>
      <c r="L108">
        <f t="shared" si="3"/>
        <v>186.63526785714285</v>
      </c>
    </row>
    <row r="109" spans="1:12" x14ac:dyDescent="0.25">
      <c r="A109">
        <v>1739</v>
      </c>
      <c r="B109" t="s">
        <v>17</v>
      </c>
      <c r="C109" t="s">
        <v>68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1739</v>
      </c>
      <c r="B110" t="s">
        <v>18</v>
      </c>
      <c r="C110" t="s">
        <v>68</v>
      </c>
      <c r="D110" t="s">
        <v>35</v>
      </c>
      <c r="H110">
        <v>917065.5</v>
      </c>
      <c r="I110" t="s">
        <v>146</v>
      </c>
      <c r="J110">
        <f t="shared" si="2"/>
        <v>917065.5</v>
      </c>
      <c r="L110">
        <f t="shared" si="3"/>
        <v>409.40424107142854</v>
      </c>
    </row>
    <row r="111" spans="1:12" x14ac:dyDescent="0.25">
      <c r="A111">
        <v>1739</v>
      </c>
      <c r="B111" t="s">
        <v>26</v>
      </c>
      <c r="C111" t="s">
        <v>68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1739</v>
      </c>
      <c r="B112" t="s">
        <v>84</v>
      </c>
      <c r="C112" t="s">
        <v>68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1739</v>
      </c>
      <c r="B113" t="s">
        <v>19</v>
      </c>
      <c r="C113" t="s">
        <v>68</v>
      </c>
      <c r="D113" t="s">
        <v>35</v>
      </c>
      <c r="F113">
        <v>40</v>
      </c>
      <c r="G113">
        <v>2</v>
      </c>
      <c r="H113">
        <v>26</v>
      </c>
      <c r="J113">
        <f t="shared" si="2"/>
        <v>4562</v>
      </c>
      <c r="L113">
        <f t="shared" si="3"/>
        <v>2.0366071428571431</v>
      </c>
    </row>
    <row r="114" spans="1:12" x14ac:dyDescent="0.25">
      <c r="A114">
        <v>1739</v>
      </c>
      <c r="B114" t="s">
        <v>45</v>
      </c>
      <c r="C114" t="s">
        <v>68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1739</v>
      </c>
      <c r="B115" t="s">
        <v>85</v>
      </c>
      <c r="C115" t="s">
        <v>68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1739</v>
      </c>
      <c r="B116" t="s">
        <v>54</v>
      </c>
      <c r="C116" t="s">
        <v>68</v>
      </c>
      <c r="D116" t="s">
        <v>35</v>
      </c>
      <c r="H116">
        <v>231</v>
      </c>
      <c r="J116">
        <f t="shared" si="2"/>
        <v>231</v>
      </c>
      <c r="L116">
        <f t="shared" si="3"/>
        <v>0.10312499999999999</v>
      </c>
    </row>
    <row r="117" spans="1:12" x14ac:dyDescent="0.25">
      <c r="A117">
        <v>1739</v>
      </c>
      <c r="B117" t="s">
        <v>95</v>
      </c>
      <c r="C117" t="s">
        <v>68</v>
      </c>
      <c r="D117" t="s">
        <v>35</v>
      </c>
      <c r="H117">
        <v>36</v>
      </c>
      <c r="J117">
        <f t="shared" si="2"/>
        <v>36</v>
      </c>
      <c r="L117">
        <f t="shared" si="3"/>
        <v>1.607142857142857E-2</v>
      </c>
    </row>
    <row r="118" spans="1:12" x14ac:dyDescent="0.25">
      <c r="A118">
        <v>1739</v>
      </c>
      <c r="B118" t="s">
        <v>20</v>
      </c>
      <c r="C118" t="s">
        <v>68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1739</v>
      </c>
      <c r="B119" t="s">
        <v>21</v>
      </c>
      <c r="C119" t="s">
        <v>68</v>
      </c>
      <c r="D119" t="s">
        <v>35</v>
      </c>
      <c r="H119">
        <v>1039</v>
      </c>
      <c r="J119">
        <f t="shared" si="2"/>
        <v>1039</v>
      </c>
      <c r="L119">
        <f t="shared" si="3"/>
        <v>0.46383928571428573</v>
      </c>
    </row>
    <row r="120" spans="1:12" x14ac:dyDescent="0.25">
      <c r="A120">
        <v>1739</v>
      </c>
      <c r="B120" t="s">
        <v>90</v>
      </c>
      <c r="C120" t="s">
        <v>68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1739</v>
      </c>
      <c r="B121" t="s">
        <v>22</v>
      </c>
      <c r="C121" t="s">
        <v>68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1739</v>
      </c>
      <c r="B122" t="s">
        <v>61</v>
      </c>
      <c r="C122" t="s">
        <v>68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1739</v>
      </c>
      <c r="B123" t="s">
        <v>91</v>
      </c>
      <c r="C123" t="s">
        <v>68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1739</v>
      </c>
      <c r="B124" t="s">
        <v>98</v>
      </c>
      <c r="C124" t="s">
        <v>68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1739</v>
      </c>
      <c r="B125" t="s">
        <v>87</v>
      </c>
      <c r="C125" t="s">
        <v>68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1739</v>
      </c>
      <c r="B126" t="s">
        <v>62</v>
      </c>
      <c r="C126" t="s">
        <v>68</v>
      </c>
      <c r="D126" t="s">
        <v>35</v>
      </c>
      <c r="E126">
        <v>31</v>
      </c>
      <c r="F126">
        <v>2</v>
      </c>
      <c r="G126">
        <v>2</v>
      </c>
      <c r="H126">
        <v>18</v>
      </c>
      <c r="J126">
        <f t="shared" si="2"/>
        <v>69738</v>
      </c>
      <c r="L126">
        <f t="shared" si="3"/>
        <v>31.133035714285715</v>
      </c>
    </row>
    <row r="127" spans="1:12" x14ac:dyDescent="0.25">
      <c r="A127">
        <v>1739</v>
      </c>
      <c r="B127" t="s">
        <v>88</v>
      </c>
      <c r="C127" t="s">
        <v>68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1739</v>
      </c>
      <c r="B128" t="s">
        <v>63</v>
      </c>
      <c r="C128" t="s">
        <v>68</v>
      </c>
      <c r="D128" t="s">
        <v>35</v>
      </c>
      <c r="E128">
        <v>204</v>
      </c>
      <c r="G128">
        <v>2</v>
      </c>
      <c r="H128">
        <v>12</v>
      </c>
      <c r="J128">
        <f t="shared" si="2"/>
        <v>457028</v>
      </c>
      <c r="L128">
        <f t="shared" si="3"/>
        <v>204.03035714285716</v>
      </c>
    </row>
    <row r="129" spans="1:12" x14ac:dyDescent="0.25">
      <c r="A129">
        <v>1739</v>
      </c>
      <c r="B129" t="s">
        <v>89</v>
      </c>
      <c r="C129" t="s">
        <v>68</v>
      </c>
      <c r="D129" t="s">
        <v>35</v>
      </c>
      <c r="F129">
        <v>5983</v>
      </c>
      <c r="G129">
        <v>2</v>
      </c>
      <c r="H129">
        <v>7</v>
      </c>
      <c r="J129">
        <f t="shared" si="2"/>
        <v>670159</v>
      </c>
      <c r="L129">
        <f t="shared" si="3"/>
        <v>299.17812500000002</v>
      </c>
    </row>
    <row r="130" spans="1:12" x14ac:dyDescent="0.25">
      <c r="A130">
        <v>1739</v>
      </c>
      <c r="B130" t="s">
        <v>70</v>
      </c>
      <c r="C130" t="s">
        <v>68</v>
      </c>
      <c r="D130" t="s">
        <v>35</v>
      </c>
      <c r="J130">
        <f t="shared" si="2"/>
        <v>0</v>
      </c>
      <c r="L130">
        <f t="shared" si="3"/>
        <v>0</v>
      </c>
    </row>
    <row r="131" spans="1:12" x14ac:dyDescent="0.25">
      <c r="A131">
        <v>1739</v>
      </c>
      <c r="B131" t="s">
        <v>64</v>
      </c>
      <c r="C131" t="s">
        <v>68</v>
      </c>
      <c r="D131" t="s">
        <v>35</v>
      </c>
      <c r="E131">
        <v>5</v>
      </c>
      <c r="F131">
        <v>7</v>
      </c>
      <c r="G131">
        <v>1</v>
      </c>
      <c r="H131">
        <v>20</v>
      </c>
      <c r="J131">
        <f t="shared" si="2"/>
        <v>12032</v>
      </c>
      <c r="L131">
        <f t="shared" si="3"/>
        <v>5.371428571428571</v>
      </c>
    </row>
    <row r="132" spans="1:12" x14ac:dyDescent="0.25">
      <c r="A132">
        <v>1739</v>
      </c>
      <c r="B132" t="s">
        <v>65</v>
      </c>
      <c r="C132" t="s">
        <v>68</v>
      </c>
      <c r="D132" t="s">
        <v>35</v>
      </c>
      <c r="J132">
        <f t="shared" si="2"/>
        <v>0</v>
      </c>
      <c r="L132">
        <f t="shared" si="3"/>
        <v>0</v>
      </c>
    </row>
  </sheetData>
  <autoFilter ref="A1:O63" xr:uid="{8C2F7725-5A61-4A1B-A740-CC887BCB0E68}">
    <sortState xmlns:xlrd2="http://schemas.microsoft.com/office/spreadsheetml/2017/richdata2" ref="A2:O63">
      <sortCondition ref="B1:B63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O127"/>
  <sheetViews>
    <sheetView topLeftCell="A88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1739</v>
      </c>
      <c r="B2" t="s">
        <v>55</v>
      </c>
      <c r="C2" t="s">
        <v>72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1739</v>
      </c>
      <c r="B3" t="s">
        <v>57</v>
      </c>
      <c r="C3" t="s">
        <v>72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1739</v>
      </c>
      <c r="B4" t="s">
        <v>36</v>
      </c>
      <c r="C4" t="s">
        <v>72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1739</v>
      </c>
      <c r="B5" t="s">
        <v>4</v>
      </c>
      <c r="C5" t="s">
        <v>72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1739</v>
      </c>
      <c r="B6" t="s">
        <v>58</v>
      </c>
      <c r="C6" t="s">
        <v>72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1739</v>
      </c>
      <c r="B7" t="s">
        <v>69</v>
      </c>
      <c r="C7" t="s">
        <v>72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1739</v>
      </c>
      <c r="B8" t="s">
        <v>43</v>
      </c>
      <c r="C8" t="s">
        <v>72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1739</v>
      </c>
      <c r="B9" t="s">
        <v>76</v>
      </c>
      <c r="C9" t="s">
        <v>72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1739</v>
      </c>
      <c r="B10" t="s">
        <v>5</v>
      </c>
      <c r="C10" t="s">
        <v>72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1739</v>
      </c>
      <c r="B11" t="s">
        <v>59</v>
      </c>
      <c r="C11" t="s">
        <v>72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1739</v>
      </c>
      <c r="B12" t="s">
        <v>6</v>
      </c>
      <c r="C12" t="s">
        <v>72</v>
      </c>
      <c r="D12" t="s">
        <v>33</v>
      </c>
      <c r="F12">
        <v>22142</v>
      </c>
      <c r="H12">
        <v>16</v>
      </c>
      <c r="J12">
        <f t="shared" si="0"/>
        <v>2479920</v>
      </c>
      <c r="L12">
        <f t="shared" si="1"/>
        <v>1107.1071428571429</v>
      </c>
    </row>
    <row r="13" spans="1:15" x14ac:dyDescent="0.25">
      <c r="A13">
        <v>1739</v>
      </c>
      <c r="B13" t="s">
        <v>96</v>
      </c>
      <c r="C13" t="s">
        <v>72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1739</v>
      </c>
      <c r="B14" t="s">
        <v>60</v>
      </c>
      <c r="C14" t="s">
        <v>72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1739</v>
      </c>
      <c r="B15" t="s">
        <v>7</v>
      </c>
      <c r="C15" t="s">
        <v>72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1739</v>
      </c>
      <c r="B16" t="s">
        <v>37</v>
      </c>
      <c r="C16" t="s">
        <v>72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1739</v>
      </c>
      <c r="B17" t="s">
        <v>8</v>
      </c>
      <c r="C17" t="s">
        <v>72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1739</v>
      </c>
      <c r="B18" t="s">
        <v>40</v>
      </c>
      <c r="C18" t="s">
        <v>72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1739</v>
      </c>
      <c r="B19" t="s">
        <v>77</v>
      </c>
      <c r="C19" t="s">
        <v>72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1739</v>
      </c>
      <c r="B20" t="s">
        <v>78</v>
      </c>
      <c r="C20" t="s">
        <v>72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1739</v>
      </c>
      <c r="B21" t="s">
        <v>46</v>
      </c>
      <c r="C21" t="s">
        <v>72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1739</v>
      </c>
      <c r="B22" t="s">
        <v>9</v>
      </c>
      <c r="C22" t="s">
        <v>72</v>
      </c>
      <c r="D22" t="s">
        <v>33</v>
      </c>
      <c r="H22">
        <f>93*200</f>
        <v>18600</v>
      </c>
      <c r="I22" t="s">
        <v>128</v>
      </c>
      <c r="J22">
        <f t="shared" si="0"/>
        <v>18600</v>
      </c>
      <c r="L22">
        <f t="shared" si="1"/>
        <v>8.3035714285714288</v>
      </c>
    </row>
    <row r="23" spans="1:12" x14ac:dyDescent="0.25">
      <c r="A23">
        <v>1739</v>
      </c>
      <c r="B23" t="s">
        <v>10</v>
      </c>
      <c r="C23" t="s">
        <v>72</v>
      </c>
      <c r="D23" t="s">
        <v>33</v>
      </c>
      <c r="F23">
        <v>3</v>
      </c>
      <c r="G23">
        <v>1</v>
      </c>
      <c r="H23">
        <v>19</v>
      </c>
      <c r="J23">
        <f t="shared" si="0"/>
        <v>383</v>
      </c>
      <c r="L23">
        <f t="shared" si="1"/>
        <v>0.17098214285714286</v>
      </c>
    </row>
    <row r="24" spans="1:12" x14ac:dyDescent="0.25">
      <c r="A24">
        <v>1739</v>
      </c>
      <c r="B24" t="s">
        <v>11</v>
      </c>
      <c r="C24" t="s">
        <v>72</v>
      </c>
      <c r="D24" t="s">
        <v>33</v>
      </c>
      <c r="F24">
        <v>13</v>
      </c>
      <c r="G24">
        <v>2</v>
      </c>
      <c r="H24">
        <v>11</v>
      </c>
      <c r="J24">
        <f t="shared" si="0"/>
        <v>1523</v>
      </c>
      <c r="L24">
        <f t="shared" si="1"/>
        <v>0.67991071428571426</v>
      </c>
    </row>
    <row r="25" spans="1:12" x14ac:dyDescent="0.25">
      <c r="A25">
        <v>1739</v>
      </c>
      <c r="B25" t="s">
        <v>39</v>
      </c>
      <c r="C25" t="s">
        <v>72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1739</v>
      </c>
      <c r="B26" t="s">
        <v>79</v>
      </c>
      <c r="C26" t="s">
        <v>72</v>
      </c>
      <c r="D26" t="s">
        <v>33</v>
      </c>
      <c r="H26">
        <v>4377</v>
      </c>
      <c r="J26">
        <f t="shared" si="0"/>
        <v>4377</v>
      </c>
      <c r="L26">
        <f t="shared" si="1"/>
        <v>1.9540178571428573</v>
      </c>
    </row>
    <row r="27" spans="1:12" x14ac:dyDescent="0.25">
      <c r="A27">
        <v>1739</v>
      </c>
      <c r="B27" t="s">
        <v>103</v>
      </c>
      <c r="C27" t="s">
        <v>72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1739</v>
      </c>
      <c r="B28" t="s">
        <v>44</v>
      </c>
      <c r="C28" t="s">
        <v>72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1739</v>
      </c>
      <c r="B29" t="s">
        <v>97</v>
      </c>
      <c r="C29" t="s">
        <v>72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1739</v>
      </c>
      <c r="B30" t="s">
        <v>12</v>
      </c>
      <c r="C30" t="s">
        <v>72</v>
      </c>
      <c r="D30" t="s">
        <v>33</v>
      </c>
      <c r="H30">
        <v>1150</v>
      </c>
      <c r="J30">
        <f t="shared" si="0"/>
        <v>1150</v>
      </c>
      <c r="L30">
        <f t="shared" si="1"/>
        <v>0.5133928571428571</v>
      </c>
    </row>
    <row r="31" spans="1:12" x14ac:dyDescent="0.25">
      <c r="A31">
        <v>1739</v>
      </c>
      <c r="B31" t="s">
        <v>82</v>
      </c>
      <c r="C31" t="s">
        <v>72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1739</v>
      </c>
      <c r="B32" t="s">
        <v>34</v>
      </c>
      <c r="C32" t="s">
        <v>72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1739</v>
      </c>
      <c r="B33" t="s">
        <v>13</v>
      </c>
      <c r="C33" t="s">
        <v>72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1739</v>
      </c>
      <c r="B34" t="s">
        <v>14</v>
      </c>
      <c r="C34" t="s">
        <v>72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1739</v>
      </c>
      <c r="B35" t="s">
        <v>23</v>
      </c>
      <c r="C35" t="s">
        <v>72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1739</v>
      </c>
      <c r="B36" t="s">
        <v>27</v>
      </c>
      <c r="C36" t="s">
        <v>72</v>
      </c>
      <c r="D36" t="s">
        <v>33</v>
      </c>
      <c r="H36">
        <v>1150.5</v>
      </c>
      <c r="I36" t="s">
        <v>127</v>
      </c>
      <c r="J36">
        <f t="shared" si="0"/>
        <v>1150.5</v>
      </c>
      <c r="L36">
        <f t="shared" si="1"/>
        <v>0.51361607142857146</v>
      </c>
    </row>
    <row r="37" spans="1:12" x14ac:dyDescent="0.25">
      <c r="A37">
        <v>1739</v>
      </c>
      <c r="B37" t="s">
        <v>15</v>
      </c>
      <c r="C37" t="s">
        <v>72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1739</v>
      </c>
      <c r="B38" t="s">
        <v>42</v>
      </c>
      <c r="C38" t="s">
        <v>72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1739</v>
      </c>
      <c r="B39" t="s">
        <v>83</v>
      </c>
      <c r="C39" t="s">
        <v>72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1739</v>
      </c>
      <c r="B40" t="s">
        <v>47</v>
      </c>
      <c r="C40" t="s">
        <v>72</v>
      </c>
      <c r="D40" t="s">
        <v>33</v>
      </c>
      <c r="H40">
        <v>10</v>
      </c>
      <c r="I40" t="s">
        <v>125</v>
      </c>
      <c r="J40">
        <f t="shared" si="0"/>
        <v>10</v>
      </c>
      <c r="L40">
        <f t="shared" si="1"/>
        <v>4.464285714285714E-3</v>
      </c>
    </row>
    <row r="41" spans="1:12" x14ac:dyDescent="0.25">
      <c r="A41">
        <v>1739</v>
      </c>
      <c r="B41" t="s">
        <v>16</v>
      </c>
      <c r="C41" t="s">
        <v>72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1739</v>
      </c>
      <c r="B42" t="s">
        <v>17</v>
      </c>
      <c r="C42" t="s">
        <v>72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1739</v>
      </c>
      <c r="B43" t="s">
        <v>18</v>
      </c>
      <c r="C43" t="s">
        <v>72</v>
      </c>
      <c r="D43" t="s">
        <v>33</v>
      </c>
      <c r="H43">
        <v>27912</v>
      </c>
      <c r="I43" t="s">
        <v>126</v>
      </c>
      <c r="J43">
        <f t="shared" si="0"/>
        <v>27912</v>
      </c>
      <c r="L43">
        <f t="shared" si="1"/>
        <v>12.460714285714285</v>
      </c>
    </row>
    <row r="44" spans="1:12" x14ac:dyDescent="0.25">
      <c r="A44">
        <v>1739</v>
      </c>
      <c r="B44" t="s">
        <v>26</v>
      </c>
      <c r="C44" t="s">
        <v>72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1739</v>
      </c>
      <c r="B45" t="s">
        <v>84</v>
      </c>
      <c r="C45" t="s">
        <v>72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1739</v>
      </c>
      <c r="B46" t="s">
        <v>19</v>
      </c>
      <c r="C46" t="s">
        <v>72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1739</v>
      </c>
      <c r="B47" t="s">
        <v>45</v>
      </c>
      <c r="C47" t="s">
        <v>72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1739</v>
      </c>
      <c r="B48" t="s">
        <v>85</v>
      </c>
      <c r="C48" t="s">
        <v>72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1739</v>
      </c>
      <c r="B49" t="s">
        <v>54</v>
      </c>
      <c r="C49" t="s">
        <v>72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1739</v>
      </c>
      <c r="B50" t="s">
        <v>95</v>
      </c>
      <c r="C50" t="s">
        <v>72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1739</v>
      </c>
      <c r="B51" t="s">
        <v>20</v>
      </c>
      <c r="C51" t="s">
        <v>72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1739</v>
      </c>
      <c r="B52" t="s">
        <v>21</v>
      </c>
      <c r="C52" t="s">
        <v>72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1739</v>
      </c>
      <c r="B53" t="s">
        <v>22</v>
      </c>
      <c r="C53" t="s">
        <v>72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1739</v>
      </c>
      <c r="B54" t="s">
        <v>61</v>
      </c>
      <c r="C54" t="s">
        <v>72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1739</v>
      </c>
      <c r="B55" t="s">
        <v>115</v>
      </c>
      <c r="C55" t="s">
        <v>72</v>
      </c>
      <c r="D55" t="s">
        <v>33</v>
      </c>
      <c r="E55">
        <v>17</v>
      </c>
      <c r="F55">
        <v>10</v>
      </c>
      <c r="J55">
        <f t="shared" si="0"/>
        <v>39200</v>
      </c>
      <c r="L55">
        <f t="shared" si="1"/>
        <v>17.5</v>
      </c>
    </row>
    <row r="56" spans="1:12" x14ac:dyDescent="0.25">
      <c r="A56">
        <v>1739</v>
      </c>
      <c r="B56" t="s">
        <v>99</v>
      </c>
      <c r="C56" t="s">
        <v>72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1739</v>
      </c>
      <c r="B57" t="s">
        <v>87</v>
      </c>
      <c r="C57" t="s">
        <v>72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1739</v>
      </c>
      <c r="B58" t="s">
        <v>62</v>
      </c>
      <c r="C58" t="s">
        <v>72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1739</v>
      </c>
      <c r="B59" t="s">
        <v>88</v>
      </c>
      <c r="C59" t="s">
        <v>72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1739</v>
      </c>
      <c r="B60" t="s">
        <v>63</v>
      </c>
      <c r="C60" t="s">
        <v>72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1739</v>
      </c>
      <c r="B61" t="s">
        <v>89</v>
      </c>
      <c r="C61" t="s">
        <v>72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1739</v>
      </c>
      <c r="B62" t="s">
        <v>70</v>
      </c>
      <c r="C62" t="s">
        <v>72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1739</v>
      </c>
      <c r="B63" t="s">
        <v>64</v>
      </c>
      <c r="C63" t="s">
        <v>72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1739</v>
      </c>
      <c r="B64" t="s">
        <v>65</v>
      </c>
      <c r="C64" t="s">
        <v>72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1739</v>
      </c>
      <c r="B65" t="s">
        <v>55</v>
      </c>
      <c r="C65" t="s">
        <v>72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1739</v>
      </c>
      <c r="B66" t="s">
        <v>57</v>
      </c>
      <c r="C66" t="s">
        <v>72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1739</v>
      </c>
      <c r="B67" t="s">
        <v>36</v>
      </c>
      <c r="C67" t="s">
        <v>72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1739</v>
      </c>
      <c r="B68" t="s">
        <v>4</v>
      </c>
      <c r="C68" t="s">
        <v>72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1739</v>
      </c>
      <c r="B69" t="s">
        <v>58</v>
      </c>
      <c r="C69" t="s">
        <v>72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1739</v>
      </c>
      <c r="B70" t="s">
        <v>69</v>
      </c>
      <c r="C70" t="s">
        <v>72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1739</v>
      </c>
      <c r="B71" t="s">
        <v>43</v>
      </c>
      <c r="C71" t="s">
        <v>72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1739</v>
      </c>
      <c r="B72" t="s">
        <v>76</v>
      </c>
      <c r="C72" t="s">
        <v>72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1739</v>
      </c>
      <c r="B73" t="s">
        <v>5</v>
      </c>
      <c r="C73" t="s">
        <v>72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1739</v>
      </c>
      <c r="B74" t="s">
        <v>59</v>
      </c>
      <c r="C74" t="s">
        <v>72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1739</v>
      </c>
      <c r="B75" t="s">
        <v>6</v>
      </c>
      <c r="C75" t="s">
        <v>72</v>
      </c>
      <c r="D75" t="s">
        <v>35</v>
      </c>
      <c r="F75">
        <v>3965</v>
      </c>
      <c r="G75">
        <v>1</v>
      </c>
      <c r="H75">
        <v>22</v>
      </c>
      <c r="J75">
        <f t="shared" si="2"/>
        <v>444130</v>
      </c>
      <c r="L75">
        <f t="shared" si="3"/>
        <v>198.27232142857142</v>
      </c>
    </row>
    <row r="76" spans="1:12" x14ac:dyDescent="0.25">
      <c r="A76">
        <v>1739</v>
      </c>
      <c r="B76" t="s">
        <v>60</v>
      </c>
      <c r="C76" t="s">
        <v>72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1739</v>
      </c>
      <c r="B77" t="s">
        <v>7</v>
      </c>
      <c r="C77" t="s">
        <v>72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1739</v>
      </c>
      <c r="B78" t="s">
        <v>37</v>
      </c>
      <c r="C78" t="s">
        <v>72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1739</v>
      </c>
      <c r="B79" t="s">
        <v>8</v>
      </c>
      <c r="C79" t="s">
        <v>72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1739</v>
      </c>
      <c r="B80" t="s">
        <v>40</v>
      </c>
      <c r="C80" t="s">
        <v>72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1739</v>
      </c>
      <c r="B81" t="s">
        <v>77</v>
      </c>
      <c r="C81" t="s">
        <v>72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1739</v>
      </c>
      <c r="B82" t="s">
        <v>78</v>
      </c>
      <c r="C82" t="s">
        <v>72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1739</v>
      </c>
      <c r="B83" t="s">
        <v>46</v>
      </c>
      <c r="C83" t="s">
        <v>72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1739</v>
      </c>
      <c r="B84" t="s">
        <v>9</v>
      </c>
      <c r="C84" t="s">
        <v>72</v>
      </c>
      <c r="D84" t="s">
        <v>35</v>
      </c>
      <c r="H84">
        <f>125*200</f>
        <v>25000</v>
      </c>
      <c r="I84" t="s">
        <v>152</v>
      </c>
      <c r="J84">
        <f t="shared" si="2"/>
        <v>25000</v>
      </c>
      <c r="L84">
        <f t="shared" si="3"/>
        <v>11.160714285714286</v>
      </c>
    </row>
    <row r="85" spans="1:12" x14ac:dyDescent="0.25">
      <c r="A85">
        <v>1739</v>
      </c>
      <c r="B85" t="s">
        <v>10</v>
      </c>
      <c r="C85" t="s">
        <v>72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1739</v>
      </c>
      <c r="B86" t="s">
        <v>11</v>
      </c>
      <c r="C86" t="s">
        <v>72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1739</v>
      </c>
      <c r="B87" t="s">
        <v>39</v>
      </c>
      <c r="C87" t="s">
        <v>72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1739</v>
      </c>
      <c r="B88" t="s">
        <v>79</v>
      </c>
      <c r="C88" t="s">
        <v>72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1739</v>
      </c>
      <c r="B89" t="s">
        <v>103</v>
      </c>
      <c r="C89" t="s">
        <v>72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1739</v>
      </c>
      <c r="B90" t="s">
        <v>44</v>
      </c>
      <c r="C90" t="s">
        <v>72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1739</v>
      </c>
      <c r="B91" t="s">
        <v>97</v>
      </c>
      <c r="C91" t="s">
        <v>72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1739</v>
      </c>
      <c r="B92" t="s">
        <v>12</v>
      </c>
      <c r="C92" t="s">
        <v>72</v>
      </c>
      <c r="D92" t="s">
        <v>35</v>
      </c>
      <c r="H92">
        <v>250</v>
      </c>
      <c r="J92">
        <f t="shared" si="2"/>
        <v>250</v>
      </c>
      <c r="L92">
        <f t="shared" si="3"/>
        <v>0.11160714285714286</v>
      </c>
    </row>
    <row r="93" spans="1:12" x14ac:dyDescent="0.25">
      <c r="A93">
        <v>1739</v>
      </c>
      <c r="B93" t="s">
        <v>82</v>
      </c>
      <c r="C93" t="s">
        <v>72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1739</v>
      </c>
      <c r="B94" t="s">
        <v>34</v>
      </c>
      <c r="C94" t="s">
        <v>72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1739</v>
      </c>
      <c r="B95" t="s">
        <v>13</v>
      </c>
      <c r="C95" t="s">
        <v>72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1739</v>
      </c>
      <c r="B96" t="s">
        <v>14</v>
      </c>
      <c r="C96" t="s">
        <v>72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1739</v>
      </c>
      <c r="B97" t="s">
        <v>23</v>
      </c>
      <c r="C97" t="s">
        <v>72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1739</v>
      </c>
      <c r="B98" t="s">
        <v>27</v>
      </c>
      <c r="C98" t="s">
        <v>72</v>
      </c>
      <c r="D98" t="s">
        <v>35</v>
      </c>
      <c r="H98">
        <v>60</v>
      </c>
      <c r="I98" t="s">
        <v>151</v>
      </c>
      <c r="J98">
        <f t="shared" si="2"/>
        <v>60</v>
      </c>
      <c r="L98">
        <f t="shared" si="3"/>
        <v>2.6785714285714284E-2</v>
      </c>
    </row>
    <row r="99" spans="1:12" x14ac:dyDescent="0.25">
      <c r="A99">
        <v>1739</v>
      </c>
      <c r="B99" t="s">
        <v>15</v>
      </c>
      <c r="C99" t="s">
        <v>72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1739</v>
      </c>
      <c r="B100" t="s">
        <v>93</v>
      </c>
      <c r="C100" t="s">
        <v>72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1739</v>
      </c>
      <c r="B101" t="s">
        <v>42</v>
      </c>
      <c r="C101" t="s">
        <v>72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1739</v>
      </c>
      <c r="B102" t="s">
        <v>83</v>
      </c>
      <c r="C102" t="s">
        <v>72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1739</v>
      </c>
      <c r="B103" t="s">
        <v>47</v>
      </c>
      <c r="C103" t="s">
        <v>72</v>
      </c>
      <c r="D103" t="s">
        <v>35</v>
      </c>
      <c r="H103">
        <v>20</v>
      </c>
      <c r="I103" t="s">
        <v>149</v>
      </c>
      <c r="J103">
        <f t="shared" si="2"/>
        <v>20</v>
      </c>
      <c r="L103">
        <f t="shared" si="3"/>
        <v>8.9285714285714281E-3</v>
      </c>
    </row>
    <row r="104" spans="1:12" x14ac:dyDescent="0.25">
      <c r="A104">
        <v>1739</v>
      </c>
      <c r="B104" t="s">
        <v>16</v>
      </c>
      <c r="C104" t="s">
        <v>72</v>
      </c>
      <c r="D104" t="s">
        <v>35</v>
      </c>
      <c r="H104">
        <v>82</v>
      </c>
      <c r="J104">
        <f t="shared" si="2"/>
        <v>82</v>
      </c>
      <c r="L104">
        <f t="shared" si="3"/>
        <v>3.6607142857142859E-2</v>
      </c>
    </row>
    <row r="105" spans="1:12" x14ac:dyDescent="0.25">
      <c r="A105">
        <v>1739</v>
      </c>
      <c r="B105" t="s">
        <v>17</v>
      </c>
      <c r="C105" t="s">
        <v>72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1739</v>
      </c>
      <c r="B106" t="s">
        <v>18</v>
      </c>
      <c r="C106" t="s">
        <v>72</v>
      </c>
      <c r="D106" t="s">
        <v>35</v>
      </c>
      <c r="H106">
        <v>6011.5</v>
      </c>
      <c r="I106" t="s">
        <v>150</v>
      </c>
      <c r="J106">
        <f t="shared" si="2"/>
        <v>6011.5</v>
      </c>
      <c r="L106">
        <f t="shared" si="3"/>
        <v>2.6837053571428573</v>
      </c>
    </row>
    <row r="107" spans="1:12" x14ac:dyDescent="0.25">
      <c r="A107">
        <v>1739</v>
      </c>
      <c r="B107" t="s">
        <v>26</v>
      </c>
      <c r="C107" t="s">
        <v>72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1739</v>
      </c>
      <c r="B108" t="s">
        <v>84</v>
      </c>
      <c r="C108" t="s">
        <v>72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1739</v>
      </c>
      <c r="B109" t="s">
        <v>19</v>
      </c>
      <c r="C109" t="s">
        <v>72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1739</v>
      </c>
      <c r="B110" t="s">
        <v>45</v>
      </c>
      <c r="C110" t="s">
        <v>72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1739</v>
      </c>
      <c r="B111" t="s">
        <v>85</v>
      </c>
      <c r="C111" t="s">
        <v>72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1739</v>
      </c>
      <c r="B112" t="s">
        <v>54</v>
      </c>
      <c r="C112" t="s">
        <v>72</v>
      </c>
      <c r="D112" t="s">
        <v>35</v>
      </c>
      <c r="H112">
        <v>15</v>
      </c>
      <c r="J112">
        <f t="shared" si="2"/>
        <v>15</v>
      </c>
      <c r="L112">
        <f t="shared" si="3"/>
        <v>6.6964285714285711E-3</v>
      </c>
    </row>
    <row r="113" spans="1:12" x14ac:dyDescent="0.25">
      <c r="A113">
        <v>1739</v>
      </c>
      <c r="B113" t="s">
        <v>95</v>
      </c>
      <c r="C113" t="s">
        <v>72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1739</v>
      </c>
      <c r="B114" t="s">
        <v>20</v>
      </c>
      <c r="C114" t="s">
        <v>72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1739</v>
      </c>
      <c r="B115" t="s">
        <v>21</v>
      </c>
      <c r="C115" t="s">
        <v>72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1739</v>
      </c>
      <c r="B116" t="s">
        <v>22</v>
      </c>
      <c r="C116" t="s">
        <v>72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1739</v>
      </c>
      <c r="B117" t="s">
        <v>61</v>
      </c>
      <c r="C117" t="s">
        <v>72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1739</v>
      </c>
      <c r="B118" t="s">
        <v>91</v>
      </c>
      <c r="C118" t="s">
        <v>72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1739</v>
      </c>
      <c r="B119" t="s">
        <v>98</v>
      </c>
      <c r="C119" t="s">
        <v>72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1739</v>
      </c>
      <c r="B120" t="s">
        <v>87</v>
      </c>
      <c r="C120" t="s">
        <v>72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1739</v>
      </c>
      <c r="B121" t="s">
        <v>62</v>
      </c>
      <c r="C121" t="s">
        <v>72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1739</v>
      </c>
      <c r="B122" t="s">
        <v>88</v>
      </c>
      <c r="C122" t="s">
        <v>72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1739</v>
      </c>
      <c r="B123" t="s">
        <v>63</v>
      </c>
      <c r="C123" t="s">
        <v>72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1739</v>
      </c>
      <c r="B124" t="s">
        <v>89</v>
      </c>
      <c r="C124" t="s">
        <v>72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1739</v>
      </c>
      <c r="B125" t="s">
        <v>70</v>
      </c>
      <c r="C125" t="s">
        <v>72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1739</v>
      </c>
      <c r="B126" t="s">
        <v>64</v>
      </c>
      <c r="C126" t="s">
        <v>72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1739</v>
      </c>
      <c r="B127" t="s">
        <v>65</v>
      </c>
      <c r="C127" t="s">
        <v>72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O126"/>
  <sheetViews>
    <sheetView topLeftCell="A75" workbookViewId="0">
      <selection activeCell="H84" sqref="H84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1739</v>
      </c>
      <c r="B2" t="s">
        <v>55</v>
      </c>
      <c r="C2" t="s">
        <v>73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1739</v>
      </c>
      <c r="B3" t="s">
        <v>57</v>
      </c>
      <c r="C3" t="s">
        <v>73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A4">
        <v>1739</v>
      </c>
      <c r="B4" t="s">
        <v>36</v>
      </c>
      <c r="C4" t="s">
        <v>73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1739</v>
      </c>
      <c r="B5" t="s">
        <v>4</v>
      </c>
      <c r="C5" t="s">
        <v>73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1739</v>
      </c>
      <c r="B6" t="s">
        <v>58</v>
      </c>
      <c r="C6" t="s">
        <v>73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1739</v>
      </c>
      <c r="B7" t="s">
        <v>69</v>
      </c>
      <c r="C7" t="s">
        <v>73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1739</v>
      </c>
      <c r="B8" t="s">
        <v>43</v>
      </c>
      <c r="C8" t="s">
        <v>73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1739</v>
      </c>
      <c r="B9" t="s">
        <v>76</v>
      </c>
      <c r="C9" t="s">
        <v>73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1739</v>
      </c>
      <c r="B10" t="s">
        <v>5</v>
      </c>
      <c r="C10" t="s">
        <v>73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1739</v>
      </c>
      <c r="B11" t="s">
        <v>59</v>
      </c>
      <c r="C11" t="s">
        <v>73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1739</v>
      </c>
      <c r="B12" t="s">
        <v>6</v>
      </c>
      <c r="C12" t="s">
        <v>73</v>
      </c>
      <c r="D12" t="s">
        <v>33</v>
      </c>
      <c r="F12">
        <v>43535</v>
      </c>
      <c r="G12">
        <v>2</v>
      </c>
      <c r="H12">
        <v>19</v>
      </c>
      <c r="J12">
        <f t="shared" si="0"/>
        <v>4875995</v>
      </c>
      <c r="L12">
        <f t="shared" si="1"/>
        <v>2176.7834821428573</v>
      </c>
    </row>
    <row r="13" spans="1:15" x14ac:dyDescent="0.25">
      <c r="A13">
        <v>1739</v>
      </c>
      <c r="B13" t="s">
        <v>96</v>
      </c>
      <c r="C13" t="s">
        <v>73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1739</v>
      </c>
      <c r="B14" t="s">
        <v>60</v>
      </c>
      <c r="C14" t="s">
        <v>73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1739</v>
      </c>
      <c r="B15" t="s">
        <v>7</v>
      </c>
      <c r="C15" t="s">
        <v>73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1739</v>
      </c>
      <c r="B16" t="s">
        <v>37</v>
      </c>
      <c r="C16" t="s">
        <v>73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1739</v>
      </c>
      <c r="B17" t="s">
        <v>8</v>
      </c>
      <c r="C17" t="s">
        <v>73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1739</v>
      </c>
      <c r="B18" t="s">
        <v>40</v>
      </c>
      <c r="C18" t="s">
        <v>73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1739</v>
      </c>
      <c r="B19" t="s">
        <v>77</v>
      </c>
      <c r="C19" t="s">
        <v>73</v>
      </c>
      <c r="D19" t="s">
        <v>33</v>
      </c>
      <c r="G19">
        <v>2</v>
      </c>
      <c r="H19">
        <v>13</v>
      </c>
      <c r="J19">
        <f t="shared" si="0"/>
        <v>69</v>
      </c>
      <c r="L19">
        <f t="shared" si="1"/>
        <v>3.080357142857143E-2</v>
      </c>
    </row>
    <row r="20" spans="1:12" x14ac:dyDescent="0.25">
      <c r="A20">
        <v>1739</v>
      </c>
      <c r="B20" t="s">
        <v>78</v>
      </c>
      <c r="C20" t="s">
        <v>73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1739</v>
      </c>
      <c r="B21" t="s">
        <v>46</v>
      </c>
      <c r="C21" t="s">
        <v>73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1739</v>
      </c>
      <c r="B22" t="s">
        <v>9</v>
      </c>
      <c r="C22" t="s">
        <v>73</v>
      </c>
      <c r="D22" t="s">
        <v>33</v>
      </c>
      <c r="H22">
        <f>120*200</f>
        <v>24000</v>
      </c>
      <c r="I22" t="s">
        <v>132</v>
      </c>
      <c r="J22">
        <f t="shared" si="0"/>
        <v>24000</v>
      </c>
      <c r="L22">
        <f t="shared" si="1"/>
        <v>10.714285714285714</v>
      </c>
    </row>
    <row r="23" spans="1:12" x14ac:dyDescent="0.25">
      <c r="A23">
        <v>1739</v>
      </c>
      <c r="B23" t="s">
        <v>10</v>
      </c>
      <c r="C23" t="s">
        <v>73</v>
      </c>
      <c r="D23" t="s">
        <v>33</v>
      </c>
      <c r="G23">
        <v>1</v>
      </c>
      <c r="J23">
        <f t="shared" si="0"/>
        <v>28</v>
      </c>
      <c r="L23">
        <f t="shared" si="1"/>
        <v>1.2500000000000001E-2</v>
      </c>
    </row>
    <row r="24" spans="1:12" x14ac:dyDescent="0.25">
      <c r="A24">
        <v>1739</v>
      </c>
      <c r="B24" t="s">
        <v>11</v>
      </c>
      <c r="C24" t="s">
        <v>73</v>
      </c>
      <c r="D24" t="s">
        <v>33</v>
      </c>
      <c r="F24">
        <v>6</v>
      </c>
      <c r="G24">
        <v>3</v>
      </c>
      <c r="H24">
        <v>23</v>
      </c>
      <c r="J24">
        <f t="shared" si="0"/>
        <v>779</v>
      </c>
      <c r="L24">
        <f t="shared" si="1"/>
        <v>0.34776785714285713</v>
      </c>
    </row>
    <row r="25" spans="1:12" x14ac:dyDescent="0.25">
      <c r="A25">
        <v>1739</v>
      </c>
      <c r="B25" t="s">
        <v>39</v>
      </c>
      <c r="C25" t="s">
        <v>73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1739</v>
      </c>
      <c r="B26" t="s">
        <v>79</v>
      </c>
      <c r="C26" t="s">
        <v>73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1739</v>
      </c>
      <c r="B27" t="s">
        <v>103</v>
      </c>
      <c r="C27" t="s">
        <v>73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1739</v>
      </c>
      <c r="B28" t="s">
        <v>44</v>
      </c>
      <c r="C28" t="s">
        <v>73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1739</v>
      </c>
      <c r="B29" t="s">
        <v>97</v>
      </c>
      <c r="C29" t="s">
        <v>73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1739</v>
      </c>
      <c r="B30" t="s">
        <v>12</v>
      </c>
      <c r="C30" t="s">
        <v>73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1739</v>
      </c>
      <c r="B31" t="s">
        <v>82</v>
      </c>
      <c r="C31" t="s">
        <v>73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1739</v>
      </c>
      <c r="B32" t="s">
        <v>34</v>
      </c>
      <c r="C32" t="s">
        <v>73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1739</v>
      </c>
      <c r="B33" t="s">
        <v>13</v>
      </c>
      <c r="C33" t="s">
        <v>73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1739</v>
      </c>
      <c r="B34" t="s">
        <v>14</v>
      </c>
      <c r="C34" t="s">
        <v>73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1739</v>
      </c>
      <c r="B35" t="s">
        <v>23</v>
      </c>
      <c r="C35" t="s">
        <v>73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1739</v>
      </c>
      <c r="B36" t="s">
        <v>27</v>
      </c>
      <c r="C36" t="s">
        <v>73</v>
      </c>
      <c r="D36" t="s">
        <v>33</v>
      </c>
      <c r="H36">
        <v>3481</v>
      </c>
      <c r="I36" t="s">
        <v>131</v>
      </c>
      <c r="J36">
        <f t="shared" si="0"/>
        <v>3481</v>
      </c>
      <c r="L36">
        <f t="shared" si="1"/>
        <v>1.5540178571428571</v>
      </c>
    </row>
    <row r="37" spans="1:12" x14ac:dyDescent="0.25">
      <c r="A37">
        <v>1739</v>
      </c>
      <c r="B37" t="s">
        <v>15</v>
      </c>
      <c r="C37" t="s">
        <v>73</v>
      </c>
      <c r="D37" t="s">
        <v>33</v>
      </c>
      <c r="F37">
        <v>13</v>
      </c>
      <c r="G37">
        <v>1</v>
      </c>
      <c r="H37">
        <v>3</v>
      </c>
      <c r="J37">
        <f t="shared" si="0"/>
        <v>1487</v>
      </c>
      <c r="L37">
        <f t="shared" si="1"/>
        <v>0.66383928571428574</v>
      </c>
    </row>
    <row r="38" spans="1:12" x14ac:dyDescent="0.25">
      <c r="A38">
        <v>1739</v>
      </c>
      <c r="B38" t="s">
        <v>42</v>
      </c>
      <c r="C38" t="s">
        <v>73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1739</v>
      </c>
      <c r="B39" t="s">
        <v>83</v>
      </c>
      <c r="C39" t="s">
        <v>73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1739</v>
      </c>
      <c r="B40" t="s">
        <v>47</v>
      </c>
      <c r="C40" t="s">
        <v>73</v>
      </c>
      <c r="D40" t="s">
        <v>33</v>
      </c>
      <c r="H40">
        <v>30</v>
      </c>
      <c r="I40" t="s">
        <v>129</v>
      </c>
      <c r="J40">
        <f t="shared" si="0"/>
        <v>30</v>
      </c>
      <c r="L40">
        <f t="shared" si="1"/>
        <v>1.3392857142857142E-2</v>
      </c>
    </row>
    <row r="41" spans="1:12" x14ac:dyDescent="0.25">
      <c r="A41">
        <v>1739</v>
      </c>
      <c r="B41" t="s">
        <v>16</v>
      </c>
      <c r="C41" t="s">
        <v>73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1739</v>
      </c>
      <c r="B42" t="s">
        <v>17</v>
      </c>
      <c r="C42" t="s">
        <v>73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1739</v>
      </c>
      <c r="B43" t="s">
        <v>18</v>
      </c>
      <c r="C43" t="s">
        <v>73</v>
      </c>
      <c r="D43" t="s">
        <v>33</v>
      </c>
      <c r="H43">
        <v>9432.5</v>
      </c>
      <c r="I43" t="s">
        <v>130</v>
      </c>
      <c r="J43">
        <f t="shared" si="0"/>
        <v>9432.5</v>
      </c>
      <c r="L43">
        <f t="shared" si="1"/>
        <v>4.2109375</v>
      </c>
    </row>
    <row r="44" spans="1:12" x14ac:dyDescent="0.25">
      <c r="A44">
        <v>1739</v>
      </c>
      <c r="B44" t="s">
        <v>26</v>
      </c>
      <c r="C44" t="s">
        <v>73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1739</v>
      </c>
      <c r="B45" t="s">
        <v>84</v>
      </c>
      <c r="C45" t="s">
        <v>73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1739</v>
      </c>
      <c r="B46" t="s">
        <v>19</v>
      </c>
      <c r="C46" t="s">
        <v>73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1739</v>
      </c>
      <c r="B47" t="s">
        <v>45</v>
      </c>
      <c r="C47" t="s">
        <v>73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1739</v>
      </c>
      <c r="B48" t="s">
        <v>85</v>
      </c>
      <c r="C48" t="s">
        <v>73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1739</v>
      </c>
      <c r="B49" t="s">
        <v>54</v>
      </c>
      <c r="C49" t="s">
        <v>73</v>
      </c>
      <c r="D49" t="s">
        <v>33</v>
      </c>
      <c r="H49">
        <v>177</v>
      </c>
      <c r="J49">
        <f t="shared" si="0"/>
        <v>177</v>
      </c>
      <c r="L49">
        <f t="shared" si="1"/>
        <v>7.901785714285714E-2</v>
      </c>
    </row>
    <row r="50" spans="1:12" x14ac:dyDescent="0.25">
      <c r="A50">
        <v>1739</v>
      </c>
      <c r="B50" t="s">
        <v>95</v>
      </c>
      <c r="C50" t="s">
        <v>73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1739</v>
      </c>
      <c r="B51" t="s">
        <v>20</v>
      </c>
      <c r="C51" t="s">
        <v>73</v>
      </c>
      <c r="D51" t="s">
        <v>33</v>
      </c>
      <c r="J51">
        <f t="shared" si="0"/>
        <v>0</v>
      </c>
      <c r="L51">
        <f t="shared" si="1"/>
        <v>0</v>
      </c>
    </row>
    <row r="52" spans="1:12" x14ac:dyDescent="0.25">
      <c r="A52">
        <v>1739</v>
      </c>
      <c r="B52" t="s">
        <v>21</v>
      </c>
      <c r="C52" t="s">
        <v>73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1739</v>
      </c>
      <c r="B53" t="s">
        <v>22</v>
      </c>
      <c r="C53" t="s">
        <v>73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1739</v>
      </c>
      <c r="B54" t="s">
        <v>61</v>
      </c>
      <c r="C54" t="s">
        <v>73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1739</v>
      </c>
      <c r="B55" t="s">
        <v>99</v>
      </c>
      <c r="C55" t="s">
        <v>73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1739</v>
      </c>
      <c r="B56" t="s">
        <v>87</v>
      </c>
      <c r="C56" t="s">
        <v>73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1739</v>
      </c>
      <c r="B57" t="s">
        <v>62</v>
      </c>
      <c r="C57" t="s">
        <v>73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1739</v>
      </c>
      <c r="B58" t="s">
        <v>88</v>
      </c>
      <c r="C58" t="s">
        <v>73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1739</v>
      </c>
      <c r="B59" t="s">
        <v>63</v>
      </c>
      <c r="C59" t="s">
        <v>73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1739</v>
      </c>
      <c r="B60" t="s">
        <v>89</v>
      </c>
      <c r="C60" t="s">
        <v>73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1739</v>
      </c>
      <c r="B61" t="s">
        <v>70</v>
      </c>
      <c r="C61" t="s">
        <v>73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1739</v>
      </c>
      <c r="B62" t="s">
        <v>64</v>
      </c>
      <c r="C62" t="s">
        <v>73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1739</v>
      </c>
      <c r="B63" t="s">
        <v>65</v>
      </c>
      <c r="C63" t="s">
        <v>73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1739</v>
      </c>
      <c r="B64" t="s">
        <v>55</v>
      </c>
      <c r="C64" t="s">
        <v>73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1739</v>
      </c>
      <c r="B65" t="s">
        <v>57</v>
      </c>
      <c r="C65" t="s">
        <v>73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1739</v>
      </c>
      <c r="B66" t="s">
        <v>36</v>
      </c>
      <c r="C66" t="s">
        <v>73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1739</v>
      </c>
      <c r="B67" t="s">
        <v>4</v>
      </c>
      <c r="C67" t="s">
        <v>73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1739</v>
      </c>
      <c r="B68" t="s">
        <v>58</v>
      </c>
      <c r="C68" t="s">
        <v>73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1739</v>
      </c>
      <c r="B69" t="s">
        <v>69</v>
      </c>
      <c r="C69" t="s">
        <v>73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1739</v>
      </c>
      <c r="B70" t="s">
        <v>43</v>
      </c>
      <c r="C70" t="s">
        <v>73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1739</v>
      </c>
      <c r="B71" t="s">
        <v>76</v>
      </c>
      <c r="C71" t="s">
        <v>73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1739</v>
      </c>
      <c r="B72" t="s">
        <v>5</v>
      </c>
      <c r="C72" t="s">
        <v>73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1739</v>
      </c>
      <c r="B73" t="s">
        <v>59</v>
      </c>
      <c r="C73" t="s">
        <v>73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1739</v>
      </c>
      <c r="B74" t="s">
        <v>6</v>
      </c>
      <c r="C74" t="s">
        <v>73</v>
      </c>
      <c r="D74" t="s">
        <v>35</v>
      </c>
      <c r="F74">
        <v>3541</v>
      </c>
      <c r="G74">
        <v>3</v>
      </c>
      <c r="H74">
        <v>14</v>
      </c>
      <c r="J74">
        <f t="shared" si="2"/>
        <v>396690</v>
      </c>
      <c r="L74">
        <f t="shared" si="3"/>
        <v>177.09375</v>
      </c>
    </row>
    <row r="75" spans="1:12" x14ac:dyDescent="0.25">
      <c r="A75">
        <v>1739</v>
      </c>
      <c r="B75" t="s">
        <v>60</v>
      </c>
      <c r="C75" t="s">
        <v>73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1739</v>
      </c>
      <c r="B76" t="s">
        <v>7</v>
      </c>
      <c r="C76" t="s">
        <v>73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1739</v>
      </c>
      <c r="B77" t="s">
        <v>37</v>
      </c>
      <c r="C77" t="s">
        <v>73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1739</v>
      </c>
      <c r="B78" t="s">
        <v>8</v>
      </c>
      <c r="C78" t="s">
        <v>73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1739</v>
      </c>
      <c r="B79" t="s">
        <v>40</v>
      </c>
      <c r="C79" t="s">
        <v>73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1739</v>
      </c>
      <c r="B80" t="s">
        <v>77</v>
      </c>
      <c r="C80" t="s">
        <v>73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1739</v>
      </c>
      <c r="B81" t="s">
        <v>78</v>
      </c>
      <c r="C81" t="s">
        <v>73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1739</v>
      </c>
      <c r="B82" t="s">
        <v>46</v>
      </c>
      <c r="C82" t="s">
        <v>73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1739</v>
      </c>
      <c r="B83" t="s">
        <v>9</v>
      </c>
      <c r="C83" t="s">
        <v>73</v>
      </c>
      <c r="D83" t="s">
        <v>35</v>
      </c>
      <c r="H83">
        <f>56.5*200</f>
        <v>11300</v>
      </c>
      <c r="I83" t="s">
        <v>154</v>
      </c>
      <c r="J83">
        <f t="shared" si="2"/>
        <v>11300</v>
      </c>
      <c r="L83">
        <f t="shared" si="3"/>
        <v>5.0446428571428568</v>
      </c>
    </row>
    <row r="84" spans="1:12" x14ac:dyDescent="0.25">
      <c r="A84">
        <v>1739</v>
      </c>
      <c r="B84" t="s">
        <v>10</v>
      </c>
      <c r="C84" t="s">
        <v>73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1739</v>
      </c>
      <c r="B85" t="s">
        <v>11</v>
      </c>
      <c r="C85" t="s">
        <v>73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1739</v>
      </c>
      <c r="B86" t="s">
        <v>39</v>
      </c>
      <c r="C86" t="s">
        <v>73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1739</v>
      </c>
      <c r="B87" t="s">
        <v>79</v>
      </c>
      <c r="C87" t="s">
        <v>73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1739</v>
      </c>
      <c r="B88" t="s">
        <v>103</v>
      </c>
      <c r="C88" t="s">
        <v>73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1739</v>
      </c>
      <c r="B89" t="s">
        <v>44</v>
      </c>
      <c r="C89" t="s">
        <v>73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1739</v>
      </c>
      <c r="B90" t="s">
        <v>97</v>
      </c>
      <c r="C90" t="s">
        <v>73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1739</v>
      </c>
      <c r="B91" t="s">
        <v>12</v>
      </c>
      <c r="C91" t="s">
        <v>73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1739</v>
      </c>
      <c r="B92" t="s">
        <v>82</v>
      </c>
      <c r="C92" t="s">
        <v>73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1739</v>
      </c>
      <c r="B93" t="s">
        <v>34</v>
      </c>
      <c r="C93" t="s">
        <v>73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1739</v>
      </c>
      <c r="B94" t="s">
        <v>13</v>
      </c>
      <c r="C94" t="s">
        <v>73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1739</v>
      </c>
      <c r="B95" t="s">
        <v>14</v>
      </c>
      <c r="C95" t="s">
        <v>73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1739</v>
      </c>
      <c r="B96" t="s">
        <v>23</v>
      </c>
      <c r="C96" t="s">
        <v>73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1739</v>
      </c>
      <c r="B97" t="s">
        <v>27</v>
      </c>
      <c r="C97" t="s">
        <v>73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1739</v>
      </c>
      <c r="B98" t="s">
        <v>15</v>
      </c>
      <c r="C98" t="s">
        <v>73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1739</v>
      </c>
      <c r="B99" t="s">
        <v>93</v>
      </c>
      <c r="C99" t="s">
        <v>73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1739</v>
      </c>
      <c r="B100" t="s">
        <v>42</v>
      </c>
      <c r="C100" t="s">
        <v>73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1739</v>
      </c>
      <c r="B101" t="s">
        <v>83</v>
      </c>
      <c r="C101" t="s">
        <v>73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1739</v>
      </c>
      <c r="B102" t="s">
        <v>47</v>
      </c>
      <c r="C102" t="s">
        <v>73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1739</v>
      </c>
      <c r="B103" t="s">
        <v>16</v>
      </c>
      <c r="C103" t="s">
        <v>73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1739</v>
      </c>
      <c r="B104" t="s">
        <v>17</v>
      </c>
      <c r="C104" t="s">
        <v>73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1739</v>
      </c>
      <c r="B105" t="s">
        <v>18</v>
      </c>
      <c r="C105" t="s">
        <v>73</v>
      </c>
      <c r="D105" t="s">
        <v>35</v>
      </c>
      <c r="H105">
        <v>200</v>
      </c>
      <c r="I105" t="s">
        <v>153</v>
      </c>
      <c r="J105">
        <f t="shared" si="2"/>
        <v>200</v>
      </c>
      <c r="L105">
        <f t="shared" si="3"/>
        <v>8.9285714285714288E-2</v>
      </c>
    </row>
    <row r="106" spans="1:12" x14ac:dyDescent="0.25">
      <c r="A106">
        <v>1739</v>
      </c>
      <c r="B106" t="s">
        <v>26</v>
      </c>
      <c r="C106" t="s">
        <v>73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1739</v>
      </c>
      <c r="B107" t="s">
        <v>84</v>
      </c>
      <c r="C107" t="s">
        <v>73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1739</v>
      </c>
      <c r="B108" t="s">
        <v>19</v>
      </c>
      <c r="C108" t="s">
        <v>73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1739</v>
      </c>
      <c r="B109" t="s">
        <v>45</v>
      </c>
      <c r="C109" t="s">
        <v>73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1739</v>
      </c>
      <c r="B110" t="s">
        <v>85</v>
      </c>
      <c r="C110" t="s">
        <v>73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1739</v>
      </c>
      <c r="B111" t="s">
        <v>54</v>
      </c>
      <c r="C111" t="s">
        <v>73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1739</v>
      </c>
      <c r="B112" t="s">
        <v>95</v>
      </c>
      <c r="C112" t="s">
        <v>73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1739</v>
      </c>
      <c r="B113" t="s">
        <v>20</v>
      </c>
      <c r="C113" t="s">
        <v>73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1739</v>
      </c>
      <c r="B114" t="s">
        <v>21</v>
      </c>
      <c r="C114" t="s">
        <v>73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1739</v>
      </c>
      <c r="B115" t="s">
        <v>22</v>
      </c>
      <c r="C115" t="s">
        <v>73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1739</v>
      </c>
      <c r="B116" t="s">
        <v>61</v>
      </c>
      <c r="C116" t="s">
        <v>73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1739</v>
      </c>
      <c r="B117" t="s">
        <v>91</v>
      </c>
      <c r="C117" t="s">
        <v>73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1739</v>
      </c>
      <c r="B118" t="s">
        <v>98</v>
      </c>
      <c r="C118" t="s">
        <v>73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1739</v>
      </c>
      <c r="B119" t="s">
        <v>87</v>
      </c>
      <c r="C119" t="s">
        <v>73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1739</v>
      </c>
      <c r="B120" t="s">
        <v>62</v>
      </c>
      <c r="C120" t="s">
        <v>73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1739</v>
      </c>
      <c r="B121" t="s">
        <v>88</v>
      </c>
      <c r="C121" t="s">
        <v>73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1739</v>
      </c>
      <c r="B122" t="s">
        <v>63</v>
      </c>
      <c r="C122" t="s">
        <v>73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1739</v>
      </c>
      <c r="B123" t="s">
        <v>89</v>
      </c>
      <c r="C123" t="s">
        <v>73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1739</v>
      </c>
      <c r="B124" t="s">
        <v>70</v>
      </c>
      <c r="C124" t="s">
        <v>73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1739</v>
      </c>
      <c r="B125" t="s">
        <v>64</v>
      </c>
      <c r="C125" t="s">
        <v>73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1739</v>
      </c>
      <c r="B126" t="s">
        <v>65</v>
      </c>
      <c r="C126" t="s">
        <v>73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O127"/>
  <sheetViews>
    <sheetView topLeftCell="A99" workbookViewId="0">
      <selection activeCell="H107" sqref="H10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1739</v>
      </c>
      <c r="B2" t="s">
        <v>55</v>
      </c>
      <c r="C2" t="s">
        <v>74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1739</v>
      </c>
      <c r="B3" t="s">
        <v>57</v>
      </c>
      <c r="C3" t="s">
        <v>74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5" x14ac:dyDescent="0.25">
      <c r="A4">
        <v>1739</v>
      </c>
      <c r="B4" t="s">
        <v>36</v>
      </c>
      <c r="C4" t="s">
        <v>74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1739</v>
      </c>
      <c r="B5" t="s">
        <v>4</v>
      </c>
      <c r="C5" t="s">
        <v>74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1739</v>
      </c>
      <c r="B6" t="s">
        <v>58</v>
      </c>
      <c r="C6" t="s">
        <v>74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1739</v>
      </c>
      <c r="B7" t="s">
        <v>69</v>
      </c>
      <c r="C7" t="s">
        <v>74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1739</v>
      </c>
      <c r="B8" t="s">
        <v>43</v>
      </c>
      <c r="C8" t="s">
        <v>74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1739</v>
      </c>
      <c r="B9" t="s">
        <v>76</v>
      </c>
      <c r="C9" t="s">
        <v>74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1739</v>
      </c>
      <c r="B10" t="s">
        <v>5</v>
      </c>
      <c r="C10" t="s">
        <v>74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1739</v>
      </c>
      <c r="B11" t="s">
        <v>59</v>
      </c>
      <c r="C11" t="s">
        <v>74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1739</v>
      </c>
      <c r="B12" t="s">
        <v>6</v>
      </c>
      <c r="C12" t="s">
        <v>74</v>
      </c>
      <c r="D12" t="s">
        <v>33</v>
      </c>
      <c r="F12">
        <v>152087</v>
      </c>
      <c r="G12">
        <v>3</v>
      </c>
      <c r="H12">
        <v>5</v>
      </c>
      <c r="J12">
        <f t="shared" si="0"/>
        <v>17033833</v>
      </c>
      <c r="L12">
        <f t="shared" si="1"/>
        <v>7604.3897321428567</v>
      </c>
    </row>
    <row r="13" spans="1:15" x14ac:dyDescent="0.25">
      <c r="A13">
        <v>1739</v>
      </c>
      <c r="B13" t="s">
        <v>96</v>
      </c>
      <c r="C13" t="s">
        <v>74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1739</v>
      </c>
      <c r="B14" t="s">
        <v>60</v>
      </c>
      <c r="C14" t="s">
        <v>74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1739</v>
      </c>
      <c r="B15" t="s">
        <v>7</v>
      </c>
      <c r="C15" t="s">
        <v>74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1739</v>
      </c>
      <c r="B16" t="s">
        <v>37</v>
      </c>
      <c r="C16" t="s">
        <v>74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1739</v>
      </c>
      <c r="B17" t="s">
        <v>8</v>
      </c>
      <c r="C17" t="s">
        <v>74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1739</v>
      </c>
      <c r="B18" t="s">
        <v>40</v>
      </c>
      <c r="C18" t="s">
        <v>74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1739</v>
      </c>
      <c r="B19" t="s">
        <v>77</v>
      </c>
      <c r="C19" t="s">
        <v>74</v>
      </c>
      <c r="D19" t="s">
        <v>33</v>
      </c>
      <c r="F19">
        <v>2</v>
      </c>
      <c r="H19">
        <v>26</v>
      </c>
      <c r="J19">
        <f t="shared" si="0"/>
        <v>250</v>
      </c>
      <c r="L19">
        <f t="shared" si="1"/>
        <v>0.11160714285714286</v>
      </c>
    </row>
    <row r="20" spans="1:12" x14ac:dyDescent="0.25">
      <c r="A20">
        <v>1739</v>
      </c>
      <c r="B20" t="s">
        <v>78</v>
      </c>
      <c r="C20" t="s">
        <v>74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1739</v>
      </c>
      <c r="B21" t="s">
        <v>46</v>
      </c>
      <c r="C21" t="s">
        <v>74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1739</v>
      </c>
      <c r="B22" t="s">
        <v>9</v>
      </c>
      <c r="C22" t="s">
        <v>74</v>
      </c>
      <c r="D22" t="s">
        <v>33</v>
      </c>
      <c r="H22">
        <f>325.5*200</f>
        <v>65100</v>
      </c>
      <c r="I22" t="s">
        <v>136</v>
      </c>
      <c r="J22">
        <f t="shared" si="0"/>
        <v>65100</v>
      </c>
      <c r="L22">
        <f t="shared" si="1"/>
        <v>29.0625</v>
      </c>
    </row>
    <row r="23" spans="1:12" x14ac:dyDescent="0.25">
      <c r="A23">
        <v>1739</v>
      </c>
      <c r="B23" t="s">
        <v>10</v>
      </c>
      <c r="C23" t="s">
        <v>74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1739</v>
      </c>
      <c r="B24" t="s">
        <v>11</v>
      </c>
      <c r="C24" t="s">
        <v>74</v>
      </c>
      <c r="D24" t="s">
        <v>33</v>
      </c>
      <c r="F24">
        <v>354</v>
      </c>
      <c r="H24">
        <v>27</v>
      </c>
      <c r="J24">
        <f t="shared" si="0"/>
        <v>39675</v>
      </c>
      <c r="L24">
        <f t="shared" si="1"/>
        <v>17.712053571428573</v>
      </c>
    </row>
    <row r="25" spans="1:12" x14ac:dyDescent="0.25">
      <c r="A25">
        <v>1739</v>
      </c>
      <c r="B25" t="s">
        <v>39</v>
      </c>
      <c r="C25" t="s">
        <v>74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1739</v>
      </c>
      <c r="B26" t="s">
        <v>79</v>
      </c>
      <c r="C26" t="s">
        <v>74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1739</v>
      </c>
      <c r="B27" t="s">
        <v>103</v>
      </c>
      <c r="C27" t="s">
        <v>74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1739</v>
      </c>
      <c r="B28" t="s">
        <v>44</v>
      </c>
      <c r="C28" t="s">
        <v>74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1739</v>
      </c>
      <c r="B29" t="s">
        <v>97</v>
      </c>
      <c r="C29" t="s">
        <v>74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1739</v>
      </c>
      <c r="B30" t="s">
        <v>12</v>
      </c>
      <c r="C30" t="s">
        <v>74</v>
      </c>
      <c r="D30" t="s">
        <v>33</v>
      </c>
      <c r="H30">
        <v>9590</v>
      </c>
      <c r="J30">
        <f t="shared" si="0"/>
        <v>9590</v>
      </c>
      <c r="L30">
        <f t="shared" si="1"/>
        <v>4.28125</v>
      </c>
    </row>
    <row r="31" spans="1:12" x14ac:dyDescent="0.25">
      <c r="A31">
        <v>1739</v>
      </c>
      <c r="B31" t="s">
        <v>82</v>
      </c>
      <c r="C31" t="s">
        <v>74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1739</v>
      </c>
      <c r="B32" t="s">
        <v>34</v>
      </c>
      <c r="C32" t="s">
        <v>74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1739</v>
      </c>
      <c r="B33" t="s">
        <v>13</v>
      </c>
      <c r="C33" t="s">
        <v>74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1739</v>
      </c>
      <c r="B34" t="s">
        <v>14</v>
      </c>
      <c r="C34" t="s">
        <v>74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1739</v>
      </c>
      <c r="B35" t="s">
        <v>23</v>
      </c>
      <c r="C35" t="s">
        <v>74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1739</v>
      </c>
      <c r="B36" t="s">
        <v>27</v>
      </c>
      <c r="C36" t="s">
        <v>74</v>
      </c>
      <c r="D36" t="s">
        <v>33</v>
      </c>
      <c r="H36">
        <v>296196</v>
      </c>
      <c r="I36" t="s">
        <v>135</v>
      </c>
      <c r="J36">
        <f t="shared" si="0"/>
        <v>296196</v>
      </c>
      <c r="L36">
        <f t="shared" si="1"/>
        <v>132.23035714285714</v>
      </c>
    </row>
    <row r="37" spans="1:12" x14ac:dyDescent="0.25">
      <c r="A37">
        <v>1739</v>
      </c>
      <c r="B37" t="s">
        <v>15</v>
      </c>
      <c r="C37" t="s">
        <v>74</v>
      </c>
      <c r="D37" t="s">
        <v>33</v>
      </c>
      <c r="F37">
        <v>3</v>
      </c>
      <c r="G37">
        <v>3</v>
      </c>
      <c r="J37">
        <f t="shared" si="0"/>
        <v>420</v>
      </c>
      <c r="L37">
        <f t="shared" si="1"/>
        <v>0.1875</v>
      </c>
    </row>
    <row r="38" spans="1:12" x14ac:dyDescent="0.25">
      <c r="A38">
        <v>1739</v>
      </c>
      <c r="B38" t="s">
        <v>42</v>
      </c>
      <c r="C38" t="s">
        <v>74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1739</v>
      </c>
      <c r="B39" t="s">
        <v>83</v>
      </c>
      <c r="C39" t="s">
        <v>74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1739</v>
      </c>
      <c r="B40" t="s">
        <v>47</v>
      </c>
      <c r="C40" t="s">
        <v>74</v>
      </c>
      <c r="D40" t="s">
        <v>33</v>
      </c>
      <c r="H40">
        <v>90</v>
      </c>
      <c r="I40" t="s">
        <v>133</v>
      </c>
      <c r="J40">
        <f t="shared" si="0"/>
        <v>90</v>
      </c>
      <c r="L40">
        <f t="shared" si="1"/>
        <v>4.0178571428571432E-2</v>
      </c>
    </row>
    <row r="41" spans="1:12" x14ac:dyDescent="0.25">
      <c r="A41">
        <v>1739</v>
      </c>
      <c r="B41" t="s">
        <v>16</v>
      </c>
      <c r="C41" t="s">
        <v>74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1739</v>
      </c>
      <c r="B42" t="s">
        <v>106</v>
      </c>
      <c r="C42" t="s">
        <v>74</v>
      </c>
      <c r="D42" t="s">
        <v>33</v>
      </c>
      <c r="F42">
        <v>1</v>
      </c>
      <c r="J42">
        <f t="shared" si="0"/>
        <v>112</v>
      </c>
      <c r="L42">
        <f t="shared" si="1"/>
        <v>0.05</v>
      </c>
    </row>
    <row r="43" spans="1:12" x14ac:dyDescent="0.25">
      <c r="A43">
        <v>1739</v>
      </c>
      <c r="B43" t="s">
        <v>17</v>
      </c>
      <c r="C43" t="s">
        <v>74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1739</v>
      </c>
      <c r="B44" t="s">
        <v>18</v>
      </c>
      <c r="C44" t="s">
        <v>74</v>
      </c>
      <c r="D44" t="s">
        <v>33</v>
      </c>
      <c r="H44">
        <v>83846.5</v>
      </c>
      <c r="I44" t="s">
        <v>134</v>
      </c>
      <c r="J44">
        <f t="shared" si="0"/>
        <v>83846.5</v>
      </c>
      <c r="L44">
        <f t="shared" si="1"/>
        <v>37.431473214285717</v>
      </c>
    </row>
    <row r="45" spans="1:12" x14ac:dyDescent="0.25">
      <c r="A45">
        <v>1739</v>
      </c>
      <c r="B45" t="s">
        <v>26</v>
      </c>
      <c r="C45" t="s">
        <v>74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1739</v>
      </c>
      <c r="B46" t="s">
        <v>84</v>
      </c>
      <c r="C46" t="s">
        <v>74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1739</v>
      </c>
      <c r="B47" t="s">
        <v>19</v>
      </c>
      <c r="C47" t="s">
        <v>74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1739</v>
      </c>
      <c r="B48" t="s">
        <v>45</v>
      </c>
      <c r="C48" t="s">
        <v>74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1739</v>
      </c>
      <c r="B49" t="s">
        <v>85</v>
      </c>
      <c r="C49" t="s">
        <v>74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1739</v>
      </c>
      <c r="B50" t="s">
        <v>54</v>
      </c>
      <c r="C50" t="s">
        <v>74</v>
      </c>
      <c r="D50" t="s">
        <v>33</v>
      </c>
      <c r="H50">
        <v>226</v>
      </c>
      <c r="J50">
        <f t="shared" si="0"/>
        <v>226</v>
      </c>
      <c r="L50">
        <f t="shared" si="1"/>
        <v>0.10089285714285715</v>
      </c>
    </row>
    <row r="51" spans="1:12" x14ac:dyDescent="0.25">
      <c r="A51">
        <v>1739</v>
      </c>
      <c r="B51" t="s">
        <v>95</v>
      </c>
      <c r="C51" t="s">
        <v>74</v>
      </c>
      <c r="D51" t="s">
        <v>33</v>
      </c>
      <c r="H51">
        <v>34</v>
      </c>
      <c r="J51">
        <f t="shared" si="0"/>
        <v>34</v>
      </c>
      <c r="L51">
        <f t="shared" si="1"/>
        <v>1.5178571428571428E-2</v>
      </c>
    </row>
    <row r="52" spans="1:12" x14ac:dyDescent="0.25">
      <c r="A52">
        <v>1739</v>
      </c>
      <c r="B52" t="s">
        <v>20</v>
      </c>
      <c r="C52" t="s">
        <v>74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1739</v>
      </c>
      <c r="B53" t="s">
        <v>21</v>
      </c>
      <c r="C53" t="s">
        <v>74</v>
      </c>
      <c r="D53" t="s">
        <v>33</v>
      </c>
      <c r="H53">
        <v>9</v>
      </c>
      <c r="J53">
        <f t="shared" si="0"/>
        <v>9</v>
      </c>
      <c r="L53">
        <f t="shared" si="1"/>
        <v>4.0178571428571425E-3</v>
      </c>
    </row>
    <row r="54" spans="1:12" x14ac:dyDescent="0.25">
      <c r="A54">
        <v>1739</v>
      </c>
      <c r="B54" t="s">
        <v>22</v>
      </c>
      <c r="C54" t="s">
        <v>74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1739</v>
      </c>
      <c r="B55" t="s">
        <v>61</v>
      </c>
      <c r="C55" t="s">
        <v>74</v>
      </c>
      <c r="D55" t="s">
        <v>33</v>
      </c>
      <c r="E55">
        <v>9</v>
      </c>
      <c r="J55">
        <f t="shared" si="0"/>
        <v>20160</v>
      </c>
      <c r="L55">
        <f t="shared" si="1"/>
        <v>9</v>
      </c>
    </row>
    <row r="56" spans="1:12" x14ac:dyDescent="0.25">
      <c r="A56">
        <v>1739</v>
      </c>
      <c r="B56" t="s">
        <v>99</v>
      </c>
      <c r="C56" t="s">
        <v>74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1739</v>
      </c>
      <c r="B57" t="s">
        <v>87</v>
      </c>
      <c r="C57" t="s">
        <v>74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1739</v>
      </c>
      <c r="B58" t="s">
        <v>62</v>
      </c>
      <c r="C58" t="s">
        <v>74</v>
      </c>
      <c r="D58" t="s">
        <v>33</v>
      </c>
      <c r="E58">
        <v>43</v>
      </c>
      <c r="J58">
        <f t="shared" si="0"/>
        <v>96320</v>
      </c>
      <c r="L58">
        <f t="shared" si="1"/>
        <v>43</v>
      </c>
    </row>
    <row r="59" spans="1:12" x14ac:dyDescent="0.25">
      <c r="A59">
        <v>1739</v>
      </c>
      <c r="B59" t="s">
        <v>88</v>
      </c>
      <c r="C59" t="s">
        <v>74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1739</v>
      </c>
      <c r="B60" t="s">
        <v>63</v>
      </c>
      <c r="C60" t="s">
        <v>74</v>
      </c>
      <c r="D60" t="s">
        <v>33</v>
      </c>
      <c r="E60">
        <v>2</v>
      </c>
      <c r="F60">
        <v>16</v>
      </c>
      <c r="G60">
        <v>1</v>
      </c>
      <c r="H60">
        <v>27</v>
      </c>
      <c r="J60">
        <f t="shared" si="0"/>
        <v>6327</v>
      </c>
      <c r="L60">
        <f t="shared" si="1"/>
        <v>2.8245535714285714</v>
      </c>
    </row>
    <row r="61" spans="1:12" x14ac:dyDescent="0.25">
      <c r="A61">
        <v>1739</v>
      </c>
      <c r="B61" t="s">
        <v>89</v>
      </c>
      <c r="C61" t="s">
        <v>74</v>
      </c>
      <c r="D61" t="s">
        <v>33</v>
      </c>
      <c r="G61">
        <v>11</v>
      </c>
      <c r="J61">
        <f t="shared" si="0"/>
        <v>308</v>
      </c>
      <c r="L61">
        <f t="shared" si="1"/>
        <v>0.13750000000000001</v>
      </c>
    </row>
    <row r="62" spans="1:12" x14ac:dyDescent="0.25">
      <c r="A62">
        <v>1739</v>
      </c>
      <c r="B62" t="s">
        <v>70</v>
      </c>
      <c r="C62" t="s">
        <v>74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1739</v>
      </c>
      <c r="B63" t="s">
        <v>64</v>
      </c>
      <c r="C63" t="s">
        <v>74</v>
      </c>
      <c r="D63" t="s">
        <v>33</v>
      </c>
      <c r="E63">
        <v>32</v>
      </c>
      <c r="F63">
        <v>2</v>
      </c>
      <c r="G63">
        <v>1</v>
      </c>
      <c r="J63">
        <f t="shared" si="0"/>
        <v>71932</v>
      </c>
      <c r="L63">
        <f t="shared" si="1"/>
        <v>32.112499999999997</v>
      </c>
    </row>
    <row r="64" spans="1:12" x14ac:dyDescent="0.25">
      <c r="A64">
        <v>1739</v>
      </c>
      <c r="B64" t="s">
        <v>65</v>
      </c>
      <c r="C64" t="s">
        <v>74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1739</v>
      </c>
      <c r="B65" t="s">
        <v>55</v>
      </c>
      <c r="C65" t="s">
        <v>74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1739</v>
      </c>
      <c r="B66" t="s">
        <v>57</v>
      </c>
      <c r="C66" t="s">
        <v>74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1739</v>
      </c>
      <c r="B67" t="s">
        <v>36</v>
      </c>
      <c r="C67" t="s">
        <v>74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1739</v>
      </c>
      <c r="B68" t="s">
        <v>4</v>
      </c>
      <c r="C68" t="s">
        <v>74</v>
      </c>
      <c r="D68" t="s">
        <v>35</v>
      </c>
      <c r="J68">
        <f t="shared" ref="J68:J127" si="2">(E68*2240)+(F68*112)+(G68*28)+H68</f>
        <v>0</v>
      </c>
      <c r="L68">
        <f t="shared" ref="L68:L127" si="3">J68/2240</f>
        <v>0</v>
      </c>
    </row>
    <row r="69" spans="1:12" x14ac:dyDescent="0.25">
      <c r="A69">
        <v>1739</v>
      </c>
      <c r="B69" t="s">
        <v>58</v>
      </c>
      <c r="C69" t="s">
        <v>74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1739</v>
      </c>
      <c r="B70" t="s">
        <v>69</v>
      </c>
      <c r="C70" t="s">
        <v>74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1739</v>
      </c>
      <c r="B71" t="s">
        <v>43</v>
      </c>
      <c r="C71" t="s">
        <v>74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1739</v>
      </c>
      <c r="B72" t="s">
        <v>76</v>
      </c>
      <c r="C72" t="s">
        <v>74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1739</v>
      </c>
      <c r="B73" t="s">
        <v>5</v>
      </c>
      <c r="C73" t="s">
        <v>74</v>
      </c>
      <c r="D73" t="s">
        <v>35</v>
      </c>
      <c r="G73">
        <v>1</v>
      </c>
      <c r="H73">
        <v>12</v>
      </c>
      <c r="J73">
        <f t="shared" si="2"/>
        <v>40</v>
      </c>
      <c r="L73">
        <f t="shared" si="3"/>
        <v>1.7857142857142856E-2</v>
      </c>
    </row>
    <row r="74" spans="1:12" x14ac:dyDescent="0.25">
      <c r="A74">
        <v>1739</v>
      </c>
      <c r="B74" t="s">
        <v>59</v>
      </c>
      <c r="C74" t="s">
        <v>74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1739</v>
      </c>
      <c r="B75" t="s">
        <v>6</v>
      </c>
      <c r="C75" t="s">
        <v>74</v>
      </c>
      <c r="D75" t="s">
        <v>35</v>
      </c>
      <c r="F75">
        <v>18475</v>
      </c>
      <c r="G75">
        <v>3</v>
      </c>
      <c r="H75">
        <v>2</v>
      </c>
      <c r="J75">
        <f t="shared" si="2"/>
        <v>2069286</v>
      </c>
      <c r="L75">
        <f t="shared" si="3"/>
        <v>923.78839285714287</v>
      </c>
    </row>
    <row r="76" spans="1:12" x14ac:dyDescent="0.25">
      <c r="A76">
        <v>1739</v>
      </c>
      <c r="B76" t="s">
        <v>60</v>
      </c>
      <c r="C76" t="s">
        <v>74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1739</v>
      </c>
      <c r="B77" t="s">
        <v>7</v>
      </c>
      <c r="C77" t="s">
        <v>74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1739</v>
      </c>
      <c r="B78" t="s">
        <v>37</v>
      </c>
      <c r="C78" t="s">
        <v>74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1739</v>
      </c>
      <c r="B79" t="s">
        <v>8</v>
      </c>
      <c r="C79" t="s">
        <v>74</v>
      </c>
      <c r="D79" t="s">
        <v>35</v>
      </c>
      <c r="F79">
        <v>27</v>
      </c>
      <c r="G79">
        <v>3</v>
      </c>
      <c r="H79">
        <v>5</v>
      </c>
      <c r="J79">
        <f t="shared" si="2"/>
        <v>3113</v>
      </c>
      <c r="L79">
        <f t="shared" si="3"/>
        <v>1.3897321428571427</v>
      </c>
    </row>
    <row r="80" spans="1:12" x14ac:dyDescent="0.25">
      <c r="A80">
        <v>1739</v>
      </c>
      <c r="B80" t="s">
        <v>40</v>
      </c>
      <c r="C80" t="s">
        <v>74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1739</v>
      </c>
      <c r="B81" t="s">
        <v>77</v>
      </c>
      <c r="C81" t="s">
        <v>74</v>
      </c>
      <c r="D81" t="s">
        <v>35</v>
      </c>
      <c r="F81">
        <v>2</v>
      </c>
      <c r="H81">
        <v>21</v>
      </c>
      <c r="J81">
        <f t="shared" si="2"/>
        <v>245</v>
      </c>
      <c r="L81">
        <f t="shared" si="3"/>
        <v>0.109375</v>
      </c>
    </row>
    <row r="82" spans="1:12" x14ac:dyDescent="0.25">
      <c r="A82">
        <v>1739</v>
      </c>
      <c r="B82" t="s">
        <v>78</v>
      </c>
      <c r="C82" t="s">
        <v>74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1739</v>
      </c>
      <c r="B83" t="s">
        <v>46</v>
      </c>
      <c r="C83" t="s">
        <v>74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1739</v>
      </c>
      <c r="B84" t="s">
        <v>9</v>
      </c>
      <c r="C84" t="s">
        <v>74</v>
      </c>
      <c r="D84" t="s">
        <v>35</v>
      </c>
      <c r="H84">
        <f>1103*200</f>
        <v>220600</v>
      </c>
      <c r="I84" t="s">
        <v>157</v>
      </c>
      <c r="J84">
        <f t="shared" si="2"/>
        <v>220600</v>
      </c>
      <c r="L84">
        <f t="shared" si="3"/>
        <v>98.482142857142861</v>
      </c>
    </row>
    <row r="85" spans="1:12" x14ac:dyDescent="0.25">
      <c r="A85">
        <v>1739</v>
      </c>
      <c r="B85" t="s">
        <v>10</v>
      </c>
      <c r="C85" t="s">
        <v>74</v>
      </c>
      <c r="D85" t="s">
        <v>35</v>
      </c>
      <c r="F85">
        <v>8</v>
      </c>
      <c r="G85">
        <v>2</v>
      </c>
      <c r="H85">
        <v>13</v>
      </c>
      <c r="J85">
        <f t="shared" si="2"/>
        <v>965</v>
      </c>
      <c r="L85">
        <f t="shared" si="3"/>
        <v>0.43080357142857145</v>
      </c>
    </row>
    <row r="86" spans="1:12" x14ac:dyDescent="0.25">
      <c r="A86">
        <v>1739</v>
      </c>
      <c r="B86" t="s">
        <v>11</v>
      </c>
      <c r="C86" t="s">
        <v>74</v>
      </c>
      <c r="D86" t="s">
        <v>35</v>
      </c>
      <c r="F86">
        <v>167</v>
      </c>
      <c r="G86">
        <v>3</v>
      </c>
      <c r="H86">
        <v>9</v>
      </c>
      <c r="J86">
        <f t="shared" si="2"/>
        <v>18797</v>
      </c>
      <c r="L86">
        <f t="shared" si="3"/>
        <v>8.3915178571428566</v>
      </c>
    </row>
    <row r="87" spans="1:12" x14ac:dyDescent="0.25">
      <c r="A87">
        <v>1739</v>
      </c>
      <c r="B87" t="s">
        <v>39</v>
      </c>
      <c r="C87" t="s">
        <v>74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1739</v>
      </c>
      <c r="B88" t="s">
        <v>79</v>
      </c>
      <c r="C88" t="s">
        <v>74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1739</v>
      </c>
      <c r="B89" t="s">
        <v>103</v>
      </c>
      <c r="C89" t="s">
        <v>74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1739</v>
      </c>
      <c r="B90" t="s">
        <v>44</v>
      </c>
      <c r="C90" t="s">
        <v>74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1739</v>
      </c>
      <c r="B91" t="s">
        <v>97</v>
      </c>
      <c r="C91" t="s">
        <v>74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1739</v>
      </c>
      <c r="B92" t="s">
        <v>12</v>
      </c>
      <c r="C92" t="s">
        <v>74</v>
      </c>
      <c r="D92" t="s">
        <v>35</v>
      </c>
      <c r="H92">
        <v>6200</v>
      </c>
      <c r="J92">
        <f t="shared" si="2"/>
        <v>6200</v>
      </c>
      <c r="L92">
        <f t="shared" si="3"/>
        <v>2.7678571428571428</v>
      </c>
    </row>
    <row r="93" spans="1:12" x14ac:dyDescent="0.25">
      <c r="A93">
        <v>1739</v>
      </c>
      <c r="B93" t="s">
        <v>82</v>
      </c>
      <c r="C93" t="s">
        <v>74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1739</v>
      </c>
      <c r="B94" t="s">
        <v>34</v>
      </c>
      <c r="C94" t="s">
        <v>74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1739</v>
      </c>
      <c r="B95" t="s">
        <v>13</v>
      </c>
      <c r="C95" t="s">
        <v>74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1739</v>
      </c>
      <c r="B96" t="s">
        <v>14</v>
      </c>
      <c r="C96" t="s">
        <v>74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1739</v>
      </c>
      <c r="B97" t="s">
        <v>23</v>
      </c>
      <c r="C97" t="s">
        <v>74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1739</v>
      </c>
      <c r="B98" t="s">
        <v>27</v>
      </c>
      <c r="C98" t="s">
        <v>74</v>
      </c>
      <c r="D98" t="s">
        <v>35</v>
      </c>
      <c r="H98">
        <v>24666.5</v>
      </c>
      <c r="I98" t="s">
        <v>156</v>
      </c>
      <c r="J98">
        <f t="shared" si="2"/>
        <v>24666.5</v>
      </c>
      <c r="L98">
        <f t="shared" si="3"/>
        <v>11.011830357142857</v>
      </c>
    </row>
    <row r="99" spans="1:12" x14ac:dyDescent="0.25">
      <c r="A99">
        <v>1739</v>
      </c>
      <c r="B99" t="s">
        <v>15</v>
      </c>
      <c r="C99" t="s">
        <v>74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1739</v>
      </c>
      <c r="B100" t="s">
        <v>93</v>
      </c>
      <c r="C100" t="s">
        <v>74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1739</v>
      </c>
      <c r="B101" t="s">
        <v>42</v>
      </c>
      <c r="C101" t="s">
        <v>74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1739</v>
      </c>
      <c r="B102" t="s">
        <v>83</v>
      </c>
      <c r="C102" t="s">
        <v>74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1739</v>
      </c>
      <c r="B103" t="s">
        <v>47</v>
      </c>
      <c r="C103" t="s">
        <v>74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1739</v>
      </c>
      <c r="B104" t="s">
        <v>16</v>
      </c>
      <c r="C104" t="s">
        <v>74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1739</v>
      </c>
      <c r="B105" t="s">
        <v>17</v>
      </c>
      <c r="C105" t="s">
        <v>74</v>
      </c>
      <c r="D105" t="s">
        <v>35</v>
      </c>
      <c r="F105">
        <v>58</v>
      </c>
      <c r="G105">
        <v>2</v>
      </c>
      <c r="J105">
        <f t="shared" si="2"/>
        <v>6552</v>
      </c>
      <c r="L105">
        <f t="shared" si="3"/>
        <v>2.9249999999999998</v>
      </c>
    </row>
    <row r="106" spans="1:12" x14ac:dyDescent="0.25">
      <c r="A106">
        <v>1739</v>
      </c>
      <c r="B106" t="s">
        <v>18</v>
      </c>
      <c r="C106" t="s">
        <v>74</v>
      </c>
      <c r="D106" t="s">
        <v>35</v>
      </c>
      <c r="H106">
        <v>19115</v>
      </c>
      <c r="I106" t="s">
        <v>155</v>
      </c>
      <c r="J106">
        <f t="shared" si="2"/>
        <v>19115</v>
      </c>
      <c r="L106">
        <f t="shared" si="3"/>
        <v>8.5334821428571423</v>
      </c>
    </row>
    <row r="107" spans="1:12" x14ac:dyDescent="0.25">
      <c r="A107">
        <v>1739</v>
      </c>
      <c r="B107" t="s">
        <v>26</v>
      </c>
      <c r="C107" t="s">
        <v>74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1739</v>
      </c>
      <c r="B108" t="s">
        <v>84</v>
      </c>
      <c r="C108" t="s">
        <v>74</v>
      </c>
      <c r="D108" t="s">
        <v>35</v>
      </c>
      <c r="J108">
        <f t="shared" si="2"/>
        <v>0</v>
      </c>
      <c r="L108">
        <f t="shared" si="3"/>
        <v>0</v>
      </c>
    </row>
    <row r="109" spans="1:12" x14ac:dyDescent="0.25">
      <c r="A109">
        <v>1739</v>
      </c>
      <c r="B109" t="s">
        <v>19</v>
      </c>
      <c r="C109" t="s">
        <v>74</v>
      </c>
      <c r="D109" t="s">
        <v>35</v>
      </c>
      <c r="G109">
        <v>3</v>
      </c>
      <c r="H109">
        <v>16</v>
      </c>
      <c r="J109">
        <f t="shared" si="2"/>
        <v>100</v>
      </c>
      <c r="L109">
        <f t="shared" si="3"/>
        <v>4.4642857142857144E-2</v>
      </c>
    </row>
    <row r="110" spans="1:12" x14ac:dyDescent="0.25">
      <c r="A110">
        <v>1739</v>
      </c>
      <c r="B110" t="s">
        <v>45</v>
      </c>
      <c r="C110" t="s">
        <v>74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1739</v>
      </c>
      <c r="B111" t="s">
        <v>85</v>
      </c>
      <c r="C111" t="s">
        <v>74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1739</v>
      </c>
      <c r="B112" t="s">
        <v>54</v>
      </c>
      <c r="C112" t="s">
        <v>74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1739</v>
      </c>
      <c r="B113" t="s">
        <v>95</v>
      </c>
      <c r="C113" t="s">
        <v>74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1739</v>
      </c>
      <c r="B114" t="s">
        <v>20</v>
      </c>
      <c r="C114" t="s">
        <v>74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1739</v>
      </c>
      <c r="B115" t="s">
        <v>21</v>
      </c>
      <c r="C115" t="s">
        <v>74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1739</v>
      </c>
      <c r="B116" t="s">
        <v>22</v>
      </c>
      <c r="C116" t="s">
        <v>74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1739</v>
      </c>
      <c r="B117" t="s">
        <v>61</v>
      </c>
      <c r="C117" t="s">
        <v>74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1739</v>
      </c>
      <c r="B118" t="s">
        <v>91</v>
      </c>
      <c r="C118" t="s">
        <v>74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1739</v>
      </c>
      <c r="B119" t="s">
        <v>98</v>
      </c>
      <c r="C119" t="s">
        <v>74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1739</v>
      </c>
      <c r="B120" t="s">
        <v>87</v>
      </c>
      <c r="C120" t="s">
        <v>74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1739</v>
      </c>
      <c r="B121" t="s">
        <v>62</v>
      </c>
      <c r="C121" t="s">
        <v>74</v>
      </c>
      <c r="D121" t="s">
        <v>35</v>
      </c>
      <c r="E121">
        <v>87</v>
      </c>
      <c r="F121">
        <v>11</v>
      </c>
      <c r="H121">
        <v>11</v>
      </c>
      <c r="J121">
        <f t="shared" si="2"/>
        <v>196123</v>
      </c>
      <c r="L121">
        <f t="shared" si="3"/>
        <v>87.554910714285711</v>
      </c>
    </row>
    <row r="122" spans="1:12" x14ac:dyDescent="0.25">
      <c r="A122">
        <v>1739</v>
      </c>
      <c r="B122" t="s">
        <v>88</v>
      </c>
      <c r="C122" t="s">
        <v>74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1739</v>
      </c>
      <c r="B123" t="s">
        <v>63</v>
      </c>
      <c r="C123" t="s">
        <v>74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1739</v>
      </c>
      <c r="B124" t="s">
        <v>89</v>
      </c>
      <c r="C124" t="s">
        <v>74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1739</v>
      </c>
      <c r="B125" t="s">
        <v>70</v>
      </c>
      <c r="C125" t="s">
        <v>74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1739</v>
      </c>
      <c r="B126" t="s">
        <v>64</v>
      </c>
      <c r="C126" t="s">
        <v>74</v>
      </c>
      <c r="D126" t="s">
        <v>35</v>
      </c>
      <c r="E126">
        <v>2</v>
      </c>
      <c r="F126">
        <v>13</v>
      </c>
      <c r="G126">
        <v>1</v>
      </c>
      <c r="H126">
        <v>5</v>
      </c>
      <c r="J126">
        <f t="shared" si="2"/>
        <v>5969</v>
      </c>
      <c r="L126">
        <f t="shared" si="3"/>
        <v>2.6647321428571429</v>
      </c>
    </row>
    <row r="127" spans="1:12" x14ac:dyDescent="0.25">
      <c r="A127">
        <v>1739</v>
      </c>
      <c r="B127" t="s">
        <v>65</v>
      </c>
      <c r="C127" t="s">
        <v>74</v>
      </c>
      <c r="D127" t="s">
        <v>35</v>
      </c>
      <c r="J127">
        <f t="shared" si="2"/>
        <v>0</v>
      </c>
      <c r="L127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O126"/>
  <sheetViews>
    <sheetView workbookViewId="0">
      <selection activeCell="A2" sqref="A2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B2" t="s">
        <v>55</v>
      </c>
      <c r="C2" t="s">
        <v>94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B3" t="s">
        <v>57</v>
      </c>
      <c r="C3" t="s">
        <v>94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5" x14ac:dyDescent="0.25">
      <c r="B4" t="s">
        <v>36</v>
      </c>
      <c r="C4" t="s">
        <v>94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B5" t="s">
        <v>4</v>
      </c>
      <c r="C5" t="s">
        <v>94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B6" t="s">
        <v>58</v>
      </c>
      <c r="C6" t="s">
        <v>94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B7" t="s">
        <v>69</v>
      </c>
      <c r="C7" t="s">
        <v>94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B8" t="s">
        <v>43</v>
      </c>
      <c r="C8" t="s">
        <v>94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B9" t="s">
        <v>76</v>
      </c>
      <c r="C9" t="s">
        <v>94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B10" t="s">
        <v>5</v>
      </c>
      <c r="C10" t="s">
        <v>94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B11" t="s">
        <v>59</v>
      </c>
      <c r="C11" t="s">
        <v>94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B12" t="s">
        <v>6</v>
      </c>
      <c r="C12" t="s">
        <v>94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B13" t="s">
        <v>96</v>
      </c>
      <c r="C13" t="s">
        <v>94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B14" t="s">
        <v>60</v>
      </c>
      <c r="C14" t="s">
        <v>94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B15" t="s">
        <v>7</v>
      </c>
      <c r="C15" t="s">
        <v>94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B16" t="s">
        <v>37</v>
      </c>
      <c r="C16" t="s">
        <v>94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8</v>
      </c>
      <c r="C17" t="s">
        <v>94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40</v>
      </c>
      <c r="C18" t="s">
        <v>94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77</v>
      </c>
      <c r="C19" t="s">
        <v>94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78</v>
      </c>
      <c r="C20" t="s">
        <v>94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46</v>
      </c>
      <c r="C21" t="s">
        <v>94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9</v>
      </c>
      <c r="C22" t="s">
        <v>94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10</v>
      </c>
      <c r="C23" t="s">
        <v>94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11</v>
      </c>
      <c r="C24" t="s">
        <v>94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39</v>
      </c>
      <c r="C25" t="s">
        <v>94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79</v>
      </c>
      <c r="C26" t="s">
        <v>94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103</v>
      </c>
      <c r="C27" t="s">
        <v>94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44</v>
      </c>
      <c r="C28" t="s">
        <v>94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97</v>
      </c>
      <c r="C29" t="s">
        <v>94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12</v>
      </c>
      <c r="C30" t="s">
        <v>94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82</v>
      </c>
      <c r="C31" t="s">
        <v>94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34</v>
      </c>
      <c r="C32" t="s">
        <v>94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13</v>
      </c>
      <c r="C33" t="s">
        <v>94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14</v>
      </c>
      <c r="C34" t="s">
        <v>94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23</v>
      </c>
      <c r="C35" t="s">
        <v>94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27</v>
      </c>
      <c r="C36" t="s">
        <v>94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15</v>
      </c>
      <c r="C37" t="s">
        <v>94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42</v>
      </c>
      <c r="C38" t="s">
        <v>94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83</v>
      </c>
      <c r="C39" t="s">
        <v>94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47</v>
      </c>
      <c r="C40" t="s">
        <v>94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16</v>
      </c>
      <c r="C41" t="s">
        <v>94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17</v>
      </c>
      <c r="C42" t="s">
        <v>94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18</v>
      </c>
      <c r="C43" t="s">
        <v>94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26</v>
      </c>
      <c r="C44" t="s">
        <v>94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84</v>
      </c>
      <c r="C45" t="s">
        <v>94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19</v>
      </c>
      <c r="C46" t="s">
        <v>94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45</v>
      </c>
      <c r="C47" t="s">
        <v>94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85</v>
      </c>
      <c r="C48" t="s">
        <v>94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54</v>
      </c>
      <c r="C49" t="s">
        <v>94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95</v>
      </c>
      <c r="C50" t="s">
        <v>94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20</v>
      </c>
      <c r="C51" t="s">
        <v>94</v>
      </c>
      <c r="D51" t="s">
        <v>33</v>
      </c>
      <c r="J51">
        <f t="shared" si="0"/>
        <v>0</v>
      </c>
      <c r="L51">
        <f t="shared" si="1"/>
        <v>0</v>
      </c>
    </row>
    <row r="52" spans="2:12" x14ac:dyDescent="0.25">
      <c r="B52" t="s">
        <v>21</v>
      </c>
      <c r="C52" t="s">
        <v>94</v>
      </c>
      <c r="D52" t="s">
        <v>33</v>
      </c>
      <c r="J52">
        <f t="shared" si="0"/>
        <v>0</v>
      </c>
      <c r="L52">
        <f t="shared" si="1"/>
        <v>0</v>
      </c>
    </row>
    <row r="53" spans="2:12" x14ac:dyDescent="0.25">
      <c r="B53" t="s">
        <v>22</v>
      </c>
      <c r="C53" t="s">
        <v>94</v>
      </c>
      <c r="D53" t="s">
        <v>33</v>
      </c>
      <c r="J53">
        <f t="shared" si="0"/>
        <v>0</v>
      </c>
      <c r="L53">
        <f t="shared" si="1"/>
        <v>0</v>
      </c>
    </row>
    <row r="54" spans="2:12" x14ac:dyDescent="0.25">
      <c r="B54" t="s">
        <v>61</v>
      </c>
      <c r="C54" t="s">
        <v>94</v>
      </c>
      <c r="D54" t="s">
        <v>33</v>
      </c>
      <c r="J54">
        <f t="shared" si="0"/>
        <v>0</v>
      </c>
      <c r="L54">
        <f t="shared" si="1"/>
        <v>0</v>
      </c>
    </row>
    <row r="55" spans="2:12" x14ac:dyDescent="0.25">
      <c r="B55" t="s">
        <v>99</v>
      </c>
      <c r="C55" t="s">
        <v>94</v>
      </c>
      <c r="D55" t="s">
        <v>33</v>
      </c>
      <c r="J55">
        <f t="shared" si="0"/>
        <v>0</v>
      </c>
      <c r="L55">
        <f t="shared" si="1"/>
        <v>0</v>
      </c>
    </row>
    <row r="56" spans="2:12" x14ac:dyDescent="0.25">
      <c r="B56" t="s">
        <v>87</v>
      </c>
      <c r="C56" t="s">
        <v>94</v>
      </c>
      <c r="D56" t="s">
        <v>33</v>
      </c>
      <c r="J56">
        <f t="shared" si="0"/>
        <v>0</v>
      </c>
      <c r="L56">
        <f t="shared" si="1"/>
        <v>0</v>
      </c>
    </row>
    <row r="57" spans="2:12" x14ac:dyDescent="0.25">
      <c r="B57" t="s">
        <v>62</v>
      </c>
      <c r="C57" t="s">
        <v>94</v>
      </c>
      <c r="D57" t="s">
        <v>33</v>
      </c>
      <c r="J57">
        <f t="shared" si="0"/>
        <v>0</v>
      </c>
      <c r="L57">
        <f t="shared" si="1"/>
        <v>0</v>
      </c>
    </row>
    <row r="58" spans="2:12" x14ac:dyDescent="0.25">
      <c r="B58" t="s">
        <v>88</v>
      </c>
      <c r="C58" t="s">
        <v>94</v>
      </c>
      <c r="D58" t="s">
        <v>33</v>
      </c>
      <c r="J58">
        <f t="shared" si="0"/>
        <v>0</v>
      </c>
      <c r="L58">
        <f t="shared" si="1"/>
        <v>0</v>
      </c>
    </row>
    <row r="59" spans="2:12" x14ac:dyDescent="0.25">
      <c r="B59" t="s">
        <v>63</v>
      </c>
      <c r="C59" t="s">
        <v>94</v>
      </c>
      <c r="D59" t="s">
        <v>33</v>
      </c>
      <c r="J59">
        <f t="shared" si="0"/>
        <v>0</v>
      </c>
      <c r="L59">
        <f t="shared" si="1"/>
        <v>0</v>
      </c>
    </row>
    <row r="60" spans="2:12" x14ac:dyDescent="0.25">
      <c r="B60" t="s">
        <v>89</v>
      </c>
      <c r="C60" t="s">
        <v>94</v>
      </c>
      <c r="D60" t="s">
        <v>33</v>
      </c>
      <c r="J60">
        <f t="shared" si="0"/>
        <v>0</v>
      </c>
      <c r="L60">
        <f t="shared" si="1"/>
        <v>0</v>
      </c>
    </row>
    <row r="61" spans="2:12" x14ac:dyDescent="0.25">
      <c r="B61" t="s">
        <v>70</v>
      </c>
      <c r="C61" t="s">
        <v>94</v>
      </c>
      <c r="D61" t="s">
        <v>33</v>
      </c>
      <c r="J61">
        <f t="shared" si="0"/>
        <v>0</v>
      </c>
      <c r="L61">
        <f t="shared" si="1"/>
        <v>0</v>
      </c>
    </row>
    <row r="62" spans="2:12" x14ac:dyDescent="0.25">
      <c r="B62" t="s">
        <v>64</v>
      </c>
      <c r="C62" t="s">
        <v>94</v>
      </c>
      <c r="D62" t="s">
        <v>33</v>
      </c>
      <c r="J62">
        <f t="shared" si="0"/>
        <v>0</v>
      </c>
      <c r="L62">
        <f t="shared" si="1"/>
        <v>0</v>
      </c>
    </row>
    <row r="63" spans="2:12" x14ac:dyDescent="0.25">
      <c r="B63" t="s">
        <v>65</v>
      </c>
      <c r="C63" t="s">
        <v>94</v>
      </c>
      <c r="D63" t="s">
        <v>33</v>
      </c>
      <c r="J63">
        <f t="shared" si="0"/>
        <v>0</v>
      </c>
      <c r="L63">
        <f t="shared" si="1"/>
        <v>0</v>
      </c>
    </row>
    <row r="64" spans="2:12" x14ac:dyDescent="0.25">
      <c r="B64" t="s">
        <v>55</v>
      </c>
      <c r="C64" t="s">
        <v>94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57</v>
      </c>
      <c r="C65" t="s">
        <v>94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36</v>
      </c>
      <c r="C66" t="s">
        <v>94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4</v>
      </c>
      <c r="C67" t="s">
        <v>94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2:12" x14ac:dyDescent="0.25">
      <c r="B68" t="s">
        <v>58</v>
      </c>
      <c r="C68" t="s">
        <v>94</v>
      </c>
      <c r="D68" t="s">
        <v>35</v>
      </c>
      <c r="J68">
        <f t="shared" si="2"/>
        <v>0</v>
      </c>
      <c r="L68">
        <f t="shared" si="3"/>
        <v>0</v>
      </c>
    </row>
    <row r="69" spans="2:12" x14ac:dyDescent="0.25">
      <c r="B69" t="s">
        <v>69</v>
      </c>
      <c r="C69" t="s">
        <v>94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43</v>
      </c>
      <c r="C70" t="s">
        <v>94</v>
      </c>
      <c r="D70" t="s">
        <v>35</v>
      </c>
      <c r="J70">
        <f t="shared" si="2"/>
        <v>0</v>
      </c>
      <c r="L70">
        <f t="shared" si="3"/>
        <v>0</v>
      </c>
    </row>
    <row r="71" spans="2:12" x14ac:dyDescent="0.25">
      <c r="B71" t="s">
        <v>76</v>
      </c>
      <c r="C71" t="s">
        <v>94</v>
      </c>
      <c r="D71" t="s">
        <v>35</v>
      </c>
      <c r="J71">
        <f t="shared" si="2"/>
        <v>0</v>
      </c>
      <c r="L71">
        <f t="shared" si="3"/>
        <v>0</v>
      </c>
    </row>
    <row r="72" spans="2:12" x14ac:dyDescent="0.25">
      <c r="B72" t="s">
        <v>5</v>
      </c>
      <c r="C72" t="s">
        <v>94</v>
      </c>
      <c r="D72" t="s">
        <v>35</v>
      </c>
      <c r="J72">
        <f t="shared" si="2"/>
        <v>0</v>
      </c>
      <c r="L72">
        <f t="shared" si="3"/>
        <v>0</v>
      </c>
    </row>
    <row r="73" spans="2:12" x14ac:dyDescent="0.25">
      <c r="B73" t="s">
        <v>59</v>
      </c>
      <c r="C73" t="s">
        <v>94</v>
      </c>
      <c r="D73" t="s">
        <v>35</v>
      </c>
      <c r="J73">
        <f t="shared" si="2"/>
        <v>0</v>
      </c>
      <c r="L73">
        <f t="shared" si="3"/>
        <v>0</v>
      </c>
    </row>
    <row r="74" spans="2:12" x14ac:dyDescent="0.25">
      <c r="B74" t="s">
        <v>6</v>
      </c>
      <c r="C74" t="s">
        <v>94</v>
      </c>
      <c r="D74" t="s">
        <v>35</v>
      </c>
      <c r="J74">
        <f t="shared" si="2"/>
        <v>0</v>
      </c>
      <c r="L74">
        <f t="shared" si="3"/>
        <v>0</v>
      </c>
    </row>
    <row r="75" spans="2:12" x14ac:dyDescent="0.25">
      <c r="B75" t="s">
        <v>60</v>
      </c>
      <c r="C75" t="s">
        <v>94</v>
      </c>
      <c r="D75" t="s">
        <v>35</v>
      </c>
      <c r="J75">
        <f t="shared" si="2"/>
        <v>0</v>
      </c>
      <c r="L75">
        <f t="shared" si="3"/>
        <v>0</v>
      </c>
    </row>
    <row r="76" spans="2:12" x14ac:dyDescent="0.25">
      <c r="B76" t="s">
        <v>7</v>
      </c>
      <c r="C76" t="s">
        <v>94</v>
      </c>
      <c r="D76" t="s">
        <v>35</v>
      </c>
      <c r="J76">
        <f t="shared" si="2"/>
        <v>0</v>
      </c>
      <c r="L76">
        <f t="shared" si="3"/>
        <v>0</v>
      </c>
    </row>
    <row r="77" spans="2:12" x14ac:dyDescent="0.25">
      <c r="B77" t="s">
        <v>37</v>
      </c>
      <c r="C77" t="s">
        <v>94</v>
      </c>
      <c r="D77" t="s">
        <v>35</v>
      </c>
      <c r="J77">
        <f t="shared" si="2"/>
        <v>0</v>
      </c>
      <c r="L77">
        <f t="shared" si="3"/>
        <v>0</v>
      </c>
    </row>
    <row r="78" spans="2:12" x14ac:dyDescent="0.25">
      <c r="B78" t="s">
        <v>8</v>
      </c>
      <c r="C78" t="s">
        <v>94</v>
      </c>
      <c r="D78" t="s">
        <v>35</v>
      </c>
      <c r="J78">
        <f t="shared" si="2"/>
        <v>0</v>
      </c>
      <c r="L78">
        <f t="shared" si="3"/>
        <v>0</v>
      </c>
    </row>
    <row r="79" spans="2:12" x14ac:dyDescent="0.25">
      <c r="B79" t="s">
        <v>40</v>
      </c>
      <c r="C79" t="s">
        <v>94</v>
      </c>
      <c r="D79" t="s">
        <v>35</v>
      </c>
      <c r="J79">
        <f t="shared" si="2"/>
        <v>0</v>
      </c>
      <c r="L79">
        <f t="shared" si="3"/>
        <v>0</v>
      </c>
    </row>
    <row r="80" spans="2:12" x14ac:dyDescent="0.25">
      <c r="B80" t="s">
        <v>77</v>
      </c>
      <c r="C80" t="s">
        <v>94</v>
      </c>
      <c r="D80" t="s">
        <v>35</v>
      </c>
      <c r="J80">
        <f t="shared" si="2"/>
        <v>0</v>
      </c>
      <c r="L80">
        <f t="shared" si="3"/>
        <v>0</v>
      </c>
    </row>
    <row r="81" spans="2:12" x14ac:dyDescent="0.25">
      <c r="B81" t="s">
        <v>78</v>
      </c>
      <c r="C81" t="s">
        <v>94</v>
      </c>
      <c r="D81" t="s">
        <v>35</v>
      </c>
      <c r="J81">
        <f t="shared" si="2"/>
        <v>0</v>
      </c>
      <c r="L81">
        <f t="shared" si="3"/>
        <v>0</v>
      </c>
    </row>
    <row r="82" spans="2:12" x14ac:dyDescent="0.25">
      <c r="B82" t="s">
        <v>46</v>
      </c>
      <c r="C82" t="s">
        <v>94</v>
      </c>
      <c r="D82" t="s">
        <v>35</v>
      </c>
      <c r="J82">
        <f t="shared" si="2"/>
        <v>0</v>
      </c>
      <c r="L82">
        <f t="shared" si="3"/>
        <v>0</v>
      </c>
    </row>
    <row r="83" spans="2:12" x14ac:dyDescent="0.25">
      <c r="B83" t="s">
        <v>9</v>
      </c>
      <c r="C83" t="s">
        <v>94</v>
      </c>
      <c r="D83" t="s">
        <v>35</v>
      </c>
      <c r="J83">
        <f t="shared" si="2"/>
        <v>0</v>
      </c>
      <c r="L83">
        <f t="shared" si="3"/>
        <v>0</v>
      </c>
    </row>
    <row r="84" spans="2:12" x14ac:dyDescent="0.25">
      <c r="B84" t="s">
        <v>10</v>
      </c>
      <c r="C84" t="s">
        <v>94</v>
      </c>
      <c r="D84" t="s">
        <v>35</v>
      </c>
      <c r="J84">
        <f t="shared" si="2"/>
        <v>0</v>
      </c>
      <c r="L84">
        <f t="shared" si="3"/>
        <v>0</v>
      </c>
    </row>
    <row r="85" spans="2:12" x14ac:dyDescent="0.25">
      <c r="B85" t="s">
        <v>11</v>
      </c>
      <c r="C85" t="s">
        <v>94</v>
      </c>
      <c r="D85" t="s">
        <v>35</v>
      </c>
      <c r="J85">
        <f t="shared" si="2"/>
        <v>0</v>
      </c>
      <c r="L85">
        <f t="shared" si="3"/>
        <v>0</v>
      </c>
    </row>
    <row r="86" spans="2:12" x14ac:dyDescent="0.25">
      <c r="B86" t="s">
        <v>39</v>
      </c>
      <c r="C86" t="s">
        <v>94</v>
      </c>
      <c r="D86" t="s">
        <v>35</v>
      </c>
      <c r="J86">
        <f t="shared" si="2"/>
        <v>0</v>
      </c>
      <c r="L86">
        <f t="shared" si="3"/>
        <v>0</v>
      </c>
    </row>
    <row r="87" spans="2:12" x14ac:dyDescent="0.25">
      <c r="B87" t="s">
        <v>79</v>
      </c>
      <c r="C87" t="s">
        <v>94</v>
      </c>
      <c r="D87" t="s">
        <v>35</v>
      </c>
      <c r="J87">
        <f t="shared" si="2"/>
        <v>0</v>
      </c>
      <c r="L87">
        <f t="shared" si="3"/>
        <v>0</v>
      </c>
    </row>
    <row r="88" spans="2:12" x14ac:dyDescent="0.25">
      <c r="B88" t="s">
        <v>103</v>
      </c>
      <c r="C88" t="s">
        <v>94</v>
      </c>
      <c r="D88" t="s">
        <v>35</v>
      </c>
      <c r="J88">
        <f t="shared" si="2"/>
        <v>0</v>
      </c>
      <c r="L88">
        <f t="shared" si="3"/>
        <v>0</v>
      </c>
    </row>
    <row r="89" spans="2:12" x14ac:dyDescent="0.25">
      <c r="B89" t="s">
        <v>44</v>
      </c>
      <c r="C89" t="s">
        <v>94</v>
      </c>
      <c r="D89" t="s">
        <v>35</v>
      </c>
      <c r="J89">
        <f t="shared" si="2"/>
        <v>0</v>
      </c>
      <c r="L89">
        <f t="shared" si="3"/>
        <v>0</v>
      </c>
    </row>
    <row r="90" spans="2:12" x14ac:dyDescent="0.25">
      <c r="B90" t="s">
        <v>97</v>
      </c>
      <c r="C90" t="s">
        <v>94</v>
      </c>
      <c r="D90" t="s">
        <v>35</v>
      </c>
      <c r="J90">
        <f t="shared" si="2"/>
        <v>0</v>
      </c>
      <c r="L90">
        <f t="shared" si="3"/>
        <v>0</v>
      </c>
    </row>
    <row r="91" spans="2:12" x14ac:dyDescent="0.25">
      <c r="B91" t="s">
        <v>12</v>
      </c>
      <c r="C91" t="s">
        <v>94</v>
      </c>
      <c r="D91" t="s">
        <v>35</v>
      </c>
      <c r="J91">
        <f t="shared" si="2"/>
        <v>0</v>
      </c>
      <c r="L91">
        <f t="shared" si="3"/>
        <v>0</v>
      </c>
    </row>
    <row r="92" spans="2:12" x14ac:dyDescent="0.25">
      <c r="B92" t="s">
        <v>82</v>
      </c>
      <c r="C92" t="s">
        <v>94</v>
      </c>
      <c r="D92" t="s">
        <v>35</v>
      </c>
      <c r="J92">
        <f t="shared" si="2"/>
        <v>0</v>
      </c>
      <c r="L92">
        <f t="shared" si="3"/>
        <v>0</v>
      </c>
    </row>
    <row r="93" spans="2:12" x14ac:dyDescent="0.25">
      <c r="B93" t="s">
        <v>34</v>
      </c>
      <c r="C93" t="s">
        <v>94</v>
      </c>
      <c r="D93" t="s">
        <v>35</v>
      </c>
      <c r="J93">
        <f t="shared" si="2"/>
        <v>0</v>
      </c>
      <c r="L93">
        <f t="shared" si="3"/>
        <v>0</v>
      </c>
    </row>
    <row r="94" spans="2:12" x14ac:dyDescent="0.25">
      <c r="B94" t="s">
        <v>13</v>
      </c>
      <c r="C94" t="s">
        <v>94</v>
      </c>
      <c r="D94" t="s">
        <v>35</v>
      </c>
      <c r="J94">
        <f t="shared" si="2"/>
        <v>0</v>
      </c>
      <c r="L94">
        <f t="shared" si="3"/>
        <v>0</v>
      </c>
    </row>
    <row r="95" spans="2:12" x14ac:dyDescent="0.25">
      <c r="B95" t="s">
        <v>14</v>
      </c>
      <c r="C95" t="s">
        <v>94</v>
      </c>
      <c r="D95" t="s">
        <v>35</v>
      </c>
      <c r="J95">
        <f t="shared" si="2"/>
        <v>0</v>
      </c>
      <c r="L95">
        <f t="shared" si="3"/>
        <v>0</v>
      </c>
    </row>
    <row r="96" spans="2:12" x14ac:dyDescent="0.25">
      <c r="B96" t="s">
        <v>23</v>
      </c>
      <c r="C96" t="s">
        <v>94</v>
      </c>
      <c r="D96" t="s">
        <v>35</v>
      </c>
      <c r="J96">
        <f t="shared" si="2"/>
        <v>0</v>
      </c>
      <c r="L96">
        <f t="shared" si="3"/>
        <v>0</v>
      </c>
    </row>
    <row r="97" spans="2:12" x14ac:dyDescent="0.25">
      <c r="B97" t="s">
        <v>27</v>
      </c>
      <c r="C97" t="s">
        <v>94</v>
      </c>
      <c r="D97" t="s">
        <v>35</v>
      </c>
      <c r="J97">
        <f t="shared" si="2"/>
        <v>0</v>
      </c>
      <c r="L97">
        <f t="shared" si="3"/>
        <v>0</v>
      </c>
    </row>
    <row r="98" spans="2:12" x14ac:dyDescent="0.25">
      <c r="B98" t="s">
        <v>15</v>
      </c>
      <c r="C98" t="s">
        <v>94</v>
      </c>
      <c r="D98" t="s">
        <v>35</v>
      </c>
      <c r="J98">
        <f t="shared" si="2"/>
        <v>0</v>
      </c>
      <c r="L98">
        <f t="shared" si="3"/>
        <v>0</v>
      </c>
    </row>
    <row r="99" spans="2:12" x14ac:dyDescent="0.25">
      <c r="B99" t="s">
        <v>93</v>
      </c>
      <c r="C99" t="s">
        <v>94</v>
      </c>
      <c r="D99" t="s">
        <v>35</v>
      </c>
      <c r="J99">
        <f t="shared" si="2"/>
        <v>0</v>
      </c>
      <c r="L99">
        <f t="shared" si="3"/>
        <v>0</v>
      </c>
    </row>
    <row r="100" spans="2:12" x14ac:dyDescent="0.25">
      <c r="B100" t="s">
        <v>42</v>
      </c>
      <c r="C100" t="s">
        <v>94</v>
      </c>
      <c r="D100" t="s">
        <v>35</v>
      </c>
      <c r="J100">
        <f t="shared" si="2"/>
        <v>0</v>
      </c>
      <c r="L100">
        <f t="shared" si="3"/>
        <v>0</v>
      </c>
    </row>
    <row r="101" spans="2:12" x14ac:dyDescent="0.25">
      <c r="B101" t="s">
        <v>83</v>
      </c>
      <c r="C101" t="s">
        <v>94</v>
      </c>
      <c r="D101" t="s">
        <v>35</v>
      </c>
      <c r="J101">
        <f t="shared" si="2"/>
        <v>0</v>
      </c>
      <c r="L101">
        <f t="shared" si="3"/>
        <v>0</v>
      </c>
    </row>
    <row r="102" spans="2:12" x14ac:dyDescent="0.25">
      <c r="B102" t="s">
        <v>47</v>
      </c>
      <c r="C102" t="s">
        <v>94</v>
      </c>
      <c r="D102" t="s">
        <v>35</v>
      </c>
      <c r="J102">
        <f t="shared" si="2"/>
        <v>0</v>
      </c>
      <c r="L102">
        <f t="shared" si="3"/>
        <v>0</v>
      </c>
    </row>
    <row r="103" spans="2:12" x14ac:dyDescent="0.25">
      <c r="B103" t="s">
        <v>16</v>
      </c>
      <c r="C103" t="s">
        <v>94</v>
      </c>
      <c r="D103" t="s">
        <v>35</v>
      </c>
      <c r="J103">
        <f t="shared" si="2"/>
        <v>0</v>
      </c>
      <c r="L103">
        <f t="shared" si="3"/>
        <v>0</v>
      </c>
    </row>
    <row r="104" spans="2:12" x14ac:dyDescent="0.25">
      <c r="B104" t="s">
        <v>17</v>
      </c>
      <c r="C104" t="s">
        <v>94</v>
      </c>
      <c r="D104" t="s">
        <v>35</v>
      </c>
      <c r="J104">
        <f t="shared" si="2"/>
        <v>0</v>
      </c>
      <c r="L104">
        <f t="shared" si="3"/>
        <v>0</v>
      </c>
    </row>
    <row r="105" spans="2:12" x14ac:dyDescent="0.25">
      <c r="B105" t="s">
        <v>18</v>
      </c>
      <c r="C105" t="s">
        <v>94</v>
      </c>
      <c r="D105" t="s">
        <v>35</v>
      </c>
      <c r="J105">
        <f t="shared" si="2"/>
        <v>0</v>
      </c>
      <c r="L105">
        <f t="shared" si="3"/>
        <v>0</v>
      </c>
    </row>
    <row r="106" spans="2:12" x14ac:dyDescent="0.25">
      <c r="B106" t="s">
        <v>26</v>
      </c>
      <c r="C106" t="s">
        <v>94</v>
      </c>
      <c r="D106" t="s">
        <v>35</v>
      </c>
      <c r="J106">
        <f t="shared" si="2"/>
        <v>0</v>
      </c>
      <c r="L106">
        <f t="shared" si="3"/>
        <v>0</v>
      </c>
    </row>
    <row r="107" spans="2:12" x14ac:dyDescent="0.25">
      <c r="B107" t="s">
        <v>84</v>
      </c>
      <c r="C107" t="s">
        <v>94</v>
      </c>
      <c r="D107" t="s">
        <v>35</v>
      </c>
      <c r="J107">
        <f t="shared" si="2"/>
        <v>0</v>
      </c>
      <c r="L107">
        <f t="shared" si="3"/>
        <v>0</v>
      </c>
    </row>
    <row r="108" spans="2:12" x14ac:dyDescent="0.25">
      <c r="B108" t="s">
        <v>19</v>
      </c>
      <c r="C108" t="s">
        <v>94</v>
      </c>
      <c r="D108" t="s">
        <v>35</v>
      </c>
      <c r="J108">
        <f t="shared" si="2"/>
        <v>0</v>
      </c>
      <c r="L108">
        <f t="shared" si="3"/>
        <v>0</v>
      </c>
    </row>
    <row r="109" spans="2:12" x14ac:dyDescent="0.25">
      <c r="B109" t="s">
        <v>45</v>
      </c>
      <c r="C109" t="s">
        <v>94</v>
      </c>
      <c r="D109" t="s">
        <v>35</v>
      </c>
      <c r="J109">
        <f t="shared" si="2"/>
        <v>0</v>
      </c>
      <c r="L109">
        <f t="shared" si="3"/>
        <v>0</v>
      </c>
    </row>
    <row r="110" spans="2:12" x14ac:dyDescent="0.25">
      <c r="B110" t="s">
        <v>85</v>
      </c>
      <c r="C110" t="s">
        <v>94</v>
      </c>
      <c r="D110" t="s">
        <v>35</v>
      </c>
      <c r="J110">
        <f t="shared" si="2"/>
        <v>0</v>
      </c>
      <c r="L110">
        <f t="shared" si="3"/>
        <v>0</v>
      </c>
    </row>
    <row r="111" spans="2:12" x14ac:dyDescent="0.25">
      <c r="B111" t="s">
        <v>54</v>
      </c>
      <c r="C111" t="s">
        <v>94</v>
      </c>
      <c r="D111" t="s">
        <v>35</v>
      </c>
      <c r="J111">
        <f t="shared" si="2"/>
        <v>0</v>
      </c>
      <c r="L111">
        <f t="shared" si="3"/>
        <v>0</v>
      </c>
    </row>
    <row r="112" spans="2:12" x14ac:dyDescent="0.25">
      <c r="B112" t="s">
        <v>95</v>
      </c>
      <c r="C112" t="s">
        <v>94</v>
      </c>
      <c r="D112" t="s">
        <v>35</v>
      </c>
      <c r="J112">
        <f t="shared" si="2"/>
        <v>0</v>
      </c>
      <c r="L112">
        <f t="shared" si="3"/>
        <v>0</v>
      </c>
    </row>
    <row r="113" spans="2:12" x14ac:dyDescent="0.25">
      <c r="B113" t="s">
        <v>20</v>
      </c>
      <c r="C113" t="s">
        <v>94</v>
      </c>
      <c r="D113" t="s">
        <v>35</v>
      </c>
      <c r="J113">
        <f t="shared" si="2"/>
        <v>0</v>
      </c>
      <c r="L113">
        <f t="shared" si="3"/>
        <v>0</v>
      </c>
    </row>
    <row r="114" spans="2:12" x14ac:dyDescent="0.25">
      <c r="B114" t="s">
        <v>21</v>
      </c>
      <c r="C114" t="s">
        <v>94</v>
      </c>
      <c r="D114" t="s">
        <v>35</v>
      </c>
      <c r="J114">
        <f t="shared" si="2"/>
        <v>0</v>
      </c>
      <c r="L114">
        <f t="shared" si="3"/>
        <v>0</v>
      </c>
    </row>
    <row r="115" spans="2:12" x14ac:dyDescent="0.25">
      <c r="B115" t="s">
        <v>22</v>
      </c>
      <c r="C115" t="s">
        <v>94</v>
      </c>
      <c r="D115" t="s">
        <v>35</v>
      </c>
      <c r="J115">
        <f t="shared" si="2"/>
        <v>0</v>
      </c>
      <c r="L115">
        <f t="shared" si="3"/>
        <v>0</v>
      </c>
    </row>
    <row r="116" spans="2:12" x14ac:dyDescent="0.25">
      <c r="B116" t="s">
        <v>61</v>
      </c>
      <c r="C116" t="s">
        <v>94</v>
      </c>
      <c r="D116" t="s">
        <v>35</v>
      </c>
      <c r="J116">
        <f t="shared" si="2"/>
        <v>0</v>
      </c>
      <c r="L116">
        <f t="shared" si="3"/>
        <v>0</v>
      </c>
    </row>
    <row r="117" spans="2:12" x14ac:dyDescent="0.25">
      <c r="B117" t="s">
        <v>91</v>
      </c>
      <c r="C117" t="s">
        <v>94</v>
      </c>
      <c r="D117" t="s">
        <v>35</v>
      </c>
      <c r="J117">
        <f t="shared" si="2"/>
        <v>0</v>
      </c>
      <c r="L117">
        <f t="shared" si="3"/>
        <v>0</v>
      </c>
    </row>
    <row r="118" spans="2:12" x14ac:dyDescent="0.25">
      <c r="B118" t="s">
        <v>98</v>
      </c>
      <c r="C118" t="s">
        <v>94</v>
      </c>
      <c r="D118" t="s">
        <v>35</v>
      </c>
      <c r="J118">
        <f t="shared" si="2"/>
        <v>0</v>
      </c>
      <c r="L118">
        <f t="shared" si="3"/>
        <v>0</v>
      </c>
    </row>
    <row r="119" spans="2:12" x14ac:dyDescent="0.25">
      <c r="B119" t="s">
        <v>87</v>
      </c>
      <c r="C119" t="s">
        <v>94</v>
      </c>
      <c r="D119" t="s">
        <v>35</v>
      </c>
      <c r="J119">
        <f t="shared" si="2"/>
        <v>0</v>
      </c>
      <c r="L119">
        <f t="shared" si="3"/>
        <v>0</v>
      </c>
    </row>
    <row r="120" spans="2:12" x14ac:dyDescent="0.25">
      <c r="B120" t="s">
        <v>62</v>
      </c>
      <c r="C120" t="s">
        <v>94</v>
      </c>
      <c r="D120" t="s">
        <v>35</v>
      </c>
      <c r="J120">
        <f t="shared" si="2"/>
        <v>0</v>
      </c>
      <c r="L120">
        <f t="shared" si="3"/>
        <v>0</v>
      </c>
    </row>
    <row r="121" spans="2:12" x14ac:dyDescent="0.25">
      <c r="B121" t="s">
        <v>88</v>
      </c>
      <c r="C121" t="s">
        <v>94</v>
      </c>
      <c r="D121" t="s">
        <v>35</v>
      </c>
      <c r="J121">
        <f t="shared" si="2"/>
        <v>0</v>
      </c>
      <c r="L121">
        <f t="shared" si="3"/>
        <v>0</v>
      </c>
    </row>
    <row r="122" spans="2:12" x14ac:dyDescent="0.25">
      <c r="B122" t="s">
        <v>63</v>
      </c>
      <c r="C122" t="s">
        <v>94</v>
      </c>
      <c r="D122" t="s">
        <v>35</v>
      </c>
      <c r="J122">
        <f t="shared" si="2"/>
        <v>0</v>
      </c>
      <c r="L122">
        <f t="shared" si="3"/>
        <v>0</v>
      </c>
    </row>
    <row r="123" spans="2:12" x14ac:dyDescent="0.25">
      <c r="B123" t="s">
        <v>89</v>
      </c>
      <c r="C123" t="s">
        <v>94</v>
      </c>
      <c r="D123" t="s">
        <v>35</v>
      </c>
      <c r="J123">
        <f t="shared" si="2"/>
        <v>0</v>
      </c>
      <c r="L123">
        <f t="shared" si="3"/>
        <v>0</v>
      </c>
    </row>
    <row r="124" spans="2:12" x14ac:dyDescent="0.25">
      <c r="B124" t="s">
        <v>70</v>
      </c>
      <c r="C124" t="s">
        <v>94</v>
      </c>
      <c r="D124" t="s">
        <v>35</v>
      </c>
      <c r="J124">
        <f t="shared" si="2"/>
        <v>0</v>
      </c>
      <c r="L124">
        <f t="shared" si="3"/>
        <v>0</v>
      </c>
    </row>
    <row r="125" spans="2:12" x14ac:dyDescent="0.25">
      <c r="B125" t="s">
        <v>64</v>
      </c>
      <c r="C125" t="s">
        <v>94</v>
      </c>
      <c r="D125" t="s">
        <v>35</v>
      </c>
      <c r="J125">
        <f t="shared" si="2"/>
        <v>0</v>
      </c>
      <c r="L125">
        <f t="shared" si="3"/>
        <v>0</v>
      </c>
    </row>
    <row r="126" spans="2:12" x14ac:dyDescent="0.25">
      <c r="B126" t="s">
        <v>65</v>
      </c>
      <c r="C126" t="s">
        <v>94</v>
      </c>
      <c r="D126" t="s">
        <v>35</v>
      </c>
      <c r="J126">
        <f t="shared" si="2"/>
        <v>0</v>
      </c>
      <c r="L126">
        <f t="shared" si="3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7E2B-81A7-4097-B5FB-FAEFC7BAC741}">
  <dimension ref="A1:O129"/>
  <sheetViews>
    <sheetView topLeftCell="A75" workbookViewId="0">
      <selection activeCell="H87" sqref="H87"/>
    </sheetView>
  </sheetViews>
  <sheetFormatPr defaultRowHeight="15" x14ac:dyDescent="0.25"/>
  <cols>
    <col min="1" max="1" width="10.85546875" customWidth="1"/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5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52</v>
      </c>
      <c r="O1" s="1"/>
    </row>
    <row r="2" spans="1:15" x14ac:dyDescent="0.25">
      <c r="A2">
        <v>1739</v>
      </c>
      <c r="B2" t="s">
        <v>55</v>
      </c>
      <c r="C2" t="s">
        <v>100</v>
      </c>
      <c r="D2" t="s">
        <v>33</v>
      </c>
      <c r="J2">
        <f>(E2*2240)+(F2*112)+(G2*28)+H2</f>
        <v>0</v>
      </c>
      <c r="L2">
        <f>J2/2240</f>
        <v>0</v>
      </c>
    </row>
    <row r="3" spans="1:15" x14ac:dyDescent="0.25">
      <c r="A3">
        <v>1739</v>
      </c>
      <c r="B3" t="s">
        <v>57</v>
      </c>
      <c r="C3" t="s">
        <v>100</v>
      </c>
      <c r="D3" t="s">
        <v>33</v>
      </c>
      <c r="J3">
        <f t="shared" ref="J3:J69" si="0">(E3*2240)+(F3*112)+(G3*28)+H3</f>
        <v>0</v>
      </c>
      <c r="L3">
        <f t="shared" ref="L3:L69" si="1">J3/2240</f>
        <v>0</v>
      </c>
    </row>
    <row r="4" spans="1:15" x14ac:dyDescent="0.25">
      <c r="A4">
        <v>1739</v>
      </c>
      <c r="B4" t="s">
        <v>36</v>
      </c>
      <c r="C4" t="s">
        <v>100</v>
      </c>
      <c r="D4" t="s">
        <v>33</v>
      </c>
      <c r="H4">
        <v>300</v>
      </c>
      <c r="J4">
        <f t="shared" si="0"/>
        <v>300</v>
      </c>
      <c r="L4">
        <f t="shared" si="1"/>
        <v>0.13392857142857142</v>
      </c>
    </row>
    <row r="5" spans="1:15" x14ac:dyDescent="0.25">
      <c r="A5">
        <v>1739</v>
      </c>
      <c r="B5" t="s">
        <v>4</v>
      </c>
      <c r="C5" t="s">
        <v>100</v>
      </c>
      <c r="D5" t="s">
        <v>33</v>
      </c>
      <c r="J5">
        <f t="shared" si="0"/>
        <v>0</v>
      </c>
      <c r="L5">
        <f t="shared" si="1"/>
        <v>0</v>
      </c>
    </row>
    <row r="6" spans="1:15" x14ac:dyDescent="0.25">
      <c r="A6">
        <v>1739</v>
      </c>
      <c r="B6" t="s">
        <v>58</v>
      </c>
      <c r="C6" t="s">
        <v>100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1739</v>
      </c>
      <c r="B7" t="s">
        <v>69</v>
      </c>
      <c r="C7" t="s">
        <v>100</v>
      </c>
      <c r="D7" t="s">
        <v>33</v>
      </c>
      <c r="J7">
        <f t="shared" si="0"/>
        <v>0</v>
      </c>
      <c r="L7">
        <f t="shared" si="1"/>
        <v>0</v>
      </c>
    </row>
    <row r="8" spans="1:15" x14ac:dyDescent="0.25">
      <c r="A8">
        <v>1739</v>
      </c>
      <c r="B8" t="s">
        <v>107</v>
      </c>
      <c r="C8" t="s">
        <v>100</v>
      </c>
      <c r="D8" t="s">
        <v>33</v>
      </c>
      <c r="H8">
        <v>300</v>
      </c>
      <c r="J8">
        <f t="shared" si="0"/>
        <v>300</v>
      </c>
      <c r="L8">
        <f t="shared" si="1"/>
        <v>0.13392857142857142</v>
      </c>
    </row>
    <row r="9" spans="1:15" x14ac:dyDescent="0.25">
      <c r="A9">
        <v>1739</v>
      </c>
      <c r="B9" t="s">
        <v>43</v>
      </c>
      <c r="C9" t="s">
        <v>100</v>
      </c>
      <c r="D9" t="s">
        <v>33</v>
      </c>
      <c r="J9">
        <f t="shared" si="0"/>
        <v>0</v>
      </c>
      <c r="L9">
        <f t="shared" si="1"/>
        <v>0</v>
      </c>
    </row>
    <row r="10" spans="1:15" x14ac:dyDescent="0.25">
      <c r="A10">
        <v>1739</v>
      </c>
      <c r="B10" t="s">
        <v>76</v>
      </c>
      <c r="C10" t="s">
        <v>100</v>
      </c>
      <c r="D10" t="s">
        <v>33</v>
      </c>
      <c r="J10">
        <f t="shared" si="0"/>
        <v>0</v>
      </c>
      <c r="L10">
        <f t="shared" si="1"/>
        <v>0</v>
      </c>
    </row>
    <row r="11" spans="1:15" x14ac:dyDescent="0.25">
      <c r="A11">
        <v>1739</v>
      </c>
      <c r="B11" t="s">
        <v>104</v>
      </c>
      <c r="C11" t="s">
        <v>100</v>
      </c>
      <c r="D11" t="s">
        <v>33</v>
      </c>
      <c r="J11">
        <f t="shared" si="0"/>
        <v>0</v>
      </c>
      <c r="L11">
        <f t="shared" si="1"/>
        <v>0</v>
      </c>
    </row>
    <row r="12" spans="1:15" x14ac:dyDescent="0.25">
      <c r="A12">
        <v>1739</v>
      </c>
      <c r="B12" t="s">
        <v>5</v>
      </c>
      <c r="C12" t="s">
        <v>100</v>
      </c>
      <c r="D12" t="s">
        <v>33</v>
      </c>
      <c r="J12">
        <f t="shared" si="0"/>
        <v>0</v>
      </c>
      <c r="L12">
        <f t="shared" si="1"/>
        <v>0</v>
      </c>
    </row>
    <row r="13" spans="1:15" x14ac:dyDescent="0.25">
      <c r="A13">
        <v>1739</v>
      </c>
      <c r="B13" t="s">
        <v>59</v>
      </c>
      <c r="C13" t="s">
        <v>100</v>
      </c>
      <c r="D13" t="s">
        <v>33</v>
      </c>
      <c r="J13">
        <f t="shared" si="0"/>
        <v>0</v>
      </c>
      <c r="L13">
        <f t="shared" si="1"/>
        <v>0</v>
      </c>
    </row>
    <row r="14" spans="1:15" x14ac:dyDescent="0.25">
      <c r="A14">
        <v>1739</v>
      </c>
      <c r="B14" t="s">
        <v>6</v>
      </c>
      <c r="C14" t="s">
        <v>100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1739</v>
      </c>
      <c r="B15" t="s">
        <v>96</v>
      </c>
      <c r="C15" t="s">
        <v>100</v>
      </c>
      <c r="D15" t="s">
        <v>33</v>
      </c>
      <c r="J15">
        <f t="shared" si="0"/>
        <v>0</v>
      </c>
      <c r="L15">
        <f t="shared" si="1"/>
        <v>0</v>
      </c>
    </row>
    <row r="16" spans="1:15" x14ac:dyDescent="0.25">
      <c r="A16">
        <v>1739</v>
      </c>
      <c r="B16" t="s">
        <v>60</v>
      </c>
      <c r="C16" t="s">
        <v>100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1739</v>
      </c>
      <c r="B17" t="s">
        <v>7</v>
      </c>
      <c r="C17" t="s">
        <v>100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1739</v>
      </c>
      <c r="B18" t="s">
        <v>37</v>
      </c>
      <c r="C18" t="s">
        <v>100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1739</v>
      </c>
      <c r="B19" t="s">
        <v>8</v>
      </c>
      <c r="C19" t="s">
        <v>100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1739</v>
      </c>
      <c r="B20" t="s">
        <v>40</v>
      </c>
      <c r="C20" t="s">
        <v>100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1739</v>
      </c>
      <c r="B21" t="s">
        <v>77</v>
      </c>
      <c r="C21" t="s">
        <v>100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1739</v>
      </c>
      <c r="B22" t="s">
        <v>78</v>
      </c>
      <c r="C22" t="s">
        <v>100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1739</v>
      </c>
      <c r="B23" t="s">
        <v>46</v>
      </c>
      <c r="C23" t="s">
        <v>100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1739</v>
      </c>
      <c r="B24" t="s">
        <v>9</v>
      </c>
      <c r="C24" t="s">
        <v>100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1739</v>
      </c>
      <c r="B25" t="s">
        <v>10</v>
      </c>
      <c r="C25" t="s">
        <v>100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1739</v>
      </c>
      <c r="B26" t="s">
        <v>11</v>
      </c>
      <c r="C26" t="s">
        <v>100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1739</v>
      </c>
      <c r="B27" t="s">
        <v>39</v>
      </c>
      <c r="C27" t="s">
        <v>100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1739</v>
      </c>
      <c r="B28" t="s">
        <v>79</v>
      </c>
      <c r="C28" t="s">
        <v>100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1739</v>
      </c>
      <c r="B29" t="s">
        <v>103</v>
      </c>
      <c r="C29" t="s">
        <v>100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1739</v>
      </c>
      <c r="B30" t="s">
        <v>44</v>
      </c>
      <c r="C30" t="s">
        <v>100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1739</v>
      </c>
      <c r="B31" t="s">
        <v>97</v>
      </c>
      <c r="C31" t="s">
        <v>100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1739</v>
      </c>
      <c r="B32" t="s">
        <v>12</v>
      </c>
      <c r="C32" t="s">
        <v>100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1739</v>
      </c>
      <c r="B33" t="s">
        <v>82</v>
      </c>
      <c r="C33" t="s">
        <v>100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1739</v>
      </c>
      <c r="B34" t="s">
        <v>34</v>
      </c>
      <c r="C34" t="s">
        <v>100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1739</v>
      </c>
      <c r="B35" t="s">
        <v>13</v>
      </c>
      <c r="C35" t="s">
        <v>100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1739</v>
      </c>
      <c r="B36" t="s">
        <v>14</v>
      </c>
      <c r="C36" t="s">
        <v>100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1739</v>
      </c>
      <c r="B37" t="s">
        <v>23</v>
      </c>
      <c r="C37" t="s">
        <v>100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1739</v>
      </c>
      <c r="B38" t="s">
        <v>27</v>
      </c>
      <c r="C38" t="s">
        <v>100</v>
      </c>
      <c r="D38" t="s">
        <v>33</v>
      </c>
      <c r="H38">
        <v>26467</v>
      </c>
      <c r="I38" t="s">
        <v>137</v>
      </c>
      <c r="J38">
        <f t="shared" si="0"/>
        <v>26467</v>
      </c>
      <c r="L38">
        <f t="shared" si="1"/>
        <v>11.815625000000001</v>
      </c>
    </row>
    <row r="39" spans="1:12" x14ac:dyDescent="0.25">
      <c r="A39">
        <v>1739</v>
      </c>
      <c r="B39" t="s">
        <v>15</v>
      </c>
      <c r="C39" t="s">
        <v>100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1739</v>
      </c>
      <c r="B40" t="s">
        <v>42</v>
      </c>
      <c r="C40" t="s">
        <v>100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1739</v>
      </c>
      <c r="B41" t="s">
        <v>83</v>
      </c>
      <c r="C41" t="s">
        <v>100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1739</v>
      </c>
      <c r="B42" t="s">
        <v>47</v>
      </c>
      <c r="C42" t="s">
        <v>100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1739</v>
      </c>
      <c r="B43" t="s">
        <v>16</v>
      </c>
      <c r="C43" t="s">
        <v>100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1739</v>
      </c>
      <c r="B44" t="s">
        <v>17</v>
      </c>
      <c r="C44" t="s">
        <v>100</v>
      </c>
      <c r="D44" t="s">
        <v>33</v>
      </c>
      <c r="F44">
        <v>20</v>
      </c>
      <c r="J44">
        <f t="shared" si="0"/>
        <v>2240</v>
      </c>
      <c r="L44">
        <f t="shared" si="1"/>
        <v>1</v>
      </c>
    </row>
    <row r="45" spans="1:12" x14ac:dyDescent="0.25">
      <c r="A45">
        <v>1739</v>
      </c>
      <c r="B45" t="s">
        <v>18</v>
      </c>
      <c r="C45" t="s">
        <v>100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1739</v>
      </c>
      <c r="B46" t="s">
        <v>26</v>
      </c>
      <c r="C46" t="s">
        <v>100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1739</v>
      </c>
      <c r="B47" t="s">
        <v>84</v>
      </c>
      <c r="C47" t="s">
        <v>100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1739</v>
      </c>
      <c r="B48" t="s">
        <v>19</v>
      </c>
      <c r="C48" t="s">
        <v>100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1739</v>
      </c>
      <c r="B49" t="s">
        <v>45</v>
      </c>
      <c r="C49" t="s">
        <v>100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1739</v>
      </c>
      <c r="B50" t="s">
        <v>85</v>
      </c>
      <c r="C50" t="s">
        <v>100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1739</v>
      </c>
      <c r="B51" t="s">
        <v>54</v>
      </c>
      <c r="C51" t="s">
        <v>100</v>
      </c>
      <c r="D51" t="s">
        <v>33</v>
      </c>
      <c r="H51">
        <v>10</v>
      </c>
      <c r="J51">
        <f t="shared" si="0"/>
        <v>10</v>
      </c>
      <c r="L51">
        <f t="shared" si="1"/>
        <v>4.464285714285714E-3</v>
      </c>
    </row>
    <row r="52" spans="1:12" x14ac:dyDescent="0.25">
      <c r="A52">
        <v>1739</v>
      </c>
      <c r="B52" t="s">
        <v>95</v>
      </c>
      <c r="C52" t="s">
        <v>100</v>
      </c>
      <c r="D52" t="s">
        <v>33</v>
      </c>
      <c r="J52">
        <f t="shared" si="0"/>
        <v>0</v>
      </c>
      <c r="L52">
        <f t="shared" si="1"/>
        <v>0</v>
      </c>
    </row>
    <row r="53" spans="1:12" x14ac:dyDescent="0.25">
      <c r="A53">
        <v>1739</v>
      </c>
      <c r="B53" t="s">
        <v>20</v>
      </c>
      <c r="C53" t="s">
        <v>100</v>
      </c>
      <c r="D53" t="s">
        <v>33</v>
      </c>
      <c r="J53">
        <f t="shared" si="0"/>
        <v>0</v>
      </c>
      <c r="L53">
        <f t="shared" si="1"/>
        <v>0</v>
      </c>
    </row>
    <row r="54" spans="1:12" x14ac:dyDescent="0.25">
      <c r="A54">
        <v>1739</v>
      </c>
      <c r="B54" t="s">
        <v>21</v>
      </c>
      <c r="C54" t="s">
        <v>100</v>
      </c>
      <c r="D54" t="s">
        <v>33</v>
      </c>
      <c r="J54">
        <f t="shared" si="0"/>
        <v>0</v>
      </c>
      <c r="L54">
        <f t="shared" si="1"/>
        <v>0</v>
      </c>
    </row>
    <row r="55" spans="1:12" x14ac:dyDescent="0.25">
      <c r="A55">
        <v>1739</v>
      </c>
      <c r="B55" t="s">
        <v>90</v>
      </c>
      <c r="C55" t="s">
        <v>100</v>
      </c>
      <c r="D55" t="s">
        <v>33</v>
      </c>
      <c r="J55">
        <f t="shared" si="0"/>
        <v>0</v>
      </c>
      <c r="L55">
        <f t="shared" si="1"/>
        <v>0</v>
      </c>
    </row>
    <row r="56" spans="1:12" x14ac:dyDescent="0.25">
      <c r="A56">
        <v>1739</v>
      </c>
      <c r="B56" t="s">
        <v>22</v>
      </c>
      <c r="C56" t="s">
        <v>100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1739</v>
      </c>
      <c r="B57" t="s">
        <v>61</v>
      </c>
      <c r="C57" t="s">
        <v>100</v>
      </c>
      <c r="D57" t="s">
        <v>33</v>
      </c>
      <c r="J57">
        <f t="shared" si="0"/>
        <v>0</v>
      </c>
      <c r="L57">
        <f t="shared" si="1"/>
        <v>0</v>
      </c>
    </row>
    <row r="58" spans="1:12" x14ac:dyDescent="0.25">
      <c r="A58">
        <v>1739</v>
      </c>
      <c r="B58" t="s">
        <v>98</v>
      </c>
      <c r="C58" t="s">
        <v>100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1739</v>
      </c>
      <c r="B59" t="s">
        <v>87</v>
      </c>
      <c r="C59" t="s">
        <v>100</v>
      </c>
      <c r="D59" t="s">
        <v>33</v>
      </c>
      <c r="J59">
        <f t="shared" si="0"/>
        <v>0</v>
      </c>
      <c r="L59">
        <f t="shared" si="1"/>
        <v>0</v>
      </c>
    </row>
    <row r="60" spans="1:12" x14ac:dyDescent="0.25">
      <c r="A60">
        <v>1739</v>
      </c>
      <c r="B60" t="s">
        <v>62</v>
      </c>
      <c r="C60" t="s">
        <v>100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1739</v>
      </c>
      <c r="B61" t="s">
        <v>88</v>
      </c>
      <c r="C61" t="s">
        <v>100</v>
      </c>
      <c r="D61" t="s">
        <v>33</v>
      </c>
      <c r="J61">
        <f t="shared" si="0"/>
        <v>0</v>
      </c>
      <c r="L61">
        <f t="shared" si="1"/>
        <v>0</v>
      </c>
    </row>
    <row r="62" spans="1:12" x14ac:dyDescent="0.25">
      <c r="A62">
        <v>1739</v>
      </c>
      <c r="B62" t="s">
        <v>63</v>
      </c>
      <c r="C62" t="s">
        <v>100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1739</v>
      </c>
      <c r="B63" t="s">
        <v>89</v>
      </c>
      <c r="C63" t="s">
        <v>100</v>
      </c>
      <c r="D63" t="s">
        <v>33</v>
      </c>
      <c r="J63">
        <f t="shared" si="0"/>
        <v>0</v>
      </c>
      <c r="L63">
        <f t="shared" si="1"/>
        <v>0</v>
      </c>
    </row>
    <row r="64" spans="1:12" x14ac:dyDescent="0.25">
      <c r="A64">
        <v>1739</v>
      </c>
      <c r="B64" t="s">
        <v>70</v>
      </c>
      <c r="C64" t="s">
        <v>100</v>
      </c>
      <c r="D64" t="s">
        <v>33</v>
      </c>
      <c r="J64">
        <f t="shared" si="0"/>
        <v>0</v>
      </c>
      <c r="L64">
        <f t="shared" si="1"/>
        <v>0</v>
      </c>
    </row>
    <row r="65" spans="1:12" x14ac:dyDescent="0.25">
      <c r="A65">
        <v>1739</v>
      </c>
      <c r="B65" t="s">
        <v>64</v>
      </c>
      <c r="C65" t="s">
        <v>100</v>
      </c>
      <c r="D65" t="s">
        <v>33</v>
      </c>
      <c r="J65">
        <f t="shared" si="0"/>
        <v>0</v>
      </c>
      <c r="L65">
        <f t="shared" si="1"/>
        <v>0</v>
      </c>
    </row>
    <row r="66" spans="1:12" x14ac:dyDescent="0.25">
      <c r="A66">
        <v>1739</v>
      </c>
      <c r="B66" t="s">
        <v>65</v>
      </c>
      <c r="C66" t="s">
        <v>100</v>
      </c>
      <c r="D66" t="s">
        <v>33</v>
      </c>
      <c r="J66">
        <f t="shared" si="0"/>
        <v>0</v>
      </c>
      <c r="L66">
        <f t="shared" si="1"/>
        <v>0</v>
      </c>
    </row>
    <row r="67" spans="1:12" x14ac:dyDescent="0.25">
      <c r="A67">
        <v>1739</v>
      </c>
      <c r="B67" t="s">
        <v>55</v>
      </c>
      <c r="C67" t="s">
        <v>100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1739</v>
      </c>
      <c r="B68" t="s">
        <v>57</v>
      </c>
      <c r="C68" t="s">
        <v>100</v>
      </c>
      <c r="D68" t="s">
        <v>35</v>
      </c>
      <c r="J68">
        <f t="shared" si="0"/>
        <v>0</v>
      </c>
      <c r="L68">
        <f t="shared" si="1"/>
        <v>0</v>
      </c>
    </row>
    <row r="69" spans="1:12" x14ac:dyDescent="0.25">
      <c r="A69">
        <v>1739</v>
      </c>
      <c r="B69" t="s">
        <v>36</v>
      </c>
      <c r="C69" t="s">
        <v>100</v>
      </c>
      <c r="D69" t="s">
        <v>35</v>
      </c>
      <c r="J69">
        <f t="shared" si="0"/>
        <v>0</v>
      </c>
      <c r="L69">
        <f t="shared" si="1"/>
        <v>0</v>
      </c>
    </row>
    <row r="70" spans="1:12" x14ac:dyDescent="0.25">
      <c r="A70">
        <v>1739</v>
      </c>
      <c r="B70" t="s">
        <v>4</v>
      </c>
      <c r="C70" t="s">
        <v>100</v>
      </c>
      <c r="D70" t="s">
        <v>35</v>
      </c>
      <c r="J70">
        <f t="shared" ref="J70:J129" si="2">(E70*2240)+(F70*112)+(G70*28)+H70</f>
        <v>0</v>
      </c>
      <c r="L70">
        <f t="shared" ref="L70:L129" si="3">J70/2240</f>
        <v>0</v>
      </c>
    </row>
    <row r="71" spans="1:12" x14ac:dyDescent="0.25">
      <c r="A71">
        <v>1739</v>
      </c>
      <c r="B71" t="s">
        <v>58</v>
      </c>
      <c r="C71" t="s">
        <v>100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1739</v>
      </c>
      <c r="B72" t="s">
        <v>69</v>
      </c>
      <c r="C72" t="s">
        <v>100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1739</v>
      </c>
      <c r="B73" t="s">
        <v>43</v>
      </c>
      <c r="C73" t="s">
        <v>100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1739</v>
      </c>
      <c r="B74" t="s">
        <v>76</v>
      </c>
      <c r="C74" t="s">
        <v>100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1739</v>
      </c>
      <c r="B75" t="s">
        <v>5</v>
      </c>
      <c r="C75" t="s">
        <v>100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1739</v>
      </c>
      <c r="B76" t="s">
        <v>59</v>
      </c>
      <c r="C76" t="s">
        <v>100</v>
      </c>
      <c r="D76" t="s">
        <v>35</v>
      </c>
      <c r="J76">
        <f t="shared" si="2"/>
        <v>0</v>
      </c>
      <c r="L76">
        <f t="shared" si="3"/>
        <v>0</v>
      </c>
    </row>
    <row r="77" spans="1:12" x14ac:dyDescent="0.25">
      <c r="A77">
        <v>1739</v>
      </c>
      <c r="B77" t="s">
        <v>6</v>
      </c>
      <c r="C77" t="s">
        <v>100</v>
      </c>
      <c r="D77" t="s">
        <v>35</v>
      </c>
      <c r="F77">
        <v>390</v>
      </c>
      <c r="G77">
        <v>2</v>
      </c>
      <c r="H77">
        <v>15</v>
      </c>
      <c r="J77">
        <f t="shared" si="2"/>
        <v>43751</v>
      </c>
      <c r="L77">
        <f t="shared" si="3"/>
        <v>19.531696428571429</v>
      </c>
    </row>
    <row r="78" spans="1:12" x14ac:dyDescent="0.25">
      <c r="A78">
        <v>1739</v>
      </c>
      <c r="B78" t="s">
        <v>60</v>
      </c>
      <c r="C78" t="s">
        <v>100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1739</v>
      </c>
      <c r="B79" t="s">
        <v>7</v>
      </c>
      <c r="C79" t="s">
        <v>100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1739</v>
      </c>
      <c r="B80" t="s">
        <v>37</v>
      </c>
      <c r="C80" t="s">
        <v>100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1739</v>
      </c>
      <c r="B81" t="s">
        <v>8</v>
      </c>
      <c r="C81" t="s">
        <v>100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1739</v>
      </c>
      <c r="B82" t="s">
        <v>40</v>
      </c>
      <c r="C82" t="s">
        <v>100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1739</v>
      </c>
      <c r="B83" t="s">
        <v>77</v>
      </c>
      <c r="C83" t="s">
        <v>100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1739</v>
      </c>
      <c r="B84" t="s">
        <v>78</v>
      </c>
      <c r="C84" t="s">
        <v>100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1739</v>
      </c>
      <c r="B85" t="s">
        <v>46</v>
      </c>
      <c r="C85" t="s">
        <v>100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1739</v>
      </c>
      <c r="B86" t="s">
        <v>9</v>
      </c>
      <c r="C86" t="s">
        <v>100</v>
      </c>
      <c r="D86" t="s">
        <v>35</v>
      </c>
      <c r="H86">
        <f>219*200</f>
        <v>43800</v>
      </c>
      <c r="I86" t="s">
        <v>159</v>
      </c>
      <c r="J86">
        <f t="shared" si="2"/>
        <v>43800</v>
      </c>
      <c r="L86">
        <f t="shared" si="3"/>
        <v>19.553571428571427</v>
      </c>
    </row>
    <row r="87" spans="1:12" x14ac:dyDescent="0.25">
      <c r="A87">
        <v>1739</v>
      </c>
      <c r="B87" t="s">
        <v>10</v>
      </c>
      <c r="C87" t="s">
        <v>100</v>
      </c>
      <c r="D87" t="s">
        <v>35</v>
      </c>
      <c r="J87">
        <f t="shared" si="2"/>
        <v>0</v>
      </c>
      <c r="L87">
        <f t="shared" si="3"/>
        <v>0</v>
      </c>
    </row>
    <row r="88" spans="1:12" x14ac:dyDescent="0.25">
      <c r="A88">
        <v>1739</v>
      </c>
      <c r="B88" t="s">
        <v>11</v>
      </c>
      <c r="C88" t="s">
        <v>100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1739</v>
      </c>
      <c r="B89" t="s">
        <v>39</v>
      </c>
      <c r="C89" t="s">
        <v>100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1739</v>
      </c>
      <c r="B90" t="s">
        <v>79</v>
      </c>
      <c r="C90" t="s">
        <v>100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1739</v>
      </c>
      <c r="B91" t="s">
        <v>103</v>
      </c>
      <c r="C91" t="s">
        <v>100</v>
      </c>
      <c r="D91" t="s">
        <v>35</v>
      </c>
      <c r="J91">
        <f t="shared" si="2"/>
        <v>0</v>
      </c>
      <c r="L91">
        <f t="shared" si="3"/>
        <v>0</v>
      </c>
    </row>
    <row r="92" spans="1:12" x14ac:dyDescent="0.25">
      <c r="A92">
        <v>1739</v>
      </c>
      <c r="B92" t="s">
        <v>44</v>
      </c>
      <c r="C92" t="s">
        <v>100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1739</v>
      </c>
      <c r="B93" t="s">
        <v>97</v>
      </c>
      <c r="C93" t="s">
        <v>100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1739</v>
      </c>
      <c r="B94" t="s">
        <v>12</v>
      </c>
      <c r="C94" t="s">
        <v>100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1739</v>
      </c>
      <c r="B95" t="s">
        <v>82</v>
      </c>
      <c r="C95" t="s">
        <v>100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1739</v>
      </c>
      <c r="B96" t="s">
        <v>34</v>
      </c>
      <c r="C96" t="s">
        <v>100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1739</v>
      </c>
      <c r="B97" t="s">
        <v>13</v>
      </c>
      <c r="C97" t="s">
        <v>100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1739</v>
      </c>
      <c r="B98" t="s">
        <v>14</v>
      </c>
      <c r="C98" t="s">
        <v>100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1739</v>
      </c>
      <c r="B99" t="s">
        <v>23</v>
      </c>
      <c r="C99" t="s">
        <v>100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1739</v>
      </c>
      <c r="B100" t="s">
        <v>27</v>
      </c>
      <c r="C100" t="s">
        <v>100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1739</v>
      </c>
      <c r="B101" t="s">
        <v>15</v>
      </c>
      <c r="C101" t="s">
        <v>100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1739</v>
      </c>
      <c r="B102" t="s">
        <v>93</v>
      </c>
      <c r="C102" t="s">
        <v>100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1739</v>
      </c>
      <c r="B103" t="s">
        <v>42</v>
      </c>
      <c r="C103" t="s">
        <v>100</v>
      </c>
      <c r="D103" t="s">
        <v>35</v>
      </c>
      <c r="J103">
        <f t="shared" si="2"/>
        <v>0</v>
      </c>
      <c r="L103">
        <f t="shared" si="3"/>
        <v>0</v>
      </c>
    </row>
    <row r="104" spans="1:12" x14ac:dyDescent="0.25">
      <c r="A104">
        <v>1739</v>
      </c>
      <c r="B104" t="s">
        <v>83</v>
      </c>
      <c r="C104" t="s">
        <v>100</v>
      </c>
      <c r="D104" t="s">
        <v>35</v>
      </c>
      <c r="J104">
        <f t="shared" si="2"/>
        <v>0</v>
      </c>
      <c r="L104">
        <f t="shared" si="3"/>
        <v>0</v>
      </c>
    </row>
    <row r="105" spans="1:12" x14ac:dyDescent="0.25">
      <c r="A105">
        <v>1739</v>
      </c>
      <c r="B105" t="s">
        <v>47</v>
      </c>
      <c r="C105" t="s">
        <v>100</v>
      </c>
      <c r="D105" t="s">
        <v>35</v>
      </c>
      <c r="J105">
        <f t="shared" si="2"/>
        <v>0</v>
      </c>
      <c r="L105">
        <f t="shared" si="3"/>
        <v>0</v>
      </c>
    </row>
    <row r="106" spans="1:12" x14ac:dyDescent="0.25">
      <c r="A106">
        <v>1739</v>
      </c>
      <c r="B106" t="s">
        <v>16</v>
      </c>
      <c r="C106" t="s">
        <v>100</v>
      </c>
      <c r="D106" t="s">
        <v>35</v>
      </c>
      <c r="J106">
        <f t="shared" si="2"/>
        <v>0</v>
      </c>
      <c r="L106">
        <f t="shared" si="3"/>
        <v>0</v>
      </c>
    </row>
    <row r="107" spans="1:12" x14ac:dyDescent="0.25">
      <c r="A107">
        <v>1739</v>
      </c>
      <c r="B107" t="s">
        <v>17</v>
      </c>
      <c r="C107" t="s">
        <v>100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1739</v>
      </c>
      <c r="B108" t="s">
        <v>18</v>
      </c>
      <c r="C108" t="s">
        <v>100</v>
      </c>
      <c r="D108" t="s">
        <v>35</v>
      </c>
      <c r="H108">
        <v>840</v>
      </c>
      <c r="I108" t="s">
        <v>158</v>
      </c>
      <c r="J108">
        <f t="shared" si="2"/>
        <v>840</v>
      </c>
      <c r="L108">
        <f t="shared" si="3"/>
        <v>0.375</v>
      </c>
    </row>
    <row r="109" spans="1:12" x14ac:dyDescent="0.25">
      <c r="A109">
        <v>1739</v>
      </c>
      <c r="B109" t="s">
        <v>26</v>
      </c>
      <c r="C109" t="s">
        <v>100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1739</v>
      </c>
      <c r="B110" t="s">
        <v>84</v>
      </c>
      <c r="C110" t="s">
        <v>100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1739</v>
      </c>
      <c r="B111" t="s">
        <v>19</v>
      </c>
      <c r="C111" t="s">
        <v>100</v>
      </c>
      <c r="D111" t="s">
        <v>35</v>
      </c>
      <c r="J111">
        <f t="shared" si="2"/>
        <v>0</v>
      </c>
      <c r="L111">
        <f t="shared" si="3"/>
        <v>0</v>
      </c>
    </row>
    <row r="112" spans="1:12" x14ac:dyDescent="0.25">
      <c r="A112">
        <v>1739</v>
      </c>
      <c r="B112" t="s">
        <v>45</v>
      </c>
      <c r="C112" t="s">
        <v>100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1739</v>
      </c>
      <c r="B113" t="s">
        <v>85</v>
      </c>
      <c r="C113" t="s">
        <v>100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1739</v>
      </c>
      <c r="B114" t="s">
        <v>54</v>
      </c>
      <c r="C114" t="s">
        <v>100</v>
      </c>
      <c r="D114" t="s">
        <v>35</v>
      </c>
      <c r="J114">
        <f t="shared" si="2"/>
        <v>0</v>
      </c>
      <c r="L114">
        <f t="shared" si="3"/>
        <v>0</v>
      </c>
    </row>
    <row r="115" spans="1:12" x14ac:dyDescent="0.25">
      <c r="A115">
        <v>1739</v>
      </c>
      <c r="B115" t="s">
        <v>95</v>
      </c>
      <c r="C115" t="s">
        <v>100</v>
      </c>
      <c r="D115" t="s">
        <v>35</v>
      </c>
      <c r="J115">
        <f t="shared" si="2"/>
        <v>0</v>
      </c>
      <c r="L115">
        <f t="shared" si="3"/>
        <v>0</v>
      </c>
    </row>
    <row r="116" spans="1:12" x14ac:dyDescent="0.25">
      <c r="A116">
        <v>1739</v>
      </c>
      <c r="B116" t="s">
        <v>20</v>
      </c>
      <c r="C116" t="s">
        <v>100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1739</v>
      </c>
      <c r="B117" t="s">
        <v>21</v>
      </c>
      <c r="C117" t="s">
        <v>100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1739</v>
      </c>
      <c r="B118" t="s">
        <v>22</v>
      </c>
      <c r="C118" t="s">
        <v>100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1739</v>
      </c>
      <c r="B119" t="s">
        <v>61</v>
      </c>
      <c r="C119" t="s">
        <v>100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1739</v>
      </c>
      <c r="B120" t="s">
        <v>91</v>
      </c>
      <c r="C120" t="s">
        <v>100</v>
      </c>
      <c r="D120" t="s">
        <v>35</v>
      </c>
      <c r="J120">
        <f t="shared" si="2"/>
        <v>0</v>
      </c>
      <c r="L120">
        <f t="shared" si="3"/>
        <v>0</v>
      </c>
    </row>
    <row r="121" spans="1:12" x14ac:dyDescent="0.25">
      <c r="A121">
        <v>1739</v>
      </c>
      <c r="B121" t="s">
        <v>98</v>
      </c>
      <c r="C121" t="s">
        <v>100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1739</v>
      </c>
      <c r="B122" t="s">
        <v>87</v>
      </c>
      <c r="C122" t="s">
        <v>100</v>
      </c>
      <c r="D122" t="s">
        <v>35</v>
      </c>
      <c r="J122">
        <f t="shared" si="2"/>
        <v>0</v>
      </c>
      <c r="L122">
        <f t="shared" si="3"/>
        <v>0</v>
      </c>
    </row>
    <row r="123" spans="1:12" x14ac:dyDescent="0.25">
      <c r="A123">
        <v>1739</v>
      </c>
      <c r="B123" t="s">
        <v>62</v>
      </c>
      <c r="C123" t="s">
        <v>100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1739</v>
      </c>
      <c r="B124" t="s">
        <v>88</v>
      </c>
      <c r="C124" t="s">
        <v>100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1739</v>
      </c>
      <c r="B125" t="s">
        <v>63</v>
      </c>
      <c r="C125" t="s">
        <v>100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1739</v>
      </c>
      <c r="B126" t="s">
        <v>89</v>
      </c>
      <c r="C126" t="s">
        <v>100</v>
      </c>
      <c r="D126" t="s">
        <v>35</v>
      </c>
      <c r="J126">
        <f t="shared" si="2"/>
        <v>0</v>
      </c>
      <c r="L126">
        <f t="shared" si="3"/>
        <v>0</v>
      </c>
    </row>
    <row r="127" spans="1:12" x14ac:dyDescent="0.25">
      <c r="A127">
        <v>1739</v>
      </c>
      <c r="B127" t="s">
        <v>70</v>
      </c>
      <c r="C127" t="s">
        <v>100</v>
      </c>
      <c r="D127" t="s">
        <v>35</v>
      </c>
      <c r="J127">
        <f t="shared" si="2"/>
        <v>0</v>
      </c>
      <c r="L127">
        <f t="shared" si="3"/>
        <v>0</v>
      </c>
    </row>
    <row r="128" spans="1:12" x14ac:dyDescent="0.25">
      <c r="A128">
        <v>1739</v>
      </c>
      <c r="B128" t="s">
        <v>64</v>
      </c>
      <c r="C128" t="s">
        <v>100</v>
      </c>
      <c r="D128" t="s">
        <v>35</v>
      </c>
      <c r="J128">
        <f t="shared" si="2"/>
        <v>0</v>
      </c>
      <c r="L128">
        <f t="shared" si="3"/>
        <v>0</v>
      </c>
    </row>
    <row r="129" spans="1:12" x14ac:dyDescent="0.25">
      <c r="A129">
        <v>1739</v>
      </c>
      <c r="B129" t="s">
        <v>65</v>
      </c>
      <c r="C129" t="s">
        <v>100</v>
      </c>
      <c r="D129" t="s">
        <v>35</v>
      </c>
      <c r="J129">
        <f t="shared" si="2"/>
        <v>0</v>
      </c>
      <c r="L129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  <vt:lpstr>WestIndiesGeneral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2025-04-30T04:52:01Z</dcterms:modified>
</cp:coreProperties>
</file>