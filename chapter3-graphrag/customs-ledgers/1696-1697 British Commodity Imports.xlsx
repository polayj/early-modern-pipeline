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82" documentId="8_{167AE621-CE17-4E24-A89F-0DE102CFC740}" xr6:coauthVersionLast="47" xr6:coauthVersionMax="47" xr10:uidLastSave="{04F44BCF-459A-4B1B-BCD6-1BB6E36AF0DF}"/>
  <bookViews>
    <workbookView xWindow="28680" yWindow="2280" windowWidth="29040" windowHeight="15840" xr2:uid="{1A4D9860-C3EF-4225-AE68-E7F2E1785E72}"/>
  </bookViews>
  <sheets>
    <sheet name="Master Goods Sheet" sheetId="12" r:id="rId1"/>
    <sheet name="Antigua" sheetId="4" r:id="rId2"/>
    <sheet name="Barbados" sheetId="5" r:id="rId3"/>
    <sheet name="Bermuda" sheetId="6" r:id="rId4"/>
    <sheet name="Carolina" sheetId="7" r:id="rId5"/>
    <sheet name="Jamaica" sheetId="8" r:id="rId6"/>
    <sheet name="Mountserat" sheetId="9" r:id="rId7"/>
    <sheet name="Nevis" sheetId="10" r:id="rId8"/>
    <sheet name="New England" sheetId="11" r:id="rId9"/>
  </sheets>
  <definedNames>
    <definedName name="_xlnm._FilterDatabase" localSheetId="1" hidden="1">Antigua!$A$1:$L$40</definedName>
    <definedName name="_xlnm._FilterDatabase" localSheetId="2" hidden="1">Barbados!$A$1:$L$48</definedName>
    <definedName name="_xlnm._FilterDatabase" localSheetId="3" hidden="1">Bermuda!$A$1:$L$11</definedName>
    <definedName name="_xlnm._FilterDatabase" localSheetId="4" hidden="1">Carolina!$A$1:$L$16</definedName>
    <definedName name="_xlnm._FilterDatabase" localSheetId="5" hidden="1">Jamaica!$A$1:$Q$48</definedName>
    <definedName name="_xlnm._FilterDatabase" localSheetId="6" hidden="1">Mountserat!$A$1:$L$30</definedName>
    <definedName name="_xlnm._FilterDatabase" localSheetId="7" hidden="1">Nevis!$A$1:$L$31</definedName>
    <definedName name="_xlnm._FilterDatabase" localSheetId="8" hidden="1">'New England'!$A$1:$L$28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H6" i="11"/>
  <c r="H4" i="9"/>
  <c r="H8" i="5"/>
  <c r="H7" i="4"/>
  <c r="J6" i="10"/>
  <c r="J35" i="4"/>
  <c r="L35" i="4" s="1"/>
  <c r="J8" i="5" l="1"/>
  <c r="L8" i="5" s="1"/>
  <c r="J14" i="5"/>
  <c r="L14" i="5" s="1"/>
  <c r="J22" i="5"/>
  <c r="L22" i="5" s="1"/>
  <c r="J38" i="5"/>
  <c r="L38" i="5" s="1"/>
  <c r="J42" i="5"/>
  <c r="L42" i="5" s="1"/>
  <c r="J5" i="6"/>
  <c r="L5" i="6" s="1"/>
  <c r="J25" i="11"/>
  <c r="L25" i="11" s="1"/>
  <c r="J27" i="11"/>
  <c r="L27" i="11" s="1"/>
  <c r="J23" i="11"/>
  <c r="L23" i="11" s="1"/>
  <c r="J28" i="11"/>
  <c r="L28" i="11" s="1"/>
  <c r="J22" i="11"/>
  <c r="L22" i="11" s="1"/>
  <c r="J26" i="11"/>
  <c r="L26" i="11" s="1"/>
  <c r="J24" i="11"/>
  <c r="L24" i="11" s="1"/>
  <c r="J12" i="11"/>
  <c r="L12" i="11" s="1"/>
  <c r="J15" i="11"/>
  <c r="L15" i="11" s="1"/>
  <c r="J5" i="11"/>
  <c r="L5" i="11" s="1"/>
  <c r="J20" i="11"/>
  <c r="L20" i="11" s="1"/>
  <c r="J3" i="11"/>
  <c r="L3" i="11" s="1"/>
  <c r="J4" i="11"/>
  <c r="L4" i="11" s="1"/>
  <c r="J6" i="11"/>
  <c r="L6" i="11" s="1"/>
  <c r="J19" i="11"/>
  <c r="L19" i="11" s="1"/>
  <c r="J10" i="11"/>
  <c r="L10" i="11" s="1"/>
  <c r="J16" i="11"/>
  <c r="L16" i="11" s="1"/>
  <c r="J17" i="11"/>
  <c r="L17" i="11" s="1"/>
  <c r="J9" i="11"/>
  <c r="L9" i="11" s="1"/>
  <c r="J21" i="11"/>
  <c r="L21" i="11" s="1"/>
  <c r="J18" i="11"/>
  <c r="L18" i="11" s="1"/>
  <c r="J14" i="11"/>
  <c r="L14" i="11" s="1"/>
  <c r="J13" i="11"/>
  <c r="L13" i="11" s="1"/>
  <c r="J7" i="11"/>
  <c r="L7" i="11" s="1"/>
  <c r="J8" i="11"/>
  <c r="L8" i="11" s="1"/>
  <c r="J2" i="11"/>
  <c r="L2" i="11" s="1"/>
  <c r="J11" i="11"/>
  <c r="L11" i="11" s="1"/>
  <c r="J30" i="10"/>
  <c r="L30" i="10" s="1"/>
  <c r="J29" i="10"/>
  <c r="L29" i="10" s="1"/>
  <c r="J21" i="10"/>
  <c r="L21" i="10" s="1"/>
  <c r="J22" i="10"/>
  <c r="L22" i="10" s="1"/>
  <c r="J28" i="10"/>
  <c r="L28" i="10" s="1"/>
  <c r="J23" i="10"/>
  <c r="L23" i="10" s="1"/>
  <c r="J31" i="10"/>
  <c r="L31" i="10" s="1"/>
  <c r="J19" i="10"/>
  <c r="L19" i="10" s="1"/>
  <c r="J27" i="10"/>
  <c r="L27" i="10" s="1"/>
  <c r="J26" i="10"/>
  <c r="L26" i="10" s="1"/>
  <c r="J24" i="10"/>
  <c r="L24" i="10" s="1"/>
  <c r="J20" i="10"/>
  <c r="L20" i="10" s="1"/>
  <c r="J9" i="10"/>
  <c r="L9" i="10" s="1"/>
  <c r="J3" i="10"/>
  <c r="L3" i="10" s="1"/>
  <c r="J17" i="10"/>
  <c r="L17" i="10" s="1"/>
  <c r="J12" i="10"/>
  <c r="L12" i="10" s="1"/>
  <c r="J14" i="10"/>
  <c r="L14" i="10" s="1"/>
  <c r="J4" i="10"/>
  <c r="L4" i="10" s="1"/>
  <c r="J5" i="10"/>
  <c r="L5" i="10" s="1"/>
  <c r="J16" i="10"/>
  <c r="L16" i="10" s="1"/>
  <c r="J15" i="10"/>
  <c r="L15" i="10" s="1"/>
  <c r="J13" i="10"/>
  <c r="L13" i="10" s="1"/>
  <c r="J8" i="10"/>
  <c r="L8" i="10" s="1"/>
  <c r="J7" i="10"/>
  <c r="L7" i="10" s="1"/>
  <c r="J18" i="10"/>
  <c r="L18" i="10" s="1"/>
  <c r="J11" i="10"/>
  <c r="L11" i="10" s="1"/>
  <c r="J10" i="10"/>
  <c r="L10" i="10" s="1"/>
  <c r="L6" i="10"/>
  <c r="J2" i="10"/>
  <c r="L2" i="10" s="1"/>
  <c r="J28" i="9"/>
  <c r="L28" i="9" s="1"/>
  <c r="J25" i="9"/>
  <c r="L25" i="9" s="1"/>
  <c r="J20" i="9"/>
  <c r="L20" i="9" s="1"/>
  <c r="J29" i="9"/>
  <c r="L29" i="9" s="1"/>
  <c r="J23" i="9"/>
  <c r="L23" i="9" s="1"/>
  <c r="J30" i="9"/>
  <c r="L30" i="9" s="1"/>
  <c r="J27" i="9"/>
  <c r="L27" i="9" s="1"/>
  <c r="J26" i="9"/>
  <c r="L26" i="9" s="1"/>
  <c r="J21" i="9"/>
  <c r="L21" i="9" s="1"/>
  <c r="J24" i="9"/>
  <c r="L24" i="9" s="1"/>
  <c r="J22" i="9"/>
  <c r="L22" i="9" s="1"/>
  <c r="J18" i="9"/>
  <c r="L18" i="9" s="1"/>
  <c r="J12" i="9"/>
  <c r="L12" i="9" s="1"/>
  <c r="J9" i="9"/>
  <c r="L9" i="9" s="1"/>
  <c r="J13" i="9"/>
  <c r="L13" i="9" s="1"/>
  <c r="J4" i="9"/>
  <c r="L4" i="9" s="1"/>
  <c r="J17" i="9"/>
  <c r="L17" i="9" s="1"/>
  <c r="J15" i="9"/>
  <c r="L15" i="9" s="1"/>
  <c r="J14" i="9"/>
  <c r="L14" i="9" s="1"/>
  <c r="J7" i="9"/>
  <c r="L7" i="9" s="1"/>
  <c r="J19" i="9"/>
  <c r="L19" i="9" s="1"/>
  <c r="J11" i="9"/>
  <c r="L11" i="9" s="1"/>
  <c r="J3" i="9"/>
  <c r="L3" i="9" s="1"/>
  <c r="J10" i="9"/>
  <c r="L10" i="9" s="1"/>
  <c r="J5" i="9"/>
  <c r="L5" i="9" s="1"/>
  <c r="J16" i="9"/>
  <c r="L16" i="9" s="1"/>
  <c r="J6" i="9"/>
  <c r="L6" i="9" s="1"/>
  <c r="J2" i="9"/>
  <c r="L2" i="9" s="1"/>
  <c r="J8" i="9"/>
  <c r="L8" i="9" s="1"/>
  <c r="J47" i="8"/>
  <c r="L47" i="8" s="1"/>
  <c r="J45" i="8"/>
  <c r="L45" i="8" s="1"/>
  <c r="J41" i="8"/>
  <c r="L41" i="8" s="1"/>
  <c r="J40" i="8"/>
  <c r="L40" i="8" s="1"/>
  <c r="J37" i="8"/>
  <c r="L37" i="8" s="1"/>
  <c r="J31" i="8"/>
  <c r="L31" i="8" s="1"/>
  <c r="J30" i="8"/>
  <c r="L30" i="8" s="1"/>
  <c r="J32" i="8"/>
  <c r="L32" i="8" s="1"/>
  <c r="J43" i="8"/>
  <c r="L43" i="8" s="1"/>
  <c r="J42" i="8"/>
  <c r="L42" i="8" s="1"/>
  <c r="J46" i="8"/>
  <c r="L46" i="8" s="1"/>
  <c r="J35" i="8"/>
  <c r="L35" i="8" s="1"/>
  <c r="J44" i="8"/>
  <c r="L44" i="8" s="1"/>
  <c r="J48" i="8"/>
  <c r="L48" i="8" s="1"/>
  <c r="J39" i="8"/>
  <c r="L39" i="8" s="1"/>
  <c r="J38" i="8"/>
  <c r="L38" i="8" s="1"/>
  <c r="J33" i="8"/>
  <c r="L33" i="8" s="1"/>
  <c r="J34" i="8"/>
  <c r="L34" i="8" s="1"/>
  <c r="J36" i="8"/>
  <c r="L36" i="8" s="1"/>
  <c r="J28" i="8"/>
  <c r="L28" i="8" s="1"/>
  <c r="J27" i="8"/>
  <c r="L27" i="8" s="1"/>
  <c r="J21" i="8"/>
  <c r="L21" i="8" s="1"/>
  <c r="J23" i="8"/>
  <c r="L23" i="8" s="1"/>
  <c r="J20" i="8"/>
  <c r="L20" i="8" s="1"/>
  <c r="J18" i="8"/>
  <c r="L18" i="8" s="1"/>
  <c r="J15" i="8"/>
  <c r="L15" i="8" s="1"/>
  <c r="J9" i="8"/>
  <c r="L9" i="8" s="1"/>
  <c r="J7" i="8"/>
  <c r="L7" i="8" s="1"/>
  <c r="J6" i="8"/>
  <c r="L6" i="8" s="1"/>
  <c r="J4" i="8"/>
  <c r="L4" i="8" s="1"/>
  <c r="J10" i="8"/>
  <c r="L10" i="8" s="1"/>
  <c r="J3" i="8"/>
  <c r="L3" i="8" s="1"/>
  <c r="J26" i="8"/>
  <c r="L26" i="8" s="1"/>
  <c r="J24" i="8"/>
  <c r="L24" i="8" s="1"/>
  <c r="J22" i="8"/>
  <c r="L22" i="8" s="1"/>
  <c r="J13" i="8"/>
  <c r="L13" i="8" s="1"/>
  <c r="J19" i="8"/>
  <c r="L19" i="8" s="1"/>
  <c r="J29" i="8"/>
  <c r="L29" i="8" s="1"/>
  <c r="J17" i="8"/>
  <c r="L17" i="8" s="1"/>
  <c r="J5" i="8"/>
  <c r="L5" i="8" s="1"/>
  <c r="J25" i="8"/>
  <c r="L25" i="8" s="1"/>
  <c r="J16" i="8"/>
  <c r="L16" i="8" s="1"/>
  <c r="J11" i="8"/>
  <c r="L11" i="8" s="1"/>
  <c r="J12" i="8"/>
  <c r="L12" i="8" s="1"/>
  <c r="J14" i="8"/>
  <c r="L14" i="8" s="1"/>
  <c r="J8" i="8"/>
  <c r="L8" i="8" s="1"/>
  <c r="J2" i="8"/>
  <c r="L2" i="8" s="1"/>
  <c r="J11" i="7"/>
  <c r="L11" i="7" s="1"/>
  <c r="J16" i="7"/>
  <c r="L16" i="7" s="1"/>
  <c r="J13" i="7"/>
  <c r="L13" i="7" s="1"/>
  <c r="J14" i="7"/>
  <c r="L14" i="7" s="1"/>
  <c r="J15" i="7"/>
  <c r="L15" i="7" s="1"/>
  <c r="J12" i="7"/>
  <c r="L12" i="7" s="1"/>
  <c r="J10" i="7"/>
  <c r="L10" i="7" s="1"/>
  <c r="J7" i="7"/>
  <c r="L7" i="7" s="1"/>
  <c r="J3" i="7"/>
  <c r="L3" i="7" s="1"/>
  <c r="J9" i="7"/>
  <c r="L9" i="7" s="1"/>
  <c r="J6" i="7"/>
  <c r="L6" i="7" s="1"/>
  <c r="J2" i="7"/>
  <c r="L2" i="7" s="1"/>
  <c r="J8" i="7"/>
  <c r="L8" i="7" s="1"/>
  <c r="J4" i="7"/>
  <c r="L4" i="7" s="1"/>
  <c r="J5" i="7"/>
  <c r="L5" i="7" s="1"/>
  <c r="J11" i="6"/>
  <c r="J10" i="6"/>
  <c r="J9" i="6"/>
  <c r="L9" i="6" s="1"/>
  <c r="J8" i="6"/>
  <c r="L8" i="6" s="1"/>
  <c r="J6" i="6"/>
  <c r="L6" i="6" s="1"/>
  <c r="J4" i="6"/>
  <c r="L4" i="6" s="1"/>
  <c r="J7" i="6"/>
  <c r="L7" i="6" s="1"/>
  <c r="J2" i="6"/>
  <c r="L2" i="6" s="1"/>
  <c r="J3" i="6"/>
  <c r="L3" i="6" s="1"/>
  <c r="J47" i="5"/>
  <c r="L47" i="5" s="1"/>
  <c r="J41" i="5"/>
  <c r="L41" i="5" s="1"/>
  <c r="J32" i="5"/>
  <c r="L32" i="5" s="1"/>
  <c r="J30" i="5"/>
  <c r="L30" i="5" s="1"/>
  <c r="J29" i="5"/>
  <c r="L29" i="5" s="1"/>
  <c r="J46" i="5"/>
  <c r="L46" i="5" s="1"/>
  <c r="J44" i="5"/>
  <c r="L44" i="5" s="1"/>
  <c r="J43" i="5"/>
  <c r="L43" i="5" s="1"/>
  <c r="J35" i="5"/>
  <c r="L35" i="5" s="1"/>
  <c r="J45" i="5"/>
  <c r="L45" i="5" s="1"/>
  <c r="J39" i="5"/>
  <c r="L39" i="5" s="1"/>
  <c r="J48" i="5"/>
  <c r="L48" i="5" s="1"/>
  <c r="J40" i="5"/>
  <c r="L40" i="5" s="1"/>
  <c r="J33" i="5"/>
  <c r="L33" i="5" s="1"/>
  <c r="J34" i="5"/>
  <c r="L34" i="5" s="1"/>
  <c r="J37" i="5"/>
  <c r="L37" i="5" s="1"/>
  <c r="J31" i="5"/>
  <c r="L31" i="5" s="1"/>
  <c r="J28" i="5"/>
  <c r="L28" i="5" s="1"/>
  <c r="C2" i="12" s="1"/>
  <c r="J3" i="5"/>
  <c r="L3" i="5" s="1"/>
  <c r="J26" i="5"/>
  <c r="L26" i="5" s="1"/>
  <c r="J4" i="5"/>
  <c r="L4" i="5" s="1"/>
  <c r="J6" i="5"/>
  <c r="L6" i="5" s="1"/>
  <c r="J5" i="5"/>
  <c r="L5" i="5" s="1"/>
  <c r="J16" i="5"/>
  <c r="L16" i="5" s="1"/>
  <c r="J25" i="5"/>
  <c r="L25" i="5" s="1"/>
  <c r="J24" i="5"/>
  <c r="L24" i="5" s="1"/>
  <c r="J23" i="5"/>
  <c r="L23" i="5" s="1"/>
  <c r="J19" i="5"/>
  <c r="L19" i="5" s="1"/>
  <c r="J12" i="5"/>
  <c r="L12" i="5" s="1"/>
  <c r="J11" i="5"/>
  <c r="L11" i="5" s="1"/>
  <c r="J21" i="5"/>
  <c r="L21" i="5" s="1"/>
  <c r="J20" i="5"/>
  <c r="L20" i="5" s="1"/>
  <c r="J15" i="5"/>
  <c r="L15" i="5" s="1"/>
  <c r="J27" i="5"/>
  <c r="L27" i="5" s="1"/>
  <c r="J18" i="5"/>
  <c r="L18" i="5" s="1"/>
  <c r="J17" i="5"/>
  <c r="L17" i="5" s="1"/>
  <c r="J9" i="5"/>
  <c r="L9" i="5" s="1"/>
  <c r="J7" i="5"/>
  <c r="L7" i="5" s="1"/>
  <c r="J10" i="5"/>
  <c r="L10" i="5" s="1"/>
  <c r="J13" i="5"/>
  <c r="L13" i="5" s="1"/>
  <c r="J2" i="5"/>
  <c r="L2" i="5" s="1"/>
  <c r="J33" i="4"/>
  <c r="L33" i="4" s="1"/>
  <c r="J39" i="4"/>
  <c r="L39" i="4" s="1"/>
  <c r="J30" i="4"/>
  <c r="L30" i="4" s="1"/>
  <c r="J25" i="4"/>
  <c r="L25" i="4" s="1"/>
  <c r="J24" i="4"/>
  <c r="L24" i="4" s="1"/>
  <c r="J23" i="4"/>
  <c r="L23" i="4" s="1"/>
  <c r="J31" i="4"/>
  <c r="L31" i="4" s="1"/>
  <c r="J38" i="4"/>
  <c r="L38" i="4" s="1"/>
  <c r="J37" i="4"/>
  <c r="L37" i="4" s="1"/>
  <c r="J36" i="4"/>
  <c r="L36" i="4" s="1"/>
  <c r="J28" i="4"/>
  <c r="L28" i="4" s="1"/>
  <c r="J40" i="4"/>
  <c r="L40" i="4" s="1"/>
  <c r="J22" i="4"/>
  <c r="L22" i="4" s="1"/>
  <c r="J32" i="4"/>
  <c r="L32" i="4" s="1"/>
  <c r="J34" i="4"/>
  <c r="L34" i="4" s="1"/>
  <c r="J26" i="4"/>
  <c r="L26" i="4" s="1"/>
  <c r="J27" i="4"/>
  <c r="L27" i="4" s="1"/>
  <c r="J29" i="4"/>
  <c r="L29" i="4" s="1"/>
  <c r="J5" i="4"/>
  <c r="L5" i="4" s="1"/>
  <c r="J3" i="4"/>
  <c r="L3" i="4" s="1"/>
  <c r="J16" i="4"/>
  <c r="L16" i="4" s="1"/>
  <c r="J6" i="4"/>
  <c r="L6" i="4" s="1"/>
  <c r="J14" i="4"/>
  <c r="L14" i="4" s="1"/>
  <c r="J7" i="4"/>
  <c r="L7" i="4" s="1"/>
  <c r="J20" i="4"/>
  <c r="L20" i="4" s="1"/>
  <c r="J19" i="4"/>
  <c r="L19" i="4" s="1"/>
  <c r="J18" i="4"/>
  <c r="L18" i="4" s="1"/>
  <c r="J17" i="4"/>
  <c r="L17" i="4" s="1"/>
  <c r="J12" i="4"/>
  <c r="L12" i="4" s="1"/>
  <c r="J10" i="4"/>
  <c r="L10" i="4" s="1"/>
  <c r="J15" i="4"/>
  <c r="L15" i="4" s="1"/>
  <c r="J21" i="4"/>
  <c r="L21" i="4" s="1"/>
  <c r="J4" i="4"/>
  <c r="L4" i="4" s="1"/>
  <c r="J13" i="4"/>
  <c r="L13" i="4" s="1"/>
  <c r="J8" i="4"/>
  <c r="L8" i="4" s="1"/>
  <c r="J9" i="4"/>
  <c r="L9" i="4" s="1"/>
  <c r="J11" i="4"/>
  <c r="L11" i="4" s="1"/>
  <c r="J2" i="4"/>
  <c r="L2" i="4" s="1"/>
  <c r="B2" i="12" l="1"/>
  <c r="D2" i="12" s="1"/>
  <c r="O2" i="8"/>
  <c r="Q2" i="8"/>
</calcChain>
</file>

<file path=xl/sharedStrings.xml><?xml version="1.0" encoding="utf-8"?>
<sst xmlns="http://schemas.openxmlformats.org/spreadsheetml/2006/main" count="896" uniqueCount="130">
  <si>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</si>
  <si>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</si>
  <si>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</si>
  <si>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</si>
  <si>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</si>
  <si>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</si>
  <si>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</si>
  <si>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</si>
  <si>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</si>
  <si>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</si>
  <si>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</si>
  <si>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</si>
  <si>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</si>
  <si>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</si>
  <si>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</si>
  <si>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</si>
  <si>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</si>
  <si>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</si>
  <si>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</si>
  <si>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Succads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</si>
  <si>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</si>
  <si>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</si>
  <si>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</si>
  <si>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</si>
  <si>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</si>
  <si>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</si>
  <si>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</si>
  <si>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</si>
  <si>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Wood, Braziletto</t>
  </si>
  <si>
    <t>Wood, Fustick</t>
  </si>
  <si>
    <t>Wood, Logwood</t>
  </si>
  <si>
    <t>Wood, Redwood</t>
  </si>
  <si>
    <t>Wood, Sweetwood</t>
  </si>
  <si>
    <t>YEAR</t>
  </si>
  <si>
    <t>COMMODITY_NAME</t>
  </si>
  <si>
    <t>FROM_LOCATION</t>
  </si>
  <si>
    <t>TO_LOCATION</t>
  </si>
  <si>
    <t>ton</t>
  </si>
  <si>
    <t>hh</t>
  </si>
  <si>
    <t>quarter</t>
  </si>
  <si>
    <t>lb</t>
  </si>
  <si>
    <t>Total Pounds</t>
  </si>
  <si>
    <t>WEIGHT</t>
  </si>
  <si>
    <t>Antigua</t>
  </si>
  <si>
    <t>London</t>
  </si>
  <si>
    <t>Cocoa Nutts</t>
  </si>
  <si>
    <t>13 bags</t>
  </si>
  <si>
    <t>Succands</t>
  </si>
  <si>
    <t>Out Ports</t>
  </si>
  <si>
    <t>Barbados</t>
  </si>
  <si>
    <t>Cocoa Past</t>
  </si>
  <si>
    <t>Corrants? Currants?</t>
  </si>
  <si>
    <t>1104 bags</t>
  </si>
  <si>
    <t>Lemon Juice</t>
  </si>
  <si>
    <t>341 gal</t>
  </si>
  <si>
    <t>Oranges</t>
  </si>
  <si>
    <t>Raisins</t>
  </si>
  <si>
    <t>10 gal</t>
  </si>
  <si>
    <t>Cordage</t>
  </si>
  <si>
    <t>136.5 gal</t>
  </si>
  <si>
    <t>16 gal</t>
  </si>
  <si>
    <t>Bermuda</t>
  </si>
  <si>
    <t>Lingum Vitae</t>
  </si>
  <si>
    <t>Carolina</t>
  </si>
  <si>
    <t>Muscovado Sugar</t>
  </si>
  <si>
    <t>Total Not Sugar</t>
  </si>
  <si>
    <t>Total Sugar</t>
  </si>
  <si>
    <t>Jamaica</t>
  </si>
  <si>
    <t>Brandy</t>
  </si>
  <si>
    <t>Cascarilla</t>
  </si>
  <si>
    <t>Cockeneal</t>
  </si>
  <si>
    <t>176g</t>
  </si>
  <si>
    <t>Snuff</t>
  </si>
  <si>
    <t>Vinellas</t>
  </si>
  <si>
    <t>Tea</t>
  </si>
  <si>
    <t>Mountserat</t>
  </si>
  <si>
    <t>2 bags</t>
  </si>
  <si>
    <t>Elephants Teeth</t>
  </si>
  <si>
    <t>150g</t>
  </si>
  <si>
    <t>Sweet Almonds</t>
  </si>
  <si>
    <t>12.5g</t>
  </si>
  <si>
    <t>Nevis</t>
  </si>
  <si>
    <t>Sope Berries</t>
  </si>
  <si>
    <t>Succand</t>
  </si>
  <si>
    <t>NewEngland</t>
  </si>
  <si>
    <t>Bayberry Wax</t>
  </si>
  <si>
    <t>27bags</t>
  </si>
  <si>
    <t>Hopps</t>
  </si>
  <si>
    <t>Year</t>
  </si>
  <si>
    <t>Almonds, Bitter</t>
  </si>
  <si>
    <t>Almonds, Sweet</t>
  </si>
  <si>
    <t>Aloes Epatica</t>
  </si>
  <si>
    <t>Anniseeds</t>
  </si>
  <si>
    <t>Archelia</t>
  </si>
  <si>
    <t>Bacon</t>
  </si>
  <si>
    <t>Balsam Artificial</t>
  </si>
  <si>
    <t>Balsam Natural</t>
  </si>
  <si>
    <t>Barbados Tarr</t>
  </si>
  <si>
    <t>Barrel Staves</t>
  </si>
  <si>
    <t>Bay Berries</t>
  </si>
  <si>
    <t>Brimstone</t>
  </si>
  <si>
    <t>Cassia Fistula</t>
  </si>
  <si>
    <t>Cocheneal</t>
  </si>
  <si>
    <t>Cocoa Paste</t>
  </si>
  <si>
    <t>Coffee</t>
  </si>
  <si>
    <t>Cortex Eletheria</t>
  </si>
  <si>
    <t>Cortex Peru</t>
  </si>
  <si>
    <t>Cortex Winteranus</t>
  </si>
  <si>
    <t>Green Ginger</t>
  </si>
  <si>
    <t>Guinea Grains</t>
  </si>
  <si>
    <t>Gum Guiaci</t>
  </si>
  <si>
    <t>Gum Seneca</t>
  </si>
  <si>
    <t>Hemp</t>
  </si>
  <si>
    <t>Hypococania</t>
  </si>
  <si>
    <t>Jollop</t>
  </si>
  <si>
    <t>Orchelia</t>
  </si>
  <si>
    <t>Pickles</t>
  </si>
  <si>
    <t>Pig Iron</t>
  </si>
  <si>
    <t>Port</t>
  </si>
  <si>
    <t>Smalts</t>
  </si>
  <si>
    <t>Tamarinds</t>
  </si>
  <si>
    <t>Turpentine</t>
  </si>
  <si>
    <t>Wood, Cocus</t>
  </si>
  <si>
    <t>Wood, Cocoa</t>
  </si>
  <si>
    <t>Wood, Ebony</t>
  </si>
  <si>
    <t>Wood, Iron</t>
  </si>
  <si>
    <t>Wood, Mahogany</t>
  </si>
  <si>
    <t>Wood, Nicaragua</t>
  </si>
  <si>
    <t>Wood, Pidgeonwood</t>
  </si>
  <si>
    <t>Wood, Rosewood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</si>
</sst>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C974-0F83-4C2F-8F15-5BAC577820CA}">
  <dimension ref="A1:D74"/>
  <sheetViews>
    <sheetView tabSelected="1" topLeftCell="A37" zoomScale="85" zoomScaleNormal="85" workbookViewId="0">
      <selection activeCell="D2" sqref="D2:D74"/>
    </sheetView>
  </sheetViews>
  <sheetFormatPr defaultRowHeight="15" x14ac:dyDescent="0.25"/>
  <cols>
    <col min="1" max="1" width="18.8554687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88</v>
      </c>
      <c r="B1" t="s">
        <v>0</v>
      </c>
      <c r="C1" t="s">
        <v>1</v>
      </c>
      <c r="D1" t="s">
        <v>2</v>
      </c>
    </row>
    <row r="2" spans="1:4" x14ac:dyDescent="0.25">
      <c r="A2" t="s">
        <v>89</v>
      </c>
      <c r="B2">
        <f>SUMIFS(Antigua!$L:$L, Antigua!$B:$B, A2, Antigua!$D:$D, "London") + SUMIFS(Barbados!$L:$L, Barbados!$B:$B, A2, Barbados!$D:$D, "London") + SUMIFS(Bermuda!$L:$L, Bermuda!$B:$B, A2, Bermuda!$D:$D, "London") + SUMIFS(Jamaica!$L:$L, Jamaica!$B:$B, A2, Jamaica!$D:$D, "London") + SUMIFS(Mountserat!$L:$L, Mountserat!$B:$B, A2, Mountserat!$D:$D, "London") + SUMIFS(Nevis!$L:$L, Nevis!$B:$B, A2, Nevis!$D:$D, "London")</f>
        <v>0</v>
      </c>
      <c r="C2">
        <f>SUMIFS(Antigua!$L:$L, Antigua!$B:$B, A2, Antigua!$D:$D, "Out Ports") + SUMIFS(Barbados!$L:$L, Barbados!$B:$B, A2, Barbados!$D:$D, "Out Ports") + SUMIFS(Bermuda!$L:$L, Bermuda!$B:$B, A2, Bermuda!$D:$D, "Out Ports") + SUMIFS(Jamaica!$L:$L, Jamaica!$B:$B, A2, Jamaica!$D:$D, "Out Ports") + SUMIFS(Mountserat!$L:$L, Mountserat!$B:$B, A2, Mountserat!$D:$D, "Out Ports") + SUMIFS(Nevis!$L:$L, Nevis!$B:$B, A2, Nevis!$D:$D, "Out Ports")</f>
        <v>0</v>
      </c>
      <c r="D2">
        <f>B2+C2</f>
        <v>0</v>
      </c>
    </row>
    <row r="3" spans="1:4" x14ac:dyDescent="0.25">
      <c r="A3" t="s">
        <v>90</v>
      </c>
      <c r="B3">
        <f>SUMIFS(Antigua!$L:$L, Antigua!$B:$B, A3, Antigua!$D:$D, "London") + SUMIFS(Barbados!$L:$L, Barbados!$B:$B, A3, Barbados!$D:$D, "London") + SUMIFS(Bermuda!$L:$L, Bermuda!$B:$B, A3, Bermuda!$D:$D, "London") + SUMIFS(Jamaica!$L:$L, Jamaica!$B:$B, A3, Jamaica!$D:$D, "London") + SUMIFS(Mountserat!$L:$L, Mountserat!$B:$B, A3, Mountserat!$D:$D, "London") + SUMIFS(Nevis!$L:$L, Nevis!$B:$B, A3, Nevis!$D:$D, "London")</f>
        <v>0</v>
      </c>
      <c r="C3">
        <f>SUMIFS(Antigua!$L:$L, Antigua!$B:$B, A3, Antigua!$D:$D, "Out Ports") + SUMIFS(Barbados!$L:$L, Barbados!$B:$B, A3, Barbados!$D:$D, "Out Ports") + SUMIFS(Bermuda!$L:$L, Bermuda!$B:$B, A3, Bermuda!$D:$D, "Out Ports") + SUMIFS(Jamaica!$L:$L, Jamaica!$B:$B, A3, Jamaica!$D:$D, "Out Ports") + SUMIFS(Mountserat!$L:$L, Mountserat!$B:$B, A3, Mountserat!$D:$D, "Out Ports") + SUMIFS(Nevis!$L:$L, Nevis!$B:$B, A3, Nevis!$D:$D, "Out Ports")</f>
        <v>0</v>
      </c>
      <c r="D3">
        <f t="shared" ref="D3:D66" si="0">B3+C3</f>
        <v>0</v>
      </c>
    </row>
    <row r="4" spans="1:4" x14ac:dyDescent="0.25">
      <c r="A4" t="s">
        <v>91</v>
      </c>
      <c r="B4">
        <f>SUMIFS(Antigua!$L:$L, Antigua!$B:$B, A4, Antigua!$D:$D, "London") + SUMIFS(Barbados!$L:$L, Barbados!$B:$B, A4, Barbados!$D:$D, "London") + SUMIFS(Bermuda!$L:$L, Bermuda!$B:$B, A4, Bermuda!$D:$D, "London") + SUMIFS(Jamaica!$L:$L, Jamaica!$B:$B, A4, Jamaica!$D:$D, "London") + SUMIFS(Mountserat!$L:$L, Mountserat!$B:$B, A4, Mountserat!$D:$D, "London") + SUMIFS(Nevis!$L:$L, Nevis!$B:$B, A4, Nevis!$D:$D, "London")</f>
        <v>0</v>
      </c>
      <c r="C4">
        <f>SUMIFS(Antigua!$L:$L, Antigua!$B:$B, A4, Antigua!$D:$D, "Out Ports") + SUMIFS(Barbados!$L:$L, Barbados!$B:$B, A4, Barbados!$D:$D, "Out Ports") + SUMIFS(Bermuda!$L:$L, Bermuda!$B:$B, A4, Bermuda!$D:$D, "Out Ports") + SUMIFS(Jamaica!$L:$L, Jamaica!$B:$B, A4, Jamaica!$D:$D, "Out Ports") + SUMIFS(Mountserat!$L:$L, Mountserat!$B:$B, A4, Mountserat!$D:$D, "Out Ports") + SUMIFS(Nevis!$L:$L, Nevis!$B:$B, A4, Nevis!$D:$D, "Out Ports")</f>
        <v>0</v>
      </c>
      <c r="D4">
        <f t="shared" si="0"/>
        <v>0</v>
      </c>
    </row>
    <row r="5" spans="1:4" x14ac:dyDescent="0.25">
      <c r="A5" t="s">
        <v>3</v>
      </c>
      <c r="B5">
        <f>SUMIFS(Antigua!$L:$L, Antigua!$B:$B, A5, Antigua!$D:$D, "London") + SUMIFS(Barbados!$L:$L, Barbados!$B:$B, A5, Barbados!$D:$D, "London") + SUMIFS(Bermuda!$L:$L, Bermuda!$B:$B, A5, Bermuda!$D:$D, "London") + SUMIFS(Jamaica!$L:$L, Jamaica!$B:$B, A5, Jamaica!$D:$D, "London") + SUMIFS(Mountserat!$L:$L, Mountserat!$B:$B, A5, Mountserat!$D:$D, "London") + SUMIFS(Nevis!$L:$L, Nevis!$B:$B, A5, Nevis!$D:$D, "London")</f>
        <v>0.25669642857142855</v>
      </c>
      <c r="C5">
        <f>SUMIFS(Antigua!$L:$L, Antigua!$B:$B, A5, Antigua!$D:$D, "Out Ports") + SUMIFS(Barbados!$L:$L, Barbados!$B:$B, A5, Barbados!$D:$D, "Out Ports") + SUMIFS(Bermuda!$L:$L, Bermuda!$B:$B, A5, Bermuda!$D:$D, "Out Ports") + SUMIFS(Jamaica!$L:$L, Jamaica!$B:$B, A5, Jamaica!$D:$D, "Out Ports") + SUMIFS(Mountserat!$L:$L, Mountserat!$B:$B, A5, Mountserat!$D:$D, "Out Ports") + SUMIFS(Nevis!$L:$L, Nevis!$B:$B, A5, Nevis!$D:$D, "Out Ports")</f>
        <v>0</v>
      </c>
      <c r="D5">
        <f t="shared" si="0"/>
        <v>0.25669642857142855</v>
      </c>
    </row>
    <row r="6" spans="1:4" x14ac:dyDescent="0.25">
      <c r="A6" t="s">
        <v>92</v>
      </c>
      <c r="B6">
        <f>SUMIFS(Antigua!$L:$L, Antigua!$B:$B, A6, Antigua!$D:$D, "London") + SUMIFS(Barbados!$L:$L, Barbados!$B:$B, A6, Barbados!$D:$D, "London") + SUMIFS(Bermuda!$L:$L, Bermuda!$B:$B, A6, Bermuda!$D:$D, "London") + SUMIFS(Jamaica!$L:$L, Jamaica!$B:$B, A6, Jamaica!$D:$D, "London") + SUMIFS(Mountserat!$L:$L, Mountserat!$B:$B, A6, Mountserat!$D:$D, "London") + SUMIFS(Nevis!$L:$L, Nevis!$B:$B, A6, Nevis!$D:$D, "London")</f>
        <v>0</v>
      </c>
      <c r="C6">
        <f>SUMIFS(Antigua!$L:$L, Antigua!$B:$B, A6, Antigua!$D:$D, "Out Ports") + SUMIFS(Barbados!$L:$L, Barbados!$B:$B, A6, Barbados!$D:$D, "Out Ports") + SUMIFS(Bermuda!$L:$L, Bermuda!$B:$B, A6, Bermuda!$D:$D, "Out Ports") + SUMIFS(Jamaica!$L:$L, Jamaica!$B:$B, A6, Jamaica!$D:$D, "Out Ports") + SUMIFS(Mountserat!$L:$L, Mountserat!$B:$B, A6, Mountserat!$D:$D, "Out Ports") + SUMIFS(Nevis!$L:$L, Nevis!$B:$B, A6, Nevis!$D:$D, "Out Ports")</f>
        <v>0</v>
      </c>
      <c r="D6">
        <f t="shared" si="0"/>
        <v>0</v>
      </c>
    </row>
    <row r="7" spans="1:4" x14ac:dyDescent="0.25">
      <c r="A7" t="s">
        <v>93</v>
      </c>
      <c r="B7">
        <f>SUMIFS(Antigua!$L:$L, Antigua!$B:$B, A7, Antigua!$D:$D, "London") + SUMIFS(Barbados!$L:$L, Barbados!$B:$B, A7, Barbados!$D:$D, "London") + SUMIFS(Bermuda!$L:$L, Bermuda!$B:$B, A7, Bermuda!$D:$D, "London") + SUMIFS(Jamaica!$L:$L, Jamaica!$B:$B, A7, Jamaica!$D:$D, "London") + SUMIFS(Mountserat!$L:$L, Mountserat!$B:$B, A7, Mountserat!$D:$D, "London") + SUMIFS(Nevis!$L:$L, Nevis!$B:$B, A7, Nevis!$D:$D, "London")</f>
        <v>0</v>
      </c>
      <c r="C7">
        <f>SUMIFS(Antigua!$L:$L, Antigua!$B:$B, A7, Antigua!$D:$D, "Out Ports") + SUMIFS(Barbados!$L:$L, Barbados!$B:$B, A7, Barbados!$D:$D, "Out Ports") + SUMIFS(Bermuda!$L:$L, Bermuda!$B:$B, A7, Bermuda!$D:$D, "Out Ports") + SUMIFS(Jamaica!$L:$L, Jamaica!$B:$B, A7, Jamaica!$D:$D, "Out Ports") + SUMIFS(Mountserat!$L:$L, Mountserat!$B:$B, A7, Mountserat!$D:$D, "Out Ports") + SUMIFS(Nevis!$L:$L, Nevis!$B:$B, A7, Nevis!$D:$D, "Out Ports")</f>
        <v>0</v>
      </c>
      <c r="D7">
        <f t="shared" si="0"/>
        <v>0</v>
      </c>
    </row>
    <row r="8" spans="1:4" x14ac:dyDescent="0.25">
      <c r="A8" t="s">
        <v>94</v>
      </c>
      <c r="B8">
        <f>SUMIFS(Antigua!$L:$L, Antigua!$B:$B, A8, Antigua!$D:$D, "London") + SUMIFS(Barbados!$L:$L, Barbados!$B:$B, A8, Barbados!$D:$D, "London") + SUMIFS(Bermuda!$L:$L, Bermuda!$B:$B, A8, Bermuda!$D:$D, "London") + SUMIFS(Jamaica!$L:$L, Jamaica!$B:$B, A8, Jamaica!$D:$D, "London") + SUMIFS(Mountserat!$L:$L, Mountserat!$B:$B, A8, Mountserat!$D:$D, "London") + SUMIFS(Nevis!$L:$L, Nevis!$B:$B, A8, Nevis!$D:$D, "London")</f>
        <v>0</v>
      </c>
      <c r="C8">
        <f>SUMIFS(Antigua!$L:$L, Antigua!$B:$B, A8, Antigua!$D:$D, "Out Ports") + SUMIFS(Barbados!$L:$L, Barbados!$B:$B, A8, Barbados!$D:$D, "Out Ports") + SUMIFS(Bermuda!$L:$L, Bermuda!$B:$B, A8, Bermuda!$D:$D, "Out Ports") + SUMIFS(Jamaica!$L:$L, Jamaica!$B:$B, A8, Jamaica!$D:$D, "Out Ports") + SUMIFS(Mountserat!$L:$L, Mountserat!$B:$B, A8, Mountserat!$D:$D, "Out Ports") + SUMIFS(Nevis!$L:$L, Nevis!$B:$B, A8, Nevis!$D:$D, "Out Ports")</f>
        <v>0</v>
      </c>
      <c r="D8">
        <f t="shared" si="0"/>
        <v>0</v>
      </c>
    </row>
    <row r="9" spans="1:4" x14ac:dyDescent="0.25">
      <c r="A9" t="s">
        <v>95</v>
      </c>
      <c r="B9">
        <f>SUMIFS(Antigua!$L:$L, Antigua!$B:$B, A9, Antigua!$D:$D, "London") + SUMIFS(Barbados!$L:$L, Barbados!$B:$B, A9, Barbados!$D:$D, "London") + SUMIFS(Bermuda!$L:$L, Bermuda!$B:$B, A9, Bermuda!$D:$D, "London") + SUMIFS(Jamaica!$L:$L, Jamaica!$B:$B, A9, Jamaica!$D:$D, "London") + SUMIFS(Mountserat!$L:$L, Mountserat!$B:$B, A9, Mountserat!$D:$D, "London") + SUMIFS(Nevis!$L:$L, Nevis!$B:$B, A9, Nevis!$D:$D, "London")</f>
        <v>0</v>
      </c>
      <c r="C9">
        <f>SUMIFS(Antigua!$L:$L, Antigua!$B:$B, A9, Antigua!$D:$D, "Out Ports") + SUMIFS(Barbados!$L:$L, Barbados!$B:$B, A9, Barbados!$D:$D, "Out Ports") + SUMIFS(Bermuda!$L:$L, Bermuda!$B:$B, A9, Bermuda!$D:$D, "Out Ports") + SUMIFS(Jamaica!$L:$L, Jamaica!$B:$B, A9, Jamaica!$D:$D, "Out Ports") + SUMIFS(Mountserat!$L:$L, Mountserat!$B:$B, A9, Mountserat!$D:$D, "Out Ports") + SUMIFS(Nevis!$L:$L, Nevis!$B:$B, A9, Nevis!$D:$D, "Out Ports")</f>
        <v>0</v>
      </c>
      <c r="D9">
        <f t="shared" si="0"/>
        <v>0</v>
      </c>
    </row>
    <row r="10" spans="1:4" x14ac:dyDescent="0.25">
      <c r="A10" t="s">
        <v>96</v>
      </c>
      <c r="B10">
        <f>SUMIFS(Antigua!$L:$L, Antigua!$B:$B, A10, Antigua!$D:$D, "London") + SUMIFS(Barbados!$L:$L, Barbados!$B:$B, A10, Barbados!$D:$D, "London") + SUMIFS(Bermuda!$L:$L, Bermuda!$B:$B, A10, Bermuda!$D:$D, "London") + SUMIFS(Jamaica!$L:$L, Jamaica!$B:$B, A10, Jamaica!$D:$D, "London") + SUMIFS(Mountserat!$L:$L, Mountserat!$B:$B, A10, Mountserat!$D:$D, "London") + SUMIFS(Nevis!$L:$L, Nevis!$B:$B, A10, Nevis!$D:$D, "London")</f>
        <v>0</v>
      </c>
      <c r="C10">
        <f>SUMIFS(Antigua!$L:$L, Antigua!$B:$B, A10, Antigua!$D:$D, "Out Ports") + SUMIFS(Barbados!$L:$L, Barbados!$B:$B, A10, Barbados!$D:$D, "Out Ports") + SUMIFS(Bermuda!$L:$L, Bermuda!$B:$B, A10, Bermuda!$D:$D, "Out Ports") + SUMIFS(Jamaica!$L:$L, Jamaica!$B:$B, A10, Jamaica!$D:$D, "Out Ports") + SUMIFS(Mountserat!$L:$L, Mountserat!$B:$B, A10, Mountserat!$D:$D, "Out Ports") + SUMIFS(Nevis!$L:$L, Nevis!$B:$B, A10, Nevis!$D:$D, "Out Ports")</f>
        <v>0</v>
      </c>
      <c r="D10">
        <f t="shared" si="0"/>
        <v>0</v>
      </c>
    </row>
    <row r="11" spans="1:4" x14ac:dyDescent="0.25">
      <c r="A11" t="s">
        <v>97</v>
      </c>
      <c r="B11">
        <f>SUMIFS(Antigua!$L:$L, Antigua!$B:$B, A11, Antigua!$D:$D, "London") + SUMIFS(Barbados!$L:$L, Barbados!$B:$B, A11, Barbados!$D:$D, "London") + SUMIFS(Bermuda!$L:$L, Bermuda!$B:$B, A11, Bermuda!$D:$D, "London") + SUMIFS(Jamaica!$L:$L, Jamaica!$B:$B, A11, Jamaica!$D:$D, "London") + SUMIFS(Mountserat!$L:$L, Mountserat!$B:$B, A11, Mountserat!$D:$D, "London") + SUMIFS(Nevis!$L:$L, Nevis!$B:$B, A11, Nevis!$D:$D, "London")</f>
        <v>0</v>
      </c>
      <c r="C11">
        <f>SUMIFS(Antigua!$L:$L, Antigua!$B:$B, A11, Antigua!$D:$D, "Out Ports") + SUMIFS(Barbados!$L:$L, Barbados!$B:$B, A11, Barbados!$D:$D, "Out Ports") + SUMIFS(Bermuda!$L:$L, Bermuda!$B:$B, A11, Bermuda!$D:$D, "Out Ports") + SUMIFS(Jamaica!$L:$L, Jamaica!$B:$B, A11, Jamaica!$D:$D, "Out Ports") + SUMIFS(Mountserat!$L:$L, Mountserat!$B:$B, A11, Mountserat!$D:$D, "Out Ports") + SUMIFS(Nevis!$L:$L, Nevis!$B:$B, A11, Nevis!$D:$D, "Out Ports")</f>
        <v>0</v>
      </c>
      <c r="D11">
        <f t="shared" si="0"/>
        <v>0</v>
      </c>
    </row>
    <row r="12" spans="1:4" x14ac:dyDescent="0.25">
      <c r="A12" t="s">
        <v>98</v>
      </c>
      <c r="B12">
        <f>SUMIFS(Antigua!$L:$L, Antigua!$B:$B, A12, Antigua!$D:$D, "London") + SUMIFS(Barbados!$L:$L, Barbados!$B:$B, A12, Barbados!$D:$D, "London") + SUMIFS(Bermuda!$L:$L, Bermuda!$B:$B, A12, Bermuda!$D:$D, "London") + SUMIFS(Jamaica!$L:$L, Jamaica!$B:$B, A12, Jamaica!$D:$D, "London") + SUMIFS(Mountserat!$L:$L, Mountserat!$B:$B, A12, Mountserat!$D:$D, "London") + SUMIFS(Nevis!$L:$L, Nevis!$B:$B, A12, Nevis!$D:$D, "London")</f>
        <v>0</v>
      </c>
      <c r="C12">
        <f>SUMIFS(Antigua!$L:$L, Antigua!$B:$B, A12, Antigua!$D:$D, "Out Ports") + SUMIFS(Barbados!$L:$L, Barbados!$B:$B, A12, Barbados!$D:$D, "Out Ports") + SUMIFS(Bermuda!$L:$L, Bermuda!$B:$B, A12, Bermuda!$D:$D, "Out Ports") + SUMIFS(Jamaica!$L:$L, Jamaica!$B:$B, A12, Jamaica!$D:$D, "Out Ports") + SUMIFS(Mountserat!$L:$L, Mountserat!$B:$B, A12, Mountserat!$D:$D, "Out Ports") + SUMIFS(Nevis!$L:$L, Nevis!$B:$B, A12, Nevis!$D:$D, "Out Ports")</f>
        <v>0</v>
      </c>
      <c r="D12">
        <f t="shared" si="0"/>
        <v>0</v>
      </c>
    </row>
    <row r="13" spans="1:4" x14ac:dyDescent="0.25">
      <c r="A13" t="s">
        <v>99</v>
      </c>
      <c r="B13">
        <f>SUMIFS(Antigua!$L:$L, Antigua!$B:$B, A13, Antigua!$D:$D, "London") + SUMIFS(Barbados!$L:$L, Barbados!$B:$B, A13, Barbados!$D:$D, "London") + SUMIFS(Bermuda!$L:$L, Bermuda!$B:$B, A13, Bermuda!$D:$D, "London") + SUMIFS(Jamaica!$L:$L, Jamaica!$B:$B, A13, Jamaica!$D:$D, "London") + SUMIFS(Mountserat!$L:$L, Mountserat!$B:$B, A13, Mountserat!$D:$D, "London") + SUMIFS(Nevis!$L:$L, Nevis!$B:$B, A13, Nevis!$D:$D, "London")</f>
        <v>0</v>
      </c>
      <c r="C13">
        <f>SUMIFS(Antigua!$L:$L, Antigua!$B:$B, A13, Antigua!$D:$D, "Out Ports") + SUMIFS(Barbados!$L:$L, Barbados!$B:$B, A13, Barbados!$D:$D, "Out Ports") + SUMIFS(Bermuda!$L:$L, Bermuda!$B:$B, A13, Bermuda!$D:$D, "Out Ports") + SUMIFS(Jamaica!$L:$L, Jamaica!$B:$B, A13, Jamaica!$D:$D, "Out Ports") + SUMIFS(Mountserat!$L:$L, Mountserat!$B:$B, A13, Mountserat!$D:$D, "Out Ports") + SUMIFS(Nevis!$L:$L, Nevis!$B:$B, A13, Nevis!$D:$D, "Out Ports")</f>
        <v>0</v>
      </c>
      <c r="D13">
        <f t="shared" si="0"/>
        <v>0</v>
      </c>
    </row>
    <row r="14" spans="1:4" x14ac:dyDescent="0.25">
      <c r="A14" t="s">
        <v>4</v>
      </c>
      <c r="B14">
        <f>SUMIFS(Antigua!$L:$L, Antigua!$B:$B, A14, Antigua!$D:$D, "London") + SUMIFS(Barbados!$L:$L, Barbados!$B:$B, A14, Barbados!$D:$D, "London") + SUMIFS(Bermuda!$L:$L, Bermuda!$B:$B, A14, Bermuda!$D:$D, "London") + SUMIFS(Jamaica!$L:$L, Jamaica!$B:$B, A14, Jamaica!$D:$D, "London") + SUMIFS(Mountserat!$L:$L, Mountserat!$B:$B, A14, Mountserat!$D:$D, "London") + SUMIFS(Nevis!$L:$L, Nevis!$B:$B, A14, Nevis!$D:$D, "London")</f>
        <v>0</v>
      </c>
      <c r="C14">
        <f>SUMIFS(Antigua!$L:$L, Antigua!$B:$B, A14, Antigua!$D:$D, "Out Ports") + SUMIFS(Barbados!$L:$L, Barbados!$B:$B, A14, Barbados!$D:$D, "Out Ports") + SUMIFS(Bermuda!$L:$L, Bermuda!$B:$B, A14, Bermuda!$D:$D, "Out Ports") + SUMIFS(Jamaica!$L:$L, Jamaica!$B:$B, A14, Jamaica!$D:$D, "Out Ports") + SUMIFS(Mountserat!$L:$L, Mountserat!$B:$B, A14, Mountserat!$D:$D, "Out Ports") + SUMIFS(Nevis!$L:$L, Nevis!$B:$B, A14, Nevis!$D:$D, "Out Ports")</f>
        <v>0</v>
      </c>
      <c r="D14">
        <f t="shared" si="0"/>
        <v>0</v>
      </c>
    </row>
    <row r="15" spans="1:4" x14ac:dyDescent="0.25">
      <c r="A15" t="s">
        <v>100</v>
      </c>
      <c r="B15">
        <f>SUMIFS(Antigua!$L:$L, Antigua!$B:$B, A15, Antigua!$D:$D, "London") + SUMIFS(Barbados!$L:$L, Barbados!$B:$B, A15, Barbados!$D:$D, "London") + SUMIFS(Bermuda!$L:$L, Bermuda!$B:$B, A15, Bermuda!$D:$D, "London") + SUMIFS(Jamaica!$L:$L, Jamaica!$B:$B, A15, Jamaica!$D:$D, "London") + SUMIFS(Mountserat!$L:$L, Mountserat!$B:$B, A15, Mountserat!$D:$D, "London") + SUMIFS(Nevis!$L:$L, Nevis!$B:$B, A15, Nevis!$D:$D, "London")</f>
        <v>0</v>
      </c>
      <c r="C15">
        <f>SUMIFS(Antigua!$L:$L, Antigua!$B:$B, A15, Antigua!$D:$D, "Out Ports") + SUMIFS(Barbados!$L:$L, Barbados!$B:$B, A15, Barbados!$D:$D, "Out Ports") + SUMIFS(Bermuda!$L:$L, Bermuda!$B:$B, A15, Bermuda!$D:$D, "Out Ports") + SUMIFS(Jamaica!$L:$L, Jamaica!$B:$B, A15, Jamaica!$D:$D, "Out Ports") + SUMIFS(Mountserat!$L:$L, Mountserat!$B:$B, A15, Mountserat!$D:$D, "Out Ports") + SUMIFS(Nevis!$L:$L, Nevis!$B:$B, A15, Nevis!$D:$D, "Out Ports")</f>
        <v>0</v>
      </c>
      <c r="D15">
        <f t="shared" si="0"/>
        <v>0</v>
      </c>
    </row>
    <row r="16" spans="1:4" x14ac:dyDescent="0.25">
      <c r="A16" t="s">
        <v>5</v>
      </c>
      <c r="B16">
        <f>SUMIFS(Antigua!$L:$L, Antigua!$B:$B, A16, Antigua!$D:$D, "London") + SUMIFS(Barbados!$L:$L, Barbados!$B:$B, A16, Barbados!$D:$D, "London") + SUMIFS(Bermuda!$L:$L, Bermuda!$B:$B, A16, Bermuda!$D:$D, "London") + SUMIFS(Jamaica!$L:$L, Jamaica!$B:$B, A16, Jamaica!$D:$D, "London") + SUMIFS(Mountserat!$L:$L, Mountserat!$B:$B, A16, Mountserat!$D:$D, "London") + SUMIFS(Nevis!$L:$L, Nevis!$B:$B, A16, Nevis!$D:$D, "London")</f>
        <v>394.85</v>
      </c>
      <c r="C16">
        <f>SUMIFS(Antigua!$L:$L, Antigua!$B:$B, A16, Antigua!$D:$D, "Out Ports") + SUMIFS(Barbados!$L:$L, Barbados!$B:$B, A16, Barbados!$D:$D, "Out Ports") + SUMIFS(Bermuda!$L:$L, Bermuda!$B:$B, A16, Bermuda!$D:$D, "Out Ports") + SUMIFS(Jamaica!$L:$L, Jamaica!$B:$B, A16, Jamaica!$D:$D, "Out Ports") + SUMIFS(Mountserat!$L:$L, Mountserat!$B:$B, A16, Mountserat!$D:$D, "Out Ports") + SUMIFS(Nevis!$L:$L, Nevis!$B:$B, A16, Nevis!$D:$D, "Out Ports")</f>
        <v>555</v>
      </c>
      <c r="D16">
        <f t="shared" si="0"/>
        <v>949.85</v>
      </c>
    </row>
    <row r="17" spans="1:4" x14ac:dyDescent="0.25">
      <c r="A17" t="s">
        <v>69</v>
      </c>
      <c r="B17">
        <f>SUMIFS(Antigua!$L:$L, Antigua!$B:$B, A17, Antigua!$D:$D, "London") + SUMIFS(Barbados!$L:$L, Barbados!$B:$B, A17, Barbados!$D:$D, "London") + SUMIFS(Bermuda!$L:$L, Bermuda!$B:$B, A17, Bermuda!$D:$D, "London") + SUMIFS(Jamaica!$L:$L, Jamaica!$B:$B, A17, Jamaica!$D:$D, "London") + SUMIFS(Mountserat!$L:$L, Mountserat!$B:$B, A17, Mountserat!$D:$D, "London") + SUMIFS(Nevis!$L:$L, Nevis!$B:$B, A17, Nevis!$D:$D, "London")</f>
        <v>0</v>
      </c>
      <c r="C17">
        <f>SUMIFS(Antigua!$L:$L, Antigua!$B:$B, A17, Antigua!$D:$D, "Out Ports") + SUMIFS(Barbados!$L:$L, Barbados!$B:$B, A17, Barbados!$D:$D, "Out Ports") + SUMIFS(Bermuda!$L:$L, Bermuda!$B:$B, A17, Bermuda!$D:$D, "Out Ports") + SUMIFS(Jamaica!$L:$L, Jamaica!$B:$B, A17, Jamaica!$D:$D, "Out Ports") + SUMIFS(Mountserat!$L:$L, Mountserat!$B:$B, A17, Mountserat!$D:$D, "Out Ports") + SUMIFS(Nevis!$L:$L, Nevis!$B:$B, A17, Nevis!$D:$D, "Out Ports")</f>
        <v>0</v>
      </c>
      <c r="D17">
        <f t="shared" si="0"/>
        <v>0</v>
      </c>
    </row>
    <row r="18" spans="1:4" x14ac:dyDescent="0.25">
      <c r="A18" t="s">
        <v>101</v>
      </c>
      <c r="B18">
        <f>SUMIFS(Antigua!$L:$L, Antigua!$B:$B, A18, Antigua!$D:$D, "London") + SUMIFS(Barbados!$L:$L, Barbados!$B:$B, A18, Barbados!$D:$D, "London") + SUMIFS(Bermuda!$L:$L, Bermuda!$B:$B, A18, Bermuda!$D:$D, "London") + SUMIFS(Jamaica!$L:$L, Jamaica!$B:$B, A18, Jamaica!$D:$D, "London") + SUMIFS(Mountserat!$L:$L, Mountserat!$B:$B, A18, Mountserat!$D:$D, "London") + SUMIFS(Nevis!$L:$L, Nevis!$B:$B, A18, Nevis!$D:$D, "London")</f>
        <v>0</v>
      </c>
      <c r="C18">
        <f>SUMIFS(Antigua!$L:$L, Antigua!$B:$B, A18, Antigua!$D:$D, "Out Ports") + SUMIFS(Barbados!$L:$L, Barbados!$B:$B, A18, Barbados!$D:$D, "Out Ports") + SUMIFS(Bermuda!$L:$L, Bermuda!$B:$B, A18, Bermuda!$D:$D, "Out Ports") + SUMIFS(Jamaica!$L:$L, Jamaica!$B:$B, A18, Jamaica!$D:$D, "Out Ports") + SUMIFS(Mountserat!$L:$L, Mountserat!$B:$B, A18, Mountserat!$D:$D, "Out Ports") + SUMIFS(Nevis!$L:$L, Nevis!$B:$B, A18, Nevis!$D:$D, "Out Ports")</f>
        <v>0</v>
      </c>
      <c r="D18">
        <f t="shared" si="0"/>
        <v>0</v>
      </c>
    </row>
    <row r="19" spans="1:4" x14ac:dyDescent="0.25">
      <c r="A19" t="s">
        <v>6</v>
      </c>
      <c r="B19">
        <f>SUMIFS(Antigua!$L:$L, Antigua!$B:$B, A19, Antigua!$D:$D, "London") + SUMIFS(Barbados!$L:$L, Barbados!$B:$B, A19, Barbados!$D:$D, "London") + SUMIFS(Bermuda!$L:$L, Bermuda!$B:$B, A19, Bermuda!$D:$D, "London") + SUMIFS(Jamaica!$L:$L, Jamaica!$B:$B, A19, Jamaica!$D:$D, "London") + SUMIFS(Mountserat!$L:$L, Mountserat!$B:$B, A19, Mountserat!$D:$D, "London") + SUMIFS(Nevis!$L:$L, Nevis!$B:$B, A19, Nevis!$D:$D, "London")</f>
        <v>8.2142857142857142E-2</v>
      </c>
      <c r="C19">
        <f>SUMIFS(Antigua!$L:$L, Antigua!$B:$B, A19, Antigua!$D:$D, "Out Ports") + SUMIFS(Barbados!$L:$L, Barbados!$B:$B, A19, Barbados!$D:$D, "Out Ports") + SUMIFS(Bermuda!$L:$L, Bermuda!$B:$B, A19, Bermuda!$D:$D, "Out Ports") + SUMIFS(Jamaica!$L:$L, Jamaica!$B:$B, A19, Jamaica!$D:$D, "Out Ports") + SUMIFS(Mountserat!$L:$L, Mountserat!$B:$B, A19, Mountserat!$D:$D, "Out Ports") + SUMIFS(Nevis!$L:$L, Nevis!$B:$B, A19, Nevis!$D:$D, "Out Ports")</f>
        <v>0</v>
      </c>
      <c r="D19">
        <f t="shared" si="0"/>
        <v>8.2142857142857142E-2</v>
      </c>
    </row>
    <row r="20" spans="1:4" x14ac:dyDescent="0.25">
      <c r="A20" t="s">
        <v>102</v>
      </c>
      <c r="B20">
        <f>SUMIFS(Antigua!$L:$L, Antigua!$B:$B, A20, Antigua!$D:$D, "London") + SUMIFS(Barbados!$L:$L, Barbados!$B:$B, A20, Barbados!$D:$D, "London") + SUMIFS(Bermuda!$L:$L, Bermuda!$B:$B, A20, Bermuda!$D:$D, "London") + SUMIFS(Jamaica!$L:$L, Jamaica!$B:$B, A20, Jamaica!$D:$D, "London") + SUMIFS(Mountserat!$L:$L, Mountserat!$B:$B, A20, Mountserat!$D:$D, "London") + SUMIFS(Nevis!$L:$L, Nevis!$B:$B, A20, Nevis!$D:$D, "London")</f>
        <v>0</v>
      </c>
      <c r="C20">
        <f>SUMIFS(Antigua!$L:$L, Antigua!$B:$B, A20, Antigua!$D:$D, "Out Ports") + SUMIFS(Barbados!$L:$L, Barbados!$B:$B, A20, Barbados!$D:$D, "Out Ports") + SUMIFS(Bermuda!$L:$L, Bermuda!$B:$B, A20, Bermuda!$D:$D, "Out Ports") + SUMIFS(Jamaica!$L:$L, Jamaica!$B:$B, A20, Jamaica!$D:$D, "Out Ports") + SUMIFS(Mountserat!$L:$L, Mountserat!$B:$B, A20, Mountserat!$D:$D, "Out Ports") + SUMIFS(Nevis!$L:$L, Nevis!$B:$B, A20, Nevis!$D:$D, "Out Ports")</f>
        <v>0</v>
      </c>
      <c r="D20">
        <f t="shared" si="0"/>
        <v>0</v>
      </c>
    </row>
    <row r="21" spans="1:4" x14ac:dyDescent="0.25">
      <c r="A21" t="s">
        <v>7</v>
      </c>
      <c r="B21">
        <f>SUMIFS(Antigua!$L:$L, Antigua!$B:$B, A21, Antigua!$D:$D, "London") + SUMIFS(Barbados!$L:$L, Barbados!$B:$B, A21, Barbados!$D:$D, "London") + SUMIFS(Bermuda!$L:$L, Bermuda!$B:$B, A21, Bermuda!$D:$D, "London") + SUMIFS(Jamaica!$L:$L, Jamaica!$B:$B, A21, Jamaica!$D:$D, "London") + SUMIFS(Mountserat!$L:$L, Mountserat!$B:$B, A21, Mountserat!$D:$D, "London") + SUMIFS(Nevis!$L:$L, Nevis!$B:$B, A21, Nevis!$D:$D, "London")</f>
        <v>0</v>
      </c>
      <c r="C21">
        <f>SUMIFS(Antigua!$L:$L, Antigua!$B:$B, A21, Antigua!$D:$D, "Out Ports") + SUMIFS(Barbados!$L:$L, Barbados!$B:$B, A21, Barbados!$D:$D, "Out Ports") + SUMIFS(Bermuda!$L:$L, Bermuda!$B:$B, A21, Bermuda!$D:$D, "Out Ports") + SUMIFS(Jamaica!$L:$L, Jamaica!$B:$B, A21, Jamaica!$D:$D, "Out Ports") + SUMIFS(Mountserat!$L:$L, Mountserat!$B:$B, A21, Mountserat!$D:$D, "Out Ports") + SUMIFS(Nevis!$L:$L, Nevis!$B:$B, A21, Nevis!$D:$D, "Out Ports")</f>
        <v>0</v>
      </c>
      <c r="D21">
        <f t="shared" si="0"/>
        <v>0</v>
      </c>
    </row>
    <row r="22" spans="1:4" x14ac:dyDescent="0.25">
      <c r="A22" t="s">
        <v>103</v>
      </c>
      <c r="B22">
        <f>SUMIFS(Antigua!$L:$L, Antigua!$B:$B, A22, Antigua!$D:$D, "London") + SUMIFS(Barbados!$L:$L, Barbados!$B:$B, A22, Barbados!$D:$D, "London") + SUMIFS(Bermuda!$L:$L, Bermuda!$B:$B, A22, Bermuda!$D:$D, "London") + SUMIFS(Jamaica!$L:$L, Jamaica!$B:$B, A22, Jamaica!$D:$D, "London") + SUMIFS(Mountserat!$L:$L, Mountserat!$B:$B, A22, Mountserat!$D:$D, "London") + SUMIFS(Nevis!$L:$L, Nevis!$B:$B, A22, Nevis!$D:$D, "London")</f>
        <v>0</v>
      </c>
      <c r="C22">
        <f>SUMIFS(Antigua!$L:$L, Antigua!$B:$B, A22, Antigua!$D:$D, "Out Ports") + SUMIFS(Barbados!$L:$L, Barbados!$B:$B, A22, Barbados!$D:$D, "Out Ports") + SUMIFS(Bermuda!$L:$L, Bermuda!$B:$B, A22, Bermuda!$D:$D, "Out Ports") + SUMIFS(Jamaica!$L:$L, Jamaica!$B:$B, A22, Jamaica!$D:$D, "Out Ports") + SUMIFS(Mountserat!$L:$L, Mountserat!$B:$B, A22, Mountserat!$D:$D, "Out Ports") + SUMIFS(Nevis!$L:$L, Nevis!$B:$B, A22, Nevis!$D:$D, "Out Ports")</f>
        <v>0</v>
      </c>
      <c r="D22">
        <f t="shared" si="0"/>
        <v>0</v>
      </c>
    </row>
    <row r="23" spans="1:4" x14ac:dyDescent="0.25">
      <c r="A23" t="s">
        <v>104</v>
      </c>
      <c r="B23">
        <f>SUMIFS(Antigua!$L:$L, Antigua!$B:$B, A23, Antigua!$D:$D, "London") + SUMIFS(Barbados!$L:$L, Barbados!$B:$B, A23, Barbados!$D:$D, "London") + SUMIFS(Bermuda!$L:$L, Bermuda!$B:$B, A23, Bermuda!$D:$D, "London") + SUMIFS(Jamaica!$L:$L, Jamaica!$B:$B, A23, Jamaica!$D:$D, "London") + SUMIFS(Mountserat!$L:$L, Mountserat!$B:$B, A23, Mountserat!$D:$D, "London") + SUMIFS(Nevis!$L:$L, Nevis!$B:$B, A23, Nevis!$D:$D, "London")</f>
        <v>0</v>
      </c>
      <c r="C23">
        <f>SUMIFS(Antigua!$L:$L, Antigua!$B:$B, A23, Antigua!$D:$D, "Out Ports") + SUMIFS(Barbados!$L:$L, Barbados!$B:$B, A23, Barbados!$D:$D, "Out Ports") + SUMIFS(Bermuda!$L:$L, Bermuda!$B:$B, A23, Bermuda!$D:$D, "Out Ports") + SUMIFS(Jamaica!$L:$L, Jamaica!$B:$B, A23, Jamaica!$D:$D, "Out Ports") + SUMIFS(Mountserat!$L:$L, Mountserat!$B:$B, A23, Mountserat!$D:$D, "Out Ports") + SUMIFS(Nevis!$L:$L, Nevis!$B:$B, A23, Nevis!$D:$D, "Out Ports")</f>
        <v>0</v>
      </c>
      <c r="D23">
        <f t="shared" si="0"/>
        <v>0</v>
      </c>
    </row>
    <row r="24" spans="1:4" x14ac:dyDescent="0.25">
      <c r="A24" t="s">
        <v>105</v>
      </c>
      <c r="B24">
        <f>SUMIFS(Antigua!$L:$L, Antigua!$B:$B, A24, Antigua!$D:$D, "London") + SUMIFS(Barbados!$L:$L, Barbados!$B:$B, A24, Barbados!$D:$D, "London") + SUMIFS(Bermuda!$L:$L, Bermuda!$B:$B, A24, Bermuda!$D:$D, "London") + SUMIFS(Jamaica!$L:$L, Jamaica!$B:$B, A24, Jamaica!$D:$D, "London") + SUMIFS(Mountserat!$L:$L, Mountserat!$B:$B, A24, Mountserat!$D:$D, "London") + SUMIFS(Nevis!$L:$L, Nevis!$B:$B, A24, Nevis!$D:$D, "London")</f>
        <v>0</v>
      </c>
      <c r="C24">
        <f>SUMIFS(Antigua!$L:$L, Antigua!$B:$B, A24, Antigua!$D:$D, "Out Ports") + SUMIFS(Barbados!$L:$L, Barbados!$B:$B, A24, Barbados!$D:$D, "Out Ports") + SUMIFS(Bermuda!$L:$L, Bermuda!$B:$B, A24, Bermuda!$D:$D, "Out Ports") + SUMIFS(Jamaica!$L:$L, Jamaica!$B:$B, A24, Jamaica!$D:$D, "Out Ports") + SUMIFS(Mountserat!$L:$L, Mountserat!$B:$B, A24, Mountserat!$D:$D, "Out Ports") + SUMIFS(Nevis!$L:$L, Nevis!$B:$B, A24, Nevis!$D:$D, "Out Ports")</f>
        <v>0</v>
      </c>
      <c r="D24">
        <f t="shared" si="0"/>
        <v>0</v>
      </c>
    </row>
    <row r="25" spans="1:4" x14ac:dyDescent="0.25">
      <c r="A25" t="s">
        <v>106</v>
      </c>
      <c r="B25">
        <f>SUMIFS(Antigua!$L:$L, Antigua!$B:$B, A25, Antigua!$D:$D, "London") + SUMIFS(Barbados!$L:$L, Barbados!$B:$B, A25, Barbados!$D:$D, "London") + SUMIFS(Bermuda!$L:$L, Bermuda!$B:$B, A25, Bermuda!$D:$D, "London") + SUMIFS(Jamaica!$L:$L, Jamaica!$B:$B, A25, Jamaica!$D:$D, "London") + SUMIFS(Mountserat!$L:$L, Mountserat!$B:$B, A25, Mountserat!$D:$D, "London") + SUMIFS(Nevis!$L:$L, Nevis!$B:$B, A25, Nevis!$D:$D, "London")</f>
        <v>0</v>
      </c>
      <c r="C25">
        <f>SUMIFS(Antigua!$L:$L, Antigua!$B:$B, A25, Antigua!$D:$D, "Out Ports") + SUMIFS(Barbados!$L:$L, Barbados!$B:$B, A25, Barbados!$D:$D, "Out Ports") + SUMIFS(Bermuda!$L:$L, Bermuda!$B:$B, A25, Bermuda!$D:$D, "Out Ports") + SUMIFS(Jamaica!$L:$L, Jamaica!$B:$B, A25, Jamaica!$D:$D, "Out Ports") + SUMIFS(Mountserat!$L:$L, Mountserat!$B:$B, A25, Mountserat!$D:$D, "Out Ports") + SUMIFS(Nevis!$L:$L, Nevis!$B:$B, A25, Nevis!$D:$D, "Out Ports")</f>
        <v>0</v>
      </c>
      <c r="D25">
        <f t="shared" si="0"/>
        <v>0</v>
      </c>
    </row>
    <row r="26" spans="1:4" x14ac:dyDescent="0.25">
      <c r="A26" t="s">
        <v>107</v>
      </c>
      <c r="B26">
        <f>SUMIFS(Antigua!$L:$L, Antigua!$B:$B, A26, Antigua!$D:$D, "London") + SUMIFS(Barbados!$L:$L, Barbados!$B:$B, A26, Barbados!$D:$D, "London") + SUMIFS(Bermuda!$L:$L, Bermuda!$B:$B, A26, Bermuda!$D:$D, "London") + SUMIFS(Jamaica!$L:$L, Jamaica!$B:$B, A26, Jamaica!$D:$D, "London") + SUMIFS(Mountserat!$L:$L, Mountserat!$B:$B, A26, Mountserat!$D:$D, "London") + SUMIFS(Nevis!$L:$L, Nevis!$B:$B, A26, Nevis!$D:$D, "London")</f>
        <v>0</v>
      </c>
      <c r="C26">
        <f>SUMIFS(Antigua!$L:$L, Antigua!$B:$B, A26, Antigua!$D:$D, "Out Ports") + SUMIFS(Barbados!$L:$L, Barbados!$B:$B, A26, Barbados!$D:$D, "Out Ports") + SUMIFS(Bermuda!$L:$L, Bermuda!$B:$B, A26, Bermuda!$D:$D, "Out Ports") + SUMIFS(Jamaica!$L:$L, Jamaica!$B:$B, A26, Jamaica!$D:$D, "Out Ports") + SUMIFS(Mountserat!$L:$L, Mountserat!$B:$B, A26, Mountserat!$D:$D, "Out Ports") + SUMIFS(Nevis!$L:$L, Nevis!$B:$B, A26, Nevis!$D:$D, "Out Ports")</f>
        <v>0</v>
      </c>
      <c r="D26">
        <f t="shared" si="0"/>
        <v>0</v>
      </c>
    </row>
    <row r="27" spans="1:4" x14ac:dyDescent="0.25">
      <c r="A27" t="s">
        <v>8</v>
      </c>
      <c r="B27">
        <f>SUMIFS(Antigua!$L:$L, Antigua!$B:$B, A27, Antigua!$D:$D, "London") + SUMIFS(Barbados!$L:$L, Barbados!$B:$B, A27, Barbados!$D:$D, "London") + SUMIFS(Bermuda!$L:$L, Bermuda!$B:$B, A27, Bermuda!$D:$D, "London") + SUMIFS(Jamaica!$L:$L, Jamaica!$B:$B, A27, Jamaica!$D:$D, "London") + SUMIFS(Mountserat!$L:$L, Mountserat!$B:$B, A27, Mountserat!$D:$D, "London") + SUMIFS(Nevis!$L:$L, Nevis!$B:$B, A27, Nevis!$D:$D, "London")</f>
        <v>99.910714285714292</v>
      </c>
      <c r="C27">
        <f>SUMIFS(Antigua!$L:$L, Antigua!$B:$B, A27, Antigua!$D:$D, "Out Ports") + SUMIFS(Barbados!$L:$L, Barbados!$B:$B, A27, Barbados!$D:$D, "Out Ports") + SUMIFS(Bermuda!$L:$L, Bermuda!$B:$B, A27, Bermuda!$D:$D, "Out Ports") + SUMIFS(Jamaica!$L:$L, Jamaica!$B:$B, A27, Jamaica!$D:$D, "Out Ports") + SUMIFS(Mountserat!$L:$L, Mountserat!$B:$B, A27, Mountserat!$D:$D, "Out Ports") + SUMIFS(Nevis!$L:$L, Nevis!$B:$B, A27, Nevis!$D:$D, "Out Ports")</f>
        <v>49.7</v>
      </c>
      <c r="D27">
        <f t="shared" si="0"/>
        <v>149.61071428571429</v>
      </c>
    </row>
    <row r="28" spans="1:4" x14ac:dyDescent="0.25">
      <c r="A28" t="s">
        <v>9</v>
      </c>
      <c r="B28">
        <f>SUMIFS(Antigua!$L:$L, Antigua!$B:$B, A28, Antigua!$D:$D, "London") + SUMIFS(Barbados!$L:$L, Barbados!$B:$B, A28, Barbados!$D:$D, "London") + SUMIFS(Bermuda!$L:$L, Bermuda!$B:$B, A28, Bermuda!$D:$D, "London") + SUMIFS(Jamaica!$L:$L, Jamaica!$B:$B, A28, Jamaica!$D:$D, "London") + SUMIFS(Mountserat!$L:$L, Mountserat!$B:$B, A28, Mountserat!$D:$D, "London") + SUMIFS(Nevis!$L:$L, Nevis!$B:$B, A28, Nevis!$D:$D, "London")</f>
        <v>381.91383928571429</v>
      </c>
      <c r="C28">
        <f>SUMIFS(Antigua!$L:$L, Antigua!$B:$B, A28, Antigua!$D:$D, "Out Ports") + SUMIFS(Barbados!$L:$L, Barbados!$B:$B, A28, Barbados!$D:$D, "Out Ports") + SUMIFS(Bermuda!$L:$L, Bermuda!$B:$B, A28, Bermuda!$D:$D, "Out Ports") + SUMIFS(Jamaica!$L:$L, Jamaica!$B:$B, A28, Jamaica!$D:$D, "Out Ports") + SUMIFS(Mountserat!$L:$L, Mountserat!$B:$B, A28, Mountserat!$D:$D, "Out Ports") + SUMIFS(Nevis!$L:$L, Nevis!$B:$B, A28, Nevis!$D:$D, "Out Ports")</f>
        <v>57.685267857142854</v>
      </c>
      <c r="D28">
        <f t="shared" si="0"/>
        <v>439.59910714285712</v>
      </c>
    </row>
    <row r="29" spans="1:4" x14ac:dyDescent="0.25">
      <c r="A29" t="s">
        <v>10</v>
      </c>
      <c r="B29">
        <f>SUMIFS(Antigua!$L:$L, Antigua!$B:$B, A29, Antigua!$D:$D, "London") + SUMIFS(Barbados!$L:$L, Barbados!$B:$B, A29, Barbados!$D:$D, "London") + SUMIFS(Bermuda!$L:$L, Bermuda!$B:$B, A29, Bermuda!$D:$D, "London") + SUMIFS(Jamaica!$L:$L, Jamaica!$B:$B, A29, Jamaica!$D:$D, "London") + SUMIFS(Mountserat!$L:$L, Mountserat!$B:$B, A29, Mountserat!$D:$D, "London") + SUMIFS(Nevis!$L:$L, Nevis!$B:$B, A29, Nevis!$D:$D, "London")</f>
        <v>6.0584821428571427</v>
      </c>
      <c r="C29">
        <f>SUMIFS(Antigua!$L:$L, Antigua!$B:$B, A29, Antigua!$D:$D, "Out Ports") + SUMIFS(Barbados!$L:$L, Barbados!$B:$B, A29, Barbados!$D:$D, "Out Ports") + SUMIFS(Bermuda!$L:$L, Bermuda!$B:$B, A29, Bermuda!$D:$D, "Out Ports") + SUMIFS(Jamaica!$L:$L, Jamaica!$B:$B, A29, Jamaica!$D:$D, "Out Ports") + SUMIFS(Mountserat!$L:$L, Mountserat!$B:$B, A29, Mountserat!$D:$D, "Out Ports") + SUMIFS(Nevis!$L:$L, Nevis!$B:$B, A29, Nevis!$D:$D, "Out Ports")</f>
        <v>0.6</v>
      </c>
      <c r="D29">
        <f t="shared" si="0"/>
        <v>6.6584821428571423</v>
      </c>
    </row>
    <row r="30" spans="1:4" x14ac:dyDescent="0.25">
      <c r="A30" t="s">
        <v>108</v>
      </c>
      <c r="B30">
        <f>SUMIFS(Antigua!$L:$L, Antigua!$B:$B, A30, Antigua!$D:$D, "London") + SUMIFS(Barbados!$L:$L, Barbados!$B:$B, A30, Barbados!$D:$D, "London") + SUMIFS(Bermuda!$L:$L, Bermuda!$B:$B, A30, Bermuda!$D:$D, "London") + SUMIFS(Jamaica!$L:$L, Jamaica!$B:$B, A30, Jamaica!$D:$D, "London") + SUMIFS(Mountserat!$L:$L, Mountserat!$B:$B, A30, Mountserat!$D:$D, "London") + SUMIFS(Nevis!$L:$L, Nevis!$B:$B, A30, Nevis!$D:$D, "London")</f>
        <v>0</v>
      </c>
      <c r="C30">
        <f>SUMIFS(Antigua!$L:$L, Antigua!$B:$B, A30, Antigua!$D:$D, "Out Ports") + SUMIFS(Barbados!$L:$L, Barbados!$B:$B, A30, Barbados!$D:$D, "Out Ports") + SUMIFS(Bermuda!$L:$L, Bermuda!$B:$B, A30, Bermuda!$D:$D, "Out Ports") + SUMIFS(Jamaica!$L:$L, Jamaica!$B:$B, A30, Jamaica!$D:$D, "Out Ports") + SUMIFS(Mountserat!$L:$L, Mountserat!$B:$B, A30, Mountserat!$D:$D, "Out Ports") + SUMIFS(Nevis!$L:$L, Nevis!$B:$B, A30, Nevis!$D:$D, "Out Ports")</f>
        <v>0</v>
      </c>
      <c r="D30">
        <f t="shared" si="0"/>
        <v>0</v>
      </c>
    </row>
    <row r="31" spans="1:4" x14ac:dyDescent="0.25">
      <c r="A31" t="s">
        <v>109</v>
      </c>
      <c r="B31">
        <f>SUMIFS(Antigua!$L:$L, Antigua!$B:$B, A31, Antigua!$D:$D, "London") + SUMIFS(Barbados!$L:$L, Barbados!$B:$B, A31, Barbados!$D:$D, "London") + SUMIFS(Bermuda!$L:$L, Bermuda!$B:$B, A31, Bermuda!$D:$D, "London") + SUMIFS(Jamaica!$L:$L, Jamaica!$B:$B, A31, Jamaica!$D:$D, "London") + SUMIFS(Mountserat!$L:$L, Mountserat!$B:$B, A31, Mountserat!$D:$D, "London") + SUMIFS(Nevis!$L:$L, Nevis!$B:$B, A31, Nevis!$D:$D, "London")</f>
        <v>0</v>
      </c>
      <c r="C31">
        <f>SUMIFS(Antigua!$L:$L, Antigua!$B:$B, A31, Antigua!$D:$D, "Out Ports") + SUMIFS(Barbados!$L:$L, Barbados!$B:$B, A31, Barbados!$D:$D, "Out Ports") + SUMIFS(Bermuda!$L:$L, Bermuda!$B:$B, A31, Bermuda!$D:$D, "Out Ports") + SUMIFS(Jamaica!$L:$L, Jamaica!$B:$B, A31, Jamaica!$D:$D, "Out Ports") + SUMIFS(Mountserat!$L:$L, Mountserat!$B:$B, A31, Mountserat!$D:$D, "Out Ports") + SUMIFS(Nevis!$L:$L, Nevis!$B:$B, A31, Nevis!$D:$D, "Out Ports")</f>
        <v>0</v>
      </c>
      <c r="D31">
        <f t="shared" si="0"/>
        <v>0</v>
      </c>
    </row>
    <row r="32" spans="1:4" x14ac:dyDescent="0.25">
      <c r="A32" t="s">
        <v>110</v>
      </c>
      <c r="B32">
        <f>SUMIFS(Antigua!$L:$L, Antigua!$B:$B, A32, Antigua!$D:$D, "London") + SUMIFS(Barbados!$L:$L, Barbados!$B:$B, A32, Barbados!$D:$D, "London") + SUMIFS(Bermuda!$L:$L, Bermuda!$B:$B, A32, Bermuda!$D:$D, "London") + SUMIFS(Jamaica!$L:$L, Jamaica!$B:$B, A32, Jamaica!$D:$D, "London") + SUMIFS(Mountserat!$L:$L, Mountserat!$B:$B, A32, Mountserat!$D:$D, "London") + SUMIFS(Nevis!$L:$L, Nevis!$B:$B, A32, Nevis!$D:$D, "London")</f>
        <v>0</v>
      </c>
      <c r="C32">
        <f>SUMIFS(Antigua!$L:$L, Antigua!$B:$B, A32, Antigua!$D:$D, "Out Ports") + SUMIFS(Barbados!$L:$L, Barbados!$B:$B, A32, Barbados!$D:$D, "Out Ports") + SUMIFS(Bermuda!$L:$L, Bermuda!$B:$B, A32, Bermuda!$D:$D, "Out Ports") + SUMIFS(Jamaica!$L:$L, Jamaica!$B:$B, A32, Jamaica!$D:$D, "Out Ports") + SUMIFS(Mountserat!$L:$L, Mountserat!$B:$B, A32, Mountserat!$D:$D, "Out Ports") + SUMIFS(Nevis!$L:$L, Nevis!$B:$B, A32, Nevis!$D:$D, "Out Ports")</f>
        <v>0</v>
      </c>
      <c r="D32">
        <f t="shared" si="0"/>
        <v>0</v>
      </c>
    </row>
    <row r="33" spans="1:4" x14ac:dyDescent="0.25">
      <c r="A33" t="s">
        <v>111</v>
      </c>
      <c r="B33">
        <f>SUMIFS(Antigua!$L:$L, Antigua!$B:$B, A33, Antigua!$D:$D, "London") + SUMIFS(Barbados!$L:$L, Barbados!$B:$B, A33, Barbados!$D:$D, "London") + SUMIFS(Bermuda!$L:$L, Bermuda!$B:$B, A33, Bermuda!$D:$D, "London") + SUMIFS(Jamaica!$L:$L, Jamaica!$B:$B, A33, Jamaica!$D:$D, "London") + SUMIFS(Mountserat!$L:$L, Mountserat!$B:$B, A33, Mountserat!$D:$D, "London") + SUMIFS(Nevis!$L:$L, Nevis!$B:$B, A33, Nevis!$D:$D, "London")</f>
        <v>0</v>
      </c>
      <c r="C33">
        <f>SUMIFS(Antigua!$L:$L, Antigua!$B:$B, A33, Antigua!$D:$D, "Out Ports") + SUMIFS(Barbados!$L:$L, Barbados!$B:$B, A33, Barbados!$D:$D, "Out Ports") + SUMIFS(Bermuda!$L:$L, Bermuda!$B:$B, A33, Bermuda!$D:$D, "Out Ports") + SUMIFS(Jamaica!$L:$L, Jamaica!$B:$B, A33, Jamaica!$D:$D, "Out Ports") + SUMIFS(Mountserat!$L:$L, Mountserat!$B:$B, A33, Mountserat!$D:$D, "Out Ports") + SUMIFS(Nevis!$L:$L, Nevis!$B:$B, A33, Nevis!$D:$D, "Out Ports")</f>
        <v>0</v>
      </c>
      <c r="D33">
        <f t="shared" si="0"/>
        <v>0</v>
      </c>
    </row>
    <row r="34" spans="1:4" x14ac:dyDescent="0.25">
      <c r="A34" t="s">
        <v>112</v>
      </c>
      <c r="B34">
        <f>SUMIFS(Antigua!$L:$L, Antigua!$B:$B, A34, Antigua!$D:$D, "London") + SUMIFS(Barbados!$L:$L, Barbados!$B:$B, A34, Barbados!$D:$D, "London") + SUMIFS(Bermuda!$L:$L, Bermuda!$B:$B, A34, Bermuda!$D:$D, "London") + SUMIFS(Jamaica!$L:$L, Jamaica!$B:$B, A34, Jamaica!$D:$D, "London") + SUMIFS(Mountserat!$L:$L, Mountserat!$B:$B, A34, Mountserat!$D:$D, "London") + SUMIFS(Nevis!$L:$L, Nevis!$B:$B, A34, Nevis!$D:$D, "London")</f>
        <v>0</v>
      </c>
      <c r="C34">
        <f>SUMIFS(Antigua!$L:$L, Antigua!$B:$B, A34, Antigua!$D:$D, "Out Ports") + SUMIFS(Barbados!$L:$L, Barbados!$B:$B, A34, Barbados!$D:$D, "Out Ports") + SUMIFS(Bermuda!$L:$L, Bermuda!$B:$B, A34, Bermuda!$D:$D, "Out Ports") + SUMIFS(Jamaica!$L:$L, Jamaica!$B:$B, A34, Jamaica!$D:$D, "Out Ports") + SUMIFS(Mountserat!$L:$L, Mountserat!$B:$B, A34, Mountserat!$D:$D, "Out Ports") + SUMIFS(Nevis!$L:$L, Nevis!$B:$B, A34, Nevis!$D:$D, "Out Ports")</f>
        <v>0</v>
      </c>
      <c r="D34">
        <f t="shared" si="0"/>
        <v>0</v>
      </c>
    </row>
    <row r="35" spans="1:4" x14ac:dyDescent="0.25">
      <c r="A35" t="s">
        <v>113</v>
      </c>
      <c r="B35">
        <f>SUMIFS(Antigua!$L:$L, Antigua!$B:$B, A35, Antigua!$D:$D, "London") + SUMIFS(Barbados!$L:$L, Barbados!$B:$B, A35, Barbados!$D:$D, "London") + SUMIFS(Bermuda!$L:$L, Bermuda!$B:$B, A35, Bermuda!$D:$D, "London") + SUMIFS(Jamaica!$L:$L, Jamaica!$B:$B, A35, Jamaica!$D:$D, "London") + SUMIFS(Mountserat!$L:$L, Mountserat!$B:$B, A35, Mountserat!$D:$D, "London") + SUMIFS(Nevis!$L:$L, Nevis!$B:$B, A35, Nevis!$D:$D, "London")</f>
        <v>0</v>
      </c>
      <c r="C35">
        <f>SUMIFS(Antigua!$L:$L, Antigua!$B:$B, A35, Antigua!$D:$D, "Out Ports") + SUMIFS(Barbados!$L:$L, Barbados!$B:$B, A35, Barbados!$D:$D, "Out Ports") + SUMIFS(Bermuda!$L:$L, Bermuda!$B:$B, A35, Bermuda!$D:$D, "Out Ports") + SUMIFS(Jamaica!$L:$L, Jamaica!$B:$B, A35, Jamaica!$D:$D, "Out Ports") + SUMIFS(Mountserat!$L:$L, Mountserat!$B:$B, A35, Mountserat!$D:$D, "Out Ports") + SUMIFS(Nevis!$L:$L, Nevis!$B:$B, A35, Nevis!$D:$D, "Out Ports")</f>
        <v>0</v>
      </c>
      <c r="D35">
        <f t="shared" si="0"/>
        <v>0</v>
      </c>
    </row>
    <row r="36" spans="1:4" x14ac:dyDescent="0.25">
      <c r="A36" t="s">
        <v>11</v>
      </c>
      <c r="B36">
        <f>SUMIFS(Antigua!$L:$L, Antigua!$B:$B, A36, Antigua!$D:$D, "London") + SUMIFS(Barbados!$L:$L, Barbados!$B:$B, A36, Barbados!$D:$D, "London") + SUMIFS(Bermuda!$L:$L, Bermuda!$B:$B, A36, Bermuda!$D:$D, "London") + SUMIFS(Jamaica!$L:$L, Jamaica!$B:$B, A36, Jamaica!$D:$D, "London") + SUMIFS(Mountserat!$L:$L, Mountserat!$B:$B, A36, Mountserat!$D:$D, "London") + SUMIFS(Nevis!$L:$L, Nevis!$B:$B, A36, Nevis!$D:$D, "London")</f>
        <v>33.633928571428569</v>
      </c>
      <c r="C36">
        <f>SUMIFS(Antigua!$L:$L, Antigua!$B:$B, A36, Antigua!$D:$D, "Out Ports") + SUMIFS(Barbados!$L:$L, Barbados!$B:$B, A36, Barbados!$D:$D, "Out Ports") + SUMIFS(Bermuda!$L:$L, Bermuda!$B:$B, A36, Bermuda!$D:$D, "Out Ports") + SUMIFS(Jamaica!$L:$L, Jamaica!$B:$B, A36, Jamaica!$D:$D, "Out Ports") + SUMIFS(Mountserat!$L:$L, Mountserat!$B:$B, A36, Mountserat!$D:$D, "Out Ports") + SUMIFS(Nevis!$L:$L, Nevis!$B:$B, A36, Nevis!$D:$D, "Out Ports")</f>
        <v>6.8370535714285721</v>
      </c>
      <c r="D36">
        <f t="shared" si="0"/>
        <v>40.470982142857139</v>
      </c>
    </row>
    <row r="37" spans="1:4" x14ac:dyDescent="0.25">
      <c r="A37" t="s">
        <v>114</v>
      </c>
      <c r="B37">
        <f>SUMIFS(Antigua!$L:$L, Antigua!$B:$B, A37, Antigua!$D:$D, "London") + SUMIFS(Barbados!$L:$L, Barbados!$B:$B, A37, Barbados!$D:$D, "London") + SUMIFS(Bermuda!$L:$L, Bermuda!$B:$B, A37, Bermuda!$D:$D, "London") + SUMIFS(Jamaica!$L:$L, Jamaica!$B:$B, A37, Jamaica!$D:$D, "London") + SUMIFS(Mountserat!$L:$L, Mountserat!$B:$B, A37, Mountserat!$D:$D, "London") + SUMIFS(Nevis!$L:$L, Nevis!$B:$B, A37, Nevis!$D:$D, "London")</f>
        <v>0</v>
      </c>
      <c r="C37">
        <f>SUMIFS(Antigua!$L:$L, Antigua!$B:$B, A37, Antigua!$D:$D, "Out Ports") + SUMIFS(Barbados!$L:$L, Barbados!$B:$B, A37, Barbados!$D:$D, "Out Ports") + SUMIFS(Bermuda!$L:$L, Bermuda!$B:$B, A37, Bermuda!$D:$D, "Out Ports") + SUMIFS(Jamaica!$L:$L, Jamaica!$B:$B, A37, Jamaica!$D:$D, "Out Ports") + SUMIFS(Mountserat!$L:$L, Mountserat!$B:$B, A37, Mountserat!$D:$D, "Out Ports") + SUMIFS(Nevis!$L:$L, Nevis!$B:$B, A37, Nevis!$D:$D, "Out Ports")</f>
        <v>0</v>
      </c>
      <c r="D37">
        <f t="shared" si="0"/>
        <v>0</v>
      </c>
    </row>
    <row r="38" spans="1:4" x14ac:dyDescent="0.25">
      <c r="A38" t="s">
        <v>53</v>
      </c>
      <c r="B38">
        <f>SUMIFS(Antigua!$L:$L, Antigua!$B:$B, A38, Antigua!$D:$D, "London") + SUMIFS(Barbados!$L:$L, Barbados!$B:$B, A38, Barbados!$D:$D, "London") + SUMIFS(Bermuda!$L:$L, Bermuda!$B:$B, A38, Bermuda!$D:$D, "London") + SUMIFS(Jamaica!$L:$L, Jamaica!$B:$B, A38, Jamaica!$D:$D, "London") + SUMIFS(Mountserat!$L:$L, Mountserat!$B:$B, A38, Mountserat!$D:$D, "London") + SUMIFS(Nevis!$L:$L, Nevis!$B:$B, A38, Nevis!$D:$D, "London")</f>
        <v>0</v>
      </c>
      <c r="C38">
        <f>SUMIFS(Antigua!$L:$L, Antigua!$B:$B, A38, Antigua!$D:$D, "Out Ports") + SUMIFS(Barbados!$L:$L, Barbados!$B:$B, A38, Barbados!$D:$D, "Out Ports") + SUMIFS(Bermuda!$L:$L, Bermuda!$B:$B, A38, Bermuda!$D:$D, "Out Ports") + SUMIFS(Jamaica!$L:$L, Jamaica!$B:$B, A38, Jamaica!$D:$D, "Out Ports") + SUMIFS(Mountserat!$L:$L, Mountserat!$B:$B, A38, Mountserat!$D:$D, "Out Ports") + SUMIFS(Nevis!$L:$L, Nevis!$B:$B, A38, Nevis!$D:$D, "Out Ports")</f>
        <v>0</v>
      </c>
      <c r="D38">
        <f t="shared" si="0"/>
        <v>0</v>
      </c>
    </row>
    <row r="39" spans="1:4" x14ac:dyDescent="0.25">
      <c r="A39" t="s">
        <v>12</v>
      </c>
      <c r="B39">
        <f>SUMIFS(Antigua!$L:$L, Antigua!$B:$B, A39, Antigua!$D:$D, "London") + SUMIFS(Barbados!$L:$L, Barbados!$B:$B, A39, Barbados!$D:$D, "London") + SUMIFS(Bermuda!$L:$L, Bermuda!$B:$B, A39, Bermuda!$D:$D, "London") + SUMIFS(Jamaica!$L:$L, Jamaica!$B:$B, A39, Jamaica!$D:$D, "London") + SUMIFS(Mountserat!$L:$L, Mountserat!$B:$B, A39, Mountserat!$D:$D, "London") + SUMIFS(Nevis!$L:$L, Nevis!$B:$B, A39, Nevis!$D:$D, "London")</f>
        <v>25.6</v>
      </c>
      <c r="C39">
        <f>SUMIFS(Antigua!$L:$L, Antigua!$B:$B, A39, Antigua!$D:$D, "Out Ports") + SUMIFS(Barbados!$L:$L, Barbados!$B:$B, A39, Barbados!$D:$D, "Out Ports") + SUMIFS(Bermuda!$L:$L, Bermuda!$B:$B, A39, Bermuda!$D:$D, "Out Ports") + SUMIFS(Jamaica!$L:$L, Jamaica!$B:$B, A39, Jamaica!$D:$D, "Out Ports") + SUMIFS(Mountserat!$L:$L, Mountserat!$B:$B, A39, Mountserat!$D:$D, "Out Ports") + SUMIFS(Nevis!$L:$L, Nevis!$B:$B, A39, Nevis!$D:$D, "Out Ports")</f>
        <v>16.100000000000001</v>
      </c>
      <c r="D39">
        <f t="shared" si="0"/>
        <v>41.7</v>
      </c>
    </row>
    <row r="40" spans="1:4" x14ac:dyDescent="0.25">
      <c r="A40" t="s">
        <v>13</v>
      </c>
      <c r="B40">
        <f>SUMIFS(Antigua!$L:$L, Antigua!$B:$B, A40, Antigua!$D:$D, "London") + SUMIFS(Barbados!$L:$L, Barbados!$B:$B, A40, Barbados!$D:$D, "London") + SUMIFS(Bermuda!$L:$L, Bermuda!$B:$B, A40, Bermuda!$D:$D, "London") + SUMIFS(Jamaica!$L:$L, Jamaica!$B:$B, A40, Jamaica!$D:$D, "London") + SUMIFS(Mountserat!$L:$L, Mountserat!$B:$B, A40, Mountserat!$D:$D, "London") + SUMIFS(Nevis!$L:$L, Nevis!$B:$B, A40, Nevis!$D:$D, "London")</f>
        <v>2.9781249999999999</v>
      </c>
      <c r="C40">
        <f>SUMIFS(Antigua!$L:$L, Antigua!$B:$B, A40, Antigua!$D:$D, "Out Ports") + SUMIFS(Barbados!$L:$L, Barbados!$B:$B, A40, Barbados!$D:$D, "Out Ports") + SUMIFS(Bermuda!$L:$L, Bermuda!$B:$B, A40, Bermuda!$D:$D, "Out Ports") + SUMIFS(Jamaica!$L:$L, Jamaica!$B:$B, A40, Jamaica!$D:$D, "Out Ports") + SUMIFS(Mountserat!$L:$L, Mountserat!$B:$B, A40, Mountserat!$D:$D, "Out Ports") + SUMIFS(Nevis!$L:$L, Nevis!$B:$B, A40, Nevis!$D:$D, "Out Ports")</f>
        <v>0.6651785714285714</v>
      </c>
      <c r="D40">
        <f t="shared" si="0"/>
        <v>3.6433035714285715</v>
      </c>
    </row>
    <row r="41" spans="1:4" x14ac:dyDescent="0.25">
      <c r="A41" t="s">
        <v>23</v>
      </c>
      <c r="B41">
        <f>SUMIFS(Antigua!$L:$L, Antigua!$B:$B, A41, Antigua!$D:$D, "London") + SUMIFS(Barbados!$L:$L, Barbados!$B:$B, A41, Barbados!$D:$D, "London") + SUMIFS(Bermuda!$L:$L, Bermuda!$B:$B, A41, Bermuda!$D:$D, "London") + SUMIFS(Jamaica!$L:$L, Jamaica!$B:$B, A41, Jamaica!$D:$D, "London") + SUMIFS(Mountserat!$L:$L, Mountserat!$B:$B, A41, Mountserat!$D:$D, "London") + SUMIFS(Nevis!$L:$L, Nevis!$B:$B, A41, Nevis!$D:$D, "London")</f>
        <v>0.625</v>
      </c>
      <c r="C41">
        <f>SUMIFS(Antigua!$L:$L, Antigua!$B:$B, A41, Antigua!$D:$D, "Out Ports") + SUMIFS(Barbados!$L:$L, Barbados!$B:$B, A41, Barbados!$D:$D, "Out Ports") + SUMIFS(Bermuda!$L:$L, Bermuda!$B:$B, A41, Bermuda!$D:$D, "Out Ports") + SUMIFS(Jamaica!$L:$L, Jamaica!$B:$B, A41, Jamaica!$D:$D, "Out Ports") + SUMIFS(Mountserat!$L:$L, Mountserat!$B:$B, A41, Mountserat!$D:$D, "Out Ports") + SUMIFS(Nevis!$L:$L, Nevis!$B:$B, A41, Nevis!$D:$D, "Out Ports")</f>
        <v>0</v>
      </c>
      <c r="D41">
        <f t="shared" si="0"/>
        <v>0.625</v>
      </c>
    </row>
    <row r="42" spans="1:4" x14ac:dyDescent="0.25">
      <c r="A42" t="s">
        <v>27</v>
      </c>
      <c r="B42">
        <f>SUMIFS(Antigua!$L:$L, Antigua!$B:$B, A42, Antigua!$D:$D, "London") + SUMIFS(Barbados!$L:$L, Barbados!$B:$B, A42, Barbados!$D:$D, "London") + SUMIFS(Bermuda!$L:$L, Bermuda!$B:$B, A42, Bermuda!$D:$D, "London") + SUMIFS(Jamaica!$L:$L, Jamaica!$B:$B, A42, Jamaica!$D:$D, "London") + SUMIFS(Mountserat!$L:$L, Mountserat!$B:$B, A42, Mountserat!$D:$D, "London") + SUMIFS(Nevis!$L:$L, Nevis!$B:$B, A42, Nevis!$D:$D, "London")</f>
        <v>0</v>
      </c>
      <c r="C42">
        <f>SUMIFS(Antigua!$L:$L, Antigua!$B:$B, A42, Antigua!$D:$D, "Out Ports") + SUMIFS(Barbados!$L:$L, Barbados!$B:$B, A42, Barbados!$D:$D, "Out Ports") + SUMIFS(Bermuda!$L:$L, Bermuda!$B:$B, A42, Bermuda!$D:$D, "Out Ports") + SUMIFS(Jamaica!$L:$L, Jamaica!$B:$B, A42, Jamaica!$D:$D, "Out Ports") + SUMIFS(Mountserat!$L:$L, Mountserat!$B:$B, A42, Mountserat!$D:$D, "Out Ports") + SUMIFS(Nevis!$L:$L, Nevis!$B:$B, A42, Nevis!$D:$D, "Out Ports")</f>
        <v>0</v>
      </c>
      <c r="D42">
        <f t="shared" si="0"/>
        <v>0</v>
      </c>
    </row>
    <row r="43" spans="1:4" x14ac:dyDescent="0.25">
      <c r="A43" t="s">
        <v>14</v>
      </c>
      <c r="B43">
        <f>SUMIFS(Antigua!$L:$L, Antigua!$B:$B, A43, Antigua!$D:$D, "London") + SUMIFS(Barbados!$L:$L, Barbados!$B:$B, A43, Barbados!$D:$D, "London") + SUMIFS(Bermuda!$L:$L, Bermuda!$B:$B, A43, Bermuda!$D:$D, "London") + SUMIFS(Jamaica!$L:$L, Jamaica!$B:$B, A43, Jamaica!$D:$D, "London") + SUMIFS(Mountserat!$L:$L, Mountserat!$B:$B, A43, Mountserat!$D:$D, "London") + SUMIFS(Nevis!$L:$L, Nevis!$B:$B, A43, Nevis!$D:$D, "London")</f>
        <v>0</v>
      </c>
      <c r="C43">
        <f>SUMIFS(Antigua!$L:$L, Antigua!$B:$B, A43, Antigua!$D:$D, "Out Ports") + SUMIFS(Barbados!$L:$L, Barbados!$B:$B, A43, Barbados!$D:$D, "Out Ports") + SUMIFS(Bermuda!$L:$L, Bermuda!$B:$B, A43, Bermuda!$D:$D, "Out Ports") + SUMIFS(Jamaica!$L:$L, Jamaica!$B:$B, A43, Jamaica!$D:$D, "Out Ports") + SUMIFS(Mountserat!$L:$L, Mountserat!$B:$B, A43, Mountserat!$D:$D, "Out Ports") + SUMIFS(Nevis!$L:$L, Nevis!$B:$B, A43, Nevis!$D:$D, "Out Ports")</f>
        <v>0</v>
      </c>
      <c r="D43">
        <f t="shared" si="0"/>
        <v>0</v>
      </c>
    </row>
    <row r="44" spans="1:4" x14ac:dyDescent="0.25">
      <c r="A44" t="s">
        <v>55</v>
      </c>
      <c r="B44">
        <f>SUMIFS(Antigua!$L:$L, Antigua!$B:$B, A44, Antigua!$D:$D, "London") + SUMIFS(Barbados!$L:$L, Barbados!$B:$B, A44, Barbados!$D:$D, "London") + SUMIFS(Bermuda!$L:$L, Bermuda!$B:$B, A44, Bermuda!$D:$D, "London") + SUMIFS(Jamaica!$L:$L, Jamaica!$B:$B, A44, Jamaica!$D:$D, "London") + SUMIFS(Mountserat!$L:$L, Mountserat!$B:$B, A44, Mountserat!$D:$D, "London") + SUMIFS(Nevis!$L:$L, Nevis!$B:$B, A44, Nevis!$D:$D, "London")</f>
        <v>0</v>
      </c>
      <c r="C44">
        <f>SUMIFS(Antigua!$L:$L, Antigua!$B:$B, A44, Antigua!$D:$D, "Out Ports") + SUMIFS(Barbados!$L:$L, Barbados!$B:$B, A44, Barbados!$D:$D, "Out Ports") + SUMIFS(Bermuda!$L:$L, Bermuda!$B:$B, A44, Bermuda!$D:$D, "Out Ports") + SUMIFS(Jamaica!$L:$L, Jamaica!$B:$B, A44, Jamaica!$D:$D, "Out Ports") + SUMIFS(Mountserat!$L:$L, Mountserat!$B:$B, A44, Mountserat!$D:$D, "Out Ports") + SUMIFS(Nevis!$L:$L, Nevis!$B:$B, A44, Nevis!$D:$D, "Out Ports")</f>
        <v>0</v>
      </c>
      <c r="D44">
        <f t="shared" si="0"/>
        <v>0</v>
      </c>
    </row>
    <row r="45" spans="1:4" x14ac:dyDescent="0.25">
      <c r="A45" t="s">
        <v>115</v>
      </c>
      <c r="B45">
        <f>SUMIFS(Antigua!$L:$L, Antigua!$B:$B, A45, Antigua!$D:$D, "London") + SUMIFS(Barbados!$L:$L, Barbados!$B:$B, A45, Barbados!$D:$D, "London") + SUMIFS(Bermuda!$L:$L, Bermuda!$B:$B, A45, Bermuda!$D:$D, "London") + SUMIFS(Jamaica!$L:$L, Jamaica!$B:$B, A45, Jamaica!$D:$D, "London") + SUMIFS(Mountserat!$L:$L, Mountserat!$B:$B, A45, Mountserat!$D:$D, "London") + SUMIFS(Nevis!$L:$L, Nevis!$B:$B, A45, Nevis!$D:$D, "London")</f>
        <v>0</v>
      </c>
      <c r="C45">
        <f>SUMIFS(Antigua!$L:$L, Antigua!$B:$B, A45, Antigua!$D:$D, "Out Ports") + SUMIFS(Barbados!$L:$L, Barbados!$B:$B, A45, Barbados!$D:$D, "Out Ports") + SUMIFS(Bermuda!$L:$L, Bermuda!$B:$B, A45, Bermuda!$D:$D, "Out Ports") + SUMIFS(Jamaica!$L:$L, Jamaica!$B:$B, A45, Jamaica!$D:$D, "Out Ports") + SUMIFS(Mountserat!$L:$L, Mountserat!$B:$B, A45, Mountserat!$D:$D, "Out Ports") + SUMIFS(Nevis!$L:$L, Nevis!$B:$B, A45, Nevis!$D:$D, "Out Ports")</f>
        <v>0</v>
      </c>
      <c r="D45">
        <f t="shared" si="0"/>
        <v>0</v>
      </c>
    </row>
    <row r="46" spans="1:4" x14ac:dyDescent="0.25">
      <c r="A46" t="s">
        <v>116</v>
      </c>
      <c r="B46">
        <f>SUMIFS(Antigua!$L:$L, Antigua!$B:$B, A46, Antigua!$D:$D, "London") + SUMIFS(Barbados!$L:$L, Barbados!$B:$B, A46, Barbados!$D:$D, "London") + SUMIFS(Bermuda!$L:$L, Bermuda!$B:$B, A46, Bermuda!$D:$D, "London") + SUMIFS(Jamaica!$L:$L, Jamaica!$B:$B, A46, Jamaica!$D:$D, "London") + SUMIFS(Mountserat!$L:$L, Mountserat!$B:$B, A46, Mountserat!$D:$D, "London") + SUMIFS(Nevis!$L:$L, Nevis!$B:$B, A46, Nevis!$D:$D, "London")</f>
        <v>0</v>
      </c>
      <c r="C46">
        <f>SUMIFS(Antigua!$L:$L, Antigua!$B:$B, A46, Antigua!$D:$D, "Out Ports") + SUMIFS(Barbados!$L:$L, Barbados!$B:$B, A46, Barbados!$D:$D, "Out Ports") + SUMIFS(Bermuda!$L:$L, Bermuda!$B:$B, A46, Bermuda!$D:$D, "Out Ports") + SUMIFS(Jamaica!$L:$L, Jamaica!$B:$B, A46, Jamaica!$D:$D, "Out Ports") + SUMIFS(Mountserat!$L:$L, Mountserat!$B:$B, A46, Mountserat!$D:$D, "Out Ports") + SUMIFS(Nevis!$L:$L, Nevis!$B:$B, A46, Nevis!$D:$D, "Out Ports")</f>
        <v>0</v>
      </c>
      <c r="D46">
        <f t="shared" si="0"/>
        <v>0</v>
      </c>
    </row>
    <row r="47" spans="1:4" x14ac:dyDescent="0.25">
      <c r="A47" t="s">
        <v>117</v>
      </c>
      <c r="B47">
        <f>SUMIFS(Antigua!$L:$L, Antigua!$B:$B, A47, Antigua!$D:$D, "London") + SUMIFS(Barbados!$L:$L, Barbados!$B:$B, A47, Barbados!$D:$D, "London") + SUMIFS(Bermuda!$L:$L, Bermuda!$B:$B, A47, Bermuda!$D:$D, "London") + SUMIFS(Jamaica!$L:$L, Jamaica!$B:$B, A47, Jamaica!$D:$D, "London") + SUMIFS(Mountserat!$L:$L, Mountserat!$B:$B, A47, Mountserat!$D:$D, "London") + SUMIFS(Nevis!$L:$L, Nevis!$B:$B, A47, Nevis!$D:$D, "London")</f>
        <v>0</v>
      </c>
      <c r="C47">
        <f>SUMIFS(Antigua!$L:$L, Antigua!$B:$B, A47, Antigua!$D:$D, "Out Ports") + SUMIFS(Barbados!$L:$L, Barbados!$B:$B, A47, Barbados!$D:$D, "Out Ports") + SUMIFS(Bermuda!$L:$L, Bermuda!$B:$B, A47, Bermuda!$D:$D, "Out Ports") + SUMIFS(Jamaica!$L:$L, Jamaica!$B:$B, A47, Jamaica!$D:$D, "Out Ports") + SUMIFS(Mountserat!$L:$L, Mountserat!$B:$B, A47, Mountserat!$D:$D, "Out Ports") + SUMIFS(Nevis!$L:$L, Nevis!$B:$B, A47, Nevis!$D:$D, "Out Ports")</f>
        <v>0</v>
      </c>
      <c r="D47">
        <f t="shared" si="0"/>
        <v>0</v>
      </c>
    </row>
    <row r="48" spans="1:4" x14ac:dyDescent="0.25">
      <c r="A48" t="s">
        <v>15</v>
      </c>
      <c r="B48">
        <f>SUMIFS(Antigua!$L:$L, Antigua!$B:$B, A48, Antigua!$D:$D, "London") + SUMIFS(Barbados!$L:$L, Barbados!$B:$B, A48, Barbados!$D:$D, "London") + SUMIFS(Bermuda!$L:$L, Bermuda!$B:$B, A48, Bermuda!$D:$D, "London") + SUMIFS(Jamaica!$L:$L, Jamaica!$B:$B, A48, Jamaica!$D:$D, "London") + SUMIFS(Mountserat!$L:$L, Mountserat!$B:$B, A48, Mountserat!$D:$D, "London") + SUMIFS(Nevis!$L:$L, Nevis!$B:$B, A48, Nevis!$D:$D, "London")</f>
        <v>1.4339285714285714</v>
      </c>
      <c r="C48">
        <f>SUMIFS(Antigua!$L:$L, Antigua!$B:$B, A48, Antigua!$D:$D, "Out Ports") + SUMIFS(Barbados!$L:$L, Barbados!$B:$B, A48, Barbados!$D:$D, "Out Ports") + SUMIFS(Bermuda!$L:$L, Bermuda!$B:$B, A48, Bermuda!$D:$D, "Out Ports") + SUMIFS(Jamaica!$L:$L, Jamaica!$B:$B, A48, Jamaica!$D:$D, "Out Ports") + SUMIFS(Mountserat!$L:$L, Mountserat!$B:$B, A48, Mountserat!$D:$D, "Out Ports") + SUMIFS(Nevis!$L:$L, Nevis!$B:$B, A48, Nevis!$D:$D, "Out Ports")</f>
        <v>4.4839285714285708</v>
      </c>
      <c r="D48">
        <f t="shared" si="0"/>
        <v>5.9178571428571427</v>
      </c>
    </row>
    <row r="49" spans="1:4" x14ac:dyDescent="0.25">
      <c r="A49" t="s">
        <v>118</v>
      </c>
      <c r="B49">
        <f>SUMIFS(Antigua!$L:$L, Antigua!$B:$B, A49, Antigua!$D:$D, "London") + SUMIFS(Barbados!$L:$L, Barbados!$B:$B, A49, Barbados!$D:$D, "London") + SUMIFS(Bermuda!$L:$L, Bermuda!$B:$B, A49, Bermuda!$D:$D, "London") + SUMIFS(Jamaica!$L:$L, Jamaica!$B:$B, A49, Jamaica!$D:$D, "London") + SUMIFS(Mountserat!$L:$L, Mountserat!$B:$B, A49, Mountserat!$D:$D, "London") + SUMIFS(Nevis!$L:$L, Nevis!$B:$B, A49, Nevis!$D:$D, "London")</f>
        <v>0</v>
      </c>
      <c r="C49">
        <f>SUMIFS(Antigua!$L:$L, Antigua!$B:$B, A49, Antigua!$D:$D, "Out Ports") + SUMIFS(Barbados!$L:$L, Barbados!$B:$B, A49, Barbados!$D:$D, "Out Ports") + SUMIFS(Bermuda!$L:$L, Bermuda!$B:$B, A49, Bermuda!$D:$D, "Out Ports") + SUMIFS(Jamaica!$L:$L, Jamaica!$B:$B, A49, Jamaica!$D:$D, "Out Ports") + SUMIFS(Mountserat!$L:$L, Mountserat!$B:$B, A49, Mountserat!$D:$D, "Out Ports") + SUMIFS(Nevis!$L:$L, Nevis!$B:$B, A49, Nevis!$D:$D, "Out Ports")</f>
        <v>0</v>
      </c>
      <c r="D49">
        <f t="shared" si="0"/>
        <v>0</v>
      </c>
    </row>
    <row r="50" spans="1:4" x14ac:dyDescent="0.25">
      <c r="A50" t="s">
        <v>16</v>
      </c>
      <c r="B50">
        <f>SUMIFS(Antigua!$L:$L, Antigua!$B:$B, A50, Antigua!$D:$D, "London") + SUMIFS(Barbados!$L:$L, Barbados!$B:$B, A50, Barbados!$D:$D, "London") + SUMIFS(Bermuda!$L:$L, Bermuda!$B:$B, A50, Bermuda!$D:$D, "London") + SUMIFS(Jamaica!$L:$L, Jamaica!$B:$B, A50, Jamaica!$D:$D, "London") + SUMIFS(Mountserat!$L:$L, Mountserat!$B:$B, A50, Mountserat!$D:$D, "London") + SUMIFS(Nevis!$L:$L, Nevis!$B:$B, A50, Nevis!$D:$D, "London")</f>
        <v>0</v>
      </c>
      <c r="C50">
        <f>SUMIFS(Antigua!$L:$L, Antigua!$B:$B, A50, Antigua!$D:$D, "Out Ports") + SUMIFS(Barbados!$L:$L, Barbados!$B:$B, A50, Barbados!$D:$D, "Out Ports") + SUMIFS(Bermuda!$L:$L, Bermuda!$B:$B, A50, Bermuda!$D:$D, "Out Ports") + SUMIFS(Jamaica!$L:$L, Jamaica!$B:$B, A50, Jamaica!$D:$D, "Out Ports") + SUMIFS(Mountserat!$L:$L, Mountserat!$B:$B, A50, Mountserat!$D:$D, "Out Ports") + SUMIFS(Nevis!$L:$L, Nevis!$B:$B, A50, Nevis!$D:$D, "Out Ports")</f>
        <v>0</v>
      </c>
      <c r="D50">
        <f t="shared" si="0"/>
        <v>0</v>
      </c>
    </row>
    <row r="51" spans="1:4" x14ac:dyDescent="0.25">
      <c r="A51" t="s">
        <v>17</v>
      </c>
      <c r="B51">
        <f>SUMIFS(Antigua!$L:$L, Antigua!$B:$B, A51, Antigua!$D:$D, "London") + SUMIFS(Barbados!$L:$L, Barbados!$B:$B, A51, Barbados!$D:$D, "London") + SUMIFS(Bermuda!$L:$L, Bermuda!$B:$B, A51, Bermuda!$D:$D, "London") + SUMIFS(Jamaica!$L:$L, Jamaica!$B:$B, A51, Jamaica!$D:$D, "London") + SUMIFS(Mountserat!$L:$L, Mountserat!$B:$B, A51, Mountserat!$D:$D, "London") + SUMIFS(Nevis!$L:$L, Nevis!$B:$B, A51, Nevis!$D:$D, "London")</f>
        <v>4.4642857142857144E-2</v>
      </c>
      <c r="C51">
        <f>SUMIFS(Antigua!$L:$L, Antigua!$B:$B, A51, Antigua!$D:$D, "Out Ports") + SUMIFS(Barbados!$L:$L, Barbados!$B:$B, A51, Barbados!$D:$D, "Out Ports") + SUMIFS(Bermuda!$L:$L, Bermuda!$B:$B, A51, Bermuda!$D:$D, "Out Ports") + SUMIFS(Jamaica!$L:$L, Jamaica!$B:$B, A51, Jamaica!$D:$D, "Out Ports") + SUMIFS(Mountserat!$L:$L, Mountserat!$B:$B, A51, Mountserat!$D:$D, "Out Ports") + SUMIFS(Nevis!$L:$L, Nevis!$B:$B, A51, Nevis!$D:$D, "Out Ports")</f>
        <v>7.1428571428571425E-2</v>
      </c>
      <c r="D51">
        <f t="shared" si="0"/>
        <v>0.11607142857142858</v>
      </c>
    </row>
    <row r="52" spans="1:4" x14ac:dyDescent="0.25">
      <c r="A52" t="s">
        <v>26</v>
      </c>
      <c r="B52">
        <f>SUMIFS(Antigua!$L:$L, Antigua!$B:$B, A52, Antigua!$D:$D, "London") + SUMIFS(Barbados!$L:$L, Barbados!$B:$B, A52, Barbados!$D:$D, "London") + SUMIFS(Bermuda!$L:$L, Bermuda!$B:$B, A52, Bermuda!$D:$D, "London") + SUMIFS(Jamaica!$L:$L, Jamaica!$B:$B, A52, Jamaica!$D:$D, "London") + SUMIFS(Mountserat!$L:$L, Mountserat!$B:$B, A52, Mountserat!$D:$D, "London") + SUMIFS(Nevis!$L:$L, Nevis!$B:$B, A52, Nevis!$D:$D, "London")</f>
        <v>0</v>
      </c>
      <c r="C52">
        <f>SUMIFS(Antigua!$L:$L, Antigua!$B:$B, A52, Antigua!$D:$D, "Out Ports") + SUMIFS(Barbados!$L:$L, Barbados!$B:$B, A52, Barbados!$D:$D, "Out Ports") + SUMIFS(Bermuda!$L:$L, Bermuda!$B:$B, A52, Bermuda!$D:$D, "Out Ports") + SUMIFS(Jamaica!$L:$L, Jamaica!$B:$B, A52, Jamaica!$D:$D, "Out Ports") + SUMIFS(Mountserat!$L:$L, Mountserat!$B:$B, A52, Mountserat!$D:$D, "Out Ports") + SUMIFS(Nevis!$L:$L, Nevis!$B:$B, A52, Nevis!$D:$D, "Out Ports")</f>
        <v>0</v>
      </c>
      <c r="D52">
        <f t="shared" si="0"/>
        <v>0</v>
      </c>
    </row>
    <row r="53" spans="1:4" x14ac:dyDescent="0.25">
      <c r="A53" t="s">
        <v>18</v>
      </c>
      <c r="B53">
        <f>SUMIFS(Antigua!$L:$L, Antigua!$B:$B, A53, Antigua!$D:$D, "London") + SUMIFS(Barbados!$L:$L, Barbados!$B:$B, A53, Barbados!$D:$D, "London") + SUMIFS(Bermuda!$L:$L, Bermuda!$B:$B, A53, Bermuda!$D:$D, "London") + SUMIFS(Jamaica!$L:$L, Jamaica!$B:$B, A53, Jamaica!$D:$D, "London") + SUMIFS(Mountserat!$L:$L, Mountserat!$B:$B, A53, Mountserat!$D:$D, "London") + SUMIFS(Nevis!$L:$L, Nevis!$B:$B, A53, Nevis!$D:$D, "London")</f>
        <v>1.0602678571428572</v>
      </c>
      <c r="C53">
        <f>SUMIFS(Antigua!$L:$L, Antigua!$B:$B, A53, Antigua!$D:$D, "Out Ports") + SUMIFS(Barbados!$L:$L, Barbados!$B:$B, A53, Barbados!$D:$D, "Out Ports") + SUMIFS(Bermuda!$L:$L, Bermuda!$B:$B, A53, Bermuda!$D:$D, "Out Ports") + SUMIFS(Jamaica!$L:$L, Jamaica!$B:$B, A53, Jamaica!$D:$D, "Out Ports") + SUMIFS(Mountserat!$L:$L, Mountserat!$B:$B, A53, Mountserat!$D:$D, "Out Ports") + SUMIFS(Nevis!$L:$L, Nevis!$B:$B, A53, Nevis!$D:$D, "Out Ports")</f>
        <v>0</v>
      </c>
      <c r="D53">
        <f t="shared" si="0"/>
        <v>1.0602678571428572</v>
      </c>
    </row>
    <row r="54" spans="1:4" x14ac:dyDescent="0.25">
      <c r="A54" t="s">
        <v>72</v>
      </c>
      <c r="B54">
        <f>SUMIFS(Antigua!$L:$L, Antigua!$B:$B, A54, Antigua!$D:$D, "London") + SUMIFS(Barbados!$L:$L, Barbados!$B:$B, A54, Barbados!$D:$D, "London") + SUMIFS(Bermuda!$L:$L, Bermuda!$B:$B, A54, Bermuda!$D:$D, "London") + SUMIFS(Jamaica!$L:$L, Jamaica!$B:$B, A54, Jamaica!$D:$D, "London") + SUMIFS(Mountserat!$L:$L, Mountserat!$B:$B, A54, Mountserat!$D:$D, "London") + SUMIFS(Nevis!$L:$L, Nevis!$B:$B, A54, Nevis!$D:$D, "London")</f>
        <v>0</v>
      </c>
      <c r="C54">
        <f>SUMIFS(Antigua!$L:$L, Antigua!$B:$B, A54, Antigua!$D:$D, "Out Ports") + SUMIFS(Barbados!$L:$L, Barbados!$B:$B, A54, Barbados!$D:$D, "Out Ports") + SUMIFS(Bermuda!$L:$L, Bermuda!$B:$B, A54, Bermuda!$D:$D, "Out Ports") + SUMIFS(Jamaica!$L:$L, Jamaica!$B:$B, A54, Jamaica!$D:$D, "Out Ports") + SUMIFS(Mountserat!$L:$L, Mountserat!$B:$B, A54, Mountserat!$D:$D, "Out Ports") + SUMIFS(Nevis!$L:$L, Nevis!$B:$B, A54, Nevis!$D:$D, "Out Ports")</f>
        <v>0</v>
      </c>
      <c r="D54">
        <f t="shared" si="0"/>
        <v>0</v>
      </c>
    </row>
    <row r="55" spans="1:4" x14ac:dyDescent="0.25">
      <c r="A55" t="s">
        <v>119</v>
      </c>
      <c r="B55">
        <f>SUMIFS(Antigua!$L:$L, Antigua!$B:$B, A55, Antigua!$D:$D, "London") + SUMIFS(Barbados!$L:$L, Barbados!$B:$B, A55, Barbados!$D:$D, "London") + SUMIFS(Bermuda!$L:$L, Bermuda!$B:$B, A55, Bermuda!$D:$D, "London") + SUMIFS(Jamaica!$L:$L, Jamaica!$B:$B, A55, Jamaica!$D:$D, "London") + SUMIFS(Mountserat!$L:$L, Mountserat!$B:$B, A55, Mountserat!$D:$D, "London") + SUMIFS(Nevis!$L:$L, Nevis!$B:$B, A55, Nevis!$D:$D, "London")</f>
        <v>0</v>
      </c>
      <c r="C55">
        <f>SUMIFS(Antigua!$L:$L, Antigua!$B:$B, A55, Antigua!$D:$D, "Out Ports") + SUMIFS(Barbados!$L:$L, Barbados!$B:$B, A55, Barbados!$D:$D, "Out Ports") + SUMIFS(Bermuda!$L:$L, Bermuda!$B:$B, A55, Bermuda!$D:$D, "Out Ports") + SUMIFS(Jamaica!$L:$L, Jamaica!$B:$B, A55, Jamaica!$D:$D, "Out Ports") + SUMIFS(Mountserat!$L:$L, Mountserat!$B:$B, A55, Mountserat!$D:$D, "Out Ports") + SUMIFS(Nevis!$L:$L, Nevis!$B:$B, A55, Nevis!$D:$D, "Out Ports")</f>
        <v>0</v>
      </c>
      <c r="D55">
        <f t="shared" si="0"/>
        <v>0</v>
      </c>
    </row>
    <row r="56" spans="1:4" x14ac:dyDescent="0.25">
      <c r="A56" t="s">
        <v>19</v>
      </c>
      <c r="B56">
        <f>SUMIFS(Antigua!$L:$L, Antigua!$B:$B, A56, Antigua!$D:$D, "London") + SUMIFS(Barbados!$L:$L, Barbados!$B:$B, A56, Barbados!$D:$D, "London") + SUMIFS(Bermuda!$L:$L, Bermuda!$B:$B, A56, Bermuda!$D:$D, "London") + SUMIFS(Jamaica!$L:$L, Jamaica!$B:$B, A56, Jamaica!$D:$D, "London") + SUMIFS(Mountserat!$L:$L, Mountserat!$B:$B, A56, Mountserat!$D:$D, "London") + SUMIFS(Nevis!$L:$L, Nevis!$B:$B, A56, Nevis!$D:$D, "London")</f>
        <v>1.4848214285714285</v>
      </c>
      <c r="C56">
        <f>SUMIFS(Antigua!$L:$L, Antigua!$B:$B, A56, Antigua!$D:$D, "Out Ports") + SUMIFS(Barbados!$L:$L, Barbados!$B:$B, A56, Barbados!$D:$D, "Out Ports") + SUMIFS(Bermuda!$L:$L, Bermuda!$B:$B, A56, Bermuda!$D:$D, "Out Ports") + SUMIFS(Jamaica!$L:$L, Jamaica!$B:$B, A56, Jamaica!$D:$D, "Out Ports") + SUMIFS(Mountserat!$L:$L, Mountserat!$B:$B, A56, Mountserat!$D:$D, "Out Ports") + SUMIFS(Nevis!$L:$L, Nevis!$B:$B, A56, Nevis!$D:$D, "Out Ports")</f>
        <v>0</v>
      </c>
      <c r="D56">
        <f t="shared" si="0"/>
        <v>1.4848214285714285</v>
      </c>
    </row>
    <row r="57" spans="1:4" x14ac:dyDescent="0.25">
      <c r="A57" t="s">
        <v>120</v>
      </c>
      <c r="B57">
        <f>SUMIFS(Antigua!$L:$L, Antigua!$B:$B, A57, Antigua!$D:$D, "London") + SUMIFS(Barbados!$L:$L, Barbados!$B:$B, A57, Barbados!$D:$D, "London") + SUMIFS(Bermuda!$L:$L, Bermuda!$B:$B, A57, Bermuda!$D:$D, "London") + SUMIFS(Jamaica!$L:$L, Jamaica!$B:$B, A57, Jamaica!$D:$D, "London") + SUMIFS(Mountserat!$L:$L, Mountserat!$B:$B, A57, Mountserat!$D:$D, "London") + SUMIFS(Nevis!$L:$L, Nevis!$B:$B, A57, Nevis!$D:$D, "London")</f>
        <v>0</v>
      </c>
      <c r="C57">
        <f>SUMIFS(Antigua!$L:$L, Antigua!$B:$B, A57, Antigua!$D:$D, "Out Ports") + SUMIFS(Barbados!$L:$L, Barbados!$B:$B, A57, Barbados!$D:$D, "Out Ports") + SUMIFS(Bermuda!$L:$L, Bermuda!$B:$B, A57, Bermuda!$D:$D, "Out Ports") + SUMIFS(Jamaica!$L:$L, Jamaica!$B:$B, A57, Jamaica!$D:$D, "Out Ports") + SUMIFS(Mountserat!$L:$L, Mountserat!$B:$B, A57, Mountserat!$D:$D, "Out Ports") + SUMIFS(Nevis!$L:$L, Nevis!$B:$B, A57, Nevis!$D:$D, "Out Ports")</f>
        <v>0</v>
      </c>
      <c r="D57">
        <f t="shared" si="0"/>
        <v>0</v>
      </c>
    </row>
    <row r="58" spans="1:4" x14ac:dyDescent="0.25">
      <c r="A58" t="s">
        <v>20</v>
      </c>
      <c r="B58">
        <f>SUMIFS(Antigua!$L:$L, Antigua!$B:$B, A58, Antigua!$D:$D, "London") + SUMIFS(Barbados!$L:$L, Barbados!$B:$B, A58, Barbados!$D:$D, "London") + SUMIFS(Bermuda!$L:$L, Bermuda!$B:$B, A58, Bermuda!$D:$D, "London") + SUMIFS(Jamaica!$L:$L, Jamaica!$B:$B, A58, Jamaica!$D:$D, "London") + SUMIFS(Mountserat!$L:$L, Mountserat!$B:$B, A58, Mountserat!$D:$D, "London") + SUMIFS(Nevis!$L:$L, Nevis!$B:$B, A58, Nevis!$D:$D, "London")</f>
        <v>5.1660714285714286</v>
      </c>
      <c r="C58">
        <f>SUMIFS(Antigua!$L:$L, Antigua!$B:$B, A58, Antigua!$D:$D, "Out Ports") + SUMIFS(Barbados!$L:$L, Barbados!$B:$B, A58, Barbados!$D:$D, "Out Ports") + SUMIFS(Bermuda!$L:$L, Bermuda!$B:$B, A58, Bermuda!$D:$D, "Out Ports") + SUMIFS(Jamaica!$L:$L, Jamaica!$B:$B, A58, Jamaica!$D:$D, "Out Ports") + SUMIFS(Mountserat!$L:$L, Mountserat!$B:$B, A58, Mountserat!$D:$D, "Out Ports") + SUMIFS(Nevis!$L:$L, Nevis!$B:$B, A58, Nevis!$D:$D, "Out Ports")</f>
        <v>22.938839285714284</v>
      </c>
      <c r="D58">
        <f t="shared" si="0"/>
        <v>28.104910714285712</v>
      </c>
    </row>
    <row r="59" spans="1:4" x14ac:dyDescent="0.25">
      <c r="A59" t="s">
        <v>21</v>
      </c>
      <c r="B59">
        <f>SUMIFS(Antigua!$L:$L, Antigua!$B:$B, A59, Antigua!$D:$D, "London") + SUMIFS(Barbados!$L:$L, Barbados!$B:$B, A59, Barbados!$D:$D, "London") + SUMIFS(Bermuda!$L:$L, Bermuda!$B:$B, A59, Bermuda!$D:$D, "London") + SUMIFS(Jamaica!$L:$L, Jamaica!$B:$B, A59, Jamaica!$D:$D, "London") + SUMIFS(Mountserat!$L:$L, Mountserat!$B:$B, A59, Mountserat!$D:$D, "London") + SUMIFS(Nevis!$L:$L, Nevis!$B:$B, A59, Nevis!$D:$D, "London")</f>
        <v>0.19776785714285713</v>
      </c>
      <c r="C59">
        <f>SUMIFS(Antigua!$L:$L, Antigua!$B:$B, A59, Antigua!$D:$D, "Out Ports") + SUMIFS(Barbados!$L:$L, Barbados!$B:$B, A59, Barbados!$D:$D, "Out Ports") + SUMIFS(Bermuda!$L:$L, Bermuda!$B:$B, A59, Bermuda!$D:$D, "Out Ports") + SUMIFS(Jamaica!$L:$L, Jamaica!$B:$B, A59, Jamaica!$D:$D, "Out Ports") + SUMIFS(Mountserat!$L:$L, Mountserat!$B:$B, A59, Mountserat!$D:$D, "Out Ports") + SUMIFS(Nevis!$L:$L, Nevis!$B:$B, A59, Nevis!$D:$D, "Out Ports")</f>
        <v>7.4107142857142858E-2</v>
      </c>
      <c r="D59">
        <f t="shared" si="0"/>
        <v>0.27187499999999998</v>
      </c>
    </row>
    <row r="60" spans="1:4" x14ac:dyDescent="0.25">
      <c r="A60" t="s">
        <v>121</v>
      </c>
      <c r="B60">
        <f>SUMIFS(Antigua!$L:$L, Antigua!$B:$B, A60, Antigua!$D:$D, "London") + SUMIFS(Barbados!$L:$L, Barbados!$B:$B, A60, Barbados!$D:$D, "London") + SUMIFS(Bermuda!$L:$L, Bermuda!$B:$B, A60, Bermuda!$D:$D, "London") + SUMIFS(Jamaica!$L:$L, Jamaica!$B:$B, A60, Jamaica!$D:$D, "London") + SUMIFS(Mountserat!$L:$L, Mountserat!$B:$B, A60, Mountserat!$D:$D, "London") + SUMIFS(Nevis!$L:$L, Nevis!$B:$B, A60, Nevis!$D:$D, "London")</f>
        <v>0</v>
      </c>
      <c r="C60">
        <f>SUMIFS(Antigua!$L:$L, Antigua!$B:$B, A60, Antigua!$D:$D, "Out Ports") + SUMIFS(Barbados!$L:$L, Barbados!$B:$B, A60, Barbados!$D:$D, "Out Ports") + SUMIFS(Bermuda!$L:$L, Bermuda!$B:$B, A60, Bermuda!$D:$D, "Out Ports") + SUMIFS(Jamaica!$L:$L, Jamaica!$B:$B, A60, Jamaica!$D:$D, "Out Ports") + SUMIFS(Mountserat!$L:$L, Mountserat!$B:$B, A60, Mountserat!$D:$D, "Out Ports") + SUMIFS(Nevis!$L:$L, Nevis!$B:$B, A60, Nevis!$D:$D, "Out Ports")</f>
        <v>0</v>
      </c>
      <c r="D60">
        <f t="shared" si="0"/>
        <v>0</v>
      </c>
    </row>
    <row r="61" spans="1:4" x14ac:dyDescent="0.25">
      <c r="A61" t="s">
        <v>22</v>
      </c>
      <c r="B61">
        <f>SUMIFS(Antigua!$L:$L, Antigua!$B:$B, A61, Antigua!$D:$D, "London") + SUMIFS(Barbados!$L:$L, Barbados!$B:$B, A61, Barbados!$D:$D, "London") + SUMIFS(Bermuda!$L:$L, Bermuda!$B:$B, A61, Bermuda!$D:$D, "London") + SUMIFS(Jamaica!$L:$L, Jamaica!$B:$B, A61, Jamaica!$D:$D, "London") + SUMIFS(Mountserat!$L:$L, Mountserat!$B:$B, A61, Mountserat!$D:$D, "London") + SUMIFS(Nevis!$L:$L, Nevis!$B:$B, A61, Nevis!$D:$D, "London")</f>
        <v>163.52991071428573</v>
      </c>
      <c r="C61">
        <f>SUMIFS(Antigua!$L:$L, Antigua!$B:$B, A61, Antigua!$D:$D, "Out Ports") + SUMIFS(Barbados!$L:$L, Barbados!$B:$B, A61, Barbados!$D:$D, "Out Ports") + SUMIFS(Bermuda!$L:$L, Bermuda!$B:$B, A61, Bermuda!$D:$D, "Out Ports") + SUMIFS(Jamaica!$L:$L, Jamaica!$B:$B, A61, Jamaica!$D:$D, "Out Ports") + SUMIFS(Mountserat!$L:$L, Mountserat!$B:$B, A61, Mountserat!$D:$D, "Out Ports") + SUMIFS(Nevis!$L:$L, Nevis!$B:$B, A61, Nevis!$D:$D, "Out Ports")</f>
        <v>10.46875</v>
      </c>
      <c r="D61">
        <f t="shared" si="0"/>
        <v>173.99866071428573</v>
      </c>
    </row>
    <row r="62" spans="1:4" x14ac:dyDescent="0.25">
      <c r="A62" t="s">
        <v>28</v>
      </c>
      <c r="B62">
        <f>SUMIFS(Antigua!$L:$L, Antigua!$B:$B, A62, Antigua!$D:$D, "London") + SUMIFS(Barbados!$L:$L, Barbados!$B:$B, A62, Barbados!$D:$D, "London") + SUMIFS(Bermuda!$L:$L, Bermuda!$B:$B, A62, Bermuda!$D:$D, "London") + SUMIFS(Jamaica!$L:$L, Jamaica!$B:$B, A62, Jamaica!$D:$D, "London") + SUMIFS(Mountserat!$L:$L, Mountserat!$B:$B, A62, Mountserat!$D:$D, "London") + SUMIFS(Nevis!$L:$L, Nevis!$B:$B, A62, Nevis!$D:$D, "London")</f>
        <v>0</v>
      </c>
      <c r="C62">
        <f>SUMIFS(Antigua!$L:$L, Antigua!$B:$B, A62, Antigua!$D:$D, "Out Ports") + SUMIFS(Barbados!$L:$L, Barbados!$B:$B, A62, Barbados!$D:$D, "Out Ports") + SUMIFS(Bermuda!$L:$L, Bermuda!$B:$B, A62, Bermuda!$D:$D, "Out Ports") + SUMIFS(Jamaica!$L:$L, Jamaica!$B:$B, A62, Jamaica!$D:$D, "Out Ports") + SUMIFS(Mountserat!$L:$L, Mountserat!$B:$B, A62, Mountserat!$D:$D, "Out Ports") + SUMIFS(Nevis!$L:$L, Nevis!$B:$B, A62, Nevis!$D:$D, "Out Ports")</f>
        <v>0</v>
      </c>
      <c r="D62">
        <f t="shared" si="0"/>
        <v>0</v>
      </c>
    </row>
    <row r="63" spans="1:4" x14ac:dyDescent="0.25">
      <c r="A63" t="s">
        <v>122</v>
      </c>
      <c r="B63">
        <f>SUMIFS(Antigua!$L:$L, Antigua!$B:$B, A63, Antigua!$D:$D, "London") + SUMIFS(Barbados!$L:$L, Barbados!$B:$B, A63, Barbados!$D:$D, "London") + SUMIFS(Bermuda!$L:$L, Bermuda!$B:$B, A63, Bermuda!$D:$D, "London") + SUMIFS(Jamaica!$L:$L, Jamaica!$B:$B, A63, Jamaica!$D:$D, "London") + SUMIFS(Mountserat!$L:$L, Mountserat!$B:$B, A63, Mountserat!$D:$D, "London") + SUMIFS(Nevis!$L:$L, Nevis!$B:$B, A63, Nevis!$D:$D, "London")</f>
        <v>0</v>
      </c>
      <c r="C63">
        <f>SUMIFS(Antigua!$L:$L, Antigua!$B:$B, A63, Antigua!$D:$D, "Out Ports") + SUMIFS(Barbados!$L:$L, Barbados!$B:$B, A63, Barbados!$D:$D, "Out Ports") + SUMIFS(Bermuda!$L:$L, Bermuda!$B:$B, A63, Bermuda!$D:$D, "Out Ports") + SUMIFS(Jamaica!$L:$L, Jamaica!$B:$B, A63, Jamaica!$D:$D, "Out Ports") + SUMIFS(Mountserat!$L:$L, Mountserat!$B:$B, A63, Mountserat!$D:$D, "Out Ports") + SUMIFS(Nevis!$L:$L, Nevis!$B:$B, A63, Nevis!$D:$D, "Out Ports")</f>
        <v>0</v>
      </c>
      <c r="D63">
        <f t="shared" si="0"/>
        <v>0</v>
      </c>
    </row>
    <row r="64" spans="1:4" x14ac:dyDescent="0.25">
      <c r="A64" t="s">
        <v>123</v>
      </c>
      <c r="B64">
        <f>SUMIFS(Antigua!$L:$L, Antigua!$B:$B, A64, Antigua!$D:$D, "London") + SUMIFS(Barbados!$L:$L, Barbados!$B:$B, A64, Barbados!$D:$D, "London") + SUMIFS(Bermuda!$L:$L, Bermuda!$B:$B, A64, Bermuda!$D:$D, "London") + SUMIFS(Jamaica!$L:$L, Jamaica!$B:$B, A64, Jamaica!$D:$D, "London") + SUMIFS(Mountserat!$L:$L, Mountserat!$B:$B, A64, Mountserat!$D:$D, "London") + SUMIFS(Nevis!$L:$L, Nevis!$B:$B, A64, Nevis!$D:$D, "London")</f>
        <v>0</v>
      </c>
      <c r="C64">
        <f>SUMIFS(Antigua!$L:$L, Antigua!$B:$B, A64, Antigua!$D:$D, "Out Ports") + SUMIFS(Barbados!$L:$L, Barbados!$B:$B, A64, Barbados!$D:$D, "Out Ports") + SUMIFS(Bermuda!$L:$L, Bermuda!$B:$B, A64, Bermuda!$D:$D, "Out Ports") + SUMIFS(Jamaica!$L:$L, Jamaica!$B:$B, A64, Jamaica!$D:$D, "Out Ports") + SUMIFS(Mountserat!$L:$L, Mountserat!$B:$B, A64, Mountserat!$D:$D, "Out Ports") + SUMIFS(Nevis!$L:$L, Nevis!$B:$B, A64, Nevis!$D:$D, "Out Ports")</f>
        <v>0</v>
      </c>
      <c r="D64">
        <f t="shared" si="0"/>
        <v>0</v>
      </c>
    </row>
    <row r="65" spans="1:4" x14ac:dyDescent="0.25">
      <c r="A65" t="s">
        <v>124</v>
      </c>
      <c r="B65">
        <f>SUMIFS(Antigua!$L:$L, Antigua!$B:$B, A65, Antigua!$D:$D, "London") + SUMIFS(Barbados!$L:$L, Barbados!$B:$B, A65, Barbados!$D:$D, "London") + SUMIFS(Bermuda!$L:$L, Bermuda!$B:$B, A65, Bermuda!$D:$D, "London") + SUMIFS(Jamaica!$L:$L, Jamaica!$B:$B, A65, Jamaica!$D:$D, "London") + SUMIFS(Mountserat!$L:$L, Mountserat!$B:$B, A65, Mountserat!$D:$D, "London") + SUMIFS(Nevis!$L:$L, Nevis!$B:$B, A65, Nevis!$D:$D, "London")</f>
        <v>0</v>
      </c>
      <c r="C65">
        <f>SUMIFS(Antigua!$L:$L, Antigua!$B:$B, A65, Antigua!$D:$D, "Out Ports") + SUMIFS(Barbados!$L:$L, Barbados!$B:$B, A65, Barbados!$D:$D, "Out Ports") + SUMIFS(Bermuda!$L:$L, Bermuda!$B:$B, A65, Bermuda!$D:$D, "Out Ports") + SUMIFS(Jamaica!$L:$L, Jamaica!$B:$B, A65, Jamaica!$D:$D, "Out Ports") + SUMIFS(Mountserat!$L:$L, Mountserat!$B:$B, A65, Mountserat!$D:$D, "Out Ports") + SUMIFS(Nevis!$L:$L, Nevis!$B:$B, A65, Nevis!$D:$D, "Out Ports")</f>
        <v>0</v>
      </c>
      <c r="D65">
        <f t="shared" si="0"/>
        <v>0</v>
      </c>
    </row>
    <row r="66" spans="1:4" x14ac:dyDescent="0.25">
      <c r="A66" t="s">
        <v>29</v>
      </c>
      <c r="B66">
        <f>SUMIFS(Antigua!$L:$L, Antigua!$B:$B, A66, Antigua!$D:$D, "London") + SUMIFS(Barbados!$L:$L, Barbados!$B:$B, A66, Barbados!$D:$D, "London") + SUMIFS(Bermuda!$L:$L, Bermuda!$B:$B, A66, Bermuda!$D:$D, "London") + SUMIFS(Jamaica!$L:$L, Jamaica!$B:$B, A66, Jamaica!$D:$D, "London") + SUMIFS(Mountserat!$L:$L, Mountserat!$B:$B, A66, Mountserat!$D:$D, "London") + SUMIFS(Nevis!$L:$L, Nevis!$B:$B, A66, Nevis!$D:$D, "London")</f>
        <v>0</v>
      </c>
      <c r="C66">
        <f>SUMIFS(Antigua!$L:$L, Antigua!$B:$B, A66, Antigua!$D:$D, "Out Ports") + SUMIFS(Barbados!$L:$L, Barbados!$B:$B, A66, Barbados!$D:$D, "Out Ports") + SUMIFS(Bermuda!$L:$L, Bermuda!$B:$B, A66, Bermuda!$D:$D, "Out Ports") + SUMIFS(Jamaica!$L:$L, Jamaica!$B:$B, A66, Jamaica!$D:$D, "Out Ports") + SUMIFS(Mountserat!$L:$L, Mountserat!$B:$B, A66, Mountserat!$D:$D, "Out Ports") + SUMIFS(Nevis!$L:$L, Nevis!$B:$B, A66, Nevis!$D:$D, "Out Ports")</f>
        <v>0</v>
      </c>
      <c r="D66">
        <f t="shared" si="0"/>
        <v>0</v>
      </c>
    </row>
    <row r="67" spans="1:4" x14ac:dyDescent="0.25">
      <c r="A67" t="s">
        <v>125</v>
      </c>
      <c r="B67">
        <f>SUMIFS(Antigua!$L:$L, Antigua!$B:$B, A67, Antigua!$D:$D, "London") + SUMIFS(Barbados!$L:$L, Barbados!$B:$B, A67, Barbados!$D:$D, "London") + SUMIFS(Bermuda!$L:$L, Bermuda!$B:$B, A67, Bermuda!$D:$D, "London") + SUMIFS(Jamaica!$L:$L, Jamaica!$B:$B, A67, Jamaica!$D:$D, "London") + SUMIFS(Mountserat!$L:$L, Mountserat!$B:$B, A67, Mountserat!$D:$D, "London") + SUMIFS(Nevis!$L:$L, Nevis!$B:$B, A67, Nevis!$D:$D, "London")</f>
        <v>0</v>
      </c>
      <c r="C67">
        <f>SUMIFS(Antigua!$L:$L, Antigua!$B:$B, A67, Antigua!$D:$D, "Out Ports") + SUMIFS(Barbados!$L:$L, Barbados!$B:$B, A67, Barbados!$D:$D, "Out Ports") + SUMIFS(Bermuda!$L:$L, Bermuda!$B:$B, A67, Bermuda!$D:$D, "Out Ports") + SUMIFS(Jamaica!$L:$L, Jamaica!$B:$B, A67, Jamaica!$D:$D, "Out Ports") + SUMIFS(Mountserat!$L:$L, Mountserat!$B:$B, A67, Mountserat!$D:$D, "Out Ports") + SUMIFS(Nevis!$L:$L, Nevis!$B:$B, A67, Nevis!$D:$D, "Out Ports")</f>
        <v>0</v>
      </c>
      <c r="D67">
        <f t="shared" ref="D67:D74" si="1">B67+C67</f>
        <v>0</v>
      </c>
    </row>
    <row r="68" spans="1:4" x14ac:dyDescent="0.25">
      <c r="A68" t="s">
        <v>30</v>
      </c>
      <c r="B68">
        <f>SUMIFS(Antigua!$L:$L, Antigua!$B:$B, A68, Antigua!$D:$D, "London") + SUMIFS(Barbados!$L:$L, Barbados!$B:$B, A68, Barbados!$D:$D, "London") + SUMIFS(Bermuda!$L:$L, Bermuda!$B:$B, A68, Bermuda!$D:$D, "London") + SUMIFS(Jamaica!$L:$L, Jamaica!$B:$B, A68, Jamaica!$D:$D, "London") + SUMIFS(Mountserat!$L:$L, Mountserat!$B:$B, A68, Mountserat!$D:$D, "London") + SUMIFS(Nevis!$L:$L, Nevis!$B:$B, A68, Nevis!$D:$D, "London")</f>
        <v>0</v>
      </c>
      <c r="C68">
        <f>SUMIFS(Antigua!$L:$L, Antigua!$B:$B, A68, Antigua!$D:$D, "Out Ports") + SUMIFS(Barbados!$L:$L, Barbados!$B:$B, A68, Barbados!$D:$D, "Out Ports") + SUMIFS(Bermuda!$L:$L, Bermuda!$B:$B, A68, Bermuda!$D:$D, "Out Ports") + SUMIFS(Jamaica!$L:$L, Jamaica!$B:$B, A68, Jamaica!$D:$D, "Out Ports") + SUMIFS(Mountserat!$L:$L, Mountserat!$B:$B, A68, Mountserat!$D:$D, "Out Ports") + SUMIFS(Nevis!$L:$L, Nevis!$B:$B, A68, Nevis!$D:$D, "Out Ports")</f>
        <v>0</v>
      </c>
      <c r="D68">
        <f t="shared" si="1"/>
        <v>0</v>
      </c>
    </row>
    <row r="69" spans="1:4" x14ac:dyDescent="0.25">
      <c r="A69" t="s">
        <v>126</v>
      </c>
      <c r="B69">
        <f>SUMIFS(Antigua!$L:$L, Antigua!$B:$B, A69, Antigua!$D:$D, "London") + SUMIFS(Barbados!$L:$L, Barbados!$B:$B, A69, Barbados!$D:$D, "London") + SUMIFS(Bermuda!$L:$L, Bermuda!$B:$B, A69, Bermuda!$D:$D, "London") + SUMIFS(Jamaica!$L:$L, Jamaica!$B:$B, A69, Jamaica!$D:$D, "London") + SUMIFS(Mountserat!$L:$L, Mountserat!$B:$B, A69, Mountserat!$D:$D, "London") + SUMIFS(Nevis!$L:$L, Nevis!$B:$B, A69, Nevis!$D:$D, "London")</f>
        <v>0</v>
      </c>
      <c r="C69">
        <f>SUMIFS(Antigua!$L:$L, Antigua!$B:$B, A69, Antigua!$D:$D, "Out Ports") + SUMIFS(Barbados!$L:$L, Barbados!$B:$B, A69, Barbados!$D:$D, "Out Ports") + SUMIFS(Bermuda!$L:$L, Bermuda!$B:$B, A69, Bermuda!$D:$D, "Out Ports") + SUMIFS(Jamaica!$L:$L, Jamaica!$B:$B, A69, Jamaica!$D:$D, "Out Ports") + SUMIFS(Mountserat!$L:$L, Mountserat!$B:$B, A69, Mountserat!$D:$D, "Out Ports") + SUMIFS(Nevis!$L:$L, Nevis!$B:$B, A69, Nevis!$D:$D, "Out Ports")</f>
        <v>0</v>
      </c>
      <c r="D69">
        <f t="shared" si="1"/>
        <v>0</v>
      </c>
    </row>
    <row r="70" spans="1:4" x14ac:dyDescent="0.25">
      <c r="A70" t="s">
        <v>127</v>
      </c>
      <c r="B70">
        <f>SUMIFS(Antigua!$L:$L, Antigua!$B:$B, A70, Antigua!$D:$D, "London") + SUMIFS(Barbados!$L:$L, Barbados!$B:$B, A70, Barbados!$D:$D, "London") + SUMIFS(Bermuda!$L:$L, Bermuda!$B:$B, A70, Bermuda!$D:$D, "London") + SUMIFS(Jamaica!$L:$L, Jamaica!$B:$B, A70, Jamaica!$D:$D, "London") + SUMIFS(Mountserat!$L:$L, Mountserat!$B:$B, A70, Mountserat!$D:$D, "London") + SUMIFS(Nevis!$L:$L, Nevis!$B:$B, A70, Nevis!$D:$D, "London")</f>
        <v>0</v>
      </c>
      <c r="C70">
        <f>SUMIFS(Antigua!$L:$L, Antigua!$B:$B, A70, Antigua!$D:$D, "Out Ports") + SUMIFS(Barbados!$L:$L, Barbados!$B:$B, A70, Barbados!$D:$D, "Out Ports") + SUMIFS(Bermuda!$L:$L, Bermuda!$B:$B, A70, Bermuda!$D:$D, "Out Ports") + SUMIFS(Jamaica!$L:$L, Jamaica!$B:$B, A70, Jamaica!$D:$D, "Out Ports") + SUMIFS(Mountserat!$L:$L, Mountserat!$B:$B, A70, Mountserat!$D:$D, "Out Ports") + SUMIFS(Nevis!$L:$L, Nevis!$B:$B, A70, Nevis!$D:$D, "Out Ports")</f>
        <v>0</v>
      </c>
      <c r="D70">
        <f t="shared" si="1"/>
        <v>0</v>
      </c>
    </row>
    <row r="71" spans="1:4" x14ac:dyDescent="0.25">
      <c r="A71" t="s">
        <v>128</v>
      </c>
      <c r="B71">
        <f>SUMIFS(Antigua!$L:$L, Antigua!$B:$B, A71, Antigua!$D:$D, "London") + SUMIFS(Barbados!$L:$L, Barbados!$B:$B, A71, Barbados!$D:$D, "London") + SUMIFS(Bermuda!$L:$L, Bermuda!$B:$B, A71, Bermuda!$D:$D, "London") + SUMIFS(Jamaica!$L:$L, Jamaica!$B:$B, A71, Jamaica!$D:$D, "London") + SUMIFS(Mountserat!$L:$L, Mountserat!$B:$B, A71, Mountserat!$D:$D, "London") + SUMIFS(Nevis!$L:$L, Nevis!$B:$B, A71, Nevis!$D:$D, "London")</f>
        <v>0</v>
      </c>
      <c r="C71">
        <f>SUMIFS(Antigua!$L:$L, Antigua!$B:$B, A71, Antigua!$D:$D, "Out Ports") + SUMIFS(Barbados!$L:$L, Barbados!$B:$B, A71, Barbados!$D:$D, "Out Ports") + SUMIFS(Bermuda!$L:$L, Bermuda!$B:$B, A71, Bermuda!$D:$D, "Out Ports") + SUMIFS(Jamaica!$L:$L, Jamaica!$B:$B, A71, Jamaica!$D:$D, "Out Ports") + SUMIFS(Mountserat!$L:$L, Mountserat!$B:$B, A71, Mountserat!$D:$D, "Out Ports") + SUMIFS(Nevis!$L:$L, Nevis!$B:$B, A71, Nevis!$D:$D, "Out Ports")</f>
        <v>0</v>
      </c>
      <c r="D71">
        <f t="shared" si="1"/>
        <v>0</v>
      </c>
    </row>
    <row r="72" spans="1:4" x14ac:dyDescent="0.25">
      <c r="A72" t="s">
        <v>31</v>
      </c>
      <c r="B72">
        <f>SUMIFS(Antigua!$L:$L, Antigua!$B:$B, A72, Antigua!$D:$D, "London") + SUMIFS(Barbados!$L:$L, Barbados!$B:$B, A72, Barbados!$D:$D, "London") + SUMIFS(Bermuda!$L:$L, Bermuda!$B:$B, A72, Bermuda!$D:$D, "London") + SUMIFS(Jamaica!$L:$L, Jamaica!$B:$B, A72, Jamaica!$D:$D, "London") + SUMIFS(Mountserat!$L:$L, Mountserat!$B:$B, A72, Mountserat!$D:$D, "London") + SUMIFS(Nevis!$L:$L, Nevis!$B:$B, A72, Nevis!$D:$D, "London")</f>
        <v>0</v>
      </c>
      <c r="C72">
        <f>SUMIFS(Antigua!$L:$L, Antigua!$B:$B, A72, Antigua!$D:$D, "Out Ports") + SUMIFS(Barbados!$L:$L, Barbados!$B:$B, A72, Barbados!$D:$D, "Out Ports") + SUMIFS(Bermuda!$L:$L, Bermuda!$B:$B, A72, Bermuda!$D:$D, "Out Ports") + SUMIFS(Jamaica!$L:$L, Jamaica!$B:$B, A72, Jamaica!$D:$D, "Out Ports") + SUMIFS(Mountserat!$L:$L, Mountserat!$B:$B, A72, Mountserat!$D:$D, "Out Ports") + SUMIFS(Nevis!$L:$L, Nevis!$B:$B, A72, Nevis!$D:$D, "Out Ports")</f>
        <v>0</v>
      </c>
      <c r="D72">
        <f t="shared" si="1"/>
        <v>0</v>
      </c>
    </row>
    <row r="73" spans="1:4" x14ac:dyDescent="0.25">
      <c r="A73" t="s">
        <v>129</v>
      </c>
      <c r="B73">
        <f>SUMIFS(Antigua!$L:$L, Antigua!$B:$B, A73, Antigua!$D:$D, "London") + SUMIFS(Barbados!$L:$L, Barbados!$B:$B, A73, Barbados!$D:$D, "London") + SUMIFS(Bermuda!$L:$L, Bermuda!$B:$B, A73, Bermuda!$D:$D, "London") + SUMIFS(Jamaica!$L:$L, Jamaica!$B:$B, A73, Jamaica!$D:$D, "London") + SUMIFS(Mountserat!$L:$L, Mountserat!$B:$B, A73, Mountserat!$D:$D, "London") + SUMIFS(Nevis!$L:$L, Nevis!$B:$B, A73, Nevis!$D:$D, "London")</f>
        <v>0</v>
      </c>
      <c r="C73">
        <f>SUMIFS(Antigua!$L:$L, Antigua!$B:$B, A73, Antigua!$D:$D, "Out Ports") + SUMIFS(Barbados!$L:$L, Barbados!$B:$B, A73, Barbados!$D:$D, "Out Ports") + SUMIFS(Bermuda!$L:$L, Bermuda!$B:$B, A73, Bermuda!$D:$D, "Out Ports") + SUMIFS(Jamaica!$L:$L, Jamaica!$B:$B, A73, Jamaica!$D:$D, "Out Ports") + SUMIFS(Mountserat!$L:$L, Mountserat!$B:$B, A73, Mountserat!$D:$D, "Out Ports") + SUMIFS(Nevis!$L:$L, Nevis!$B:$B, A73, Nevis!$D:$D, "Out Ports")</f>
        <v>0</v>
      </c>
      <c r="D73">
        <f t="shared" si="1"/>
        <v>0</v>
      </c>
    </row>
    <row r="74" spans="1:4" x14ac:dyDescent="0.25">
      <c r="A74" t="s">
        <v>32</v>
      </c>
      <c r="B74">
        <f>SUMIFS(Antigua!$L:$L, Antigua!$B:$B, A74, Antigua!$D:$D, "London") + SUMIFS(Barbados!$L:$L, Barbados!$B:$B, A74, Barbados!$D:$D, "London") + SUMIFS(Bermuda!$L:$L, Bermuda!$B:$B, A74, Bermuda!$D:$D, "London") + SUMIFS(Jamaica!$L:$L, Jamaica!$B:$B, A74, Jamaica!$D:$D, "London") + SUMIFS(Mountserat!$L:$L, Mountserat!$B:$B, A74, Mountserat!$D:$D, "London") + SUMIFS(Nevis!$L:$L, Nevis!$B:$B, A74, Nevis!$D:$D, "London")</f>
        <v>0</v>
      </c>
      <c r="C74">
        <f>SUMIFS(Antigua!$L:$L, Antigua!$B:$B, A74, Antigua!$D:$D, "Out Ports") + SUMIFS(Barbados!$L:$L, Barbados!$B:$B, A74, Barbados!$D:$D, "Out Ports") + SUMIFS(Bermuda!$L:$L, Bermuda!$B:$B, A74, Bermuda!$D:$D, "Out Ports") + SUMIFS(Jamaica!$L:$L, Jamaica!$B:$B, A74, Jamaica!$D:$D, "Out Ports") + SUMIFS(Mountserat!$L:$L, Mountserat!$B:$B, A74, Mountserat!$D:$D, "Out Ports") + SUMIFS(Nevis!$L:$L, Nevis!$B:$B, A74, Nevis!$D:$D, "Out Ports")</f>
        <v>0</v>
      </c>
      <c r="D74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81F7-54B2-4895-B31E-7E36269F173B}">
  <dimension ref="A1:L40"/>
  <sheetViews>
    <sheetView workbookViewId="0">
      <selection activeCell="H8" sqref="H8"/>
    </sheetView>
  </sheetViews>
  <sheetFormatPr defaultRowHeight="15" x14ac:dyDescent="0.25"/>
  <cols>
    <col min="2" max="3" width="17.7109375" customWidth="1"/>
    <col min="4" max="4" width="15.7109375" customWidth="1"/>
    <col min="7" max="7" width="11.28515625" customWidth="1"/>
    <col min="8" max="9" width="18.4257812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</row>
    <row r="2" spans="1:12" x14ac:dyDescent="0.25">
      <c r="A2">
        <v>1697</v>
      </c>
      <c r="B2" t="s">
        <v>3</v>
      </c>
      <c r="C2" t="s">
        <v>43</v>
      </c>
      <c r="D2" t="s">
        <v>44</v>
      </c>
      <c r="J2">
        <f t="shared" ref="J2:J40" si="0">(E2*2240)+(F2*112)+(G2*28)+H2</f>
        <v>0</v>
      </c>
      <c r="K2" s="1"/>
      <c r="L2">
        <f t="shared" ref="L2:L40" si="1">J2/2240</f>
        <v>0</v>
      </c>
    </row>
    <row r="3" spans="1:12" x14ac:dyDescent="0.25">
      <c r="A3">
        <v>1697</v>
      </c>
      <c r="B3" t="s">
        <v>4</v>
      </c>
      <c r="C3" t="s">
        <v>43</v>
      </c>
      <c r="D3" t="s">
        <v>44</v>
      </c>
      <c r="J3">
        <f t="shared" si="0"/>
        <v>0</v>
      </c>
      <c r="L3">
        <f t="shared" si="1"/>
        <v>0</v>
      </c>
    </row>
    <row r="4" spans="1:12" x14ac:dyDescent="0.25">
      <c r="A4">
        <v>1697</v>
      </c>
      <c r="B4" t="s">
        <v>5</v>
      </c>
      <c r="C4" t="s">
        <v>43</v>
      </c>
      <c r="D4" t="s">
        <v>44</v>
      </c>
      <c r="F4">
        <v>6007</v>
      </c>
      <c r="J4">
        <f t="shared" si="0"/>
        <v>672784</v>
      </c>
      <c r="L4">
        <f t="shared" si="1"/>
        <v>300.35000000000002</v>
      </c>
    </row>
    <row r="5" spans="1:12" x14ac:dyDescent="0.25">
      <c r="A5">
        <v>1697</v>
      </c>
      <c r="B5" t="s">
        <v>6</v>
      </c>
      <c r="C5" t="s">
        <v>43</v>
      </c>
      <c r="D5" t="s">
        <v>44</v>
      </c>
      <c r="J5">
        <f t="shared" si="0"/>
        <v>0</v>
      </c>
      <c r="L5">
        <f t="shared" si="1"/>
        <v>0</v>
      </c>
    </row>
    <row r="6" spans="1:12" x14ac:dyDescent="0.25">
      <c r="A6">
        <v>1697</v>
      </c>
      <c r="B6" t="s">
        <v>45</v>
      </c>
      <c r="C6" t="s">
        <v>43</v>
      </c>
      <c r="D6" t="s">
        <v>44</v>
      </c>
      <c r="J6">
        <f t="shared" si="0"/>
        <v>0</v>
      </c>
      <c r="L6">
        <f t="shared" si="1"/>
        <v>0</v>
      </c>
    </row>
    <row r="7" spans="1:12" x14ac:dyDescent="0.25">
      <c r="A7">
        <v>1697</v>
      </c>
      <c r="B7" t="s">
        <v>8</v>
      </c>
      <c r="C7" t="s">
        <v>43</v>
      </c>
      <c r="D7" t="s">
        <v>44</v>
      </c>
      <c r="H7">
        <f>13*200</f>
        <v>2600</v>
      </c>
      <c r="I7" t="s">
        <v>46</v>
      </c>
      <c r="J7">
        <f t="shared" si="0"/>
        <v>2600</v>
      </c>
      <c r="L7">
        <f t="shared" si="1"/>
        <v>1.1607142857142858</v>
      </c>
    </row>
    <row r="8" spans="1:12" x14ac:dyDescent="0.25">
      <c r="A8">
        <v>1697</v>
      </c>
      <c r="B8" t="s">
        <v>9</v>
      </c>
      <c r="C8" t="s">
        <v>43</v>
      </c>
      <c r="D8" t="s">
        <v>44</v>
      </c>
      <c r="F8">
        <v>29</v>
      </c>
      <c r="J8">
        <f t="shared" si="0"/>
        <v>3248</v>
      </c>
      <c r="L8">
        <f t="shared" si="1"/>
        <v>1.45</v>
      </c>
    </row>
    <row r="9" spans="1:12" x14ac:dyDescent="0.25">
      <c r="A9">
        <v>1697</v>
      </c>
      <c r="B9" t="s">
        <v>10</v>
      </c>
      <c r="C9" t="s">
        <v>43</v>
      </c>
      <c r="D9" t="s">
        <v>44</v>
      </c>
      <c r="J9">
        <f t="shared" si="0"/>
        <v>0</v>
      </c>
      <c r="L9">
        <f t="shared" si="1"/>
        <v>0</v>
      </c>
    </row>
    <row r="10" spans="1:12" x14ac:dyDescent="0.25">
      <c r="A10">
        <v>1697</v>
      </c>
      <c r="B10" t="s">
        <v>11</v>
      </c>
      <c r="C10" t="s">
        <v>43</v>
      </c>
      <c r="D10" t="s">
        <v>44</v>
      </c>
      <c r="J10">
        <f t="shared" si="0"/>
        <v>0</v>
      </c>
      <c r="L10">
        <f t="shared" si="1"/>
        <v>0</v>
      </c>
    </row>
    <row r="11" spans="1:12" x14ac:dyDescent="0.25">
      <c r="A11">
        <v>1697</v>
      </c>
      <c r="B11" t="s">
        <v>12</v>
      </c>
      <c r="C11" t="s">
        <v>43</v>
      </c>
      <c r="D11" t="s">
        <v>44</v>
      </c>
      <c r="F11">
        <v>230</v>
      </c>
      <c r="J11">
        <f t="shared" si="0"/>
        <v>25760</v>
      </c>
      <c r="K11" s="1"/>
      <c r="L11">
        <f t="shared" si="1"/>
        <v>11.5</v>
      </c>
    </row>
    <row r="12" spans="1:12" x14ac:dyDescent="0.25">
      <c r="A12">
        <v>1697</v>
      </c>
      <c r="B12" t="s">
        <v>13</v>
      </c>
      <c r="C12" t="s">
        <v>43</v>
      </c>
      <c r="D12" t="s">
        <v>44</v>
      </c>
      <c r="J12">
        <f t="shared" si="0"/>
        <v>0</v>
      </c>
      <c r="L12">
        <f t="shared" si="1"/>
        <v>0</v>
      </c>
    </row>
    <row r="13" spans="1:12" x14ac:dyDescent="0.25">
      <c r="A13">
        <v>1697</v>
      </c>
      <c r="B13" t="s">
        <v>14</v>
      </c>
      <c r="C13" t="s">
        <v>43</v>
      </c>
      <c r="D13" t="s">
        <v>44</v>
      </c>
      <c r="J13">
        <f t="shared" si="0"/>
        <v>0</v>
      </c>
      <c r="L13">
        <f t="shared" si="1"/>
        <v>0</v>
      </c>
    </row>
    <row r="14" spans="1:12" x14ac:dyDescent="0.25">
      <c r="A14">
        <v>1697</v>
      </c>
      <c r="B14" t="s">
        <v>15</v>
      </c>
      <c r="C14" t="s">
        <v>43</v>
      </c>
      <c r="D14" t="s">
        <v>44</v>
      </c>
      <c r="J14">
        <f t="shared" si="0"/>
        <v>0</v>
      </c>
      <c r="L14">
        <f t="shared" si="1"/>
        <v>0</v>
      </c>
    </row>
    <row r="15" spans="1:12" x14ac:dyDescent="0.25">
      <c r="A15">
        <v>1697</v>
      </c>
      <c r="B15" t="s">
        <v>16</v>
      </c>
      <c r="C15" t="s">
        <v>43</v>
      </c>
      <c r="D15" t="s">
        <v>44</v>
      </c>
      <c r="J15">
        <f t="shared" si="0"/>
        <v>0</v>
      </c>
      <c r="L15">
        <f t="shared" si="1"/>
        <v>0</v>
      </c>
    </row>
    <row r="16" spans="1:12" x14ac:dyDescent="0.25">
      <c r="A16">
        <v>1697</v>
      </c>
      <c r="B16" t="s">
        <v>17</v>
      </c>
      <c r="C16" t="s">
        <v>43</v>
      </c>
      <c r="D16" t="s">
        <v>44</v>
      </c>
      <c r="J16">
        <f t="shared" si="0"/>
        <v>0</v>
      </c>
      <c r="L16">
        <f t="shared" si="1"/>
        <v>0</v>
      </c>
    </row>
    <row r="17" spans="1:12" x14ac:dyDescent="0.25">
      <c r="A17">
        <v>1697</v>
      </c>
      <c r="B17" t="s">
        <v>18</v>
      </c>
      <c r="C17" t="s">
        <v>43</v>
      </c>
      <c r="D17" t="s">
        <v>44</v>
      </c>
      <c r="J17">
        <f t="shared" si="0"/>
        <v>0</v>
      </c>
      <c r="L17">
        <f t="shared" si="1"/>
        <v>0</v>
      </c>
    </row>
    <row r="18" spans="1:12" x14ac:dyDescent="0.25">
      <c r="A18">
        <v>1697</v>
      </c>
      <c r="B18" t="s">
        <v>47</v>
      </c>
      <c r="C18" t="s">
        <v>43</v>
      </c>
      <c r="D18" t="s">
        <v>44</v>
      </c>
      <c r="J18">
        <f t="shared" si="0"/>
        <v>0</v>
      </c>
      <c r="L18">
        <f t="shared" si="1"/>
        <v>0</v>
      </c>
    </row>
    <row r="19" spans="1:12" x14ac:dyDescent="0.25">
      <c r="A19">
        <v>1697</v>
      </c>
      <c r="B19" t="s">
        <v>20</v>
      </c>
      <c r="C19" t="s">
        <v>43</v>
      </c>
      <c r="D19" t="s">
        <v>44</v>
      </c>
      <c r="H19">
        <v>11390</v>
      </c>
      <c r="J19">
        <f t="shared" si="0"/>
        <v>11390</v>
      </c>
      <c r="L19">
        <f t="shared" si="1"/>
        <v>5.0848214285714288</v>
      </c>
    </row>
    <row r="20" spans="1:12" x14ac:dyDescent="0.25">
      <c r="A20">
        <v>1697</v>
      </c>
      <c r="B20" t="s">
        <v>21</v>
      </c>
      <c r="C20" t="s">
        <v>43</v>
      </c>
      <c r="D20" t="s">
        <v>44</v>
      </c>
      <c r="J20">
        <f t="shared" si="0"/>
        <v>0</v>
      </c>
      <c r="L20">
        <f t="shared" si="1"/>
        <v>0</v>
      </c>
    </row>
    <row r="21" spans="1:12" x14ac:dyDescent="0.25">
      <c r="A21">
        <v>1697</v>
      </c>
      <c r="B21" t="s">
        <v>22</v>
      </c>
      <c r="C21" t="s">
        <v>43</v>
      </c>
      <c r="D21" t="s">
        <v>44</v>
      </c>
      <c r="G21">
        <v>1</v>
      </c>
      <c r="H21">
        <v>14</v>
      </c>
      <c r="J21">
        <f t="shared" si="0"/>
        <v>42</v>
      </c>
      <c r="L21">
        <f t="shared" si="1"/>
        <v>1.8749999999999999E-2</v>
      </c>
    </row>
    <row r="22" spans="1:12" x14ac:dyDescent="0.25">
      <c r="A22">
        <v>1697</v>
      </c>
      <c r="B22" t="s">
        <v>5</v>
      </c>
      <c r="C22" t="s">
        <v>43</v>
      </c>
      <c r="D22" t="s">
        <v>48</v>
      </c>
      <c r="F22">
        <v>11100</v>
      </c>
      <c r="J22">
        <f t="shared" si="0"/>
        <v>1243200</v>
      </c>
      <c r="L22">
        <f t="shared" si="1"/>
        <v>555</v>
      </c>
    </row>
    <row r="23" spans="1:12" x14ac:dyDescent="0.25">
      <c r="A23">
        <v>1697</v>
      </c>
      <c r="B23" t="s">
        <v>6</v>
      </c>
      <c r="C23" t="s">
        <v>43</v>
      </c>
      <c r="D23" t="s">
        <v>48</v>
      </c>
      <c r="J23">
        <f t="shared" si="0"/>
        <v>0</v>
      </c>
      <c r="L23">
        <f t="shared" si="1"/>
        <v>0</v>
      </c>
    </row>
    <row r="24" spans="1:12" x14ac:dyDescent="0.25">
      <c r="A24">
        <v>1697</v>
      </c>
      <c r="B24" t="s">
        <v>45</v>
      </c>
      <c r="C24" t="s">
        <v>43</v>
      </c>
      <c r="D24" t="s">
        <v>48</v>
      </c>
      <c r="J24">
        <f t="shared" si="0"/>
        <v>0</v>
      </c>
      <c r="L24">
        <f t="shared" si="1"/>
        <v>0</v>
      </c>
    </row>
    <row r="25" spans="1:12" x14ac:dyDescent="0.25">
      <c r="A25">
        <v>1697</v>
      </c>
      <c r="B25" t="s">
        <v>8</v>
      </c>
      <c r="C25" t="s">
        <v>43</v>
      </c>
      <c r="D25" t="s">
        <v>48</v>
      </c>
      <c r="F25">
        <v>203</v>
      </c>
      <c r="G25">
        <v>2</v>
      </c>
      <c r="J25">
        <f t="shared" si="0"/>
        <v>22792</v>
      </c>
      <c r="L25">
        <f t="shared" si="1"/>
        <v>10.175000000000001</v>
      </c>
    </row>
    <row r="26" spans="1:12" x14ac:dyDescent="0.25">
      <c r="A26">
        <v>1697</v>
      </c>
      <c r="B26" t="s">
        <v>9</v>
      </c>
      <c r="C26" t="s">
        <v>43</v>
      </c>
      <c r="D26" t="s">
        <v>48</v>
      </c>
      <c r="G26">
        <v>2</v>
      </c>
      <c r="J26">
        <f t="shared" si="0"/>
        <v>56</v>
      </c>
      <c r="L26">
        <f t="shared" si="1"/>
        <v>2.5000000000000001E-2</v>
      </c>
    </row>
    <row r="27" spans="1:12" x14ac:dyDescent="0.25">
      <c r="A27">
        <v>1697</v>
      </c>
      <c r="B27" t="s">
        <v>10</v>
      </c>
      <c r="C27" t="s">
        <v>43</v>
      </c>
      <c r="D27" t="s">
        <v>48</v>
      </c>
      <c r="J27">
        <f t="shared" si="0"/>
        <v>0</v>
      </c>
      <c r="L27">
        <f t="shared" si="1"/>
        <v>0</v>
      </c>
    </row>
    <row r="28" spans="1:12" x14ac:dyDescent="0.25">
      <c r="A28">
        <v>1697</v>
      </c>
      <c r="B28" t="s">
        <v>11</v>
      </c>
      <c r="C28" t="s">
        <v>43</v>
      </c>
      <c r="D28" t="s">
        <v>48</v>
      </c>
      <c r="H28">
        <v>216</v>
      </c>
      <c r="J28">
        <f t="shared" si="0"/>
        <v>216</v>
      </c>
      <c r="L28">
        <f t="shared" si="1"/>
        <v>9.6428571428571433E-2</v>
      </c>
    </row>
    <row r="29" spans="1:12" x14ac:dyDescent="0.25">
      <c r="A29">
        <v>1697</v>
      </c>
      <c r="B29" t="s">
        <v>12</v>
      </c>
      <c r="C29" t="s">
        <v>43</v>
      </c>
      <c r="D29" t="s">
        <v>48</v>
      </c>
      <c r="F29">
        <v>307</v>
      </c>
      <c r="G29">
        <v>2</v>
      </c>
      <c r="J29">
        <f t="shared" si="0"/>
        <v>34440</v>
      </c>
      <c r="L29">
        <f t="shared" si="1"/>
        <v>15.375</v>
      </c>
    </row>
    <row r="30" spans="1:12" x14ac:dyDescent="0.25">
      <c r="A30">
        <v>1697</v>
      </c>
      <c r="B30" t="s">
        <v>13</v>
      </c>
      <c r="C30" t="s">
        <v>43</v>
      </c>
      <c r="D30" t="s">
        <v>48</v>
      </c>
      <c r="J30">
        <f t="shared" si="0"/>
        <v>0</v>
      </c>
      <c r="L30">
        <f t="shared" si="1"/>
        <v>0</v>
      </c>
    </row>
    <row r="31" spans="1:12" x14ac:dyDescent="0.25">
      <c r="A31">
        <v>1697</v>
      </c>
      <c r="B31" t="s">
        <v>27</v>
      </c>
      <c r="C31" t="s">
        <v>43</v>
      </c>
      <c r="D31" t="s">
        <v>48</v>
      </c>
      <c r="J31">
        <f t="shared" si="0"/>
        <v>0</v>
      </c>
      <c r="L31">
        <f t="shared" si="1"/>
        <v>0</v>
      </c>
    </row>
    <row r="32" spans="1:12" x14ac:dyDescent="0.25">
      <c r="A32">
        <v>1697</v>
      </c>
      <c r="B32" t="s">
        <v>14</v>
      </c>
      <c r="C32" t="s">
        <v>43</v>
      </c>
      <c r="D32" t="s">
        <v>48</v>
      </c>
      <c r="J32">
        <f t="shared" si="0"/>
        <v>0</v>
      </c>
      <c r="L32">
        <f t="shared" si="1"/>
        <v>0</v>
      </c>
    </row>
    <row r="33" spans="1:12" x14ac:dyDescent="0.25">
      <c r="A33">
        <v>1697</v>
      </c>
      <c r="B33" t="s">
        <v>15</v>
      </c>
      <c r="C33" t="s">
        <v>43</v>
      </c>
      <c r="D33" t="s">
        <v>48</v>
      </c>
      <c r="J33">
        <f t="shared" si="0"/>
        <v>0</v>
      </c>
      <c r="L33">
        <f t="shared" si="1"/>
        <v>0</v>
      </c>
    </row>
    <row r="34" spans="1:12" x14ac:dyDescent="0.25">
      <c r="A34">
        <v>1697</v>
      </c>
      <c r="B34" t="s">
        <v>16</v>
      </c>
      <c r="C34" t="s">
        <v>43</v>
      </c>
      <c r="D34" t="s">
        <v>48</v>
      </c>
      <c r="J34">
        <f t="shared" si="0"/>
        <v>0</v>
      </c>
      <c r="L34">
        <f t="shared" si="1"/>
        <v>0</v>
      </c>
    </row>
    <row r="35" spans="1:12" x14ac:dyDescent="0.25">
      <c r="A35">
        <v>1697</v>
      </c>
      <c r="B35" t="s">
        <v>17</v>
      </c>
      <c r="C35" t="s">
        <v>43</v>
      </c>
      <c r="D35" t="s">
        <v>48</v>
      </c>
      <c r="J35">
        <f t="shared" si="0"/>
        <v>0</v>
      </c>
      <c r="L35">
        <f t="shared" si="1"/>
        <v>0</v>
      </c>
    </row>
    <row r="36" spans="1:12" x14ac:dyDescent="0.25">
      <c r="A36">
        <v>1697</v>
      </c>
      <c r="B36" t="s">
        <v>18</v>
      </c>
      <c r="C36" t="s">
        <v>43</v>
      </c>
      <c r="D36" t="s">
        <v>48</v>
      </c>
      <c r="J36">
        <f t="shared" si="0"/>
        <v>0</v>
      </c>
      <c r="L36">
        <f t="shared" si="1"/>
        <v>0</v>
      </c>
    </row>
    <row r="37" spans="1:12" x14ac:dyDescent="0.25">
      <c r="A37">
        <v>1697</v>
      </c>
      <c r="B37" t="s">
        <v>47</v>
      </c>
      <c r="C37" t="s">
        <v>43</v>
      </c>
      <c r="D37" t="s">
        <v>48</v>
      </c>
      <c r="H37">
        <v>55</v>
      </c>
      <c r="J37">
        <f t="shared" si="0"/>
        <v>55</v>
      </c>
      <c r="L37">
        <f t="shared" si="1"/>
        <v>2.4553571428571428E-2</v>
      </c>
    </row>
    <row r="38" spans="1:12" x14ac:dyDescent="0.25">
      <c r="A38">
        <v>1697</v>
      </c>
      <c r="B38" t="s">
        <v>20</v>
      </c>
      <c r="C38" t="s">
        <v>43</v>
      </c>
      <c r="D38" t="s">
        <v>48</v>
      </c>
      <c r="H38">
        <v>51383</v>
      </c>
      <c r="J38">
        <f t="shared" si="0"/>
        <v>51383</v>
      </c>
      <c r="L38">
        <f t="shared" si="1"/>
        <v>22.938839285714284</v>
      </c>
    </row>
    <row r="39" spans="1:12" x14ac:dyDescent="0.25">
      <c r="A39">
        <v>1697</v>
      </c>
      <c r="B39" t="s">
        <v>21</v>
      </c>
      <c r="C39" t="s">
        <v>43</v>
      </c>
      <c r="D39" t="s">
        <v>48</v>
      </c>
      <c r="J39">
        <f t="shared" si="0"/>
        <v>0</v>
      </c>
      <c r="L39">
        <f t="shared" si="1"/>
        <v>0</v>
      </c>
    </row>
    <row r="40" spans="1:12" x14ac:dyDescent="0.25">
      <c r="A40">
        <v>1697</v>
      </c>
      <c r="B40" t="s">
        <v>22</v>
      </c>
      <c r="C40" t="s">
        <v>43</v>
      </c>
      <c r="D40" t="s">
        <v>48</v>
      </c>
      <c r="F40">
        <v>11</v>
      </c>
      <c r="J40">
        <f t="shared" si="0"/>
        <v>1232</v>
      </c>
      <c r="L40">
        <f t="shared" si="1"/>
        <v>0.55000000000000004</v>
      </c>
    </row>
  </sheetData>
  <autoFilter ref="A1:L40" xr:uid="{00C381F7-54B2-4895-B31E-7E36269F173B}">
    <sortState xmlns:xlrd2="http://schemas.microsoft.com/office/spreadsheetml/2017/richdata2" ref="A2:L40">
      <sortCondition ref="D1:D40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B2A9-2CA2-4921-97C8-FE2EBFC3890B}">
  <dimension ref="A1:L48"/>
  <sheetViews>
    <sheetView topLeftCell="A27" workbookViewId="0">
      <selection activeCell="H9" sqref="H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</row>
    <row r="2" spans="1:12" x14ac:dyDescent="0.25">
      <c r="A2">
        <v>1697</v>
      </c>
      <c r="B2" t="s">
        <v>3</v>
      </c>
      <c r="C2" t="s">
        <v>49</v>
      </c>
      <c r="D2" t="s">
        <v>44</v>
      </c>
      <c r="J2">
        <f t="shared" ref="J2:J35" si="0">(E2*2240)+(F2*112)+(G2*28)+H2</f>
        <v>0</v>
      </c>
      <c r="L2">
        <f t="shared" ref="L2:L35" si="1">J2/2240</f>
        <v>0</v>
      </c>
    </row>
    <row r="3" spans="1:12" x14ac:dyDescent="0.25">
      <c r="A3">
        <v>1697</v>
      </c>
      <c r="B3" t="s">
        <v>4</v>
      </c>
      <c r="C3" t="s">
        <v>49</v>
      </c>
      <c r="D3" t="s">
        <v>44</v>
      </c>
      <c r="J3">
        <f t="shared" si="0"/>
        <v>0</v>
      </c>
      <c r="L3">
        <f t="shared" si="1"/>
        <v>0</v>
      </c>
    </row>
    <row r="4" spans="1:12" x14ac:dyDescent="0.25">
      <c r="A4">
        <v>1697</v>
      </c>
      <c r="B4" t="s">
        <v>6</v>
      </c>
      <c r="C4" t="s">
        <v>49</v>
      </c>
      <c r="D4" t="s">
        <v>44</v>
      </c>
      <c r="J4">
        <f t="shared" si="0"/>
        <v>0</v>
      </c>
      <c r="L4">
        <f t="shared" si="1"/>
        <v>0</v>
      </c>
    </row>
    <row r="5" spans="1:12" x14ac:dyDescent="0.25">
      <c r="A5">
        <v>1697</v>
      </c>
      <c r="B5" t="s">
        <v>45</v>
      </c>
      <c r="C5" t="s">
        <v>49</v>
      </c>
      <c r="D5" t="s">
        <v>44</v>
      </c>
      <c r="F5">
        <v>9</v>
      </c>
      <c r="H5">
        <v>26</v>
      </c>
      <c r="J5">
        <f t="shared" si="0"/>
        <v>1034</v>
      </c>
      <c r="L5">
        <f t="shared" si="1"/>
        <v>0.46160714285714288</v>
      </c>
    </row>
    <row r="6" spans="1:12" x14ac:dyDescent="0.25">
      <c r="A6">
        <v>1697</v>
      </c>
      <c r="B6" t="s">
        <v>50</v>
      </c>
      <c r="C6" t="s">
        <v>49</v>
      </c>
      <c r="D6" t="s">
        <v>44</v>
      </c>
      <c r="J6">
        <f t="shared" si="0"/>
        <v>0</v>
      </c>
      <c r="L6">
        <f t="shared" si="1"/>
        <v>0</v>
      </c>
    </row>
    <row r="7" spans="1:12" x14ac:dyDescent="0.25">
      <c r="A7">
        <v>1697</v>
      </c>
      <c r="B7" t="s">
        <v>51</v>
      </c>
      <c r="C7" t="s">
        <v>49</v>
      </c>
      <c r="D7" t="s">
        <v>44</v>
      </c>
      <c r="J7">
        <f t="shared" si="0"/>
        <v>0</v>
      </c>
      <c r="L7">
        <f t="shared" si="1"/>
        <v>0</v>
      </c>
    </row>
    <row r="8" spans="1:12" x14ac:dyDescent="0.25">
      <c r="A8">
        <v>1697</v>
      </c>
      <c r="B8" t="s">
        <v>8</v>
      </c>
      <c r="C8" t="s">
        <v>49</v>
      </c>
      <c r="D8" t="s">
        <v>44</v>
      </c>
      <c r="H8">
        <f>1104*200</f>
        <v>220800</v>
      </c>
      <c r="I8" t="s">
        <v>52</v>
      </c>
      <c r="J8">
        <f t="shared" si="0"/>
        <v>220800</v>
      </c>
      <c r="L8">
        <f t="shared" si="1"/>
        <v>98.571428571428569</v>
      </c>
    </row>
    <row r="9" spans="1:12" x14ac:dyDescent="0.25">
      <c r="A9">
        <v>1697</v>
      </c>
      <c r="B9" t="s">
        <v>9</v>
      </c>
      <c r="C9" t="s">
        <v>49</v>
      </c>
      <c r="D9" t="s">
        <v>44</v>
      </c>
      <c r="F9">
        <v>7237</v>
      </c>
      <c r="G9">
        <v>1</v>
      </c>
      <c r="H9">
        <v>17</v>
      </c>
      <c r="J9">
        <f t="shared" si="0"/>
        <v>810589</v>
      </c>
      <c r="L9">
        <f t="shared" si="1"/>
        <v>361.8700892857143</v>
      </c>
    </row>
    <row r="10" spans="1:12" x14ac:dyDescent="0.25">
      <c r="A10">
        <v>1697</v>
      </c>
      <c r="B10" t="s">
        <v>10</v>
      </c>
      <c r="C10" t="s">
        <v>49</v>
      </c>
      <c r="D10" t="s">
        <v>44</v>
      </c>
      <c r="F10">
        <v>114</v>
      </c>
      <c r="G10">
        <v>1</v>
      </c>
      <c r="H10">
        <v>14</v>
      </c>
      <c r="J10">
        <f t="shared" si="0"/>
        <v>12810</v>
      </c>
      <c r="L10">
        <f t="shared" si="1"/>
        <v>5.71875</v>
      </c>
    </row>
    <row r="11" spans="1:12" x14ac:dyDescent="0.25">
      <c r="A11">
        <v>1697</v>
      </c>
      <c r="B11" t="s">
        <v>11</v>
      </c>
      <c r="C11" t="s">
        <v>49</v>
      </c>
      <c r="D11" t="s">
        <v>44</v>
      </c>
      <c r="H11">
        <v>407</v>
      </c>
      <c r="J11">
        <f t="shared" si="0"/>
        <v>407</v>
      </c>
      <c r="L11">
        <f t="shared" si="1"/>
        <v>0.18169642857142856</v>
      </c>
    </row>
    <row r="12" spans="1:12" x14ac:dyDescent="0.25">
      <c r="A12">
        <v>1697</v>
      </c>
      <c r="B12" t="s">
        <v>53</v>
      </c>
      <c r="C12" t="s">
        <v>49</v>
      </c>
      <c r="D12" t="s">
        <v>44</v>
      </c>
      <c r="J12">
        <f t="shared" si="0"/>
        <v>0</v>
      </c>
      <c r="L12">
        <f t="shared" si="1"/>
        <v>0</v>
      </c>
    </row>
    <row r="13" spans="1:12" x14ac:dyDescent="0.25">
      <c r="A13">
        <v>1697</v>
      </c>
      <c r="B13" t="s">
        <v>12</v>
      </c>
      <c r="C13" t="s">
        <v>49</v>
      </c>
      <c r="D13" t="s">
        <v>44</v>
      </c>
      <c r="J13">
        <f t="shared" si="0"/>
        <v>0</v>
      </c>
      <c r="L13">
        <f t="shared" si="1"/>
        <v>0</v>
      </c>
    </row>
    <row r="14" spans="1:12" x14ac:dyDescent="0.25">
      <c r="A14">
        <v>1697</v>
      </c>
      <c r="B14" t="s">
        <v>13</v>
      </c>
      <c r="C14" t="s">
        <v>49</v>
      </c>
      <c r="D14" t="s">
        <v>44</v>
      </c>
      <c r="H14">
        <v>3411</v>
      </c>
      <c r="I14" t="s">
        <v>54</v>
      </c>
      <c r="J14">
        <f t="shared" si="0"/>
        <v>3411</v>
      </c>
      <c r="L14">
        <f t="shared" si="1"/>
        <v>1.5227678571428571</v>
      </c>
    </row>
    <row r="15" spans="1:12" x14ac:dyDescent="0.25">
      <c r="A15">
        <v>1697</v>
      </c>
      <c r="B15" t="s">
        <v>23</v>
      </c>
      <c r="C15" t="s">
        <v>49</v>
      </c>
      <c r="D15" t="s">
        <v>44</v>
      </c>
      <c r="F15">
        <v>12</v>
      </c>
      <c r="G15">
        <v>2</v>
      </c>
      <c r="J15">
        <f t="shared" si="0"/>
        <v>1400</v>
      </c>
      <c r="L15">
        <f t="shared" si="1"/>
        <v>0.625</v>
      </c>
    </row>
    <row r="16" spans="1:12" x14ac:dyDescent="0.25">
      <c r="A16">
        <v>1697</v>
      </c>
      <c r="B16" t="s">
        <v>27</v>
      </c>
      <c r="C16" t="s">
        <v>49</v>
      </c>
      <c r="D16" t="s">
        <v>44</v>
      </c>
      <c r="J16">
        <f t="shared" si="0"/>
        <v>0</v>
      </c>
      <c r="L16">
        <f t="shared" si="1"/>
        <v>0</v>
      </c>
    </row>
    <row r="17" spans="1:12" x14ac:dyDescent="0.25">
      <c r="A17">
        <v>1697</v>
      </c>
      <c r="B17" t="s">
        <v>14</v>
      </c>
      <c r="C17" t="s">
        <v>49</v>
      </c>
      <c r="D17" t="s">
        <v>44</v>
      </c>
      <c r="J17">
        <f t="shared" si="0"/>
        <v>0</v>
      </c>
      <c r="L17">
        <f t="shared" si="1"/>
        <v>0</v>
      </c>
    </row>
    <row r="18" spans="1:12" x14ac:dyDescent="0.25">
      <c r="A18">
        <v>1697</v>
      </c>
      <c r="B18" t="s">
        <v>25</v>
      </c>
      <c r="C18" t="s">
        <v>49</v>
      </c>
      <c r="D18" t="s">
        <v>44</v>
      </c>
      <c r="F18">
        <v>116316</v>
      </c>
      <c r="G18">
        <v>1</v>
      </c>
      <c r="H18">
        <v>17</v>
      </c>
      <c r="J18">
        <f t="shared" si="0"/>
        <v>13027437</v>
      </c>
      <c r="L18">
        <f t="shared" si="1"/>
        <v>5815.8200892857139</v>
      </c>
    </row>
    <row r="19" spans="1:12" x14ac:dyDescent="0.25">
      <c r="A19">
        <v>1697</v>
      </c>
      <c r="B19" t="s">
        <v>55</v>
      </c>
      <c r="C19" t="s">
        <v>49</v>
      </c>
      <c r="D19" t="s">
        <v>44</v>
      </c>
      <c r="J19">
        <f t="shared" si="0"/>
        <v>0</v>
      </c>
      <c r="L19">
        <f t="shared" si="1"/>
        <v>0</v>
      </c>
    </row>
    <row r="20" spans="1:12" x14ac:dyDescent="0.25">
      <c r="A20">
        <v>1697</v>
      </c>
      <c r="B20" t="s">
        <v>56</v>
      </c>
      <c r="C20" t="s">
        <v>49</v>
      </c>
      <c r="D20" t="s">
        <v>44</v>
      </c>
      <c r="J20">
        <f t="shared" si="0"/>
        <v>0</v>
      </c>
      <c r="L20">
        <f t="shared" si="1"/>
        <v>0</v>
      </c>
    </row>
    <row r="21" spans="1:12" x14ac:dyDescent="0.25">
      <c r="A21">
        <v>1697</v>
      </c>
      <c r="B21" t="s">
        <v>16</v>
      </c>
      <c r="C21" t="s">
        <v>49</v>
      </c>
      <c r="D21" t="s">
        <v>44</v>
      </c>
      <c r="J21">
        <f t="shared" si="0"/>
        <v>0</v>
      </c>
      <c r="L21">
        <f t="shared" si="1"/>
        <v>0</v>
      </c>
    </row>
    <row r="22" spans="1:12" x14ac:dyDescent="0.25">
      <c r="A22">
        <v>1697</v>
      </c>
      <c r="B22" t="s">
        <v>17</v>
      </c>
      <c r="C22" t="s">
        <v>49</v>
      </c>
      <c r="D22" t="s">
        <v>44</v>
      </c>
      <c r="H22">
        <v>100</v>
      </c>
      <c r="I22" t="s">
        <v>57</v>
      </c>
      <c r="J22">
        <f t="shared" si="0"/>
        <v>100</v>
      </c>
      <c r="L22">
        <f t="shared" si="1"/>
        <v>4.4642857142857144E-2</v>
      </c>
    </row>
    <row r="23" spans="1:12" x14ac:dyDescent="0.25">
      <c r="A23">
        <v>1697</v>
      </c>
      <c r="B23" t="s">
        <v>18</v>
      </c>
      <c r="C23" t="s">
        <v>49</v>
      </c>
      <c r="D23" t="s">
        <v>44</v>
      </c>
      <c r="F23">
        <v>19</v>
      </c>
      <c r="G23">
        <v>1</v>
      </c>
      <c r="H23">
        <v>2</v>
      </c>
      <c r="J23">
        <f t="shared" si="0"/>
        <v>2158</v>
      </c>
      <c r="L23">
        <f t="shared" si="1"/>
        <v>0.96339285714285716</v>
      </c>
    </row>
    <row r="24" spans="1:12" x14ac:dyDescent="0.25">
      <c r="A24">
        <v>1697</v>
      </c>
      <c r="B24" t="s">
        <v>19</v>
      </c>
      <c r="C24" t="s">
        <v>49</v>
      </c>
      <c r="D24" t="s">
        <v>44</v>
      </c>
      <c r="H24">
        <v>3302</v>
      </c>
      <c r="J24">
        <f t="shared" si="0"/>
        <v>3302</v>
      </c>
      <c r="L24">
        <f t="shared" si="1"/>
        <v>1.4741071428571428</v>
      </c>
    </row>
    <row r="25" spans="1:12" x14ac:dyDescent="0.25">
      <c r="A25">
        <v>1697</v>
      </c>
      <c r="B25" t="s">
        <v>20</v>
      </c>
      <c r="C25" t="s">
        <v>49</v>
      </c>
      <c r="D25" t="s">
        <v>44</v>
      </c>
      <c r="H25">
        <v>142</v>
      </c>
      <c r="J25">
        <f t="shared" si="0"/>
        <v>142</v>
      </c>
      <c r="L25">
        <f t="shared" si="1"/>
        <v>6.339285714285714E-2</v>
      </c>
    </row>
    <row r="26" spans="1:12" x14ac:dyDescent="0.25">
      <c r="A26">
        <v>1697</v>
      </c>
      <c r="B26" t="s">
        <v>21</v>
      </c>
      <c r="C26" t="s">
        <v>49</v>
      </c>
      <c r="D26" t="s">
        <v>44</v>
      </c>
      <c r="H26">
        <v>32</v>
      </c>
      <c r="J26">
        <f t="shared" si="0"/>
        <v>32</v>
      </c>
      <c r="L26">
        <f t="shared" si="1"/>
        <v>1.4285714285714285E-2</v>
      </c>
    </row>
    <row r="27" spans="1:12" x14ac:dyDescent="0.25">
      <c r="A27">
        <v>1697</v>
      </c>
      <c r="B27" t="s">
        <v>22</v>
      </c>
      <c r="C27" t="s">
        <v>49</v>
      </c>
      <c r="D27" t="s">
        <v>44</v>
      </c>
      <c r="F27">
        <v>3243</v>
      </c>
      <c r="H27">
        <v>25</v>
      </c>
      <c r="J27">
        <f t="shared" si="0"/>
        <v>363241</v>
      </c>
      <c r="L27">
        <f t="shared" si="1"/>
        <v>162.16116071428573</v>
      </c>
    </row>
    <row r="28" spans="1:12" x14ac:dyDescent="0.25">
      <c r="A28">
        <v>1697</v>
      </c>
      <c r="B28" t="s">
        <v>3</v>
      </c>
      <c r="C28" t="s">
        <v>49</v>
      </c>
      <c r="D28" t="s">
        <v>48</v>
      </c>
      <c r="J28">
        <f t="shared" si="0"/>
        <v>0</v>
      </c>
      <c r="L28">
        <f t="shared" si="1"/>
        <v>0</v>
      </c>
    </row>
    <row r="29" spans="1:12" x14ac:dyDescent="0.25">
      <c r="A29">
        <v>1697</v>
      </c>
      <c r="B29" t="s">
        <v>6</v>
      </c>
      <c r="C29" t="s">
        <v>49</v>
      </c>
      <c r="D29" t="s">
        <v>48</v>
      </c>
      <c r="J29">
        <f t="shared" si="0"/>
        <v>0</v>
      </c>
      <c r="L29">
        <f t="shared" si="1"/>
        <v>0</v>
      </c>
    </row>
    <row r="30" spans="1:12" x14ac:dyDescent="0.25">
      <c r="A30">
        <v>1697</v>
      </c>
      <c r="B30" t="s">
        <v>45</v>
      </c>
      <c r="C30" t="s">
        <v>49</v>
      </c>
      <c r="D30" t="s">
        <v>48</v>
      </c>
      <c r="F30">
        <v>1</v>
      </c>
      <c r="G30">
        <v>2</v>
      </c>
      <c r="J30">
        <f t="shared" si="0"/>
        <v>168</v>
      </c>
      <c r="L30">
        <f t="shared" si="1"/>
        <v>7.4999999999999997E-2</v>
      </c>
    </row>
    <row r="31" spans="1:12" x14ac:dyDescent="0.25">
      <c r="A31">
        <v>1697</v>
      </c>
      <c r="B31" t="s">
        <v>58</v>
      </c>
      <c r="C31" t="s">
        <v>49</v>
      </c>
      <c r="D31" t="s">
        <v>48</v>
      </c>
      <c r="J31">
        <f t="shared" si="0"/>
        <v>0</v>
      </c>
      <c r="L31">
        <f t="shared" si="1"/>
        <v>0</v>
      </c>
    </row>
    <row r="32" spans="1:12" x14ac:dyDescent="0.25">
      <c r="A32">
        <v>1697</v>
      </c>
      <c r="B32" t="s">
        <v>8</v>
      </c>
      <c r="C32" t="s">
        <v>49</v>
      </c>
      <c r="D32" t="s">
        <v>48</v>
      </c>
      <c r="F32">
        <v>295</v>
      </c>
      <c r="J32">
        <f t="shared" si="0"/>
        <v>33040</v>
      </c>
      <c r="L32">
        <f t="shared" si="1"/>
        <v>14.75</v>
      </c>
    </row>
    <row r="33" spans="1:12" x14ac:dyDescent="0.25">
      <c r="A33">
        <v>1697</v>
      </c>
      <c r="B33" t="s">
        <v>9</v>
      </c>
      <c r="C33" t="s">
        <v>49</v>
      </c>
      <c r="D33" t="s">
        <v>48</v>
      </c>
      <c r="F33">
        <v>1153</v>
      </c>
      <c r="H33">
        <v>23</v>
      </c>
      <c r="J33">
        <f t="shared" si="0"/>
        <v>129159</v>
      </c>
      <c r="L33">
        <f t="shared" si="1"/>
        <v>57.660267857142856</v>
      </c>
    </row>
    <row r="34" spans="1:12" x14ac:dyDescent="0.25">
      <c r="A34">
        <v>1697</v>
      </c>
      <c r="B34" t="s">
        <v>10</v>
      </c>
      <c r="C34" t="s">
        <v>49</v>
      </c>
      <c r="D34" t="s">
        <v>48</v>
      </c>
      <c r="J34">
        <f t="shared" si="0"/>
        <v>0</v>
      </c>
      <c r="L34">
        <f t="shared" si="1"/>
        <v>0</v>
      </c>
    </row>
    <row r="35" spans="1:12" x14ac:dyDescent="0.25">
      <c r="A35">
        <v>1697</v>
      </c>
      <c r="B35" t="s">
        <v>11</v>
      </c>
      <c r="C35" t="s">
        <v>49</v>
      </c>
      <c r="D35" t="s">
        <v>48</v>
      </c>
      <c r="H35">
        <v>160</v>
      </c>
      <c r="J35">
        <f t="shared" si="0"/>
        <v>160</v>
      </c>
      <c r="L35">
        <f t="shared" si="1"/>
        <v>7.1428571428571425E-2</v>
      </c>
    </row>
    <row r="36" spans="1:12" x14ac:dyDescent="0.25">
      <c r="A36">
        <v>1697</v>
      </c>
      <c r="B36" t="s">
        <v>53</v>
      </c>
      <c r="C36" t="s">
        <v>49</v>
      </c>
      <c r="D36" t="s">
        <v>48</v>
      </c>
    </row>
    <row r="37" spans="1:12" x14ac:dyDescent="0.25">
      <c r="A37">
        <v>1697</v>
      </c>
      <c r="B37" t="s">
        <v>12</v>
      </c>
      <c r="C37" t="s">
        <v>49</v>
      </c>
      <c r="D37" t="s">
        <v>48</v>
      </c>
      <c r="J37">
        <f t="shared" ref="J37:J48" si="2">(E37*2240)+(F37*112)+(G37*28)+H37</f>
        <v>0</v>
      </c>
      <c r="L37">
        <f t="shared" ref="L37:L48" si="3">J37/2240</f>
        <v>0</v>
      </c>
    </row>
    <row r="38" spans="1:12" x14ac:dyDescent="0.25">
      <c r="A38">
        <v>1697</v>
      </c>
      <c r="B38" t="s">
        <v>13</v>
      </c>
      <c r="C38" t="s">
        <v>49</v>
      </c>
      <c r="D38" t="s">
        <v>48</v>
      </c>
      <c r="H38">
        <v>1365</v>
      </c>
      <c r="I38" t="s">
        <v>59</v>
      </c>
      <c r="J38">
        <f t="shared" si="2"/>
        <v>1365</v>
      </c>
      <c r="L38">
        <f t="shared" si="3"/>
        <v>0.609375</v>
      </c>
    </row>
    <row r="39" spans="1:12" x14ac:dyDescent="0.25">
      <c r="A39">
        <v>1697</v>
      </c>
      <c r="B39" t="s">
        <v>14</v>
      </c>
      <c r="C39" t="s">
        <v>49</v>
      </c>
      <c r="D39" t="s">
        <v>48</v>
      </c>
      <c r="J39">
        <f t="shared" si="2"/>
        <v>0</v>
      </c>
      <c r="L39">
        <f t="shared" si="3"/>
        <v>0</v>
      </c>
    </row>
    <row r="40" spans="1:12" x14ac:dyDescent="0.25">
      <c r="A40">
        <v>1697</v>
      </c>
      <c r="B40" t="s">
        <v>25</v>
      </c>
      <c r="C40" t="s">
        <v>49</v>
      </c>
      <c r="D40" t="s">
        <v>48</v>
      </c>
      <c r="F40">
        <v>10573</v>
      </c>
      <c r="G40">
        <v>1</v>
      </c>
      <c r="H40">
        <v>22</v>
      </c>
      <c r="J40">
        <f t="shared" si="2"/>
        <v>1184226</v>
      </c>
      <c r="L40">
        <f t="shared" si="3"/>
        <v>528.67232142857142</v>
      </c>
    </row>
    <row r="41" spans="1:12" x14ac:dyDescent="0.25">
      <c r="A41">
        <v>1697</v>
      </c>
      <c r="B41" t="s">
        <v>15</v>
      </c>
      <c r="C41" t="s">
        <v>49</v>
      </c>
      <c r="D41" t="s">
        <v>48</v>
      </c>
      <c r="F41">
        <v>45</v>
      </c>
      <c r="J41">
        <f t="shared" si="2"/>
        <v>5040</v>
      </c>
      <c r="L41">
        <f t="shared" si="3"/>
        <v>2.25</v>
      </c>
    </row>
    <row r="42" spans="1:12" x14ac:dyDescent="0.25">
      <c r="A42">
        <v>1697</v>
      </c>
      <c r="B42" t="s">
        <v>17</v>
      </c>
      <c r="C42" t="s">
        <v>49</v>
      </c>
      <c r="D42" t="s">
        <v>48</v>
      </c>
      <c r="H42">
        <v>160</v>
      </c>
      <c r="I42" t="s">
        <v>60</v>
      </c>
      <c r="J42">
        <f t="shared" si="2"/>
        <v>160</v>
      </c>
      <c r="L42">
        <f t="shared" si="3"/>
        <v>7.1428571428571425E-2</v>
      </c>
    </row>
    <row r="43" spans="1:12" x14ac:dyDescent="0.25">
      <c r="A43">
        <v>1697</v>
      </c>
      <c r="B43" t="s">
        <v>18</v>
      </c>
      <c r="C43" t="s">
        <v>49</v>
      </c>
      <c r="D43" t="s">
        <v>48</v>
      </c>
      <c r="J43">
        <f t="shared" si="2"/>
        <v>0</v>
      </c>
      <c r="L43">
        <f t="shared" si="3"/>
        <v>0</v>
      </c>
    </row>
    <row r="44" spans="1:12" x14ac:dyDescent="0.25">
      <c r="A44">
        <v>1697</v>
      </c>
      <c r="B44" t="s">
        <v>47</v>
      </c>
      <c r="C44" t="s">
        <v>49</v>
      </c>
      <c r="D44" t="s">
        <v>48</v>
      </c>
      <c r="J44">
        <f t="shared" si="2"/>
        <v>0</v>
      </c>
      <c r="L44">
        <f t="shared" si="3"/>
        <v>0</v>
      </c>
    </row>
    <row r="45" spans="1:12" x14ac:dyDescent="0.25">
      <c r="A45">
        <v>1697</v>
      </c>
      <c r="B45" t="s">
        <v>24</v>
      </c>
      <c r="C45" t="s">
        <v>49</v>
      </c>
      <c r="D45" t="s">
        <v>48</v>
      </c>
      <c r="J45">
        <f t="shared" si="2"/>
        <v>0</v>
      </c>
      <c r="L45">
        <f t="shared" si="3"/>
        <v>0</v>
      </c>
    </row>
    <row r="46" spans="1:12" x14ac:dyDescent="0.25">
      <c r="A46">
        <v>1697</v>
      </c>
      <c r="B46" t="s">
        <v>20</v>
      </c>
      <c r="C46" t="s">
        <v>49</v>
      </c>
      <c r="D46" t="s">
        <v>48</v>
      </c>
      <c r="J46">
        <f t="shared" si="2"/>
        <v>0</v>
      </c>
      <c r="L46">
        <f t="shared" si="3"/>
        <v>0</v>
      </c>
    </row>
    <row r="47" spans="1:12" x14ac:dyDescent="0.25">
      <c r="A47">
        <v>1697</v>
      </c>
      <c r="B47" t="s">
        <v>21</v>
      </c>
      <c r="C47" t="s">
        <v>49</v>
      </c>
      <c r="D47" t="s">
        <v>48</v>
      </c>
      <c r="J47">
        <f t="shared" si="2"/>
        <v>0</v>
      </c>
      <c r="L47">
        <f t="shared" si="3"/>
        <v>0</v>
      </c>
    </row>
    <row r="48" spans="1:12" x14ac:dyDescent="0.25">
      <c r="A48">
        <v>1697</v>
      </c>
      <c r="B48" t="s">
        <v>22</v>
      </c>
      <c r="C48" t="s">
        <v>49</v>
      </c>
      <c r="D48" t="s">
        <v>48</v>
      </c>
      <c r="F48">
        <v>145</v>
      </c>
      <c r="G48">
        <v>1</v>
      </c>
      <c r="H48">
        <v>14</v>
      </c>
      <c r="J48">
        <f t="shared" si="2"/>
        <v>16282</v>
      </c>
      <c r="L48">
        <f t="shared" si="3"/>
        <v>7.2687499999999998</v>
      </c>
    </row>
  </sheetData>
  <autoFilter ref="A1:L48" xr:uid="{1EC4B2A9-2CA2-4921-97C8-FE2EBFC3890B}">
    <sortState xmlns:xlrd2="http://schemas.microsoft.com/office/spreadsheetml/2017/richdata2" ref="A2:L48">
      <sortCondition ref="D1:D4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71A5-AA9A-414C-B8E8-5C3A567FC495}">
  <dimension ref="A1:L11"/>
  <sheetViews>
    <sheetView workbookViewId="0">
      <selection activeCell="M1" sqref="M1"/>
    </sheetView>
  </sheetViews>
  <sheetFormatPr defaultRowHeight="15" x14ac:dyDescent="0.25"/>
  <cols>
    <col min="2" max="3" width="17.140625" customWidth="1"/>
    <col min="4" max="4" width="13.7109375" customWidth="1"/>
    <col min="7" max="7" width="12.42578125" customWidth="1"/>
    <col min="8" max="8" width="13.8554687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</row>
    <row r="2" spans="1:12" x14ac:dyDescent="0.25">
      <c r="A2">
        <v>1697</v>
      </c>
      <c r="B2" t="s">
        <v>5</v>
      </c>
      <c r="C2" t="s">
        <v>61</v>
      </c>
      <c r="D2" t="s">
        <v>44</v>
      </c>
      <c r="E2" s="1"/>
      <c r="F2">
        <v>1</v>
      </c>
      <c r="G2">
        <v>2</v>
      </c>
      <c r="J2">
        <f t="shared" ref="J2:J11" si="0">(E2*2240)+(F2*112)+(G2*28)+H2</f>
        <v>168</v>
      </c>
      <c r="K2" s="1"/>
      <c r="L2">
        <f t="shared" ref="L2:L9" si="1">J2/2240</f>
        <v>7.4999999999999997E-2</v>
      </c>
    </row>
    <row r="3" spans="1:12" x14ac:dyDescent="0.25">
      <c r="A3">
        <v>1697</v>
      </c>
      <c r="B3" t="s">
        <v>10</v>
      </c>
      <c r="C3" t="s">
        <v>61</v>
      </c>
      <c r="D3" t="s">
        <v>44</v>
      </c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1697</v>
      </c>
      <c r="B4" t="s">
        <v>11</v>
      </c>
      <c r="C4" t="s">
        <v>61</v>
      </c>
      <c r="D4" t="s">
        <v>44</v>
      </c>
      <c r="J4">
        <f t="shared" si="0"/>
        <v>0</v>
      </c>
      <c r="L4">
        <f t="shared" si="1"/>
        <v>0</v>
      </c>
    </row>
    <row r="5" spans="1:12" x14ac:dyDescent="0.25">
      <c r="A5">
        <v>1697</v>
      </c>
      <c r="B5" t="s">
        <v>62</v>
      </c>
      <c r="C5" t="s">
        <v>61</v>
      </c>
      <c r="D5" t="s">
        <v>44</v>
      </c>
      <c r="F5">
        <v>16</v>
      </c>
      <c r="G5">
        <v>2</v>
      </c>
      <c r="I5" s="1"/>
      <c r="J5">
        <f t="shared" si="0"/>
        <v>1848</v>
      </c>
      <c r="K5" s="1"/>
      <c r="L5">
        <f t="shared" si="1"/>
        <v>0.82499999999999996</v>
      </c>
    </row>
    <row r="6" spans="1:12" x14ac:dyDescent="0.25">
      <c r="A6">
        <v>1697</v>
      </c>
      <c r="B6" t="s">
        <v>18</v>
      </c>
      <c r="C6" t="s">
        <v>61</v>
      </c>
      <c r="D6" t="s">
        <v>44</v>
      </c>
      <c r="J6">
        <f t="shared" si="0"/>
        <v>0</v>
      </c>
      <c r="L6">
        <f t="shared" si="1"/>
        <v>0</v>
      </c>
    </row>
    <row r="7" spans="1:12" x14ac:dyDescent="0.25">
      <c r="A7">
        <v>1697</v>
      </c>
      <c r="B7" t="s">
        <v>24</v>
      </c>
      <c r="C7" t="s">
        <v>61</v>
      </c>
      <c r="D7" t="s">
        <v>44</v>
      </c>
      <c r="E7" s="1"/>
      <c r="G7" s="1">
        <v>1</v>
      </c>
      <c r="H7" s="1"/>
      <c r="J7">
        <f t="shared" si="0"/>
        <v>28</v>
      </c>
      <c r="K7" s="1"/>
      <c r="L7">
        <f t="shared" si="1"/>
        <v>1.2500000000000001E-2</v>
      </c>
    </row>
    <row r="8" spans="1:12" x14ac:dyDescent="0.25">
      <c r="A8">
        <v>1697</v>
      </c>
      <c r="B8" t="s">
        <v>20</v>
      </c>
      <c r="C8" t="s">
        <v>61</v>
      </c>
      <c r="D8" t="s">
        <v>44</v>
      </c>
      <c r="H8">
        <v>30</v>
      </c>
      <c r="J8">
        <f t="shared" si="0"/>
        <v>30</v>
      </c>
      <c r="L8">
        <f t="shared" si="1"/>
        <v>1.3392857142857142E-2</v>
      </c>
    </row>
    <row r="9" spans="1:12" x14ac:dyDescent="0.25">
      <c r="A9">
        <v>1697</v>
      </c>
      <c r="B9" t="s">
        <v>21</v>
      </c>
      <c r="C9" t="s">
        <v>61</v>
      </c>
      <c r="D9" t="s">
        <v>44</v>
      </c>
      <c r="J9">
        <f t="shared" si="0"/>
        <v>0</v>
      </c>
      <c r="L9">
        <f t="shared" si="1"/>
        <v>0</v>
      </c>
    </row>
    <row r="10" spans="1:12" x14ac:dyDescent="0.25">
      <c r="J10">
        <f t="shared" si="0"/>
        <v>0</v>
      </c>
    </row>
    <row r="11" spans="1:12" x14ac:dyDescent="0.25">
      <c r="J11">
        <f t="shared" si="0"/>
        <v>0</v>
      </c>
    </row>
  </sheetData>
  <autoFilter ref="A1:L11" xr:uid="{032E71A5-AA9A-414C-B8E8-5C3A567FC495}">
    <sortState xmlns:xlrd2="http://schemas.microsoft.com/office/spreadsheetml/2017/richdata2" ref="A2:L11">
      <sortCondition ref="B1:B1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D39E-CAAA-4AD6-8354-8DEECE07687A}">
  <dimension ref="A1:L16"/>
  <sheetViews>
    <sheetView workbookViewId="0">
      <selection activeCell="M1" sqref="M1"/>
    </sheetView>
  </sheetViews>
  <sheetFormatPr defaultRowHeight="15" x14ac:dyDescent="0.25"/>
  <cols>
    <col min="2" max="3" width="13.8554687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</row>
    <row r="2" spans="1:12" x14ac:dyDescent="0.25">
      <c r="A2">
        <v>1697</v>
      </c>
      <c r="B2" t="s">
        <v>5</v>
      </c>
      <c r="C2" t="s">
        <v>63</v>
      </c>
      <c r="D2" t="s">
        <v>44</v>
      </c>
      <c r="J2">
        <f t="shared" ref="J2:J16" si="0">(E2*2240)+(F2*112)+(G2*28)+H2</f>
        <v>0</v>
      </c>
      <c r="L2">
        <f t="shared" ref="L2:L16" si="1">J2/2240</f>
        <v>0</v>
      </c>
    </row>
    <row r="3" spans="1:12" x14ac:dyDescent="0.25">
      <c r="A3">
        <v>1697</v>
      </c>
      <c r="B3" t="s">
        <v>7</v>
      </c>
      <c r="C3" t="s">
        <v>63</v>
      </c>
      <c r="D3" t="s">
        <v>44</v>
      </c>
      <c r="J3">
        <f t="shared" si="0"/>
        <v>0</v>
      </c>
      <c r="L3">
        <f t="shared" si="1"/>
        <v>0</v>
      </c>
    </row>
    <row r="4" spans="1:12" x14ac:dyDescent="0.25">
      <c r="A4">
        <v>1697</v>
      </c>
      <c r="B4" t="s">
        <v>9</v>
      </c>
      <c r="C4" t="s">
        <v>63</v>
      </c>
      <c r="D4" t="s">
        <v>44</v>
      </c>
      <c r="J4">
        <f t="shared" si="0"/>
        <v>0</v>
      </c>
      <c r="L4">
        <f t="shared" si="1"/>
        <v>0</v>
      </c>
    </row>
    <row r="5" spans="1:12" x14ac:dyDescent="0.25">
      <c r="A5">
        <v>1697</v>
      </c>
      <c r="B5" t="s">
        <v>10</v>
      </c>
      <c r="C5" t="s">
        <v>63</v>
      </c>
      <c r="D5" t="s">
        <v>44</v>
      </c>
      <c r="J5">
        <f t="shared" si="0"/>
        <v>0</v>
      </c>
      <c r="L5">
        <f t="shared" si="1"/>
        <v>0</v>
      </c>
    </row>
    <row r="6" spans="1:12" x14ac:dyDescent="0.25">
      <c r="A6">
        <v>1697</v>
      </c>
      <c r="B6" t="s">
        <v>11</v>
      </c>
      <c r="C6" t="s">
        <v>63</v>
      </c>
      <c r="D6" t="s">
        <v>44</v>
      </c>
      <c r="J6">
        <f t="shared" si="0"/>
        <v>0</v>
      </c>
      <c r="L6">
        <f t="shared" si="1"/>
        <v>0</v>
      </c>
    </row>
    <row r="7" spans="1:12" x14ac:dyDescent="0.25">
      <c r="A7">
        <v>1697</v>
      </c>
      <c r="B7" t="s">
        <v>15</v>
      </c>
      <c r="C7" t="s">
        <v>63</v>
      </c>
      <c r="D7" t="s">
        <v>44</v>
      </c>
      <c r="J7">
        <f t="shared" si="0"/>
        <v>0</v>
      </c>
      <c r="L7">
        <f t="shared" si="1"/>
        <v>0</v>
      </c>
    </row>
    <row r="8" spans="1:12" x14ac:dyDescent="0.25">
      <c r="A8">
        <v>1697</v>
      </c>
      <c r="B8" t="s">
        <v>16</v>
      </c>
      <c r="C8" t="s">
        <v>63</v>
      </c>
      <c r="D8" t="s">
        <v>44</v>
      </c>
      <c r="J8">
        <f t="shared" si="0"/>
        <v>0</v>
      </c>
      <c r="L8">
        <f t="shared" si="1"/>
        <v>0</v>
      </c>
    </row>
    <row r="9" spans="1:12" x14ac:dyDescent="0.25">
      <c r="A9">
        <v>1697</v>
      </c>
      <c r="B9" t="s">
        <v>20</v>
      </c>
      <c r="C9" t="s">
        <v>63</v>
      </c>
      <c r="D9" t="s">
        <v>44</v>
      </c>
      <c r="J9">
        <f t="shared" si="0"/>
        <v>0</v>
      </c>
      <c r="L9">
        <f t="shared" si="1"/>
        <v>0</v>
      </c>
    </row>
    <row r="10" spans="1:12" x14ac:dyDescent="0.25">
      <c r="A10">
        <v>1697</v>
      </c>
      <c r="B10" t="s">
        <v>21</v>
      </c>
      <c r="C10" t="s">
        <v>63</v>
      </c>
      <c r="D10" t="s">
        <v>44</v>
      </c>
      <c r="J10">
        <f t="shared" si="0"/>
        <v>0</v>
      </c>
      <c r="L10">
        <f t="shared" si="1"/>
        <v>0</v>
      </c>
    </row>
    <row r="11" spans="1:12" x14ac:dyDescent="0.25">
      <c r="A11">
        <v>1697</v>
      </c>
      <c r="B11" t="s">
        <v>7</v>
      </c>
      <c r="C11" t="s">
        <v>63</v>
      </c>
      <c r="D11" t="s">
        <v>48</v>
      </c>
      <c r="F11">
        <v>7</v>
      </c>
      <c r="G11">
        <v>1</v>
      </c>
      <c r="J11">
        <f t="shared" si="0"/>
        <v>812</v>
      </c>
      <c r="L11">
        <f t="shared" si="1"/>
        <v>0.36249999999999999</v>
      </c>
    </row>
    <row r="12" spans="1:12" x14ac:dyDescent="0.25">
      <c r="A12">
        <v>1697</v>
      </c>
      <c r="B12" t="s">
        <v>11</v>
      </c>
      <c r="C12" t="s">
        <v>63</v>
      </c>
      <c r="D12" t="s">
        <v>48</v>
      </c>
      <c r="H12">
        <v>14</v>
      </c>
      <c r="J12">
        <f t="shared" si="0"/>
        <v>14</v>
      </c>
      <c r="L12">
        <f t="shared" si="1"/>
        <v>6.2500000000000003E-3</v>
      </c>
    </row>
    <row r="13" spans="1:12" x14ac:dyDescent="0.25">
      <c r="A13">
        <v>1697</v>
      </c>
      <c r="B13" t="s">
        <v>64</v>
      </c>
      <c r="C13" t="s">
        <v>63</v>
      </c>
      <c r="D13" t="s">
        <v>48</v>
      </c>
      <c r="F13">
        <v>61</v>
      </c>
      <c r="J13">
        <f t="shared" si="0"/>
        <v>6832</v>
      </c>
      <c r="L13">
        <f t="shared" si="1"/>
        <v>3.05</v>
      </c>
    </row>
    <row r="14" spans="1:12" x14ac:dyDescent="0.25">
      <c r="A14">
        <v>1697</v>
      </c>
      <c r="B14" t="s">
        <v>16</v>
      </c>
      <c r="C14" t="s">
        <v>63</v>
      </c>
      <c r="D14" t="s">
        <v>48</v>
      </c>
      <c r="F14">
        <v>2</v>
      </c>
      <c r="J14">
        <f t="shared" si="0"/>
        <v>224</v>
      </c>
      <c r="L14">
        <f t="shared" si="1"/>
        <v>0.1</v>
      </c>
    </row>
    <row r="15" spans="1:12" x14ac:dyDescent="0.25">
      <c r="A15">
        <v>1697</v>
      </c>
      <c r="B15" t="s">
        <v>20</v>
      </c>
      <c r="C15" t="s">
        <v>63</v>
      </c>
      <c r="D15" t="s">
        <v>48</v>
      </c>
      <c r="J15">
        <f t="shared" si="0"/>
        <v>0</v>
      </c>
      <c r="L15">
        <f t="shared" si="1"/>
        <v>0</v>
      </c>
    </row>
    <row r="16" spans="1:12" x14ac:dyDescent="0.25">
      <c r="A16">
        <v>1697</v>
      </c>
      <c r="B16" t="s">
        <v>21</v>
      </c>
      <c r="C16" t="s">
        <v>63</v>
      </c>
      <c r="D16" t="s">
        <v>48</v>
      </c>
      <c r="J16">
        <f t="shared" si="0"/>
        <v>0</v>
      </c>
      <c r="L16">
        <f t="shared" si="1"/>
        <v>0</v>
      </c>
    </row>
  </sheetData>
  <autoFilter ref="A1:L16" xr:uid="{6D20D39E-CAAA-4AD6-8354-8DEECE07687A}">
    <sortState xmlns:xlrd2="http://schemas.microsoft.com/office/spreadsheetml/2017/richdata2" ref="A2:L16">
      <sortCondition ref="D1:D1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151C-896B-4440-B119-3CC05E8AC735}">
  <dimension ref="A1:Q48"/>
  <sheetViews>
    <sheetView zoomScaleNormal="100" workbookViewId="0">
      <selection activeCell="H10" sqref="H10"/>
    </sheetView>
  </sheetViews>
  <sheetFormatPr defaultRowHeight="15" x14ac:dyDescent="0.25"/>
  <cols>
    <col min="2" max="3" width="14.28515625" customWidth="1"/>
  </cols>
  <sheetData>
    <row r="1" spans="1:17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  <c r="O1" t="s">
        <v>65</v>
      </c>
      <c r="Q1" t="s">
        <v>66</v>
      </c>
    </row>
    <row r="2" spans="1:17" x14ac:dyDescent="0.25">
      <c r="A2">
        <v>1697</v>
      </c>
      <c r="B2" t="s">
        <v>3</v>
      </c>
      <c r="C2" t="s">
        <v>67</v>
      </c>
      <c r="D2" t="s">
        <v>44</v>
      </c>
      <c r="H2">
        <v>575</v>
      </c>
      <c r="J2">
        <f t="shared" ref="J2:J48" si="0">(E2*2240)+(F2*112)+(G2*28)+H2</f>
        <v>575</v>
      </c>
      <c r="L2">
        <f t="shared" ref="L2:L48" si="1">J2/2240</f>
        <v>0.25669642857142855</v>
      </c>
      <c r="O2">
        <f>L2+L5+L6+L13+L14+L15+L16+L21+L22+L24+L28+L31+L32+L37+L39+L40+L41+L42+L43+L45+L48+L38+L47+L3+L4+L12+L17+L20+L26+L27+L30</f>
        <v>793.67857142857144</v>
      </c>
      <c r="Q2">
        <f>L8+L11+L34+L35+L10+L33+L7+L9+L36</f>
        <v>27.322321428571428</v>
      </c>
    </row>
    <row r="3" spans="1:17" x14ac:dyDescent="0.25">
      <c r="A3">
        <v>1697</v>
      </c>
      <c r="B3" t="s">
        <v>4</v>
      </c>
      <c r="C3" t="s">
        <v>67</v>
      </c>
      <c r="D3" t="s">
        <v>44</v>
      </c>
      <c r="J3">
        <f t="shared" si="0"/>
        <v>0</v>
      </c>
      <c r="L3">
        <f t="shared" si="1"/>
        <v>0</v>
      </c>
    </row>
    <row r="4" spans="1:17" x14ac:dyDescent="0.25">
      <c r="A4">
        <v>1697</v>
      </c>
      <c r="B4" t="s">
        <v>68</v>
      </c>
      <c r="C4" t="s">
        <v>67</v>
      </c>
      <c r="D4" t="s">
        <v>44</v>
      </c>
      <c r="J4">
        <f t="shared" si="0"/>
        <v>0</v>
      </c>
      <c r="L4">
        <f t="shared" si="1"/>
        <v>0</v>
      </c>
    </row>
    <row r="5" spans="1:17" x14ac:dyDescent="0.25">
      <c r="A5">
        <v>1697</v>
      </c>
      <c r="B5" t="s">
        <v>5</v>
      </c>
      <c r="C5" t="s">
        <v>67</v>
      </c>
      <c r="D5" t="s">
        <v>44</v>
      </c>
      <c r="J5">
        <f t="shared" si="0"/>
        <v>0</v>
      </c>
      <c r="L5">
        <f t="shared" si="1"/>
        <v>0</v>
      </c>
    </row>
    <row r="6" spans="1:17" x14ac:dyDescent="0.25">
      <c r="A6">
        <v>1697</v>
      </c>
      <c r="B6" t="s">
        <v>69</v>
      </c>
      <c r="C6" t="s">
        <v>67</v>
      </c>
      <c r="D6" t="s">
        <v>44</v>
      </c>
      <c r="J6">
        <f t="shared" si="0"/>
        <v>0</v>
      </c>
      <c r="L6">
        <f t="shared" si="1"/>
        <v>0</v>
      </c>
    </row>
    <row r="7" spans="1:17" x14ac:dyDescent="0.25">
      <c r="A7">
        <v>1697</v>
      </c>
      <c r="B7" t="s">
        <v>6</v>
      </c>
      <c r="C7" t="s">
        <v>67</v>
      </c>
      <c r="D7" t="s">
        <v>44</v>
      </c>
      <c r="H7">
        <v>184</v>
      </c>
      <c r="J7">
        <f t="shared" si="0"/>
        <v>184</v>
      </c>
      <c r="L7">
        <f t="shared" si="1"/>
        <v>8.2142857142857142E-2</v>
      </c>
    </row>
    <row r="8" spans="1:17" x14ac:dyDescent="0.25">
      <c r="A8">
        <v>1697</v>
      </c>
      <c r="B8" t="s">
        <v>70</v>
      </c>
      <c r="C8" t="s">
        <v>67</v>
      </c>
      <c r="D8" t="s">
        <v>44</v>
      </c>
      <c r="J8">
        <f t="shared" si="0"/>
        <v>0</v>
      </c>
      <c r="L8">
        <f t="shared" si="1"/>
        <v>0</v>
      </c>
    </row>
    <row r="9" spans="1:17" x14ac:dyDescent="0.25">
      <c r="A9">
        <v>1697</v>
      </c>
      <c r="B9" t="s">
        <v>45</v>
      </c>
      <c r="C9" t="s">
        <v>67</v>
      </c>
      <c r="D9" t="s">
        <v>44</v>
      </c>
      <c r="F9">
        <v>62</v>
      </c>
      <c r="G9">
        <v>1</v>
      </c>
      <c r="H9">
        <v>9</v>
      </c>
      <c r="J9">
        <f t="shared" si="0"/>
        <v>6981</v>
      </c>
      <c r="L9">
        <f t="shared" si="1"/>
        <v>3.1165178571428571</v>
      </c>
    </row>
    <row r="10" spans="1:17" x14ac:dyDescent="0.25">
      <c r="A10">
        <v>1697</v>
      </c>
      <c r="B10" t="s">
        <v>8</v>
      </c>
      <c r="C10" t="s">
        <v>67</v>
      </c>
      <c r="D10" t="s">
        <v>44</v>
      </c>
      <c r="J10">
        <f t="shared" si="0"/>
        <v>0</v>
      </c>
      <c r="L10">
        <f t="shared" si="1"/>
        <v>0</v>
      </c>
    </row>
    <row r="11" spans="1:17" x14ac:dyDescent="0.25">
      <c r="A11">
        <v>1697</v>
      </c>
      <c r="B11" t="s">
        <v>9</v>
      </c>
      <c r="C11" t="s">
        <v>67</v>
      </c>
      <c r="D11" t="s">
        <v>44</v>
      </c>
      <c r="F11">
        <v>371</v>
      </c>
      <c r="G11">
        <v>3</v>
      </c>
      <c r="H11">
        <v>14</v>
      </c>
      <c r="J11">
        <f t="shared" si="0"/>
        <v>41650</v>
      </c>
      <c r="L11">
        <f t="shared" si="1"/>
        <v>18.59375</v>
      </c>
    </row>
    <row r="12" spans="1:17" x14ac:dyDescent="0.25">
      <c r="A12">
        <v>1697</v>
      </c>
      <c r="B12" t="s">
        <v>10</v>
      </c>
      <c r="C12" t="s">
        <v>67</v>
      </c>
      <c r="D12" t="s">
        <v>44</v>
      </c>
      <c r="F12">
        <v>6</v>
      </c>
      <c r="G12">
        <v>3</v>
      </c>
      <c r="H12">
        <v>5</v>
      </c>
      <c r="J12">
        <f t="shared" si="0"/>
        <v>761</v>
      </c>
      <c r="L12">
        <f t="shared" si="1"/>
        <v>0.33973214285714287</v>
      </c>
    </row>
    <row r="13" spans="1:17" x14ac:dyDescent="0.25">
      <c r="A13">
        <v>1697</v>
      </c>
      <c r="B13" t="s">
        <v>11</v>
      </c>
      <c r="C13" t="s">
        <v>67</v>
      </c>
      <c r="D13" t="s">
        <v>44</v>
      </c>
      <c r="H13">
        <v>70876</v>
      </c>
      <c r="J13">
        <f t="shared" si="0"/>
        <v>70876</v>
      </c>
      <c r="L13">
        <f t="shared" si="1"/>
        <v>31.641071428571429</v>
      </c>
    </row>
    <row r="14" spans="1:17" x14ac:dyDescent="0.25">
      <c r="A14">
        <v>1697</v>
      </c>
      <c r="B14" t="s">
        <v>12</v>
      </c>
      <c r="C14" t="s">
        <v>67</v>
      </c>
      <c r="D14" t="s">
        <v>44</v>
      </c>
      <c r="E14">
        <v>13</v>
      </c>
      <c r="F14">
        <v>17</v>
      </c>
      <c r="J14">
        <f t="shared" si="0"/>
        <v>31024</v>
      </c>
      <c r="L14">
        <f t="shared" si="1"/>
        <v>13.85</v>
      </c>
    </row>
    <row r="15" spans="1:17" x14ac:dyDescent="0.25">
      <c r="A15">
        <v>1697</v>
      </c>
      <c r="B15" t="s">
        <v>13</v>
      </c>
      <c r="C15" t="s">
        <v>67</v>
      </c>
      <c r="D15" t="s">
        <v>44</v>
      </c>
      <c r="H15">
        <v>1760</v>
      </c>
      <c r="I15" t="s">
        <v>71</v>
      </c>
      <c r="J15">
        <f t="shared" si="0"/>
        <v>1760</v>
      </c>
      <c r="L15">
        <f t="shared" si="1"/>
        <v>0.7857142857142857</v>
      </c>
    </row>
    <row r="16" spans="1:17" x14ac:dyDescent="0.25">
      <c r="A16">
        <v>1697</v>
      </c>
      <c r="B16" t="s">
        <v>14</v>
      </c>
      <c r="C16" t="s">
        <v>67</v>
      </c>
      <c r="D16" t="s">
        <v>44</v>
      </c>
      <c r="J16">
        <f t="shared" si="0"/>
        <v>0</v>
      </c>
      <c r="L16">
        <f t="shared" si="1"/>
        <v>0</v>
      </c>
    </row>
    <row r="17" spans="1:12" x14ac:dyDescent="0.25">
      <c r="A17">
        <v>1697</v>
      </c>
      <c r="B17" t="s">
        <v>25</v>
      </c>
      <c r="C17" t="s">
        <v>67</v>
      </c>
      <c r="D17" t="s">
        <v>44</v>
      </c>
      <c r="F17">
        <v>6796</v>
      </c>
      <c r="G17">
        <v>3</v>
      </c>
      <c r="J17">
        <f t="shared" si="0"/>
        <v>761236</v>
      </c>
      <c r="L17">
        <f t="shared" si="1"/>
        <v>339.83749999999998</v>
      </c>
    </row>
    <row r="18" spans="1:12" x14ac:dyDescent="0.25">
      <c r="A18">
        <v>1697</v>
      </c>
      <c r="B18" t="s">
        <v>15</v>
      </c>
      <c r="C18" t="s">
        <v>67</v>
      </c>
      <c r="D18" t="s">
        <v>44</v>
      </c>
      <c r="H18">
        <v>2372</v>
      </c>
      <c r="J18">
        <f t="shared" si="0"/>
        <v>2372</v>
      </c>
      <c r="L18">
        <f t="shared" si="1"/>
        <v>1.0589285714285714</v>
      </c>
    </row>
    <row r="19" spans="1:12" x14ac:dyDescent="0.25">
      <c r="A19">
        <v>1697</v>
      </c>
      <c r="B19" t="s">
        <v>16</v>
      </c>
      <c r="C19" t="s">
        <v>67</v>
      </c>
      <c r="D19" t="s">
        <v>44</v>
      </c>
      <c r="J19">
        <f t="shared" si="0"/>
        <v>0</v>
      </c>
      <c r="L19">
        <f t="shared" si="1"/>
        <v>0</v>
      </c>
    </row>
    <row r="20" spans="1:12" x14ac:dyDescent="0.25">
      <c r="A20">
        <v>1697</v>
      </c>
      <c r="B20" t="s">
        <v>17</v>
      </c>
      <c r="C20" t="s">
        <v>67</v>
      </c>
      <c r="D20" t="s">
        <v>44</v>
      </c>
      <c r="J20">
        <f t="shared" si="0"/>
        <v>0</v>
      </c>
      <c r="L20">
        <f t="shared" si="1"/>
        <v>0</v>
      </c>
    </row>
    <row r="21" spans="1:12" x14ac:dyDescent="0.25">
      <c r="A21">
        <v>1697</v>
      </c>
      <c r="B21" t="s">
        <v>26</v>
      </c>
      <c r="C21" t="s">
        <v>67</v>
      </c>
      <c r="D21" t="s">
        <v>44</v>
      </c>
      <c r="J21">
        <f t="shared" si="0"/>
        <v>0</v>
      </c>
      <c r="L21">
        <f t="shared" si="1"/>
        <v>0</v>
      </c>
    </row>
    <row r="22" spans="1:12" x14ac:dyDescent="0.25">
      <c r="A22">
        <v>1697</v>
      </c>
      <c r="B22" t="s">
        <v>18</v>
      </c>
      <c r="C22" t="s">
        <v>67</v>
      </c>
      <c r="D22" t="s">
        <v>44</v>
      </c>
      <c r="F22">
        <v>1</v>
      </c>
      <c r="G22">
        <v>3</v>
      </c>
      <c r="H22">
        <v>21</v>
      </c>
      <c r="J22">
        <f t="shared" si="0"/>
        <v>217</v>
      </c>
      <c r="L22">
        <f t="shared" si="1"/>
        <v>9.6875000000000003E-2</v>
      </c>
    </row>
    <row r="23" spans="1:12" x14ac:dyDescent="0.25">
      <c r="A23">
        <v>1697</v>
      </c>
      <c r="B23" t="s">
        <v>72</v>
      </c>
      <c r="C23" t="s">
        <v>67</v>
      </c>
      <c r="D23" t="s">
        <v>44</v>
      </c>
      <c r="J23">
        <f t="shared" si="0"/>
        <v>0</v>
      </c>
      <c r="L23">
        <f t="shared" si="1"/>
        <v>0</v>
      </c>
    </row>
    <row r="24" spans="1:12" x14ac:dyDescent="0.25">
      <c r="A24">
        <v>1697</v>
      </c>
      <c r="B24" t="s">
        <v>19</v>
      </c>
      <c r="C24" t="s">
        <v>67</v>
      </c>
      <c r="D24" t="s">
        <v>44</v>
      </c>
      <c r="H24">
        <v>24</v>
      </c>
      <c r="J24">
        <f t="shared" si="0"/>
        <v>24</v>
      </c>
      <c r="L24">
        <f t="shared" si="1"/>
        <v>1.0714285714285714E-2</v>
      </c>
    </row>
    <row r="25" spans="1:12" x14ac:dyDescent="0.25">
      <c r="A25">
        <v>1697</v>
      </c>
      <c r="B25" t="s">
        <v>24</v>
      </c>
      <c r="C25" t="s">
        <v>67</v>
      </c>
      <c r="D25" t="s">
        <v>44</v>
      </c>
      <c r="J25">
        <f t="shared" si="0"/>
        <v>0</v>
      </c>
      <c r="L25">
        <f t="shared" si="1"/>
        <v>0</v>
      </c>
    </row>
    <row r="26" spans="1:12" x14ac:dyDescent="0.25">
      <c r="A26">
        <v>1697</v>
      </c>
      <c r="B26" t="s">
        <v>20</v>
      </c>
      <c r="C26" t="s">
        <v>67</v>
      </c>
      <c r="D26" t="s">
        <v>44</v>
      </c>
      <c r="H26">
        <v>10</v>
      </c>
      <c r="J26">
        <f t="shared" si="0"/>
        <v>10</v>
      </c>
      <c r="L26">
        <f t="shared" si="1"/>
        <v>4.464285714285714E-3</v>
      </c>
    </row>
    <row r="27" spans="1:12" x14ac:dyDescent="0.25">
      <c r="A27">
        <v>1697</v>
      </c>
      <c r="B27" t="s">
        <v>21</v>
      </c>
      <c r="C27" t="s">
        <v>67</v>
      </c>
      <c r="D27" t="s">
        <v>44</v>
      </c>
      <c r="H27">
        <v>411</v>
      </c>
      <c r="J27">
        <f t="shared" si="0"/>
        <v>411</v>
      </c>
      <c r="L27">
        <f t="shared" si="1"/>
        <v>0.18348214285714284</v>
      </c>
    </row>
    <row r="28" spans="1:12" x14ac:dyDescent="0.25">
      <c r="A28">
        <v>1697</v>
      </c>
      <c r="B28" t="s">
        <v>73</v>
      </c>
      <c r="C28" t="s">
        <v>67</v>
      </c>
      <c r="D28" t="s">
        <v>44</v>
      </c>
      <c r="J28">
        <f t="shared" si="0"/>
        <v>0</v>
      </c>
      <c r="L28">
        <f t="shared" si="1"/>
        <v>0</v>
      </c>
    </row>
    <row r="29" spans="1:12" x14ac:dyDescent="0.25">
      <c r="A29">
        <v>1697</v>
      </c>
      <c r="B29" t="s">
        <v>22</v>
      </c>
      <c r="C29" t="s">
        <v>67</v>
      </c>
      <c r="D29" t="s">
        <v>44</v>
      </c>
      <c r="F29">
        <v>27</v>
      </c>
      <c r="J29">
        <f t="shared" si="0"/>
        <v>3024</v>
      </c>
      <c r="L29">
        <f t="shared" si="1"/>
        <v>1.35</v>
      </c>
    </row>
    <row r="30" spans="1:12" x14ac:dyDescent="0.25">
      <c r="A30">
        <v>1697</v>
      </c>
      <c r="B30" t="s">
        <v>6</v>
      </c>
      <c r="C30" t="s">
        <v>67</v>
      </c>
      <c r="D30" t="s">
        <v>48</v>
      </c>
      <c r="J30">
        <f t="shared" si="0"/>
        <v>0</v>
      </c>
      <c r="L30">
        <f t="shared" si="1"/>
        <v>0</v>
      </c>
    </row>
    <row r="31" spans="1:12" x14ac:dyDescent="0.25">
      <c r="A31">
        <v>1697</v>
      </c>
      <c r="B31" t="s">
        <v>45</v>
      </c>
      <c r="C31" t="s">
        <v>67</v>
      </c>
      <c r="D31" t="s">
        <v>48</v>
      </c>
      <c r="F31">
        <v>5</v>
      </c>
      <c r="G31">
        <v>1</v>
      </c>
      <c r="J31">
        <f t="shared" si="0"/>
        <v>588</v>
      </c>
      <c r="L31">
        <f t="shared" si="1"/>
        <v>0.26250000000000001</v>
      </c>
    </row>
    <row r="32" spans="1:12" x14ac:dyDescent="0.25">
      <c r="A32">
        <v>1697</v>
      </c>
      <c r="B32" t="s">
        <v>8</v>
      </c>
      <c r="C32" t="s">
        <v>67</v>
      </c>
      <c r="D32" t="s">
        <v>48</v>
      </c>
      <c r="F32">
        <v>395</v>
      </c>
      <c r="G32">
        <v>2</v>
      </c>
      <c r="J32">
        <f t="shared" si="0"/>
        <v>44296</v>
      </c>
      <c r="L32">
        <f t="shared" si="1"/>
        <v>19.774999999999999</v>
      </c>
    </row>
    <row r="33" spans="1:12" x14ac:dyDescent="0.25">
      <c r="A33">
        <v>1697</v>
      </c>
      <c r="B33" t="s">
        <v>9</v>
      </c>
      <c r="C33" t="s">
        <v>67</v>
      </c>
      <c r="D33" t="s">
        <v>48</v>
      </c>
      <c r="J33">
        <f t="shared" si="0"/>
        <v>0</v>
      </c>
      <c r="L33">
        <f t="shared" si="1"/>
        <v>0</v>
      </c>
    </row>
    <row r="34" spans="1:12" x14ac:dyDescent="0.25">
      <c r="A34">
        <v>1697</v>
      </c>
      <c r="B34" t="s">
        <v>10</v>
      </c>
      <c r="C34" t="s">
        <v>67</v>
      </c>
      <c r="D34" t="s">
        <v>48</v>
      </c>
      <c r="F34">
        <v>12</v>
      </c>
      <c r="J34">
        <f t="shared" si="0"/>
        <v>1344</v>
      </c>
      <c r="L34">
        <f t="shared" si="1"/>
        <v>0.6</v>
      </c>
    </row>
    <row r="35" spans="1:12" x14ac:dyDescent="0.25">
      <c r="A35">
        <v>1697</v>
      </c>
      <c r="B35" t="s">
        <v>11</v>
      </c>
      <c r="C35" t="s">
        <v>67</v>
      </c>
      <c r="D35" t="s">
        <v>48</v>
      </c>
      <c r="H35">
        <v>9979</v>
      </c>
      <c r="J35">
        <f t="shared" si="0"/>
        <v>9979</v>
      </c>
      <c r="L35">
        <f t="shared" si="1"/>
        <v>4.4549107142857141</v>
      </c>
    </row>
    <row r="36" spans="1:12" x14ac:dyDescent="0.25">
      <c r="A36">
        <v>1697</v>
      </c>
      <c r="B36" t="s">
        <v>12</v>
      </c>
      <c r="C36" t="s">
        <v>67</v>
      </c>
      <c r="D36" t="s">
        <v>48</v>
      </c>
      <c r="F36">
        <v>9</v>
      </c>
      <c r="G36">
        <v>2</v>
      </c>
      <c r="J36">
        <f t="shared" si="0"/>
        <v>1064</v>
      </c>
      <c r="L36">
        <f t="shared" si="1"/>
        <v>0.47499999999999998</v>
      </c>
    </row>
    <row r="37" spans="1:12" x14ac:dyDescent="0.25">
      <c r="A37">
        <v>1697</v>
      </c>
      <c r="B37" t="s">
        <v>13</v>
      </c>
      <c r="C37" t="s">
        <v>67</v>
      </c>
      <c r="D37" t="s">
        <v>48</v>
      </c>
      <c r="J37">
        <f t="shared" si="0"/>
        <v>0</v>
      </c>
      <c r="L37">
        <f t="shared" si="1"/>
        <v>0</v>
      </c>
    </row>
    <row r="38" spans="1:12" x14ac:dyDescent="0.25">
      <c r="A38">
        <v>1697</v>
      </c>
      <c r="B38" t="s">
        <v>14</v>
      </c>
      <c r="C38" t="s">
        <v>67</v>
      </c>
      <c r="D38" t="s">
        <v>48</v>
      </c>
      <c r="J38">
        <f t="shared" si="0"/>
        <v>0</v>
      </c>
      <c r="L38">
        <f t="shared" si="1"/>
        <v>0</v>
      </c>
    </row>
    <row r="39" spans="1:12" x14ac:dyDescent="0.25">
      <c r="A39">
        <v>1697</v>
      </c>
      <c r="B39" t="s">
        <v>25</v>
      </c>
      <c r="C39" t="s">
        <v>67</v>
      </c>
      <c r="D39" t="s">
        <v>48</v>
      </c>
      <c r="F39">
        <v>7706</v>
      </c>
      <c r="G39">
        <v>1</v>
      </c>
      <c r="H39">
        <v>14</v>
      </c>
      <c r="J39">
        <f t="shared" si="0"/>
        <v>863114</v>
      </c>
      <c r="L39">
        <f t="shared" si="1"/>
        <v>385.31875000000002</v>
      </c>
    </row>
    <row r="40" spans="1:12" x14ac:dyDescent="0.25">
      <c r="A40">
        <v>1697</v>
      </c>
      <c r="B40" t="s">
        <v>15</v>
      </c>
      <c r="C40" t="s">
        <v>67</v>
      </c>
      <c r="D40" t="s">
        <v>48</v>
      </c>
      <c r="H40">
        <v>2782</v>
      </c>
      <c r="J40">
        <f t="shared" si="0"/>
        <v>2782</v>
      </c>
      <c r="L40">
        <f t="shared" si="1"/>
        <v>1.2419642857142856</v>
      </c>
    </row>
    <row r="41" spans="1:12" x14ac:dyDescent="0.25">
      <c r="A41">
        <v>1697</v>
      </c>
      <c r="B41" t="s">
        <v>17</v>
      </c>
      <c r="C41" t="s">
        <v>67</v>
      </c>
      <c r="D41" t="s">
        <v>48</v>
      </c>
      <c r="J41">
        <f t="shared" si="0"/>
        <v>0</v>
      </c>
      <c r="L41">
        <f t="shared" si="1"/>
        <v>0</v>
      </c>
    </row>
    <row r="42" spans="1:12" x14ac:dyDescent="0.25">
      <c r="A42">
        <v>1697</v>
      </c>
      <c r="B42" t="s">
        <v>18</v>
      </c>
      <c r="C42" t="s">
        <v>67</v>
      </c>
      <c r="D42" t="s">
        <v>48</v>
      </c>
      <c r="J42">
        <f t="shared" si="0"/>
        <v>0</v>
      </c>
      <c r="L42">
        <f t="shared" si="1"/>
        <v>0</v>
      </c>
    </row>
    <row r="43" spans="1:12" x14ac:dyDescent="0.25">
      <c r="A43">
        <v>1697</v>
      </c>
      <c r="B43" t="s">
        <v>19</v>
      </c>
      <c r="C43" t="s">
        <v>67</v>
      </c>
      <c r="D43" t="s">
        <v>48</v>
      </c>
      <c r="J43">
        <f t="shared" si="0"/>
        <v>0</v>
      </c>
      <c r="L43">
        <f t="shared" si="1"/>
        <v>0</v>
      </c>
    </row>
    <row r="44" spans="1:12" x14ac:dyDescent="0.25">
      <c r="A44">
        <v>1697</v>
      </c>
      <c r="B44" t="s">
        <v>24</v>
      </c>
      <c r="C44" t="s">
        <v>67</v>
      </c>
      <c r="D44" t="s">
        <v>48</v>
      </c>
      <c r="J44">
        <f t="shared" si="0"/>
        <v>0</v>
      </c>
      <c r="L44">
        <f t="shared" si="1"/>
        <v>0</v>
      </c>
    </row>
    <row r="45" spans="1:12" x14ac:dyDescent="0.25">
      <c r="A45">
        <v>1697</v>
      </c>
      <c r="B45" t="s">
        <v>74</v>
      </c>
      <c r="C45" t="s">
        <v>67</v>
      </c>
      <c r="D45" t="s">
        <v>48</v>
      </c>
      <c r="J45">
        <f t="shared" si="0"/>
        <v>0</v>
      </c>
      <c r="L45">
        <f t="shared" si="1"/>
        <v>0</v>
      </c>
    </row>
    <row r="46" spans="1:12" x14ac:dyDescent="0.25">
      <c r="A46">
        <v>1697</v>
      </c>
      <c r="B46" t="s">
        <v>20</v>
      </c>
      <c r="C46" t="s">
        <v>67</v>
      </c>
      <c r="D46" t="s">
        <v>48</v>
      </c>
      <c r="J46">
        <f t="shared" si="0"/>
        <v>0</v>
      </c>
      <c r="L46">
        <f t="shared" si="1"/>
        <v>0</v>
      </c>
    </row>
    <row r="47" spans="1:12" x14ac:dyDescent="0.25">
      <c r="A47">
        <v>1697</v>
      </c>
      <c r="B47" t="s">
        <v>21</v>
      </c>
      <c r="C47" t="s">
        <v>67</v>
      </c>
      <c r="D47" t="s">
        <v>48</v>
      </c>
      <c r="H47">
        <v>166</v>
      </c>
      <c r="J47">
        <f t="shared" si="0"/>
        <v>166</v>
      </c>
      <c r="L47">
        <f t="shared" si="1"/>
        <v>7.4107142857142858E-2</v>
      </c>
    </row>
    <row r="48" spans="1:12" x14ac:dyDescent="0.25">
      <c r="A48">
        <v>1697</v>
      </c>
      <c r="B48" t="s">
        <v>22</v>
      </c>
      <c r="C48" t="s">
        <v>67</v>
      </c>
      <c r="D48" t="s">
        <v>48</v>
      </c>
      <c r="J48">
        <f t="shared" si="0"/>
        <v>0</v>
      </c>
      <c r="L48">
        <f t="shared" si="1"/>
        <v>0</v>
      </c>
    </row>
  </sheetData>
  <autoFilter ref="A1:Q48" xr:uid="{9B83151C-896B-4440-B119-3CC05E8AC735}">
    <sortState xmlns:xlrd2="http://schemas.microsoft.com/office/spreadsheetml/2017/richdata2" ref="A2:Q48">
      <sortCondition ref="D1:D4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414F-D400-4A62-8548-6165C415EF5C}">
  <dimension ref="A1:L30"/>
  <sheetViews>
    <sheetView workbookViewId="0">
      <selection activeCell="H5" sqref="H5"/>
    </sheetView>
  </sheetViews>
  <sheetFormatPr defaultRowHeight="15" x14ac:dyDescent="0.25"/>
  <cols>
    <col min="2" max="3" width="15.4257812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</row>
    <row r="2" spans="1:12" x14ac:dyDescent="0.25">
      <c r="A2">
        <v>1697</v>
      </c>
      <c r="B2" t="s">
        <v>3</v>
      </c>
      <c r="C2" t="s">
        <v>75</v>
      </c>
      <c r="D2" t="s">
        <v>44</v>
      </c>
      <c r="J2">
        <f t="shared" ref="J2:J30" si="0">(E2*2240)+(F2*112)+(G2*28)+H2</f>
        <v>0</v>
      </c>
      <c r="L2">
        <f t="shared" ref="L2:L30" si="1">J2/2240</f>
        <v>0</v>
      </c>
    </row>
    <row r="3" spans="1:12" x14ac:dyDescent="0.25">
      <c r="A3">
        <v>1697</v>
      </c>
      <c r="B3" t="s">
        <v>5</v>
      </c>
      <c r="C3" t="s">
        <v>75</v>
      </c>
      <c r="D3" t="s">
        <v>44</v>
      </c>
      <c r="F3">
        <v>1888</v>
      </c>
      <c r="G3">
        <v>2</v>
      </c>
      <c r="J3">
        <f t="shared" si="0"/>
        <v>211512</v>
      </c>
      <c r="L3">
        <f t="shared" si="1"/>
        <v>94.424999999999997</v>
      </c>
    </row>
    <row r="4" spans="1:12" x14ac:dyDescent="0.25">
      <c r="A4">
        <v>1697</v>
      </c>
      <c r="B4" t="s">
        <v>8</v>
      </c>
      <c r="C4" t="s">
        <v>75</v>
      </c>
      <c r="D4" t="s">
        <v>44</v>
      </c>
      <c r="H4">
        <f>2*200</f>
        <v>400</v>
      </c>
      <c r="I4" t="s">
        <v>76</v>
      </c>
      <c r="J4">
        <f t="shared" si="0"/>
        <v>400</v>
      </c>
      <c r="L4">
        <f t="shared" si="1"/>
        <v>0.17857142857142858</v>
      </c>
    </row>
    <row r="5" spans="1:12" x14ac:dyDescent="0.25">
      <c r="A5">
        <v>1697</v>
      </c>
      <c r="B5" t="s">
        <v>9</v>
      </c>
      <c r="C5" t="s">
        <v>75</v>
      </c>
      <c r="D5" t="s">
        <v>44</v>
      </c>
      <c r="J5">
        <f t="shared" si="0"/>
        <v>0</v>
      </c>
      <c r="L5">
        <f t="shared" si="1"/>
        <v>0</v>
      </c>
    </row>
    <row r="6" spans="1:12" x14ac:dyDescent="0.25">
      <c r="A6">
        <v>1697</v>
      </c>
      <c r="B6" t="s">
        <v>77</v>
      </c>
      <c r="C6" t="s">
        <v>75</v>
      </c>
      <c r="D6" t="s">
        <v>44</v>
      </c>
      <c r="J6">
        <f t="shared" si="0"/>
        <v>0</v>
      </c>
      <c r="L6">
        <f t="shared" si="1"/>
        <v>0</v>
      </c>
    </row>
    <row r="7" spans="1:12" x14ac:dyDescent="0.25">
      <c r="A7">
        <v>1697</v>
      </c>
      <c r="B7" t="s">
        <v>11</v>
      </c>
      <c r="C7" t="s">
        <v>75</v>
      </c>
      <c r="D7" t="s">
        <v>44</v>
      </c>
      <c r="H7">
        <v>4013</v>
      </c>
      <c r="J7">
        <f t="shared" si="0"/>
        <v>4013</v>
      </c>
      <c r="L7">
        <f t="shared" si="1"/>
        <v>1.7915178571428572</v>
      </c>
    </row>
    <row r="8" spans="1:12" x14ac:dyDescent="0.25">
      <c r="A8">
        <v>1697</v>
      </c>
      <c r="B8" t="s">
        <v>12</v>
      </c>
      <c r="C8" t="s">
        <v>75</v>
      </c>
      <c r="D8" t="s">
        <v>44</v>
      </c>
      <c r="F8">
        <v>5</v>
      </c>
      <c r="J8">
        <f t="shared" si="0"/>
        <v>560</v>
      </c>
      <c r="L8">
        <f t="shared" si="1"/>
        <v>0.25</v>
      </c>
    </row>
    <row r="9" spans="1:12" x14ac:dyDescent="0.25">
      <c r="A9">
        <v>1697</v>
      </c>
      <c r="B9" t="s">
        <v>13</v>
      </c>
      <c r="C9" t="s">
        <v>75</v>
      </c>
      <c r="D9" t="s">
        <v>44</v>
      </c>
      <c r="H9">
        <v>1500</v>
      </c>
      <c r="I9" t="s">
        <v>78</v>
      </c>
      <c r="J9">
        <f t="shared" si="0"/>
        <v>1500</v>
      </c>
      <c r="L9">
        <f t="shared" si="1"/>
        <v>0.6696428571428571</v>
      </c>
    </row>
    <row r="10" spans="1:12" x14ac:dyDescent="0.25">
      <c r="A10">
        <v>1697</v>
      </c>
      <c r="B10" t="s">
        <v>14</v>
      </c>
      <c r="C10" t="s">
        <v>75</v>
      </c>
      <c r="D10" t="s">
        <v>44</v>
      </c>
      <c r="J10">
        <f t="shared" si="0"/>
        <v>0</v>
      </c>
      <c r="L10">
        <f t="shared" si="1"/>
        <v>0</v>
      </c>
    </row>
    <row r="11" spans="1:12" x14ac:dyDescent="0.25">
      <c r="A11">
        <v>1697</v>
      </c>
      <c r="B11" t="s">
        <v>64</v>
      </c>
      <c r="C11" t="s">
        <v>75</v>
      </c>
      <c r="D11" t="s">
        <v>44</v>
      </c>
      <c r="J11">
        <f t="shared" si="0"/>
        <v>0</v>
      </c>
      <c r="L11">
        <f t="shared" si="1"/>
        <v>0</v>
      </c>
    </row>
    <row r="12" spans="1:12" x14ac:dyDescent="0.25">
      <c r="A12">
        <v>1697</v>
      </c>
      <c r="B12" t="s">
        <v>15</v>
      </c>
      <c r="C12" t="s">
        <v>75</v>
      </c>
      <c r="D12" t="s">
        <v>44</v>
      </c>
      <c r="H12">
        <v>840</v>
      </c>
      <c r="J12">
        <f t="shared" si="0"/>
        <v>840</v>
      </c>
      <c r="L12">
        <f t="shared" si="1"/>
        <v>0.375</v>
      </c>
    </row>
    <row r="13" spans="1:12" x14ac:dyDescent="0.25">
      <c r="A13">
        <v>1697</v>
      </c>
      <c r="B13" t="s">
        <v>17</v>
      </c>
      <c r="C13" t="s">
        <v>75</v>
      </c>
      <c r="D13" t="s">
        <v>44</v>
      </c>
      <c r="J13">
        <f t="shared" si="0"/>
        <v>0</v>
      </c>
      <c r="L13">
        <f t="shared" si="1"/>
        <v>0</v>
      </c>
    </row>
    <row r="14" spans="1:12" x14ac:dyDescent="0.25">
      <c r="A14">
        <v>1697</v>
      </c>
      <c r="B14" t="s">
        <v>18</v>
      </c>
      <c r="C14" t="s">
        <v>75</v>
      </c>
      <c r="D14" t="s">
        <v>44</v>
      </c>
      <c r="J14">
        <f t="shared" si="0"/>
        <v>0</v>
      </c>
      <c r="L14">
        <f t="shared" si="1"/>
        <v>0</v>
      </c>
    </row>
    <row r="15" spans="1:12" x14ac:dyDescent="0.25">
      <c r="A15">
        <v>1697</v>
      </c>
      <c r="B15" t="s">
        <v>47</v>
      </c>
      <c r="C15" t="s">
        <v>75</v>
      </c>
      <c r="D15" t="s">
        <v>44</v>
      </c>
      <c r="J15">
        <f t="shared" si="0"/>
        <v>0</v>
      </c>
      <c r="L15">
        <f t="shared" si="1"/>
        <v>0</v>
      </c>
    </row>
    <row r="16" spans="1:12" x14ac:dyDescent="0.25">
      <c r="A16">
        <v>1697</v>
      </c>
      <c r="B16" t="s">
        <v>79</v>
      </c>
      <c r="C16" t="s">
        <v>75</v>
      </c>
      <c r="D16" t="s">
        <v>44</v>
      </c>
      <c r="J16">
        <f t="shared" si="0"/>
        <v>0</v>
      </c>
      <c r="L16">
        <f t="shared" si="1"/>
        <v>0</v>
      </c>
    </row>
    <row r="17" spans="1:12" x14ac:dyDescent="0.25">
      <c r="A17">
        <v>1697</v>
      </c>
      <c r="B17" t="s">
        <v>20</v>
      </c>
      <c r="C17" t="s">
        <v>75</v>
      </c>
      <c r="D17" t="s">
        <v>44</v>
      </c>
      <c r="J17">
        <f t="shared" si="0"/>
        <v>0</v>
      </c>
      <c r="L17">
        <f t="shared" si="1"/>
        <v>0</v>
      </c>
    </row>
    <row r="18" spans="1:12" x14ac:dyDescent="0.25">
      <c r="A18">
        <v>1697</v>
      </c>
      <c r="B18" t="s">
        <v>21</v>
      </c>
      <c r="C18" t="s">
        <v>75</v>
      </c>
      <c r="D18" t="s">
        <v>44</v>
      </c>
      <c r="J18">
        <f t="shared" si="0"/>
        <v>0</v>
      </c>
      <c r="L18">
        <f t="shared" si="1"/>
        <v>0</v>
      </c>
    </row>
    <row r="19" spans="1:12" x14ac:dyDescent="0.25">
      <c r="A19">
        <v>1697</v>
      </c>
      <c r="B19" t="s">
        <v>22</v>
      </c>
      <c r="C19" t="s">
        <v>75</v>
      </c>
      <c r="D19" t="s">
        <v>44</v>
      </c>
      <c r="J19">
        <f t="shared" si="0"/>
        <v>0</v>
      </c>
      <c r="L19">
        <f t="shared" si="1"/>
        <v>0</v>
      </c>
    </row>
    <row r="20" spans="1:12" x14ac:dyDescent="0.25">
      <c r="A20">
        <v>1697</v>
      </c>
      <c r="B20" t="s">
        <v>8</v>
      </c>
      <c r="C20" t="s">
        <v>75</v>
      </c>
      <c r="D20" t="s">
        <v>48</v>
      </c>
      <c r="F20">
        <v>65</v>
      </c>
      <c r="J20">
        <f t="shared" si="0"/>
        <v>7280</v>
      </c>
      <c r="L20">
        <f t="shared" si="1"/>
        <v>3.25</v>
      </c>
    </row>
    <row r="21" spans="1:12" x14ac:dyDescent="0.25">
      <c r="A21">
        <v>1697</v>
      </c>
      <c r="B21" t="s">
        <v>9</v>
      </c>
      <c r="C21" t="s">
        <v>75</v>
      </c>
      <c r="D21" t="s">
        <v>48</v>
      </c>
      <c r="J21">
        <f t="shared" si="0"/>
        <v>0</v>
      </c>
      <c r="L21">
        <f t="shared" si="1"/>
        <v>0</v>
      </c>
    </row>
    <row r="22" spans="1:12" x14ac:dyDescent="0.25">
      <c r="A22">
        <v>1697</v>
      </c>
      <c r="B22" t="s">
        <v>77</v>
      </c>
      <c r="C22" t="s">
        <v>75</v>
      </c>
      <c r="D22" t="s">
        <v>48</v>
      </c>
      <c r="J22">
        <f t="shared" si="0"/>
        <v>0</v>
      </c>
      <c r="L22">
        <f t="shared" si="1"/>
        <v>0</v>
      </c>
    </row>
    <row r="23" spans="1:12" x14ac:dyDescent="0.25">
      <c r="A23">
        <v>1697</v>
      </c>
      <c r="B23" t="s">
        <v>11</v>
      </c>
      <c r="C23" t="s">
        <v>75</v>
      </c>
      <c r="D23" t="s">
        <v>48</v>
      </c>
      <c r="H23">
        <v>4500</v>
      </c>
      <c r="J23">
        <f t="shared" si="0"/>
        <v>4500</v>
      </c>
      <c r="L23">
        <f t="shared" si="1"/>
        <v>2.0089285714285716</v>
      </c>
    </row>
    <row r="24" spans="1:12" x14ac:dyDescent="0.25">
      <c r="A24">
        <v>1697</v>
      </c>
      <c r="B24" t="s">
        <v>12</v>
      </c>
      <c r="C24" t="s">
        <v>75</v>
      </c>
      <c r="D24" t="s">
        <v>48</v>
      </c>
      <c r="J24">
        <f t="shared" si="0"/>
        <v>0</v>
      </c>
      <c r="L24">
        <f t="shared" si="1"/>
        <v>0</v>
      </c>
    </row>
    <row r="25" spans="1:12" x14ac:dyDescent="0.25">
      <c r="A25">
        <v>1697</v>
      </c>
      <c r="B25" t="s">
        <v>13</v>
      </c>
      <c r="C25" t="s">
        <v>75</v>
      </c>
      <c r="D25" t="s">
        <v>48</v>
      </c>
      <c r="H25">
        <v>125</v>
      </c>
      <c r="I25" t="s">
        <v>80</v>
      </c>
      <c r="J25">
        <f t="shared" si="0"/>
        <v>125</v>
      </c>
      <c r="L25">
        <f t="shared" si="1"/>
        <v>5.5803571428571432E-2</v>
      </c>
    </row>
    <row r="26" spans="1:12" x14ac:dyDescent="0.25">
      <c r="A26">
        <v>1697</v>
      </c>
      <c r="B26" t="s">
        <v>14</v>
      </c>
      <c r="C26" t="s">
        <v>75</v>
      </c>
      <c r="D26" t="s">
        <v>48</v>
      </c>
      <c r="J26">
        <f t="shared" si="0"/>
        <v>0</v>
      </c>
      <c r="L26">
        <f t="shared" si="1"/>
        <v>0</v>
      </c>
    </row>
    <row r="27" spans="1:12" x14ac:dyDescent="0.25">
      <c r="A27">
        <v>1697</v>
      </c>
      <c r="B27" t="s">
        <v>64</v>
      </c>
      <c r="C27" t="s">
        <v>75</v>
      </c>
      <c r="D27" t="s">
        <v>48</v>
      </c>
      <c r="F27">
        <v>5929</v>
      </c>
      <c r="G27">
        <v>2</v>
      </c>
      <c r="J27">
        <f t="shared" si="0"/>
        <v>664104</v>
      </c>
      <c r="L27">
        <f t="shared" si="1"/>
        <v>296.47500000000002</v>
      </c>
    </row>
    <row r="28" spans="1:12" x14ac:dyDescent="0.25">
      <c r="A28">
        <v>1697</v>
      </c>
      <c r="B28" t="s">
        <v>15</v>
      </c>
      <c r="C28" t="s">
        <v>75</v>
      </c>
      <c r="D28" t="s">
        <v>48</v>
      </c>
      <c r="H28">
        <v>2222</v>
      </c>
      <c r="J28">
        <f t="shared" si="0"/>
        <v>2222</v>
      </c>
      <c r="L28">
        <f t="shared" si="1"/>
        <v>0.99196428571428574</v>
      </c>
    </row>
    <row r="29" spans="1:12" x14ac:dyDescent="0.25">
      <c r="A29">
        <v>1697</v>
      </c>
      <c r="B29" t="s">
        <v>18</v>
      </c>
      <c r="C29" t="s">
        <v>75</v>
      </c>
      <c r="D29" t="s">
        <v>48</v>
      </c>
      <c r="J29">
        <f t="shared" si="0"/>
        <v>0</v>
      </c>
      <c r="L29">
        <f t="shared" si="1"/>
        <v>0</v>
      </c>
    </row>
    <row r="30" spans="1:12" x14ac:dyDescent="0.25">
      <c r="A30">
        <v>1697</v>
      </c>
      <c r="B30" t="s">
        <v>22</v>
      </c>
      <c r="C30" t="s">
        <v>75</v>
      </c>
      <c r="D30" t="s">
        <v>48</v>
      </c>
      <c r="J30">
        <f t="shared" si="0"/>
        <v>0</v>
      </c>
      <c r="L30">
        <f t="shared" si="1"/>
        <v>0</v>
      </c>
    </row>
  </sheetData>
  <autoFilter ref="A1:L30" xr:uid="{2E88414F-D400-4A62-8548-6165C415EF5C}">
    <sortState xmlns:xlrd2="http://schemas.microsoft.com/office/spreadsheetml/2017/richdata2" ref="A2:L30">
      <sortCondition ref="D1:D3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1B0E-8679-4298-8AB7-B0BFE844CC4D}">
  <dimension ref="A1:L31"/>
  <sheetViews>
    <sheetView workbookViewId="0">
      <selection activeCell="J11" sqref="J11"/>
    </sheetView>
  </sheetViews>
  <sheetFormatPr defaultRowHeight="15" x14ac:dyDescent="0.25"/>
  <cols>
    <col min="2" max="3" width="15.710937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</row>
    <row r="2" spans="1:12" x14ac:dyDescent="0.25">
      <c r="A2">
        <v>1697</v>
      </c>
      <c r="B2" t="s">
        <v>3</v>
      </c>
      <c r="C2" t="s">
        <v>81</v>
      </c>
      <c r="D2" t="s">
        <v>44</v>
      </c>
      <c r="E2" s="1"/>
      <c r="F2" s="1"/>
      <c r="G2" s="1"/>
      <c r="I2" s="1"/>
      <c r="J2">
        <f>(E2*2240)+(F2*112)+(G2*28)+H2</f>
        <v>0</v>
      </c>
      <c r="K2" s="1"/>
      <c r="L2">
        <f t="shared" ref="L2:L24" si="0">J2/2240</f>
        <v>0</v>
      </c>
    </row>
    <row r="3" spans="1:12" x14ac:dyDescent="0.25">
      <c r="A3">
        <v>1697</v>
      </c>
      <c r="B3" t="s">
        <v>6</v>
      </c>
      <c r="C3" t="s">
        <v>81</v>
      </c>
      <c r="D3" t="s">
        <v>44</v>
      </c>
      <c r="J3">
        <f t="shared" ref="J3:J24" si="1">(E3*2240)+(F3*112)+(G3*28)+(H3)</f>
        <v>0</v>
      </c>
      <c r="L3">
        <f t="shared" si="0"/>
        <v>0</v>
      </c>
    </row>
    <row r="4" spans="1:12" x14ac:dyDescent="0.25">
      <c r="A4">
        <v>1697</v>
      </c>
      <c r="B4" t="s">
        <v>45</v>
      </c>
      <c r="C4" t="s">
        <v>81</v>
      </c>
      <c r="D4" t="s">
        <v>44</v>
      </c>
      <c r="F4">
        <v>2</v>
      </c>
      <c r="G4">
        <v>4</v>
      </c>
      <c r="J4">
        <f t="shared" si="1"/>
        <v>336</v>
      </c>
      <c r="L4">
        <f t="shared" si="0"/>
        <v>0.15</v>
      </c>
    </row>
    <row r="5" spans="1:12" x14ac:dyDescent="0.25">
      <c r="A5">
        <v>1697</v>
      </c>
      <c r="B5" t="s">
        <v>8</v>
      </c>
      <c r="C5" t="s">
        <v>81</v>
      </c>
      <c r="D5" t="s">
        <v>44</v>
      </c>
      <c r="J5">
        <f t="shared" si="1"/>
        <v>0</v>
      </c>
      <c r="L5">
        <f t="shared" si="0"/>
        <v>0</v>
      </c>
    </row>
    <row r="6" spans="1:12" x14ac:dyDescent="0.25">
      <c r="A6">
        <v>1697</v>
      </c>
      <c r="B6" t="s">
        <v>10</v>
      </c>
      <c r="C6" t="s">
        <v>81</v>
      </c>
      <c r="D6" t="s">
        <v>44</v>
      </c>
      <c r="J6">
        <f t="shared" si="1"/>
        <v>0</v>
      </c>
      <c r="L6">
        <f t="shared" si="0"/>
        <v>0</v>
      </c>
    </row>
    <row r="7" spans="1:12" x14ac:dyDescent="0.25">
      <c r="A7">
        <v>1697</v>
      </c>
      <c r="B7" t="s">
        <v>11</v>
      </c>
      <c r="C7" t="s">
        <v>81</v>
      </c>
      <c r="D7" t="s">
        <v>44</v>
      </c>
      <c r="H7">
        <v>44</v>
      </c>
      <c r="J7">
        <f t="shared" si="1"/>
        <v>44</v>
      </c>
      <c r="L7">
        <f t="shared" si="0"/>
        <v>1.9642857142857142E-2</v>
      </c>
    </row>
    <row r="8" spans="1:12" x14ac:dyDescent="0.25">
      <c r="A8">
        <v>1697</v>
      </c>
      <c r="B8" t="s">
        <v>12</v>
      </c>
      <c r="C8" t="s">
        <v>81</v>
      </c>
      <c r="D8" t="s">
        <v>44</v>
      </c>
      <c r="J8">
        <f t="shared" si="1"/>
        <v>0</v>
      </c>
      <c r="L8">
        <f t="shared" si="0"/>
        <v>0</v>
      </c>
    </row>
    <row r="9" spans="1:12" x14ac:dyDescent="0.25">
      <c r="A9">
        <v>1697</v>
      </c>
      <c r="B9" t="s">
        <v>13</v>
      </c>
      <c r="C9" t="s">
        <v>81</v>
      </c>
      <c r="D9" t="s">
        <v>44</v>
      </c>
      <c r="J9">
        <f t="shared" si="1"/>
        <v>0</v>
      </c>
      <c r="L9">
        <f t="shared" si="0"/>
        <v>0</v>
      </c>
    </row>
    <row r="10" spans="1:12" x14ac:dyDescent="0.25">
      <c r="A10">
        <v>1697</v>
      </c>
      <c r="B10" t="s">
        <v>14</v>
      </c>
      <c r="C10" t="s">
        <v>81</v>
      </c>
      <c r="D10" t="s">
        <v>44</v>
      </c>
      <c r="J10">
        <f t="shared" si="1"/>
        <v>0</v>
      </c>
      <c r="L10">
        <f t="shared" si="0"/>
        <v>0</v>
      </c>
    </row>
    <row r="11" spans="1:12" x14ac:dyDescent="0.25">
      <c r="A11">
        <v>1697</v>
      </c>
      <c r="B11" t="s">
        <v>64</v>
      </c>
      <c r="C11" t="s">
        <v>81</v>
      </c>
      <c r="D11" t="s">
        <v>44</v>
      </c>
      <c r="F11">
        <v>2804</v>
      </c>
      <c r="G11">
        <v>3</v>
      </c>
      <c r="H11">
        <v>14</v>
      </c>
      <c r="J11">
        <f t="shared" si="1"/>
        <v>314146</v>
      </c>
      <c r="L11">
        <f t="shared" si="0"/>
        <v>140.24375000000001</v>
      </c>
    </row>
    <row r="12" spans="1:12" x14ac:dyDescent="0.25">
      <c r="A12">
        <v>1697</v>
      </c>
      <c r="B12" t="s">
        <v>17</v>
      </c>
      <c r="C12" t="s">
        <v>81</v>
      </c>
      <c r="D12" t="s">
        <v>44</v>
      </c>
      <c r="J12">
        <f t="shared" si="1"/>
        <v>0</v>
      </c>
      <c r="L12">
        <f t="shared" si="0"/>
        <v>0</v>
      </c>
    </row>
    <row r="13" spans="1:12" x14ac:dyDescent="0.25">
      <c r="A13">
        <v>1697</v>
      </c>
      <c r="B13" t="s">
        <v>18</v>
      </c>
      <c r="C13" t="s">
        <v>81</v>
      </c>
      <c r="D13" t="s">
        <v>44</v>
      </c>
      <c r="J13">
        <f t="shared" si="1"/>
        <v>0</v>
      </c>
      <c r="L13">
        <f t="shared" si="0"/>
        <v>0</v>
      </c>
    </row>
    <row r="14" spans="1:12" x14ac:dyDescent="0.25">
      <c r="A14">
        <v>1697</v>
      </c>
      <c r="B14" t="s">
        <v>82</v>
      </c>
      <c r="C14" t="s">
        <v>81</v>
      </c>
      <c r="D14" t="s">
        <v>44</v>
      </c>
      <c r="J14">
        <f t="shared" si="1"/>
        <v>0</v>
      </c>
      <c r="L14">
        <f t="shared" si="0"/>
        <v>0</v>
      </c>
    </row>
    <row r="15" spans="1:12" x14ac:dyDescent="0.25">
      <c r="A15">
        <v>1697</v>
      </c>
      <c r="B15" t="s">
        <v>19</v>
      </c>
      <c r="C15" t="s">
        <v>81</v>
      </c>
      <c r="D15" t="s">
        <v>44</v>
      </c>
      <c r="J15">
        <f t="shared" si="1"/>
        <v>0</v>
      </c>
      <c r="L15">
        <f t="shared" si="0"/>
        <v>0</v>
      </c>
    </row>
    <row r="16" spans="1:12" x14ac:dyDescent="0.25">
      <c r="A16">
        <v>1697</v>
      </c>
      <c r="B16" t="s">
        <v>20</v>
      </c>
      <c r="C16" t="s">
        <v>81</v>
      </c>
      <c r="D16" t="s">
        <v>44</v>
      </c>
      <c r="J16">
        <f t="shared" si="1"/>
        <v>0</v>
      </c>
      <c r="L16">
        <f t="shared" si="0"/>
        <v>0</v>
      </c>
    </row>
    <row r="17" spans="1:12" x14ac:dyDescent="0.25">
      <c r="A17">
        <v>1697</v>
      </c>
      <c r="B17" t="s">
        <v>21</v>
      </c>
      <c r="C17" t="s">
        <v>81</v>
      </c>
      <c r="D17" t="s">
        <v>44</v>
      </c>
      <c r="J17">
        <f t="shared" si="1"/>
        <v>0</v>
      </c>
      <c r="L17">
        <f t="shared" si="0"/>
        <v>0</v>
      </c>
    </row>
    <row r="18" spans="1:12" x14ac:dyDescent="0.25">
      <c r="A18">
        <v>1697</v>
      </c>
      <c r="B18" t="s">
        <v>22</v>
      </c>
      <c r="C18" t="s">
        <v>81</v>
      </c>
      <c r="D18" t="s">
        <v>44</v>
      </c>
      <c r="J18">
        <f t="shared" si="1"/>
        <v>0</v>
      </c>
      <c r="L18">
        <f t="shared" si="0"/>
        <v>0</v>
      </c>
    </row>
    <row r="19" spans="1:12" x14ac:dyDescent="0.25">
      <c r="A19">
        <v>1697</v>
      </c>
      <c r="B19" t="s">
        <v>5</v>
      </c>
      <c r="C19" t="s">
        <v>81</v>
      </c>
      <c r="D19" t="s">
        <v>48</v>
      </c>
      <c r="J19">
        <f t="shared" si="1"/>
        <v>0</v>
      </c>
      <c r="L19">
        <f t="shared" si="0"/>
        <v>0</v>
      </c>
    </row>
    <row r="20" spans="1:12" x14ac:dyDescent="0.25">
      <c r="A20">
        <v>1697</v>
      </c>
      <c r="B20" t="s">
        <v>6</v>
      </c>
      <c r="C20" t="s">
        <v>81</v>
      </c>
      <c r="D20" t="s">
        <v>48</v>
      </c>
      <c r="J20">
        <f t="shared" si="1"/>
        <v>0</v>
      </c>
      <c r="L20">
        <f t="shared" si="0"/>
        <v>0</v>
      </c>
    </row>
    <row r="21" spans="1:12" x14ac:dyDescent="0.25">
      <c r="A21">
        <v>1697</v>
      </c>
      <c r="B21" t="s">
        <v>45</v>
      </c>
      <c r="C21" t="s">
        <v>81</v>
      </c>
      <c r="D21" t="s">
        <v>48</v>
      </c>
      <c r="F21">
        <v>1</v>
      </c>
      <c r="G21">
        <v>3</v>
      </c>
      <c r="H21">
        <v>23</v>
      </c>
      <c r="J21">
        <f t="shared" si="1"/>
        <v>219</v>
      </c>
      <c r="L21">
        <f t="shared" si="0"/>
        <v>9.7767857142857142E-2</v>
      </c>
    </row>
    <row r="22" spans="1:12" x14ac:dyDescent="0.25">
      <c r="A22">
        <v>1697</v>
      </c>
      <c r="B22" t="s">
        <v>8</v>
      </c>
      <c r="C22" t="s">
        <v>81</v>
      </c>
      <c r="D22" t="s">
        <v>48</v>
      </c>
      <c r="F22">
        <v>35</v>
      </c>
      <c r="J22">
        <f t="shared" si="1"/>
        <v>3920</v>
      </c>
      <c r="L22">
        <f t="shared" si="0"/>
        <v>1.75</v>
      </c>
    </row>
    <row r="23" spans="1:12" x14ac:dyDescent="0.25">
      <c r="A23">
        <v>1697</v>
      </c>
      <c r="B23" t="s">
        <v>11</v>
      </c>
      <c r="C23" t="s">
        <v>81</v>
      </c>
      <c r="D23" t="s">
        <v>48</v>
      </c>
      <c r="H23">
        <v>460</v>
      </c>
      <c r="J23">
        <f t="shared" si="1"/>
        <v>460</v>
      </c>
      <c r="L23">
        <f t="shared" si="0"/>
        <v>0.20535714285714285</v>
      </c>
    </row>
    <row r="24" spans="1:12" x14ac:dyDescent="0.25">
      <c r="A24">
        <v>1697</v>
      </c>
      <c r="B24" t="s">
        <v>12</v>
      </c>
      <c r="C24" t="s">
        <v>81</v>
      </c>
      <c r="D24" t="s">
        <v>48</v>
      </c>
      <c r="F24">
        <v>5</v>
      </c>
      <c r="J24">
        <f t="shared" si="1"/>
        <v>560</v>
      </c>
      <c r="L24">
        <f t="shared" si="0"/>
        <v>0.25</v>
      </c>
    </row>
    <row r="25" spans="1:12" x14ac:dyDescent="0.25">
      <c r="A25">
        <v>1697</v>
      </c>
      <c r="B25" t="s">
        <v>13</v>
      </c>
      <c r="C25" t="s">
        <v>81</v>
      </c>
      <c r="D25" t="s">
        <v>48</v>
      </c>
    </row>
    <row r="26" spans="1:12" x14ac:dyDescent="0.25">
      <c r="A26">
        <v>1697</v>
      </c>
      <c r="B26" t="s">
        <v>14</v>
      </c>
      <c r="C26" t="s">
        <v>81</v>
      </c>
      <c r="D26" t="s">
        <v>48</v>
      </c>
      <c r="J26">
        <f t="shared" ref="J26:J31" si="2">(E26*2240)+(F26*112)+(G26*28)+(H26)</f>
        <v>0</v>
      </c>
      <c r="L26">
        <f t="shared" ref="L26:L31" si="3">J26/2240</f>
        <v>0</v>
      </c>
    </row>
    <row r="27" spans="1:12" x14ac:dyDescent="0.25">
      <c r="A27">
        <v>1697</v>
      </c>
      <c r="B27" t="s">
        <v>64</v>
      </c>
      <c r="C27" t="s">
        <v>81</v>
      </c>
      <c r="D27" t="s">
        <v>48</v>
      </c>
      <c r="F27">
        <v>10177</v>
      </c>
      <c r="J27">
        <f t="shared" si="2"/>
        <v>1139824</v>
      </c>
      <c r="L27">
        <f t="shared" si="3"/>
        <v>508.85</v>
      </c>
    </row>
    <row r="28" spans="1:12" x14ac:dyDescent="0.25">
      <c r="A28">
        <v>1697</v>
      </c>
      <c r="B28" t="s">
        <v>18</v>
      </c>
      <c r="C28" t="s">
        <v>81</v>
      </c>
      <c r="D28" t="s">
        <v>48</v>
      </c>
      <c r="J28">
        <f t="shared" si="2"/>
        <v>0</v>
      </c>
      <c r="L28">
        <f t="shared" si="3"/>
        <v>0</v>
      </c>
    </row>
    <row r="29" spans="1:12" x14ac:dyDescent="0.25">
      <c r="A29">
        <v>1697</v>
      </c>
      <c r="B29" t="s">
        <v>83</v>
      </c>
      <c r="C29" t="s">
        <v>81</v>
      </c>
      <c r="D29" t="s">
        <v>48</v>
      </c>
      <c r="J29">
        <f t="shared" si="2"/>
        <v>0</v>
      </c>
      <c r="L29">
        <f t="shared" si="3"/>
        <v>0</v>
      </c>
    </row>
    <row r="30" spans="1:12" x14ac:dyDescent="0.25">
      <c r="A30">
        <v>1697</v>
      </c>
      <c r="B30" t="s">
        <v>21</v>
      </c>
      <c r="C30" t="s">
        <v>81</v>
      </c>
      <c r="D30" t="s">
        <v>48</v>
      </c>
      <c r="J30">
        <f t="shared" si="2"/>
        <v>0</v>
      </c>
      <c r="L30">
        <f t="shared" si="3"/>
        <v>0</v>
      </c>
    </row>
    <row r="31" spans="1:12" x14ac:dyDescent="0.25">
      <c r="A31">
        <v>1697</v>
      </c>
      <c r="B31" t="s">
        <v>22</v>
      </c>
      <c r="C31" t="s">
        <v>81</v>
      </c>
      <c r="D31" t="s">
        <v>48</v>
      </c>
      <c r="F31">
        <v>53</v>
      </c>
      <c r="J31">
        <f t="shared" si="2"/>
        <v>5936</v>
      </c>
      <c r="L31">
        <f t="shared" si="3"/>
        <v>2.65</v>
      </c>
    </row>
  </sheetData>
  <autoFilter ref="A1:L31" xr:uid="{12ED1B0E-8679-4298-8AB7-B0BFE844CC4D}">
    <sortState xmlns:xlrd2="http://schemas.microsoft.com/office/spreadsheetml/2017/richdata2" ref="A2:L31">
      <sortCondition ref="D1:D3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C0A3-6973-4F55-B71C-9810798F9EA5}">
  <dimension ref="A1:L28"/>
  <sheetViews>
    <sheetView workbookViewId="0">
      <selection activeCell="H7" sqref="H7"/>
    </sheetView>
  </sheetViews>
  <sheetFormatPr defaultRowHeight="15" x14ac:dyDescent="0.25"/>
  <cols>
    <col min="2" max="3" width="15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/>
      <c r="J1" s="1" t="s">
        <v>41</v>
      </c>
      <c r="K1" s="1"/>
      <c r="L1" s="1" t="s">
        <v>42</v>
      </c>
    </row>
    <row r="2" spans="1:12" x14ac:dyDescent="0.25">
      <c r="A2">
        <v>1697</v>
      </c>
      <c r="B2" t="s">
        <v>3</v>
      </c>
      <c r="C2" t="s">
        <v>84</v>
      </c>
      <c r="D2" t="s">
        <v>44</v>
      </c>
      <c r="J2">
        <f t="shared" ref="J2:J28" si="0">(E2*2240)+(F2*112)+(G2*28)+H2</f>
        <v>0</v>
      </c>
      <c r="K2" s="1"/>
      <c r="L2">
        <f t="shared" ref="L2:L28" si="1">J2/2240</f>
        <v>0</v>
      </c>
    </row>
    <row r="3" spans="1:12" x14ac:dyDescent="0.25">
      <c r="A3">
        <v>1697</v>
      </c>
      <c r="B3" t="s">
        <v>85</v>
      </c>
      <c r="C3" t="s">
        <v>84</v>
      </c>
      <c r="D3" t="s">
        <v>44</v>
      </c>
      <c r="J3">
        <f t="shared" si="0"/>
        <v>0</v>
      </c>
      <c r="L3">
        <f t="shared" si="1"/>
        <v>0</v>
      </c>
    </row>
    <row r="4" spans="1:12" x14ac:dyDescent="0.25">
      <c r="A4">
        <v>1697</v>
      </c>
      <c r="B4" t="s">
        <v>6</v>
      </c>
      <c r="C4" t="s">
        <v>84</v>
      </c>
      <c r="D4" t="s">
        <v>44</v>
      </c>
      <c r="J4">
        <f t="shared" si="0"/>
        <v>0</v>
      </c>
      <c r="L4">
        <f t="shared" si="1"/>
        <v>0</v>
      </c>
    </row>
    <row r="5" spans="1:12" x14ac:dyDescent="0.25">
      <c r="A5">
        <v>1697</v>
      </c>
      <c r="B5" t="s">
        <v>45</v>
      </c>
      <c r="C5" t="s">
        <v>84</v>
      </c>
      <c r="D5" t="s">
        <v>44</v>
      </c>
      <c r="F5">
        <v>1</v>
      </c>
      <c r="G5">
        <v>1</v>
      </c>
      <c r="H5">
        <v>20</v>
      </c>
      <c r="J5">
        <f t="shared" si="0"/>
        <v>160</v>
      </c>
      <c r="L5">
        <f t="shared" si="1"/>
        <v>7.1428571428571425E-2</v>
      </c>
    </row>
    <row r="6" spans="1:12" x14ac:dyDescent="0.25">
      <c r="A6">
        <v>1697</v>
      </c>
      <c r="B6" t="s">
        <v>8</v>
      </c>
      <c r="C6" t="s">
        <v>84</v>
      </c>
      <c r="D6" t="s">
        <v>44</v>
      </c>
      <c r="H6">
        <f>27*200</f>
        <v>5400</v>
      </c>
      <c r="I6" t="s">
        <v>86</v>
      </c>
      <c r="J6">
        <f t="shared" si="0"/>
        <v>5400</v>
      </c>
      <c r="L6">
        <f t="shared" si="1"/>
        <v>2.4107142857142856</v>
      </c>
    </row>
    <row r="7" spans="1:12" x14ac:dyDescent="0.25">
      <c r="A7">
        <v>1697</v>
      </c>
      <c r="B7" t="s">
        <v>9</v>
      </c>
      <c r="C7" t="s">
        <v>84</v>
      </c>
      <c r="D7" t="s">
        <v>44</v>
      </c>
      <c r="F7">
        <v>8</v>
      </c>
      <c r="G7">
        <v>3</v>
      </c>
      <c r="H7">
        <v>14</v>
      </c>
      <c r="J7">
        <f t="shared" si="0"/>
        <v>994</v>
      </c>
      <c r="K7" s="1"/>
      <c r="L7">
        <f t="shared" si="1"/>
        <v>0.44374999999999998</v>
      </c>
    </row>
    <row r="8" spans="1:12" x14ac:dyDescent="0.25">
      <c r="A8">
        <v>1697</v>
      </c>
      <c r="B8" t="s">
        <v>10</v>
      </c>
      <c r="C8" t="s">
        <v>84</v>
      </c>
      <c r="D8" t="s">
        <v>44</v>
      </c>
      <c r="F8">
        <v>6</v>
      </c>
      <c r="G8">
        <v>2</v>
      </c>
      <c r="J8">
        <f t="shared" si="0"/>
        <v>728</v>
      </c>
      <c r="K8" s="1"/>
      <c r="L8">
        <f t="shared" si="1"/>
        <v>0.32500000000000001</v>
      </c>
    </row>
    <row r="9" spans="1:12" x14ac:dyDescent="0.25">
      <c r="A9">
        <v>1697</v>
      </c>
      <c r="B9" t="s">
        <v>87</v>
      </c>
      <c r="C9" t="s">
        <v>84</v>
      </c>
      <c r="D9" t="s">
        <v>44</v>
      </c>
      <c r="J9">
        <f t="shared" si="0"/>
        <v>0</v>
      </c>
      <c r="L9">
        <f t="shared" si="1"/>
        <v>0</v>
      </c>
    </row>
    <row r="10" spans="1:12" x14ac:dyDescent="0.25">
      <c r="A10">
        <v>1697</v>
      </c>
      <c r="B10" t="s">
        <v>11</v>
      </c>
      <c r="C10" t="s">
        <v>84</v>
      </c>
      <c r="D10" t="s">
        <v>44</v>
      </c>
      <c r="H10">
        <v>1315</v>
      </c>
      <c r="J10">
        <f t="shared" si="0"/>
        <v>1315</v>
      </c>
      <c r="L10">
        <f t="shared" si="1"/>
        <v>0.5870535714285714</v>
      </c>
    </row>
    <row r="11" spans="1:12" x14ac:dyDescent="0.25">
      <c r="A11">
        <v>1697</v>
      </c>
      <c r="B11" t="s">
        <v>12</v>
      </c>
      <c r="C11" t="s">
        <v>84</v>
      </c>
      <c r="D11" t="s">
        <v>44</v>
      </c>
      <c r="F11">
        <v>77</v>
      </c>
      <c r="J11">
        <f t="shared" si="0"/>
        <v>8624</v>
      </c>
      <c r="K11" s="1"/>
      <c r="L11">
        <f t="shared" si="1"/>
        <v>3.85</v>
      </c>
    </row>
    <row r="12" spans="1:12" x14ac:dyDescent="0.25">
      <c r="A12">
        <v>1697</v>
      </c>
      <c r="B12" t="s">
        <v>13</v>
      </c>
      <c r="C12" t="s">
        <v>84</v>
      </c>
      <c r="D12" t="s">
        <v>44</v>
      </c>
      <c r="J12">
        <f t="shared" si="0"/>
        <v>0</v>
      </c>
      <c r="L12">
        <f t="shared" si="1"/>
        <v>0</v>
      </c>
    </row>
    <row r="13" spans="1:12" x14ac:dyDescent="0.25">
      <c r="A13">
        <v>1697</v>
      </c>
      <c r="B13" t="s">
        <v>14</v>
      </c>
      <c r="C13" t="s">
        <v>84</v>
      </c>
      <c r="D13" t="s">
        <v>44</v>
      </c>
      <c r="J13">
        <f t="shared" si="0"/>
        <v>0</v>
      </c>
      <c r="L13">
        <f t="shared" si="1"/>
        <v>0</v>
      </c>
    </row>
    <row r="14" spans="1:12" x14ac:dyDescent="0.25">
      <c r="A14">
        <v>1697</v>
      </c>
      <c r="B14" t="s">
        <v>25</v>
      </c>
      <c r="C14" t="s">
        <v>84</v>
      </c>
      <c r="D14" t="s">
        <v>44</v>
      </c>
      <c r="F14">
        <v>15435</v>
      </c>
      <c r="G14">
        <v>1</v>
      </c>
      <c r="H14">
        <v>7</v>
      </c>
      <c r="J14">
        <f t="shared" si="0"/>
        <v>1728755</v>
      </c>
      <c r="L14">
        <f t="shared" si="1"/>
        <v>771.765625</v>
      </c>
    </row>
    <row r="15" spans="1:12" x14ac:dyDescent="0.25">
      <c r="A15">
        <v>1697</v>
      </c>
      <c r="B15" t="s">
        <v>15</v>
      </c>
      <c r="C15" t="s">
        <v>84</v>
      </c>
      <c r="D15" t="s">
        <v>44</v>
      </c>
      <c r="J15">
        <f t="shared" si="0"/>
        <v>0</v>
      </c>
      <c r="L15">
        <f t="shared" si="1"/>
        <v>0</v>
      </c>
    </row>
    <row r="16" spans="1:12" x14ac:dyDescent="0.25">
      <c r="A16">
        <v>1697</v>
      </c>
      <c r="B16" t="s">
        <v>18</v>
      </c>
      <c r="C16" t="s">
        <v>84</v>
      </c>
      <c r="D16" t="s">
        <v>44</v>
      </c>
      <c r="F16">
        <v>39</v>
      </c>
      <c r="G16">
        <v>1</v>
      </c>
      <c r="J16">
        <f t="shared" si="0"/>
        <v>4396</v>
      </c>
      <c r="L16">
        <f t="shared" si="1"/>
        <v>1.9624999999999999</v>
      </c>
    </row>
    <row r="17" spans="1:12" x14ac:dyDescent="0.25">
      <c r="A17">
        <v>1697</v>
      </c>
      <c r="B17" t="s">
        <v>47</v>
      </c>
      <c r="C17" t="s">
        <v>84</v>
      </c>
      <c r="D17" t="s">
        <v>44</v>
      </c>
      <c r="J17">
        <f t="shared" si="0"/>
        <v>0</v>
      </c>
      <c r="L17">
        <f t="shared" si="1"/>
        <v>0</v>
      </c>
    </row>
    <row r="18" spans="1:12" x14ac:dyDescent="0.25">
      <c r="A18">
        <v>1697</v>
      </c>
      <c r="B18" t="s">
        <v>24</v>
      </c>
      <c r="C18" t="s">
        <v>84</v>
      </c>
      <c r="D18" t="s">
        <v>44</v>
      </c>
      <c r="J18">
        <f t="shared" si="0"/>
        <v>0</v>
      </c>
      <c r="L18">
        <f t="shared" si="1"/>
        <v>0</v>
      </c>
    </row>
    <row r="19" spans="1:12" x14ac:dyDescent="0.25">
      <c r="A19">
        <v>1697</v>
      </c>
      <c r="B19" t="s">
        <v>20</v>
      </c>
      <c r="C19" t="s">
        <v>84</v>
      </c>
      <c r="D19" t="s">
        <v>44</v>
      </c>
      <c r="H19">
        <v>787</v>
      </c>
      <c r="J19">
        <f t="shared" si="0"/>
        <v>787</v>
      </c>
      <c r="L19">
        <f t="shared" si="1"/>
        <v>0.35133928571428569</v>
      </c>
    </row>
    <row r="20" spans="1:12" x14ac:dyDescent="0.25">
      <c r="A20">
        <v>1697</v>
      </c>
      <c r="B20" t="s">
        <v>21</v>
      </c>
      <c r="C20" t="s">
        <v>84</v>
      </c>
      <c r="D20" t="s">
        <v>44</v>
      </c>
      <c r="J20">
        <f t="shared" si="0"/>
        <v>0</v>
      </c>
      <c r="L20">
        <f t="shared" si="1"/>
        <v>0</v>
      </c>
    </row>
    <row r="21" spans="1:12" x14ac:dyDescent="0.25">
      <c r="A21">
        <v>1697</v>
      </c>
      <c r="B21" t="s">
        <v>22</v>
      </c>
      <c r="C21" t="s">
        <v>84</v>
      </c>
      <c r="D21" t="s">
        <v>44</v>
      </c>
      <c r="F21">
        <v>56</v>
      </c>
      <c r="J21">
        <f t="shared" si="0"/>
        <v>6272</v>
      </c>
      <c r="L21">
        <f t="shared" si="1"/>
        <v>2.8</v>
      </c>
    </row>
    <row r="22" spans="1:12" x14ac:dyDescent="0.25">
      <c r="A22">
        <v>1697</v>
      </c>
      <c r="B22" t="s">
        <v>5</v>
      </c>
      <c r="C22" t="s">
        <v>84</v>
      </c>
      <c r="D22" t="s">
        <v>48</v>
      </c>
      <c r="J22">
        <f t="shared" si="0"/>
        <v>0</v>
      </c>
      <c r="L22">
        <f t="shared" si="1"/>
        <v>0</v>
      </c>
    </row>
    <row r="23" spans="1:12" x14ac:dyDescent="0.25">
      <c r="A23">
        <v>1697</v>
      </c>
      <c r="B23" t="s">
        <v>45</v>
      </c>
      <c r="C23" t="s">
        <v>84</v>
      </c>
      <c r="D23" t="s">
        <v>48</v>
      </c>
      <c r="J23">
        <f t="shared" si="0"/>
        <v>0</v>
      </c>
      <c r="L23">
        <f t="shared" si="1"/>
        <v>0</v>
      </c>
    </row>
    <row r="24" spans="1:12" x14ac:dyDescent="0.25">
      <c r="A24">
        <v>1697</v>
      </c>
      <c r="B24" t="s">
        <v>9</v>
      </c>
      <c r="C24" t="s">
        <v>84</v>
      </c>
      <c r="D24" t="s">
        <v>48</v>
      </c>
      <c r="J24">
        <f t="shared" si="0"/>
        <v>0</v>
      </c>
      <c r="L24">
        <f t="shared" si="1"/>
        <v>0</v>
      </c>
    </row>
    <row r="25" spans="1:12" x14ac:dyDescent="0.25">
      <c r="A25">
        <v>1697</v>
      </c>
      <c r="B25" t="s">
        <v>87</v>
      </c>
      <c r="C25" t="s">
        <v>84</v>
      </c>
      <c r="D25" t="s">
        <v>48</v>
      </c>
      <c r="J25">
        <f t="shared" si="0"/>
        <v>0</v>
      </c>
      <c r="L25">
        <f t="shared" si="1"/>
        <v>0</v>
      </c>
    </row>
    <row r="26" spans="1:12" x14ac:dyDescent="0.25">
      <c r="A26">
        <v>1697</v>
      </c>
      <c r="B26" t="s">
        <v>14</v>
      </c>
      <c r="C26" t="s">
        <v>84</v>
      </c>
      <c r="D26" t="s">
        <v>48</v>
      </c>
      <c r="J26">
        <f t="shared" si="0"/>
        <v>0</v>
      </c>
      <c r="L26">
        <f t="shared" si="1"/>
        <v>0</v>
      </c>
    </row>
    <row r="27" spans="1:12" x14ac:dyDescent="0.25">
      <c r="A27">
        <v>1697</v>
      </c>
      <c r="B27" t="s">
        <v>20</v>
      </c>
      <c r="C27" t="s">
        <v>84</v>
      </c>
      <c r="D27" t="s">
        <v>48</v>
      </c>
      <c r="J27">
        <f t="shared" si="0"/>
        <v>0</v>
      </c>
      <c r="L27">
        <f t="shared" si="1"/>
        <v>0</v>
      </c>
    </row>
    <row r="28" spans="1:12" x14ac:dyDescent="0.25">
      <c r="A28">
        <v>1697</v>
      </c>
      <c r="B28" t="s">
        <v>22</v>
      </c>
      <c r="C28" t="s">
        <v>84</v>
      </c>
      <c r="D28" t="s">
        <v>48</v>
      </c>
      <c r="J28">
        <f t="shared" si="0"/>
        <v>0</v>
      </c>
      <c r="L28">
        <f t="shared" si="1"/>
        <v>0</v>
      </c>
    </row>
  </sheetData>
  <autoFilter ref="A1:L28" xr:uid="{44D4C0A3-6973-4F55-B71C-9810798F9EA5}">
    <sortState xmlns:xlrd2="http://schemas.microsoft.com/office/spreadsheetml/2017/richdata2" ref="A2:L28">
      <sortCondition ref="D1:D2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New England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Polay, Jacob</dc:creator>
  <cp:keywords/>
  <dc:description/>
  <cp:lastModifiedBy>Polay, Jacob</cp:lastModifiedBy>
  <cp:revision/>
  <dcterms:created xsi:type="dcterms:W3CDTF">2024-09-21T03:19:53Z</dcterms:created>
  <dcterms:modified xsi:type="dcterms:W3CDTF">2025-05-01T17:55:35Z</dcterms:modified>
  <cp:category/>
  <cp:contentStatus/>
</cp:coreProperties>
</file>