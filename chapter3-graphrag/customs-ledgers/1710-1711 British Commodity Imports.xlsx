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910" documentId="8_{2AAFA5F2-7CA4-45BB-8176-CBDD47077842}" xr6:coauthVersionLast="47" xr6:coauthVersionMax="47" xr10:uidLastSave="{C7107D08-13CA-425C-80DF-0DCD9796E60A}"/>
  <bookViews>
    <workbookView xWindow="-120" yWindow="-120" windowWidth="29040" windowHeight="15840" activeTab="9" xr2:uid="{A9AB6255-FFC3-4BA2-A4C8-A2A9711B6F5F}"/>
  </bookViews>
  <sheets>
    <sheet name="Master Goods Sheet" sheetId="12" r:id="rId1"/>
    <sheet name="Antigua" sheetId="3" r:id="rId2"/>
    <sheet name="Barbados" sheetId="4" r:id="rId3"/>
    <sheet name="Bermuda" sheetId="5" r:id="rId4"/>
    <sheet name="Carolina" sheetId="6" r:id="rId5"/>
    <sheet name="Jamaica" sheetId="7" r:id="rId6"/>
    <sheet name="Mountserat" sheetId="8" r:id="rId7"/>
    <sheet name="Nevis" sheetId="9" r:id="rId8"/>
    <sheet name="St Kitts" sheetId="10" r:id="rId9"/>
    <sheet name="NewEngland" sheetId="11" r:id="rId10"/>
  </sheets>
  <definedNames>
    <definedName name="_xlnm._FilterDatabase" localSheetId="1" hidden="1">Antigua!$A$1:$L$37</definedName>
    <definedName name="_xlnm._FilterDatabase" localSheetId="2" hidden="1">Barbados!$B$1:$P$48</definedName>
    <definedName name="_xlnm._FilterDatabase" localSheetId="4" hidden="1">Carolina!$A$1:$P$21</definedName>
    <definedName name="_xlnm._FilterDatabase" localSheetId="5" hidden="1">Jamaica!$A$1:$Q$54</definedName>
    <definedName name="_xlnm._FilterDatabase" localSheetId="6" hidden="1">Mountserat!$A$1:$Q$27</definedName>
    <definedName name="_xlnm._FilterDatabase" localSheetId="7" hidden="1">Nevis!$A$1:$P$33</definedName>
    <definedName name="_xlnm._FilterDatabase" localSheetId="9" hidden="1">NewEngland!$A$1:$L$34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11" l="1"/>
  <c r="L27" i="11" s="1"/>
  <c r="J25" i="11"/>
  <c r="L25" i="11" s="1"/>
  <c r="J28" i="11"/>
  <c r="L28" i="11" s="1"/>
  <c r="J24" i="11"/>
  <c r="L24" i="11" s="1"/>
  <c r="J29" i="11"/>
  <c r="L29" i="11" s="1"/>
  <c r="J31" i="11"/>
  <c r="L31" i="11" s="1"/>
  <c r="J26" i="11"/>
  <c r="L26" i="11" s="1"/>
  <c r="J32" i="11"/>
  <c r="L32" i="11" s="1"/>
  <c r="J33" i="11"/>
  <c r="L33" i="11" s="1"/>
  <c r="J34" i="11"/>
  <c r="L34" i="11" s="1"/>
  <c r="J30" i="11"/>
  <c r="L30" i="11" s="1"/>
  <c r="J21" i="11"/>
  <c r="L21" i="11" s="1"/>
  <c r="J22" i="11"/>
  <c r="L22" i="11" s="1"/>
  <c r="J23" i="11"/>
  <c r="L23" i="11" s="1"/>
  <c r="J6" i="11"/>
  <c r="L6" i="11" s="1"/>
  <c r="J19" i="11"/>
  <c r="L19" i="11" s="1"/>
  <c r="J8" i="11"/>
  <c r="L8" i="11" s="1"/>
  <c r="J13" i="11"/>
  <c r="L13" i="11" s="1"/>
  <c r="J4" i="11"/>
  <c r="L4" i="11" s="1"/>
  <c r="J20" i="11"/>
  <c r="L20" i="11" s="1"/>
  <c r="J14" i="11"/>
  <c r="L14" i="11" s="1"/>
  <c r="J16" i="11"/>
  <c r="L16" i="11" s="1"/>
  <c r="J9" i="11"/>
  <c r="L9" i="11" s="1"/>
  <c r="J17" i="11"/>
  <c r="L17" i="11" s="1"/>
  <c r="J7" i="11"/>
  <c r="L7" i="11" s="1"/>
  <c r="J2" i="11"/>
  <c r="L2" i="11" s="1"/>
  <c r="J3" i="11"/>
  <c r="L3" i="11" s="1"/>
  <c r="J18" i="11"/>
  <c r="L18" i="11" s="1"/>
  <c r="J5" i="11"/>
  <c r="L5" i="11" s="1"/>
  <c r="J15" i="11"/>
  <c r="L15" i="11" s="1"/>
  <c r="J11" i="11"/>
  <c r="L11" i="11" s="1"/>
  <c r="J12" i="11"/>
  <c r="L12" i="11" s="1"/>
  <c r="J26" i="9"/>
  <c r="L26" i="9" s="1"/>
  <c r="J25" i="9"/>
  <c r="L25" i="9" s="1"/>
  <c r="J27" i="9"/>
  <c r="L27" i="9" s="1"/>
  <c r="J28" i="9"/>
  <c r="L28" i="9" s="1"/>
  <c r="J29" i="9"/>
  <c r="L29" i="9" s="1"/>
  <c r="J22" i="9"/>
  <c r="L22" i="9" s="1"/>
  <c r="J31" i="9"/>
  <c r="L31" i="9" s="1"/>
  <c r="J24" i="9"/>
  <c r="L24" i="9" s="1"/>
  <c r="J23" i="9"/>
  <c r="L23" i="9" s="1"/>
  <c r="J32" i="9"/>
  <c r="L32" i="9" s="1"/>
  <c r="J33" i="9"/>
  <c r="L33" i="9" s="1"/>
  <c r="J30" i="9"/>
  <c r="L30" i="9" s="1"/>
  <c r="J11" i="8"/>
  <c r="L11" i="8" s="1"/>
  <c r="J12" i="8"/>
  <c r="L12" i="8" s="1"/>
  <c r="J2" i="8"/>
  <c r="L2" i="8" s="1"/>
  <c r="J18" i="8"/>
  <c r="L18" i="8" s="1"/>
  <c r="J8" i="8"/>
  <c r="L8" i="8" s="1"/>
  <c r="J15" i="8"/>
  <c r="L15" i="8" s="1"/>
  <c r="J16" i="8"/>
  <c r="L16" i="8" s="1"/>
  <c r="J6" i="8"/>
  <c r="L6" i="8" s="1"/>
  <c r="J3" i="8"/>
  <c r="L3" i="8" s="1"/>
  <c r="J4" i="8"/>
  <c r="L4" i="8" s="1"/>
  <c r="J10" i="8"/>
  <c r="L10" i="8" s="1"/>
  <c r="J13" i="8"/>
  <c r="L13" i="8" s="1"/>
  <c r="J14" i="8"/>
  <c r="L14" i="8" s="1"/>
  <c r="J17" i="8"/>
  <c r="L17" i="8" s="1"/>
  <c r="J23" i="8"/>
  <c r="L23" i="8" s="1"/>
  <c r="J24" i="8"/>
  <c r="L24" i="8" s="1"/>
  <c r="J19" i="8"/>
  <c r="L19" i="8" s="1"/>
  <c r="J25" i="8"/>
  <c r="L25" i="8" s="1"/>
  <c r="J27" i="8"/>
  <c r="L27" i="8" s="1"/>
  <c r="J22" i="8"/>
  <c r="L22" i="8" s="1"/>
  <c r="J20" i="8"/>
  <c r="L20" i="8" s="1"/>
  <c r="J21" i="8"/>
  <c r="L21" i="8" s="1"/>
  <c r="J26" i="8"/>
  <c r="L26" i="8" s="1"/>
  <c r="L17" i="7"/>
  <c r="L29" i="7"/>
  <c r="J27" i="7"/>
  <c r="L27" i="7" s="1"/>
  <c r="J13" i="7"/>
  <c r="L13" i="7" s="1"/>
  <c r="J14" i="7"/>
  <c r="L14" i="7" s="1"/>
  <c r="J15" i="7"/>
  <c r="L15" i="7" s="1"/>
  <c r="J28" i="7"/>
  <c r="L28" i="7" s="1"/>
  <c r="J16" i="7"/>
  <c r="L16" i="7" s="1"/>
  <c r="J17" i="7"/>
  <c r="J29" i="7"/>
  <c r="J18" i="7"/>
  <c r="L18" i="7" s="1"/>
  <c r="J19" i="7"/>
  <c r="L19" i="7" s="1"/>
  <c r="J20" i="7"/>
  <c r="L20" i="7" s="1"/>
  <c r="J21" i="7"/>
  <c r="L21" i="7" s="1"/>
  <c r="J22" i="7"/>
  <c r="L22" i="7" s="1"/>
  <c r="J23" i="7"/>
  <c r="L23" i="7" s="1"/>
  <c r="J24" i="7"/>
  <c r="L24" i="7" s="1"/>
  <c r="J25" i="7"/>
  <c r="L25" i="7" s="1"/>
  <c r="J26" i="7"/>
  <c r="L26" i="7" s="1"/>
  <c r="J35" i="7"/>
  <c r="L35" i="7" s="1"/>
  <c r="J31" i="7"/>
  <c r="L31" i="7" s="1"/>
  <c r="J42" i="7"/>
  <c r="L42" i="7" s="1"/>
  <c r="J32" i="7"/>
  <c r="L32" i="7" s="1"/>
  <c r="J33" i="7"/>
  <c r="L33" i="7" s="1"/>
  <c r="J36" i="7"/>
  <c r="L36" i="7" s="1"/>
  <c r="J37" i="7"/>
  <c r="L37" i="7" s="1"/>
  <c r="J38" i="7"/>
  <c r="L38" i="7" s="1"/>
  <c r="J53" i="7"/>
  <c r="L53" i="7" s="1"/>
  <c r="J39" i="7"/>
  <c r="L39" i="7" s="1"/>
  <c r="J40" i="7"/>
  <c r="L40" i="7" s="1"/>
  <c r="J46" i="7"/>
  <c r="L46" i="7" s="1"/>
  <c r="J41" i="7"/>
  <c r="L41" i="7" s="1"/>
  <c r="J54" i="7"/>
  <c r="L54" i="7" s="1"/>
  <c r="J43" i="7"/>
  <c r="L43" i="7" s="1"/>
  <c r="J44" i="7"/>
  <c r="L44" i="7" s="1"/>
  <c r="J45" i="7"/>
  <c r="L45" i="7" s="1"/>
  <c r="J47" i="7"/>
  <c r="L47" i="7" s="1"/>
  <c r="J48" i="7"/>
  <c r="L48" i="7" s="1"/>
  <c r="J50" i="7"/>
  <c r="L50" i="7" s="1"/>
  <c r="J49" i="7"/>
  <c r="L49" i="7" s="1"/>
  <c r="J51" i="7"/>
  <c r="L51" i="7" s="1"/>
  <c r="J52" i="7"/>
  <c r="L52" i="7" s="1"/>
  <c r="J14" i="6"/>
  <c r="L14" i="6" s="1"/>
  <c r="J15" i="6"/>
  <c r="L15" i="6" s="1"/>
  <c r="J20" i="6"/>
  <c r="L20" i="6" s="1"/>
  <c r="J2" i="6"/>
  <c r="L2" i="6" s="1"/>
  <c r="J11" i="6"/>
  <c r="L11" i="6" s="1"/>
  <c r="J12" i="6"/>
  <c r="L12" i="6" s="1"/>
  <c r="J16" i="6"/>
  <c r="L16" i="6" s="1"/>
  <c r="J7" i="5"/>
  <c r="L7" i="5" s="1"/>
  <c r="J6" i="5"/>
  <c r="L6" i="5" s="1"/>
  <c r="J2" i="5"/>
  <c r="L2" i="5" s="1"/>
  <c r="J3" i="5"/>
  <c r="L3" i="5" s="1"/>
  <c r="J40" i="4"/>
  <c r="L40" i="4" s="1"/>
  <c r="J41" i="4"/>
  <c r="L41" i="4" s="1"/>
  <c r="J42" i="4"/>
  <c r="L42" i="4" s="1"/>
  <c r="J43" i="4"/>
  <c r="L43" i="4" s="1"/>
  <c r="J44" i="4"/>
  <c r="L44" i="4" s="1"/>
  <c r="J45" i="4"/>
  <c r="L45" i="4" s="1"/>
  <c r="J46" i="4"/>
  <c r="L46" i="4" s="1"/>
  <c r="J47" i="4"/>
  <c r="L47" i="4" s="1"/>
  <c r="J48" i="4"/>
  <c r="L48" i="4" s="1"/>
  <c r="J49" i="4"/>
  <c r="L49" i="4" s="1"/>
  <c r="J14" i="3"/>
  <c r="L14" i="3" s="1"/>
  <c r="J18" i="3"/>
  <c r="L18" i="3" s="1"/>
  <c r="J26" i="3"/>
  <c r="L26" i="3" s="1"/>
  <c r="J24" i="3"/>
  <c r="L24" i="3" s="1"/>
  <c r="J30" i="3"/>
  <c r="L30" i="3" s="1"/>
  <c r="J29" i="3"/>
  <c r="L29" i="3" s="1"/>
  <c r="J20" i="3"/>
  <c r="L20" i="3" s="1"/>
  <c r="J36" i="3"/>
  <c r="L36" i="3" s="1"/>
  <c r="J31" i="3"/>
  <c r="L31" i="3" s="1"/>
  <c r="J25" i="3"/>
  <c r="L25" i="3" s="1"/>
  <c r="J32" i="3"/>
  <c r="L32" i="3" s="1"/>
  <c r="J33" i="3"/>
  <c r="L33" i="3" s="1"/>
  <c r="J34" i="3"/>
  <c r="L34" i="3" s="1"/>
  <c r="J28" i="3"/>
  <c r="L28" i="3" s="1"/>
  <c r="J37" i="3"/>
  <c r="L37" i="3" s="1"/>
  <c r="J23" i="3"/>
  <c r="L23" i="3" s="1"/>
  <c r="J22" i="3"/>
  <c r="L22" i="3" s="1"/>
  <c r="J21" i="3"/>
  <c r="L21" i="3" s="1"/>
  <c r="J27" i="3"/>
  <c r="L27" i="3" s="1"/>
  <c r="J35" i="3"/>
  <c r="L35" i="3" s="1"/>
  <c r="J12" i="9" l="1"/>
  <c r="L12" i="9" s="1"/>
  <c r="J8" i="9"/>
  <c r="L8" i="9" s="1"/>
  <c r="J10" i="9"/>
  <c r="L10" i="9" s="1"/>
  <c r="J9" i="9"/>
  <c r="L9" i="9" s="1"/>
  <c r="J15" i="9"/>
  <c r="L15" i="9" s="1"/>
  <c r="J16" i="9"/>
  <c r="L16" i="9" s="1"/>
  <c r="J18" i="9"/>
  <c r="L18" i="9" s="1"/>
  <c r="J6" i="9"/>
  <c r="L6" i="9" s="1"/>
  <c r="J4" i="9"/>
  <c r="L4" i="9" s="1"/>
  <c r="J3" i="9"/>
  <c r="L3" i="9" s="1"/>
  <c r="J14" i="9"/>
  <c r="L14" i="9" s="1"/>
  <c r="J19" i="9"/>
  <c r="L19" i="9" s="1"/>
  <c r="J13" i="9"/>
  <c r="L13" i="9" s="1"/>
  <c r="J11" i="9"/>
  <c r="L11" i="9" s="1"/>
  <c r="J20" i="9"/>
  <c r="L20" i="9" s="1"/>
  <c r="J5" i="9"/>
  <c r="L5" i="9" s="1"/>
  <c r="J17" i="9"/>
  <c r="L17" i="9" s="1"/>
  <c r="J2" i="9"/>
  <c r="J21" i="9"/>
  <c r="J7" i="9"/>
  <c r="J5" i="8"/>
  <c r="L5" i="8" s="1"/>
  <c r="J8" i="7"/>
  <c r="L8" i="7" s="1"/>
  <c r="J9" i="7"/>
  <c r="L9" i="7" s="1"/>
  <c r="J10" i="7"/>
  <c r="L10" i="7" s="1"/>
  <c r="J30" i="7"/>
  <c r="L30" i="7" s="1"/>
  <c r="J11" i="7"/>
  <c r="L11" i="7" s="1"/>
  <c r="J12" i="7"/>
  <c r="L12" i="7" s="1"/>
  <c r="J3" i="7"/>
  <c r="L3" i="7" s="1"/>
  <c r="J4" i="7"/>
  <c r="L4" i="7" s="1"/>
  <c r="J5" i="7"/>
  <c r="L5" i="7" s="1"/>
  <c r="J6" i="7"/>
  <c r="L6" i="7" s="1"/>
  <c r="J7" i="7"/>
  <c r="L7" i="7" s="1"/>
  <c r="L10" i="6"/>
  <c r="L18" i="6"/>
  <c r="L19" i="6"/>
  <c r="J3" i="6"/>
  <c r="L3" i="6" s="1"/>
  <c r="J5" i="6"/>
  <c r="L5" i="6" s="1"/>
  <c r="J10" i="6"/>
  <c r="J18" i="6"/>
  <c r="J19" i="6"/>
  <c r="J21" i="6"/>
  <c r="L21" i="6" s="1"/>
  <c r="J13" i="6"/>
  <c r="L13" i="6" s="1"/>
  <c r="J17" i="6"/>
  <c r="L17" i="6" s="1"/>
  <c r="J2" i="4"/>
  <c r="L2" i="4" s="1"/>
  <c r="J31" i="4"/>
  <c r="L31" i="4" s="1"/>
  <c r="J5" i="4"/>
  <c r="L5" i="4" s="1"/>
  <c r="J6" i="4"/>
  <c r="L6" i="4" s="1"/>
  <c r="J12" i="4"/>
  <c r="L12" i="4" s="1"/>
  <c r="J7" i="4"/>
  <c r="L7" i="4" s="1"/>
  <c r="J8" i="4"/>
  <c r="L8" i="4" s="1"/>
  <c r="J9" i="4"/>
  <c r="L9" i="4" s="1"/>
  <c r="J10" i="4"/>
  <c r="L10" i="4" s="1"/>
  <c r="J11" i="4"/>
  <c r="L11" i="4" s="1"/>
  <c r="J15" i="4"/>
  <c r="L15" i="4" s="1"/>
  <c r="J17" i="4"/>
  <c r="L17" i="4" s="1"/>
  <c r="J18" i="4"/>
  <c r="L18" i="4" s="1"/>
  <c r="J23" i="4"/>
  <c r="L23" i="4" s="1"/>
  <c r="J19" i="4"/>
  <c r="L19" i="4" s="1"/>
  <c r="J20" i="4"/>
  <c r="L20" i="4" s="1"/>
  <c r="J21" i="4"/>
  <c r="L21" i="4" s="1"/>
  <c r="J24" i="4"/>
  <c r="L24" i="4" s="1"/>
  <c r="J25" i="4"/>
  <c r="L25" i="4" s="1"/>
  <c r="J27" i="4"/>
  <c r="L27" i="4" s="1"/>
  <c r="J28" i="4"/>
  <c r="L28" i="4" s="1"/>
  <c r="J29" i="4"/>
  <c r="L29" i="4" s="1"/>
  <c r="J16" i="4"/>
  <c r="L16" i="4" s="1"/>
  <c r="J30" i="4"/>
  <c r="L30" i="4" s="1"/>
  <c r="J14" i="4"/>
  <c r="L14" i="4" s="1"/>
  <c r="J4" i="4"/>
  <c r="L4" i="4" s="1"/>
  <c r="J22" i="4"/>
  <c r="L22" i="4" s="1"/>
  <c r="J13" i="4"/>
  <c r="L13" i="4" s="1"/>
  <c r="J26" i="4"/>
  <c r="L26" i="4" s="1"/>
  <c r="J32" i="4"/>
  <c r="L32" i="4" s="1"/>
  <c r="J33" i="4"/>
  <c r="L33" i="4" s="1"/>
  <c r="J34" i="4"/>
  <c r="L34" i="4" s="1"/>
  <c r="J35" i="4"/>
  <c r="L35" i="4" s="1"/>
  <c r="J36" i="4"/>
  <c r="L36" i="4" s="1"/>
  <c r="J37" i="4"/>
  <c r="L37" i="4" s="1"/>
  <c r="J38" i="4"/>
  <c r="L38" i="4" s="1"/>
  <c r="J39" i="4"/>
  <c r="L39" i="4" s="1"/>
  <c r="J6" i="6"/>
  <c r="L6" i="6" s="1"/>
  <c r="H6" i="10"/>
  <c r="J9" i="3"/>
  <c r="J10" i="3"/>
  <c r="J15" i="3"/>
  <c r="J16" i="3"/>
  <c r="J17" i="3"/>
  <c r="J12" i="3"/>
  <c r="J5" i="3"/>
  <c r="J3" i="3"/>
  <c r="J11" i="3"/>
  <c r="J4" i="3"/>
  <c r="C3" i="12"/>
  <c r="C4" i="12"/>
  <c r="C5" i="12"/>
  <c r="C7" i="12"/>
  <c r="C9" i="12"/>
  <c r="C26" i="12"/>
  <c r="C27" i="12"/>
  <c r="C28" i="12"/>
  <c r="C30" i="12"/>
  <c r="B5" i="12"/>
  <c r="B7" i="12"/>
  <c r="B9" i="12"/>
  <c r="B28" i="12"/>
  <c r="B29" i="12"/>
  <c r="B30" i="12"/>
  <c r="C2" i="12"/>
  <c r="B4" i="12" l="1"/>
  <c r="D4" i="12" s="1"/>
  <c r="D30" i="12"/>
  <c r="D28" i="12"/>
  <c r="D9" i="12"/>
  <c r="D7" i="12"/>
  <c r="D5" i="12"/>
  <c r="C29" i="12"/>
  <c r="D29" i="12" s="1"/>
  <c r="J8" i="6"/>
  <c r="L8" i="6" s="1"/>
  <c r="J9" i="6"/>
  <c r="L9" i="6" s="1"/>
  <c r="J4" i="6"/>
  <c r="L4" i="6" s="1"/>
  <c r="C8" i="12"/>
  <c r="C31" i="12"/>
  <c r="J10" i="11"/>
  <c r="L10" i="11" s="1"/>
  <c r="J9" i="8"/>
  <c r="L9" i="8" s="1"/>
  <c r="J8" i="3"/>
  <c r="L8" i="3" s="1"/>
  <c r="L9" i="3"/>
  <c r="L10" i="3"/>
  <c r="B3" i="12"/>
  <c r="D3" i="12" s="1"/>
  <c r="H3" i="10"/>
  <c r="J3" i="10" s="1"/>
  <c r="H4" i="10"/>
  <c r="J4" i="10" s="1"/>
  <c r="H5" i="10"/>
  <c r="J5" i="10" s="1"/>
  <c r="J6" i="10"/>
  <c r="H7" i="10"/>
  <c r="J7" i="10" s="1"/>
  <c r="H2" i="10"/>
  <c r="J2" i="10" s="1"/>
  <c r="L21" i="9"/>
  <c r="L2" i="9"/>
  <c r="L7" i="9"/>
  <c r="J7" i="8"/>
  <c r="L7" i="8" s="1"/>
  <c r="J2" i="7"/>
  <c r="L2" i="7" s="1"/>
  <c r="J7" i="6"/>
  <c r="L7" i="6" s="1"/>
  <c r="J5" i="5"/>
  <c r="L5" i="5" s="1"/>
  <c r="J4" i="5"/>
  <c r="L4" i="5" s="1"/>
  <c r="B26" i="12"/>
  <c r="D26" i="12" s="1"/>
  <c r="J3" i="4"/>
  <c r="L3" i="4" s="1"/>
  <c r="L4" i="3"/>
  <c r="L11" i="3"/>
  <c r="L3" i="3"/>
  <c r="L5" i="3"/>
  <c r="L12" i="3"/>
  <c r="L17" i="3"/>
  <c r="L16" i="3"/>
  <c r="L15" i="3"/>
  <c r="J19" i="3"/>
  <c r="L19" i="3" s="1"/>
  <c r="J2" i="3"/>
  <c r="L2" i="3" s="1"/>
  <c r="J13" i="3"/>
  <c r="L13" i="3" s="1"/>
  <c r="J6" i="3"/>
  <c r="L6" i="3" s="1"/>
  <c r="J7" i="3"/>
  <c r="L7" i="3" s="1"/>
  <c r="C23" i="12" l="1"/>
  <c r="P7" i="9"/>
  <c r="C14" i="12"/>
  <c r="B15" i="12"/>
  <c r="C21" i="12"/>
  <c r="C15" i="12"/>
  <c r="B19" i="12"/>
  <c r="B13" i="12"/>
  <c r="C10" i="12"/>
  <c r="B12" i="12"/>
  <c r="B22" i="12"/>
  <c r="B10" i="12"/>
  <c r="B14" i="12"/>
  <c r="B27" i="12"/>
  <c r="D27" i="12" s="1"/>
  <c r="C13" i="12"/>
  <c r="C18" i="12"/>
  <c r="B18" i="12"/>
  <c r="C12" i="12"/>
  <c r="C25" i="12"/>
  <c r="B24" i="12"/>
  <c r="C20" i="12"/>
  <c r="C24" i="12"/>
  <c r="C11" i="12"/>
  <c r="B25" i="12"/>
  <c r="B16" i="12"/>
  <c r="C22" i="12"/>
  <c r="B6" i="12"/>
  <c r="B23" i="12"/>
  <c r="B11" i="12"/>
  <c r="B20" i="12"/>
  <c r="C6" i="12"/>
  <c r="B17" i="12"/>
  <c r="B21" i="12"/>
  <c r="B2" i="12"/>
  <c r="D2" i="12" s="1"/>
  <c r="C17" i="12"/>
  <c r="C16" i="12"/>
  <c r="B31" i="12"/>
  <c r="D31" i="12" s="1"/>
  <c r="B8" i="12"/>
  <c r="D8" i="12" s="1"/>
  <c r="C19" i="12"/>
  <c r="N7" i="9"/>
  <c r="D23" i="12" l="1"/>
  <c r="D14" i="12"/>
  <c r="D19" i="12"/>
  <c r="D13" i="12"/>
  <c r="D15" i="12"/>
  <c r="D21" i="12"/>
  <c r="D12" i="12"/>
  <c r="D10" i="12"/>
  <c r="D11" i="12"/>
  <c r="D22" i="12"/>
  <c r="D16" i="12"/>
  <c r="D17" i="12"/>
  <c r="D25" i="12"/>
  <c r="D24" i="12"/>
  <c r="D18" i="12"/>
  <c r="D6" i="12"/>
  <c r="D20" i="12"/>
</calcChain>
</file>

<file path=xl/sharedStrings.xml><?xml version="1.0" encoding="utf-8"?>
<sst xmlns="http://schemas.openxmlformats.org/spreadsheetml/2006/main" count="921" uniqueCount="117">
  <si>
    <t>Items</t>
  </si>
  <si>
    <t>Import Location</t>
  </si>
  <si>
    <t>1700 Ton</t>
  </si>
  <si>
    <t>1700 hh</t>
  </si>
  <si>
    <t>1700 quarter</t>
  </si>
  <si>
    <t>Total Pounds</t>
  </si>
  <si>
    <t>Total Tons</t>
  </si>
  <si>
    <t>London</t>
  </si>
  <si>
    <t>Indigo</t>
  </si>
  <si>
    <t>Cotton</t>
  </si>
  <si>
    <t>Elephants Teeth</t>
  </si>
  <si>
    <t>Out Ports</t>
  </si>
  <si>
    <t>Chocolate</t>
  </si>
  <si>
    <t>Dry Ginger</t>
  </si>
  <si>
    <t>Molasses</t>
  </si>
  <si>
    <t>Brown Sugar</t>
  </si>
  <si>
    <t>White Sugar</t>
  </si>
  <si>
    <t>Oranges</t>
  </si>
  <si>
    <t>Tobacco</t>
  </si>
  <si>
    <t>Lime Juice</t>
  </si>
  <si>
    <t>Rum</t>
  </si>
  <si>
    <t>Tortoise Shell</t>
  </si>
  <si>
    <t>Shruff</t>
  </si>
  <si>
    <t>Elephant Teeth</t>
  </si>
  <si>
    <t>Annatto</t>
  </si>
  <si>
    <t>Rice</t>
  </si>
  <si>
    <t>Sugar Loaf</t>
  </si>
  <si>
    <t>Madera Wine</t>
  </si>
  <si>
    <t>Loaf Sugar</t>
  </si>
  <si>
    <t>Bayberry Wax</t>
  </si>
  <si>
    <t>Pimento</t>
  </si>
  <si>
    <t>Total Not Sugar</t>
  </si>
  <si>
    <t>Total Sugar</t>
  </si>
  <si>
    <t>1700 Stone/lb/oz?</t>
  </si>
  <si>
    <t>Lignum Vitae</t>
  </si>
  <si>
    <t>Succands</t>
  </si>
  <si>
    <t>Pickles</t>
  </si>
  <si>
    <t>Snuff</t>
  </si>
  <si>
    <t>Lemon Water</t>
  </si>
  <si>
    <t>Cocoa Nuts</t>
  </si>
  <si>
    <t>Bayberries</t>
  </si>
  <si>
    <t>Tea</t>
  </si>
  <si>
    <t>Succand</t>
  </si>
  <si>
    <t>Item</t>
  </si>
  <si>
    <t>Total London</t>
  </si>
  <si>
    <t>Total Outports</t>
  </si>
  <si>
    <t>Total</t>
  </si>
  <si>
    <t>Bees Wax</t>
  </si>
  <si>
    <t>Brandy</t>
  </si>
  <si>
    <t>Cascarilla</t>
  </si>
  <si>
    <t>Cockeneal</t>
  </si>
  <si>
    <t>Muscavado Sugar</t>
  </si>
  <si>
    <t>Sasparilla</t>
  </si>
  <si>
    <t>2tun 1hh 10gal</t>
  </si>
  <si>
    <t>809 gal</t>
  </si>
  <si>
    <t>Aloes Epatica</t>
  </si>
  <si>
    <t>ton</t>
  </si>
  <si>
    <t>hh</t>
  </si>
  <si>
    <t>quarter</t>
  </si>
  <si>
    <t>lb</t>
  </si>
  <si>
    <t>Green Ginger</t>
  </si>
  <si>
    <t>Hemp</t>
  </si>
  <si>
    <t>32tun 3hh 41gal</t>
  </si>
  <si>
    <t>Barrel Staves</t>
  </si>
  <si>
    <t>Chocolate Paste</t>
  </si>
  <si>
    <t>Cocoa Paste</t>
  </si>
  <si>
    <t>6136 gal</t>
  </si>
  <si>
    <t>8907.5gal</t>
  </si>
  <si>
    <t>Braziletto Wood</t>
  </si>
  <si>
    <t>1tun 2hh 31gal</t>
  </si>
  <si>
    <t>Wool Vigonia</t>
  </si>
  <si>
    <t>Vigonia is related to a llama???</t>
  </si>
  <si>
    <t>Cocoa Paster</t>
  </si>
  <si>
    <t>Jamaica Roots</t>
  </si>
  <si>
    <t>1728gal</t>
  </si>
  <si>
    <t>4132.5gal</t>
  </si>
  <si>
    <t>Cocoa Wood</t>
  </si>
  <si>
    <t>Cortex Winteranus</t>
  </si>
  <si>
    <t>2hh 22gal</t>
  </si>
  <si>
    <t>65 gal</t>
  </si>
  <si>
    <t>2tun 3hh 14gal</t>
  </si>
  <si>
    <t>20gal</t>
  </si>
  <si>
    <t>65gal</t>
  </si>
  <si>
    <t>Turpentine Common</t>
  </si>
  <si>
    <t>2hh 62gal</t>
  </si>
  <si>
    <t>450gal</t>
  </si>
  <si>
    <t>Cocoa</t>
  </si>
  <si>
    <t>276gal</t>
  </si>
  <si>
    <t>2tun 23gal</t>
  </si>
  <si>
    <t>2830gal</t>
  </si>
  <si>
    <t>935gal</t>
  </si>
  <si>
    <t>15 gal</t>
  </si>
  <si>
    <t>6073gal</t>
  </si>
  <si>
    <t>3718gal</t>
  </si>
  <si>
    <t>150 gal</t>
  </si>
  <si>
    <t>46gal</t>
  </si>
  <si>
    <t>37gal</t>
  </si>
  <si>
    <t>Hops</t>
  </si>
  <si>
    <t>156.5gal</t>
  </si>
  <si>
    <t>YEAR</t>
  </si>
  <si>
    <t>COMMODITY_NAME</t>
  </si>
  <si>
    <t>FROM_LOCATION</t>
  </si>
  <si>
    <t>TO_LOCATION</t>
  </si>
  <si>
    <t>Antigua</t>
  </si>
  <si>
    <t>WEIGHT</t>
  </si>
  <si>
    <t>Barbados</t>
  </si>
  <si>
    <t>Wood, Fustick</t>
  </si>
  <si>
    <t>Wood, Braziletto</t>
  </si>
  <si>
    <t>COMMODTY_NAME</t>
  </si>
  <si>
    <t>Wood, Logwood</t>
  </si>
  <si>
    <t>Bermuda</t>
  </si>
  <si>
    <t>Carolina</t>
  </si>
  <si>
    <t>Jamaica</t>
  </si>
  <si>
    <t>Wood, Nicaragua</t>
  </si>
  <si>
    <t>Mountserat</t>
  </si>
  <si>
    <t>Nevis</t>
  </si>
  <si>
    <t>NewEngland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</si>
</sst>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A7BE7-232D-4293-9729-642230ECC67F}">
  <dimension ref="A1:D31"/>
  <sheetViews>
    <sheetView workbookViewId="0">
      <selection activeCell="F24" sqref="F24"/>
    </sheetView>
  </sheetViews>
  <sheetFormatPr defaultRowHeight="15" x14ac:dyDescent="0.25"/>
  <cols>
    <col min="1" max="1" width="17.140625" customWidth="1"/>
    <col min="2" max="2" width="21.85546875" customWidth="1"/>
    <col min="3" max="3" width="21" customWidth="1"/>
    <col min="4" max="4" width="20.85546875" customWidth="1"/>
  </cols>
  <sheetData>
    <row r="1" spans="1:4" x14ac:dyDescent="0.25">
      <c r="A1" t="s">
        <v>43</v>
      </c>
      <c r="B1" t="s">
        <v>44</v>
      </c>
      <c r="C1" t="s">
        <v>45</v>
      </c>
      <c r="D1" t="s">
        <v>46</v>
      </c>
    </row>
    <row r="2" spans="1:4" x14ac:dyDescent="0.25">
      <c r="A2" t="s">
        <v>24</v>
      </c>
      <c r="B2">
        <f>SUMIFS(Antigua!$L:$L, Antigua!$B:$B, $A2, Antigua!$D:$D, "London") + SUMIFS(Barbados!$L:$L, Barbados!$B:$B, $A2, Barbados!$D:$D, "London") + SUMIFS(Bermuda!$L:$L, Bermuda!$B:$B, $A2, Bermuda!$D:$D, "London") + SUMIFS(Carolina!$L:$L, Carolina!$B:$B, $A2, Carolina!$D:$D, "London") + SUMIFS(Jamaica!$L:$L, Jamaica!$B:$B, $A2, Jamaica!$D:$D, "London") + SUMIFS(Mountserat!$L:$L, Mountserat!$B:$B, $A2, Mountserat!$D:$D, "London") + SUMIFS(Nevis!$L:$L, Nevis!$B:$B, $A2, Nevis!$D:$D, "London") + SUMIFS(NewEngland!$L:$L, NewEngland!$B:$B, $A2, NewEngland!$D:$D, "London")</f>
        <v>0</v>
      </c>
      <c r="C2">
        <f>SUMIFS(Antigua!$L:$L, Antigua!$B:$B, $A2, Antigua!$D:$D, "Out Ports") + SUMIFS(Barbados!$L:$L, Barbados!$B:$B, $A2, Barbados!$D:$D, "Out Ports") + SUMIFS(Bermuda!$L:$L, Bermuda!$B:$B, $A2, Bermuda!$D:$D, "Out Ports") + SUMIFS(Carolina!$L:$L, Carolina!$B:$B, $A2, Carolina!$D:$D, "Out Ports") + SUMIFS(Jamaica!$L:$L, Jamaica!$B:$B, $A2, Jamaica!$D:$D, "Out Ports") + SUMIFS(Mountserat!$L:$L, Mountserat!$B:$B, $A2, Mountserat!$D:$D, "Out Ports") + SUMIFS(Nevis!$L:$L, Nevis!$B:$B, $A2, Nevis!$D:$D, "Out Ports") + SUMIFS(NewEngland!$L:$L, NewEngland!$B:$B, $A2, NewEngland!$D:$D, "Out Ports")</f>
        <v>0</v>
      </c>
      <c r="D2">
        <f>ROUND((B2+C2),2)</f>
        <v>0</v>
      </c>
    </row>
    <row r="3" spans="1:4" x14ac:dyDescent="0.25">
      <c r="A3" t="s">
        <v>29</v>
      </c>
      <c r="B3">
        <f>SUMIFS(Antigua!$L:$L, Antigua!$B:$B, $A3, Antigua!$D:$D, "London") + SUMIFS(Barbados!$L:$L, Barbados!$B:$B, $A3, Barbados!$D:$D, "London") + SUMIFS(Bermuda!$L:$L, Bermuda!$B:$B, $A3, Bermuda!$D:$D, "London") + SUMIFS(Carolina!$L:$L, Carolina!$B:$B, $A3, Carolina!$D:$D, "London") + SUMIFS(Jamaica!$L:$L, Jamaica!$B:$B, $A3, Jamaica!$D:$D, "London") + SUMIFS(Mountserat!$L:$L, Mountserat!$B:$B, $A3, Mountserat!$D:$D, "London") + SUMIFS(Nevis!$L:$L, Nevis!$B:$B, $A3, Nevis!$D:$D, "London") + SUMIFS(NewEngland!$L:$L, NewEngland!$B:$B, $A3, NewEngland!$D:$D, "London")</f>
        <v>0</v>
      </c>
      <c r="C3">
        <f>SUMIFS(Antigua!$L:$L, Antigua!$B:$B, $A3, Antigua!$D:$D, "Out Ports") + SUMIFS(Barbados!$L:$L, Barbados!$B:$B, $A3, Barbados!$D:$D, "Out Ports") + SUMIFS(Bermuda!$L:$L, Bermuda!$B:$B, $A3, Bermuda!$D:$D, "Out Ports") + SUMIFS(Carolina!$L:$L, Carolina!$B:$B, $A3, Carolina!$D:$D, "Out Ports") + SUMIFS(Jamaica!$L:$L, Jamaica!$B:$B, $A3, Jamaica!$D:$D, "Out Ports") + SUMIFS(Mountserat!$L:$L, Mountserat!$B:$B, $A3, Mountserat!$D:$D, "Out Ports") + SUMIFS(Nevis!$L:$L, Nevis!$B:$B, $A3, Nevis!$D:$D, "Out Ports") + SUMIFS(NewEngland!$L:$L, NewEngland!$B:$B, $A3, NewEngland!$D:$D, "Out Ports")</f>
        <v>0</v>
      </c>
      <c r="D3">
        <f t="shared" ref="D3:D31" si="0">ROUND((B3+C3),2)</f>
        <v>0</v>
      </c>
    </row>
    <row r="4" spans="1:4" x14ac:dyDescent="0.25">
      <c r="A4" t="s">
        <v>47</v>
      </c>
      <c r="B4">
        <f>SUMIFS(Antigua!$L:$L, Antigua!$B:$B, $A4, Antigua!$D:$D, "London") + SUMIFS(Barbados!$L:$L, Barbados!$B:$B, $A4, Barbados!$D:$D, "London") + SUMIFS(Bermuda!$L:$L, Bermuda!$B:$B, $A4, Bermuda!$D:$D, "London") + SUMIFS(Carolina!$L:$L, Carolina!$B:$B, $A4, Carolina!$D:$D, "London") + SUMIFS(Jamaica!$L:$L, Jamaica!$B:$B, $A4, Jamaica!$D:$D, "London") + SUMIFS(Mountserat!$L:$L, Mountserat!$B:$B, $A4, Mountserat!$D:$D, "London") + SUMIFS(Nevis!$L:$L, Nevis!$B:$B, $A4, Nevis!$D:$D, "London") + SUMIFS(NewEngland!$L:$L, NewEngland!$B:$B, $A4, NewEngland!$D:$D, "London")</f>
        <v>0.39374999999999999</v>
      </c>
      <c r="C4">
        <f>SUMIFS(Antigua!$L:$L, Antigua!$B:$B, $A4, Antigua!$D:$D, "Out Ports") + SUMIFS(Barbados!$L:$L, Barbados!$B:$B, $A4, Barbados!$D:$D, "Out Ports") + SUMIFS(Bermuda!$L:$L, Bermuda!$B:$B, $A4, Bermuda!$D:$D, "Out Ports") + SUMIFS(Carolina!$L:$L, Carolina!$B:$B, $A4, Carolina!$D:$D, "Out Ports") + SUMIFS(Jamaica!$L:$L, Jamaica!$B:$B, $A4, Jamaica!$D:$D, "Out Ports") + SUMIFS(Mountserat!$L:$L, Mountserat!$B:$B, $A4, Mountserat!$D:$D, "Out Ports") + SUMIFS(Nevis!$L:$L, Nevis!$B:$B, $A4, Nevis!$D:$D, "Out Ports") + SUMIFS(NewEngland!$L:$L, NewEngland!$B:$B, $A4, NewEngland!$D:$D, "Out Ports")</f>
        <v>0</v>
      </c>
      <c r="D4">
        <f t="shared" si="0"/>
        <v>0.39</v>
      </c>
    </row>
    <row r="5" spans="1:4" x14ac:dyDescent="0.25">
      <c r="A5" t="s">
        <v>48</v>
      </c>
      <c r="B5">
        <f>SUMIFS(Antigua!$L:$L, Antigua!$B:$B, $A5, Antigua!$D:$D, "London") + SUMIFS(Barbados!$L:$L, Barbados!$B:$B, $A5, Barbados!$D:$D, "London") + SUMIFS(Bermuda!$L:$L, Bermuda!$B:$B, $A5, Bermuda!$D:$D, "London") + SUMIFS(Carolina!$L:$L, Carolina!$B:$B, $A5, Carolina!$D:$D, "London") + SUMIFS(Jamaica!$L:$L, Jamaica!$B:$B, $A5, Jamaica!$D:$D, "London") + SUMIFS(Mountserat!$L:$L, Mountserat!$B:$B, $A5, Mountserat!$D:$D, "London") + SUMIFS(Nevis!$L:$L, Nevis!$B:$B, $A5, Nevis!$D:$D, "London") + SUMIFS(NewEngland!$L:$L, NewEngland!$B:$B, $A5, NewEngland!$D:$D, "London")</f>
        <v>0</v>
      </c>
      <c r="C5">
        <f>SUMIFS(Antigua!$L:$L, Antigua!$B:$B, $A5, Antigua!$D:$D, "Out Ports") + SUMIFS(Barbados!$L:$L, Barbados!$B:$B, $A5, Barbados!$D:$D, "Out Ports") + SUMIFS(Bermuda!$L:$L, Bermuda!$B:$B, $A5, Bermuda!$D:$D, "Out Ports") + SUMIFS(Carolina!$L:$L, Carolina!$B:$B, $A5, Carolina!$D:$D, "Out Ports") + SUMIFS(Jamaica!$L:$L, Jamaica!$B:$B, $A5, Jamaica!$D:$D, "Out Ports") + SUMIFS(Mountserat!$L:$L, Mountserat!$B:$B, $A5, Mountserat!$D:$D, "Out Ports") + SUMIFS(Nevis!$L:$L, Nevis!$B:$B, $A5, Nevis!$D:$D, "Out Ports") + SUMIFS(NewEngland!$L:$L, NewEngland!$B:$B, $A5, NewEngland!$D:$D, "Out Ports")</f>
        <v>0</v>
      </c>
      <c r="D5">
        <f t="shared" si="0"/>
        <v>0</v>
      </c>
    </row>
    <row r="6" spans="1:4" x14ac:dyDescent="0.25">
      <c r="A6" t="s">
        <v>15</v>
      </c>
      <c r="B6">
        <f>SUMIFS(Antigua!$L:$L, Antigua!$B:$B, $A6, Antigua!$D:$D, "London") + SUMIFS(Barbados!$L:$L, Barbados!$B:$B, $A6, Barbados!$D:$D, "London") + SUMIFS(Bermuda!$L:$L, Bermuda!$B:$B, $A6, Bermuda!$D:$D, "London") + SUMIFS(Carolina!$L:$L, Carolina!$B:$B, $A6, Carolina!$D:$D, "London") + SUMIFS(Jamaica!$L:$L, Jamaica!$B:$B, $A6, Jamaica!$D:$D, "London") + SUMIFS(Mountserat!$L:$L, Mountserat!$B:$B, $A6, Mountserat!$D:$D, "London") + SUMIFS(Nevis!$L:$L, Nevis!$B:$B, $A6, Nevis!$D:$D, "London") + SUMIFS(NewEngland!$L:$L, NewEngland!$B:$B, $A6, NewEngland!$D:$D, "London")</f>
        <v>11352.3</v>
      </c>
      <c r="C6">
        <f>SUMIFS(Antigua!$L:$L, Antigua!$B:$B, $A6, Antigua!$D:$D, "Out Ports") + SUMIFS(Barbados!$L:$L, Barbados!$B:$B, $A6, Barbados!$D:$D, "Out Ports") + SUMIFS(Bermuda!$L:$L, Bermuda!$B:$B, $A6, Bermuda!$D:$D, "Out Ports") + SUMIFS(Carolina!$L:$L, Carolina!$B:$B, $A6, Carolina!$D:$D, "Out Ports") + SUMIFS(Jamaica!$L:$L, Jamaica!$B:$B, $A6, Jamaica!$D:$D, "Out Ports") + SUMIFS(Mountserat!$L:$L, Mountserat!$B:$B, $A6, Mountserat!$D:$D, "Out Ports") + SUMIFS(Nevis!$L:$L, Nevis!$B:$B, $A6, Nevis!$D:$D, "Out Ports") + SUMIFS(NewEngland!$L:$L, NewEngland!$B:$B, $A6, NewEngland!$D:$D, "Out Ports")</f>
        <v>5250.9982142857143</v>
      </c>
      <c r="D6">
        <f t="shared" si="0"/>
        <v>16603.3</v>
      </c>
    </row>
    <row r="7" spans="1:4" x14ac:dyDescent="0.25">
      <c r="A7" t="s">
        <v>49</v>
      </c>
      <c r="B7">
        <f>SUMIFS(Antigua!$L:$L, Antigua!$B:$B, $A7, Antigua!$D:$D, "London") + SUMIFS(Barbados!$L:$L, Barbados!$B:$B, $A7, Barbados!$D:$D, "London") + SUMIFS(Bermuda!$L:$L, Bermuda!$B:$B, $A7, Bermuda!$D:$D, "London") + SUMIFS(Carolina!$L:$L, Carolina!$B:$B, $A7, Carolina!$D:$D, "London") + SUMIFS(Jamaica!$L:$L, Jamaica!$B:$B, $A7, Jamaica!$D:$D, "London") + SUMIFS(Mountserat!$L:$L, Mountserat!$B:$B, $A7, Mountserat!$D:$D, "London") + SUMIFS(Nevis!$L:$L, Nevis!$B:$B, $A7, Nevis!$D:$D, "London") + SUMIFS(NewEngland!$L:$L, NewEngland!$B:$B, $A7, NewEngland!$D:$D, "London")</f>
        <v>0</v>
      </c>
      <c r="C7">
        <f>SUMIFS(Antigua!$L:$L, Antigua!$B:$B, $A7, Antigua!$D:$D, "Out Ports") + SUMIFS(Barbados!$L:$L, Barbados!$B:$B, $A7, Barbados!$D:$D, "Out Ports") + SUMIFS(Bermuda!$L:$L, Bermuda!$B:$B, $A7, Bermuda!$D:$D, "Out Ports") + SUMIFS(Carolina!$L:$L, Carolina!$B:$B, $A7, Carolina!$D:$D, "Out Ports") + SUMIFS(Jamaica!$L:$L, Jamaica!$B:$B, $A7, Jamaica!$D:$D, "Out Ports") + SUMIFS(Mountserat!$L:$L, Mountserat!$B:$B, $A7, Mountserat!$D:$D, "Out Ports") + SUMIFS(Nevis!$L:$L, Nevis!$B:$B, $A7, Nevis!$D:$D, "Out Ports") + SUMIFS(NewEngland!$L:$L, NewEngland!$B:$B, $A7, NewEngland!$D:$D, "Out Ports")</f>
        <v>0</v>
      </c>
      <c r="D7">
        <f t="shared" si="0"/>
        <v>0</v>
      </c>
    </row>
    <row r="8" spans="1:4" x14ac:dyDescent="0.25">
      <c r="A8" t="s">
        <v>12</v>
      </c>
      <c r="B8">
        <f>SUMIFS(Antigua!$L:$L, Antigua!$B:$B, $A8, Antigua!$D:$D, "London") + SUMIFS(Barbados!$L:$L, Barbados!$B:$B, $A8, Barbados!$D:$D, "London") + SUMIFS(Bermuda!$L:$L, Bermuda!$B:$B, $A8, Bermuda!$D:$D, "London") + SUMIFS(Carolina!$L:$L, Carolina!$B:$B, $A8, Carolina!$D:$D, "London") + SUMIFS(Jamaica!$L:$L, Jamaica!$B:$B, $A8, Jamaica!$D:$D, "London") + SUMIFS(Mountserat!$L:$L, Mountserat!$B:$B, $A8, Mountserat!$D:$D, "London") + SUMIFS(Nevis!$L:$L, Nevis!$B:$B, $A8, Nevis!$D:$D, "London") + SUMIFS(NewEngland!$L:$L, NewEngland!$B:$B, $A8, NewEngland!$D:$D, "London")</f>
        <v>8.0357142857142849E-3</v>
      </c>
      <c r="C8">
        <f>SUMIFS(Antigua!$L:$L, Antigua!$B:$B, $A8, Antigua!$D:$D, "Out Ports") + SUMIFS(Barbados!$L:$L, Barbados!$B:$B, $A8, Barbados!$D:$D, "Out Ports") + SUMIFS(Bermuda!$L:$L, Bermuda!$B:$B, $A8, Bermuda!$D:$D, "Out Ports") + SUMIFS(Carolina!$L:$L, Carolina!$B:$B, $A8, Carolina!$D:$D, "Out Ports") + SUMIFS(Jamaica!$L:$L, Jamaica!$B:$B, $A8, Jamaica!$D:$D, "Out Ports") + SUMIFS(Mountserat!$L:$L, Mountserat!$B:$B, $A8, Mountserat!$D:$D, "Out Ports") + SUMIFS(Nevis!$L:$L, Nevis!$B:$B, $A8, Nevis!$D:$D, "Out Ports") + SUMIFS(NewEngland!$L:$L, NewEngland!$B:$B, $A8, NewEngland!$D:$D, "Out Ports")</f>
        <v>0.13258928571428572</v>
      </c>
      <c r="D8">
        <f t="shared" si="0"/>
        <v>0.14000000000000001</v>
      </c>
    </row>
    <row r="9" spans="1:4" x14ac:dyDescent="0.25">
      <c r="A9" t="s">
        <v>50</v>
      </c>
      <c r="B9">
        <f>SUMIFS(Antigua!$L:$L, Antigua!$B:$B, $A9, Antigua!$D:$D, "London") + SUMIFS(Barbados!$L:$L, Barbados!$B:$B, $A9, Barbados!$D:$D, "London") + SUMIFS(Bermuda!$L:$L, Bermuda!$B:$B, $A9, Bermuda!$D:$D, "London") + SUMIFS(Carolina!$L:$L, Carolina!$B:$B, $A9, Carolina!$D:$D, "London") + SUMIFS(Jamaica!$L:$L, Jamaica!$B:$B, $A9, Jamaica!$D:$D, "London") + SUMIFS(Mountserat!$L:$L, Mountserat!$B:$B, $A9, Mountserat!$D:$D, "London") + SUMIFS(Nevis!$L:$L, Nevis!$B:$B, $A9, Nevis!$D:$D, "London") + SUMIFS(NewEngland!$L:$L, NewEngland!$B:$B, $A9, NewEngland!$D:$D, "London")</f>
        <v>0</v>
      </c>
      <c r="C9">
        <f>SUMIFS(Antigua!$L:$L, Antigua!$B:$B, $A9, Antigua!$D:$D, "Out Ports") + SUMIFS(Barbados!$L:$L, Barbados!$B:$B, $A9, Barbados!$D:$D, "Out Ports") + SUMIFS(Bermuda!$L:$L, Bermuda!$B:$B, $A9, Bermuda!$D:$D, "Out Ports") + SUMIFS(Carolina!$L:$L, Carolina!$B:$B, $A9, Carolina!$D:$D, "Out Ports") + SUMIFS(Jamaica!$L:$L, Jamaica!$B:$B, $A9, Jamaica!$D:$D, "Out Ports") + SUMIFS(Mountserat!$L:$L, Mountserat!$B:$B, $A9, Mountserat!$D:$D, "Out Ports") + SUMIFS(Nevis!$L:$L, Nevis!$B:$B, $A9, Nevis!$D:$D, "Out Ports") + SUMIFS(NewEngland!$L:$L, NewEngland!$B:$B, $A9, NewEngland!$D:$D, "Out Ports")</f>
        <v>0</v>
      </c>
      <c r="D9">
        <f t="shared" si="0"/>
        <v>0</v>
      </c>
    </row>
    <row r="10" spans="1:4" x14ac:dyDescent="0.25">
      <c r="A10" t="s">
        <v>39</v>
      </c>
      <c r="B10">
        <f>SUMIFS(Antigua!$L:$L, Antigua!$B:$B, $A10, Antigua!$D:$D, "London") + SUMIFS(Barbados!$L:$L, Barbados!$B:$B, $A10, Barbados!$D:$D, "London") + SUMIFS(Bermuda!$L:$L, Bermuda!$B:$B, $A10, Bermuda!$D:$D, "London") + SUMIFS(Carolina!$L:$L, Carolina!$B:$B, $A10, Carolina!$D:$D, "London") + SUMIFS(Jamaica!$L:$L, Jamaica!$B:$B, $A10, Jamaica!$D:$D, "London") + SUMIFS(Mountserat!$L:$L, Mountserat!$B:$B, $A10, Mountserat!$D:$D, "London") + SUMIFS(Nevis!$L:$L, Nevis!$B:$B, $A10, Nevis!$D:$D, "London") + SUMIFS(NewEngland!$L:$L, NewEngland!$B:$B, $A10, NewEngland!$D:$D, "London")</f>
        <v>71.500892857142858</v>
      </c>
      <c r="C10">
        <f>SUMIFS(Antigua!$L:$L, Antigua!$B:$B, $A10, Antigua!$D:$D, "Out Ports") + SUMIFS(Barbados!$L:$L, Barbados!$B:$B, $A10, Barbados!$D:$D, "Out Ports") + SUMIFS(Bermuda!$L:$L, Bermuda!$B:$B, $A10, Bermuda!$D:$D, "Out Ports") + SUMIFS(Carolina!$L:$L, Carolina!$B:$B, $A10, Carolina!$D:$D, "Out Ports") + SUMIFS(Jamaica!$L:$L, Jamaica!$B:$B, $A10, Jamaica!$D:$D, "Out Ports") + SUMIFS(Mountserat!$L:$L, Mountserat!$B:$B, $A10, Mountserat!$D:$D, "Out Ports") + SUMIFS(Nevis!$L:$L, Nevis!$B:$B, $A10, Nevis!$D:$D, "Out Ports") + SUMIFS(NewEngland!$L:$L, NewEngland!$B:$B, $A10, NewEngland!$D:$D, "Out Ports")</f>
        <v>47.311160714285705</v>
      </c>
      <c r="D10">
        <f t="shared" si="0"/>
        <v>118.81</v>
      </c>
    </row>
    <row r="11" spans="1:4" x14ac:dyDescent="0.25">
      <c r="A11" t="s">
        <v>9</v>
      </c>
      <c r="B11">
        <f>SUMIFS(Antigua!$L:$L, Antigua!$B:$B, $A11, Antigua!$D:$D, "London") + SUMIFS(Barbados!$L:$L, Barbados!$B:$B, $A11, Barbados!$D:$D, "London") + SUMIFS(Bermuda!$L:$L, Bermuda!$B:$B, $A11, Bermuda!$D:$D, "London") + SUMIFS(Carolina!$L:$L, Carolina!$B:$B, $A11, Carolina!$D:$D, "London") + SUMIFS(Jamaica!$L:$L, Jamaica!$B:$B, $A11, Jamaica!$D:$D, "London") + SUMIFS(Mountserat!$L:$L, Mountserat!$B:$B, $A11, Mountserat!$D:$D, "London") + SUMIFS(Nevis!$L:$L, Nevis!$B:$B, $A11, Nevis!$D:$D, "London") + SUMIFS(NewEngland!$L:$L, NewEngland!$B:$B, $A11, NewEngland!$D:$D, "London")</f>
        <v>122.46964285714286</v>
      </c>
      <c r="C11">
        <f>SUMIFS(Antigua!$L:$L, Antigua!$B:$B, $A11, Antigua!$D:$D, "Out Ports") + SUMIFS(Barbados!$L:$L, Barbados!$B:$B, $A11, Barbados!$D:$D, "Out Ports") + SUMIFS(Bermuda!$L:$L, Bermuda!$B:$B, $A11, Bermuda!$D:$D, "Out Ports") + SUMIFS(Carolina!$L:$L, Carolina!$B:$B, $A11, Carolina!$D:$D, "Out Ports") + SUMIFS(Jamaica!$L:$L, Jamaica!$B:$B, $A11, Jamaica!$D:$D, "Out Ports") + SUMIFS(Mountserat!$L:$L, Mountserat!$B:$B, $A11, Mountserat!$D:$D, "Out Ports") + SUMIFS(Nevis!$L:$L, Nevis!$B:$B, $A11, Nevis!$D:$D, "Out Ports") + SUMIFS(NewEngland!$L:$L, NewEngland!$B:$B, $A11, NewEngland!$D:$D, "Out Ports")</f>
        <v>115.75491071428573</v>
      </c>
      <c r="D11">
        <f t="shared" si="0"/>
        <v>238.22</v>
      </c>
    </row>
    <row r="12" spans="1:4" x14ac:dyDescent="0.25">
      <c r="A12" t="s">
        <v>13</v>
      </c>
      <c r="B12">
        <f>SUMIFS(Antigua!$L:$L, Antigua!$B:$B, $A12, Antigua!$D:$D, "London") + SUMIFS(Barbados!$L:$L, Barbados!$B:$B, $A12, Barbados!$D:$D, "London") + SUMIFS(Bermuda!$L:$L, Bermuda!$B:$B, $A12, Bermuda!$D:$D, "London") + SUMIFS(Carolina!$L:$L, Carolina!$B:$B, $A12, Carolina!$D:$D, "London") + SUMIFS(Jamaica!$L:$L, Jamaica!$B:$B, $A12, Jamaica!$D:$D, "London") + SUMIFS(Mountserat!$L:$L, Mountserat!$B:$B, $A12, Mountserat!$D:$D, "London") + SUMIFS(Nevis!$L:$L, Nevis!$B:$B, $A12, Nevis!$D:$D, "London") + SUMIFS(NewEngland!$L:$L, NewEngland!$B:$B, $A12, NewEngland!$D:$D, "London")</f>
        <v>326.67500000000007</v>
      </c>
      <c r="C12">
        <f>SUMIFS(Antigua!$L:$L, Antigua!$B:$B, $A12, Antigua!$D:$D, "Out Ports") + SUMIFS(Barbados!$L:$L, Barbados!$B:$B, $A12, Barbados!$D:$D, "Out Ports") + SUMIFS(Bermuda!$L:$L, Bermuda!$B:$B, $A12, Bermuda!$D:$D, "Out Ports") + SUMIFS(Carolina!$L:$L, Carolina!$B:$B, $A12, Carolina!$D:$D, "Out Ports") + SUMIFS(Jamaica!$L:$L, Jamaica!$B:$B, $A12, Jamaica!$D:$D, "Out Ports") + SUMIFS(Mountserat!$L:$L, Mountserat!$B:$B, $A12, Mountserat!$D:$D, "Out Ports") + SUMIFS(Nevis!$L:$L, Nevis!$B:$B, $A12, Nevis!$D:$D, "Out Ports") + SUMIFS(NewEngland!$L:$L, NewEngland!$B:$B, $A12, NewEngland!$D:$D, "Out Ports")</f>
        <v>81.850446428571445</v>
      </c>
      <c r="D12">
        <f t="shared" si="0"/>
        <v>408.53</v>
      </c>
    </row>
    <row r="13" spans="1:4" x14ac:dyDescent="0.25">
      <c r="A13" t="s">
        <v>23</v>
      </c>
      <c r="B13">
        <f>SUMIFS(Antigua!$L:$L, Antigua!$B:$B, $A13, Antigua!$D:$D, "London") + SUMIFS(Barbados!$L:$L, Barbados!$B:$B, $A13, Barbados!$D:$D, "London") + SUMIFS(Bermuda!$L:$L, Bermuda!$B:$B, $A13, Bermuda!$D:$D, "London") + SUMIFS(Carolina!$L:$L, Carolina!$B:$B, $A13, Carolina!$D:$D, "London") + SUMIFS(Jamaica!$L:$L, Jamaica!$B:$B, $A13, Jamaica!$D:$D, "London") + SUMIFS(Mountserat!$L:$L, Mountserat!$B:$B, $A13, Mountserat!$D:$D, "London") + SUMIFS(Nevis!$L:$L, Nevis!$B:$B, $A13, Nevis!$D:$D, "London") + SUMIFS(NewEngland!$L:$L, NewEngland!$B:$B, $A13, NewEngland!$D:$D, "London")</f>
        <v>1.4544642857142855</v>
      </c>
      <c r="C13">
        <f>SUMIFS(Antigua!$L:$L, Antigua!$B:$B, $A13, Antigua!$D:$D, "Out Ports") + SUMIFS(Barbados!$L:$L, Barbados!$B:$B, $A13, Barbados!$D:$D, "Out Ports") + SUMIFS(Bermuda!$L:$L, Bermuda!$B:$B, $A13, Bermuda!$D:$D, "Out Ports") + SUMIFS(Carolina!$L:$L, Carolina!$B:$B, $A13, Carolina!$D:$D, "Out Ports") + SUMIFS(Jamaica!$L:$L, Jamaica!$B:$B, $A13, Jamaica!$D:$D, "Out Ports") + SUMIFS(Mountserat!$L:$L, Mountserat!$B:$B, $A13, Mountserat!$D:$D, "Out Ports") + SUMIFS(Nevis!$L:$L, Nevis!$B:$B, $A13, Nevis!$D:$D, "Out Ports") + SUMIFS(NewEngland!$L:$L, NewEngland!$B:$B, $A13, NewEngland!$D:$D, "Out Ports")</f>
        <v>9.1361607142857135</v>
      </c>
      <c r="D13">
        <f t="shared" si="0"/>
        <v>10.59</v>
      </c>
    </row>
    <row r="14" spans="1:4" x14ac:dyDescent="0.25">
      <c r="A14" t="s">
        <v>8</v>
      </c>
      <c r="B14">
        <f>SUMIFS(Antigua!$L:$L, Antigua!$B:$B, $A14, Antigua!$D:$D, "London") + SUMIFS(Barbados!$L:$L, Barbados!$B:$B, $A14, Barbados!$D:$D, "London") + SUMIFS(Bermuda!$L:$L, Bermuda!$B:$B, $A14, Bermuda!$D:$D, "London") + SUMIFS(Carolina!$L:$L, Carolina!$B:$B, $A14, Carolina!$D:$D, "London") + SUMIFS(Jamaica!$L:$L, Jamaica!$B:$B, $A14, Jamaica!$D:$D, "London") + SUMIFS(Mountserat!$L:$L, Mountserat!$B:$B, $A14, Mountserat!$D:$D, "London") + SUMIFS(Nevis!$L:$L, Nevis!$B:$B, $A14, Nevis!$D:$D, "London") + SUMIFS(NewEngland!$L:$L, NewEngland!$B:$B, $A14, NewEngland!$D:$D, "London")</f>
        <v>19.202678571428571</v>
      </c>
      <c r="C14">
        <f>SUMIFS(Antigua!$L:$L, Antigua!$B:$B, $A14, Antigua!$D:$D, "Out Ports") + SUMIFS(Barbados!$L:$L, Barbados!$B:$B, $A14, Barbados!$D:$D, "Out Ports") + SUMIFS(Bermuda!$L:$L, Bermuda!$B:$B, $A14, Bermuda!$D:$D, "Out Ports") + SUMIFS(Carolina!$L:$L, Carolina!$B:$B, $A14, Carolina!$D:$D, "Out Ports") + SUMIFS(Jamaica!$L:$L, Jamaica!$B:$B, $A14, Jamaica!$D:$D, "Out Ports") + SUMIFS(Mountserat!$L:$L, Mountserat!$B:$B, $A14, Mountserat!$D:$D, "Out Ports") + SUMIFS(Nevis!$L:$L, Nevis!$B:$B, $A14, Nevis!$D:$D, "Out Ports") + SUMIFS(NewEngland!$L:$L, NewEngland!$B:$B, $A14, NewEngland!$D:$D, "Out Ports")</f>
        <v>32.22053571428571</v>
      </c>
      <c r="D14">
        <f t="shared" si="0"/>
        <v>51.42</v>
      </c>
    </row>
    <row r="15" spans="1:4" x14ac:dyDescent="0.25">
      <c r="A15" t="s">
        <v>34</v>
      </c>
      <c r="B15">
        <f>SUMIFS(Antigua!$L:$L, Antigua!$B:$B, $A15, Antigua!$D:$D, "London") + SUMIFS(Barbados!$L:$L, Barbados!$B:$B, $A15, Barbados!$D:$D, "London") + SUMIFS(Bermuda!$L:$L, Bermuda!$B:$B, $A15, Bermuda!$D:$D, "London") + SUMIFS(Carolina!$L:$L, Carolina!$B:$B, $A15, Carolina!$D:$D, "London") + SUMIFS(Jamaica!$L:$L, Jamaica!$B:$B, $A15, Jamaica!$D:$D, "London") + SUMIFS(Mountserat!$L:$L, Mountserat!$B:$B, $A15, Mountserat!$D:$D, "London") + SUMIFS(Nevis!$L:$L, Nevis!$B:$B, $A15, Nevis!$D:$D, "London") + SUMIFS(NewEngland!$L:$L, NewEngland!$B:$B, $A15, NewEngland!$D:$D, "London")</f>
        <v>176.46651785714286</v>
      </c>
      <c r="C15">
        <f>SUMIFS(Antigua!$L:$L, Antigua!$B:$B, $A15, Antigua!$D:$D, "Out Ports") + SUMIFS(Barbados!$L:$L, Barbados!$B:$B, $A15, Barbados!$D:$D, "Out Ports") + SUMIFS(Bermuda!$L:$L, Bermuda!$B:$B, $A15, Bermuda!$D:$D, "Out Ports") + SUMIFS(Carolina!$L:$L, Carolina!$B:$B, $A15, Carolina!$D:$D, "Out Ports") + SUMIFS(Jamaica!$L:$L, Jamaica!$B:$B, $A15, Jamaica!$D:$D, "Out Ports") + SUMIFS(Mountserat!$L:$L, Mountserat!$B:$B, $A15, Mountserat!$D:$D, "Out Ports") + SUMIFS(Nevis!$L:$L, Nevis!$B:$B, $A15, Nevis!$D:$D, "Out Ports") + SUMIFS(NewEngland!$L:$L, NewEngland!$B:$B, $A15, NewEngland!$D:$D, "Out Ports")</f>
        <v>58.857589285714276</v>
      </c>
      <c r="D15">
        <f t="shared" si="0"/>
        <v>235.32</v>
      </c>
    </row>
    <row r="16" spans="1:4" x14ac:dyDescent="0.25">
      <c r="A16" t="s">
        <v>19</v>
      </c>
      <c r="B16">
        <f>SUMIFS(Antigua!$L:$L, Antigua!$B:$B, $A16, Antigua!$D:$D, "London") + SUMIFS(Barbados!$L:$L, Barbados!$B:$B, $A16, Barbados!$D:$D, "London") + SUMIFS(Bermuda!$L:$L, Bermuda!$B:$B, $A16, Bermuda!$D:$D, "London") + SUMIFS(Carolina!$L:$L, Carolina!$B:$B, $A16, Carolina!$D:$D, "London") + SUMIFS(Jamaica!$L:$L, Jamaica!$B:$B, $A16, Jamaica!$D:$D, "London") + SUMIFS(Mountserat!$L:$L, Mountserat!$B:$B, $A16, Mountserat!$D:$D, "London") + SUMIFS(Nevis!$L:$L, Nevis!$B:$B, $A16, Nevis!$D:$D, "London") + SUMIFS(NewEngland!$L:$L, NewEngland!$B:$B, $A16, NewEngland!$D:$D, "London")</f>
        <v>31.847321428571426</v>
      </c>
      <c r="C16">
        <f>SUMIFS(Antigua!$L:$L, Antigua!$B:$B, $A16, Antigua!$D:$D, "Out Ports") + SUMIFS(Barbados!$L:$L, Barbados!$B:$B, $A16, Barbados!$D:$D, "Out Ports") + SUMIFS(Bermuda!$L:$L, Bermuda!$B:$B, $A16, Bermuda!$D:$D, "Out Ports") + SUMIFS(Carolina!$L:$L, Carolina!$B:$B, $A16, Carolina!$D:$D, "Out Ports") + SUMIFS(Jamaica!$L:$L, Jamaica!$B:$B, $A16, Jamaica!$D:$D, "Out Ports") + SUMIFS(Mountserat!$L:$L, Mountserat!$B:$B, $A16, Mountserat!$D:$D, "Out Ports") + SUMIFS(Nevis!$L:$L, Nevis!$B:$B, $A16, Nevis!$D:$D, "Out Ports") + SUMIFS(NewEngland!$L:$L, NewEngland!$B:$B, $A16, NewEngland!$D:$D, "Out Ports")</f>
        <v>40.128571428571426</v>
      </c>
      <c r="D16">
        <f t="shared" si="0"/>
        <v>71.98</v>
      </c>
    </row>
    <row r="17" spans="1:4" x14ac:dyDescent="0.25">
      <c r="A17" t="s">
        <v>14</v>
      </c>
      <c r="B17">
        <f>SUMIFS(Antigua!$L:$L, Antigua!$B:$B, $A17, Antigua!$D:$D, "London") + SUMIFS(Barbados!$L:$L, Barbados!$B:$B, $A17, Barbados!$D:$D, "London") + SUMIFS(Bermuda!$L:$L, Bermuda!$B:$B, $A17, Bermuda!$D:$D, "London") + SUMIFS(Carolina!$L:$L, Carolina!$B:$B, $A17, Carolina!$D:$D, "London") + SUMIFS(Jamaica!$L:$L, Jamaica!$B:$B, $A17, Jamaica!$D:$D, "London") + SUMIFS(Mountserat!$L:$L, Mountserat!$B:$B, $A17, Mountserat!$D:$D, "London") + SUMIFS(Nevis!$L:$L, Nevis!$B:$B, $A17, Nevis!$D:$D, "London") + SUMIFS(NewEngland!$L:$L, NewEngland!$B:$B, $A17, NewEngland!$D:$D, "London")</f>
        <v>65.115625000000009</v>
      </c>
      <c r="C17">
        <f>SUMIFS(Antigua!$L:$L, Antigua!$B:$B, $A17, Antigua!$D:$D, "Out Ports") + SUMIFS(Barbados!$L:$L, Barbados!$B:$B, $A17, Barbados!$D:$D, "Out Ports") + SUMIFS(Bermuda!$L:$L, Bermuda!$B:$B, $A17, Bermuda!$D:$D, "Out Ports") + SUMIFS(Carolina!$L:$L, Carolina!$B:$B, $A17, Carolina!$D:$D, "Out Ports") + SUMIFS(Jamaica!$L:$L, Jamaica!$B:$B, $A17, Jamaica!$D:$D, "Out Ports") + SUMIFS(Mountserat!$L:$L, Mountserat!$B:$B, $A17, Mountserat!$D:$D, "Out Ports") + SUMIFS(Nevis!$L:$L, Nevis!$B:$B, $A17, Nevis!$D:$D, "Out Ports") + SUMIFS(NewEngland!$L:$L, NewEngland!$B:$B, $A17, NewEngland!$D:$D, "Out Ports")</f>
        <v>54.823214285714286</v>
      </c>
      <c r="D17">
        <f t="shared" si="0"/>
        <v>119.94</v>
      </c>
    </row>
    <row r="18" spans="1:4" x14ac:dyDescent="0.25">
      <c r="A18" t="s">
        <v>30</v>
      </c>
      <c r="B18">
        <f>SUMIFS(Antigua!$L:$L, Antigua!$B:$B, $A18, Antigua!$D:$D, "London") + SUMIFS(Barbados!$L:$L, Barbados!$B:$B, $A18, Barbados!$D:$D, "London") + SUMIFS(Bermuda!$L:$L, Bermuda!$B:$B, $A18, Bermuda!$D:$D, "London") + SUMIFS(Carolina!$L:$L, Carolina!$B:$B, $A18, Carolina!$D:$D, "London") + SUMIFS(Jamaica!$L:$L, Jamaica!$B:$B, $A18, Jamaica!$D:$D, "London") + SUMIFS(Mountserat!$L:$L, Mountserat!$B:$B, $A18, Mountserat!$D:$D, "London") + SUMIFS(Nevis!$L:$L, Nevis!$B:$B, $A18, Nevis!$D:$D, "London") + SUMIFS(NewEngland!$L:$L, NewEngland!$B:$B, $A18, NewEngland!$D:$D, "London")</f>
        <v>26.183035714285715</v>
      </c>
      <c r="C18">
        <f>SUMIFS(Antigua!$L:$L, Antigua!$B:$B, $A18, Antigua!$D:$D, "Out Ports") + SUMIFS(Barbados!$L:$L, Barbados!$B:$B, $A18, Barbados!$D:$D, "Out Ports") + SUMIFS(Bermuda!$L:$L, Bermuda!$B:$B, $A18, Bermuda!$D:$D, "Out Ports") + SUMIFS(Carolina!$L:$L, Carolina!$B:$B, $A18, Carolina!$D:$D, "Out Ports") + SUMIFS(Jamaica!$L:$L, Jamaica!$B:$B, $A18, Jamaica!$D:$D, "Out Ports") + SUMIFS(Mountserat!$L:$L, Mountserat!$B:$B, $A18, Mountserat!$D:$D, "Out Ports") + SUMIFS(Nevis!$L:$L, Nevis!$B:$B, $A18, Nevis!$D:$D, "Out Ports") + SUMIFS(NewEngland!$L:$L, NewEngland!$B:$B, $A18, NewEngland!$D:$D, "Out Ports")</f>
        <v>25.238839285714288</v>
      </c>
      <c r="D18">
        <f t="shared" si="0"/>
        <v>51.42</v>
      </c>
    </row>
    <row r="19" spans="1:4" x14ac:dyDescent="0.25">
      <c r="A19" t="s">
        <v>25</v>
      </c>
      <c r="B19">
        <f>SUMIFS(Antigua!$L:$L, Antigua!$B:$B, $A19, Antigua!$D:$D, "London") + SUMIFS(Barbados!$L:$L, Barbados!$B:$B, $A19, Barbados!$D:$D, "London") + SUMIFS(Bermuda!$L:$L, Bermuda!$B:$B, $A19, Bermuda!$D:$D, "London") + SUMIFS(Carolina!$L:$L, Carolina!$B:$B, $A19, Carolina!$D:$D, "London") + SUMIFS(Jamaica!$L:$L, Jamaica!$B:$B, $A19, Jamaica!$D:$D, "London") + SUMIFS(Mountserat!$L:$L, Mountserat!$B:$B, $A19, Mountserat!$D:$D, "London") + SUMIFS(Nevis!$L:$L, Nevis!$B:$B, $A19, Nevis!$D:$D, "London") + SUMIFS(NewEngland!$L:$L, NewEngland!$B:$B, $A19, NewEngland!$D:$D, "London")</f>
        <v>145.08839285714285</v>
      </c>
      <c r="C19">
        <f>SUMIFS(Antigua!$L:$L, Antigua!$B:$B, $A19, Antigua!$D:$D, "Out Ports") + SUMIFS(Barbados!$L:$L, Barbados!$B:$B, $A19, Barbados!$D:$D, "Out Ports") + SUMIFS(Bermuda!$L:$L, Bermuda!$B:$B, $A19, Bermuda!$D:$D, "Out Ports") + SUMIFS(Carolina!$L:$L, Carolina!$B:$B, $A19, Carolina!$D:$D, "Out Ports") + SUMIFS(Jamaica!$L:$L, Jamaica!$B:$B, $A19, Jamaica!$D:$D, "Out Ports") + SUMIFS(Mountserat!$L:$L, Mountserat!$B:$B, $A19, Mountserat!$D:$D, "Out Ports") + SUMIFS(Nevis!$L:$L, Nevis!$B:$B, $A19, Nevis!$D:$D, "Out Ports") + SUMIFS(NewEngland!$L:$L, NewEngland!$B:$B, $A19, NewEngland!$D:$D, "Out Ports")</f>
        <v>300.62544642857142</v>
      </c>
      <c r="D19">
        <f t="shared" si="0"/>
        <v>445.71</v>
      </c>
    </row>
    <row r="20" spans="1:4" x14ac:dyDescent="0.25">
      <c r="A20" t="s">
        <v>20</v>
      </c>
      <c r="B20">
        <f>SUMIFS(Antigua!$L:$L, Antigua!$B:$B, $A20, Antigua!$D:$D, "London") + SUMIFS(Barbados!$L:$L, Barbados!$B:$B, $A20, Barbados!$D:$D, "London") + SUMIFS(Bermuda!$L:$L, Bermuda!$B:$B, $A20, Bermuda!$D:$D, "London") + SUMIFS(Carolina!$L:$L, Carolina!$B:$B, $A20, Carolina!$D:$D, "London") + SUMIFS(Jamaica!$L:$L, Jamaica!$B:$B, $A20, Jamaica!$D:$D, "London") + SUMIFS(Mountserat!$L:$L, Mountserat!$B:$B, $A20, Mountserat!$D:$D, "London") + SUMIFS(Nevis!$L:$L, Nevis!$B:$B, $A20, Nevis!$D:$D, "London") + SUMIFS(NewEngland!$L:$L, NewEngland!$B:$B, $A20, NewEngland!$D:$D, "London")</f>
        <v>59.458928571428572</v>
      </c>
      <c r="C20">
        <f>SUMIFS(Antigua!$L:$L, Antigua!$B:$B, $A20, Antigua!$D:$D, "Out Ports") + SUMIFS(Barbados!$L:$L, Barbados!$B:$B, $A20, Barbados!$D:$D, "Out Ports") + SUMIFS(Bermuda!$L:$L, Bermuda!$B:$B, $A20, Bermuda!$D:$D, "Out Ports") + SUMIFS(Carolina!$L:$L, Carolina!$B:$B, $A20, Carolina!$D:$D, "Out Ports") + SUMIFS(Jamaica!$L:$L, Jamaica!$B:$B, $A20, Jamaica!$D:$D, "Out Ports") + SUMIFS(Mountserat!$L:$L, Mountserat!$B:$B, $A20, Mountserat!$D:$D, "Out Ports") + SUMIFS(Nevis!$L:$L, Nevis!$B:$B, $A20, Nevis!$D:$D, "Out Ports") + SUMIFS(NewEngland!$L:$L, NewEngland!$B:$B, $A20, NewEngland!$D:$D, "Out Ports")</f>
        <v>22.849107142857143</v>
      </c>
      <c r="D20">
        <f t="shared" si="0"/>
        <v>82.31</v>
      </c>
    </row>
    <row r="21" spans="1:4" x14ac:dyDescent="0.25">
      <c r="A21" t="s">
        <v>22</v>
      </c>
      <c r="B21">
        <f>SUMIFS(Antigua!$L:$L, Antigua!$B:$B, $A21, Antigua!$D:$D, "London") + SUMIFS(Barbados!$L:$L, Barbados!$B:$B, $A21, Barbados!$D:$D, "London") + SUMIFS(Bermuda!$L:$L, Bermuda!$B:$B, $A21, Bermuda!$D:$D, "London") + SUMIFS(Carolina!$L:$L, Carolina!$B:$B, $A21, Carolina!$D:$D, "London") + SUMIFS(Jamaica!$L:$L, Jamaica!$B:$B, $A21, Jamaica!$D:$D, "London") + SUMIFS(Mountserat!$L:$L, Mountserat!$B:$B, $A21, Mountserat!$D:$D, "London") + SUMIFS(Nevis!$L:$L, Nevis!$B:$B, $A21, Nevis!$D:$D, "London") + SUMIFS(NewEngland!$L:$L, NewEngland!$B:$B, $A21, NewEngland!$D:$D, "London")</f>
        <v>4.9834821428571434</v>
      </c>
      <c r="C21">
        <f>SUMIFS(Antigua!$L:$L, Antigua!$B:$B, $A21, Antigua!$D:$D, "Out Ports") + SUMIFS(Barbados!$L:$L, Barbados!$B:$B, $A21, Barbados!$D:$D, "Out Ports") + SUMIFS(Bermuda!$L:$L, Bermuda!$B:$B, $A21, Bermuda!$D:$D, "Out Ports") + SUMIFS(Carolina!$L:$L, Carolina!$B:$B, $A21, Carolina!$D:$D, "Out Ports") + SUMIFS(Jamaica!$L:$L, Jamaica!$B:$B, $A21, Jamaica!$D:$D, "Out Ports") + SUMIFS(Mountserat!$L:$L, Mountserat!$B:$B, $A21, Mountserat!$D:$D, "Out Ports") + SUMIFS(Nevis!$L:$L, Nevis!$B:$B, $A21, Nevis!$D:$D, "Out Ports") + SUMIFS(NewEngland!$L:$L, NewEngland!$B:$B, $A21, NewEngland!$D:$D, "Out Ports")</f>
        <v>0.43214285714285716</v>
      </c>
      <c r="D21">
        <f t="shared" si="0"/>
        <v>5.42</v>
      </c>
    </row>
    <row r="22" spans="1:4" x14ac:dyDescent="0.25">
      <c r="A22" t="s">
        <v>35</v>
      </c>
      <c r="B22">
        <f>SUMIFS(Antigua!$L:$L, Antigua!$B:$B, $A22, Antigua!$D:$D, "London") + SUMIFS(Barbados!$L:$L, Barbados!$B:$B, $A22, Barbados!$D:$D, "London") + SUMIFS(Bermuda!$L:$L, Bermuda!$B:$B, $A22, Bermuda!$D:$D, "London") + SUMIFS(Carolina!$L:$L, Carolina!$B:$B, $A22, Carolina!$D:$D, "London") + SUMIFS(Jamaica!$L:$L, Jamaica!$B:$B, $A22, Jamaica!$D:$D, "London") + SUMIFS(Mountserat!$L:$L, Mountserat!$B:$B, $A22, Mountserat!$D:$D, "London") + SUMIFS(Nevis!$L:$L, Nevis!$B:$B, $A22, Nevis!$D:$D, "London") + SUMIFS(NewEngland!$L:$L, NewEngland!$B:$B, $A22, NewEngland!$D:$D, "London")</f>
        <v>1.159375</v>
      </c>
      <c r="C22">
        <f>SUMIFS(Antigua!$L:$L, Antigua!$B:$B, $A22, Antigua!$D:$D, "Out Ports") + SUMIFS(Barbados!$L:$L, Barbados!$B:$B, $A22, Barbados!$D:$D, "Out Ports") + SUMIFS(Bermuda!$L:$L, Bermuda!$B:$B, $A22, Bermuda!$D:$D, "Out Ports") + SUMIFS(Carolina!$L:$L, Carolina!$B:$B, $A22, Carolina!$D:$D, "Out Ports") + SUMIFS(Jamaica!$L:$L, Jamaica!$B:$B, $A22, Jamaica!$D:$D, "Out Ports") + SUMIFS(Mountserat!$L:$L, Mountserat!$B:$B, $A22, Mountserat!$D:$D, "Out Ports") + SUMIFS(Nevis!$L:$L, Nevis!$B:$B, $A22, Nevis!$D:$D, "Out Ports") + SUMIFS(NewEngland!$L:$L, NewEngland!$B:$B, $A22, NewEngland!$D:$D, "Out Ports")</f>
        <v>0.49776785714285715</v>
      </c>
      <c r="D22">
        <f t="shared" si="0"/>
        <v>1.66</v>
      </c>
    </row>
    <row r="23" spans="1:4" x14ac:dyDescent="0.25">
      <c r="A23" t="s">
        <v>18</v>
      </c>
      <c r="B23">
        <f>SUMIFS(Antigua!$L:$L, Antigua!$B:$B, $A23, Antigua!$D:$D, "London") + SUMIFS(Barbados!$L:$L, Barbados!$B:$B, $A23, Barbados!$D:$D, "London") + SUMIFS(Bermuda!$L:$L, Bermuda!$B:$B, $A23, Bermuda!$D:$D, "London") + SUMIFS(Carolina!$L:$L, Carolina!$B:$B, $A23, Carolina!$D:$D, "London") + SUMIFS(Jamaica!$L:$L, Jamaica!$B:$B, $A23, Jamaica!$D:$D, "London") + SUMIFS(Mountserat!$L:$L, Mountserat!$B:$B, $A23, Mountserat!$D:$D, "London") + SUMIFS(Nevis!$L:$L, Nevis!$B:$B, $A23, Nevis!$D:$D, "London") + SUMIFS(NewEngland!$L:$L, NewEngland!$B:$B, $A23, NewEngland!$D:$D, "London")</f>
        <v>5.2276785714285712</v>
      </c>
      <c r="C23">
        <f>SUMIFS(Antigua!$L:$L, Antigua!$B:$B, $A23, Antigua!$D:$D, "Out Ports") + SUMIFS(Barbados!$L:$L, Barbados!$B:$B, $A23, Barbados!$D:$D, "Out Ports") + SUMIFS(Bermuda!$L:$L, Bermuda!$B:$B, $A23, Bermuda!$D:$D, "Out Ports") + SUMIFS(Carolina!$L:$L, Carolina!$B:$B, $A23, Carolina!$D:$D, "Out Ports") + SUMIFS(Jamaica!$L:$L, Jamaica!$B:$B, $A23, Jamaica!$D:$D, "Out Ports") + SUMIFS(Mountserat!$L:$L, Mountserat!$B:$B, $A23, Mountserat!$D:$D, "Out Ports") + SUMIFS(Nevis!$L:$L, Nevis!$B:$B, $A23, Nevis!$D:$D, "Out Ports") + SUMIFS(NewEngland!$L:$L, NewEngland!$B:$B, $A23, NewEngland!$D:$D, "Out Ports")</f>
        <v>5.4910714285714285E-2</v>
      </c>
      <c r="D23">
        <f t="shared" si="0"/>
        <v>5.28</v>
      </c>
    </row>
    <row r="24" spans="1:4" x14ac:dyDescent="0.25">
      <c r="A24" t="s">
        <v>21</v>
      </c>
      <c r="B24">
        <f>SUMIFS(Antigua!$L:$L, Antigua!$B:$B, $A24, Antigua!$D:$D, "London") + SUMIFS(Barbados!$L:$L, Barbados!$B:$B, $A24, Barbados!$D:$D, "London") + SUMIFS(Bermuda!$L:$L, Bermuda!$B:$B, $A24, Bermuda!$D:$D, "London") + SUMIFS(Carolina!$L:$L, Carolina!$B:$B, $A24, Carolina!$D:$D, "London") + SUMIFS(Jamaica!$L:$L, Jamaica!$B:$B, $A24, Jamaica!$D:$D, "London") + SUMIFS(Mountserat!$L:$L, Mountserat!$B:$B, $A24, Mountserat!$D:$D, "London") + SUMIFS(Nevis!$L:$L, Nevis!$B:$B, $A24, Nevis!$D:$D, "London") + SUMIFS(NewEngland!$L:$L, NewEngland!$B:$B, $A24, NewEngland!$D:$D, "London")</f>
        <v>0.37232142857142853</v>
      </c>
      <c r="C24">
        <f>SUMIFS(Antigua!$L:$L, Antigua!$B:$B, $A24, Antigua!$D:$D, "Out Ports") + SUMIFS(Barbados!$L:$L, Barbados!$B:$B, $A24, Barbados!$D:$D, "Out Ports") + SUMIFS(Bermuda!$L:$L, Bermuda!$B:$B, $A24, Bermuda!$D:$D, "Out Ports") + SUMIFS(Carolina!$L:$L, Carolina!$B:$B, $A24, Carolina!$D:$D, "Out Ports") + SUMIFS(Jamaica!$L:$L, Jamaica!$B:$B, $A24, Jamaica!$D:$D, "Out Ports") + SUMIFS(Mountserat!$L:$L, Mountserat!$B:$B, $A24, Mountserat!$D:$D, "Out Ports") + SUMIFS(Nevis!$L:$L, Nevis!$B:$B, $A24, Nevis!$D:$D, "Out Ports") + SUMIFS(NewEngland!$L:$L, NewEngland!$B:$B, $A24, NewEngland!$D:$D, "Out Ports")</f>
        <v>1.5551339285714285</v>
      </c>
      <c r="D24">
        <f t="shared" si="0"/>
        <v>1.93</v>
      </c>
    </row>
    <row r="25" spans="1:4" x14ac:dyDescent="0.25">
      <c r="A25" t="s">
        <v>16</v>
      </c>
      <c r="B25">
        <f>SUMIFS(Antigua!$L:$L, Antigua!$B:$B, $A25, Antigua!$D:$D, "London") + SUMIFS(Barbados!$L:$L, Barbados!$B:$B, $A25, Barbados!$D:$D, "London") + SUMIFS(Bermuda!$L:$L, Bermuda!$B:$B, $A25, Bermuda!$D:$D, "London") + SUMIFS(Carolina!$L:$L, Carolina!$B:$B, $A25, Carolina!$D:$D, "London") + SUMIFS(Jamaica!$L:$L, Jamaica!$B:$B, $A25, Jamaica!$D:$D, "London") + SUMIFS(Mountserat!$L:$L, Mountserat!$B:$B, $A25, Mountserat!$D:$D, "London") + SUMIFS(Nevis!$L:$L, Nevis!$B:$B, $A25, Nevis!$D:$D, "London") + SUMIFS(NewEngland!$L:$L, NewEngland!$B:$B, $A25, NewEngland!$D:$D, "London")</f>
        <v>38.521428571428572</v>
      </c>
      <c r="C25">
        <f>SUMIFS(Antigua!$L:$L, Antigua!$B:$B, $A25, Antigua!$D:$D, "Out Ports") + SUMIFS(Barbados!$L:$L, Barbados!$B:$B, $A25, Barbados!$D:$D, "Out Ports") + SUMIFS(Bermuda!$L:$L, Bermuda!$B:$B, $A25, Bermuda!$D:$D, "Out Ports") + SUMIFS(Carolina!$L:$L, Carolina!$B:$B, $A25, Carolina!$D:$D, "Out Ports") + SUMIFS(Jamaica!$L:$L, Jamaica!$B:$B, $A25, Jamaica!$D:$D, "Out Ports") + SUMIFS(Mountserat!$L:$L, Mountserat!$B:$B, $A25, Mountserat!$D:$D, "Out Ports") + SUMIFS(Nevis!$L:$L, Nevis!$B:$B, $A25, Nevis!$D:$D, "Out Ports") + SUMIFS(NewEngland!$L:$L, NewEngland!$B:$B, $A25, NewEngland!$D:$D, "Out Ports")</f>
        <v>11.288392857142858</v>
      </c>
      <c r="D25">
        <f t="shared" si="0"/>
        <v>49.81</v>
      </c>
    </row>
    <row r="26" spans="1:4" x14ac:dyDescent="0.25">
      <c r="A26" t="s">
        <v>28</v>
      </c>
      <c r="B26">
        <f>SUMIFS(Antigua!$L:$L, Antigua!$B:$B, $A26, Antigua!$D:$D, "London") + SUMIFS(Barbados!$L:$L, Barbados!$B:$B, $A26, Barbados!$D:$D, "London") + SUMIFS(Bermuda!$L:$L, Bermuda!$B:$B, $A26, Bermuda!$D:$D, "London") + SUMIFS(Carolina!$L:$L, Carolina!$B:$B, $A26, Carolina!$D:$D, "London") + SUMIFS(Jamaica!$L:$L, Jamaica!$B:$B, $A26, Jamaica!$D:$D, "London") + SUMIFS(Mountserat!$L:$L, Mountserat!$B:$B, $A26, Mountserat!$D:$D, "London") + SUMIFS(Nevis!$L:$L, Nevis!$B:$B, $A26, Nevis!$D:$D, "London") + SUMIFS(NewEngland!$L:$L, NewEngland!$B:$B, $A26, NewEngland!$D:$D, "London")</f>
        <v>0</v>
      </c>
      <c r="C26">
        <f>SUMIFS(Antigua!$L:$L, Antigua!$B:$B, $A26, Antigua!$D:$D, "Out Ports") + SUMIFS(Barbados!$L:$L, Barbados!$B:$B, $A26, Barbados!$D:$D, "Out Ports") + SUMIFS(Bermuda!$L:$L, Bermuda!$B:$B, $A26, Bermuda!$D:$D, "Out Ports") + SUMIFS(Carolina!$L:$L, Carolina!$B:$B, $A26, Carolina!$D:$D, "Out Ports") + SUMIFS(Jamaica!$L:$L, Jamaica!$B:$B, $A26, Jamaica!$D:$D, "Out Ports") + SUMIFS(Mountserat!$L:$L, Mountserat!$B:$B, $A26, Mountserat!$D:$D, "Out Ports") + SUMIFS(Nevis!$L:$L, Nevis!$B:$B, $A26, Nevis!$D:$D, "Out Ports") + SUMIFS(NewEngland!$L:$L, NewEngland!$B:$B, $A26, NewEngland!$D:$D, "Out Ports")</f>
        <v>0</v>
      </c>
      <c r="D26">
        <f t="shared" si="0"/>
        <v>0</v>
      </c>
    </row>
    <row r="27" spans="1:4" x14ac:dyDescent="0.25">
      <c r="A27" t="s">
        <v>26</v>
      </c>
      <c r="B27">
        <f>SUMIFS(Antigua!$L:$L, Antigua!$B:$B, $A27, Antigua!$D:$D, "London") + SUMIFS(Barbados!$L:$L, Barbados!$B:$B, $A27, Barbados!$D:$D, "London") + SUMIFS(Bermuda!$L:$L, Bermuda!$B:$B, $A27, Bermuda!$D:$D, "London") + SUMIFS(Carolina!$L:$L, Carolina!$B:$B, $A27, Carolina!$D:$D, "London") + SUMIFS(Jamaica!$L:$L, Jamaica!$B:$B, $A27, Jamaica!$D:$D, "London") + SUMIFS(Mountserat!$L:$L, Mountserat!$B:$B, $A27, Mountserat!$D:$D, "London") + SUMIFS(Nevis!$L:$L, Nevis!$B:$B, $A27, Nevis!$D:$D, "London") + SUMIFS(NewEngland!$L:$L, NewEngland!$B:$B, $A27, NewEngland!$D:$D, "London")</f>
        <v>0</v>
      </c>
      <c r="C27">
        <f>SUMIFS(Antigua!$L:$L, Antigua!$B:$B, $A27, Antigua!$D:$D, "Out Ports") + SUMIFS(Barbados!$L:$L, Barbados!$B:$B, $A27, Barbados!$D:$D, "Out Ports") + SUMIFS(Bermuda!$L:$L, Bermuda!$B:$B, $A27, Bermuda!$D:$D, "Out Ports") + SUMIFS(Carolina!$L:$L, Carolina!$B:$B, $A27, Carolina!$D:$D, "Out Ports") + SUMIFS(Jamaica!$L:$L, Jamaica!$B:$B, $A27, Jamaica!$D:$D, "Out Ports") + SUMIFS(Mountserat!$L:$L, Mountserat!$B:$B, $A27, Mountserat!$D:$D, "Out Ports") + SUMIFS(Nevis!$L:$L, Nevis!$B:$B, $A27, Nevis!$D:$D, "Out Ports") + SUMIFS(NewEngland!$L:$L, NewEngland!$B:$B, $A27, NewEngland!$D:$D, "Out Ports")</f>
        <v>0</v>
      </c>
      <c r="D27">
        <f t="shared" si="0"/>
        <v>0</v>
      </c>
    </row>
    <row r="28" spans="1:4" x14ac:dyDescent="0.25">
      <c r="A28" t="s">
        <v>51</v>
      </c>
      <c r="B28">
        <f>SUMIFS(Antigua!$L:$L, Antigua!$B:$B, $A28, Antigua!$D:$D, "London") + SUMIFS(Barbados!$L:$L, Barbados!$B:$B, $A28, Barbados!$D:$D, "London") + SUMIFS(Bermuda!$L:$L, Bermuda!$B:$B, $A28, Bermuda!$D:$D, "London") + SUMIFS(Carolina!$L:$L, Carolina!$B:$B, $A28, Carolina!$D:$D, "London") + SUMIFS(Jamaica!$L:$L, Jamaica!$B:$B, $A28, Jamaica!$D:$D, "London") + SUMIFS(Mountserat!$L:$L, Mountserat!$B:$B, $A28, Mountserat!$D:$D, "London") + SUMIFS(Nevis!$L:$L, Nevis!$B:$B, $A28, Nevis!$D:$D, "London") + SUMIFS(NewEngland!$L:$L, NewEngland!$B:$B, $A28, NewEngland!$D:$D, "London")</f>
        <v>0</v>
      </c>
      <c r="C28">
        <f>SUMIFS(Antigua!$L:$L, Antigua!$B:$B, $A28, Antigua!$D:$D, "Out Ports") + SUMIFS(Barbados!$L:$L, Barbados!$B:$B, $A28, Barbados!$D:$D, "Out Ports") + SUMIFS(Bermuda!$L:$L, Bermuda!$B:$B, $A28, Bermuda!$D:$D, "Out Ports") + SUMIFS(Carolina!$L:$L, Carolina!$B:$B, $A28, Carolina!$D:$D, "Out Ports") + SUMIFS(Jamaica!$L:$L, Jamaica!$B:$B, $A28, Jamaica!$D:$D, "Out Ports") + SUMIFS(Mountserat!$L:$L, Mountserat!$B:$B, $A28, Mountserat!$D:$D, "Out Ports") + SUMIFS(Nevis!$L:$L, Nevis!$B:$B, $A28, Nevis!$D:$D, "Out Ports") + SUMIFS(NewEngland!$L:$L, NewEngland!$B:$B, $A28, NewEngland!$D:$D, "Out Ports")</f>
        <v>0</v>
      </c>
      <c r="D28">
        <f t="shared" si="0"/>
        <v>0</v>
      </c>
    </row>
    <row r="29" spans="1:4" x14ac:dyDescent="0.25">
      <c r="A29" t="s">
        <v>41</v>
      </c>
      <c r="B29">
        <f>SUMIFS(Antigua!$L:$L, Antigua!$B:$B, $A29, Antigua!$D:$D, "London") + SUMIFS(Barbados!$L:$L, Barbados!$B:$B, $A29, Barbados!$D:$D, "London") + SUMIFS(Bermuda!$L:$L, Bermuda!$B:$B, $A29, Bermuda!$D:$D, "London") + SUMIFS(Carolina!$L:$L, Carolina!$B:$B, $A29, Carolina!$D:$D, "London") + SUMIFS(Jamaica!$L:$L, Jamaica!$B:$B, $A29, Jamaica!$D:$D, "London") + SUMIFS(Mountserat!$L:$L, Mountserat!$B:$B, $A29, Mountserat!$D:$D, "London") + SUMIFS(Nevis!$L:$L, Nevis!$B:$B, $A29, Nevis!$D:$D, "London") + SUMIFS(NewEngland!$L:$L, NewEngland!$B:$B, $A29, NewEngland!$D:$D, "London")</f>
        <v>0</v>
      </c>
      <c r="C29">
        <f>SUMIFS(Antigua!$L:$L, Antigua!$B:$B, $A29, Antigua!$D:$D, "Out Ports") + SUMIFS(Barbados!$L:$L, Barbados!$B:$B, $A29, Barbados!$D:$D, "Out Ports") + SUMIFS(Bermuda!$L:$L, Bermuda!$B:$B, $A29, Bermuda!$D:$D, "Out Ports") + SUMIFS(Carolina!$L:$L, Carolina!$B:$B, $A29, Carolina!$D:$D, "Out Ports") + SUMIFS(Jamaica!$L:$L, Jamaica!$B:$B, $A29, Jamaica!$D:$D, "Out Ports") + SUMIFS(Mountserat!$L:$L, Mountserat!$B:$B, $A29, Mountserat!$D:$D, "Out Ports") + SUMIFS(Nevis!$L:$L, Nevis!$B:$B, $A29, Nevis!$D:$D, "Out Ports") + SUMIFS(NewEngland!$L:$L, NewEngland!$B:$B, $A29, NewEngland!$D:$D, "Out Ports")</f>
        <v>0</v>
      </c>
      <c r="D29">
        <f t="shared" si="0"/>
        <v>0</v>
      </c>
    </row>
    <row r="30" spans="1:4" x14ac:dyDescent="0.25">
      <c r="A30" t="s">
        <v>52</v>
      </c>
      <c r="B30">
        <f>SUMIFS(Antigua!$L:$L, Antigua!$B:$B, $A30, Antigua!$D:$D, "London") + SUMIFS(Barbados!$L:$L, Barbados!$B:$B, $A30, Barbados!$D:$D, "London") + SUMIFS(Bermuda!$L:$L, Bermuda!$B:$B, $A30, Bermuda!$D:$D, "London") + SUMIFS(Carolina!$L:$L, Carolina!$B:$B, $A30, Carolina!$D:$D, "London") + SUMIFS(Jamaica!$L:$L, Jamaica!$B:$B, $A30, Jamaica!$D:$D, "London") + SUMIFS(Mountserat!$L:$L, Mountserat!$B:$B, $A30, Mountserat!$D:$D, "London") + SUMIFS(Nevis!$L:$L, Nevis!$B:$B, $A30, Nevis!$D:$D, "London") + SUMIFS(NewEngland!$L:$L, NewEngland!$B:$B, $A30, NewEngland!$D:$D, "London")</f>
        <v>0</v>
      </c>
      <c r="C30">
        <f>SUMIFS(Antigua!$L:$L, Antigua!$B:$B, $A30, Antigua!$D:$D, "Out Ports") + SUMIFS(Barbados!$L:$L, Barbados!$B:$B, $A30, Barbados!$D:$D, "Out Ports") + SUMIFS(Bermuda!$L:$L, Bermuda!$B:$B, $A30, Bermuda!$D:$D, "Out Ports") + SUMIFS(Carolina!$L:$L, Carolina!$B:$B, $A30, Carolina!$D:$D, "Out Ports") + SUMIFS(Jamaica!$L:$L, Jamaica!$B:$B, $A30, Jamaica!$D:$D, "Out Ports") + SUMIFS(Mountserat!$L:$L, Mountserat!$B:$B, $A30, Mountserat!$D:$D, "Out Ports") + SUMIFS(Nevis!$L:$L, Nevis!$B:$B, $A30, Nevis!$D:$D, "Out Ports") + SUMIFS(NewEngland!$L:$L, NewEngland!$B:$B, $A30, NewEngland!$D:$D, "Out Ports")</f>
        <v>22.8125</v>
      </c>
      <c r="D30">
        <f t="shared" si="0"/>
        <v>22.81</v>
      </c>
    </row>
    <row r="31" spans="1:4" x14ac:dyDescent="0.25">
      <c r="A31" t="s">
        <v>27</v>
      </c>
      <c r="B31">
        <f>SUMIFS(Antigua!$L:$L, Antigua!$B:$B, $A31, Antigua!$D:$D, "London") + SUMIFS(Barbados!$L:$L, Barbados!$B:$B, $A31, Barbados!$D:$D, "London") + SUMIFS(Bermuda!$L:$L, Bermuda!$B:$B, $A31, Bermuda!$D:$D, "London") + SUMIFS(Carolina!$L:$L, Carolina!$B:$B, $A31, Carolina!$D:$D, "London") + SUMIFS(Jamaica!$L:$L, Jamaica!$B:$B, $A31, Jamaica!$D:$D, "London") + SUMIFS(Mountserat!$L:$L, Mountserat!$B:$B, $A31, Mountserat!$D:$D, "London") + SUMIFS(Nevis!$L:$L, Nevis!$B:$B, $A31, Nevis!$D:$D, "London") + SUMIFS(NewEngland!$L:$L, NewEngland!$B:$B, $A31, NewEngland!$D:$D, "London")</f>
        <v>41.049107142857146</v>
      </c>
      <c r="C31">
        <f>SUMIFS(Antigua!$L:$L, Antigua!$B:$B, $A31, Antigua!$D:$D, "Out Ports") + SUMIFS(Barbados!$L:$L, Barbados!$B:$B, $A31, Barbados!$D:$D, "Out Ports") + SUMIFS(Bermuda!$L:$L, Bermuda!$B:$B, $A31, Bermuda!$D:$D, "Out Ports") + SUMIFS(Carolina!$L:$L, Carolina!$B:$B, $A31, Carolina!$D:$D, "Out Ports") + SUMIFS(Jamaica!$L:$L, Jamaica!$B:$B, $A31, Jamaica!$D:$D, "Out Ports") + SUMIFS(Mountserat!$L:$L, Mountserat!$B:$B, $A31, Mountserat!$D:$D, "Out Ports") + SUMIFS(Nevis!$L:$L, Nevis!$B:$B, $A31, Nevis!$D:$D, "Out Ports") + SUMIFS(NewEngland!$L:$L, NewEngland!$B:$B, $A31, NewEngland!$D:$D, "Out Ports")</f>
        <v>2.0379464285714284</v>
      </c>
      <c r="D31">
        <f t="shared" si="0"/>
        <v>43.09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D6FA2-B6A0-4711-A44A-6CA286BF1E63}">
  <dimension ref="A1:L37"/>
  <sheetViews>
    <sheetView topLeftCell="A19" workbookViewId="0">
      <selection activeCell="I17" sqref="I17"/>
    </sheetView>
  </sheetViews>
  <sheetFormatPr defaultRowHeight="15" x14ac:dyDescent="0.25"/>
  <cols>
    <col min="2" max="3" width="17.5703125" customWidth="1"/>
    <col min="4" max="4" width="15.140625" customWidth="1"/>
    <col min="5" max="5" width="11.7109375" customWidth="1"/>
    <col min="6" max="6" width="11.85546875" customWidth="1"/>
    <col min="7" max="7" width="11.140625" customWidth="1"/>
    <col min="8" max="9" width="18.42578125" customWidth="1"/>
  </cols>
  <sheetData>
    <row r="1" spans="1:12" x14ac:dyDescent="0.25">
      <c r="A1" s="1" t="s">
        <v>99</v>
      </c>
      <c r="B1" s="1" t="s">
        <v>100</v>
      </c>
      <c r="C1" s="1" t="s">
        <v>101</v>
      </c>
      <c r="D1" s="1" t="s">
        <v>102</v>
      </c>
      <c r="E1" s="1" t="s">
        <v>56</v>
      </c>
      <c r="F1" s="1" t="s">
        <v>57</v>
      </c>
      <c r="G1" s="1" t="s">
        <v>58</v>
      </c>
      <c r="H1" s="1" t="s">
        <v>59</v>
      </c>
      <c r="I1" s="1"/>
      <c r="J1" s="1" t="s">
        <v>5</v>
      </c>
      <c r="K1" s="1"/>
      <c r="L1" s="1" t="s">
        <v>104</v>
      </c>
    </row>
    <row r="2" spans="1:12" x14ac:dyDescent="0.25">
      <c r="A2">
        <v>1711</v>
      </c>
      <c r="B2" t="s">
        <v>15</v>
      </c>
      <c r="C2" t="s">
        <v>103</v>
      </c>
      <c r="D2" t="s">
        <v>7</v>
      </c>
      <c r="F2">
        <v>22156</v>
      </c>
      <c r="H2">
        <v>1</v>
      </c>
      <c r="J2">
        <f t="shared" ref="J2:J37" si="0">(E2*2240)+(F2*112)+(G2*28)+H2</f>
        <v>2481473</v>
      </c>
      <c r="L2">
        <f t="shared" ref="L2:L37" si="1">J2/2240</f>
        <v>1107.8004464285714</v>
      </c>
    </row>
    <row r="3" spans="1:12" x14ac:dyDescent="0.25">
      <c r="A3">
        <v>1711</v>
      </c>
      <c r="B3" t="s">
        <v>12</v>
      </c>
      <c r="C3" t="s">
        <v>103</v>
      </c>
      <c r="D3" t="s">
        <v>7</v>
      </c>
      <c r="J3">
        <f t="shared" si="0"/>
        <v>0</v>
      </c>
      <c r="L3">
        <f t="shared" si="1"/>
        <v>0</v>
      </c>
    </row>
    <row r="4" spans="1:12" x14ac:dyDescent="0.25">
      <c r="A4">
        <v>1711</v>
      </c>
      <c r="B4" t="s">
        <v>39</v>
      </c>
      <c r="C4" t="s">
        <v>103</v>
      </c>
      <c r="D4" t="s">
        <v>7</v>
      </c>
      <c r="F4">
        <v>21</v>
      </c>
      <c r="H4">
        <v>14</v>
      </c>
      <c r="J4">
        <f t="shared" si="0"/>
        <v>2366</v>
      </c>
      <c r="L4">
        <f t="shared" si="1"/>
        <v>1.0562499999999999</v>
      </c>
    </row>
    <row r="5" spans="1:12" x14ac:dyDescent="0.25">
      <c r="A5">
        <v>1711</v>
      </c>
      <c r="B5" t="s">
        <v>9</v>
      </c>
      <c r="C5" t="s">
        <v>103</v>
      </c>
      <c r="D5" t="s">
        <v>7</v>
      </c>
      <c r="F5">
        <v>473</v>
      </c>
      <c r="H5">
        <v>5</v>
      </c>
      <c r="J5">
        <f t="shared" si="0"/>
        <v>52981</v>
      </c>
      <c r="L5">
        <f t="shared" si="1"/>
        <v>23.652232142857144</v>
      </c>
    </row>
    <row r="6" spans="1:12" x14ac:dyDescent="0.25">
      <c r="A6">
        <v>1711</v>
      </c>
      <c r="B6" t="s">
        <v>13</v>
      </c>
      <c r="C6" t="s">
        <v>103</v>
      </c>
      <c r="D6" t="s">
        <v>7</v>
      </c>
      <c r="F6">
        <v>303</v>
      </c>
      <c r="G6">
        <v>3</v>
      </c>
      <c r="H6">
        <v>23</v>
      </c>
      <c r="J6">
        <f t="shared" si="0"/>
        <v>34043</v>
      </c>
      <c r="L6">
        <f t="shared" si="1"/>
        <v>15.197767857142857</v>
      </c>
    </row>
    <row r="7" spans="1:12" x14ac:dyDescent="0.25">
      <c r="A7">
        <v>1711</v>
      </c>
      <c r="B7" t="s">
        <v>23</v>
      </c>
      <c r="C7" t="s">
        <v>103</v>
      </c>
      <c r="D7" t="s">
        <v>7</v>
      </c>
      <c r="F7">
        <v>23</v>
      </c>
      <c r="G7">
        <v>3</v>
      </c>
      <c r="H7">
        <v>21</v>
      </c>
      <c r="J7">
        <f t="shared" si="0"/>
        <v>2681</v>
      </c>
      <c r="L7">
        <f t="shared" si="1"/>
        <v>1.1968749999999999</v>
      </c>
    </row>
    <row r="8" spans="1:12" x14ac:dyDescent="0.25">
      <c r="A8">
        <v>1711</v>
      </c>
      <c r="B8" t="s">
        <v>8</v>
      </c>
      <c r="C8" t="s">
        <v>103</v>
      </c>
      <c r="D8" t="s">
        <v>7</v>
      </c>
      <c r="H8">
        <v>3191</v>
      </c>
      <c r="J8">
        <f t="shared" si="0"/>
        <v>3191</v>
      </c>
      <c r="L8">
        <f t="shared" si="1"/>
        <v>1.4245535714285715</v>
      </c>
    </row>
    <row r="9" spans="1:12" x14ac:dyDescent="0.25">
      <c r="A9">
        <v>1711</v>
      </c>
      <c r="B9" t="s">
        <v>38</v>
      </c>
      <c r="C9" t="s">
        <v>103</v>
      </c>
      <c r="D9" t="s">
        <v>7</v>
      </c>
      <c r="J9">
        <f t="shared" si="0"/>
        <v>0</v>
      </c>
      <c r="L9">
        <f t="shared" si="1"/>
        <v>0</v>
      </c>
    </row>
    <row r="10" spans="1:12" x14ac:dyDescent="0.25">
      <c r="A10">
        <v>1711</v>
      </c>
      <c r="B10" t="s">
        <v>34</v>
      </c>
      <c r="C10" t="s">
        <v>103</v>
      </c>
      <c r="D10" t="s">
        <v>7</v>
      </c>
      <c r="F10">
        <v>2897</v>
      </c>
      <c r="G10">
        <v>1</v>
      </c>
      <c r="H10">
        <v>9</v>
      </c>
      <c r="J10">
        <f t="shared" si="0"/>
        <v>324501</v>
      </c>
      <c r="L10">
        <f t="shared" si="1"/>
        <v>144.86651785714287</v>
      </c>
    </row>
    <row r="11" spans="1:12" x14ac:dyDescent="0.25">
      <c r="A11">
        <v>1711</v>
      </c>
      <c r="B11" t="s">
        <v>19</v>
      </c>
      <c r="C11" t="s">
        <v>103</v>
      </c>
      <c r="D11" t="s">
        <v>7</v>
      </c>
      <c r="J11">
        <f t="shared" si="0"/>
        <v>0</v>
      </c>
      <c r="L11">
        <f t="shared" si="1"/>
        <v>0</v>
      </c>
    </row>
    <row r="12" spans="1:12" x14ac:dyDescent="0.25">
      <c r="A12">
        <v>1711</v>
      </c>
      <c r="B12" t="s">
        <v>27</v>
      </c>
      <c r="C12" t="s">
        <v>103</v>
      </c>
      <c r="D12" t="s">
        <v>7</v>
      </c>
      <c r="H12">
        <v>4998</v>
      </c>
      <c r="I12" t="s">
        <v>53</v>
      </c>
      <c r="J12">
        <f t="shared" si="0"/>
        <v>4998</v>
      </c>
      <c r="L12">
        <f t="shared" si="1"/>
        <v>2.2312500000000002</v>
      </c>
    </row>
    <row r="13" spans="1:12" x14ac:dyDescent="0.25">
      <c r="A13">
        <v>1711</v>
      </c>
      <c r="B13" t="s">
        <v>14</v>
      </c>
      <c r="C13" t="s">
        <v>103</v>
      </c>
      <c r="D13" t="s">
        <v>7</v>
      </c>
      <c r="F13">
        <v>814</v>
      </c>
      <c r="G13">
        <v>3</v>
      </c>
      <c r="H13">
        <v>8</v>
      </c>
      <c r="J13">
        <f t="shared" si="0"/>
        <v>91260</v>
      </c>
      <c r="L13">
        <f t="shared" si="1"/>
        <v>40.741071428571431</v>
      </c>
    </row>
    <row r="14" spans="1:12" x14ac:dyDescent="0.25">
      <c r="A14">
        <v>1711</v>
      </c>
      <c r="B14" t="s">
        <v>20</v>
      </c>
      <c r="C14" t="s">
        <v>103</v>
      </c>
      <c r="D14" t="s">
        <v>7</v>
      </c>
      <c r="H14">
        <v>7007</v>
      </c>
      <c r="I14" t="s">
        <v>54</v>
      </c>
      <c r="J14">
        <f t="shared" si="0"/>
        <v>7007</v>
      </c>
      <c r="L14">
        <f t="shared" si="1"/>
        <v>3.1281249999999998</v>
      </c>
    </row>
    <row r="15" spans="1:12" x14ac:dyDescent="0.25">
      <c r="A15">
        <v>1711</v>
      </c>
      <c r="B15" t="s">
        <v>22</v>
      </c>
      <c r="C15" t="s">
        <v>103</v>
      </c>
      <c r="D15" t="s">
        <v>7</v>
      </c>
      <c r="F15">
        <v>19</v>
      </c>
      <c r="G15">
        <v>3</v>
      </c>
      <c r="J15">
        <f t="shared" si="0"/>
        <v>2212</v>
      </c>
      <c r="L15">
        <f t="shared" si="1"/>
        <v>0.98750000000000004</v>
      </c>
    </row>
    <row r="16" spans="1:12" x14ac:dyDescent="0.25">
      <c r="A16">
        <v>1711</v>
      </c>
      <c r="B16" t="s">
        <v>35</v>
      </c>
      <c r="C16" t="s">
        <v>103</v>
      </c>
      <c r="D16" t="s">
        <v>7</v>
      </c>
      <c r="H16">
        <v>296</v>
      </c>
      <c r="J16">
        <f t="shared" si="0"/>
        <v>296</v>
      </c>
      <c r="L16">
        <f t="shared" si="1"/>
        <v>0.13214285714285715</v>
      </c>
    </row>
    <row r="17" spans="1:12" x14ac:dyDescent="0.25">
      <c r="A17">
        <v>1711</v>
      </c>
      <c r="B17" t="s">
        <v>18</v>
      </c>
      <c r="C17" t="s">
        <v>103</v>
      </c>
      <c r="D17" t="s">
        <v>7</v>
      </c>
      <c r="H17">
        <v>11000</v>
      </c>
      <c r="J17">
        <f t="shared" si="0"/>
        <v>11000</v>
      </c>
      <c r="L17">
        <f t="shared" si="1"/>
        <v>4.9107142857142856</v>
      </c>
    </row>
    <row r="18" spans="1:12" x14ac:dyDescent="0.25">
      <c r="A18">
        <v>1711</v>
      </c>
      <c r="B18" t="s">
        <v>21</v>
      </c>
      <c r="C18" t="s">
        <v>103</v>
      </c>
      <c r="D18" t="s">
        <v>7</v>
      </c>
      <c r="H18">
        <v>6</v>
      </c>
      <c r="J18">
        <f t="shared" si="0"/>
        <v>6</v>
      </c>
      <c r="L18">
        <f t="shared" si="1"/>
        <v>2.6785714285714286E-3</v>
      </c>
    </row>
    <row r="19" spans="1:12" x14ac:dyDescent="0.25">
      <c r="A19">
        <v>1711</v>
      </c>
      <c r="B19" t="s">
        <v>16</v>
      </c>
      <c r="C19" t="s">
        <v>103</v>
      </c>
      <c r="D19" t="s">
        <v>7</v>
      </c>
      <c r="F19">
        <v>5</v>
      </c>
      <c r="G19">
        <v>1</v>
      </c>
      <c r="J19">
        <f t="shared" si="0"/>
        <v>588</v>
      </c>
      <c r="L19">
        <f t="shared" si="1"/>
        <v>0.26250000000000001</v>
      </c>
    </row>
    <row r="20" spans="1:12" x14ac:dyDescent="0.25">
      <c r="A20">
        <v>1711</v>
      </c>
      <c r="B20" t="s">
        <v>15</v>
      </c>
      <c r="C20" t="s">
        <v>103</v>
      </c>
      <c r="D20" t="s">
        <v>11</v>
      </c>
      <c r="F20">
        <v>6168</v>
      </c>
      <c r="H20">
        <v>10</v>
      </c>
      <c r="J20">
        <f t="shared" si="0"/>
        <v>690826</v>
      </c>
      <c r="L20">
        <f t="shared" si="1"/>
        <v>308.40446428571431</v>
      </c>
    </row>
    <row r="21" spans="1:12" x14ac:dyDescent="0.25">
      <c r="A21">
        <v>1711</v>
      </c>
      <c r="B21" t="s">
        <v>86</v>
      </c>
      <c r="C21" t="s">
        <v>103</v>
      </c>
      <c r="D21" t="s">
        <v>11</v>
      </c>
      <c r="H21">
        <v>304</v>
      </c>
      <c r="J21">
        <f t="shared" si="0"/>
        <v>304</v>
      </c>
      <c r="L21">
        <f t="shared" si="1"/>
        <v>0.1357142857142857</v>
      </c>
    </row>
    <row r="22" spans="1:12" x14ac:dyDescent="0.25">
      <c r="A22">
        <v>1711</v>
      </c>
      <c r="B22" t="s">
        <v>39</v>
      </c>
      <c r="C22" t="s">
        <v>103</v>
      </c>
      <c r="D22" t="s">
        <v>11</v>
      </c>
      <c r="F22">
        <v>14</v>
      </c>
      <c r="H22">
        <v>11</v>
      </c>
      <c r="J22">
        <f t="shared" si="0"/>
        <v>1579</v>
      </c>
      <c r="L22">
        <f t="shared" si="1"/>
        <v>0.70491071428571428</v>
      </c>
    </row>
    <row r="23" spans="1:12" x14ac:dyDescent="0.25">
      <c r="A23">
        <v>1711</v>
      </c>
      <c r="B23" t="s">
        <v>9</v>
      </c>
      <c r="C23" t="s">
        <v>103</v>
      </c>
      <c r="D23" t="s">
        <v>11</v>
      </c>
      <c r="H23">
        <v>32545</v>
      </c>
      <c r="J23">
        <f t="shared" si="0"/>
        <v>32545</v>
      </c>
      <c r="L23">
        <f t="shared" si="1"/>
        <v>14.529017857142858</v>
      </c>
    </row>
    <row r="24" spans="1:12" x14ac:dyDescent="0.25">
      <c r="A24">
        <v>1711</v>
      </c>
      <c r="B24" t="s">
        <v>13</v>
      </c>
      <c r="C24" t="s">
        <v>103</v>
      </c>
      <c r="D24" t="s">
        <v>11</v>
      </c>
      <c r="F24">
        <v>171</v>
      </c>
      <c r="G24">
        <v>1</v>
      </c>
      <c r="H24">
        <v>21</v>
      </c>
      <c r="J24">
        <f t="shared" si="0"/>
        <v>19201</v>
      </c>
      <c r="L24">
        <f t="shared" si="1"/>
        <v>8.5718750000000004</v>
      </c>
    </row>
    <row r="25" spans="1:12" x14ac:dyDescent="0.25">
      <c r="A25">
        <v>1711</v>
      </c>
      <c r="B25" t="s">
        <v>8</v>
      </c>
      <c r="C25" t="s">
        <v>103</v>
      </c>
      <c r="D25" t="s">
        <v>11</v>
      </c>
      <c r="H25">
        <v>699</v>
      </c>
      <c r="J25">
        <f t="shared" si="0"/>
        <v>699</v>
      </c>
      <c r="L25">
        <f t="shared" si="1"/>
        <v>0.31205357142857143</v>
      </c>
    </row>
    <row r="26" spans="1:12" x14ac:dyDescent="0.25">
      <c r="A26">
        <v>1711</v>
      </c>
      <c r="B26" t="s">
        <v>34</v>
      </c>
      <c r="C26" t="s">
        <v>103</v>
      </c>
      <c r="D26" t="s">
        <v>11</v>
      </c>
      <c r="F26">
        <v>1032</v>
      </c>
      <c r="H26">
        <v>21</v>
      </c>
      <c r="J26">
        <f t="shared" si="0"/>
        <v>115605</v>
      </c>
      <c r="L26">
        <f t="shared" si="1"/>
        <v>51.609375</v>
      </c>
    </row>
    <row r="27" spans="1:12" x14ac:dyDescent="0.25">
      <c r="A27">
        <v>1711</v>
      </c>
      <c r="B27" t="s">
        <v>19</v>
      </c>
      <c r="C27" t="s">
        <v>103</v>
      </c>
      <c r="D27" t="s">
        <v>11</v>
      </c>
      <c r="J27">
        <f t="shared" si="0"/>
        <v>0</v>
      </c>
      <c r="L27">
        <f t="shared" si="1"/>
        <v>0</v>
      </c>
    </row>
    <row r="28" spans="1:12" x14ac:dyDescent="0.25">
      <c r="A28">
        <v>1711</v>
      </c>
      <c r="B28" t="s">
        <v>27</v>
      </c>
      <c r="C28" t="s">
        <v>103</v>
      </c>
      <c r="D28" t="s">
        <v>11</v>
      </c>
      <c r="J28">
        <f t="shared" si="0"/>
        <v>0</v>
      </c>
      <c r="L28">
        <f t="shared" si="1"/>
        <v>0</v>
      </c>
    </row>
    <row r="29" spans="1:12" x14ac:dyDescent="0.25">
      <c r="A29">
        <v>1711</v>
      </c>
      <c r="B29" t="s">
        <v>14</v>
      </c>
      <c r="C29" t="s">
        <v>103</v>
      </c>
      <c r="D29" t="s">
        <v>11</v>
      </c>
      <c r="F29">
        <v>389</v>
      </c>
      <c r="G29">
        <v>3</v>
      </c>
      <c r="H29">
        <v>13</v>
      </c>
      <c r="J29">
        <f t="shared" si="0"/>
        <v>43665</v>
      </c>
      <c r="L29">
        <f t="shared" si="1"/>
        <v>19.493303571428573</v>
      </c>
    </row>
    <row r="30" spans="1:12" x14ac:dyDescent="0.25">
      <c r="A30">
        <v>1711</v>
      </c>
      <c r="B30" t="s">
        <v>25</v>
      </c>
      <c r="C30" t="s">
        <v>103</v>
      </c>
      <c r="D30" t="s">
        <v>11</v>
      </c>
      <c r="J30">
        <f t="shared" si="0"/>
        <v>0</v>
      </c>
      <c r="L30">
        <f t="shared" si="1"/>
        <v>0</v>
      </c>
    </row>
    <row r="31" spans="1:12" x14ac:dyDescent="0.25">
      <c r="A31">
        <v>1711</v>
      </c>
      <c r="B31" t="s">
        <v>20</v>
      </c>
      <c r="C31" t="s">
        <v>103</v>
      </c>
      <c r="D31" t="s">
        <v>11</v>
      </c>
      <c r="H31">
        <v>2391</v>
      </c>
      <c r="I31" t="s">
        <v>87</v>
      </c>
      <c r="J31">
        <f t="shared" si="0"/>
        <v>2391</v>
      </c>
      <c r="L31">
        <f t="shared" si="1"/>
        <v>1.0674107142857143</v>
      </c>
    </row>
    <row r="32" spans="1:12" x14ac:dyDescent="0.25">
      <c r="A32">
        <v>1711</v>
      </c>
      <c r="B32" t="s">
        <v>22</v>
      </c>
      <c r="C32" t="s">
        <v>103</v>
      </c>
      <c r="D32" t="s">
        <v>11</v>
      </c>
      <c r="F32">
        <v>1</v>
      </c>
      <c r="G32">
        <v>2</v>
      </c>
      <c r="J32">
        <f t="shared" si="0"/>
        <v>168</v>
      </c>
      <c r="L32">
        <f t="shared" si="1"/>
        <v>7.4999999999999997E-2</v>
      </c>
    </row>
    <row r="33" spans="1:12" x14ac:dyDescent="0.25">
      <c r="A33">
        <v>1711</v>
      </c>
      <c r="B33" t="s">
        <v>35</v>
      </c>
      <c r="C33" t="s">
        <v>103</v>
      </c>
      <c r="D33" t="s">
        <v>11</v>
      </c>
      <c r="H33">
        <v>20</v>
      </c>
      <c r="J33">
        <f t="shared" si="0"/>
        <v>20</v>
      </c>
      <c r="L33">
        <f t="shared" si="1"/>
        <v>8.9285714285714281E-3</v>
      </c>
    </row>
    <row r="34" spans="1:12" x14ac:dyDescent="0.25">
      <c r="A34">
        <v>1711</v>
      </c>
      <c r="B34" t="s">
        <v>18</v>
      </c>
      <c r="C34" t="s">
        <v>103</v>
      </c>
      <c r="D34" t="s">
        <v>11</v>
      </c>
      <c r="J34">
        <f t="shared" si="0"/>
        <v>0</v>
      </c>
      <c r="L34">
        <f t="shared" si="1"/>
        <v>0</v>
      </c>
    </row>
    <row r="35" spans="1:12" x14ac:dyDescent="0.25">
      <c r="A35">
        <v>1711</v>
      </c>
      <c r="B35" t="s">
        <v>21</v>
      </c>
      <c r="C35" t="s">
        <v>103</v>
      </c>
      <c r="D35" t="s">
        <v>11</v>
      </c>
      <c r="J35">
        <f t="shared" si="0"/>
        <v>0</v>
      </c>
      <c r="L35">
        <f t="shared" si="1"/>
        <v>0</v>
      </c>
    </row>
    <row r="36" spans="1:12" x14ac:dyDescent="0.25">
      <c r="A36">
        <v>1711</v>
      </c>
      <c r="B36" t="s">
        <v>16</v>
      </c>
      <c r="C36" t="s">
        <v>103</v>
      </c>
      <c r="D36" t="s">
        <v>11</v>
      </c>
      <c r="F36">
        <v>11</v>
      </c>
      <c r="G36">
        <v>1</v>
      </c>
      <c r="H36">
        <v>21</v>
      </c>
      <c r="J36">
        <f t="shared" si="0"/>
        <v>1281</v>
      </c>
      <c r="L36">
        <f t="shared" si="1"/>
        <v>0.57187500000000002</v>
      </c>
    </row>
    <row r="37" spans="1:12" x14ac:dyDescent="0.25">
      <c r="A37">
        <v>1711</v>
      </c>
      <c r="B37" t="s">
        <v>106</v>
      </c>
      <c r="C37" t="s">
        <v>103</v>
      </c>
      <c r="D37" t="s">
        <v>11</v>
      </c>
      <c r="J37">
        <f t="shared" si="0"/>
        <v>0</v>
      </c>
      <c r="L37">
        <f t="shared" si="1"/>
        <v>0</v>
      </c>
    </row>
  </sheetData>
  <autoFilter ref="A1:L37" xr:uid="{693D6FA2-B6A0-4711-A44A-6CA286BF1E63}">
    <sortState xmlns:xlrd2="http://schemas.microsoft.com/office/spreadsheetml/2017/richdata2" ref="A2:L37">
      <sortCondition ref="D1:D37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1F908-12B8-4B3A-A65D-184CD229ACD4}">
  <dimension ref="A1:L49"/>
  <sheetViews>
    <sheetView topLeftCell="A19" workbookViewId="0">
      <selection activeCell="H17" sqref="H17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99</v>
      </c>
      <c r="B1" s="1" t="s">
        <v>100</v>
      </c>
      <c r="C1" s="1" t="s">
        <v>101</v>
      </c>
      <c r="D1" s="1" t="s">
        <v>102</v>
      </c>
      <c r="E1" s="1" t="s">
        <v>56</v>
      </c>
      <c r="F1" s="1" t="s">
        <v>57</v>
      </c>
      <c r="G1" s="1" t="s">
        <v>58</v>
      </c>
      <c r="H1" s="1" t="s">
        <v>59</v>
      </c>
      <c r="I1" s="1"/>
      <c r="J1" s="1" t="s">
        <v>5</v>
      </c>
      <c r="K1" s="1"/>
      <c r="L1" s="1" t="s">
        <v>104</v>
      </c>
    </row>
    <row r="2" spans="1:12" x14ac:dyDescent="0.25">
      <c r="A2">
        <v>1711</v>
      </c>
      <c r="B2" t="s">
        <v>55</v>
      </c>
      <c r="C2" t="s">
        <v>105</v>
      </c>
      <c r="D2" t="s">
        <v>7</v>
      </c>
      <c r="H2">
        <v>35203</v>
      </c>
      <c r="J2">
        <f t="shared" ref="J2:J49" si="0">(E2*2240)+(F2*112)+(G2*28)+H2</f>
        <v>35203</v>
      </c>
      <c r="L2">
        <f t="shared" ref="L2:L49" si="1">J2/2240</f>
        <v>15.715624999999999</v>
      </c>
    </row>
    <row r="3" spans="1:12" x14ac:dyDescent="0.25">
      <c r="A3">
        <v>1711</v>
      </c>
      <c r="B3" t="s">
        <v>24</v>
      </c>
      <c r="C3" t="s">
        <v>105</v>
      </c>
      <c r="D3" t="s">
        <v>7</v>
      </c>
      <c r="J3">
        <f t="shared" si="0"/>
        <v>0</v>
      </c>
      <c r="L3">
        <f t="shared" si="1"/>
        <v>0</v>
      </c>
    </row>
    <row r="4" spans="1:12" x14ac:dyDescent="0.25">
      <c r="A4">
        <v>1711</v>
      </c>
      <c r="B4" t="s">
        <v>63</v>
      </c>
      <c r="C4" t="s">
        <v>105</v>
      </c>
      <c r="D4" t="s">
        <v>7</v>
      </c>
      <c r="F4">
        <v>253</v>
      </c>
      <c r="H4">
        <v>14</v>
      </c>
      <c r="J4">
        <f t="shared" si="0"/>
        <v>28350</v>
      </c>
      <c r="L4">
        <f t="shared" si="1"/>
        <v>12.65625</v>
      </c>
    </row>
    <row r="5" spans="1:12" x14ac:dyDescent="0.25">
      <c r="A5">
        <v>1711</v>
      </c>
      <c r="B5" t="s">
        <v>15</v>
      </c>
      <c r="C5" t="s">
        <v>105</v>
      </c>
      <c r="D5" t="s">
        <v>7</v>
      </c>
      <c r="F5">
        <v>137360</v>
      </c>
      <c r="G5">
        <v>3</v>
      </c>
      <c r="H5">
        <v>7</v>
      </c>
      <c r="J5">
        <f t="shared" si="0"/>
        <v>15384411</v>
      </c>
      <c r="L5">
        <f t="shared" si="1"/>
        <v>6868.0406249999996</v>
      </c>
    </row>
    <row r="6" spans="1:12" x14ac:dyDescent="0.25">
      <c r="A6">
        <v>1711</v>
      </c>
      <c r="B6" t="s">
        <v>64</v>
      </c>
      <c r="C6" t="s">
        <v>105</v>
      </c>
      <c r="D6" t="s">
        <v>7</v>
      </c>
      <c r="H6">
        <v>72</v>
      </c>
      <c r="J6">
        <f t="shared" si="0"/>
        <v>72</v>
      </c>
      <c r="L6">
        <f t="shared" si="1"/>
        <v>3.214285714285714E-2</v>
      </c>
    </row>
    <row r="7" spans="1:12" x14ac:dyDescent="0.25">
      <c r="A7">
        <v>1711</v>
      </c>
      <c r="B7" t="s">
        <v>39</v>
      </c>
      <c r="C7" t="s">
        <v>105</v>
      </c>
      <c r="D7" t="s">
        <v>7</v>
      </c>
      <c r="F7">
        <v>22</v>
      </c>
      <c r="G7">
        <v>1</v>
      </c>
      <c r="H7">
        <v>26</v>
      </c>
      <c r="J7">
        <f t="shared" si="0"/>
        <v>2518</v>
      </c>
      <c r="L7">
        <f t="shared" si="1"/>
        <v>1.1241071428571427</v>
      </c>
    </row>
    <row r="8" spans="1:12" x14ac:dyDescent="0.25">
      <c r="A8">
        <v>1711</v>
      </c>
      <c r="B8" t="s">
        <v>65</v>
      </c>
      <c r="C8" t="s">
        <v>105</v>
      </c>
      <c r="D8" t="s">
        <v>7</v>
      </c>
      <c r="H8">
        <v>8</v>
      </c>
      <c r="J8">
        <f t="shared" si="0"/>
        <v>8</v>
      </c>
      <c r="L8">
        <f t="shared" si="1"/>
        <v>3.5714285714285713E-3</v>
      </c>
    </row>
    <row r="9" spans="1:12" x14ac:dyDescent="0.25">
      <c r="A9">
        <v>1711</v>
      </c>
      <c r="B9" t="s">
        <v>9</v>
      </c>
      <c r="C9" t="s">
        <v>105</v>
      </c>
      <c r="D9" t="s">
        <v>7</v>
      </c>
      <c r="F9">
        <v>1405</v>
      </c>
      <c r="G9">
        <v>1</v>
      </c>
      <c r="H9">
        <v>6</v>
      </c>
      <c r="J9">
        <f t="shared" si="0"/>
        <v>157394</v>
      </c>
      <c r="L9">
        <f t="shared" si="1"/>
        <v>70.265178571428578</v>
      </c>
    </row>
    <row r="10" spans="1:12" x14ac:dyDescent="0.25">
      <c r="A10">
        <v>1711</v>
      </c>
      <c r="B10" t="s">
        <v>13</v>
      </c>
      <c r="C10" t="s">
        <v>105</v>
      </c>
      <c r="D10" t="s">
        <v>7</v>
      </c>
      <c r="F10">
        <v>4893</v>
      </c>
      <c r="G10">
        <v>3</v>
      </c>
      <c r="J10">
        <f t="shared" si="0"/>
        <v>548100</v>
      </c>
      <c r="L10">
        <f t="shared" si="1"/>
        <v>244.6875</v>
      </c>
    </row>
    <row r="11" spans="1:12" x14ac:dyDescent="0.25">
      <c r="A11">
        <v>1711</v>
      </c>
      <c r="B11" t="s">
        <v>23</v>
      </c>
      <c r="C11" t="s">
        <v>105</v>
      </c>
      <c r="D11" t="s">
        <v>7</v>
      </c>
      <c r="F11">
        <v>3</v>
      </c>
      <c r="G11">
        <v>1</v>
      </c>
      <c r="H11">
        <v>5</v>
      </c>
      <c r="J11">
        <f t="shared" si="0"/>
        <v>369</v>
      </c>
      <c r="L11">
        <f t="shared" si="1"/>
        <v>0.16473214285714285</v>
      </c>
    </row>
    <row r="12" spans="1:12" x14ac:dyDescent="0.25">
      <c r="A12">
        <v>1711</v>
      </c>
      <c r="B12" t="s">
        <v>60</v>
      </c>
      <c r="C12" t="s">
        <v>105</v>
      </c>
      <c r="D12" t="s">
        <v>7</v>
      </c>
      <c r="H12">
        <v>94</v>
      </c>
      <c r="J12">
        <f t="shared" si="0"/>
        <v>94</v>
      </c>
      <c r="L12">
        <f t="shared" si="1"/>
        <v>4.1964285714285711E-2</v>
      </c>
    </row>
    <row r="13" spans="1:12" x14ac:dyDescent="0.25">
      <c r="A13">
        <v>1711</v>
      </c>
      <c r="B13" t="s">
        <v>61</v>
      </c>
      <c r="C13" t="s">
        <v>105</v>
      </c>
      <c r="D13" t="s">
        <v>7</v>
      </c>
      <c r="F13">
        <v>1600</v>
      </c>
      <c r="J13">
        <f t="shared" si="0"/>
        <v>179200</v>
      </c>
      <c r="L13">
        <f t="shared" si="1"/>
        <v>80</v>
      </c>
    </row>
    <row r="14" spans="1:12" x14ac:dyDescent="0.25">
      <c r="A14">
        <v>1711</v>
      </c>
      <c r="B14" t="s">
        <v>8</v>
      </c>
      <c r="C14" t="s">
        <v>105</v>
      </c>
      <c r="D14" t="s">
        <v>7</v>
      </c>
      <c r="H14">
        <v>2270</v>
      </c>
      <c r="J14">
        <f t="shared" si="0"/>
        <v>2270</v>
      </c>
      <c r="L14">
        <f t="shared" si="1"/>
        <v>1.0133928571428572</v>
      </c>
    </row>
    <row r="15" spans="1:12" x14ac:dyDescent="0.25">
      <c r="A15">
        <v>1711</v>
      </c>
      <c r="B15" t="s">
        <v>38</v>
      </c>
      <c r="C15" t="s">
        <v>105</v>
      </c>
      <c r="D15" t="s">
        <v>7</v>
      </c>
      <c r="J15">
        <f t="shared" si="0"/>
        <v>0</v>
      </c>
      <c r="L15">
        <f t="shared" si="1"/>
        <v>0</v>
      </c>
    </row>
    <row r="16" spans="1:12" x14ac:dyDescent="0.25">
      <c r="A16">
        <v>1711</v>
      </c>
      <c r="B16" t="s">
        <v>34</v>
      </c>
      <c r="C16" t="s">
        <v>105</v>
      </c>
      <c r="D16" t="s">
        <v>7</v>
      </c>
      <c r="F16">
        <v>53</v>
      </c>
      <c r="J16">
        <f t="shared" si="0"/>
        <v>5936</v>
      </c>
      <c r="L16">
        <f t="shared" si="1"/>
        <v>2.65</v>
      </c>
    </row>
    <row r="17" spans="1:12" x14ac:dyDescent="0.25">
      <c r="A17">
        <v>1711</v>
      </c>
      <c r="B17" t="s">
        <v>19</v>
      </c>
      <c r="C17" t="s">
        <v>105</v>
      </c>
      <c r="D17" t="s">
        <v>7</v>
      </c>
      <c r="H17">
        <v>53153</v>
      </c>
      <c r="I17" t="s">
        <v>66</v>
      </c>
      <c r="J17">
        <f t="shared" si="0"/>
        <v>53153</v>
      </c>
      <c r="L17">
        <f t="shared" si="1"/>
        <v>23.729017857142857</v>
      </c>
    </row>
    <row r="18" spans="1:12" x14ac:dyDescent="0.25">
      <c r="A18">
        <v>1711</v>
      </c>
      <c r="B18" t="s">
        <v>28</v>
      </c>
      <c r="C18" t="s">
        <v>105</v>
      </c>
      <c r="D18" t="s">
        <v>7</v>
      </c>
      <c r="J18">
        <f t="shared" si="0"/>
        <v>0</v>
      </c>
      <c r="L18">
        <f t="shared" si="1"/>
        <v>0</v>
      </c>
    </row>
    <row r="19" spans="1:12" x14ac:dyDescent="0.25">
      <c r="A19">
        <v>1711</v>
      </c>
      <c r="B19" t="s">
        <v>27</v>
      </c>
      <c r="C19" t="s">
        <v>105</v>
      </c>
      <c r="D19" t="s">
        <v>7</v>
      </c>
      <c r="H19">
        <v>71847</v>
      </c>
      <c r="I19" t="s">
        <v>62</v>
      </c>
      <c r="J19">
        <f t="shared" si="0"/>
        <v>71847</v>
      </c>
      <c r="L19">
        <f t="shared" si="1"/>
        <v>32.074553571428574</v>
      </c>
    </row>
    <row r="20" spans="1:12" x14ac:dyDescent="0.25">
      <c r="A20">
        <v>1711</v>
      </c>
      <c r="B20" t="s">
        <v>14</v>
      </c>
      <c r="C20" t="s">
        <v>105</v>
      </c>
      <c r="D20" t="s">
        <v>7</v>
      </c>
      <c r="F20">
        <v>134</v>
      </c>
      <c r="J20">
        <f t="shared" si="0"/>
        <v>15008</v>
      </c>
      <c r="L20">
        <f t="shared" si="1"/>
        <v>6.7</v>
      </c>
    </row>
    <row r="21" spans="1:12" x14ac:dyDescent="0.25">
      <c r="A21">
        <v>1711</v>
      </c>
      <c r="B21" t="s">
        <v>17</v>
      </c>
      <c r="C21" t="s">
        <v>105</v>
      </c>
      <c r="D21" t="s">
        <v>7</v>
      </c>
      <c r="J21">
        <f t="shared" si="0"/>
        <v>0</v>
      </c>
      <c r="L21">
        <f t="shared" si="1"/>
        <v>0</v>
      </c>
    </row>
    <row r="22" spans="1:12" x14ac:dyDescent="0.25">
      <c r="A22">
        <v>1711</v>
      </c>
      <c r="B22" t="s">
        <v>30</v>
      </c>
      <c r="C22" t="s">
        <v>105</v>
      </c>
      <c r="D22" t="s">
        <v>7</v>
      </c>
      <c r="H22">
        <v>65</v>
      </c>
      <c r="J22">
        <f t="shared" si="0"/>
        <v>65</v>
      </c>
      <c r="L22">
        <f t="shared" si="1"/>
        <v>2.9017857142857144E-2</v>
      </c>
    </row>
    <row r="23" spans="1:12" x14ac:dyDescent="0.25">
      <c r="A23">
        <v>1711</v>
      </c>
      <c r="B23" t="s">
        <v>25</v>
      </c>
      <c r="C23" t="s">
        <v>105</v>
      </c>
      <c r="D23" t="s">
        <v>7</v>
      </c>
      <c r="F23">
        <v>37</v>
      </c>
      <c r="G23">
        <v>2</v>
      </c>
      <c r="H23">
        <v>16</v>
      </c>
      <c r="J23">
        <f t="shared" si="0"/>
        <v>4216</v>
      </c>
      <c r="L23">
        <f t="shared" si="1"/>
        <v>1.8821428571428571</v>
      </c>
    </row>
    <row r="24" spans="1:12" x14ac:dyDescent="0.25">
      <c r="A24">
        <v>1711</v>
      </c>
      <c r="B24" t="s">
        <v>20</v>
      </c>
      <c r="C24" t="s">
        <v>105</v>
      </c>
      <c r="D24" t="s">
        <v>7</v>
      </c>
      <c r="H24">
        <v>77157</v>
      </c>
      <c r="I24" t="s">
        <v>67</v>
      </c>
      <c r="J24">
        <f t="shared" si="0"/>
        <v>77157</v>
      </c>
      <c r="L24">
        <f t="shared" si="1"/>
        <v>34.445089285714289</v>
      </c>
    </row>
    <row r="25" spans="1:12" x14ac:dyDescent="0.25">
      <c r="A25">
        <v>1711</v>
      </c>
      <c r="B25" t="s">
        <v>22</v>
      </c>
      <c r="C25" t="s">
        <v>105</v>
      </c>
      <c r="D25" t="s">
        <v>7</v>
      </c>
      <c r="F25">
        <v>62</v>
      </c>
      <c r="G25">
        <v>3</v>
      </c>
      <c r="H25">
        <v>5</v>
      </c>
      <c r="J25">
        <f t="shared" si="0"/>
        <v>7033</v>
      </c>
      <c r="L25">
        <f t="shared" si="1"/>
        <v>3.139732142857143</v>
      </c>
    </row>
    <row r="26" spans="1:12" x14ac:dyDescent="0.25">
      <c r="A26">
        <v>1711</v>
      </c>
      <c r="B26" t="s">
        <v>37</v>
      </c>
      <c r="C26" t="s">
        <v>105</v>
      </c>
      <c r="D26" t="s">
        <v>7</v>
      </c>
      <c r="H26">
        <v>227</v>
      </c>
      <c r="J26">
        <f t="shared" si="0"/>
        <v>227</v>
      </c>
      <c r="L26">
        <f t="shared" si="1"/>
        <v>0.10133928571428572</v>
      </c>
    </row>
    <row r="27" spans="1:12" x14ac:dyDescent="0.25">
      <c r="A27">
        <v>1711</v>
      </c>
      <c r="B27" t="s">
        <v>35</v>
      </c>
      <c r="C27" t="s">
        <v>105</v>
      </c>
      <c r="D27" t="s">
        <v>7</v>
      </c>
      <c r="H27">
        <v>1941</v>
      </c>
      <c r="J27">
        <f t="shared" si="0"/>
        <v>1941</v>
      </c>
      <c r="L27">
        <f t="shared" si="1"/>
        <v>0.86651785714285712</v>
      </c>
    </row>
    <row r="28" spans="1:12" x14ac:dyDescent="0.25">
      <c r="A28">
        <v>1711</v>
      </c>
      <c r="B28" t="s">
        <v>18</v>
      </c>
      <c r="C28" t="s">
        <v>105</v>
      </c>
      <c r="D28" t="s">
        <v>7</v>
      </c>
      <c r="J28">
        <f t="shared" si="0"/>
        <v>0</v>
      </c>
      <c r="L28">
        <f t="shared" si="1"/>
        <v>0</v>
      </c>
    </row>
    <row r="29" spans="1:12" x14ac:dyDescent="0.25">
      <c r="A29">
        <v>1711</v>
      </c>
      <c r="B29" t="s">
        <v>21</v>
      </c>
      <c r="C29" t="s">
        <v>105</v>
      </c>
      <c r="D29" t="s">
        <v>7</v>
      </c>
      <c r="H29">
        <v>128</v>
      </c>
      <c r="J29">
        <f t="shared" si="0"/>
        <v>128</v>
      </c>
      <c r="L29">
        <f t="shared" si="1"/>
        <v>5.7142857142857141E-2</v>
      </c>
    </row>
    <row r="30" spans="1:12" x14ac:dyDescent="0.25">
      <c r="A30">
        <v>1711</v>
      </c>
      <c r="B30" t="s">
        <v>16</v>
      </c>
      <c r="C30" t="s">
        <v>105</v>
      </c>
      <c r="D30" t="s">
        <v>7</v>
      </c>
      <c r="F30">
        <v>715</v>
      </c>
      <c r="G30">
        <v>2</v>
      </c>
      <c r="H30">
        <v>20</v>
      </c>
      <c r="J30">
        <f t="shared" si="0"/>
        <v>80156</v>
      </c>
      <c r="L30">
        <f t="shared" si="1"/>
        <v>35.783928571428568</v>
      </c>
    </row>
    <row r="31" spans="1:12" x14ac:dyDescent="0.25">
      <c r="A31">
        <v>1711</v>
      </c>
      <c r="B31" t="s">
        <v>107</v>
      </c>
      <c r="C31" t="s">
        <v>105</v>
      </c>
      <c r="D31" t="s">
        <v>7</v>
      </c>
      <c r="F31">
        <v>200</v>
      </c>
      <c r="J31">
        <f t="shared" si="0"/>
        <v>22400</v>
      </c>
      <c r="L31">
        <f t="shared" si="1"/>
        <v>10</v>
      </c>
    </row>
    <row r="32" spans="1:12" x14ac:dyDescent="0.25">
      <c r="A32">
        <v>1711</v>
      </c>
      <c r="B32" t="s">
        <v>15</v>
      </c>
      <c r="C32" t="s">
        <v>105</v>
      </c>
      <c r="D32" t="s">
        <v>11</v>
      </c>
      <c r="F32">
        <v>29773</v>
      </c>
      <c r="H32">
        <v>15</v>
      </c>
      <c r="J32">
        <f t="shared" si="0"/>
        <v>3334591</v>
      </c>
      <c r="L32">
        <f t="shared" si="1"/>
        <v>1488.6566964285714</v>
      </c>
    </row>
    <row r="33" spans="1:12" x14ac:dyDescent="0.25">
      <c r="A33">
        <v>1711</v>
      </c>
      <c r="B33" t="s">
        <v>12</v>
      </c>
      <c r="C33" t="s">
        <v>105</v>
      </c>
      <c r="D33" t="s">
        <v>11</v>
      </c>
      <c r="H33">
        <v>280</v>
      </c>
      <c r="J33">
        <f t="shared" si="0"/>
        <v>280</v>
      </c>
      <c r="L33">
        <f t="shared" si="1"/>
        <v>0.125</v>
      </c>
    </row>
    <row r="34" spans="1:12" x14ac:dyDescent="0.25">
      <c r="A34">
        <v>1711</v>
      </c>
      <c r="B34" t="s">
        <v>39</v>
      </c>
      <c r="C34" t="s">
        <v>105</v>
      </c>
      <c r="D34" t="s">
        <v>11</v>
      </c>
      <c r="F34">
        <v>123</v>
      </c>
      <c r="G34">
        <v>1</v>
      </c>
      <c r="H34">
        <v>20</v>
      </c>
      <c r="J34">
        <f t="shared" si="0"/>
        <v>13824</v>
      </c>
      <c r="L34">
        <f t="shared" si="1"/>
        <v>6.1714285714285717</v>
      </c>
    </row>
    <row r="35" spans="1:12" x14ac:dyDescent="0.25">
      <c r="A35">
        <v>1711</v>
      </c>
      <c r="B35" t="s">
        <v>9</v>
      </c>
      <c r="C35" t="s">
        <v>105</v>
      </c>
      <c r="D35" t="s">
        <v>11</v>
      </c>
      <c r="H35">
        <v>64934</v>
      </c>
      <c r="J35">
        <f t="shared" si="0"/>
        <v>64934</v>
      </c>
      <c r="L35">
        <f t="shared" si="1"/>
        <v>28.988392857142856</v>
      </c>
    </row>
    <row r="36" spans="1:12" x14ac:dyDescent="0.25">
      <c r="A36">
        <v>1711</v>
      </c>
      <c r="B36" t="s">
        <v>13</v>
      </c>
      <c r="C36" t="s">
        <v>105</v>
      </c>
      <c r="D36" t="s">
        <v>11</v>
      </c>
      <c r="F36">
        <v>203</v>
      </c>
      <c r="G36">
        <v>3</v>
      </c>
      <c r="H36">
        <v>2</v>
      </c>
      <c r="J36">
        <f t="shared" si="0"/>
        <v>22822</v>
      </c>
      <c r="L36">
        <f t="shared" si="1"/>
        <v>10.188392857142857</v>
      </c>
    </row>
    <row r="37" spans="1:12" x14ac:dyDescent="0.25">
      <c r="A37">
        <v>1711</v>
      </c>
      <c r="B37" t="s">
        <v>8</v>
      </c>
      <c r="C37" t="s">
        <v>105</v>
      </c>
      <c r="D37" t="s">
        <v>11</v>
      </c>
      <c r="H37">
        <v>558</v>
      </c>
      <c r="J37">
        <f t="shared" si="0"/>
        <v>558</v>
      </c>
      <c r="L37">
        <f t="shared" si="1"/>
        <v>0.24910714285714286</v>
      </c>
    </row>
    <row r="38" spans="1:12" x14ac:dyDescent="0.25">
      <c r="A38">
        <v>1711</v>
      </c>
      <c r="B38" t="s">
        <v>34</v>
      </c>
      <c r="C38" t="s">
        <v>105</v>
      </c>
      <c r="D38" t="s">
        <v>11</v>
      </c>
      <c r="F38">
        <v>11</v>
      </c>
      <c r="G38">
        <v>2</v>
      </c>
      <c r="H38">
        <v>13</v>
      </c>
      <c r="J38">
        <f t="shared" si="0"/>
        <v>1301</v>
      </c>
      <c r="L38">
        <f t="shared" si="1"/>
        <v>0.58080357142857142</v>
      </c>
    </row>
    <row r="39" spans="1:12" x14ac:dyDescent="0.25">
      <c r="A39">
        <v>1711</v>
      </c>
      <c r="B39" t="s">
        <v>19</v>
      </c>
      <c r="C39" t="s">
        <v>105</v>
      </c>
      <c r="D39" t="s">
        <v>11</v>
      </c>
      <c r="H39">
        <v>24515</v>
      </c>
      <c r="I39" t="s">
        <v>89</v>
      </c>
      <c r="J39">
        <f t="shared" si="0"/>
        <v>24515</v>
      </c>
      <c r="L39">
        <f t="shared" si="1"/>
        <v>10.944196428571429</v>
      </c>
    </row>
    <row r="40" spans="1:12" x14ac:dyDescent="0.25">
      <c r="A40">
        <v>1711</v>
      </c>
      <c r="B40" t="s">
        <v>27</v>
      </c>
      <c r="C40" t="s">
        <v>105</v>
      </c>
      <c r="D40" t="s">
        <v>11</v>
      </c>
      <c r="H40">
        <v>4565</v>
      </c>
      <c r="I40" t="s">
        <v>88</v>
      </c>
      <c r="J40">
        <f t="shared" si="0"/>
        <v>4565</v>
      </c>
      <c r="L40">
        <f t="shared" si="1"/>
        <v>2.0379464285714284</v>
      </c>
    </row>
    <row r="41" spans="1:12" x14ac:dyDescent="0.25">
      <c r="A41">
        <v>1711</v>
      </c>
      <c r="B41" t="s">
        <v>14</v>
      </c>
      <c r="C41" t="s">
        <v>105</v>
      </c>
      <c r="D41" t="s">
        <v>11</v>
      </c>
      <c r="F41">
        <v>434</v>
      </c>
      <c r="G41">
        <v>3</v>
      </c>
      <c r="H41">
        <v>8</v>
      </c>
      <c r="J41">
        <f t="shared" si="0"/>
        <v>48700</v>
      </c>
      <c r="L41">
        <f t="shared" si="1"/>
        <v>21.741071428571427</v>
      </c>
    </row>
    <row r="42" spans="1:12" x14ac:dyDescent="0.25">
      <c r="A42">
        <v>1711</v>
      </c>
      <c r="B42" t="s">
        <v>25</v>
      </c>
      <c r="C42" t="s">
        <v>105</v>
      </c>
      <c r="D42" t="s">
        <v>11</v>
      </c>
      <c r="J42">
        <f t="shared" si="0"/>
        <v>0</v>
      </c>
      <c r="L42">
        <f t="shared" si="1"/>
        <v>0</v>
      </c>
    </row>
    <row r="43" spans="1:12" x14ac:dyDescent="0.25">
      <c r="A43">
        <v>1711</v>
      </c>
      <c r="B43" t="s">
        <v>20</v>
      </c>
      <c r="C43" t="s">
        <v>105</v>
      </c>
      <c r="D43" t="s">
        <v>11</v>
      </c>
      <c r="H43">
        <v>8099</v>
      </c>
      <c r="I43" t="s">
        <v>90</v>
      </c>
      <c r="J43">
        <f t="shared" si="0"/>
        <v>8099</v>
      </c>
      <c r="L43">
        <f t="shared" si="1"/>
        <v>3.6156250000000001</v>
      </c>
    </row>
    <row r="44" spans="1:12" x14ac:dyDescent="0.25">
      <c r="A44">
        <v>1711</v>
      </c>
      <c r="B44" t="s">
        <v>22</v>
      </c>
      <c r="C44" t="s">
        <v>105</v>
      </c>
      <c r="D44" t="s">
        <v>11</v>
      </c>
      <c r="F44">
        <v>3</v>
      </c>
      <c r="G44">
        <v>1</v>
      </c>
      <c r="H44">
        <v>20</v>
      </c>
      <c r="J44">
        <f t="shared" si="0"/>
        <v>384</v>
      </c>
      <c r="L44">
        <f t="shared" si="1"/>
        <v>0.17142857142857143</v>
      </c>
    </row>
    <row r="45" spans="1:12" x14ac:dyDescent="0.25">
      <c r="A45">
        <v>1711</v>
      </c>
      <c r="B45" t="s">
        <v>35</v>
      </c>
      <c r="C45" t="s">
        <v>105</v>
      </c>
      <c r="D45" t="s">
        <v>11</v>
      </c>
      <c r="H45">
        <v>269</v>
      </c>
      <c r="J45">
        <f t="shared" si="0"/>
        <v>269</v>
      </c>
      <c r="L45">
        <f t="shared" si="1"/>
        <v>0.12008928571428572</v>
      </c>
    </row>
    <row r="46" spans="1:12" x14ac:dyDescent="0.25">
      <c r="A46">
        <v>1711</v>
      </c>
      <c r="B46" t="s">
        <v>21</v>
      </c>
      <c r="C46" t="s">
        <v>105</v>
      </c>
      <c r="D46" t="s">
        <v>11</v>
      </c>
      <c r="H46">
        <v>652.5</v>
      </c>
      <c r="J46">
        <f t="shared" si="0"/>
        <v>652.5</v>
      </c>
      <c r="L46">
        <f t="shared" si="1"/>
        <v>0.29129464285714285</v>
      </c>
    </row>
    <row r="47" spans="1:12" x14ac:dyDescent="0.25">
      <c r="A47">
        <v>1711</v>
      </c>
      <c r="B47" t="s">
        <v>16</v>
      </c>
      <c r="C47" t="s">
        <v>105</v>
      </c>
      <c r="D47" t="s">
        <v>11</v>
      </c>
      <c r="F47">
        <v>211</v>
      </c>
      <c r="H47">
        <v>9</v>
      </c>
      <c r="J47">
        <f t="shared" si="0"/>
        <v>23641</v>
      </c>
      <c r="L47">
        <f t="shared" si="1"/>
        <v>10.554017857142858</v>
      </c>
    </row>
    <row r="48" spans="1:12" x14ac:dyDescent="0.25">
      <c r="J48">
        <f t="shared" si="0"/>
        <v>0</v>
      </c>
      <c r="L48">
        <f t="shared" si="1"/>
        <v>0</v>
      </c>
    </row>
    <row r="49" spans="10:12" x14ac:dyDescent="0.25">
      <c r="J49">
        <f t="shared" si="0"/>
        <v>0</v>
      </c>
      <c r="L49">
        <f t="shared" si="1"/>
        <v>0</v>
      </c>
    </row>
  </sheetData>
  <autoFilter ref="B1:P48" xr:uid="{AAD1F908-12B8-4B3A-A65D-184CD229ACD4}">
    <sortState xmlns:xlrd2="http://schemas.microsoft.com/office/spreadsheetml/2017/richdata2" ref="B2:P49">
      <sortCondition ref="D1:D48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1E722-BBCD-461E-A313-A1216A062DC6}">
  <dimension ref="A1:L7"/>
  <sheetViews>
    <sheetView workbookViewId="0">
      <selection activeCell="G6" sqref="G6"/>
    </sheetView>
  </sheetViews>
  <sheetFormatPr defaultRowHeight="15" x14ac:dyDescent="0.25"/>
  <cols>
    <col min="2" max="3" width="17.140625" customWidth="1"/>
    <col min="4" max="4" width="13.5703125" customWidth="1"/>
    <col min="7" max="7" width="12.42578125" customWidth="1"/>
    <col min="8" max="8" width="13.85546875" customWidth="1"/>
  </cols>
  <sheetData>
    <row r="1" spans="1:12" x14ac:dyDescent="0.25">
      <c r="A1" s="1" t="s">
        <v>99</v>
      </c>
      <c r="B1" s="1" t="s">
        <v>108</v>
      </c>
      <c r="C1" s="1" t="s">
        <v>101</v>
      </c>
      <c r="D1" s="1" t="s">
        <v>102</v>
      </c>
      <c r="E1" s="1" t="s">
        <v>56</v>
      </c>
      <c r="F1" s="1" t="s">
        <v>57</v>
      </c>
      <c r="G1" s="1" t="s">
        <v>58</v>
      </c>
      <c r="H1" s="1" t="s">
        <v>59</v>
      </c>
      <c r="I1" s="1"/>
      <c r="J1" s="1" t="s">
        <v>5</v>
      </c>
      <c r="K1" s="1"/>
      <c r="L1" s="1" t="s">
        <v>104</v>
      </c>
    </row>
    <row r="2" spans="1:12" x14ac:dyDescent="0.25">
      <c r="A2">
        <v>1711</v>
      </c>
      <c r="B2" t="s">
        <v>8</v>
      </c>
      <c r="C2" t="s">
        <v>110</v>
      </c>
      <c r="D2" t="s">
        <v>11</v>
      </c>
      <c r="H2">
        <v>141</v>
      </c>
      <c r="J2">
        <f t="shared" ref="J2:J3" si="0">(E2*2240)+(F2*112)+(G2*28)+H2</f>
        <v>141</v>
      </c>
      <c r="K2" s="1"/>
      <c r="L2">
        <f t="shared" ref="L2:L3" si="1">J2/2240</f>
        <v>6.294642857142857E-2</v>
      </c>
    </row>
    <row r="3" spans="1:12" x14ac:dyDescent="0.25">
      <c r="A3">
        <v>1711</v>
      </c>
      <c r="B3" t="s">
        <v>109</v>
      </c>
      <c r="C3" t="s">
        <v>110</v>
      </c>
      <c r="D3" t="s">
        <v>11</v>
      </c>
      <c r="E3">
        <v>44</v>
      </c>
      <c r="F3">
        <v>12</v>
      </c>
      <c r="G3">
        <v>3</v>
      </c>
      <c r="H3">
        <v>8</v>
      </c>
      <c r="J3">
        <f t="shared" si="0"/>
        <v>99996</v>
      </c>
      <c r="K3" s="1"/>
      <c r="L3">
        <f t="shared" si="1"/>
        <v>44.641071428571429</v>
      </c>
    </row>
    <row r="4" spans="1:12" x14ac:dyDescent="0.25">
      <c r="A4">
        <v>1711</v>
      </c>
      <c r="B4" t="s">
        <v>22</v>
      </c>
      <c r="C4" t="s">
        <v>110</v>
      </c>
      <c r="D4" t="s">
        <v>11</v>
      </c>
      <c r="F4">
        <v>1</v>
      </c>
      <c r="J4">
        <f>(E4*2240)+(F4*112)+(G4*28)+H4</f>
        <v>112</v>
      </c>
      <c r="L4">
        <f>J4/2240</f>
        <v>0.05</v>
      </c>
    </row>
    <row r="5" spans="1:12" x14ac:dyDescent="0.25">
      <c r="A5">
        <v>1711</v>
      </c>
      <c r="B5" t="s">
        <v>35</v>
      </c>
      <c r="C5" t="s">
        <v>110</v>
      </c>
      <c r="D5" t="s">
        <v>11</v>
      </c>
      <c r="H5">
        <v>87</v>
      </c>
      <c r="J5">
        <f t="shared" ref="J5:J7" si="2">(E5*2240)+(F5*112)+(G5*28)+H5</f>
        <v>87</v>
      </c>
      <c r="L5">
        <f t="shared" ref="L5:L7" si="3">J5/2240</f>
        <v>3.8839285714285715E-2</v>
      </c>
    </row>
    <row r="6" spans="1:12" x14ac:dyDescent="0.25">
      <c r="A6">
        <v>1711</v>
      </c>
      <c r="B6" t="s">
        <v>9</v>
      </c>
      <c r="C6" t="s">
        <v>110</v>
      </c>
      <c r="D6" t="s">
        <v>11</v>
      </c>
      <c r="H6">
        <v>112</v>
      </c>
      <c r="J6">
        <f t="shared" si="2"/>
        <v>112</v>
      </c>
      <c r="L6">
        <f t="shared" si="3"/>
        <v>0.05</v>
      </c>
    </row>
    <row r="7" spans="1:12" x14ac:dyDescent="0.25">
      <c r="A7">
        <v>1711</v>
      </c>
      <c r="B7" t="s">
        <v>39</v>
      </c>
      <c r="C7" t="s">
        <v>110</v>
      </c>
      <c r="D7" t="s">
        <v>11</v>
      </c>
      <c r="H7">
        <v>41</v>
      </c>
      <c r="J7">
        <f t="shared" si="2"/>
        <v>41</v>
      </c>
      <c r="L7">
        <f t="shared" si="3"/>
        <v>1.8303571428571429E-2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9DECF-9C4B-4D66-A34A-4FCAB8DD57FB}">
  <dimension ref="A1:L21"/>
  <sheetViews>
    <sheetView workbookViewId="0">
      <selection activeCell="Q9" sqref="N1:Q9"/>
    </sheetView>
  </sheetViews>
  <sheetFormatPr defaultRowHeight="15" x14ac:dyDescent="0.25"/>
  <cols>
    <col min="2" max="2" width="17" customWidth="1"/>
    <col min="3" max="3" width="13.85546875" customWidth="1"/>
    <col min="4" max="4" width="12.5703125" customWidth="1"/>
  </cols>
  <sheetData>
    <row r="1" spans="1:12" x14ac:dyDescent="0.25">
      <c r="A1" s="1" t="s">
        <v>99</v>
      </c>
      <c r="B1" s="1" t="s">
        <v>100</v>
      </c>
      <c r="C1" s="1" t="s">
        <v>101</v>
      </c>
      <c r="D1" s="1" t="s">
        <v>102</v>
      </c>
      <c r="E1" s="1" t="s">
        <v>56</v>
      </c>
      <c r="F1" s="1" t="s">
        <v>57</v>
      </c>
      <c r="G1" s="1" t="s">
        <v>58</v>
      </c>
      <c r="H1" s="1" t="s">
        <v>59</v>
      </c>
      <c r="I1" s="1"/>
      <c r="J1" s="1" t="s">
        <v>5</v>
      </c>
      <c r="K1" s="1"/>
      <c r="L1" s="1" t="s">
        <v>104</v>
      </c>
    </row>
    <row r="2" spans="1:12" x14ac:dyDescent="0.25">
      <c r="A2">
        <v>1711</v>
      </c>
      <c r="B2" t="s">
        <v>47</v>
      </c>
      <c r="C2" t="s">
        <v>111</v>
      </c>
      <c r="D2" t="s">
        <v>7</v>
      </c>
      <c r="F2">
        <v>1</v>
      </c>
      <c r="G2">
        <v>3</v>
      </c>
      <c r="H2">
        <v>14</v>
      </c>
      <c r="J2">
        <f t="shared" ref="J2:J21" si="0">(E2*2240)+(F2*112)+(G2*28)+H2</f>
        <v>210</v>
      </c>
      <c r="L2">
        <f t="shared" ref="L2:L21" si="1">J2/2240</f>
        <v>9.375E-2</v>
      </c>
    </row>
    <row r="3" spans="1:12" x14ac:dyDescent="0.25">
      <c r="A3">
        <v>1711</v>
      </c>
      <c r="B3" t="s">
        <v>15</v>
      </c>
      <c r="C3" t="s">
        <v>111</v>
      </c>
      <c r="D3" t="s">
        <v>7</v>
      </c>
      <c r="H3">
        <v>14</v>
      </c>
      <c r="J3">
        <f t="shared" si="0"/>
        <v>14</v>
      </c>
      <c r="L3">
        <f t="shared" si="1"/>
        <v>6.2500000000000003E-3</v>
      </c>
    </row>
    <row r="4" spans="1:12" x14ac:dyDescent="0.25">
      <c r="A4">
        <v>1711</v>
      </c>
      <c r="B4" t="s">
        <v>12</v>
      </c>
      <c r="C4" t="s">
        <v>111</v>
      </c>
      <c r="D4" t="s">
        <v>7</v>
      </c>
      <c r="J4">
        <f t="shared" si="0"/>
        <v>0</v>
      </c>
      <c r="L4">
        <f t="shared" si="1"/>
        <v>0</v>
      </c>
    </row>
    <row r="5" spans="1:12" x14ac:dyDescent="0.25">
      <c r="A5">
        <v>1711</v>
      </c>
      <c r="B5" t="s">
        <v>39</v>
      </c>
      <c r="C5" t="s">
        <v>111</v>
      </c>
      <c r="D5" t="s">
        <v>7</v>
      </c>
      <c r="F5">
        <v>431</v>
      </c>
      <c r="G5">
        <v>3</v>
      </c>
      <c r="H5">
        <v>21</v>
      </c>
      <c r="J5">
        <f t="shared" si="0"/>
        <v>48377</v>
      </c>
      <c r="L5">
        <f t="shared" si="1"/>
        <v>21.596875000000001</v>
      </c>
    </row>
    <row r="6" spans="1:12" x14ac:dyDescent="0.25">
      <c r="A6">
        <v>1711</v>
      </c>
      <c r="B6" t="s">
        <v>13</v>
      </c>
      <c r="C6" t="s">
        <v>111</v>
      </c>
      <c r="D6" t="s">
        <v>7</v>
      </c>
      <c r="G6">
        <v>3</v>
      </c>
      <c r="J6">
        <f t="shared" si="0"/>
        <v>84</v>
      </c>
      <c r="L6">
        <f t="shared" si="1"/>
        <v>3.7499999999999999E-2</v>
      </c>
    </row>
    <row r="7" spans="1:12" x14ac:dyDescent="0.25">
      <c r="A7">
        <v>1711</v>
      </c>
      <c r="B7" t="s">
        <v>23</v>
      </c>
      <c r="C7" t="s">
        <v>111</v>
      </c>
      <c r="D7" t="s">
        <v>7</v>
      </c>
      <c r="H7">
        <v>12</v>
      </c>
      <c r="J7">
        <f t="shared" si="0"/>
        <v>12</v>
      </c>
      <c r="L7">
        <f t="shared" si="1"/>
        <v>5.3571428571428572E-3</v>
      </c>
    </row>
    <row r="8" spans="1:12" x14ac:dyDescent="0.25">
      <c r="A8">
        <v>1711</v>
      </c>
      <c r="B8" t="s">
        <v>25</v>
      </c>
      <c r="C8" t="s">
        <v>111</v>
      </c>
      <c r="D8" t="s">
        <v>7</v>
      </c>
      <c r="F8">
        <v>2800</v>
      </c>
      <c r="G8">
        <v>2</v>
      </c>
      <c r="H8">
        <v>7</v>
      </c>
      <c r="J8">
        <f t="shared" si="0"/>
        <v>313663</v>
      </c>
      <c r="L8">
        <f t="shared" si="1"/>
        <v>140.02812499999999</v>
      </c>
    </row>
    <row r="9" spans="1:12" x14ac:dyDescent="0.25">
      <c r="A9">
        <v>1711</v>
      </c>
      <c r="B9" t="s">
        <v>18</v>
      </c>
      <c r="C9" t="s">
        <v>111</v>
      </c>
      <c r="D9" t="s">
        <v>7</v>
      </c>
      <c r="J9">
        <f t="shared" si="0"/>
        <v>0</v>
      </c>
      <c r="L9">
        <f t="shared" si="1"/>
        <v>0</v>
      </c>
    </row>
    <row r="10" spans="1:12" x14ac:dyDescent="0.25">
      <c r="A10">
        <v>1711</v>
      </c>
      <c r="B10" t="s">
        <v>21</v>
      </c>
      <c r="C10" t="s">
        <v>111</v>
      </c>
      <c r="D10" t="s">
        <v>7</v>
      </c>
      <c r="H10">
        <v>11</v>
      </c>
      <c r="J10">
        <f t="shared" si="0"/>
        <v>11</v>
      </c>
      <c r="L10">
        <f t="shared" si="1"/>
        <v>4.9107142857142856E-3</v>
      </c>
    </row>
    <row r="11" spans="1:12" x14ac:dyDescent="0.25">
      <c r="A11">
        <v>1711</v>
      </c>
      <c r="B11" t="s">
        <v>107</v>
      </c>
      <c r="C11" t="s">
        <v>111</v>
      </c>
      <c r="D11" t="s">
        <v>7</v>
      </c>
      <c r="E11">
        <v>6</v>
      </c>
      <c r="F11">
        <v>14</v>
      </c>
      <c r="J11">
        <f t="shared" si="0"/>
        <v>15008</v>
      </c>
      <c r="L11">
        <f t="shared" si="1"/>
        <v>6.7</v>
      </c>
    </row>
    <row r="12" spans="1:12" x14ac:dyDescent="0.25">
      <c r="A12">
        <v>1711</v>
      </c>
      <c r="B12" t="s">
        <v>109</v>
      </c>
      <c r="C12" t="s">
        <v>111</v>
      </c>
      <c r="D12" t="s">
        <v>7</v>
      </c>
      <c r="E12">
        <v>1</v>
      </c>
      <c r="F12">
        <v>7</v>
      </c>
      <c r="G12">
        <v>3</v>
      </c>
      <c r="J12">
        <f t="shared" si="0"/>
        <v>3108</v>
      </c>
      <c r="L12">
        <f t="shared" si="1"/>
        <v>1.3875</v>
      </c>
    </row>
    <row r="13" spans="1:12" x14ac:dyDescent="0.25">
      <c r="A13">
        <v>1711</v>
      </c>
      <c r="B13" t="s">
        <v>15</v>
      </c>
      <c r="C13" t="s">
        <v>111</v>
      </c>
      <c r="D13" t="s">
        <v>11</v>
      </c>
      <c r="J13">
        <f t="shared" si="0"/>
        <v>0</v>
      </c>
      <c r="L13">
        <f t="shared" si="1"/>
        <v>0</v>
      </c>
    </row>
    <row r="14" spans="1:12" x14ac:dyDescent="0.25">
      <c r="A14">
        <v>1711</v>
      </c>
      <c r="B14" t="s">
        <v>86</v>
      </c>
      <c r="C14" t="s">
        <v>111</v>
      </c>
      <c r="D14" t="s">
        <v>11</v>
      </c>
      <c r="F14">
        <v>52</v>
      </c>
      <c r="G14">
        <v>16</v>
      </c>
      <c r="H14">
        <v>11</v>
      </c>
      <c r="J14">
        <f t="shared" si="0"/>
        <v>6283</v>
      </c>
      <c r="L14">
        <f t="shared" si="1"/>
        <v>2.8049107142857141</v>
      </c>
    </row>
    <row r="15" spans="1:12" x14ac:dyDescent="0.25">
      <c r="A15">
        <v>1711</v>
      </c>
      <c r="B15" t="s">
        <v>39</v>
      </c>
      <c r="C15" t="s">
        <v>111</v>
      </c>
      <c r="D15" t="s">
        <v>11</v>
      </c>
      <c r="F15">
        <v>29</v>
      </c>
      <c r="H15">
        <v>3</v>
      </c>
      <c r="J15">
        <f t="shared" si="0"/>
        <v>3251</v>
      </c>
      <c r="L15">
        <f t="shared" si="1"/>
        <v>1.4513392857142857</v>
      </c>
    </row>
    <row r="16" spans="1:12" x14ac:dyDescent="0.25">
      <c r="A16">
        <v>1711</v>
      </c>
      <c r="B16" t="s">
        <v>77</v>
      </c>
      <c r="C16" t="s">
        <v>111</v>
      </c>
      <c r="D16" t="s">
        <v>11</v>
      </c>
      <c r="H16">
        <v>542</v>
      </c>
      <c r="J16">
        <f t="shared" si="0"/>
        <v>542</v>
      </c>
      <c r="L16">
        <f t="shared" si="1"/>
        <v>0.24196428571428572</v>
      </c>
    </row>
    <row r="17" spans="1:12" x14ac:dyDescent="0.25">
      <c r="A17">
        <v>1711</v>
      </c>
      <c r="B17" t="s">
        <v>9</v>
      </c>
      <c r="C17" t="s">
        <v>111</v>
      </c>
      <c r="D17" t="s">
        <v>11</v>
      </c>
      <c r="H17">
        <v>13664</v>
      </c>
      <c r="J17">
        <f t="shared" si="0"/>
        <v>13664</v>
      </c>
      <c r="L17">
        <f t="shared" si="1"/>
        <v>6.1</v>
      </c>
    </row>
    <row r="18" spans="1:12" x14ac:dyDescent="0.25">
      <c r="A18">
        <v>1711</v>
      </c>
      <c r="B18" t="s">
        <v>23</v>
      </c>
      <c r="C18" t="s">
        <v>111</v>
      </c>
      <c r="D18" t="s">
        <v>11</v>
      </c>
      <c r="J18">
        <f t="shared" si="0"/>
        <v>0</v>
      </c>
      <c r="L18">
        <f t="shared" si="1"/>
        <v>0</v>
      </c>
    </row>
    <row r="19" spans="1:12" x14ac:dyDescent="0.25">
      <c r="A19">
        <v>1711</v>
      </c>
      <c r="B19" t="s">
        <v>8</v>
      </c>
      <c r="C19" t="s">
        <v>111</v>
      </c>
      <c r="D19" t="s">
        <v>11</v>
      </c>
      <c r="J19">
        <f t="shared" si="0"/>
        <v>0</v>
      </c>
      <c r="L19">
        <f t="shared" si="1"/>
        <v>0</v>
      </c>
    </row>
    <row r="20" spans="1:12" x14ac:dyDescent="0.25">
      <c r="A20">
        <v>1711</v>
      </c>
      <c r="B20" t="s">
        <v>19</v>
      </c>
      <c r="C20" t="s">
        <v>111</v>
      </c>
      <c r="D20" t="s">
        <v>11</v>
      </c>
      <c r="H20">
        <v>156</v>
      </c>
      <c r="I20" t="s">
        <v>91</v>
      </c>
      <c r="J20">
        <f t="shared" si="0"/>
        <v>156</v>
      </c>
      <c r="L20">
        <f t="shared" si="1"/>
        <v>6.9642857142857145E-2</v>
      </c>
    </row>
    <row r="21" spans="1:12" x14ac:dyDescent="0.25">
      <c r="A21">
        <v>1711</v>
      </c>
      <c r="B21" t="s">
        <v>25</v>
      </c>
      <c r="C21" t="s">
        <v>111</v>
      </c>
      <c r="D21" t="s">
        <v>11</v>
      </c>
      <c r="F21">
        <v>5877</v>
      </c>
      <c r="H21">
        <v>1</v>
      </c>
      <c r="J21">
        <f t="shared" si="0"/>
        <v>658225</v>
      </c>
      <c r="L21">
        <f t="shared" si="1"/>
        <v>293.85044642857144</v>
      </c>
    </row>
  </sheetData>
  <autoFilter ref="A1:P21" xr:uid="{E339DECF-9C4B-4D66-A34A-4FCAB8DD57FB}">
    <sortState xmlns:xlrd2="http://schemas.microsoft.com/office/spreadsheetml/2017/richdata2" ref="A2:P21">
      <sortCondition ref="D1:D2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F7725-5A61-4A1B-A740-CC887BCB0E68}">
  <dimension ref="A1:Q54"/>
  <sheetViews>
    <sheetView topLeftCell="A28" zoomScaleNormal="100" workbookViewId="0">
      <selection activeCell="H16" sqref="H16"/>
    </sheetView>
  </sheetViews>
  <sheetFormatPr defaultRowHeight="15" x14ac:dyDescent="0.25"/>
  <cols>
    <col min="2" max="2" width="17.28515625" customWidth="1"/>
    <col min="3" max="3" width="16.85546875" customWidth="1"/>
    <col min="4" max="4" width="14.42578125" customWidth="1"/>
    <col min="8" max="8" width="13.7109375" customWidth="1"/>
  </cols>
  <sheetData>
    <row r="1" spans="1:17" x14ac:dyDescent="0.25">
      <c r="A1" s="1" t="s">
        <v>99</v>
      </c>
      <c r="B1" s="1" t="s">
        <v>100</v>
      </c>
      <c r="C1" s="1" t="s">
        <v>101</v>
      </c>
      <c r="D1" s="1" t="s">
        <v>102</v>
      </c>
      <c r="E1" s="1" t="s">
        <v>56</v>
      </c>
      <c r="F1" s="1" t="s">
        <v>57</v>
      </c>
      <c r="G1" s="1" t="s">
        <v>58</v>
      </c>
      <c r="H1" s="1" t="s">
        <v>59</v>
      </c>
      <c r="I1" s="1"/>
      <c r="J1" s="1" t="s">
        <v>5</v>
      </c>
      <c r="K1" s="1"/>
      <c r="L1" s="1" t="s">
        <v>104</v>
      </c>
      <c r="O1" t="s">
        <v>31</v>
      </c>
      <c r="Q1" t="s">
        <v>32</v>
      </c>
    </row>
    <row r="2" spans="1:17" x14ac:dyDescent="0.25">
      <c r="A2">
        <v>1711</v>
      </c>
      <c r="B2" t="s">
        <v>24</v>
      </c>
      <c r="C2" t="s">
        <v>112</v>
      </c>
      <c r="D2" t="s">
        <v>7</v>
      </c>
      <c r="J2">
        <f t="shared" ref="J2:J33" si="0">(E2*2240)+(F2*112)+(G2*28)+H2</f>
        <v>0</v>
      </c>
      <c r="L2">
        <f t="shared" ref="L2:L33" si="1">J2/2240</f>
        <v>0</v>
      </c>
    </row>
    <row r="3" spans="1:17" x14ac:dyDescent="0.25">
      <c r="A3">
        <v>1711</v>
      </c>
      <c r="B3" t="s">
        <v>47</v>
      </c>
      <c r="C3" t="s">
        <v>112</v>
      </c>
      <c r="D3" t="s">
        <v>7</v>
      </c>
      <c r="F3">
        <v>6</v>
      </c>
      <c r="J3">
        <f t="shared" si="0"/>
        <v>672</v>
      </c>
      <c r="L3">
        <f t="shared" si="1"/>
        <v>0.3</v>
      </c>
    </row>
    <row r="4" spans="1:17" x14ac:dyDescent="0.25">
      <c r="A4">
        <v>1711</v>
      </c>
      <c r="B4" t="s">
        <v>68</v>
      </c>
      <c r="C4" t="s">
        <v>112</v>
      </c>
      <c r="D4" t="s">
        <v>7</v>
      </c>
      <c r="F4">
        <v>2</v>
      </c>
      <c r="J4">
        <f t="shared" si="0"/>
        <v>224</v>
      </c>
      <c r="L4">
        <f t="shared" si="1"/>
        <v>0.1</v>
      </c>
    </row>
    <row r="5" spans="1:17" x14ac:dyDescent="0.25">
      <c r="A5">
        <v>1711</v>
      </c>
      <c r="B5" t="s">
        <v>15</v>
      </c>
      <c r="C5" t="s">
        <v>112</v>
      </c>
      <c r="D5" t="s">
        <v>7</v>
      </c>
      <c r="F5">
        <v>39849</v>
      </c>
      <c r="G5">
        <v>1</v>
      </c>
      <c r="H5">
        <v>14</v>
      </c>
      <c r="J5">
        <f t="shared" si="0"/>
        <v>4463130</v>
      </c>
      <c r="L5">
        <f t="shared" si="1"/>
        <v>1992.46875</v>
      </c>
    </row>
    <row r="6" spans="1:17" x14ac:dyDescent="0.25">
      <c r="A6">
        <v>1711</v>
      </c>
      <c r="B6" t="s">
        <v>12</v>
      </c>
      <c r="C6" t="s">
        <v>112</v>
      </c>
      <c r="D6" t="s">
        <v>7</v>
      </c>
      <c r="H6">
        <v>18</v>
      </c>
      <c r="J6">
        <f t="shared" si="0"/>
        <v>18</v>
      </c>
      <c r="L6">
        <f t="shared" si="1"/>
        <v>8.0357142857142849E-3</v>
      </c>
    </row>
    <row r="7" spans="1:17" x14ac:dyDescent="0.25">
      <c r="A7">
        <v>1711</v>
      </c>
      <c r="B7" t="s">
        <v>39</v>
      </c>
      <c r="C7" t="s">
        <v>112</v>
      </c>
      <c r="D7" t="s">
        <v>7</v>
      </c>
      <c r="F7">
        <v>801</v>
      </c>
      <c r="G7">
        <v>3</v>
      </c>
      <c r="J7">
        <f t="shared" si="0"/>
        <v>89796</v>
      </c>
      <c r="L7">
        <f t="shared" si="1"/>
        <v>40.087499999999999</v>
      </c>
    </row>
    <row r="8" spans="1:17" x14ac:dyDescent="0.25">
      <c r="A8">
        <v>1711</v>
      </c>
      <c r="B8" t="s">
        <v>72</v>
      </c>
      <c r="C8" t="s">
        <v>112</v>
      </c>
      <c r="D8" t="s">
        <v>7</v>
      </c>
      <c r="H8">
        <v>12</v>
      </c>
      <c r="J8">
        <f t="shared" si="0"/>
        <v>12</v>
      </c>
      <c r="L8">
        <f t="shared" si="1"/>
        <v>5.3571428571428572E-3</v>
      </c>
    </row>
    <row r="9" spans="1:17" x14ac:dyDescent="0.25">
      <c r="A9">
        <v>1711</v>
      </c>
      <c r="B9" t="s">
        <v>76</v>
      </c>
      <c r="C9" t="s">
        <v>112</v>
      </c>
      <c r="D9" t="s">
        <v>7</v>
      </c>
      <c r="E9">
        <v>7</v>
      </c>
      <c r="F9">
        <v>7</v>
      </c>
      <c r="G9">
        <v>1</v>
      </c>
      <c r="J9">
        <f t="shared" si="0"/>
        <v>16492</v>
      </c>
      <c r="L9">
        <f t="shared" si="1"/>
        <v>7.3624999999999998</v>
      </c>
    </row>
    <row r="10" spans="1:17" x14ac:dyDescent="0.25">
      <c r="A10">
        <v>1711</v>
      </c>
      <c r="B10" t="s">
        <v>9</v>
      </c>
      <c r="C10" t="s">
        <v>112</v>
      </c>
      <c r="D10" t="s">
        <v>7</v>
      </c>
      <c r="F10">
        <v>450</v>
      </c>
      <c r="J10">
        <f t="shared" si="0"/>
        <v>50400</v>
      </c>
      <c r="L10">
        <f t="shared" si="1"/>
        <v>22.5</v>
      </c>
    </row>
    <row r="11" spans="1:17" x14ac:dyDescent="0.25">
      <c r="A11">
        <v>1711</v>
      </c>
      <c r="B11" t="s">
        <v>13</v>
      </c>
      <c r="C11" t="s">
        <v>112</v>
      </c>
      <c r="D11" t="s">
        <v>7</v>
      </c>
      <c r="F11">
        <v>1325</v>
      </c>
      <c r="G11">
        <v>2</v>
      </c>
      <c r="H11">
        <v>19</v>
      </c>
      <c r="J11">
        <f t="shared" si="0"/>
        <v>148475</v>
      </c>
      <c r="L11">
        <f t="shared" si="1"/>
        <v>66.283482142857139</v>
      </c>
    </row>
    <row r="12" spans="1:17" x14ac:dyDescent="0.25">
      <c r="A12">
        <v>1711</v>
      </c>
      <c r="B12" t="s">
        <v>23</v>
      </c>
      <c r="C12" t="s">
        <v>112</v>
      </c>
      <c r="D12" t="s">
        <v>7</v>
      </c>
      <c r="J12">
        <f t="shared" si="0"/>
        <v>0</v>
      </c>
      <c r="L12">
        <f t="shared" si="1"/>
        <v>0</v>
      </c>
    </row>
    <row r="13" spans="1:17" x14ac:dyDescent="0.25">
      <c r="A13">
        <v>1711</v>
      </c>
      <c r="B13" t="s">
        <v>8</v>
      </c>
      <c r="C13" t="s">
        <v>112</v>
      </c>
      <c r="D13" t="s">
        <v>7</v>
      </c>
      <c r="H13">
        <v>14569</v>
      </c>
      <c r="J13">
        <f t="shared" si="0"/>
        <v>14569</v>
      </c>
      <c r="L13">
        <f t="shared" si="1"/>
        <v>6.5040178571428573</v>
      </c>
    </row>
    <row r="14" spans="1:17" x14ac:dyDescent="0.25">
      <c r="A14">
        <v>1711</v>
      </c>
      <c r="B14" t="s">
        <v>73</v>
      </c>
      <c r="C14" t="s">
        <v>112</v>
      </c>
      <c r="D14" t="s">
        <v>7</v>
      </c>
      <c r="F14">
        <v>18</v>
      </c>
      <c r="G14">
        <v>1</v>
      </c>
      <c r="H14">
        <v>26</v>
      </c>
      <c r="J14">
        <f t="shared" si="0"/>
        <v>2070</v>
      </c>
      <c r="L14">
        <f t="shared" si="1"/>
        <v>0.9241071428571429</v>
      </c>
    </row>
    <row r="15" spans="1:17" x14ac:dyDescent="0.25">
      <c r="A15">
        <v>1711</v>
      </c>
      <c r="B15" t="s">
        <v>19</v>
      </c>
      <c r="C15" t="s">
        <v>112</v>
      </c>
      <c r="D15" t="s">
        <v>7</v>
      </c>
      <c r="H15">
        <v>17977</v>
      </c>
      <c r="I15" t="s">
        <v>74</v>
      </c>
      <c r="J15">
        <f t="shared" si="0"/>
        <v>17977</v>
      </c>
      <c r="L15">
        <f t="shared" si="1"/>
        <v>8.0254464285714278</v>
      </c>
    </row>
    <row r="16" spans="1:17" x14ac:dyDescent="0.25">
      <c r="A16">
        <v>1711</v>
      </c>
      <c r="B16" t="s">
        <v>27</v>
      </c>
      <c r="C16" t="s">
        <v>112</v>
      </c>
      <c r="D16" t="s">
        <v>7</v>
      </c>
      <c r="H16">
        <v>4254</v>
      </c>
      <c r="I16" t="s">
        <v>69</v>
      </c>
      <c r="J16">
        <f t="shared" si="0"/>
        <v>4254</v>
      </c>
      <c r="L16">
        <f t="shared" si="1"/>
        <v>1.8991071428571429</v>
      </c>
    </row>
    <row r="17" spans="1:12" x14ac:dyDescent="0.25">
      <c r="A17">
        <v>1711</v>
      </c>
      <c r="B17" t="s">
        <v>14</v>
      </c>
      <c r="C17" t="s">
        <v>112</v>
      </c>
      <c r="D17" t="s">
        <v>7</v>
      </c>
      <c r="F17">
        <v>50</v>
      </c>
      <c r="G17">
        <v>2</v>
      </c>
      <c r="H17">
        <v>20</v>
      </c>
      <c r="J17">
        <f t="shared" si="0"/>
        <v>5676</v>
      </c>
      <c r="L17">
        <f t="shared" si="1"/>
        <v>2.5339285714285715</v>
      </c>
    </row>
    <row r="18" spans="1:12" x14ac:dyDescent="0.25">
      <c r="A18">
        <v>1711</v>
      </c>
      <c r="B18" t="s">
        <v>30</v>
      </c>
      <c r="C18" t="s">
        <v>112</v>
      </c>
      <c r="D18" t="s">
        <v>7</v>
      </c>
      <c r="H18">
        <v>56000</v>
      </c>
      <c r="J18">
        <f t="shared" si="0"/>
        <v>56000</v>
      </c>
      <c r="L18">
        <f t="shared" si="1"/>
        <v>25</v>
      </c>
    </row>
    <row r="19" spans="1:12" x14ac:dyDescent="0.25">
      <c r="A19">
        <v>1711</v>
      </c>
      <c r="B19" t="s">
        <v>20</v>
      </c>
      <c r="C19" t="s">
        <v>112</v>
      </c>
      <c r="D19" t="s">
        <v>7</v>
      </c>
      <c r="H19">
        <v>42991</v>
      </c>
      <c r="I19" t="s">
        <v>75</v>
      </c>
      <c r="J19">
        <f t="shared" si="0"/>
        <v>42991</v>
      </c>
      <c r="L19">
        <f t="shared" si="1"/>
        <v>19.192410714285714</v>
      </c>
    </row>
    <row r="20" spans="1:12" x14ac:dyDescent="0.25">
      <c r="A20">
        <v>1711</v>
      </c>
      <c r="B20" t="s">
        <v>22</v>
      </c>
      <c r="C20" t="s">
        <v>112</v>
      </c>
      <c r="D20" t="s">
        <v>7</v>
      </c>
      <c r="J20">
        <f t="shared" si="0"/>
        <v>0</v>
      </c>
      <c r="L20">
        <f t="shared" si="1"/>
        <v>0</v>
      </c>
    </row>
    <row r="21" spans="1:12" x14ac:dyDescent="0.25">
      <c r="A21">
        <v>1711</v>
      </c>
      <c r="B21" t="s">
        <v>37</v>
      </c>
      <c r="C21" t="s">
        <v>112</v>
      </c>
      <c r="D21" t="s">
        <v>7</v>
      </c>
      <c r="H21">
        <v>564</v>
      </c>
      <c r="J21">
        <f t="shared" si="0"/>
        <v>564</v>
      </c>
      <c r="L21">
        <f t="shared" si="1"/>
        <v>0.25178571428571428</v>
      </c>
    </row>
    <row r="22" spans="1:12" x14ac:dyDescent="0.25">
      <c r="A22">
        <v>1711</v>
      </c>
      <c r="B22" t="s">
        <v>35</v>
      </c>
      <c r="C22" t="s">
        <v>112</v>
      </c>
      <c r="D22" t="s">
        <v>7</v>
      </c>
      <c r="H22">
        <v>360</v>
      </c>
      <c r="J22">
        <f t="shared" si="0"/>
        <v>360</v>
      </c>
      <c r="L22">
        <f t="shared" si="1"/>
        <v>0.16071428571428573</v>
      </c>
    </row>
    <row r="23" spans="1:12" x14ac:dyDescent="0.25">
      <c r="A23">
        <v>1711</v>
      </c>
      <c r="B23" t="s">
        <v>26</v>
      </c>
      <c r="C23" t="s">
        <v>112</v>
      </c>
      <c r="D23" t="s">
        <v>7</v>
      </c>
      <c r="J23">
        <f t="shared" si="0"/>
        <v>0</v>
      </c>
      <c r="L23">
        <f t="shared" si="1"/>
        <v>0</v>
      </c>
    </row>
    <row r="24" spans="1:12" x14ac:dyDescent="0.25">
      <c r="A24">
        <v>1711</v>
      </c>
      <c r="B24" t="s">
        <v>18</v>
      </c>
      <c r="C24" t="s">
        <v>112</v>
      </c>
      <c r="D24" t="s">
        <v>7</v>
      </c>
      <c r="J24">
        <f t="shared" si="0"/>
        <v>0</v>
      </c>
      <c r="L24">
        <f t="shared" si="1"/>
        <v>0</v>
      </c>
    </row>
    <row r="25" spans="1:12" x14ac:dyDescent="0.25">
      <c r="A25">
        <v>1711</v>
      </c>
      <c r="B25" t="s">
        <v>21</v>
      </c>
      <c r="C25" t="s">
        <v>112</v>
      </c>
      <c r="D25" t="s">
        <v>7</v>
      </c>
      <c r="H25">
        <v>644</v>
      </c>
      <c r="J25">
        <f t="shared" si="0"/>
        <v>644</v>
      </c>
      <c r="L25">
        <f t="shared" si="1"/>
        <v>0.28749999999999998</v>
      </c>
    </row>
    <row r="26" spans="1:12" x14ac:dyDescent="0.25">
      <c r="A26">
        <v>1711</v>
      </c>
      <c r="B26" t="s">
        <v>16</v>
      </c>
      <c r="C26" t="s">
        <v>112</v>
      </c>
      <c r="D26" t="s">
        <v>7</v>
      </c>
      <c r="J26">
        <f t="shared" si="0"/>
        <v>0</v>
      </c>
      <c r="L26">
        <f t="shared" si="1"/>
        <v>0</v>
      </c>
    </row>
    <row r="27" spans="1:12" x14ac:dyDescent="0.25">
      <c r="A27">
        <v>1711</v>
      </c>
      <c r="B27" t="s">
        <v>106</v>
      </c>
      <c r="C27" t="s">
        <v>112</v>
      </c>
      <c r="D27" t="s">
        <v>7</v>
      </c>
      <c r="E27">
        <v>252</v>
      </c>
      <c r="F27">
        <v>10</v>
      </c>
      <c r="G27">
        <v>3</v>
      </c>
      <c r="H27">
        <v>20</v>
      </c>
      <c r="J27">
        <f t="shared" si="0"/>
        <v>565704</v>
      </c>
      <c r="L27">
        <f t="shared" si="1"/>
        <v>252.54642857142858</v>
      </c>
    </row>
    <row r="28" spans="1:12" x14ac:dyDescent="0.25">
      <c r="A28">
        <v>1711</v>
      </c>
      <c r="B28" t="s">
        <v>109</v>
      </c>
      <c r="C28" t="s">
        <v>112</v>
      </c>
      <c r="D28" t="s">
        <v>7</v>
      </c>
      <c r="E28">
        <v>133</v>
      </c>
      <c r="F28">
        <v>16</v>
      </c>
      <c r="G28">
        <v>1</v>
      </c>
      <c r="H28">
        <v>10</v>
      </c>
      <c r="J28">
        <f t="shared" si="0"/>
        <v>299750</v>
      </c>
      <c r="L28">
        <f t="shared" si="1"/>
        <v>133.81696428571428</v>
      </c>
    </row>
    <row r="29" spans="1:12" x14ac:dyDescent="0.25">
      <c r="A29">
        <v>1711</v>
      </c>
      <c r="B29" t="s">
        <v>113</v>
      </c>
      <c r="C29" t="s">
        <v>112</v>
      </c>
      <c r="D29" t="s">
        <v>7</v>
      </c>
      <c r="E29">
        <v>34</v>
      </c>
      <c r="F29">
        <v>5</v>
      </c>
      <c r="G29">
        <v>1</v>
      </c>
      <c r="J29">
        <f t="shared" si="0"/>
        <v>76748</v>
      </c>
      <c r="L29">
        <f t="shared" si="1"/>
        <v>34.262500000000003</v>
      </c>
    </row>
    <row r="30" spans="1:12" x14ac:dyDescent="0.25">
      <c r="A30">
        <v>1711</v>
      </c>
      <c r="B30" t="s">
        <v>70</v>
      </c>
      <c r="C30" t="s">
        <v>112</v>
      </c>
      <c r="D30" t="s">
        <v>7</v>
      </c>
      <c r="F30">
        <v>51</v>
      </c>
      <c r="G30">
        <v>2</v>
      </c>
      <c r="H30">
        <v>12</v>
      </c>
      <c r="I30" t="s">
        <v>71</v>
      </c>
      <c r="J30">
        <f t="shared" si="0"/>
        <v>5780</v>
      </c>
      <c r="L30">
        <f t="shared" si="1"/>
        <v>2.5803571428571428</v>
      </c>
    </row>
    <row r="31" spans="1:12" x14ac:dyDescent="0.25">
      <c r="A31">
        <v>1711</v>
      </c>
      <c r="B31" t="s">
        <v>15</v>
      </c>
      <c r="C31" t="s">
        <v>112</v>
      </c>
      <c r="D31" t="s">
        <v>11</v>
      </c>
      <c r="F31">
        <v>57994</v>
      </c>
      <c r="G31">
        <v>2</v>
      </c>
      <c r="H31">
        <v>26</v>
      </c>
      <c r="J31">
        <f t="shared" si="0"/>
        <v>6495410</v>
      </c>
      <c r="L31">
        <f t="shared" si="1"/>
        <v>2899.7366071428573</v>
      </c>
    </row>
    <row r="32" spans="1:12" x14ac:dyDescent="0.25">
      <c r="A32">
        <v>1711</v>
      </c>
      <c r="B32" t="s">
        <v>12</v>
      </c>
      <c r="C32" t="s">
        <v>112</v>
      </c>
      <c r="D32" t="s">
        <v>11</v>
      </c>
      <c r="H32">
        <v>17</v>
      </c>
      <c r="J32">
        <f t="shared" si="0"/>
        <v>17</v>
      </c>
      <c r="L32">
        <f t="shared" si="1"/>
        <v>7.5892857142857142E-3</v>
      </c>
    </row>
    <row r="33" spans="1:12" x14ac:dyDescent="0.25">
      <c r="A33">
        <v>1711</v>
      </c>
      <c r="B33" t="s">
        <v>39</v>
      </c>
      <c r="C33" t="s">
        <v>112</v>
      </c>
      <c r="D33" t="s">
        <v>11</v>
      </c>
      <c r="F33">
        <v>777</v>
      </c>
      <c r="G33">
        <v>3</v>
      </c>
      <c r="H33">
        <v>16</v>
      </c>
      <c r="J33">
        <f t="shared" si="0"/>
        <v>87124</v>
      </c>
      <c r="L33">
        <f t="shared" si="1"/>
        <v>38.894642857142856</v>
      </c>
    </row>
    <row r="34" spans="1:12" x14ac:dyDescent="0.25">
      <c r="A34">
        <v>1711</v>
      </c>
      <c r="B34" t="s">
        <v>76</v>
      </c>
      <c r="C34" t="s">
        <v>112</v>
      </c>
      <c r="D34" t="s">
        <v>11</v>
      </c>
      <c r="F34">
        <v>142</v>
      </c>
      <c r="G34">
        <v>3</v>
      </c>
      <c r="H34">
        <v>8</v>
      </c>
    </row>
    <row r="35" spans="1:12" x14ac:dyDescent="0.25">
      <c r="A35">
        <v>1711</v>
      </c>
      <c r="B35" t="s">
        <v>77</v>
      </c>
      <c r="C35" t="s">
        <v>112</v>
      </c>
      <c r="D35" t="s">
        <v>11</v>
      </c>
      <c r="H35">
        <v>1832</v>
      </c>
      <c r="J35">
        <f t="shared" ref="J35:J54" si="2">(E35*2240)+(F35*112)+(G35*28)+H35</f>
        <v>1832</v>
      </c>
      <c r="L35">
        <f t="shared" ref="L35:L54" si="3">J35/2240</f>
        <v>0.81785714285714284</v>
      </c>
    </row>
    <row r="36" spans="1:12" x14ac:dyDescent="0.25">
      <c r="A36">
        <v>1711</v>
      </c>
      <c r="B36" t="s">
        <v>9</v>
      </c>
      <c r="C36" t="s">
        <v>112</v>
      </c>
      <c r="D36" t="s">
        <v>11</v>
      </c>
      <c r="H36">
        <v>127320</v>
      </c>
      <c r="J36">
        <f t="shared" si="2"/>
        <v>127320</v>
      </c>
      <c r="L36">
        <f t="shared" si="3"/>
        <v>56.839285714285715</v>
      </c>
    </row>
    <row r="37" spans="1:12" x14ac:dyDescent="0.25">
      <c r="A37">
        <v>1711</v>
      </c>
      <c r="B37" t="s">
        <v>13</v>
      </c>
      <c r="C37" t="s">
        <v>112</v>
      </c>
      <c r="D37" t="s">
        <v>11</v>
      </c>
      <c r="F37">
        <v>1234</v>
      </c>
      <c r="G37">
        <v>3</v>
      </c>
      <c r="H37">
        <v>26</v>
      </c>
      <c r="J37">
        <f t="shared" si="2"/>
        <v>138318</v>
      </c>
      <c r="L37">
        <f t="shared" si="3"/>
        <v>61.749107142857142</v>
      </c>
    </row>
    <row r="38" spans="1:12" x14ac:dyDescent="0.25">
      <c r="A38">
        <v>1711</v>
      </c>
      <c r="B38" t="s">
        <v>23</v>
      </c>
      <c r="C38" t="s">
        <v>112</v>
      </c>
      <c r="D38" t="s">
        <v>11</v>
      </c>
      <c r="F38">
        <v>182</v>
      </c>
      <c r="G38">
        <v>2</v>
      </c>
      <c r="H38">
        <v>25</v>
      </c>
      <c r="J38">
        <f t="shared" si="2"/>
        <v>20465</v>
      </c>
      <c r="L38">
        <f t="shared" si="3"/>
        <v>9.1361607142857135</v>
      </c>
    </row>
    <row r="39" spans="1:12" x14ac:dyDescent="0.25">
      <c r="A39">
        <v>1711</v>
      </c>
      <c r="B39" t="s">
        <v>8</v>
      </c>
      <c r="C39" t="s">
        <v>112</v>
      </c>
      <c r="D39" t="s">
        <v>11</v>
      </c>
      <c r="H39">
        <v>48660</v>
      </c>
      <c r="J39">
        <f t="shared" si="2"/>
        <v>48660</v>
      </c>
      <c r="L39">
        <f t="shared" si="3"/>
        <v>21.723214285714285</v>
      </c>
    </row>
    <row r="40" spans="1:12" x14ac:dyDescent="0.25">
      <c r="A40">
        <v>1711</v>
      </c>
      <c r="B40" t="s">
        <v>34</v>
      </c>
      <c r="C40" t="s">
        <v>112</v>
      </c>
      <c r="D40" t="s">
        <v>11</v>
      </c>
      <c r="F40">
        <v>107</v>
      </c>
      <c r="G40">
        <v>2</v>
      </c>
      <c r="H40">
        <v>8</v>
      </c>
      <c r="J40">
        <f t="shared" si="2"/>
        <v>12048</v>
      </c>
      <c r="L40">
        <f t="shared" si="3"/>
        <v>5.378571428571429</v>
      </c>
    </row>
    <row r="41" spans="1:12" x14ac:dyDescent="0.25">
      <c r="A41">
        <v>1711</v>
      </c>
      <c r="B41" t="s">
        <v>19</v>
      </c>
      <c r="C41" t="s">
        <v>112</v>
      </c>
      <c r="D41" t="s">
        <v>11</v>
      </c>
      <c r="H41">
        <v>63179</v>
      </c>
      <c r="I41" t="s">
        <v>92</v>
      </c>
      <c r="J41">
        <f t="shared" si="2"/>
        <v>63179</v>
      </c>
      <c r="L41">
        <f t="shared" si="3"/>
        <v>28.204910714285713</v>
      </c>
    </row>
    <row r="42" spans="1:12" x14ac:dyDescent="0.25">
      <c r="A42">
        <v>1711</v>
      </c>
      <c r="B42" t="s">
        <v>14</v>
      </c>
      <c r="C42" t="s">
        <v>112</v>
      </c>
      <c r="D42" t="s">
        <v>11</v>
      </c>
      <c r="F42">
        <v>120</v>
      </c>
      <c r="J42">
        <f t="shared" si="2"/>
        <v>13440</v>
      </c>
      <c r="L42">
        <f t="shared" si="3"/>
        <v>6</v>
      </c>
    </row>
    <row r="43" spans="1:12" x14ac:dyDescent="0.25">
      <c r="A43">
        <v>1711</v>
      </c>
      <c r="B43" t="s">
        <v>30</v>
      </c>
      <c r="C43" t="s">
        <v>112</v>
      </c>
      <c r="D43" t="s">
        <v>11</v>
      </c>
      <c r="H43">
        <v>51440</v>
      </c>
      <c r="J43">
        <f t="shared" si="2"/>
        <v>51440</v>
      </c>
      <c r="L43">
        <f t="shared" si="3"/>
        <v>22.964285714285715</v>
      </c>
    </row>
    <row r="44" spans="1:12" x14ac:dyDescent="0.25">
      <c r="A44">
        <v>1711</v>
      </c>
      <c r="B44" t="s">
        <v>25</v>
      </c>
      <c r="C44" t="s">
        <v>112</v>
      </c>
      <c r="D44" t="s">
        <v>11</v>
      </c>
      <c r="F44">
        <v>25</v>
      </c>
      <c r="G44">
        <v>1</v>
      </c>
      <c r="J44">
        <f t="shared" si="2"/>
        <v>2828</v>
      </c>
      <c r="L44">
        <f t="shared" si="3"/>
        <v>1.2625</v>
      </c>
    </row>
    <row r="45" spans="1:12" x14ac:dyDescent="0.25">
      <c r="A45">
        <v>1711</v>
      </c>
      <c r="B45" t="s">
        <v>20</v>
      </c>
      <c r="C45" t="s">
        <v>112</v>
      </c>
      <c r="D45" t="s">
        <v>11</v>
      </c>
      <c r="H45">
        <v>38679</v>
      </c>
      <c r="I45" t="s">
        <v>93</v>
      </c>
      <c r="J45">
        <f t="shared" si="2"/>
        <v>38679</v>
      </c>
      <c r="L45">
        <f t="shared" si="3"/>
        <v>17.267410714285713</v>
      </c>
    </row>
    <row r="46" spans="1:12" x14ac:dyDescent="0.25">
      <c r="A46">
        <v>1711</v>
      </c>
      <c r="B46" t="s">
        <v>52</v>
      </c>
      <c r="C46" t="s">
        <v>112</v>
      </c>
      <c r="D46" t="s">
        <v>11</v>
      </c>
      <c r="H46">
        <v>51100</v>
      </c>
      <c r="J46">
        <f t="shared" si="2"/>
        <v>51100</v>
      </c>
      <c r="L46">
        <f t="shared" si="3"/>
        <v>22.8125</v>
      </c>
    </row>
    <row r="47" spans="1:12" x14ac:dyDescent="0.25">
      <c r="A47">
        <v>1711</v>
      </c>
      <c r="B47" t="s">
        <v>37</v>
      </c>
      <c r="C47" t="s">
        <v>112</v>
      </c>
      <c r="D47" t="s">
        <v>11</v>
      </c>
      <c r="J47">
        <f t="shared" si="2"/>
        <v>0</v>
      </c>
      <c r="L47">
        <f t="shared" si="3"/>
        <v>0</v>
      </c>
    </row>
    <row r="48" spans="1:12" x14ac:dyDescent="0.25">
      <c r="A48">
        <v>1711</v>
      </c>
      <c r="B48" t="s">
        <v>35</v>
      </c>
      <c r="C48" t="s">
        <v>112</v>
      </c>
      <c r="D48" t="s">
        <v>11</v>
      </c>
      <c r="H48">
        <v>739</v>
      </c>
      <c r="J48">
        <f t="shared" si="2"/>
        <v>739</v>
      </c>
      <c r="L48">
        <f t="shared" si="3"/>
        <v>0.32991071428571428</v>
      </c>
    </row>
    <row r="49" spans="1:12" x14ac:dyDescent="0.25">
      <c r="A49">
        <v>1711</v>
      </c>
      <c r="B49" t="s">
        <v>41</v>
      </c>
      <c r="C49" t="s">
        <v>112</v>
      </c>
      <c r="D49" t="s">
        <v>11</v>
      </c>
      <c r="J49">
        <f t="shared" si="2"/>
        <v>0</v>
      </c>
      <c r="L49">
        <f t="shared" si="3"/>
        <v>0</v>
      </c>
    </row>
    <row r="50" spans="1:12" x14ac:dyDescent="0.25">
      <c r="A50">
        <v>1711</v>
      </c>
      <c r="B50" t="s">
        <v>18</v>
      </c>
      <c r="C50" t="s">
        <v>112</v>
      </c>
      <c r="D50" t="s">
        <v>11</v>
      </c>
      <c r="H50">
        <v>123</v>
      </c>
      <c r="J50">
        <f t="shared" si="2"/>
        <v>123</v>
      </c>
      <c r="L50">
        <f t="shared" si="3"/>
        <v>5.4910714285714285E-2</v>
      </c>
    </row>
    <row r="51" spans="1:12" x14ac:dyDescent="0.25">
      <c r="A51">
        <v>1711</v>
      </c>
      <c r="B51" t="s">
        <v>21</v>
      </c>
      <c r="C51" t="s">
        <v>112</v>
      </c>
      <c r="D51" t="s">
        <v>11</v>
      </c>
      <c r="H51">
        <v>2831</v>
      </c>
      <c r="J51">
        <f t="shared" si="2"/>
        <v>2831</v>
      </c>
      <c r="L51">
        <f t="shared" si="3"/>
        <v>1.2638392857142857</v>
      </c>
    </row>
    <row r="52" spans="1:12" x14ac:dyDescent="0.25">
      <c r="A52">
        <v>1711</v>
      </c>
      <c r="B52" t="s">
        <v>16</v>
      </c>
      <c r="C52" t="s">
        <v>112</v>
      </c>
      <c r="D52" t="s">
        <v>11</v>
      </c>
      <c r="F52">
        <v>3</v>
      </c>
      <c r="G52">
        <v>1</v>
      </c>
      <c r="J52">
        <f t="shared" si="2"/>
        <v>364</v>
      </c>
      <c r="L52">
        <f t="shared" si="3"/>
        <v>0.16250000000000001</v>
      </c>
    </row>
    <row r="53" spans="1:12" x14ac:dyDescent="0.25">
      <c r="A53">
        <v>1711</v>
      </c>
      <c r="B53" t="s">
        <v>106</v>
      </c>
      <c r="C53" t="s">
        <v>112</v>
      </c>
      <c r="D53" t="s">
        <v>11</v>
      </c>
      <c r="E53">
        <v>282</v>
      </c>
      <c r="F53">
        <v>11</v>
      </c>
      <c r="H53">
        <v>2</v>
      </c>
      <c r="J53">
        <f t="shared" si="2"/>
        <v>632914</v>
      </c>
      <c r="L53">
        <f t="shared" si="3"/>
        <v>282.55089285714286</v>
      </c>
    </row>
    <row r="54" spans="1:12" x14ac:dyDescent="0.25">
      <c r="A54">
        <v>1711</v>
      </c>
      <c r="B54" t="s">
        <v>109</v>
      </c>
      <c r="C54" t="s">
        <v>112</v>
      </c>
      <c r="D54" t="s">
        <v>11</v>
      </c>
      <c r="E54">
        <v>117</v>
      </c>
      <c r="F54">
        <v>1</v>
      </c>
      <c r="G54">
        <v>1</v>
      </c>
      <c r="H54">
        <v>4</v>
      </c>
      <c r="J54">
        <f t="shared" si="2"/>
        <v>262224</v>
      </c>
      <c r="L54">
        <f t="shared" si="3"/>
        <v>117.06428571428572</v>
      </c>
    </row>
  </sheetData>
  <autoFilter ref="A1:Q54" xr:uid="{8C2F7725-5A61-4A1B-A740-CC887BCB0E68}">
    <sortState xmlns:xlrd2="http://schemas.microsoft.com/office/spreadsheetml/2017/richdata2" ref="A2:Q54">
      <sortCondition ref="D1:D54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A6339-1E58-4188-80A6-B4580F70757D}">
  <dimension ref="A1:L27"/>
  <sheetViews>
    <sheetView workbookViewId="0">
      <selection sqref="A1:L1"/>
    </sheetView>
  </sheetViews>
  <sheetFormatPr defaultRowHeight="15" x14ac:dyDescent="0.25"/>
  <cols>
    <col min="2" max="2" width="19.85546875" customWidth="1"/>
    <col min="3" max="3" width="18.7109375" customWidth="1"/>
    <col min="4" max="4" width="16.5703125" customWidth="1"/>
  </cols>
  <sheetData>
    <row r="1" spans="1:12" x14ac:dyDescent="0.25">
      <c r="A1" s="1" t="s">
        <v>99</v>
      </c>
      <c r="B1" s="1" t="s">
        <v>100</v>
      </c>
      <c r="C1" s="1" t="s">
        <v>101</v>
      </c>
      <c r="D1" s="1" t="s">
        <v>102</v>
      </c>
      <c r="E1" s="1" t="s">
        <v>56</v>
      </c>
      <c r="F1" s="1" t="s">
        <v>57</v>
      </c>
      <c r="G1" s="1" t="s">
        <v>58</v>
      </c>
      <c r="H1" s="1" t="s">
        <v>59</v>
      </c>
      <c r="I1" s="1"/>
      <c r="J1" s="1" t="s">
        <v>5</v>
      </c>
      <c r="K1" s="1"/>
      <c r="L1" s="1" t="s">
        <v>104</v>
      </c>
    </row>
    <row r="2" spans="1:12" x14ac:dyDescent="0.25">
      <c r="A2">
        <v>1711</v>
      </c>
      <c r="B2" t="s">
        <v>15</v>
      </c>
      <c r="C2" t="s">
        <v>114</v>
      </c>
      <c r="D2" t="s">
        <v>7</v>
      </c>
      <c r="F2">
        <v>9017</v>
      </c>
      <c r="H2">
        <v>15</v>
      </c>
      <c r="J2">
        <f t="shared" ref="J2:J27" si="0">(E2*2240)+(F2*112)+(G2*28)+H2</f>
        <v>1009919</v>
      </c>
      <c r="L2">
        <f t="shared" ref="L2:L27" si="1">J2/2240</f>
        <v>450.85669642857141</v>
      </c>
    </row>
    <row r="3" spans="1:12" x14ac:dyDescent="0.25">
      <c r="A3">
        <v>1711</v>
      </c>
      <c r="B3" t="s">
        <v>12</v>
      </c>
      <c r="C3" t="s">
        <v>114</v>
      </c>
      <c r="D3" t="s">
        <v>7</v>
      </c>
      <c r="J3">
        <f t="shared" si="0"/>
        <v>0</v>
      </c>
      <c r="L3">
        <f t="shared" si="1"/>
        <v>0</v>
      </c>
    </row>
    <row r="4" spans="1:12" x14ac:dyDescent="0.25">
      <c r="A4">
        <v>1711</v>
      </c>
      <c r="B4" t="s">
        <v>39</v>
      </c>
      <c r="C4" t="s">
        <v>114</v>
      </c>
      <c r="D4" t="s">
        <v>7</v>
      </c>
      <c r="F4">
        <v>6</v>
      </c>
      <c r="G4">
        <v>2</v>
      </c>
      <c r="H4">
        <v>5</v>
      </c>
      <c r="J4">
        <f t="shared" si="0"/>
        <v>733</v>
      </c>
      <c r="L4">
        <f t="shared" si="1"/>
        <v>0.32723214285714286</v>
      </c>
    </row>
    <row r="5" spans="1:12" x14ac:dyDescent="0.25">
      <c r="A5">
        <v>1711</v>
      </c>
      <c r="B5" t="s">
        <v>77</v>
      </c>
      <c r="C5" t="s">
        <v>114</v>
      </c>
      <c r="D5" t="s">
        <v>7</v>
      </c>
      <c r="E5" s="1"/>
      <c r="F5" s="1"/>
      <c r="G5" s="1"/>
      <c r="H5">
        <v>1166</v>
      </c>
      <c r="I5" s="1"/>
      <c r="J5">
        <f t="shared" si="0"/>
        <v>1166</v>
      </c>
      <c r="K5" s="1"/>
      <c r="L5">
        <f t="shared" si="1"/>
        <v>0.52053571428571432</v>
      </c>
    </row>
    <row r="6" spans="1:12" x14ac:dyDescent="0.25">
      <c r="A6">
        <v>1711</v>
      </c>
      <c r="B6" t="s">
        <v>9</v>
      </c>
      <c r="C6" t="s">
        <v>114</v>
      </c>
      <c r="D6" t="s">
        <v>7</v>
      </c>
      <c r="F6">
        <v>6</v>
      </c>
      <c r="J6">
        <f t="shared" si="0"/>
        <v>672</v>
      </c>
      <c r="L6">
        <f t="shared" si="1"/>
        <v>0.3</v>
      </c>
    </row>
    <row r="7" spans="1:12" x14ac:dyDescent="0.25">
      <c r="A7">
        <v>1711</v>
      </c>
      <c r="B7" t="s">
        <v>10</v>
      </c>
      <c r="C7" t="s">
        <v>114</v>
      </c>
      <c r="D7" t="s">
        <v>7</v>
      </c>
      <c r="J7">
        <f t="shared" si="0"/>
        <v>0</v>
      </c>
      <c r="L7">
        <f t="shared" si="1"/>
        <v>0</v>
      </c>
    </row>
    <row r="8" spans="1:12" x14ac:dyDescent="0.25">
      <c r="A8">
        <v>1711</v>
      </c>
      <c r="B8" t="s">
        <v>8</v>
      </c>
      <c r="C8" t="s">
        <v>114</v>
      </c>
      <c r="D8" t="s">
        <v>7</v>
      </c>
      <c r="H8">
        <v>14747</v>
      </c>
      <c r="J8">
        <f t="shared" si="0"/>
        <v>14747</v>
      </c>
      <c r="L8">
        <f t="shared" si="1"/>
        <v>6.5834821428571431</v>
      </c>
    </row>
    <row r="9" spans="1:12" x14ac:dyDescent="0.25">
      <c r="A9">
        <v>1711</v>
      </c>
      <c r="B9" t="s">
        <v>34</v>
      </c>
      <c r="C9" t="s">
        <v>114</v>
      </c>
      <c r="D9" t="s">
        <v>7</v>
      </c>
      <c r="J9">
        <f t="shared" si="0"/>
        <v>0</v>
      </c>
      <c r="L9">
        <f t="shared" si="1"/>
        <v>0</v>
      </c>
    </row>
    <row r="10" spans="1:12" x14ac:dyDescent="0.25">
      <c r="A10">
        <v>1711</v>
      </c>
      <c r="B10" t="s">
        <v>19</v>
      </c>
      <c r="C10" t="s">
        <v>114</v>
      </c>
      <c r="D10" t="s">
        <v>7</v>
      </c>
      <c r="J10">
        <f t="shared" si="0"/>
        <v>0</v>
      </c>
      <c r="L10">
        <f t="shared" si="1"/>
        <v>0</v>
      </c>
    </row>
    <row r="11" spans="1:12" x14ac:dyDescent="0.25">
      <c r="A11">
        <v>1711</v>
      </c>
      <c r="B11" t="s">
        <v>27</v>
      </c>
      <c r="C11" t="s">
        <v>114</v>
      </c>
      <c r="D11" t="s">
        <v>7</v>
      </c>
      <c r="H11">
        <v>1540</v>
      </c>
      <c r="I11" t="s">
        <v>78</v>
      </c>
      <c r="J11">
        <f t="shared" si="0"/>
        <v>1540</v>
      </c>
      <c r="L11">
        <f t="shared" si="1"/>
        <v>0.6875</v>
      </c>
    </row>
    <row r="12" spans="1:12" x14ac:dyDescent="0.25">
      <c r="A12">
        <v>1711</v>
      </c>
      <c r="B12" t="s">
        <v>14</v>
      </c>
      <c r="C12" t="s">
        <v>114</v>
      </c>
      <c r="D12" t="s">
        <v>7</v>
      </c>
      <c r="J12">
        <f t="shared" si="0"/>
        <v>0</v>
      </c>
      <c r="L12">
        <f t="shared" si="1"/>
        <v>0</v>
      </c>
    </row>
    <row r="13" spans="1:12" x14ac:dyDescent="0.25">
      <c r="A13">
        <v>1711</v>
      </c>
      <c r="B13" t="s">
        <v>30</v>
      </c>
      <c r="C13" t="s">
        <v>114</v>
      </c>
      <c r="D13" t="s">
        <v>7</v>
      </c>
      <c r="H13">
        <v>2585</v>
      </c>
      <c r="J13">
        <f t="shared" si="0"/>
        <v>2585</v>
      </c>
      <c r="L13">
        <f t="shared" si="1"/>
        <v>1.1540178571428572</v>
      </c>
    </row>
    <row r="14" spans="1:12" x14ac:dyDescent="0.25">
      <c r="A14">
        <v>1711</v>
      </c>
      <c r="B14" t="s">
        <v>20</v>
      </c>
      <c r="C14" t="s">
        <v>114</v>
      </c>
      <c r="D14" t="s">
        <v>7</v>
      </c>
      <c r="H14">
        <v>676</v>
      </c>
      <c r="I14" t="s">
        <v>79</v>
      </c>
      <c r="J14">
        <f t="shared" si="0"/>
        <v>676</v>
      </c>
      <c r="L14">
        <f t="shared" si="1"/>
        <v>0.30178571428571427</v>
      </c>
    </row>
    <row r="15" spans="1:12" x14ac:dyDescent="0.25">
      <c r="A15">
        <v>1711</v>
      </c>
      <c r="B15" t="s">
        <v>22</v>
      </c>
      <c r="C15" t="s">
        <v>114</v>
      </c>
      <c r="D15" t="s">
        <v>7</v>
      </c>
      <c r="F15">
        <v>1</v>
      </c>
      <c r="H15">
        <v>14</v>
      </c>
      <c r="J15">
        <f t="shared" si="0"/>
        <v>126</v>
      </c>
      <c r="L15">
        <f t="shared" si="1"/>
        <v>5.6250000000000001E-2</v>
      </c>
    </row>
    <row r="16" spans="1:12" x14ac:dyDescent="0.25">
      <c r="A16">
        <v>1711</v>
      </c>
      <c r="B16" t="s">
        <v>35</v>
      </c>
      <c r="C16" t="s">
        <v>114</v>
      </c>
      <c r="D16" t="s">
        <v>7</v>
      </c>
      <c r="J16">
        <f t="shared" si="0"/>
        <v>0</v>
      </c>
      <c r="L16">
        <f t="shared" si="1"/>
        <v>0</v>
      </c>
    </row>
    <row r="17" spans="1:12" x14ac:dyDescent="0.25">
      <c r="A17">
        <v>1711</v>
      </c>
      <c r="B17" t="s">
        <v>21</v>
      </c>
      <c r="C17" t="s">
        <v>114</v>
      </c>
      <c r="D17" t="s">
        <v>7</v>
      </c>
      <c r="H17">
        <v>40</v>
      </c>
      <c r="J17">
        <f t="shared" si="0"/>
        <v>40</v>
      </c>
      <c r="L17">
        <f t="shared" si="1"/>
        <v>1.7857142857142856E-2</v>
      </c>
    </row>
    <row r="18" spans="1:12" x14ac:dyDescent="0.25">
      <c r="A18">
        <v>1711</v>
      </c>
      <c r="B18" t="s">
        <v>16</v>
      </c>
      <c r="C18" t="s">
        <v>114</v>
      </c>
      <c r="D18" t="s">
        <v>7</v>
      </c>
      <c r="F18">
        <v>38</v>
      </c>
      <c r="G18">
        <v>2</v>
      </c>
      <c r="H18">
        <v>10</v>
      </c>
      <c r="J18">
        <f t="shared" si="0"/>
        <v>4322</v>
      </c>
      <c r="L18">
        <f t="shared" si="1"/>
        <v>1.9294642857142856</v>
      </c>
    </row>
    <row r="19" spans="1:12" x14ac:dyDescent="0.25">
      <c r="A19">
        <v>1711</v>
      </c>
      <c r="B19" t="s">
        <v>15</v>
      </c>
      <c r="C19" t="s">
        <v>114</v>
      </c>
      <c r="D19" t="s">
        <v>11</v>
      </c>
      <c r="F19">
        <v>3055</v>
      </c>
      <c r="G19">
        <v>3</v>
      </c>
      <c r="H19">
        <v>26</v>
      </c>
      <c r="J19">
        <f t="shared" si="0"/>
        <v>342270</v>
      </c>
      <c r="L19">
        <f t="shared" si="1"/>
        <v>152.79910714285714</v>
      </c>
    </row>
    <row r="20" spans="1:12" x14ac:dyDescent="0.25">
      <c r="A20">
        <v>1711</v>
      </c>
      <c r="B20" t="s">
        <v>86</v>
      </c>
      <c r="C20" t="s">
        <v>114</v>
      </c>
      <c r="D20" t="s">
        <v>11</v>
      </c>
      <c r="H20">
        <v>499</v>
      </c>
      <c r="J20">
        <f t="shared" si="0"/>
        <v>499</v>
      </c>
      <c r="L20">
        <f t="shared" si="1"/>
        <v>0.22276785714285716</v>
      </c>
    </row>
    <row r="21" spans="1:12" x14ac:dyDescent="0.25">
      <c r="A21">
        <v>1711</v>
      </c>
      <c r="B21" t="s">
        <v>39</v>
      </c>
      <c r="C21" t="s">
        <v>114</v>
      </c>
      <c r="D21" t="s">
        <v>11</v>
      </c>
      <c r="F21">
        <v>1</v>
      </c>
      <c r="G21">
        <v>1</v>
      </c>
      <c r="H21">
        <v>18</v>
      </c>
      <c r="J21">
        <f t="shared" si="0"/>
        <v>158</v>
      </c>
      <c r="L21">
        <f t="shared" si="1"/>
        <v>7.0535714285714285E-2</v>
      </c>
    </row>
    <row r="22" spans="1:12" x14ac:dyDescent="0.25">
      <c r="A22">
        <v>1711</v>
      </c>
      <c r="B22" t="s">
        <v>9</v>
      </c>
      <c r="C22" t="s">
        <v>114</v>
      </c>
      <c r="D22" t="s">
        <v>11</v>
      </c>
      <c r="H22">
        <v>1220</v>
      </c>
      <c r="J22">
        <f t="shared" si="0"/>
        <v>1220</v>
      </c>
      <c r="L22">
        <f t="shared" si="1"/>
        <v>0.5446428571428571</v>
      </c>
    </row>
    <row r="23" spans="1:12" x14ac:dyDescent="0.25">
      <c r="A23">
        <v>1711</v>
      </c>
      <c r="B23" t="s">
        <v>13</v>
      </c>
      <c r="C23" t="s">
        <v>114</v>
      </c>
      <c r="D23" t="s">
        <v>11</v>
      </c>
      <c r="F23">
        <v>24</v>
      </c>
      <c r="G23">
        <v>1</v>
      </c>
      <c r="H23">
        <v>22</v>
      </c>
      <c r="J23">
        <f t="shared" si="0"/>
        <v>2738</v>
      </c>
      <c r="L23">
        <f t="shared" si="1"/>
        <v>1.2223214285714286</v>
      </c>
    </row>
    <row r="24" spans="1:12" x14ac:dyDescent="0.25">
      <c r="A24">
        <v>1711</v>
      </c>
      <c r="B24" t="s">
        <v>10</v>
      </c>
      <c r="C24" t="s">
        <v>114</v>
      </c>
      <c r="D24" t="s">
        <v>11</v>
      </c>
      <c r="J24">
        <f t="shared" si="0"/>
        <v>0</v>
      </c>
      <c r="L24">
        <f t="shared" si="1"/>
        <v>0</v>
      </c>
    </row>
    <row r="25" spans="1:12" x14ac:dyDescent="0.25">
      <c r="A25">
        <v>1711</v>
      </c>
      <c r="B25" t="s">
        <v>8</v>
      </c>
      <c r="C25" t="s">
        <v>114</v>
      </c>
      <c r="D25" t="s">
        <v>11</v>
      </c>
      <c r="H25">
        <v>18047</v>
      </c>
      <c r="J25">
        <f t="shared" si="0"/>
        <v>18047</v>
      </c>
      <c r="L25">
        <f t="shared" si="1"/>
        <v>8.0566964285714278</v>
      </c>
    </row>
    <row r="26" spans="1:12" x14ac:dyDescent="0.25">
      <c r="A26">
        <v>1711</v>
      </c>
      <c r="B26" t="s">
        <v>19</v>
      </c>
      <c r="C26" t="s">
        <v>114</v>
      </c>
      <c r="D26" t="s">
        <v>11</v>
      </c>
      <c r="H26">
        <v>1560</v>
      </c>
      <c r="I26" t="s">
        <v>94</v>
      </c>
      <c r="J26">
        <f t="shared" si="0"/>
        <v>1560</v>
      </c>
      <c r="L26">
        <f t="shared" si="1"/>
        <v>0.6964285714285714</v>
      </c>
    </row>
    <row r="27" spans="1:12" x14ac:dyDescent="0.25">
      <c r="A27">
        <v>1711</v>
      </c>
      <c r="B27" t="s">
        <v>30</v>
      </c>
      <c r="C27" t="s">
        <v>114</v>
      </c>
      <c r="D27" t="s">
        <v>11</v>
      </c>
      <c r="H27">
        <v>5095</v>
      </c>
      <c r="J27">
        <f t="shared" si="0"/>
        <v>5095</v>
      </c>
      <c r="L27">
        <f t="shared" si="1"/>
        <v>2.2745535714285716</v>
      </c>
    </row>
  </sheetData>
  <autoFilter ref="A1:Q27" xr:uid="{782A6339-1E58-4188-80A6-B4580F70757D}">
    <sortState xmlns:xlrd2="http://schemas.microsoft.com/office/spreadsheetml/2017/richdata2" ref="A2:Q27">
      <sortCondition ref="D1:D27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C4C2D-B143-49EB-AE6F-B3BFFAC00D68}">
  <dimension ref="A1:P33"/>
  <sheetViews>
    <sheetView workbookViewId="0">
      <selection activeCell="H24" sqref="H24"/>
    </sheetView>
  </sheetViews>
  <sheetFormatPr defaultRowHeight="15" x14ac:dyDescent="0.25"/>
  <cols>
    <col min="2" max="3" width="15.85546875" customWidth="1"/>
  </cols>
  <sheetData>
    <row r="1" spans="1:16" x14ac:dyDescent="0.25">
      <c r="A1" s="1" t="s">
        <v>99</v>
      </c>
      <c r="B1" s="1" t="s">
        <v>100</v>
      </c>
      <c r="C1" s="1" t="s">
        <v>101</v>
      </c>
      <c r="D1" s="1" t="s">
        <v>102</v>
      </c>
      <c r="E1" s="1" t="s">
        <v>56</v>
      </c>
      <c r="F1" s="1" t="s">
        <v>57</v>
      </c>
      <c r="G1" s="1" t="s">
        <v>58</v>
      </c>
      <c r="H1" s="1" t="s">
        <v>59</v>
      </c>
      <c r="I1" s="1"/>
      <c r="J1" s="1" t="s">
        <v>5</v>
      </c>
      <c r="K1" s="1"/>
      <c r="L1" s="1" t="s">
        <v>104</v>
      </c>
      <c r="N1" t="s">
        <v>31</v>
      </c>
      <c r="P1" t="s">
        <v>32</v>
      </c>
    </row>
    <row r="2" spans="1:16" x14ac:dyDescent="0.25">
      <c r="A2">
        <v>1711</v>
      </c>
      <c r="B2" t="s">
        <v>15</v>
      </c>
      <c r="C2" t="s">
        <v>115</v>
      </c>
      <c r="D2" t="s">
        <v>7</v>
      </c>
      <c r="F2">
        <v>14085</v>
      </c>
      <c r="J2">
        <f t="shared" ref="J2:J33" si="0">(E2*2240)+(F2*112)+(G2*28)+(H2)</f>
        <v>1577520</v>
      </c>
      <c r="L2">
        <f t="shared" ref="L2:L33" si="1">J2/2240</f>
        <v>704.25</v>
      </c>
    </row>
    <row r="3" spans="1:16" x14ac:dyDescent="0.25">
      <c r="A3">
        <v>1711</v>
      </c>
      <c r="B3" t="s">
        <v>12</v>
      </c>
      <c r="C3" t="s">
        <v>115</v>
      </c>
      <c r="D3" t="s">
        <v>7</v>
      </c>
      <c r="J3">
        <f t="shared" si="0"/>
        <v>0</v>
      </c>
      <c r="L3">
        <f t="shared" si="1"/>
        <v>0</v>
      </c>
    </row>
    <row r="4" spans="1:16" x14ac:dyDescent="0.25">
      <c r="A4">
        <v>1711</v>
      </c>
      <c r="B4" t="s">
        <v>39</v>
      </c>
      <c r="C4" t="s">
        <v>115</v>
      </c>
      <c r="D4" t="s">
        <v>7</v>
      </c>
      <c r="J4">
        <f t="shared" si="0"/>
        <v>0</v>
      </c>
      <c r="L4">
        <f t="shared" si="1"/>
        <v>0</v>
      </c>
    </row>
    <row r="5" spans="1:16" x14ac:dyDescent="0.25">
      <c r="A5">
        <v>1711</v>
      </c>
      <c r="B5" t="s">
        <v>77</v>
      </c>
      <c r="C5" t="s">
        <v>115</v>
      </c>
      <c r="D5" t="s">
        <v>7</v>
      </c>
      <c r="H5">
        <v>4356</v>
      </c>
      <c r="J5">
        <f t="shared" si="0"/>
        <v>4356</v>
      </c>
      <c r="L5">
        <f t="shared" si="1"/>
        <v>1.9446428571428571</v>
      </c>
    </row>
    <row r="6" spans="1:16" x14ac:dyDescent="0.25">
      <c r="A6">
        <v>1711</v>
      </c>
      <c r="B6" t="s">
        <v>9</v>
      </c>
      <c r="C6" t="s">
        <v>115</v>
      </c>
      <c r="D6" t="s">
        <v>7</v>
      </c>
      <c r="F6">
        <v>115</v>
      </c>
      <c r="H6">
        <v>5</v>
      </c>
      <c r="J6">
        <f t="shared" si="0"/>
        <v>12885</v>
      </c>
      <c r="L6">
        <f t="shared" si="1"/>
        <v>5.7522321428571432</v>
      </c>
    </row>
    <row r="7" spans="1:16" x14ac:dyDescent="0.25">
      <c r="A7">
        <v>1711</v>
      </c>
      <c r="B7" t="s">
        <v>23</v>
      </c>
      <c r="C7" t="s">
        <v>115</v>
      </c>
      <c r="D7" t="s">
        <v>7</v>
      </c>
      <c r="F7">
        <v>1</v>
      </c>
      <c r="G7">
        <v>3</v>
      </c>
      <c r="J7">
        <f t="shared" si="0"/>
        <v>196</v>
      </c>
      <c r="L7">
        <f t="shared" si="1"/>
        <v>8.7499999999999994E-2</v>
      </c>
      <c r="N7">
        <f>L7+L13+L16+L17+L20+L23+L24+L28+L33+L34+L35+L36+L37+L15</f>
        <v>9.4316964285714295</v>
      </c>
      <c r="P7">
        <f>L9+L10+L11+L32</f>
        <v>32.469196428571429</v>
      </c>
    </row>
    <row r="8" spans="1:16" x14ac:dyDescent="0.25">
      <c r="A8">
        <v>1711</v>
      </c>
      <c r="B8" t="s">
        <v>8</v>
      </c>
      <c r="C8" t="s">
        <v>115</v>
      </c>
      <c r="D8" t="s">
        <v>7</v>
      </c>
      <c r="H8">
        <v>480</v>
      </c>
      <c r="J8">
        <f t="shared" si="0"/>
        <v>480</v>
      </c>
      <c r="L8">
        <f t="shared" si="1"/>
        <v>0.21428571428571427</v>
      </c>
    </row>
    <row r="9" spans="1:16" x14ac:dyDescent="0.25">
      <c r="A9">
        <v>1711</v>
      </c>
      <c r="B9" t="s">
        <v>34</v>
      </c>
      <c r="C9" t="s">
        <v>115</v>
      </c>
      <c r="D9" t="s">
        <v>7</v>
      </c>
      <c r="F9">
        <v>579</v>
      </c>
      <c r="J9">
        <f t="shared" si="0"/>
        <v>64848</v>
      </c>
      <c r="L9">
        <f t="shared" si="1"/>
        <v>28.95</v>
      </c>
    </row>
    <row r="10" spans="1:16" x14ac:dyDescent="0.25">
      <c r="A10">
        <v>1711</v>
      </c>
      <c r="B10" t="s">
        <v>19</v>
      </c>
      <c r="C10" t="s">
        <v>115</v>
      </c>
      <c r="D10" t="s">
        <v>7</v>
      </c>
      <c r="H10">
        <v>208</v>
      </c>
      <c r="I10" t="s">
        <v>81</v>
      </c>
      <c r="J10">
        <f t="shared" si="0"/>
        <v>208</v>
      </c>
      <c r="L10">
        <f t="shared" si="1"/>
        <v>9.285714285714286E-2</v>
      </c>
    </row>
    <row r="11" spans="1:16" x14ac:dyDescent="0.25">
      <c r="A11">
        <v>1711</v>
      </c>
      <c r="B11" t="s">
        <v>27</v>
      </c>
      <c r="C11" t="s">
        <v>115</v>
      </c>
      <c r="D11" t="s">
        <v>7</v>
      </c>
      <c r="H11">
        <v>7355</v>
      </c>
      <c r="I11" t="s">
        <v>80</v>
      </c>
      <c r="J11">
        <f t="shared" si="0"/>
        <v>7355</v>
      </c>
      <c r="L11">
        <f t="shared" si="1"/>
        <v>3.2834821428571428</v>
      </c>
    </row>
    <row r="12" spans="1:16" x14ac:dyDescent="0.25">
      <c r="A12">
        <v>1711</v>
      </c>
      <c r="B12" t="s">
        <v>14</v>
      </c>
      <c r="C12" t="s">
        <v>115</v>
      </c>
      <c r="D12" t="s">
        <v>7</v>
      </c>
      <c r="F12">
        <v>40</v>
      </c>
      <c r="G12">
        <v>3</v>
      </c>
      <c r="H12">
        <v>7</v>
      </c>
      <c r="J12">
        <f t="shared" si="0"/>
        <v>4571</v>
      </c>
      <c r="L12">
        <f t="shared" si="1"/>
        <v>2.0406249999999999</v>
      </c>
    </row>
    <row r="13" spans="1:16" x14ac:dyDescent="0.25">
      <c r="A13">
        <v>1711</v>
      </c>
      <c r="B13" t="s">
        <v>36</v>
      </c>
      <c r="C13" t="s">
        <v>115</v>
      </c>
      <c r="D13" t="s">
        <v>7</v>
      </c>
      <c r="J13">
        <f t="shared" si="0"/>
        <v>0</v>
      </c>
      <c r="L13">
        <f t="shared" si="1"/>
        <v>0</v>
      </c>
    </row>
    <row r="14" spans="1:16" x14ac:dyDescent="0.25">
      <c r="A14">
        <v>1711</v>
      </c>
      <c r="B14" t="s">
        <v>20</v>
      </c>
      <c r="C14" t="s">
        <v>115</v>
      </c>
      <c r="D14" t="s">
        <v>7</v>
      </c>
      <c r="H14">
        <v>676</v>
      </c>
      <c r="I14" t="s">
        <v>82</v>
      </c>
      <c r="J14">
        <f t="shared" si="0"/>
        <v>676</v>
      </c>
      <c r="L14">
        <f t="shared" si="1"/>
        <v>0.30178571428571427</v>
      </c>
    </row>
    <row r="15" spans="1:16" x14ac:dyDescent="0.25">
      <c r="A15">
        <v>1711</v>
      </c>
      <c r="B15" t="s">
        <v>22</v>
      </c>
      <c r="C15" t="s">
        <v>115</v>
      </c>
      <c r="D15" t="s">
        <v>7</v>
      </c>
      <c r="F15">
        <v>8</v>
      </c>
      <c r="G15">
        <v>2</v>
      </c>
      <c r="J15">
        <f t="shared" si="0"/>
        <v>952</v>
      </c>
      <c r="L15">
        <f t="shared" si="1"/>
        <v>0.42499999999999999</v>
      </c>
    </row>
    <row r="16" spans="1:16" x14ac:dyDescent="0.25">
      <c r="A16">
        <v>1711</v>
      </c>
      <c r="B16" t="s">
        <v>35</v>
      </c>
      <c r="C16" t="s">
        <v>115</v>
      </c>
      <c r="D16" t="s">
        <v>7</v>
      </c>
      <c r="J16">
        <f t="shared" si="0"/>
        <v>0</v>
      </c>
      <c r="L16">
        <f t="shared" si="1"/>
        <v>0</v>
      </c>
    </row>
    <row r="17" spans="1:12" x14ac:dyDescent="0.25">
      <c r="A17">
        <v>1711</v>
      </c>
      <c r="B17" t="s">
        <v>26</v>
      </c>
      <c r="C17" t="s">
        <v>115</v>
      </c>
      <c r="D17" t="s">
        <v>7</v>
      </c>
      <c r="J17">
        <f t="shared" si="0"/>
        <v>0</v>
      </c>
      <c r="L17">
        <f t="shared" si="1"/>
        <v>0</v>
      </c>
    </row>
    <row r="18" spans="1:12" x14ac:dyDescent="0.25">
      <c r="A18">
        <v>1711</v>
      </c>
      <c r="B18" t="s">
        <v>18</v>
      </c>
      <c r="C18" t="s">
        <v>115</v>
      </c>
      <c r="D18" t="s">
        <v>7</v>
      </c>
      <c r="J18">
        <f t="shared" si="0"/>
        <v>0</v>
      </c>
      <c r="L18">
        <f t="shared" si="1"/>
        <v>0</v>
      </c>
    </row>
    <row r="19" spans="1:12" x14ac:dyDescent="0.25">
      <c r="A19">
        <v>1711</v>
      </c>
      <c r="B19" t="s">
        <v>21</v>
      </c>
      <c r="C19" t="s">
        <v>115</v>
      </c>
      <c r="D19" t="s">
        <v>7</v>
      </c>
      <c r="J19">
        <f t="shared" si="0"/>
        <v>0</v>
      </c>
      <c r="L19">
        <f t="shared" si="1"/>
        <v>0</v>
      </c>
    </row>
    <row r="20" spans="1:12" x14ac:dyDescent="0.25">
      <c r="A20">
        <v>1711</v>
      </c>
      <c r="B20" t="s">
        <v>21</v>
      </c>
      <c r="C20" t="s">
        <v>115</v>
      </c>
      <c r="D20" t="s">
        <v>7</v>
      </c>
      <c r="H20">
        <v>5</v>
      </c>
      <c r="J20">
        <f t="shared" si="0"/>
        <v>5</v>
      </c>
      <c r="L20">
        <f t="shared" si="1"/>
        <v>2.232142857142857E-3</v>
      </c>
    </row>
    <row r="21" spans="1:12" x14ac:dyDescent="0.25">
      <c r="A21">
        <v>1711</v>
      </c>
      <c r="B21" t="s">
        <v>16</v>
      </c>
      <c r="C21" t="s">
        <v>115</v>
      </c>
      <c r="D21" t="s">
        <v>7</v>
      </c>
      <c r="J21">
        <f t="shared" si="0"/>
        <v>0</v>
      </c>
      <c r="L21">
        <f t="shared" si="1"/>
        <v>0</v>
      </c>
    </row>
    <row r="22" spans="1:12" x14ac:dyDescent="0.25">
      <c r="A22">
        <v>1711</v>
      </c>
      <c r="B22" t="s">
        <v>15</v>
      </c>
      <c r="C22" t="s">
        <v>115</v>
      </c>
      <c r="D22" t="s">
        <v>11</v>
      </c>
      <c r="F22">
        <v>7828</v>
      </c>
      <c r="G22">
        <v>1</v>
      </c>
      <c r="H22">
        <v>10</v>
      </c>
      <c r="J22">
        <f t="shared" si="0"/>
        <v>876774</v>
      </c>
      <c r="L22">
        <f t="shared" si="1"/>
        <v>391.4169642857143</v>
      </c>
    </row>
    <row r="23" spans="1:12" x14ac:dyDescent="0.25">
      <c r="A23">
        <v>1711</v>
      </c>
      <c r="B23" t="s">
        <v>39</v>
      </c>
      <c r="C23" t="s">
        <v>115</v>
      </c>
      <c r="D23" t="s">
        <v>11</v>
      </c>
      <c r="J23">
        <f t="shared" si="0"/>
        <v>0</v>
      </c>
      <c r="L23">
        <f t="shared" si="1"/>
        <v>0</v>
      </c>
    </row>
    <row r="24" spans="1:12" x14ac:dyDescent="0.25">
      <c r="A24">
        <v>1711</v>
      </c>
      <c r="B24" t="s">
        <v>9</v>
      </c>
      <c r="C24" t="s">
        <v>115</v>
      </c>
      <c r="D24" t="s">
        <v>11</v>
      </c>
      <c r="H24">
        <v>19496</v>
      </c>
      <c r="J24">
        <f t="shared" si="0"/>
        <v>19496</v>
      </c>
      <c r="L24">
        <f t="shared" si="1"/>
        <v>8.7035714285714292</v>
      </c>
    </row>
    <row r="25" spans="1:12" x14ac:dyDescent="0.25">
      <c r="A25">
        <v>1711</v>
      </c>
      <c r="B25" t="s">
        <v>23</v>
      </c>
      <c r="C25" t="s">
        <v>115</v>
      </c>
      <c r="D25" t="s">
        <v>11</v>
      </c>
      <c r="J25">
        <f t="shared" si="0"/>
        <v>0</v>
      </c>
      <c r="L25">
        <f t="shared" si="1"/>
        <v>0</v>
      </c>
    </row>
    <row r="26" spans="1:12" x14ac:dyDescent="0.25">
      <c r="A26">
        <v>1711</v>
      </c>
      <c r="B26" t="s">
        <v>8</v>
      </c>
      <c r="C26" t="s">
        <v>115</v>
      </c>
      <c r="D26" t="s">
        <v>11</v>
      </c>
      <c r="H26">
        <v>4069</v>
      </c>
      <c r="J26">
        <f t="shared" si="0"/>
        <v>4069</v>
      </c>
      <c r="L26">
        <f t="shared" si="1"/>
        <v>1.8165178571428571</v>
      </c>
    </row>
    <row r="27" spans="1:12" x14ac:dyDescent="0.25">
      <c r="A27">
        <v>1711</v>
      </c>
      <c r="B27" t="s">
        <v>34</v>
      </c>
      <c r="C27" t="s">
        <v>115</v>
      </c>
      <c r="D27" t="s">
        <v>11</v>
      </c>
      <c r="F27">
        <v>7</v>
      </c>
      <c r="G27">
        <v>0</v>
      </c>
      <c r="H27">
        <v>17</v>
      </c>
      <c r="J27">
        <f t="shared" si="0"/>
        <v>801</v>
      </c>
      <c r="L27">
        <f t="shared" si="1"/>
        <v>0.35758928571428572</v>
      </c>
    </row>
    <row r="28" spans="1:12" x14ac:dyDescent="0.25">
      <c r="A28">
        <v>1711</v>
      </c>
      <c r="B28" t="s">
        <v>19</v>
      </c>
      <c r="C28" t="s">
        <v>115</v>
      </c>
      <c r="D28" t="s">
        <v>11</v>
      </c>
      <c r="H28">
        <v>478</v>
      </c>
      <c r="I28" t="s">
        <v>95</v>
      </c>
      <c r="J28">
        <f t="shared" si="0"/>
        <v>478</v>
      </c>
      <c r="L28">
        <f t="shared" si="1"/>
        <v>0.21339285714285713</v>
      </c>
    </row>
    <row r="29" spans="1:12" x14ac:dyDescent="0.25">
      <c r="A29">
        <v>1711</v>
      </c>
      <c r="B29" t="s">
        <v>14</v>
      </c>
      <c r="C29" t="s">
        <v>115</v>
      </c>
      <c r="D29" t="s">
        <v>11</v>
      </c>
      <c r="F29">
        <v>8</v>
      </c>
      <c r="G29">
        <v>1</v>
      </c>
      <c r="H29">
        <v>6</v>
      </c>
      <c r="J29">
        <f t="shared" si="0"/>
        <v>930</v>
      </c>
      <c r="L29">
        <f t="shared" si="1"/>
        <v>0.41517857142857145</v>
      </c>
    </row>
    <row r="30" spans="1:12" x14ac:dyDescent="0.25">
      <c r="A30">
        <v>1711</v>
      </c>
      <c r="B30" t="s">
        <v>20</v>
      </c>
      <c r="C30" t="s">
        <v>115</v>
      </c>
      <c r="D30" t="s">
        <v>11</v>
      </c>
      <c r="H30">
        <v>385</v>
      </c>
      <c r="I30" t="s">
        <v>96</v>
      </c>
      <c r="J30">
        <f t="shared" si="0"/>
        <v>385</v>
      </c>
      <c r="L30">
        <f t="shared" si="1"/>
        <v>0.171875</v>
      </c>
    </row>
    <row r="31" spans="1:12" x14ac:dyDescent="0.25">
      <c r="A31">
        <v>1711</v>
      </c>
      <c r="B31" t="s">
        <v>22</v>
      </c>
      <c r="C31" t="s">
        <v>115</v>
      </c>
      <c r="D31" t="s">
        <v>11</v>
      </c>
      <c r="F31">
        <v>2</v>
      </c>
      <c r="G31">
        <v>2</v>
      </c>
      <c r="H31">
        <v>24</v>
      </c>
      <c r="J31">
        <f t="shared" si="0"/>
        <v>304</v>
      </c>
      <c r="L31">
        <f t="shared" si="1"/>
        <v>0.1357142857142857</v>
      </c>
    </row>
    <row r="32" spans="1:12" x14ac:dyDescent="0.25">
      <c r="A32">
        <v>1711</v>
      </c>
      <c r="B32" t="s">
        <v>42</v>
      </c>
      <c r="C32" t="s">
        <v>115</v>
      </c>
      <c r="D32" t="s">
        <v>11</v>
      </c>
      <c r="H32">
        <v>320</v>
      </c>
      <c r="J32">
        <f t="shared" si="0"/>
        <v>320</v>
      </c>
      <c r="L32">
        <f t="shared" si="1"/>
        <v>0.14285714285714285</v>
      </c>
    </row>
    <row r="33" spans="1:12" x14ac:dyDescent="0.25">
      <c r="A33">
        <v>1711</v>
      </c>
      <c r="B33" t="s">
        <v>21</v>
      </c>
      <c r="C33" t="s">
        <v>115</v>
      </c>
      <c r="D33" t="s">
        <v>11</v>
      </c>
      <c r="J33">
        <f t="shared" si="0"/>
        <v>0</v>
      </c>
      <c r="L33">
        <f t="shared" si="1"/>
        <v>0</v>
      </c>
    </row>
  </sheetData>
  <autoFilter ref="A1:P33" xr:uid="{DF3C4C2D-B143-49EB-AE6F-B3BFFAC00D68}">
    <sortState xmlns:xlrd2="http://schemas.microsoft.com/office/spreadsheetml/2017/richdata2" ref="A2:P33">
      <sortCondition ref="D1:D33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BE782-642A-4A69-B3C3-AA33FAF53666}">
  <dimension ref="A1:J7"/>
  <sheetViews>
    <sheetView workbookViewId="0">
      <selection activeCell="J10" sqref="J10"/>
    </sheetView>
  </sheetViews>
  <sheetFormatPr defaultRowHeight="15" x14ac:dyDescent="0.25"/>
  <cols>
    <col min="1" max="1" width="17.85546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33</v>
      </c>
      <c r="G1" s="1"/>
      <c r="H1" s="1" t="s">
        <v>5</v>
      </c>
      <c r="I1" s="1"/>
      <c r="J1" s="1" t="s">
        <v>6</v>
      </c>
    </row>
    <row r="2" spans="1:10" x14ac:dyDescent="0.25">
      <c r="A2" t="s">
        <v>23</v>
      </c>
      <c r="B2" t="s">
        <v>7</v>
      </c>
      <c r="H2">
        <f>(C2*2240)+(D2*112)+(E2*28)+(F2/16)</f>
        <v>0</v>
      </c>
      <c r="J2">
        <f>H2/2240</f>
        <v>0</v>
      </c>
    </row>
    <row r="3" spans="1:10" x14ac:dyDescent="0.25">
      <c r="A3" t="s">
        <v>14</v>
      </c>
      <c r="B3" t="s">
        <v>7</v>
      </c>
      <c r="H3">
        <f t="shared" ref="H3:H7" si="0">(C3*2240)+(D3*112)+(E3*28)+(F3/16)</f>
        <v>0</v>
      </c>
      <c r="J3">
        <f t="shared" ref="J3:J7" si="1">H3/2240</f>
        <v>0</v>
      </c>
    </row>
    <row r="4" spans="1:10" x14ac:dyDescent="0.25">
      <c r="A4" t="s">
        <v>15</v>
      </c>
      <c r="B4" t="s">
        <v>7</v>
      </c>
      <c r="H4">
        <f t="shared" si="0"/>
        <v>0</v>
      </c>
      <c r="J4">
        <f t="shared" si="1"/>
        <v>0</v>
      </c>
    </row>
    <row r="5" spans="1:10" x14ac:dyDescent="0.25">
      <c r="A5" t="s">
        <v>8</v>
      </c>
      <c r="B5" t="s">
        <v>7</v>
      </c>
      <c r="H5">
        <f t="shared" si="0"/>
        <v>0</v>
      </c>
      <c r="J5">
        <f t="shared" si="1"/>
        <v>0</v>
      </c>
    </row>
    <row r="6" spans="1:10" x14ac:dyDescent="0.25">
      <c r="A6" t="s">
        <v>9</v>
      </c>
      <c r="B6" t="s">
        <v>7</v>
      </c>
      <c r="H6">
        <f t="shared" si="0"/>
        <v>0</v>
      </c>
      <c r="J6">
        <f t="shared" si="1"/>
        <v>0</v>
      </c>
    </row>
    <row r="7" spans="1:10" x14ac:dyDescent="0.25">
      <c r="A7" t="s">
        <v>39</v>
      </c>
      <c r="B7" t="s">
        <v>7</v>
      </c>
      <c r="H7">
        <f t="shared" si="0"/>
        <v>0</v>
      </c>
      <c r="J7">
        <f t="shared" si="1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D6D79-299E-4BDC-A30E-5252DE375C36}">
  <dimension ref="A1:L34"/>
  <sheetViews>
    <sheetView tabSelected="1" workbookViewId="0">
      <selection activeCell="P11" sqref="P11"/>
    </sheetView>
  </sheetViews>
  <sheetFormatPr defaultRowHeight="15" x14ac:dyDescent="0.25"/>
  <cols>
    <col min="2" max="2" width="17.140625" customWidth="1"/>
    <col min="3" max="3" width="15" customWidth="1"/>
    <col min="4" max="4" width="14.85546875" customWidth="1"/>
  </cols>
  <sheetData>
    <row r="1" spans="1:12" x14ac:dyDescent="0.25">
      <c r="A1" s="1" t="s">
        <v>99</v>
      </c>
      <c r="B1" s="1" t="s">
        <v>100</v>
      </c>
      <c r="C1" s="1" t="s">
        <v>101</v>
      </c>
      <c r="D1" s="1" t="s">
        <v>102</v>
      </c>
      <c r="E1" s="1" t="s">
        <v>56</v>
      </c>
      <c r="F1" s="1" t="s">
        <v>57</v>
      </c>
      <c r="G1" s="1" t="s">
        <v>58</v>
      </c>
      <c r="H1" s="1" t="s">
        <v>59</v>
      </c>
      <c r="I1" s="1"/>
      <c r="J1" s="1" t="s">
        <v>5</v>
      </c>
      <c r="K1" s="1"/>
      <c r="L1" s="1" t="s">
        <v>104</v>
      </c>
    </row>
    <row r="2" spans="1:12" x14ac:dyDescent="0.25">
      <c r="A2">
        <v>1711</v>
      </c>
      <c r="B2" t="s">
        <v>40</v>
      </c>
      <c r="C2" t="s">
        <v>116</v>
      </c>
      <c r="D2" t="s">
        <v>7</v>
      </c>
      <c r="J2">
        <f t="shared" ref="J2:J34" si="0">(E2*2240)+(F2*112)+(G2*28)+H2</f>
        <v>0</v>
      </c>
      <c r="L2">
        <f t="shared" ref="L2:L34" si="1">J2/2240</f>
        <v>0</v>
      </c>
    </row>
    <row r="3" spans="1:12" x14ac:dyDescent="0.25">
      <c r="A3">
        <v>1711</v>
      </c>
      <c r="B3" t="s">
        <v>29</v>
      </c>
      <c r="C3" t="s">
        <v>116</v>
      </c>
      <c r="D3" t="s">
        <v>7</v>
      </c>
      <c r="J3">
        <f t="shared" si="0"/>
        <v>0</v>
      </c>
      <c r="L3">
        <f t="shared" si="1"/>
        <v>0</v>
      </c>
    </row>
    <row r="4" spans="1:12" x14ac:dyDescent="0.25">
      <c r="A4">
        <v>1711</v>
      </c>
      <c r="B4" t="s">
        <v>15</v>
      </c>
      <c r="C4" t="s">
        <v>116</v>
      </c>
      <c r="D4" t="s">
        <v>7</v>
      </c>
      <c r="F4">
        <v>4577</v>
      </c>
      <c r="G4">
        <v>2</v>
      </c>
      <c r="H4">
        <v>5</v>
      </c>
      <c r="J4">
        <f t="shared" si="0"/>
        <v>512685</v>
      </c>
      <c r="L4">
        <f t="shared" si="1"/>
        <v>228.87723214285714</v>
      </c>
    </row>
    <row r="5" spans="1:12" x14ac:dyDescent="0.25">
      <c r="A5">
        <v>1711</v>
      </c>
      <c r="B5" t="s">
        <v>39</v>
      </c>
      <c r="C5" t="s">
        <v>116</v>
      </c>
      <c r="D5" t="s">
        <v>7</v>
      </c>
      <c r="F5">
        <v>146</v>
      </c>
      <c r="H5">
        <v>20</v>
      </c>
      <c r="J5">
        <f t="shared" si="0"/>
        <v>16372</v>
      </c>
      <c r="L5">
        <f t="shared" si="1"/>
        <v>7.308928571428571</v>
      </c>
    </row>
    <row r="6" spans="1:12" x14ac:dyDescent="0.25">
      <c r="A6">
        <v>1711</v>
      </c>
      <c r="B6" t="s">
        <v>77</v>
      </c>
      <c r="C6" t="s">
        <v>116</v>
      </c>
      <c r="D6" t="s">
        <v>7</v>
      </c>
      <c r="H6">
        <v>240</v>
      </c>
      <c r="J6">
        <f t="shared" si="0"/>
        <v>240</v>
      </c>
      <c r="K6" s="1"/>
      <c r="L6">
        <f t="shared" si="1"/>
        <v>0.10714285714285714</v>
      </c>
    </row>
    <row r="7" spans="1:12" x14ac:dyDescent="0.25">
      <c r="A7">
        <v>1711</v>
      </c>
      <c r="B7" t="s">
        <v>9</v>
      </c>
      <c r="C7" t="s">
        <v>116</v>
      </c>
      <c r="D7" t="s">
        <v>7</v>
      </c>
      <c r="J7">
        <f t="shared" si="0"/>
        <v>0</v>
      </c>
      <c r="L7">
        <f t="shared" si="1"/>
        <v>0</v>
      </c>
    </row>
    <row r="8" spans="1:12" x14ac:dyDescent="0.25">
      <c r="A8">
        <v>1711</v>
      </c>
      <c r="B8" t="s">
        <v>13</v>
      </c>
      <c r="C8" t="s">
        <v>116</v>
      </c>
      <c r="D8" t="s">
        <v>7</v>
      </c>
      <c r="F8">
        <v>9</v>
      </c>
      <c r="G8">
        <v>1</v>
      </c>
      <c r="H8">
        <v>14</v>
      </c>
      <c r="J8">
        <f t="shared" si="0"/>
        <v>1050</v>
      </c>
      <c r="K8" s="1"/>
      <c r="L8">
        <f t="shared" si="1"/>
        <v>0.46875</v>
      </c>
    </row>
    <row r="9" spans="1:12" x14ac:dyDescent="0.25">
      <c r="A9">
        <v>1711</v>
      </c>
      <c r="B9" t="s">
        <v>8</v>
      </c>
      <c r="C9" t="s">
        <v>116</v>
      </c>
      <c r="D9" t="s">
        <v>7</v>
      </c>
      <c r="H9">
        <v>7757</v>
      </c>
      <c r="J9">
        <f t="shared" si="0"/>
        <v>7757</v>
      </c>
      <c r="L9">
        <f t="shared" si="1"/>
        <v>3.4629464285714286</v>
      </c>
    </row>
    <row r="10" spans="1:12" x14ac:dyDescent="0.25">
      <c r="A10">
        <v>1711</v>
      </c>
      <c r="B10" t="s">
        <v>34</v>
      </c>
      <c r="C10" t="s">
        <v>116</v>
      </c>
      <c r="D10" t="s">
        <v>7</v>
      </c>
      <c r="J10">
        <f t="shared" si="0"/>
        <v>0</v>
      </c>
      <c r="K10" s="1"/>
      <c r="L10">
        <f t="shared" si="1"/>
        <v>0</v>
      </c>
    </row>
    <row r="11" spans="1:12" x14ac:dyDescent="0.25">
      <c r="A11">
        <v>1711</v>
      </c>
      <c r="B11" t="s">
        <v>19</v>
      </c>
      <c r="C11" t="s">
        <v>116</v>
      </c>
      <c r="D11" t="s">
        <v>7</v>
      </c>
      <c r="J11">
        <f t="shared" si="0"/>
        <v>0</v>
      </c>
      <c r="L11">
        <f t="shared" si="1"/>
        <v>0</v>
      </c>
    </row>
    <row r="12" spans="1:12" x14ac:dyDescent="0.25">
      <c r="A12">
        <v>1711</v>
      </c>
      <c r="B12" t="s">
        <v>27</v>
      </c>
      <c r="C12" t="s">
        <v>116</v>
      </c>
      <c r="D12" t="s">
        <v>7</v>
      </c>
      <c r="H12">
        <v>1956</v>
      </c>
      <c r="I12" t="s">
        <v>84</v>
      </c>
      <c r="J12">
        <f t="shared" si="0"/>
        <v>1956</v>
      </c>
      <c r="L12">
        <f t="shared" si="1"/>
        <v>0.87321428571428572</v>
      </c>
    </row>
    <row r="13" spans="1:12" x14ac:dyDescent="0.25">
      <c r="A13">
        <v>1711</v>
      </c>
      <c r="B13" t="s">
        <v>14</v>
      </c>
      <c r="C13" t="s">
        <v>116</v>
      </c>
      <c r="D13" t="s">
        <v>7</v>
      </c>
      <c r="F13">
        <v>262</v>
      </c>
      <c r="J13">
        <f t="shared" si="0"/>
        <v>29344</v>
      </c>
      <c r="L13">
        <f t="shared" si="1"/>
        <v>13.1</v>
      </c>
    </row>
    <row r="14" spans="1:12" x14ac:dyDescent="0.25">
      <c r="A14">
        <v>1711</v>
      </c>
      <c r="B14" t="s">
        <v>25</v>
      </c>
      <c r="C14" t="s">
        <v>116</v>
      </c>
      <c r="D14" t="s">
        <v>7</v>
      </c>
      <c r="F14">
        <v>63</v>
      </c>
      <c r="G14">
        <v>2</v>
      </c>
      <c r="H14">
        <v>7</v>
      </c>
      <c r="J14">
        <f t="shared" si="0"/>
        <v>7119</v>
      </c>
      <c r="L14">
        <f t="shared" si="1"/>
        <v>3.1781250000000001</v>
      </c>
    </row>
    <row r="15" spans="1:12" x14ac:dyDescent="0.25">
      <c r="A15">
        <v>1711</v>
      </c>
      <c r="B15" t="s">
        <v>20</v>
      </c>
      <c r="C15" t="s">
        <v>116</v>
      </c>
      <c r="D15" t="s">
        <v>7</v>
      </c>
      <c r="H15">
        <v>4681</v>
      </c>
      <c r="I15" t="s">
        <v>85</v>
      </c>
      <c r="J15">
        <f t="shared" si="0"/>
        <v>4681</v>
      </c>
      <c r="L15">
        <f t="shared" si="1"/>
        <v>2.0897321428571427</v>
      </c>
    </row>
    <row r="16" spans="1:12" x14ac:dyDescent="0.25">
      <c r="A16">
        <v>1711</v>
      </c>
      <c r="B16" t="s">
        <v>22</v>
      </c>
      <c r="C16" t="s">
        <v>116</v>
      </c>
      <c r="D16" t="s">
        <v>7</v>
      </c>
      <c r="F16">
        <v>7</v>
      </c>
      <c r="G16">
        <v>2</v>
      </c>
      <c r="J16">
        <f t="shared" si="0"/>
        <v>840</v>
      </c>
      <c r="L16">
        <f t="shared" si="1"/>
        <v>0.375</v>
      </c>
    </row>
    <row r="17" spans="1:12" x14ac:dyDescent="0.25">
      <c r="A17">
        <v>1711</v>
      </c>
      <c r="B17" t="s">
        <v>18</v>
      </c>
      <c r="C17" t="s">
        <v>116</v>
      </c>
      <c r="D17" t="s">
        <v>7</v>
      </c>
      <c r="H17">
        <v>710</v>
      </c>
      <c r="J17">
        <f t="shared" si="0"/>
        <v>710</v>
      </c>
      <c r="L17">
        <f t="shared" si="1"/>
        <v>0.3169642857142857</v>
      </c>
    </row>
    <row r="18" spans="1:12" x14ac:dyDescent="0.25">
      <c r="A18">
        <v>1711</v>
      </c>
      <c r="B18" t="s">
        <v>21</v>
      </c>
      <c r="C18" t="s">
        <v>116</v>
      </c>
      <c r="D18" t="s">
        <v>7</v>
      </c>
      <c r="J18">
        <f t="shared" si="0"/>
        <v>0</v>
      </c>
      <c r="L18">
        <f t="shared" si="1"/>
        <v>0</v>
      </c>
    </row>
    <row r="19" spans="1:12" x14ac:dyDescent="0.25">
      <c r="A19">
        <v>1711</v>
      </c>
      <c r="B19" t="s">
        <v>83</v>
      </c>
      <c r="C19" t="s">
        <v>116</v>
      </c>
      <c r="D19" t="s">
        <v>7</v>
      </c>
      <c r="F19">
        <v>3261</v>
      </c>
      <c r="G19">
        <v>3</v>
      </c>
      <c r="H19">
        <v>16</v>
      </c>
      <c r="J19">
        <f t="shared" si="0"/>
        <v>365332</v>
      </c>
      <c r="K19" s="1"/>
      <c r="L19">
        <f t="shared" si="1"/>
        <v>163.09464285714284</v>
      </c>
    </row>
    <row r="20" spans="1:12" x14ac:dyDescent="0.25">
      <c r="A20">
        <v>1711</v>
      </c>
      <c r="B20" t="s">
        <v>16</v>
      </c>
      <c r="C20" t="s">
        <v>116</v>
      </c>
      <c r="D20" t="s">
        <v>7</v>
      </c>
      <c r="F20">
        <v>10</v>
      </c>
      <c r="G20">
        <v>3</v>
      </c>
      <c r="H20">
        <v>18</v>
      </c>
      <c r="J20">
        <f t="shared" si="0"/>
        <v>1222</v>
      </c>
      <c r="L20">
        <f t="shared" si="1"/>
        <v>0.54553571428571423</v>
      </c>
    </row>
    <row r="21" spans="1:12" x14ac:dyDescent="0.25">
      <c r="A21">
        <v>1711</v>
      </c>
      <c r="B21" t="s">
        <v>107</v>
      </c>
      <c r="C21" t="s">
        <v>116</v>
      </c>
      <c r="D21" t="s">
        <v>7</v>
      </c>
      <c r="F21">
        <v>297</v>
      </c>
      <c r="G21">
        <v>1</v>
      </c>
      <c r="J21">
        <f t="shared" si="0"/>
        <v>33292</v>
      </c>
      <c r="K21" s="1"/>
      <c r="L21">
        <f t="shared" si="1"/>
        <v>14.862500000000001</v>
      </c>
    </row>
    <row r="22" spans="1:12" x14ac:dyDescent="0.25">
      <c r="A22">
        <v>1711</v>
      </c>
      <c r="B22" t="s">
        <v>106</v>
      </c>
      <c r="C22" t="s">
        <v>116</v>
      </c>
      <c r="D22" t="s">
        <v>7</v>
      </c>
      <c r="E22">
        <v>39</v>
      </c>
      <c r="F22">
        <v>16</v>
      </c>
      <c r="G22">
        <v>2</v>
      </c>
      <c r="H22">
        <v>14</v>
      </c>
      <c r="J22">
        <f t="shared" si="0"/>
        <v>89222</v>
      </c>
      <c r="K22" s="1"/>
      <c r="L22">
        <f t="shared" si="1"/>
        <v>39.831249999999997</v>
      </c>
    </row>
    <row r="23" spans="1:12" x14ac:dyDescent="0.25">
      <c r="A23">
        <v>1711</v>
      </c>
      <c r="B23" t="s">
        <v>109</v>
      </c>
      <c r="C23" t="s">
        <v>116</v>
      </c>
      <c r="D23" t="s">
        <v>7</v>
      </c>
      <c r="E23">
        <v>108</v>
      </c>
      <c r="F23">
        <v>10</v>
      </c>
      <c r="G23">
        <v>2</v>
      </c>
      <c r="H23">
        <v>25</v>
      </c>
      <c r="J23">
        <f t="shared" si="0"/>
        <v>243121</v>
      </c>
      <c r="K23" s="1"/>
      <c r="L23">
        <f t="shared" si="1"/>
        <v>108.53616071428571</v>
      </c>
    </row>
    <row r="24" spans="1:12" x14ac:dyDescent="0.25">
      <c r="A24">
        <v>1711</v>
      </c>
      <c r="B24" t="s">
        <v>15</v>
      </c>
      <c r="C24" t="s">
        <v>116</v>
      </c>
      <c r="D24" t="s">
        <v>11</v>
      </c>
      <c r="F24">
        <v>199</v>
      </c>
      <c r="G24">
        <v>2</v>
      </c>
      <c r="H24">
        <v>21</v>
      </c>
      <c r="J24">
        <f t="shared" si="0"/>
        <v>22365</v>
      </c>
      <c r="L24">
        <f t="shared" si="1"/>
        <v>9.984375</v>
      </c>
    </row>
    <row r="25" spans="1:12" x14ac:dyDescent="0.25">
      <c r="A25">
        <v>1711</v>
      </c>
      <c r="B25" t="s">
        <v>13</v>
      </c>
      <c r="C25" t="s">
        <v>116</v>
      </c>
      <c r="D25" t="s">
        <v>11</v>
      </c>
      <c r="F25">
        <v>2</v>
      </c>
      <c r="G25">
        <v>1</v>
      </c>
      <c r="H25">
        <v>14</v>
      </c>
      <c r="J25">
        <f t="shared" si="0"/>
        <v>266</v>
      </c>
      <c r="L25">
        <f t="shared" si="1"/>
        <v>0.11874999999999999</v>
      </c>
    </row>
    <row r="26" spans="1:12" x14ac:dyDescent="0.25">
      <c r="A26">
        <v>1711</v>
      </c>
      <c r="B26" t="s">
        <v>97</v>
      </c>
      <c r="C26" t="s">
        <v>116</v>
      </c>
      <c r="D26" t="s">
        <v>11</v>
      </c>
      <c r="F26">
        <v>21</v>
      </c>
      <c r="G26">
        <v>2</v>
      </c>
      <c r="H26">
        <v>14</v>
      </c>
      <c r="J26">
        <f t="shared" si="0"/>
        <v>2422</v>
      </c>
      <c r="L26">
        <f t="shared" si="1"/>
        <v>1.08125</v>
      </c>
    </row>
    <row r="27" spans="1:12" x14ac:dyDescent="0.25">
      <c r="A27">
        <v>1711</v>
      </c>
      <c r="B27" t="s">
        <v>34</v>
      </c>
      <c r="C27" t="s">
        <v>116</v>
      </c>
      <c r="D27" t="s">
        <v>11</v>
      </c>
      <c r="F27">
        <v>18</v>
      </c>
      <c r="G27">
        <v>2</v>
      </c>
      <c r="H27">
        <v>14</v>
      </c>
      <c r="J27">
        <f t="shared" si="0"/>
        <v>2086</v>
      </c>
      <c r="L27">
        <f t="shared" si="1"/>
        <v>0.93125000000000002</v>
      </c>
    </row>
    <row r="28" spans="1:12" x14ac:dyDescent="0.25">
      <c r="A28">
        <v>1711</v>
      </c>
      <c r="B28" t="s">
        <v>14</v>
      </c>
      <c r="C28" t="s">
        <v>116</v>
      </c>
      <c r="D28" t="s">
        <v>11</v>
      </c>
      <c r="F28">
        <v>143</v>
      </c>
      <c r="G28">
        <v>1</v>
      </c>
      <c r="H28">
        <v>25</v>
      </c>
      <c r="J28">
        <f t="shared" si="0"/>
        <v>16069</v>
      </c>
      <c r="L28">
        <f t="shared" si="1"/>
        <v>7.1736607142857141</v>
      </c>
    </row>
    <row r="29" spans="1:12" x14ac:dyDescent="0.25">
      <c r="A29">
        <v>1711</v>
      </c>
      <c r="B29" t="s">
        <v>25</v>
      </c>
      <c r="C29" t="s">
        <v>116</v>
      </c>
      <c r="D29" t="s">
        <v>11</v>
      </c>
      <c r="F29">
        <v>110</v>
      </c>
      <c r="G29">
        <v>1</v>
      </c>
      <c r="J29">
        <f t="shared" si="0"/>
        <v>12348</v>
      </c>
      <c r="L29">
        <f t="shared" si="1"/>
        <v>5.5125000000000002</v>
      </c>
    </row>
    <row r="30" spans="1:12" x14ac:dyDescent="0.25">
      <c r="A30">
        <v>1711</v>
      </c>
      <c r="B30" t="s">
        <v>20</v>
      </c>
      <c r="C30" t="s">
        <v>116</v>
      </c>
      <c r="D30" t="s">
        <v>11</v>
      </c>
      <c r="H30">
        <v>1628</v>
      </c>
      <c r="I30" t="s">
        <v>98</v>
      </c>
      <c r="J30">
        <f t="shared" si="0"/>
        <v>1628</v>
      </c>
      <c r="L30">
        <f t="shared" si="1"/>
        <v>0.72678571428571426</v>
      </c>
    </row>
    <row r="31" spans="1:12" x14ac:dyDescent="0.25">
      <c r="A31">
        <v>1711</v>
      </c>
      <c r="B31" t="s">
        <v>18</v>
      </c>
      <c r="C31" t="s">
        <v>116</v>
      </c>
      <c r="D31" t="s">
        <v>11</v>
      </c>
      <c r="J31">
        <f t="shared" si="0"/>
        <v>0</v>
      </c>
      <c r="L31">
        <f t="shared" si="1"/>
        <v>0</v>
      </c>
    </row>
    <row r="32" spans="1:12" x14ac:dyDescent="0.25">
      <c r="A32">
        <v>1711</v>
      </c>
      <c r="B32" t="s">
        <v>107</v>
      </c>
      <c r="C32" t="s">
        <v>116</v>
      </c>
      <c r="D32" t="s">
        <v>11</v>
      </c>
      <c r="E32">
        <v>1</v>
      </c>
      <c r="J32">
        <f t="shared" si="0"/>
        <v>2240</v>
      </c>
      <c r="L32">
        <f t="shared" si="1"/>
        <v>1</v>
      </c>
    </row>
    <row r="33" spans="1:12" x14ac:dyDescent="0.25">
      <c r="A33">
        <v>1711</v>
      </c>
      <c r="B33" t="s">
        <v>106</v>
      </c>
      <c r="C33" t="s">
        <v>116</v>
      </c>
      <c r="D33" t="s">
        <v>11</v>
      </c>
      <c r="E33">
        <v>100</v>
      </c>
      <c r="F33">
        <v>12</v>
      </c>
      <c r="G33">
        <v>3</v>
      </c>
      <c r="H33">
        <v>14</v>
      </c>
      <c r="J33">
        <f t="shared" si="0"/>
        <v>225442</v>
      </c>
      <c r="L33">
        <f t="shared" si="1"/>
        <v>100.64375</v>
      </c>
    </row>
    <row r="34" spans="1:12" x14ac:dyDescent="0.25">
      <c r="A34">
        <v>1711</v>
      </c>
      <c r="B34" t="s">
        <v>109</v>
      </c>
      <c r="C34" t="s">
        <v>116</v>
      </c>
      <c r="D34" t="s">
        <v>11</v>
      </c>
      <c r="E34">
        <v>19</v>
      </c>
      <c r="F34">
        <v>2</v>
      </c>
      <c r="G34">
        <v>1</v>
      </c>
      <c r="H34">
        <v>21</v>
      </c>
      <c r="J34">
        <f t="shared" si="0"/>
        <v>42833</v>
      </c>
      <c r="L34">
        <f t="shared" si="1"/>
        <v>19.121874999999999</v>
      </c>
    </row>
  </sheetData>
  <autoFilter ref="A1:L34" xr:uid="{C20D6D79-299E-4BDC-A30E-5252DE375C36}">
    <sortState xmlns:xlrd2="http://schemas.microsoft.com/office/spreadsheetml/2017/richdata2" ref="A2:L34">
      <sortCondition ref="D1:D34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 Goods Sheet</vt:lpstr>
      <vt:lpstr>Antigua</vt:lpstr>
      <vt:lpstr>Barbados</vt:lpstr>
      <vt:lpstr>Bermuda</vt:lpstr>
      <vt:lpstr>Carolina</vt:lpstr>
      <vt:lpstr>Jamaica</vt:lpstr>
      <vt:lpstr>Mountserat</vt:lpstr>
      <vt:lpstr>Nevis</vt:lpstr>
      <vt:lpstr>St Kitts</vt:lpstr>
      <vt:lpstr>NewEngland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2024-09-24T19:25:05Z</dcterms:created>
  <dcterms:modified xsi:type="dcterms:W3CDTF">2025-04-29T18:57:04Z</dcterms:modified>
</cp:coreProperties>
</file>