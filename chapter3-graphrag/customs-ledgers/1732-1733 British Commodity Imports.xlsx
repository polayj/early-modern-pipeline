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92" documentId="8_{0A936DB6-996B-44F2-BB64-C6353809C834}" xr6:coauthVersionLast="47" xr6:coauthVersionMax="47" xr10:uidLastSave="{5391DE86-400D-4924-985F-9839855D221A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Barbados!$A$1:$N$58</definedName>
    <definedName name="_xlnm._FilterDatabase" localSheetId="5" hidden="1">Jamaica!$A$1:$O$65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8" l="1"/>
  <c r="H83" i="7"/>
  <c r="H83" i="6"/>
  <c r="H90" i="5"/>
  <c r="H70" i="3"/>
  <c r="H86" i="2"/>
  <c r="L118" i="2"/>
  <c r="J118" i="2"/>
  <c r="L8" i="11"/>
  <c r="J8" i="11"/>
  <c r="H23" i="8"/>
  <c r="L56" i="8"/>
  <c r="J56" i="8"/>
  <c r="J20" i="8"/>
  <c r="L20" i="8" s="1"/>
  <c r="H22" i="7"/>
  <c r="H22" i="6"/>
  <c r="H26" i="5"/>
  <c r="H34" i="5"/>
  <c r="J23" i="5"/>
  <c r="L23" i="5" s="1"/>
  <c r="J9" i="5"/>
  <c r="L9" i="5" s="1"/>
  <c r="J8" i="5"/>
  <c r="L8" i="5" s="1"/>
  <c r="L21" i="4"/>
  <c r="J21" i="4"/>
  <c r="J20" i="4"/>
  <c r="L20" i="4" s="1"/>
  <c r="J2" i="4"/>
  <c r="L2" i="4" s="1"/>
  <c r="J6" i="4"/>
  <c r="L6" i="4" s="1"/>
  <c r="H20" i="3"/>
  <c r="L37" i="3"/>
  <c r="J37" i="3"/>
  <c r="J47" i="3"/>
  <c r="L47" i="3" s="1"/>
  <c r="J24" i="3"/>
  <c r="L24" i="3" s="1"/>
  <c r="J7" i="3"/>
  <c r="L7" i="3" s="1"/>
  <c r="J18" i="3"/>
  <c r="L18" i="3" s="1"/>
  <c r="H23" i="2"/>
  <c r="J55" i="2"/>
  <c r="L55" i="2" s="1"/>
  <c r="J122" i="5"/>
  <c r="L122" i="5" s="1"/>
  <c r="J76" i="5"/>
  <c r="L76" i="5" s="1"/>
  <c r="J87" i="3"/>
  <c r="L87" i="3" s="1"/>
  <c r="J119" i="2"/>
  <c r="L119" i="2" s="1"/>
  <c r="J55" i="11"/>
  <c r="L55" i="11" s="1"/>
  <c r="J11" i="11"/>
  <c r="L11" i="11" s="1"/>
  <c r="J58" i="5"/>
  <c r="L58" i="5" s="1"/>
  <c r="J10" i="5"/>
  <c r="L10" i="5" s="1"/>
  <c r="J16" i="4"/>
  <c r="L16" i="4" s="1"/>
  <c r="J18" i="4"/>
  <c r="L18" i="4" s="1"/>
  <c r="J14" i="4"/>
  <c r="L14" i="4" s="1"/>
  <c r="J11" i="4"/>
  <c r="L11" i="4" s="1"/>
  <c r="J8" i="4"/>
  <c r="L8" i="4" s="1"/>
  <c r="J25" i="3"/>
  <c r="L25" i="3" s="1"/>
  <c r="J29" i="2"/>
  <c r="L29" i="2" s="1"/>
  <c r="J8" i="2"/>
  <c r="L8" i="2" s="1"/>
  <c r="C23" i="1"/>
  <c r="C24" i="1"/>
  <c r="B23" i="1"/>
  <c r="B24" i="1"/>
  <c r="J129" i="11"/>
  <c r="L129" i="11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4" i="11"/>
  <c r="L54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0" i="11"/>
  <c r="L10" i="11" s="1"/>
  <c r="J9" i="11"/>
  <c r="L9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8" i="8"/>
  <c r="L128" i="8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L70" i="8"/>
  <c r="J70" i="8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L108" i="7"/>
  <c r="J108" i="7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9" i="3"/>
  <c r="L19" i="3" s="1"/>
  <c r="J20" i="3"/>
  <c r="L20" i="3" s="1"/>
  <c r="J21" i="3"/>
  <c r="L21" i="3" s="1"/>
  <c r="J22" i="3"/>
  <c r="L22" i="3" s="1"/>
  <c r="J23" i="3"/>
  <c r="L23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J104" i="3"/>
  <c r="L104" i="3" s="1"/>
  <c r="J4" i="4"/>
  <c r="L4" i="4" s="1"/>
  <c r="J5" i="4"/>
  <c r="L5" i="4" s="1"/>
  <c r="J7" i="4"/>
  <c r="L7" i="4" s="1"/>
  <c r="J9" i="4"/>
  <c r="L9" i="4" s="1"/>
  <c r="J10" i="4"/>
  <c r="L10" i="4" s="1"/>
  <c r="J12" i="4"/>
  <c r="L12" i="4" s="1"/>
  <c r="J13" i="4"/>
  <c r="L13" i="4" s="1"/>
  <c r="J15" i="4"/>
  <c r="L15" i="4" s="1"/>
  <c r="J17" i="4"/>
  <c r="L17" i="4" s="1"/>
  <c r="J19" i="4"/>
  <c r="L19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0" i="4"/>
  <c r="L30" i="4" s="1"/>
  <c r="J31" i="4"/>
  <c r="L31" i="4" s="1"/>
  <c r="J32" i="4"/>
  <c r="L32" i="4" s="1"/>
  <c r="J3" i="5"/>
  <c r="L3" i="5" s="1"/>
  <c r="J4" i="5"/>
  <c r="L4" i="5" s="1"/>
  <c r="J5" i="5"/>
  <c r="L5" i="5" s="1"/>
  <c r="J6" i="5"/>
  <c r="L6" i="5" s="1"/>
  <c r="J7" i="5"/>
  <c r="L7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6" i="5"/>
  <c r="L56" i="5" s="1"/>
  <c r="J57" i="5"/>
  <c r="L57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4" i="5"/>
  <c r="L74" i="5" s="1"/>
  <c r="J75" i="5"/>
  <c r="L75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1" i="5"/>
  <c r="L121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J133" i="5"/>
  <c r="L133" i="5" s="1"/>
  <c r="J134" i="5"/>
  <c r="L134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3" i="4"/>
  <c r="L3" i="4" s="1"/>
  <c r="J2" i="3"/>
  <c r="L2" i="3" s="1"/>
  <c r="D5" i="1" l="1"/>
  <c r="D13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<sst xmlns="http://schemas.openxmlformats.org/spreadsheetml/2006/main" count="3530" uniqueCount="168">
  <si>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</si>
  <si>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</si>
  <si>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</si>
  <si>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</si>
  <si>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</si>
  <si>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</si>
  <si>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</si>
  <si>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</si>
  <si>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</si>
  <si>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</si>
  <si>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</si>
  <si>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</si>
  <si>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</si>
  <si>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</si>
  <si>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</si>
  <si>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</si>
  <si>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</si>
  <si>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</si>
  <si>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</si>
  <si>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</si>
  <si>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</si>
  <si>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</si>
  <si>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</si>
  <si>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</si>
  <si>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</si>
  <si>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</si>
  <si>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</si>
  <si>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</si>
  <si>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</si>
  <si>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</si>
  <si>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</si>
  <si>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</si>
  <si>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</si>
  <si>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</si>
  <si>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</si>
  <si>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</si>
  <si>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</si>
  <si>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</si>
  <si>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</si>
  <si>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</si>
  <si>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</si>
  <si>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</si>
  <si>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</si>
  <si>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</si>
  <si>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</si>
  <si>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</si>
  <si>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</si>
  <si>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</si>
  <si>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</si>
  <si>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</si>
  <si>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</si>
  <si>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</si>
  <si>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</si>
  <si>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</si>
  <si>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</si>
  <si>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</si>
  <si>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</si>
  <si>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</si>
  <si>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</si>
  <si>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</si>
  <si>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</si>
  <si>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</si>
  <si>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</si>
  <si>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</si>
  <si>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</si>
  <si>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</si>
  <si>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</si>
  <si>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</si>
  <si>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</si>
  <si>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</si>
  <si>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</si>
  <si>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</si>
  <si>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</si>
  <si>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</si>
  <si>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</si>
  <si>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</si>
  <si>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</si>
  <si>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</si>
  <si>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</si>
  <si>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</si>
  <si>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</si>
  <si>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</si>
  <si>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</si>
  <si>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</si>
  <si>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</si>
  <si>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</si>
  <si>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</si>
  <si>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</si>
  <si>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</si>
  <si>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</si>
  <si>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</si>
  <si>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</si>
  <si>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</si>
  <si>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</si>
  <si>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</si>
  <si>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</si>
  <si>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</si>
  <si>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</si>
  <si>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</si>
  <si>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</si>
  <si>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</si>
  <si>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</si>
  <si>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</si>
  <si>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</si>
  <si>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</si>
  <si>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</si>
  <si>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</si>
  <si>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Cortex Eletharia</t>
  </si>
  <si>
    <t>3h 61g</t>
  </si>
  <si>
    <t>16.5g</t>
  </si>
  <si>
    <t>77867g</t>
  </si>
  <si>
    <t>122t 2h 60g</t>
  </si>
  <si>
    <t>935bags + 176lb</t>
  </si>
  <si>
    <t>Balsam Capavia</t>
  </si>
  <si>
    <t>1506g</t>
  </si>
  <si>
    <t>128g</t>
  </si>
  <si>
    <t>32853g</t>
  </si>
  <si>
    <t>49t 3h 49g</t>
  </si>
  <si>
    <t>458bags + 79lb</t>
  </si>
  <si>
    <t>Cortex Eletheria</t>
  </si>
  <si>
    <t>Balsam Artificial</t>
  </si>
  <si>
    <t>Cortex Guiaci</t>
  </si>
  <si>
    <t>Jollop</t>
  </si>
  <si>
    <t>12159g</t>
  </si>
  <si>
    <t>42.75g</t>
  </si>
  <si>
    <t>258681g</t>
  </si>
  <si>
    <t>75t 1h 12g</t>
  </si>
  <si>
    <t>Port</t>
  </si>
  <si>
    <t>2t 1h 61g</t>
  </si>
  <si>
    <t>454bags+191lb</t>
  </si>
  <si>
    <t>521g</t>
  </si>
  <si>
    <t>4g</t>
  </si>
  <si>
    <t>11907g</t>
  </si>
  <si>
    <t>1h 7g</t>
  </si>
  <si>
    <t>96.5bags</t>
  </si>
  <si>
    <t>9g</t>
  </si>
  <si>
    <t>1088g</t>
  </si>
  <si>
    <t>3t 56g</t>
  </si>
  <si>
    <t>115bags</t>
  </si>
  <si>
    <t>97g</t>
  </si>
  <si>
    <t>8g</t>
  </si>
  <si>
    <t>10804g</t>
  </si>
  <si>
    <t>72t 3h 16.5g</t>
  </si>
  <si>
    <t>Wood, Camwood</t>
  </si>
  <si>
    <t>1405bags+171lb</t>
  </si>
  <si>
    <t>20g</t>
  </si>
  <si>
    <t>818g</t>
  </si>
  <si>
    <t>1t 1h 62g</t>
  </si>
  <si>
    <t>100g</t>
  </si>
  <si>
    <t>15988g</t>
  </si>
  <si>
    <t>10t 3h 30g</t>
  </si>
  <si>
    <t>1470bags +16lb</t>
  </si>
  <si>
    <t>5g</t>
  </si>
  <si>
    <t>10281.5g</t>
  </si>
  <si>
    <t>10t 1h 14g</t>
  </si>
  <si>
    <t>788bags+2lb</t>
  </si>
  <si>
    <t>7024g</t>
  </si>
  <si>
    <t>1g</t>
  </si>
  <si>
    <t>78138.5g</t>
  </si>
  <si>
    <t>38t 3h 5g</t>
  </si>
  <si>
    <t>465bags+88lb</t>
  </si>
  <si>
    <t>49g</t>
  </si>
  <si>
    <t>767g</t>
  </si>
  <si>
    <t>114bags</t>
  </si>
  <si>
    <t>684g</t>
  </si>
  <si>
    <t>80.75bags</t>
  </si>
  <si>
    <t>3369g</t>
  </si>
  <si>
    <t>288.75bags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</si>
</sst>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B2" sqref="B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4.4642857142857144E-2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4.4642857142857144E-2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4.7803571428571425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0.92901785714285712</v>
      </c>
      <c r="D3">
        <f t="shared" ref="D3:D31" si="0">B3+C3</f>
        <v>5.7093749999999996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39463.511607142857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10567.826785714286</v>
      </c>
      <c r="D4">
        <f t="shared" si="0"/>
        <v>50031.338392857142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142.87321428571428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1.25</v>
      </c>
      <c r="D6">
        <f t="shared" si="0"/>
        <v>144.12321428571428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309.51651785714284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286.34196428571431</v>
      </c>
      <c r="D7">
        <f t="shared" si="0"/>
        <v>595.85848214285716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645.98616071428569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516.46071428571418</v>
      </c>
      <c r="D8">
        <f t="shared" si="0"/>
        <v>1162.4468749999999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329.88035714285712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20.678571428571431</v>
      </c>
      <c r="D9">
        <f t="shared" si="0"/>
        <v>350.55892857142857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40.431249999999999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22.358928571428571</v>
      </c>
      <c r="D10">
        <f t="shared" si="0"/>
        <v>62.790178571428569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96.295982142857127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69.147321428571431</v>
      </c>
      <c r="D11">
        <f t="shared" si="0"/>
        <v>165.44330357142854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64.985267857142844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32.119866071428568</v>
      </c>
      <c r="D12">
        <f t="shared" si="0"/>
        <v>97.105133928571405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2.3875000000000002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0</v>
      </c>
      <c r="D13">
        <f t="shared" si="0"/>
        <v>2.3875000000000002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68.080803571428575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47.5625</v>
      </c>
      <c r="D14">
        <f t="shared" si="0"/>
        <v>115.64330357142858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21.798660714285713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0.67500000000000004</v>
      </c>
      <c r="D15">
        <f t="shared" si="0"/>
        <v>22.473660714285714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1759.4609375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491.40290178571428</v>
      </c>
      <c r="D16">
        <f t="shared" si="0"/>
        <v>2250.8638392857142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0.3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0.51517857142857149</v>
      </c>
      <c r="D17">
        <f t="shared" si="0"/>
        <v>0.81517857142857153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2.6388392857142855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0.42991071428571431</v>
      </c>
      <c r="D18">
        <f t="shared" si="0"/>
        <v>3.0687499999999996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1.2973214285714285</v>
      </c>
      <c r="D19">
        <f t="shared" si="0"/>
        <v>1.2973214285714285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2.563392857142857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0.45937499999999998</v>
      </c>
      <c r="D20">
        <f t="shared" si="0"/>
        <v>3.0227678571428571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1.2651785714285715</v>
      </c>
      <c r="D21">
        <f t="shared" si="0"/>
        <v>1.2651785714285715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7.6062500000000002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1.1334821428571429</v>
      </c>
      <c r="D25">
        <f t="shared" si="0"/>
        <v>8.7397321428571431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366.60982142857137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69.13816964285715</v>
      </c>
      <c r="D26">
        <f t="shared" si="0"/>
        <v>435.74799107142849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2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0</v>
      </c>
      <c r="D27">
        <f t="shared" si="0"/>
        <v>2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511.52857142857141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97.658482142857153</v>
      </c>
      <c r="D28">
        <f t="shared" si="0"/>
        <v>609.18705357142858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341.75580357142854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405.66651785714288</v>
      </c>
      <c r="D29">
        <f t="shared" si="0"/>
        <v>747.42232142857142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21.099999999999998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50.381250000000001</v>
      </c>
      <c r="D30">
        <f t="shared" si="0"/>
        <v>71.481250000000003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1"/>
  <sheetViews>
    <sheetView topLeftCell="A109" workbookViewId="0">
      <selection activeCell="H109" sqref="H109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1733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1733</v>
      </c>
      <c r="B3" t="s">
        <v>57</v>
      </c>
      <c r="C3" t="s">
        <v>53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1733</v>
      </c>
      <c r="B4" t="s">
        <v>36</v>
      </c>
      <c r="C4" t="s">
        <v>53</v>
      </c>
      <c r="D4" t="s">
        <v>33</v>
      </c>
      <c r="H4">
        <v>12</v>
      </c>
      <c r="J4">
        <f t="shared" si="0"/>
        <v>12</v>
      </c>
      <c r="L4">
        <f t="shared" si="1"/>
        <v>5.3571428571428572E-3</v>
      </c>
    </row>
    <row r="5" spans="1:15" x14ac:dyDescent="0.25">
      <c r="A5">
        <v>1733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1733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1733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1733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1733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1733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1733</v>
      </c>
      <c r="B11" t="s">
        <v>5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1733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1733</v>
      </c>
      <c r="B13" t="s">
        <v>6</v>
      </c>
      <c r="C13" t="s">
        <v>53</v>
      </c>
      <c r="D13" t="s">
        <v>33</v>
      </c>
      <c r="F13">
        <v>162991</v>
      </c>
      <c r="G13">
        <v>1</v>
      </c>
      <c r="H13">
        <v>21</v>
      </c>
      <c r="J13">
        <f t="shared" si="0"/>
        <v>18255041</v>
      </c>
      <c r="L13">
        <f t="shared" si="1"/>
        <v>8149.5718749999996</v>
      </c>
    </row>
    <row r="14" spans="1:15" x14ac:dyDescent="0.25">
      <c r="A14">
        <v>1733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1733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1733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1733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1733</v>
      </c>
      <c r="B18" t="s">
        <v>8</v>
      </c>
      <c r="C18" t="s">
        <v>53</v>
      </c>
      <c r="D18" t="s">
        <v>33</v>
      </c>
      <c r="F18">
        <v>64</v>
      </c>
      <c r="G18">
        <v>2</v>
      </c>
      <c r="H18">
        <v>11</v>
      </c>
      <c r="J18">
        <f t="shared" si="0"/>
        <v>7235</v>
      </c>
      <c r="L18">
        <f t="shared" si="1"/>
        <v>3.2299107142857144</v>
      </c>
    </row>
    <row r="19" spans="1:12" x14ac:dyDescent="0.25">
      <c r="A19">
        <v>1733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1733</v>
      </c>
      <c r="B20" t="s">
        <v>77</v>
      </c>
      <c r="C20" t="s">
        <v>53</v>
      </c>
      <c r="D20" t="s">
        <v>33</v>
      </c>
      <c r="F20">
        <v>2</v>
      </c>
      <c r="G20">
        <v>2</v>
      </c>
      <c r="H20">
        <v>23</v>
      </c>
      <c r="J20">
        <f t="shared" si="0"/>
        <v>303</v>
      </c>
      <c r="L20">
        <f t="shared" si="1"/>
        <v>0.13526785714285713</v>
      </c>
    </row>
    <row r="21" spans="1:12" x14ac:dyDescent="0.25">
      <c r="A21">
        <v>1733</v>
      </c>
      <c r="B21" t="s">
        <v>107</v>
      </c>
      <c r="C21" t="s">
        <v>53</v>
      </c>
      <c r="D21" t="s">
        <v>33</v>
      </c>
      <c r="F21">
        <v>1</v>
      </c>
      <c r="G21">
        <v>1</v>
      </c>
      <c r="H21">
        <v>16</v>
      </c>
      <c r="J21">
        <f t="shared" si="0"/>
        <v>156</v>
      </c>
      <c r="L21">
        <f t="shared" si="1"/>
        <v>6.9642857142857145E-2</v>
      </c>
    </row>
    <row r="22" spans="1:12" x14ac:dyDescent="0.25">
      <c r="A22">
        <v>1733</v>
      </c>
      <c r="B22" t="s">
        <v>46</v>
      </c>
      <c r="C22" t="s">
        <v>53</v>
      </c>
      <c r="D22" t="s">
        <v>33</v>
      </c>
      <c r="H22">
        <v>329</v>
      </c>
      <c r="J22">
        <f t="shared" si="0"/>
        <v>329</v>
      </c>
      <c r="L22">
        <f t="shared" si="1"/>
        <v>0.14687500000000001</v>
      </c>
    </row>
    <row r="23" spans="1:12" x14ac:dyDescent="0.25">
      <c r="A23">
        <v>1733</v>
      </c>
      <c r="B23" t="s">
        <v>9</v>
      </c>
      <c r="C23" t="s">
        <v>53</v>
      </c>
      <c r="D23" t="s">
        <v>33</v>
      </c>
      <c r="H23">
        <f>935*200+176</f>
        <v>187176</v>
      </c>
      <c r="I23" t="s">
        <v>112</v>
      </c>
      <c r="J23">
        <f t="shared" si="0"/>
        <v>187176</v>
      </c>
      <c r="L23">
        <f t="shared" si="1"/>
        <v>83.560714285714283</v>
      </c>
    </row>
    <row r="24" spans="1:12" x14ac:dyDescent="0.25">
      <c r="A24">
        <v>1733</v>
      </c>
      <c r="B24" t="s">
        <v>10</v>
      </c>
      <c r="C24" t="s">
        <v>53</v>
      </c>
      <c r="D24" t="s">
        <v>33</v>
      </c>
      <c r="F24">
        <v>1052</v>
      </c>
      <c r="G24">
        <v>1</v>
      </c>
      <c r="H24">
        <v>14</v>
      </c>
      <c r="J24">
        <f t="shared" si="0"/>
        <v>117866</v>
      </c>
      <c r="L24">
        <f t="shared" si="1"/>
        <v>52.618749999999999</v>
      </c>
    </row>
    <row r="25" spans="1:12" x14ac:dyDescent="0.25">
      <c r="A25">
        <v>1733</v>
      </c>
      <c r="B25" t="s">
        <v>11</v>
      </c>
      <c r="C25" t="s">
        <v>53</v>
      </c>
      <c r="D25" t="s">
        <v>33</v>
      </c>
      <c r="F25">
        <v>42</v>
      </c>
      <c r="G25">
        <v>3</v>
      </c>
      <c r="H25">
        <v>3</v>
      </c>
      <c r="J25">
        <f t="shared" si="0"/>
        <v>4791</v>
      </c>
      <c r="L25">
        <f t="shared" si="1"/>
        <v>2.1388392857142855</v>
      </c>
    </row>
    <row r="26" spans="1:12" x14ac:dyDescent="0.25">
      <c r="A26">
        <v>1733</v>
      </c>
      <c r="B26" t="s">
        <v>39</v>
      </c>
      <c r="C26" t="s">
        <v>53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1733</v>
      </c>
      <c r="B27" t="s">
        <v>79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1733</v>
      </c>
      <c r="B28" t="s">
        <v>103</v>
      </c>
      <c r="C28" t="s">
        <v>53</v>
      </c>
      <c r="D28" t="s">
        <v>33</v>
      </c>
      <c r="H28">
        <v>36</v>
      </c>
      <c r="J28">
        <f t="shared" si="0"/>
        <v>36</v>
      </c>
      <c r="L28">
        <f t="shared" si="1"/>
        <v>1.607142857142857E-2</v>
      </c>
    </row>
    <row r="29" spans="1:12" x14ac:dyDescent="0.25">
      <c r="A29">
        <v>1733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1733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1733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1733</v>
      </c>
      <c r="B32" t="s">
        <v>12</v>
      </c>
      <c r="C32" t="s">
        <v>53</v>
      </c>
      <c r="D32" t="s">
        <v>33</v>
      </c>
      <c r="H32">
        <v>6828</v>
      </c>
      <c r="J32">
        <f t="shared" si="0"/>
        <v>6828</v>
      </c>
      <c r="L32">
        <f t="shared" si="1"/>
        <v>3.0482142857142858</v>
      </c>
    </row>
    <row r="33" spans="1:12" x14ac:dyDescent="0.25">
      <c r="A33">
        <v>1733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1733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1733</v>
      </c>
      <c r="B35" t="s">
        <v>13</v>
      </c>
      <c r="C35" t="s">
        <v>53</v>
      </c>
      <c r="D35" t="s">
        <v>33</v>
      </c>
      <c r="E35">
        <v>14</v>
      </c>
      <c r="F35">
        <v>13</v>
      </c>
      <c r="H35">
        <v>316</v>
      </c>
      <c r="J35">
        <f t="shared" si="0"/>
        <v>33132</v>
      </c>
      <c r="L35">
        <f t="shared" si="1"/>
        <v>14.791071428571428</v>
      </c>
    </row>
    <row r="36" spans="1:12" x14ac:dyDescent="0.25">
      <c r="A36">
        <v>1733</v>
      </c>
      <c r="B36" t="s">
        <v>14</v>
      </c>
      <c r="C36" t="s">
        <v>53</v>
      </c>
      <c r="D36" t="s">
        <v>33</v>
      </c>
      <c r="H36">
        <v>2500.5</v>
      </c>
      <c r="I36" t="s">
        <v>108</v>
      </c>
      <c r="J36">
        <f t="shared" si="0"/>
        <v>2500.5</v>
      </c>
      <c r="L36">
        <f t="shared" si="1"/>
        <v>1.1162946428571427</v>
      </c>
    </row>
    <row r="37" spans="1:12" x14ac:dyDescent="0.25">
      <c r="A37">
        <v>1733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1733</v>
      </c>
      <c r="B38" t="s">
        <v>27</v>
      </c>
      <c r="C38" t="s">
        <v>53</v>
      </c>
      <c r="D38" t="s">
        <v>33</v>
      </c>
      <c r="H38">
        <v>309379.5</v>
      </c>
      <c r="I38" t="s">
        <v>111</v>
      </c>
      <c r="J38">
        <f t="shared" si="0"/>
        <v>309379.5</v>
      </c>
      <c r="L38">
        <f t="shared" si="1"/>
        <v>138.11584821428571</v>
      </c>
    </row>
    <row r="39" spans="1:12" x14ac:dyDescent="0.25">
      <c r="A39">
        <v>1733</v>
      </c>
      <c r="B39" t="s">
        <v>15</v>
      </c>
      <c r="C39" t="s">
        <v>53</v>
      </c>
      <c r="D39" t="s">
        <v>33</v>
      </c>
      <c r="F39">
        <v>20</v>
      </c>
      <c r="G39">
        <v>3</v>
      </c>
      <c r="J39">
        <f t="shared" si="0"/>
        <v>2324</v>
      </c>
      <c r="L39">
        <f t="shared" si="1"/>
        <v>1.0375000000000001</v>
      </c>
    </row>
    <row r="40" spans="1:12" x14ac:dyDescent="0.25">
      <c r="A40">
        <v>1733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1733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1733</v>
      </c>
      <c r="B42" t="s">
        <v>47</v>
      </c>
      <c r="C42" t="s">
        <v>53</v>
      </c>
      <c r="D42" t="s">
        <v>33</v>
      </c>
      <c r="H42">
        <v>165</v>
      </c>
      <c r="I42" t="s">
        <v>109</v>
      </c>
      <c r="J42">
        <f t="shared" si="0"/>
        <v>165</v>
      </c>
      <c r="L42">
        <f t="shared" si="1"/>
        <v>7.3660714285714288E-2</v>
      </c>
    </row>
    <row r="43" spans="1:12" x14ac:dyDescent="0.25">
      <c r="A43">
        <v>1733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1733</v>
      </c>
      <c r="B44" t="s">
        <v>17</v>
      </c>
      <c r="C44" t="s">
        <v>53</v>
      </c>
      <c r="D44" t="s">
        <v>33</v>
      </c>
      <c r="F44">
        <v>332</v>
      </c>
      <c r="G44">
        <v>3</v>
      </c>
      <c r="H44">
        <v>25</v>
      </c>
      <c r="J44">
        <f t="shared" si="0"/>
        <v>37293</v>
      </c>
      <c r="L44">
        <f t="shared" si="1"/>
        <v>16.648660714285715</v>
      </c>
    </row>
    <row r="45" spans="1:12" x14ac:dyDescent="0.25">
      <c r="A45">
        <v>1733</v>
      </c>
      <c r="B45" t="s">
        <v>18</v>
      </c>
      <c r="C45" t="s">
        <v>53</v>
      </c>
      <c r="D45" t="s">
        <v>33</v>
      </c>
      <c r="H45">
        <v>778870</v>
      </c>
      <c r="I45" t="s">
        <v>110</v>
      </c>
      <c r="J45">
        <f t="shared" si="0"/>
        <v>778870</v>
      </c>
      <c r="L45">
        <f t="shared" si="1"/>
        <v>347.70982142857144</v>
      </c>
    </row>
    <row r="46" spans="1:12" x14ac:dyDescent="0.25">
      <c r="A46">
        <v>1733</v>
      </c>
      <c r="B46" t="s">
        <v>26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1733</v>
      </c>
      <c r="B47" t="s">
        <v>84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1733</v>
      </c>
      <c r="B48" t="s">
        <v>19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1733</v>
      </c>
      <c r="B49" t="s">
        <v>45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1733</v>
      </c>
      <c r="B50" t="s">
        <v>85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1733</v>
      </c>
      <c r="B51" t="s">
        <v>54</v>
      </c>
      <c r="C51" t="s">
        <v>53</v>
      </c>
      <c r="D51" t="s">
        <v>33</v>
      </c>
      <c r="H51">
        <v>543</v>
      </c>
      <c r="J51">
        <f t="shared" si="0"/>
        <v>543</v>
      </c>
      <c r="L51">
        <f t="shared" si="1"/>
        <v>0.24241071428571428</v>
      </c>
    </row>
    <row r="52" spans="1:12" x14ac:dyDescent="0.25">
      <c r="A52">
        <v>1733</v>
      </c>
      <c r="B52" t="s">
        <v>95</v>
      </c>
      <c r="C52" t="s">
        <v>53</v>
      </c>
      <c r="D52" t="s">
        <v>33</v>
      </c>
      <c r="H52">
        <v>4</v>
      </c>
      <c r="J52">
        <f t="shared" si="0"/>
        <v>4</v>
      </c>
      <c r="L52">
        <f t="shared" si="1"/>
        <v>1.7857142857142857E-3</v>
      </c>
    </row>
    <row r="53" spans="1:12" x14ac:dyDescent="0.25">
      <c r="A53">
        <v>1733</v>
      </c>
      <c r="B53" t="s">
        <v>20</v>
      </c>
      <c r="C53" t="s">
        <v>53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1733</v>
      </c>
      <c r="B54" t="s">
        <v>21</v>
      </c>
      <c r="C54" t="s">
        <v>53</v>
      </c>
      <c r="D54" t="s">
        <v>33</v>
      </c>
      <c r="H54">
        <v>51</v>
      </c>
      <c r="J54">
        <f t="shared" si="0"/>
        <v>51</v>
      </c>
      <c r="L54">
        <f t="shared" si="1"/>
        <v>2.2767857142857142E-2</v>
      </c>
    </row>
    <row r="55" spans="1:12" x14ac:dyDescent="0.25">
      <c r="A55">
        <v>1733</v>
      </c>
      <c r="B55" t="s">
        <v>90</v>
      </c>
      <c r="C55" t="s">
        <v>53</v>
      </c>
      <c r="D55" t="s">
        <v>33</v>
      </c>
      <c r="F55">
        <v>10</v>
      </c>
      <c r="J55">
        <f t="shared" si="0"/>
        <v>1120</v>
      </c>
      <c r="L55">
        <f t="shared" si="1"/>
        <v>0.5</v>
      </c>
    </row>
    <row r="56" spans="1:12" x14ac:dyDescent="0.25">
      <c r="A56">
        <v>1733</v>
      </c>
      <c r="B56" t="s">
        <v>22</v>
      </c>
      <c r="C56" t="s">
        <v>53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1733</v>
      </c>
      <c r="B57" t="s">
        <v>61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1733</v>
      </c>
      <c r="B58" t="s">
        <v>99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1733</v>
      </c>
      <c r="B59" t="s">
        <v>87</v>
      </c>
      <c r="C59" t="s">
        <v>53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1733</v>
      </c>
      <c r="B60" t="s">
        <v>62</v>
      </c>
      <c r="C60" t="s">
        <v>53</v>
      </c>
      <c r="D60" t="s">
        <v>33</v>
      </c>
      <c r="E60">
        <v>125</v>
      </c>
      <c r="F60">
        <v>3</v>
      </c>
      <c r="J60">
        <f t="shared" si="0"/>
        <v>280336</v>
      </c>
      <c r="L60">
        <f t="shared" si="1"/>
        <v>125.15</v>
      </c>
    </row>
    <row r="61" spans="1:12" x14ac:dyDescent="0.25">
      <c r="A61">
        <v>1733</v>
      </c>
      <c r="B61" t="s">
        <v>88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1733</v>
      </c>
      <c r="B62" t="s">
        <v>63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1733</v>
      </c>
      <c r="B63" t="s">
        <v>89</v>
      </c>
      <c r="C63" t="s">
        <v>53</v>
      </c>
      <c r="D63" t="s">
        <v>33</v>
      </c>
      <c r="H63">
        <v>30</v>
      </c>
      <c r="J63">
        <f t="shared" si="0"/>
        <v>30</v>
      </c>
      <c r="L63">
        <f t="shared" si="1"/>
        <v>1.3392857142857142E-2</v>
      </c>
    </row>
    <row r="64" spans="1:12" x14ac:dyDescent="0.25">
      <c r="A64">
        <v>1733</v>
      </c>
      <c r="B64" t="s">
        <v>70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1733</v>
      </c>
      <c r="B65" t="s">
        <v>64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1733</v>
      </c>
      <c r="B66" t="s">
        <v>65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1733</v>
      </c>
      <c r="B67" t="s">
        <v>55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1733</v>
      </c>
      <c r="B68" t="s">
        <v>57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1733</v>
      </c>
      <c r="B69" t="s">
        <v>36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1733</v>
      </c>
      <c r="B70" t="s">
        <v>4</v>
      </c>
      <c r="C70" t="s">
        <v>53</v>
      </c>
      <c r="D70" t="s">
        <v>35</v>
      </c>
      <c r="J70">
        <f t="shared" ref="J70:J131" si="2">(E70*2240)+(F70*112)+(G70*28)+H70</f>
        <v>0</v>
      </c>
      <c r="L70">
        <f t="shared" ref="L70:L131" si="3">J70/2240</f>
        <v>0</v>
      </c>
    </row>
    <row r="71" spans="1:12" x14ac:dyDescent="0.25">
      <c r="A71">
        <v>1733</v>
      </c>
      <c r="B71" t="s">
        <v>58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1733</v>
      </c>
      <c r="B72" t="s">
        <v>69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1733</v>
      </c>
      <c r="B73" t="s">
        <v>43</v>
      </c>
      <c r="C73" t="s">
        <v>53</v>
      </c>
      <c r="D73" t="s">
        <v>35</v>
      </c>
      <c r="F73">
        <v>687</v>
      </c>
      <c r="J73">
        <f t="shared" si="2"/>
        <v>76944</v>
      </c>
      <c r="L73">
        <f t="shared" si="3"/>
        <v>34.35</v>
      </c>
    </row>
    <row r="74" spans="1:12" x14ac:dyDescent="0.25">
      <c r="A74">
        <v>1733</v>
      </c>
      <c r="B74" t="s">
        <v>76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1733</v>
      </c>
      <c r="B75" t="s">
        <v>5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1733</v>
      </c>
      <c r="B76" t="s">
        <v>59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1733</v>
      </c>
      <c r="B77" t="s">
        <v>6</v>
      </c>
      <c r="C77" t="s">
        <v>53</v>
      </c>
      <c r="D77" t="s">
        <v>35</v>
      </c>
      <c r="F77">
        <v>25276</v>
      </c>
      <c r="G77">
        <v>2</v>
      </c>
      <c r="J77">
        <f t="shared" si="2"/>
        <v>2830968</v>
      </c>
      <c r="L77">
        <f t="shared" si="3"/>
        <v>1263.825</v>
      </c>
    </row>
    <row r="78" spans="1:12" x14ac:dyDescent="0.25">
      <c r="A78">
        <v>1733</v>
      </c>
      <c r="B78" t="s">
        <v>60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1733</v>
      </c>
      <c r="B79" t="s">
        <v>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1733</v>
      </c>
      <c r="B80" t="s">
        <v>37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1733</v>
      </c>
      <c r="B81" t="s">
        <v>8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1733</v>
      </c>
      <c r="B82" t="s">
        <v>40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1733</v>
      </c>
      <c r="B83" t="s">
        <v>77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1733</v>
      </c>
      <c r="B84" t="s">
        <v>78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1733</v>
      </c>
      <c r="B85" t="s">
        <v>46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1733</v>
      </c>
      <c r="B86" t="s">
        <v>9</v>
      </c>
      <c r="C86" t="s">
        <v>53</v>
      </c>
      <c r="D86" t="s">
        <v>35</v>
      </c>
      <c r="H86">
        <f>1470*200+16</f>
        <v>294016</v>
      </c>
      <c r="I86" t="s">
        <v>151</v>
      </c>
      <c r="J86">
        <f t="shared" si="2"/>
        <v>294016</v>
      </c>
      <c r="L86">
        <f t="shared" si="3"/>
        <v>131.25714285714287</v>
      </c>
    </row>
    <row r="87" spans="1:12" x14ac:dyDescent="0.25">
      <c r="A87">
        <v>1733</v>
      </c>
      <c r="B87" t="s">
        <v>10</v>
      </c>
      <c r="C87" t="s">
        <v>53</v>
      </c>
      <c r="D87" t="s">
        <v>35</v>
      </c>
      <c r="F87">
        <v>209</v>
      </c>
      <c r="G87">
        <v>1</v>
      </c>
      <c r="H87">
        <v>13</v>
      </c>
      <c r="J87">
        <f t="shared" si="2"/>
        <v>23449</v>
      </c>
      <c r="L87">
        <f t="shared" si="3"/>
        <v>10.468303571428571</v>
      </c>
    </row>
    <row r="88" spans="1:12" x14ac:dyDescent="0.25">
      <c r="A88">
        <v>1733</v>
      </c>
      <c r="B88" t="s">
        <v>11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1733</v>
      </c>
      <c r="B89" t="s">
        <v>39</v>
      </c>
      <c r="C89" t="s">
        <v>53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1733</v>
      </c>
      <c r="B90" t="s">
        <v>79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1733</v>
      </c>
      <c r="B91" t="s">
        <v>103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1733</v>
      </c>
      <c r="B92" t="s">
        <v>44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1733</v>
      </c>
      <c r="B93" t="s">
        <v>97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1733</v>
      </c>
      <c r="B94" t="s">
        <v>12</v>
      </c>
      <c r="C94" t="s">
        <v>53</v>
      </c>
      <c r="D94" t="s">
        <v>35</v>
      </c>
      <c r="H94">
        <v>1570</v>
      </c>
      <c r="J94">
        <f t="shared" si="2"/>
        <v>1570</v>
      </c>
      <c r="L94">
        <f t="shared" si="3"/>
        <v>0.7008928571428571</v>
      </c>
    </row>
    <row r="95" spans="1:12" x14ac:dyDescent="0.25">
      <c r="A95">
        <v>1733</v>
      </c>
      <c r="B95" t="s">
        <v>82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1733</v>
      </c>
      <c r="B96" t="s">
        <v>34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1733</v>
      </c>
      <c r="B97" t="s">
        <v>13</v>
      </c>
      <c r="C97" t="s">
        <v>53</v>
      </c>
      <c r="D97" t="s">
        <v>35</v>
      </c>
      <c r="E97">
        <v>35</v>
      </c>
      <c r="F97">
        <v>18</v>
      </c>
      <c r="G97">
        <v>2</v>
      </c>
      <c r="J97">
        <f t="shared" si="2"/>
        <v>80472</v>
      </c>
      <c r="L97">
        <f t="shared" si="3"/>
        <v>35.924999999999997</v>
      </c>
    </row>
    <row r="98" spans="1:12" x14ac:dyDescent="0.25">
      <c r="A98">
        <v>1733</v>
      </c>
      <c r="B98" t="s">
        <v>14</v>
      </c>
      <c r="C98" t="s">
        <v>53</v>
      </c>
      <c r="D98" t="s">
        <v>35</v>
      </c>
      <c r="H98">
        <v>1000.5</v>
      </c>
      <c r="I98" t="s">
        <v>148</v>
      </c>
      <c r="J98">
        <f t="shared" si="2"/>
        <v>1000.5</v>
      </c>
      <c r="L98">
        <f t="shared" si="3"/>
        <v>0.44665178571428571</v>
      </c>
    </row>
    <row r="99" spans="1:12" x14ac:dyDescent="0.25">
      <c r="A99">
        <v>1733</v>
      </c>
      <c r="B99" t="s">
        <v>23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1733</v>
      </c>
      <c r="B100" t="s">
        <v>27</v>
      </c>
      <c r="C100" t="s">
        <v>53</v>
      </c>
      <c r="D100" t="s">
        <v>35</v>
      </c>
      <c r="H100">
        <v>27397</v>
      </c>
      <c r="I100" t="s">
        <v>150</v>
      </c>
      <c r="J100">
        <f t="shared" si="2"/>
        <v>27397</v>
      </c>
      <c r="L100">
        <f t="shared" si="3"/>
        <v>12.230803571428572</v>
      </c>
    </row>
    <row r="101" spans="1:12" x14ac:dyDescent="0.25">
      <c r="A101">
        <v>1733</v>
      </c>
      <c r="B101" t="s">
        <v>15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1733</v>
      </c>
      <c r="B102" t="s">
        <v>93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1733</v>
      </c>
      <c r="B103" t="s">
        <v>42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1733</v>
      </c>
      <c r="B104" t="s">
        <v>83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1733</v>
      </c>
      <c r="B105" t="s">
        <v>47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1733</v>
      </c>
      <c r="B106" t="s">
        <v>16</v>
      </c>
      <c r="C106" t="s">
        <v>53</v>
      </c>
      <c r="D106" t="s">
        <v>35</v>
      </c>
      <c r="H106">
        <v>216</v>
      </c>
      <c r="J106">
        <f t="shared" si="2"/>
        <v>216</v>
      </c>
      <c r="L106">
        <f t="shared" si="3"/>
        <v>9.6428571428571433E-2</v>
      </c>
    </row>
    <row r="107" spans="1:12" x14ac:dyDescent="0.25">
      <c r="A107">
        <v>1733</v>
      </c>
      <c r="B107" t="s">
        <v>17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1733</v>
      </c>
      <c r="B108" t="s">
        <v>18</v>
      </c>
      <c r="C108" t="s">
        <v>53</v>
      </c>
      <c r="D108" t="s">
        <v>35</v>
      </c>
      <c r="H108">
        <v>159921</v>
      </c>
      <c r="I108" t="s">
        <v>149</v>
      </c>
      <c r="J108">
        <f t="shared" si="2"/>
        <v>159921</v>
      </c>
      <c r="L108">
        <f t="shared" si="3"/>
        <v>71.393303571428575</v>
      </c>
    </row>
    <row r="109" spans="1:12" x14ac:dyDescent="0.25">
      <c r="A109">
        <v>1733</v>
      </c>
      <c r="B109" t="s">
        <v>26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1733</v>
      </c>
      <c r="B110" t="s">
        <v>84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1733</v>
      </c>
      <c r="B111" t="s">
        <v>19</v>
      </c>
      <c r="C111" t="s">
        <v>53</v>
      </c>
      <c r="D111" t="s">
        <v>35</v>
      </c>
      <c r="F111">
        <v>1</v>
      </c>
      <c r="G111">
        <v>2</v>
      </c>
      <c r="H111">
        <v>14</v>
      </c>
      <c r="J111">
        <f t="shared" si="2"/>
        <v>182</v>
      </c>
      <c r="L111">
        <f t="shared" si="3"/>
        <v>8.1250000000000003E-2</v>
      </c>
    </row>
    <row r="112" spans="1:12" x14ac:dyDescent="0.25">
      <c r="A112">
        <v>1733</v>
      </c>
      <c r="B112" t="s">
        <v>45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1733</v>
      </c>
      <c r="B113" t="s">
        <v>85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1733</v>
      </c>
      <c r="B114" t="s">
        <v>54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1733</v>
      </c>
      <c r="B115" t="s">
        <v>95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1733</v>
      </c>
      <c r="B116" t="s">
        <v>20</v>
      </c>
      <c r="C116" t="s">
        <v>53</v>
      </c>
      <c r="D116" t="s">
        <v>35</v>
      </c>
      <c r="H116">
        <v>2516</v>
      </c>
      <c r="J116">
        <f t="shared" si="2"/>
        <v>2516</v>
      </c>
      <c r="L116">
        <f t="shared" si="3"/>
        <v>1.1232142857142857</v>
      </c>
    </row>
    <row r="117" spans="1:12" x14ac:dyDescent="0.25">
      <c r="A117">
        <v>1733</v>
      </c>
      <c r="B117" t="s">
        <v>21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1733</v>
      </c>
      <c r="B118" t="s">
        <v>90</v>
      </c>
      <c r="C118" t="s">
        <v>53</v>
      </c>
      <c r="D118" t="s">
        <v>35</v>
      </c>
      <c r="F118">
        <v>4</v>
      </c>
      <c r="H118">
        <v>23</v>
      </c>
      <c r="J118">
        <f t="shared" si="2"/>
        <v>471</v>
      </c>
      <c r="L118">
        <f t="shared" si="3"/>
        <v>0.21026785714285715</v>
      </c>
    </row>
    <row r="119" spans="1:12" x14ac:dyDescent="0.25">
      <c r="A119">
        <v>1733</v>
      </c>
      <c r="B119" t="s">
        <v>105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1733</v>
      </c>
      <c r="B120" t="s">
        <v>22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1733</v>
      </c>
      <c r="B121" t="s">
        <v>61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1733</v>
      </c>
      <c r="B122" t="s">
        <v>91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1733</v>
      </c>
      <c r="B123" t="s">
        <v>98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1733</v>
      </c>
      <c r="B124" t="s">
        <v>87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1733</v>
      </c>
      <c r="B125" t="s">
        <v>62</v>
      </c>
      <c r="C125" t="s">
        <v>53</v>
      </c>
      <c r="D125" t="s">
        <v>35</v>
      </c>
      <c r="E125">
        <v>6</v>
      </c>
      <c r="J125">
        <f t="shared" si="2"/>
        <v>13440</v>
      </c>
      <c r="L125">
        <f t="shared" si="3"/>
        <v>6</v>
      </c>
    </row>
    <row r="126" spans="1:12" x14ac:dyDescent="0.25">
      <c r="A126">
        <v>1733</v>
      </c>
      <c r="B126" t="s">
        <v>88</v>
      </c>
      <c r="C126" t="s">
        <v>53</v>
      </c>
      <c r="D126" t="s">
        <v>35</v>
      </c>
      <c r="E126">
        <v>9</v>
      </c>
      <c r="J126">
        <f t="shared" si="2"/>
        <v>20160</v>
      </c>
      <c r="L126">
        <f t="shared" si="3"/>
        <v>9</v>
      </c>
    </row>
    <row r="127" spans="1:12" x14ac:dyDescent="0.25">
      <c r="A127">
        <v>1733</v>
      </c>
      <c r="B127" t="s">
        <v>63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1733</v>
      </c>
      <c r="B128" t="s">
        <v>89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1733</v>
      </c>
      <c r="B129" t="s">
        <v>70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1733</v>
      </c>
      <c r="B130" t="s">
        <v>64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1733</v>
      </c>
      <c r="B131" t="s">
        <v>65</v>
      </c>
      <c r="C131" t="s">
        <v>53</v>
      </c>
      <c r="D131" t="s">
        <v>35</v>
      </c>
      <c r="J131">
        <f t="shared" si="2"/>
        <v>0</v>
      </c>
      <c r="L131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4"/>
  <sheetViews>
    <sheetView topLeftCell="A83" workbookViewId="0">
      <selection activeCell="H90" sqref="H9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1733</v>
      </c>
      <c r="B2" t="s">
        <v>55</v>
      </c>
      <c r="C2" t="s">
        <v>56</v>
      </c>
      <c r="D2" t="s">
        <v>33</v>
      </c>
      <c r="J2">
        <f t="shared" ref="J2:J71" si="0">(E2*2240)+(F2*112)+(G2*28)+H2</f>
        <v>0</v>
      </c>
      <c r="L2">
        <f t="shared" ref="L2:L71" si="1">J2/2240</f>
        <v>0</v>
      </c>
    </row>
    <row r="3" spans="1:12" x14ac:dyDescent="0.25">
      <c r="A3">
        <v>1733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1733</v>
      </c>
      <c r="B4" t="s">
        <v>36</v>
      </c>
      <c r="C4" t="s">
        <v>56</v>
      </c>
      <c r="D4" t="s">
        <v>33</v>
      </c>
      <c r="H4">
        <v>15004</v>
      </c>
      <c r="J4">
        <f t="shared" si="0"/>
        <v>15004</v>
      </c>
      <c r="L4">
        <f t="shared" si="1"/>
        <v>6.6982142857142861</v>
      </c>
    </row>
    <row r="5" spans="1:12" x14ac:dyDescent="0.25">
      <c r="A5">
        <v>1733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1733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1733</v>
      </c>
      <c r="B7" t="s">
        <v>113</v>
      </c>
      <c r="C7" t="s">
        <v>56</v>
      </c>
      <c r="D7" t="s">
        <v>33</v>
      </c>
      <c r="H7">
        <v>324</v>
      </c>
      <c r="J7">
        <f t="shared" si="0"/>
        <v>324</v>
      </c>
      <c r="L7">
        <f t="shared" si="1"/>
        <v>0.14464285714285716</v>
      </c>
    </row>
    <row r="8" spans="1:12" x14ac:dyDescent="0.25">
      <c r="A8">
        <v>1733</v>
      </c>
      <c r="B8" t="s">
        <v>92</v>
      </c>
      <c r="C8" t="s">
        <v>56</v>
      </c>
      <c r="D8" t="s">
        <v>33</v>
      </c>
      <c r="H8">
        <v>2346</v>
      </c>
      <c r="J8">
        <f t="shared" si="0"/>
        <v>2346</v>
      </c>
      <c r="L8">
        <f t="shared" si="1"/>
        <v>1.0473214285714285</v>
      </c>
    </row>
    <row r="9" spans="1:12" x14ac:dyDescent="0.25">
      <c r="A9">
        <v>1733</v>
      </c>
      <c r="B9" t="s">
        <v>43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1733</v>
      </c>
      <c r="B10" t="s">
        <v>5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1733</v>
      </c>
      <c r="B11" t="s">
        <v>59</v>
      </c>
      <c r="C11" t="s">
        <v>56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1733</v>
      </c>
      <c r="B12" t="s">
        <v>6</v>
      </c>
      <c r="C12" t="s">
        <v>56</v>
      </c>
      <c r="D12" t="s">
        <v>33</v>
      </c>
      <c r="F12">
        <v>139940</v>
      </c>
      <c r="G12">
        <v>2</v>
      </c>
      <c r="H12">
        <v>8</v>
      </c>
      <c r="J12">
        <f t="shared" si="0"/>
        <v>15673344</v>
      </c>
      <c r="L12">
        <f t="shared" si="1"/>
        <v>6997.028571428571</v>
      </c>
    </row>
    <row r="13" spans="1:12" x14ac:dyDescent="0.25">
      <c r="A13">
        <v>1733</v>
      </c>
      <c r="B13" t="s">
        <v>60</v>
      </c>
      <c r="C13" t="s">
        <v>56</v>
      </c>
      <c r="D13" t="s">
        <v>33</v>
      </c>
      <c r="H13">
        <v>2019</v>
      </c>
      <c r="J13">
        <f t="shared" si="0"/>
        <v>2019</v>
      </c>
      <c r="L13">
        <f t="shared" si="1"/>
        <v>0.90133928571428568</v>
      </c>
    </row>
    <row r="14" spans="1:12" x14ac:dyDescent="0.25">
      <c r="A14">
        <v>1733</v>
      </c>
      <c r="B14" t="s">
        <v>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1733</v>
      </c>
      <c r="B15" t="s">
        <v>37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1733</v>
      </c>
      <c r="B16" t="s">
        <v>8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1733</v>
      </c>
      <c r="B17" t="s">
        <v>40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1733</v>
      </c>
      <c r="B18" t="s">
        <v>77</v>
      </c>
      <c r="C18" t="s">
        <v>56</v>
      </c>
      <c r="D18" t="s">
        <v>33</v>
      </c>
      <c r="F18">
        <v>86</v>
      </c>
      <c r="G18">
        <v>2</v>
      </c>
      <c r="H18">
        <v>13</v>
      </c>
      <c r="J18">
        <f t="shared" si="0"/>
        <v>9701</v>
      </c>
      <c r="L18">
        <f t="shared" si="1"/>
        <v>4.3308035714285715</v>
      </c>
    </row>
    <row r="19" spans="1:12" x14ac:dyDescent="0.25">
      <c r="A19">
        <v>1733</v>
      </c>
      <c r="B19" t="s">
        <v>78</v>
      </c>
      <c r="C19" t="s">
        <v>56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1733</v>
      </c>
      <c r="B20" t="s">
        <v>9</v>
      </c>
      <c r="C20" t="s">
        <v>56</v>
      </c>
      <c r="D20" t="s">
        <v>33</v>
      </c>
      <c r="H20">
        <f>458*200+79</f>
        <v>91679</v>
      </c>
      <c r="I20" t="s">
        <v>118</v>
      </c>
      <c r="J20">
        <f t="shared" si="0"/>
        <v>91679</v>
      </c>
      <c r="L20">
        <f t="shared" si="1"/>
        <v>40.928125000000001</v>
      </c>
    </row>
    <row r="21" spans="1:12" x14ac:dyDescent="0.25">
      <c r="A21">
        <v>1733</v>
      </c>
      <c r="B21" t="s">
        <v>10</v>
      </c>
      <c r="C21" t="s">
        <v>56</v>
      </c>
      <c r="D21" t="s">
        <v>33</v>
      </c>
      <c r="F21">
        <v>3864</v>
      </c>
      <c r="G21">
        <v>2</v>
      </c>
      <c r="H21">
        <v>27</v>
      </c>
      <c r="J21">
        <f t="shared" si="0"/>
        <v>432851</v>
      </c>
      <c r="L21">
        <f t="shared" si="1"/>
        <v>193.23705357142856</v>
      </c>
    </row>
    <row r="22" spans="1:12" x14ac:dyDescent="0.25">
      <c r="A22">
        <v>1733</v>
      </c>
      <c r="B22" t="s">
        <v>11</v>
      </c>
      <c r="C22" t="s">
        <v>56</v>
      </c>
      <c r="D22" t="s">
        <v>33</v>
      </c>
      <c r="F22">
        <v>358</v>
      </c>
      <c r="G22">
        <v>2</v>
      </c>
      <c r="H22">
        <v>16</v>
      </c>
      <c r="J22">
        <f t="shared" si="0"/>
        <v>40168</v>
      </c>
      <c r="L22">
        <f t="shared" si="1"/>
        <v>17.932142857142857</v>
      </c>
    </row>
    <row r="23" spans="1:12" x14ac:dyDescent="0.25">
      <c r="A23">
        <v>1733</v>
      </c>
      <c r="B23" t="s">
        <v>39</v>
      </c>
      <c r="C23" t="s">
        <v>56</v>
      </c>
      <c r="D23" t="s">
        <v>33</v>
      </c>
      <c r="H23">
        <v>330</v>
      </c>
      <c r="J23">
        <f t="shared" si="0"/>
        <v>330</v>
      </c>
      <c r="L23">
        <f t="shared" si="1"/>
        <v>0.14732142857142858</v>
      </c>
    </row>
    <row r="24" spans="1:12" x14ac:dyDescent="0.25">
      <c r="A24">
        <v>1733</v>
      </c>
      <c r="B24" t="s">
        <v>79</v>
      </c>
      <c r="C24" t="s">
        <v>56</v>
      </c>
      <c r="D24" t="s">
        <v>33</v>
      </c>
      <c r="H24">
        <v>44457</v>
      </c>
      <c r="J24">
        <f t="shared" si="0"/>
        <v>44457</v>
      </c>
      <c r="L24">
        <f t="shared" si="1"/>
        <v>19.846875000000001</v>
      </c>
    </row>
    <row r="25" spans="1:12" x14ac:dyDescent="0.25">
      <c r="A25">
        <v>1733</v>
      </c>
      <c r="B25" t="s">
        <v>102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1733</v>
      </c>
      <c r="B26" t="s">
        <v>44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1733</v>
      </c>
      <c r="B27" t="s">
        <v>12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1733</v>
      </c>
      <c r="B28" t="s">
        <v>34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1733</v>
      </c>
      <c r="B29" t="s">
        <v>13</v>
      </c>
      <c r="C29" t="s">
        <v>56</v>
      </c>
      <c r="D29" t="s">
        <v>33</v>
      </c>
      <c r="E29">
        <v>8</v>
      </c>
      <c r="J29">
        <f t="shared" si="0"/>
        <v>17920</v>
      </c>
      <c r="L29">
        <f t="shared" si="1"/>
        <v>8</v>
      </c>
    </row>
    <row r="30" spans="1:12" x14ac:dyDescent="0.25">
      <c r="A30">
        <v>1733</v>
      </c>
      <c r="B30" t="s">
        <v>14</v>
      </c>
      <c r="C30" t="s">
        <v>56</v>
      </c>
      <c r="D30" t="s">
        <v>33</v>
      </c>
      <c r="H30">
        <v>15064</v>
      </c>
      <c r="I30" t="s">
        <v>114</v>
      </c>
      <c r="J30">
        <f t="shared" si="0"/>
        <v>15064</v>
      </c>
      <c r="L30">
        <f t="shared" si="1"/>
        <v>6.7249999999999996</v>
      </c>
    </row>
    <row r="31" spans="1:12" x14ac:dyDescent="0.25">
      <c r="A31">
        <v>1733</v>
      </c>
      <c r="B31" t="s">
        <v>23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1733</v>
      </c>
      <c r="B32" t="s">
        <v>27</v>
      </c>
      <c r="C32" t="s">
        <v>56</v>
      </c>
      <c r="D32" t="s">
        <v>33</v>
      </c>
      <c r="H32">
        <v>125892.5</v>
      </c>
      <c r="I32" t="s">
        <v>117</v>
      </c>
      <c r="J32">
        <f t="shared" si="0"/>
        <v>125892.5</v>
      </c>
      <c r="L32">
        <f t="shared" si="1"/>
        <v>56.202008928571431</v>
      </c>
    </row>
    <row r="33" spans="1:12" x14ac:dyDescent="0.25">
      <c r="A33">
        <v>1733</v>
      </c>
      <c r="B33" t="s">
        <v>15</v>
      </c>
      <c r="C33" t="s">
        <v>56</v>
      </c>
      <c r="D33" t="s">
        <v>33</v>
      </c>
      <c r="F33">
        <v>10</v>
      </c>
      <c r="J33">
        <f t="shared" si="0"/>
        <v>1120</v>
      </c>
      <c r="L33">
        <f t="shared" si="1"/>
        <v>0.5</v>
      </c>
    </row>
    <row r="34" spans="1:12" x14ac:dyDescent="0.25">
      <c r="A34">
        <v>1733</v>
      </c>
      <c r="B34" t="s">
        <v>42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1733</v>
      </c>
      <c r="B35" t="s">
        <v>47</v>
      </c>
      <c r="C35" t="s">
        <v>56</v>
      </c>
      <c r="D35" t="s">
        <v>33</v>
      </c>
      <c r="H35">
        <v>1280.5</v>
      </c>
      <c r="I35" t="s">
        <v>115</v>
      </c>
      <c r="J35">
        <f t="shared" si="0"/>
        <v>1280.5</v>
      </c>
      <c r="L35">
        <f t="shared" si="1"/>
        <v>0.57165178571428577</v>
      </c>
    </row>
    <row r="36" spans="1:12" x14ac:dyDescent="0.25">
      <c r="A36">
        <v>1733</v>
      </c>
      <c r="B36" t="s">
        <v>16</v>
      </c>
      <c r="C36" t="s">
        <v>56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1733</v>
      </c>
      <c r="B37" t="s">
        <v>106</v>
      </c>
      <c r="C37" t="s">
        <v>56</v>
      </c>
      <c r="D37" t="s">
        <v>33</v>
      </c>
      <c r="F37">
        <v>4</v>
      </c>
      <c r="J37">
        <f t="shared" si="0"/>
        <v>448</v>
      </c>
      <c r="L37">
        <f t="shared" si="1"/>
        <v>0.2</v>
      </c>
    </row>
    <row r="38" spans="1:12" x14ac:dyDescent="0.25">
      <c r="A38">
        <v>1733</v>
      </c>
      <c r="B38" t="s">
        <v>17</v>
      </c>
      <c r="C38" t="s">
        <v>56</v>
      </c>
      <c r="D38" t="s">
        <v>33</v>
      </c>
      <c r="F38">
        <v>3</v>
      </c>
      <c r="J38">
        <f t="shared" si="0"/>
        <v>336</v>
      </c>
      <c r="L38">
        <f t="shared" si="1"/>
        <v>0.15</v>
      </c>
    </row>
    <row r="39" spans="1:12" x14ac:dyDescent="0.25">
      <c r="A39">
        <v>1733</v>
      </c>
      <c r="B39" t="s">
        <v>18</v>
      </c>
      <c r="C39" t="s">
        <v>56</v>
      </c>
      <c r="D39" t="s">
        <v>33</v>
      </c>
      <c r="H39">
        <v>328614.5</v>
      </c>
      <c r="I39" t="s">
        <v>116</v>
      </c>
      <c r="J39">
        <f t="shared" si="0"/>
        <v>328614.5</v>
      </c>
      <c r="L39">
        <f t="shared" si="1"/>
        <v>146.70290178571429</v>
      </c>
    </row>
    <row r="40" spans="1:12" x14ac:dyDescent="0.25">
      <c r="A40">
        <v>1733</v>
      </c>
      <c r="B40" t="s">
        <v>26</v>
      </c>
      <c r="C40" t="s">
        <v>56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1733</v>
      </c>
      <c r="B41" t="s">
        <v>19</v>
      </c>
      <c r="C41" t="s">
        <v>56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1733</v>
      </c>
      <c r="B42" t="s">
        <v>45</v>
      </c>
      <c r="C42" t="s">
        <v>56</v>
      </c>
      <c r="D42" t="s">
        <v>33</v>
      </c>
      <c r="H42">
        <v>623</v>
      </c>
      <c r="J42">
        <f t="shared" si="0"/>
        <v>623</v>
      </c>
      <c r="L42">
        <f t="shared" si="1"/>
        <v>0.27812500000000001</v>
      </c>
    </row>
    <row r="43" spans="1:12" x14ac:dyDescent="0.25">
      <c r="A43">
        <v>1733</v>
      </c>
      <c r="B43" t="s">
        <v>54</v>
      </c>
      <c r="C43" t="s">
        <v>56</v>
      </c>
      <c r="D43" t="s">
        <v>33</v>
      </c>
      <c r="H43">
        <v>3035</v>
      </c>
      <c r="J43">
        <f t="shared" si="0"/>
        <v>3035</v>
      </c>
      <c r="L43">
        <f t="shared" si="1"/>
        <v>1.3549107142857142</v>
      </c>
    </row>
    <row r="44" spans="1:12" x14ac:dyDescent="0.25">
      <c r="A44">
        <v>1733</v>
      </c>
      <c r="B44" t="s">
        <v>95</v>
      </c>
      <c r="C44" t="s">
        <v>56</v>
      </c>
      <c r="D44" t="s">
        <v>33</v>
      </c>
      <c r="H44">
        <v>188</v>
      </c>
      <c r="J44">
        <f t="shared" si="0"/>
        <v>188</v>
      </c>
      <c r="L44">
        <f t="shared" si="1"/>
        <v>8.3928571428571422E-2</v>
      </c>
    </row>
    <row r="45" spans="1:12" x14ac:dyDescent="0.25">
      <c r="A45">
        <v>1733</v>
      </c>
      <c r="B45" t="s">
        <v>20</v>
      </c>
      <c r="C45" t="s">
        <v>56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1733</v>
      </c>
      <c r="B46" t="s">
        <v>21</v>
      </c>
      <c r="C46" t="s">
        <v>56</v>
      </c>
      <c r="D46" t="s">
        <v>33</v>
      </c>
      <c r="H46">
        <v>17</v>
      </c>
      <c r="J46">
        <f t="shared" si="0"/>
        <v>17</v>
      </c>
      <c r="L46">
        <f t="shared" si="1"/>
        <v>7.5892857142857142E-3</v>
      </c>
    </row>
    <row r="47" spans="1:12" x14ac:dyDescent="0.25">
      <c r="A47">
        <v>1733</v>
      </c>
      <c r="B47" t="s">
        <v>90</v>
      </c>
      <c r="C47" t="s">
        <v>56</v>
      </c>
      <c r="D47" t="s">
        <v>33</v>
      </c>
      <c r="F47">
        <v>177</v>
      </c>
      <c r="G47">
        <v>1</v>
      </c>
      <c r="H47">
        <v>22</v>
      </c>
      <c r="J47">
        <f t="shared" si="0"/>
        <v>19874</v>
      </c>
      <c r="L47">
        <f t="shared" si="1"/>
        <v>8.8723214285714285</v>
      </c>
    </row>
    <row r="48" spans="1:12" x14ac:dyDescent="0.25">
      <c r="A48">
        <v>1733</v>
      </c>
      <c r="B48" t="s">
        <v>22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1733</v>
      </c>
      <c r="B49" t="s">
        <v>61</v>
      </c>
      <c r="C49" t="s">
        <v>56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1733</v>
      </c>
      <c r="B50" t="s">
        <v>62</v>
      </c>
      <c r="C50" t="s">
        <v>56</v>
      </c>
      <c r="D50" t="s">
        <v>33</v>
      </c>
      <c r="E50">
        <v>48</v>
      </c>
      <c r="F50">
        <v>8</v>
      </c>
      <c r="G50">
        <v>2</v>
      </c>
      <c r="H50">
        <v>17</v>
      </c>
      <c r="J50">
        <f t="shared" si="0"/>
        <v>108489</v>
      </c>
      <c r="L50">
        <f t="shared" si="1"/>
        <v>48.432589285714286</v>
      </c>
    </row>
    <row r="51" spans="1:12" x14ac:dyDescent="0.25">
      <c r="A51">
        <v>1733</v>
      </c>
      <c r="B51" t="s">
        <v>63</v>
      </c>
      <c r="C51" t="s">
        <v>56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1733</v>
      </c>
      <c r="B52" t="s">
        <v>70</v>
      </c>
      <c r="C52" t="s">
        <v>56</v>
      </c>
      <c r="D52" t="s">
        <v>33</v>
      </c>
      <c r="E52">
        <v>13</v>
      </c>
      <c r="F52">
        <v>10</v>
      </c>
      <c r="J52">
        <f t="shared" si="0"/>
        <v>30240</v>
      </c>
      <c r="L52">
        <f t="shared" si="1"/>
        <v>13.5</v>
      </c>
    </row>
    <row r="53" spans="1:12" x14ac:dyDescent="0.25">
      <c r="A53">
        <v>1733</v>
      </c>
      <c r="B53" t="s">
        <v>64</v>
      </c>
      <c r="C53" t="s">
        <v>56</v>
      </c>
      <c r="D53" t="s">
        <v>33</v>
      </c>
      <c r="F53">
        <v>19</v>
      </c>
      <c r="J53">
        <f t="shared" si="0"/>
        <v>2128</v>
      </c>
      <c r="L53">
        <f t="shared" si="1"/>
        <v>0.95</v>
      </c>
    </row>
    <row r="54" spans="1:12" x14ac:dyDescent="0.25">
      <c r="A54">
        <v>1733</v>
      </c>
      <c r="B54" t="s">
        <v>65</v>
      </c>
      <c r="C54" t="s">
        <v>56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1733</v>
      </c>
      <c r="B55" t="s">
        <v>55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1733</v>
      </c>
      <c r="B56" t="s">
        <v>57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1733</v>
      </c>
      <c r="B57" t="s">
        <v>36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1733</v>
      </c>
      <c r="B58" t="s">
        <v>4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1733</v>
      </c>
      <c r="B59" t="s">
        <v>58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1733</v>
      </c>
      <c r="B60" t="s">
        <v>92</v>
      </c>
      <c r="C60" t="s">
        <v>56</v>
      </c>
      <c r="D60" t="s">
        <v>35</v>
      </c>
      <c r="H60">
        <v>41</v>
      </c>
      <c r="J60">
        <f t="shared" si="0"/>
        <v>41</v>
      </c>
      <c r="L60">
        <f t="shared" si="1"/>
        <v>1.8303571428571429E-2</v>
      </c>
    </row>
    <row r="61" spans="1:12" x14ac:dyDescent="0.25">
      <c r="A61">
        <v>1733</v>
      </c>
      <c r="B61" t="s">
        <v>43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1733</v>
      </c>
      <c r="B62" t="s">
        <v>5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1733</v>
      </c>
      <c r="B63" t="s">
        <v>59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1733</v>
      </c>
      <c r="B64" t="s">
        <v>6</v>
      </c>
      <c r="C64" t="s">
        <v>56</v>
      </c>
      <c r="D64" t="s">
        <v>35</v>
      </c>
      <c r="F64">
        <v>25341</v>
      </c>
      <c r="G64">
        <v>2</v>
      </c>
      <c r="H64">
        <v>5</v>
      </c>
      <c r="J64">
        <f t="shared" si="0"/>
        <v>2838253</v>
      </c>
      <c r="L64">
        <f t="shared" si="1"/>
        <v>1267.0772321428572</v>
      </c>
    </row>
    <row r="65" spans="1:12" x14ac:dyDescent="0.25">
      <c r="A65">
        <v>1733</v>
      </c>
      <c r="B65" t="s">
        <v>60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1733</v>
      </c>
      <c r="B66" t="s">
        <v>38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1733</v>
      </c>
      <c r="B67" t="s">
        <v>37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1733</v>
      </c>
      <c r="B68" t="s">
        <v>8</v>
      </c>
      <c r="C68" t="s">
        <v>56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1733</v>
      </c>
      <c r="B69" t="s">
        <v>40</v>
      </c>
      <c r="C69" t="s">
        <v>56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1733</v>
      </c>
      <c r="B70" t="s">
        <v>9</v>
      </c>
      <c r="C70" t="s">
        <v>56</v>
      </c>
      <c r="D70" t="s">
        <v>35</v>
      </c>
      <c r="H70">
        <f>788*200+2</f>
        <v>157602</v>
      </c>
      <c r="I70" t="s">
        <v>155</v>
      </c>
      <c r="J70">
        <f t="shared" si="0"/>
        <v>157602</v>
      </c>
      <c r="L70">
        <f t="shared" si="1"/>
        <v>70.35803571428572</v>
      </c>
    </row>
    <row r="71" spans="1:12" x14ac:dyDescent="0.25">
      <c r="A71">
        <v>1733</v>
      </c>
      <c r="B71" t="s">
        <v>10</v>
      </c>
      <c r="C71" t="s">
        <v>56</v>
      </c>
      <c r="D71" t="s">
        <v>35</v>
      </c>
      <c r="F71">
        <v>773</v>
      </c>
      <c r="G71">
        <v>2</v>
      </c>
      <c r="H71">
        <v>19</v>
      </c>
      <c r="J71">
        <f t="shared" si="0"/>
        <v>86651</v>
      </c>
      <c r="L71">
        <f t="shared" si="1"/>
        <v>38.683482142857144</v>
      </c>
    </row>
    <row r="72" spans="1:12" x14ac:dyDescent="0.25">
      <c r="A72">
        <v>1733</v>
      </c>
      <c r="B72" t="s">
        <v>11</v>
      </c>
      <c r="C72" t="s">
        <v>56</v>
      </c>
      <c r="D72" t="s">
        <v>35</v>
      </c>
      <c r="F72">
        <v>107</v>
      </c>
      <c r="G72">
        <v>2</v>
      </c>
      <c r="H72">
        <v>6</v>
      </c>
      <c r="J72">
        <f t="shared" ref="J72:J104" si="2">(E72*2240)+(F72*112)+(G72*28)+H72</f>
        <v>12046</v>
      </c>
      <c r="L72">
        <f t="shared" ref="L72:L104" si="3">J72/2240</f>
        <v>5.3776785714285715</v>
      </c>
    </row>
    <row r="73" spans="1:12" x14ac:dyDescent="0.25">
      <c r="A73">
        <v>1733</v>
      </c>
      <c r="B73" t="s">
        <v>39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1733</v>
      </c>
      <c r="B74" t="s">
        <v>79</v>
      </c>
      <c r="C74" t="s">
        <v>56</v>
      </c>
      <c r="D74" t="s">
        <v>35</v>
      </c>
      <c r="H74">
        <v>560</v>
      </c>
      <c r="J74">
        <f t="shared" si="2"/>
        <v>560</v>
      </c>
      <c r="L74">
        <f t="shared" si="3"/>
        <v>0.25</v>
      </c>
    </row>
    <row r="75" spans="1:12" x14ac:dyDescent="0.25">
      <c r="A75">
        <v>1733</v>
      </c>
      <c r="B75" t="s">
        <v>44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1733</v>
      </c>
      <c r="B76" t="s">
        <v>12</v>
      </c>
      <c r="C76" t="s">
        <v>56</v>
      </c>
      <c r="D76" t="s">
        <v>35</v>
      </c>
      <c r="H76">
        <v>224</v>
      </c>
      <c r="J76">
        <f t="shared" si="2"/>
        <v>224</v>
      </c>
      <c r="L76">
        <f t="shared" si="3"/>
        <v>0.1</v>
      </c>
    </row>
    <row r="77" spans="1:12" x14ac:dyDescent="0.25">
      <c r="A77">
        <v>1733</v>
      </c>
      <c r="B77" t="s">
        <v>34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1733</v>
      </c>
      <c r="B78" t="s">
        <v>13</v>
      </c>
      <c r="C78" t="s">
        <v>56</v>
      </c>
      <c r="D78" t="s">
        <v>35</v>
      </c>
      <c r="E78">
        <v>15</v>
      </c>
      <c r="J78">
        <f t="shared" si="2"/>
        <v>33600</v>
      </c>
      <c r="L78">
        <f t="shared" si="3"/>
        <v>15</v>
      </c>
    </row>
    <row r="79" spans="1:12" x14ac:dyDescent="0.25">
      <c r="A79">
        <v>1733</v>
      </c>
      <c r="B79" t="s">
        <v>14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1733</v>
      </c>
      <c r="B80" t="s">
        <v>23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1733</v>
      </c>
      <c r="B81" t="s">
        <v>27</v>
      </c>
      <c r="C81" t="s">
        <v>56</v>
      </c>
      <c r="D81" t="s">
        <v>35</v>
      </c>
      <c r="H81">
        <v>25976.5</v>
      </c>
      <c r="I81" t="s">
        <v>154</v>
      </c>
      <c r="J81">
        <f t="shared" si="2"/>
        <v>25976.5</v>
      </c>
      <c r="L81">
        <f t="shared" si="3"/>
        <v>11.596651785714286</v>
      </c>
    </row>
    <row r="82" spans="1:12" x14ac:dyDescent="0.25">
      <c r="A82">
        <v>1733</v>
      </c>
      <c r="B82" t="s">
        <v>15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1733</v>
      </c>
      <c r="B83" t="s">
        <v>93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1733</v>
      </c>
      <c r="B84" t="s">
        <v>42</v>
      </c>
      <c r="C84" t="s">
        <v>56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1733</v>
      </c>
      <c r="B85" t="s">
        <v>47</v>
      </c>
      <c r="C85" t="s">
        <v>56</v>
      </c>
      <c r="D85" t="s">
        <v>35</v>
      </c>
      <c r="H85">
        <v>50</v>
      </c>
      <c r="I85" t="s">
        <v>152</v>
      </c>
      <c r="J85">
        <f t="shared" si="2"/>
        <v>50</v>
      </c>
      <c r="L85">
        <f t="shared" si="3"/>
        <v>2.2321428571428572E-2</v>
      </c>
    </row>
    <row r="86" spans="1:12" x14ac:dyDescent="0.25">
      <c r="A86">
        <v>1733</v>
      </c>
      <c r="B86" t="s">
        <v>16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1733</v>
      </c>
      <c r="B87" t="s">
        <v>106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1733</v>
      </c>
      <c r="B88" t="s">
        <v>17</v>
      </c>
      <c r="C88" t="s">
        <v>56</v>
      </c>
      <c r="D88" t="s">
        <v>35</v>
      </c>
      <c r="F88">
        <v>2</v>
      </c>
      <c r="G88">
        <v>3</v>
      </c>
      <c r="J88">
        <f t="shared" si="2"/>
        <v>308</v>
      </c>
      <c r="L88">
        <f t="shared" si="3"/>
        <v>0.13750000000000001</v>
      </c>
    </row>
    <row r="89" spans="1:12" x14ac:dyDescent="0.25">
      <c r="A89">
        <v>1733</v>
      </c>
      <c r="B89" t="s">
        <v>18</v>
      </c>
      <c r="C89" t="s">
        <v>56</v>
      </c>
      <c r="D89" t="s">
        <v>35</v>
      </c>
      <c r="H89">
        <v>102841.5</v>
      </c>
      <c r="I89" t="s">
        <v>153</v>
      </c>
      <c r="J89">
        <f t="shared" si="2"/>
        <v>102841.5</v>
      </c>
      <c r="L89">
        <f t="shared" si="3"/>
        <v>45.911383928571432</v>
      </c>
    </row>
    <row r="90" spans="1:12" x14ac:dyDescent="0.25">
      <c r="A90">
        <v>1733</v>
      </c>
      <c r="B90" t="s">
        <v>26</v>
      </c>
      <c r="C90" t="s">
        <v>56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1733</v>
      </c>
      <c r="B91" t="s">
        <v>19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1733</v>
      </c>
      <c r="B92" t="s">
        <v>45</v>
      </c>
      <c r="C92" t="s">
        <v>56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1733</v>
      </c>
      <c r="B93" t="s">
        <v>54</v>
      </c>
      <c r="C93" t="s">
        <v>56</v>
      </c>
      <c r="D93" t="s">
        <v>35</v>
      </c>
      <c r="H93">
        <v>769</v>
      </c>
      <c r="J93">
        <f t="shared" si="2"/>
        <v>769</v>
      </c>
      <c r="L93">
        <f t="shared" si="3"/>
        <v>0.34330357142857143</v>
      </c>
    </row>
    <row r="94" spans="1:12" x14ac:dyDescent="0.25">
      <c r="A94">
        <v>1733</v>
      </c>
      <c r="B94" t="s">
        <v>95</v>
      </c>
      <c r="C94" t="s">
        <v>56</v>
      </c>
      <c r="D94" t="s">
        <v>35</v>
      </c>
      <c r="H94">
        <v>56</v>
      </c>
      <c r="J94">
        <f t="shared" si="2"/>
        <v>56</v>
      </c>
      <c r="L94">
        <f t="shared" si="3"/>
        <v>2.5000000000000001E-2</v>
      </c>
    </row>
    <row r="95" spans="1:12" x14ac:dyDescent="0.25">
      <c r="A95">
        <v>1733</v>
      </c>
      <c r="B95" t="s">
        <v>20</v>
      </c>
      <c r="C95" t="s">
        <v>56</v>
      </c>
      <c r="D95" t="s">
        <v>35</v>
      </c>
      <c r="H95">
        <v>390</v>
      </c>
      <c r="J95">
        <f t="shared" si="2"/>
        <v>390</v>
      </c>
      <c r="L95">
        <f t="shared" si="3"/>
        <v>0.17410714285714285</v>
      </c>
    </row>
    <row r="96" spans="1:12" x14ac:dyDescent="0.25">
      <c r="A96">
        <v>1733</v>
      </c>
      <c r="B96" t="s">
        <v>21</v>
      </c>
      <c r="C96" t="s">
        <v>56</v>
      </c>
      <c r="D96" t="s">
        <v>35</v>
      </c>
      <c r="H96">
        <v>16</v>
      </c>
      <c r="J96">
        <f t="shared" si="2"/>
        <v>16</v>
      </c>
      <c r="L96">
        <f t="shared" si="3"/>
        <v>7.1428571428571426E-3</v>
      </c>
    </row>
    <row r="97" spans="1:12" x14ac:dyDescent="0.25">
      <c r="A97">
        <v>1733</v>
      </c>
      <c r="B97" t="s">
        <v>22</v>
      </c>
      <c r="C97" t="s">
        <v>56</v>
      </c>
      <c r="D97" t="s">
        <v>35</v>
      </c>
      <c r="F97">
        <v>25</v>
      </c>
      <c r="G97">
        <v>1</v>
      </c>
      <c r="H97">
        <v>6</v>
      </c>
      <c r="J97">
        <f t="shared" si="2"/>
        <v>2834</v>
      </c>
      <c r="L97">
        <f t="shared" si="3"/>
        <v>1.2651785714285715</v>
      </c>
    </row>
    <row r="98" spans="1:12" x14ac:dyDescent="0.25">
      <c r="A98">
        <v>1733</v>
      </c>
      <c r="B98" t="s">
        <v>61</v>
      </c>
      <c r="C98" t="s">
        <v>56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1733</v>
      </c>
      <c r="B99" t="s">
        <v>62</v>
      </c>
      <c r="C99" t="s">
        <v>56</v>
      </c>
      <c r="D99" t="s">
        <v>35</v>
      </c>
      <c r="E99">
        <v>37</v>
      </c>
      <c r="G99">
        <v>1</v>
      </c>
      <c r="H99">
        <v>1</v>
      </c>
      <c r="J99">
        <f t="shared" si="2"/>
        <v>82909</v>
      </c>
      <c r="L99">
        <f t="shared" si="3"/>
        <v>37.012946428571432</v>
      </c>
    </row>
    <row r="100" spans="1:12" x14ac:dyDescent="0.25">
      <c r="A100">
        <v>1733</v>
      </c>
      <c r="B100" t="s">
        <v>63</v>
      </c>
      <c r="C100" t="s">
        <v>56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1733</v>
      </c>
      <c r="B101" t="s">
        <v>89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1733</v>
      </c>
      <c r="B102" t="s">
        <v>70</v>
      </c>
      <c r="C102" t="s">
        <v>56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1733</v>
      </c>
      <c r="B103" t="s">
        <v>64</v>
      </c>
      <c r="C103" t="s">
        <v>56</v>
      </c>
      <c r="D103" t="s">
        <v>35</v>
      </c>
      <c r="E103">
        <v>3</v>
      </c>
      <c r="J103">
        <f t="shared" si="2"/>
        <v>6720</v>
      </c>
      <c r="L103">
        <f t="shared" si="3"/>
        <v>3</v>
      </c>
    </row>
    <row r="104" spans="1:12" x14ac:dyDescent="0.25">
      <c r="A104">
        <v>1733</v>
      </c>
      <c r="B104" t="s">
        <v>65</v>
      </c>
      <c r="C104" t="s">
        <v>56</v>
      </c>
      <c r="D104" t="s">
        <v>35</v>
      </c>
      <c r="J104">
        <f t="shared" si="2"/>
        <v>0</v>
      </c>
      <c r="L104">
        <f t="shared" si="3"/>
        <v>0</v>
      </c>
    </row>
  </sheetData>
  <autoFilter ref="A1:N58" xr:uid="{AAD1F908-12B8-4B3A-A65D-184CD229ACD4}">
    <sortState xmlns:xlrd2="http://schemas.microsoft.com/office/spreadsheetml/2017/richdata2" ref="A2:N58">
      <sortCondition ref="B1:B5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32"/>
  <sheetViews>
    <sheetView workbookViewId="0">
      <selection activeCell="I21" sqref="I21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 s="2">
        <v>1733</v>
      </c>
      <c r="B2" s="2" t="s">
        <v>5</v>
      </c>
      <c r="C2" s="2" t="s">
        <v>67</v>
      </c>
      <c r="D2" s="2" t="s">
        <v>33</v>
      </c>
      <c r="E2" s="2"/>
      <c r="F2" s="2">
        <v>1</v>
      </c>
      <c r="G2" s="2"/>
      <c r="H2" s="1"/>
      <c r="I2" s="1"/>
      <c r="J2">
        <f t="shared" ref="J2:J32" si="0">(E2*2240)+(F2*112)+(G2*28)+H2</f>
        <v>112</v>
      </c>
      <c r="K2" s="1"/>
      <c r="L2">
        <f t="shared" ref="L2:L32" si="1">J2/2240</f>
        <v>0.05</v>
      </c>
    </row>
    <row r="3" spans="1:12" x14ac:dyDescent="0.25">
      <c r="A3">
        <v>1733</v>
      </c>
      <c r="B3" t="s">
        <v>66</v>
      </c>
      <c r="C3" t="s">
        <v>67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1733</v>
      </c>
      <c r="B4" t="s">
        <v>6</v>
      </c>
      <c r="C4" t="s">
        <v>67</v>
      </c>
      <c r="D4" t="s">
        <v>33</v>
      </c>
      <c r="E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1733</v>
      </c>
      <c r="B5" t="s">
        <v>8</v>
      </c>
      <c r="C5" t="s">
        <v>67</v>
      </c>
      <c r="D5" t="s">
        <v>33</v>
      </c>
      <c r="E5" s="1"/>
      <c r="F5" s="1"/>
      <c r="G5" s="1"/>
      <c r="I5" s="1"/>
      <c r="J5">
        <f t="shared" si="0"/>
        <v>0</v>
      </c>
      <c r="K5" s="1"/>
      <c r="L5">
        <f t="shared" si="1"/>
        <v>0</v>
      </c>
    </row>
    <row r="6" spans="1:12" x14ac:dyDescent="0.25">
      <c r="A6">
        <v>1733</v>
      </c>
      <c r="B6" t="s">
        <v>119</v>
      </c>
      <c r="C6" t="s">
        <v>67</v>
      </c>
      <c r="D6" t="s">
        <v>33</v>
      </c>
      <c r="E6" s="1"/>
      <c r="F6" s="2">
        <v>45</v>
      </c>
      <c r="G6" s="2">
        <v>2</v>
      </c>
      <c r="H6">
        <v>21</v>
      </c>
      <c r="I6" s="1"/>
      <c r="J6">
        <f t="shared" si="0"/>
        <v>5117</v>
      </c>
      <c r="K6" s="1"/>
      <c r="L6">
        <f t="shared" si="1"/>
        <v>2.2843749999999998</v>
      </c>
    </row>
    <row r="7" spans="1:12" x14ac:dyDescent="0.25">
      <c r="A7">
        <v>1733</v>
      </c>
      <c r="B7" t="s">
        <v>9</v>
      </c>
      <c r="C7" t="s">
        <v>67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1733</v>
      </c>
      <c r="B8" t="s">
        <v>11</v>
      </c>
      <c r="C8" t="s">
        <v>67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1733</v>
      </c>
      <c r="B9" t="s">
        <v>12</v>
      </c>
      <c r="C9" t="s">
        <v>67</v>
      </c>
      <c r="D9" t="s">
        <v>33</v>
      </c>
      <c r="H9">
        <v>30</v>
      </c>
      <c r="J9">
        <f t="shared" si="0"/>
        <v>30</v>
      </c>
      <c r="L9">
        <f t="shared" si="1"/>
        <v>1.3392857142857142E-2</v>
      </c>
    </row>
    <row r="10" spans="1:12" x14ac:dyDescent="0.25">
      <c r="A10">
        <v>1733</v>
      </c>
      <c r="B10" t="s">
        <v>27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1733</v>
      </c>
      <c r="B11" t="s">
        <v>15</v>
      </c>
      <c r="C11" t="s">
        <v>67</v>
      </c>
      <c r="D11" t="s">
        <v>33</v>
      </c>
      <c r="J11">
        <f t="shared" si="0"/>
        <v>0</v>
      </c>
      <c r="K11" s="1"/>
      <c r="L11">
        <f t="shared" si="1"/>
        <v>0</v>
      </c>
    </row>
    <row r="12" spans="1:12" x14ac:dyDescent="0.25">
      <c r="A12">
        <v>1733</v>
      </c>
      <c r="B12" t="s">
        <v>17</v>
      </c>
      <c r="C12" t="s">
        <v>67</v>
      </c>
      <c r="D12" t="s">
        <v>33</v>
      </c>
      <c r="J12">
        <f t="shared" si="0"/>
        <v>0</v>
      </c>
      <c r="K12" s="1"/>
      <c r="L12">
        <f t="shared" si="1"/>
        <v>0</v>
      </c>
    </row>
    <row r="13" spans="1:12" x14ac:dyDescent="0.25">
      <c r="A13">
        <v>1733</v>
      </c>
      <c r="B13" t="s">
        <v>18</v>
      </c>
      <c r="C13" t="s">
        <v>67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1733</v>
      </c>
      <c r="B14" t="s">
        <v>19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1733</v>
      </c>
      <c r="B15" t="s">
        <v>21</v>
      </c>
      <c r="C15" t="s">
        <v>67</v>
      </c>
      <c r="D15" t="s">
        <v>33</v>
      </c>
      <c r="H15">
        <v>20</v>
      </c>
      <c r="J15">
        <f t="shared" si="0"/>
        <v>20</v>
      </c>
      <c r="L15">
        <f t="shared" si="1"/>
        <v>8.9285714285714281E-3</v>
      </c>
    </row>
    <row r="16" spans="1:12" x14ac:dyDescent="0.25">
      <c r="A16">
        <v>1733</v>
      </c>
      <c r="B16" t="s">
        <v>90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1733</v>
      </c>
      <c r="B17" t="s">
        <v>61</v>
      </c>
      <c r="C17" t="s">
        <v>67</v>
      </c>
      <c r="D17" t="s">
        <v>33</v>
      </c>
      <c r="E17">
        <v>2</v>
      </c>
      <c r="J17">
        <f t="shared" si="0"/>
        <v>4480</v>
      </c>
      <c r="L17">
        <f t="shared" si="1"/>
        <v>2</v>
      </c>
    </row>
    <row r="18" spans="1:12" x14ac:dyDescent="0.25">
      <c r="A18">
        <v>1733</v>
      </c>
      <c r="B18" t="s">
        <v>62</v>
      </c>
      <c r="C18" t="s">
        <v>67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1733</v>
      </c>
      <c r="B19" t="s">
        <v>63</v>
      </c>
      <c r="C19" t="s">
        <v>67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1733</v>
      </c>
      <c r="B20" t="s">
        <v>89</v>
      </c>
      <c r="C20" t="s">
        <v>67</v>
      </c>
      <c r="D20" t="s">
        <v>33</v>
      </c>
      <c r="G20">
        <v>17</v>
      </c>
      <c r="J20">
        <f t="shared" si="0"/>
        <v>476</v>
      </c>
      <c r="L20">
        <f t="shared" si="1"/>
        <v>0.21249999999999999</v>
      </c>
    </row>
    <row r="21" spans="1:12" x14ac:dyDescent="0.25">
      <c r="A21">
        <v>1733</v>
      </c>
      <c r="B21" t="s">
        <v>64</v>
      </c>
      <c r="C21" t="s">
        <v>67</v>
      </c>
      <c r="D21" t="s">
        <v>33</v>
      </c>
      <c r="E21">
        <v>3</v>
      </c>
      <c r="J21">
        <f t="shared" si="0"/>
        <v>6720</v>
      </c>
      <c r="L21">
        <f t="shared" si="1"/>
        <v>3</v>
      </c>
    </row>
    <row r="22" spans="1:12" x14ac:dyDescent="0.25">
      <c r="A22">
        <v>1733</v>
      </c>
      <c r="B22" t="s">
        <v>6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1733</v>
      </c>
      <c r="B23" t="s">
        <v>12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1733</v>
      </c>
      <c r="B24" t="s">
        <v>41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1733</v>
      </c>
      <c r="B25" t="s">
        <v>27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1733</v>
      </c>
      <c r="B26" t="s">
        <v>17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1733</v>
      </c>
      <c r="B27" t="s">
        <v>19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1733</v>
      </c>
      <c r="B28" t="s">
        <v>54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1733</v>
      </c>
      <c r="B29" t="s">
        <v>9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  <row r="30" spans="1:12" x14ac:dyDescent="0.25">
      <c r="A30">
        <v>1733</v>
      </c>
      <c r="B30" t="s">
        <v>8</v>
      </c>
      <c r="C30" t="s">
        <v>67</v>
      </c>
      <c r="D30" t="s">
        <v>35</v>
      </c>
      <c r="J30">
        <f t="shared" si="0"/>
        <v>0</v>
      </c>
      <c r="L30">
        <f t="shared" si="1"/>
        <v>0</v>
      </c>
    </row>
    <row r="31" spans="1:12" x14ac:dyDescent="0.25">
      <c r="A31">
        <v>1733</v>
      </c>
      <c r="B31" t="s">
        <v>61</v>
      </c>
      <c r="C31" t="s">
        <v>67</v>
      </c>
      <c r="D31" t="s">
        <v>35</v>
      </c>
      <c r="J31">
        <f t="shared" si="0"/>
        <v>0</v>
      </c>
      <c r="L31">
        <f t="shared" si="1"/>
        <v>0</v>
      </c>
    </row>
    <row r="32" spans="1:12" x14ac:dyDescent="0.25">
      <c r="A32">
        <v>1733</v>
      </c>
      <c r="B32" t="s">
        <v>63</v>
      </c>
      <c r="C32" t="s">
        <v>67</v>
      </c>
      <c r="D32" t="s">
        <v>35</v>
      </c>
      <c r="J32">
        <f t="shared" si="0"/>
        <v>0</v>
      </c>
      <c r="L32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4"/>
  <sheetViews>
    <sheetView topLeftCell="A109" zoomScaleNormal="100" workbookViewId="0">
      <selection activeCell="H113" sqref="H11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1733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1733</v>
      </c>
      <c r="B3" t="s">
        <v>57</v>
      </c>
      <c r="C3" t="s">
        <v>68</v>
      </c>
      <c r="D3" t="s">
        <v>33</v>
      </c>
      <c r="J3">
        <f t="shared" ref="J3:J72" si="0">(E3*2240)+(F3*112)+(G3*28)+H3</f>
        <v>0</v>
      </c>
      <c r="L3">
        <f t="shared" ref="L3:L72" si="1">J3/2240</f>
        <v>0</v>
      </c>
    </row>
    <row r="4" spans="1:12" x14ac:dyDescent="0.25">
      <c r="A4">
        <v>1733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1733</v>
      </c>
      <c r="B5" t="s">
        <v>4</v>
      </c>
      <c r="C5" t="s">
        <v>68</v>
      </c>
      <c r="D5" t="s">
        <v>33</v>
      </c>
      <c r="H5">
        <v>100</v>
      </c>
      <c r="J5">
        <f t="shared" si="0"/>
        <v>100</v>
      </c>
      <c r="L5">
        <f t="shared" si="1"/>
        <v>4.4642857142857144E-2</v>
      </c>
    </row>
    <row r="6" spans="1:12" x14ac:dyDescent="0.25">
      <c r="A6">
        <v>1733</v>
      </c>
      <c r="B6" t="s">
        <v>58</v>
      </c>
      <c r="C6" t="s">
        <v>68</v>
      </c>
      <c r="D6" t="s">
        <v>33</v>
      </c>
      <c r="F6">
        <v>20</v>
      </c>
      <c r="J6">
        <f t="shared" si="0"/>
        <v>2240</v>
      </c>
      <c r="L6">
        <f t="shared" si="1"/>
        <v>1</v>
      </c>
    </row>
    <row r="7" spans="1:12" x14ac:dyDescent="0.25">
      <c r="A7">
        <v>1733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1733</v>
      </c>
      <c r="B8" t="s">
        <v>120</v>
      </c>
      <c r="C8" t="s">
        <v>68</v>
      </c>
      <c r="D8" t="s">
        <v>33</v>
      </c>
      <c r="H8">
        <v>30</v>
      </c>
      <c r="J8">
        <f t="shared" si="0"/>
        <v>30</v>
      </c>
      <c r="L8">
        <f t="shared" si="1"/>
        <v>1.3392857142857142E-2</v>
      </c>
    </row>
    <row r="9" spans="1:12" x14ac:dyDescent="0.25">
      <c r="A9">
        <v>1733</v>
      </c>
      <c r="B9" t="s">
        <v>113</v>
      </c>
      <c r="C9" t="s">
        <v>68</v>
      </c>
      <c r="D9" t="s">
        <v>33</v>
      </c>
      <c r="H9">
        <v>60</v>
      </c>
      <c r="J9">
        <f t="shared" si="0"/>
        <v>60</v>
      </c>
      <c r="L9">
        <f t="shared" si="1"/>
        <v>2.6785714285714284E-2</v>
      </c>
    </row>
    <row r="10" spans="1:12" x14ac:dyDescent="0.25">
      <c r="A10">
        <v>1733</v>
      </c>
      <c r="B10" t="s">
        <v>101</v>
      </c>
      <c r="C10" t="s">
        <v>68</v>
      </c>
      <c r="D10" t="s">
        <v>33</v>
      </c>
      <c r="H10">
        <v>47</v>
      </c>
      <c r="J10">
        <f t="shared" si="0"/>
        <v>47</v>
      </c>
      <c r="L10">
        <f t="shared" si="1"/>
        <v>2.0982142857142855E-2</v>
      </c>
    </row>
    <row r="11" spans="1:12" x14ac:dyDescent="0.25">
      <c r="A11">
        <v>1733</v>
      </c>
      <c r="B11" t="s">
        <v>43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1733</v>
      </c>
      <c r="B12" t="s">
        <v>76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1733</v>
      </c>
      <c r="B13" t="s">
        <v>5</v>
      </c>
      <c r="C13" t="s">
        <v>68</v>
      </c>
      <c r="D13" t="s">
        <v>33</v>
      </c>
      <c r="F13">
        <v>90</v>
      </c>
      <c r="G13">
        <v>3</v>
      </c>
      <c r="H13">
        <v>14</v>
      </c>
      <c r="J13">
        <f t="shared" si="0"/>
        <v>10178</v>
      </c>
      <c r="L13">
        <f t="shared" si="1"/>
        <v>4.5437500000000002</v>
      </c>
    </row>
    <row r="14" spans="1:12" x14ac:dyDescent="0.25">
      <c r="A14">
        <v>1733</v>
      </c>
      <c r="B14" t="s">
        <v>59</v>
      </c>
      <c r="C14" t="s">
        <v>68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1733</v>
      </c>
      <c r="B15" t="s">
        <v>6</v>
      </c>
      <c r="C15" t="s">
        <v>68</v>
      </c>
      <c r="D15" t="s">
        <v>33</v>
      </c>
      <c r="F15">
        <v>202859</v>
      </c>
      <c r="G15">
        <v>2</v>
      </c>
      <c r="H15">
        <v>22</v>
      </c>
      <c r="J15">
        <f t="shared" si="0"/>
        <v>22720286</v>
      </c>
      <c r="L15">
        <f t="shared" si="1"/>
        <v>10142.984821428572</v>
      </c>
    </row>
    <row r="16" spans="1:12" x14ac:dyDescent="0.25">
      <c r="A16">
        <v>1733</v>
      </c>
      <c r="B16" t="s">
        <v>96</v>
      </c>
      <c r="C16" t="s">
        <v>68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1733</v>
      </c>
      <c r="B17" t="s">
        <v>60</v>
      </c>
      <c r="C17" t="s">
        <v>68</v>
      </c>
      <c r="D17" t="s">
        <v>33</v>
      </c>
      <c r="H17">
        <v>464</v>
      </c>
      <c r="J17">
        <f t="shared" si="0"/>
        <v>464</v>
      </c>
      <c r="L17">
        <f t="shared" si="1"/>
        <v>0.20714285714285716</v>
      </c>
    </row>
    <row r="18" spans="1:12" x14ac:dyDescent="0.25">
      <c r="A18">
        <v>1733</v>
      </c>
      <c r="B18" t="s">
        <v>7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1733</v>
      </c>
      <c r="B19" t="s">
        <v>37</v>
      </c>
      <c r="C19" t="s">
        <v>68</v>
      </c>
      <c r="D19" t="s">
        <v>33</v>
      </c>
      <c r="H19">
        <v>2584</v>
      </c>
      <c r="J19">
        <f t="shared" si="0"/>
        <v>2584</v>
      </c>
      <c r="L19">
        <f t="shared" si="1"/>
        <v>1.1535714285714285</v>
      </c>
    </row>
    <row r="20" spans="1:12" x14ac:dyDescent="0.25">
      <c r="A20">
        <v>1733</v>
      </c>
      <c r="B20" t="s">
        <v>8</v>
      </c>
      <c r="C20" t="s">
        <v>68</v>
      </c>
      <c r="D20" t="s">
        <v>33</v>
      </c>
      <c r="F20">
        <v>1573</v>
      </c>
      <c r="H20">
        <v>8</v>
      </c>
      <c r="J20">
        <f t="shared" si="0"/>
        <v>176184</v>
      </c>
      <c r="L20">
        <f t="shared" si="1"/>
        <v>78.653571428571425</v>
      </c>
    </row>
    <row r="21" spans="1:12" x14ac:dyDescent="0.25">
      <c r="A21">
        <v>1733</v>
      </c>
      <c r="B21" t="s">
        <v>40</v>
      </c>
      <c r="C21" t="s">
        <v>68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1733</v>
      </c>
      <c r="B22" t="s">
        <v>77</v>
      </c>
      <c r="C22" t="s">
        <v>68</v>
      </c>
      <c r="D22" t="s">
        <v>33</v>
      </c>
      <c r="F22">
        <v>12</v>
      </c>
      <c r="G22">
        <v>2</v>
      </c>
      <c r="H22">
        <v>20</v>
      </c>
      <c r="J22">
        <f t="shared" si="0"/>
        <v>1420</v>
      </c>
      <c r="L22">
        <f t="shared" si="1"/>
        <v>0.6339285714285714</v>
      </c>
    </row>
    <row r="23" spans="1:12" x14ac:dyDescent="0.25">
      <c r="A23">
        <v>1733</v>
      </c>
      <c r="B23" t="s">
        <v>121</v>
      </c>
      <c r="C23" t="s">
        <v>68</v>
      </c>
      <c r="D23" t="s">
        <v>33</v>
      </c>
      <c r="F23">
        <v>1</v>
      </c>
      <c r="H23">
        <v>9</v>
      </c>
      <c r="J23">
        <f t="shared" si="0"/>
        <v>121</v>
      </c>
      <c r="L23">
        <f t="shared" si="1"/>
        <v>5.4017857142857145E-2</v>
      </c>
    </row>
    <row r="24" spans="1:12" x14ac:dyDescent="0.25">
      <c r="A24">
        <v>1733</v>
      </c>
      <c r="B24" t="s">
        <v>78</v>
      </c>
      <c r="C24" t="s">
        <v>68</v>
      </c>
      <c r="D24" t="s">
        <v>33</v>
      </c>
      <c r="H24">
        <v>7537</v>
      </c>
      <c r="J24">
        <f t="shared" si="0"/>
        <v>7537</v>
      </c>
      <c r="L24">
        <f t="shared" si="1"/>
        <v>3.3647321428571431</v>
      </c>
    </row>
    <row r="25" spans="1:12" x14ac:dyDescent="0.25">
      <c r="A25">
        <v>1733</v>
      </c>
      <c r="B25" t="s">
        <v>46</v>
      </c>
      <c r="C25" t="s">
        <v>68</v>
      </c>
      <c r="D25" t="s">
        <v>33</v>
      </c>
      <c r="H25">
        <v>1977</v>
      </c>
      <c r="J25">
        <f t="shared" si="0"/>
        <v>1977</v>
      </c>
      <c r="L25">
        <f t="shared" si="1"/>
        <v>0.88258928571428574</v>
      </c>
    </row>
    <row r="26" spans="1:12" x14ac:dyDescent="0.25">
      <c r="A26">
        <v>1733</v>
      </c>
      <c r="B26" t="s">
        <v>9</v>
      </c>
      <c r="C26" t="s">
        <v>68</v>
      </c>
      <c r="D26" t="s">
        <v>33</v>
      </c>
      <c r="H26">
        <f>454*200+191</f>
        <v>90991</v>
      </c>
      <c r="I26" t="s">
        <v>129</v>
      </c>
      <c r="J26">
        <f t="shared" si="0"/>
        <v>90991</v>
      </c>
      <c r="L26">
        <f t="shared" si="1"/>
        <v>40.620982142857144</v>
      </c>
    </row>
    <row r="27" spans="1:12" x14ac:dyDescent="0.25">
      <c r="A27">
        <v>1733</v>
      </c>
      <c r="B27" t="s">
        <v>10</v>
      </c>
      <c r="C27" t="s">
        <v>68</v>
      </c>
      <c r="D27" t="s">
        <v>33</v>
      </c>
      <c r="F27">
        <v>7954</v>
      </c>
      <c r="H27">
        <v>17</v>
      </c>
      <c r="J27">
        <f t="shared" si="0"/>
        <v>890865</v>
      </c>
      <c r="L27">
        <f t="shared" si="1"/>
        <v>397.70758928571428</v>
      </c>
    </row>
    <row r="28" spans="1:12" x14ac:dyDescent="0.25">
      <c r="A28">
        <v>1733</v>
      </c>
      <c r="B28" t="s">
        <v>11</v>
      </c>
      <c r="C28" t="s">
        <v>68</v>
      </c>
      <c r="D28" t="s">
        <v>33</v>
      </c>
      <c r="F28">
        <v>257</v>
      </c>
      <c r="G28">
        <v>2</v>
      </c>
      <c r="H28">
        <v>12</v>
      </c>
      <c r="J28">
        <f t="shared" si="0"/>
        <v>28852</v>
      </c>
      <c r="L28">
        <f t="shared" si="1"/>
        <v>12.880357142857143</v>
      </c>
    </row>
    <row r="29" spans="1:12" x14ac:dyDescent="0.25">
      <c r="A29">
        <v>1733</v>
      </c>
      <c r="B29" t="s">
        <v>39</v>
      </c>
      <c r="C29" t="s">
        <v>68</v>
      </c>
      <c r="D29" t="s">
        <v>33</v>
      </c>
      <c r="H29">
        <v>119</v>
      </c>
      <c r="J29">
        <f t="shared" si="0"/>
        <v>119</v>
      </c>
      <c r="L29">
        <f t="shared" si="1"/>
        <v>5.3124999999999999E-2</v>
      </c>
    </row>
    <row r="30" spans="1:12" x14ac:dyDescent="0.25">
      <c r="A30">
        <v>1733</v>
      </c>
      <c r="B30" t="s">
        <v>79</v>
      </c>
      <c r="C30" t="s">
        <v>68</v>
      </c>
      <c r="D30" t="s">
        <v>33</v>
      </c>
      <c r="F30">
        <v>34</v>
      </c>
      <c r="G30">
        <v>3</v>
      </c>
      <c r="H30">
        <v>2</v>
      </c>
      <c r="J30">
        <f t="shared" si="0"/>
        <v>3894</v>
      </c>
      <c r="L30">
        <f t="shared" si="1"/>
        <v>1.7383928571428571</v>
      </c>
    </row>
    <row r="31" spans="1:12" x14ac:dyDescent="0.25">
      <c r="A31">
        <v>1733</v>
      </c>
      <c r="B31" t="s">
        <v>103</v>
      </c>
      <c r="C31" t="s">
        <v>68</v>
      </c>
      <c r="D31" t="s">
        <v>33</v>
      </c>
      <c r="H31">
        <v>5254</v>
      </c>
      <c r="J31">
        <f t="shared" si="0"/>
        <v>5254</v>
      </c>
      <c r="L31">
        <f t="shared" si="1"/>
        <v>2.3455357142857145</v>
      </c>
    </row>
    <row r="32" spans="1:12" x14ac:dyDescent="0.25">
      <c r="A32">
        <v>1733</v>
      </c>
      <c r="B32" t="s">
        <v>44</v>
      </c>
      <c r="C32" t="s">
        <v>68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1733</v>
      </c>
      <c r="B33" t="s">
        <v>97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1733</v>
      </c>
      <c r="B34" t="s">
        <v>12</v>
      </c>
      <c r="C34" t="s">
        <v>68</v>
      </c>
      <c r="D34" t="s">
        <v>33</v>
      </c>
      <c r="H34">
        <f>50889+24504</f>
        <v>75393</v>
      </c>
      <c r="J34">
        <f t="shared" si="0"/>
        <v>75393</v>
      </c>
      <c r="L34">
        <f t="shared" si="1"/>
        <v>33.657589285714288</v>
      </c>
    </row>
    <row r="35" spans="1:12" x14ac:dyDescent="0.25">
      <c r="A35">
        <v>1733</v>
      </c>
      <c r="B35" t="s">
        <v>122</v>
      </c>
      <c r="C35" t="s">
        <v>68</v>
      </c>
      <c r="D35" t="s">
        <v>33</v>
      </c>
      <c r="H35">
        <v>1006</v>
      </c>
      <c r="J35">
        <f t="shared" si="0"/>
        <v>1006</v>
      </c>
      <c r="L35">
        <f t="shared" si="1"/>
        <v>0.44910714285714287</v>
      </c>
    </row>
    <row r="36" spans="1:12" x14ac:dyDescent="0.25">
      <c r="A36">
        <v>1733</v>
      </c>
      <c r="B36" t="s">
        <v>34</v>
      </c>
      <c r="C36" t="s">
        <v>68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1733</v>
      </c>
      <c r="B37" t="s">
        <v>13</v>
      </c>
      <c r="C37" t="s">
        <v>68</v>
      </c>
      <c r="D37" t="s">
        <v>33</v>
      </c>
      <c r="E37">
        <v>30</v>
      </c>
      <c r="H37">
        <v>272</v>
      </c>
      <c r="J37">
        <f t="shared" si="0"/>
        <v>67472</v>
      </c>
      <c r="L37">
        <f t="shared" si="1"/>
        <v>30.12142857142857</v>
      </c>
    </row>
    <row r="38" spans="1:12" x14ac:dyDescent="0.25">
      <c r="A38">
        <v>1733</v>
      </c>
      <c r="B38" t="s">
        <v>14</v>
      </c>
      <c r="C38" t="s">
        <v>68</v>
      </c>
      <c r="D38" t="s">
        <v>33</v>
      </c>
      <c r="H38">
        <v>121621</v>
      </c>
      <c r="I38" t="s">
        <v>123</v>
      </c>
      <c r="J38">
        <f t="shared" si="0"/>
        <v>121621</v>
      </c>
      <c r="L38">
        <f t="shared" si="1"/>
        <v>54.295089285714283</v>
      </c>
    </row>
    <row r="39" spans="1:12" x14ac:dyDescent="0.25">
      <c r="A39">
        <v>1733</v>
      </c>
      <c r="B39" t="s">
        <v>23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1733</v>
      </c>
      <c r="B40" t="s">
        <v>27</v>
      </c>
      <c r="C40" t="s">
        <v>68</v>
      </c>
      <c r="D40" t="s">
        <v>33</v>
      </c>
      <c r="H40">
        <v>189799</v>
      </c>
      <c r="I40" t="s">
        <v>126</v>
      </c>
      <c r="J40">
        <f t="shared" si="0"/>
        <v>189799</v>
      </c>
      <c r="L40">
        <f t="shared" si="1"/>
        <v>84.731696428571425</v>
      </c>
    </row>
    <row r="41" spans="1:12" x14ac:dyDescent="0.25">
      <c r="A41">
        <v>1733</v>
      </c>
      <c r="B41" t="s">
        <v>15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1733</v>
      </c>
      <c r="B42" t="s">
        <v>42</v>
      </c>
      <c r="C42" t="s">
        <v>68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1733</v>
      </c>
      <c r="B43" t="s">
        <v>83</v>
      </c>
      <c r="C43" t="s">
        <v>68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1733</v>
      </c>
      <c r="B44" t="s">
        <v>47</v>
      </c>
      <c r="C44" t="s">
        <v>68</v>
      </c>
      <c r="D44" t="s">
        <v>33</v>
      </c>
      <c r="H44">
        <v>427.5</v>
      </c>
      <c r="I44" t="s">
        <v>124</v>
      </c>
      <c r="J44">
        <f t="shared" si="0"/>
        <v>427.5</v>
      </c>
      <c r="L44">
        <f t="shared" si="1"/>
        <v>0.19084821428571427</v>
      </c>
    </row>
    <row r="45" spans="1:12" x14ac:dyDescent="0.25">
      <c r="A45">
        <v>1733</v>
      </c>
      <c r="B45" t="s">
        <v>16</v>
      </c>
      <c r="C45" t="s">
        <v>68</v>
      </c>
      <c r="D45" t="s">
        <v>33</v>
      </c>
      <c r="H45">
        <v>147659</v>
      </c>
      <c r="J45">
        <f t="shared" si="0"/>
        <v>147659</v>
      </c>
      <c r="L45">
        <f t="shared" si="1"/>
        <v>65.919196428571425</v>
      </c>
    </row>
    <row r="46" spans="1:12" x14ac:dyDescent="0.25">
      <c r="A46">
        <v>1733</v>
      </c>
      <c r="B46" t="s">
        <v>127</v>
      </c>
      <c r="C46" t="s">
        <v>68</v>
      </c>
      <c r="D46" t="s">
        <v>33</v>
      </c>
      <c r="H46">
        <v>6281.5</v>
      </c>
      <c r="I46" t="s">
        <v>128</v>
      </c>
    </row>
    <row r="47" spans="1:12" x14ac:dyDescent="0.25">
      <c r="A47">
        <v>1733</v>
      </c>
      <c r="B47" t="s">
        <v>17</v>
      </c>
      <c r="C47" t="s">
        <v>68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1733</v>
      </c>
      <c r="B48" t="s">
        <v>18</v>
      </c>
      <c r="C48" t="s">
        <v>68</v>
      </c>
      <c r="D48" t="s">
        <v>33</v>
      </c>
      <c r="H48">
        <v>2587474.5</v>
      </c>
      <c r="I48" t="s">
        <v>125</v>
      </c>
      <c r="J48">
        <f t="shared" si="0"/>
        <v>2587474.5</v>
      </c>
      <c r="L48">
        <f t="shared" si="1"/>
        <v>1155.1225446428571</v>
      </c>
    </row>
    <row r="49" spans="1:12" x14ac:dyDescent="0.25">
      <c r="A49">
        <v>1733</v>
      </c>
      <c r="B49" t="s">
        <v>26</v>
      </c>
      <c r="C49" t="s">
        <v>68</v>
      </c>
      <c r="D49" t="s">
        <v>33</v>
      </c>
      <c r="H49">
        <v>14538</v>
      </c>
      <c r="J49">
        <f t="shared" si="0"/>
        <v>14538</v>
      </c>
      <c r="L49">
        <f t="shared" si="1"/>
        <v>6.4901785714285714</v>
      </c>
    </row>
    <row r="50" spans="1:12" x14ac:dyDescent="0.25">
      <c r="A50">
        <v>1733</v>
      </c>
      <c r="B50" t="s">
        <v>84</v>
      </c>
      <c r="C50" t="s">
        <v>68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1733</v>
      </c>
      <c r="B51" t="s">
        <v>19</v>
      </c>
      <c r="C51" t="s">
        <v>68</v>
      </c>
      <c r="D51" t="s">
        <v>33</v>
      </c>
      <c r="F51">
        <v>6</v>
      </c>
      <c r="J51">
        <f t="shared" si="0"/>
        <v>672</v>
      </c>
      <c r="L51">
        <f t="shared" si="1"/>
        <v>0.3</v>
      </c>
    </row>
    <row r="52" spans="1:12" x14ac:dyDescent="0.25">
      <c r="A52">
        <v>1733</v>
      </c>
      <c r="B52" t="s">
        <v>45</v>
      </c>
      <c r="C52" t="s">
        <v>68</v>
      </c>
      <c r="D52" t="s">
        <v>33</v>
      </c>
      <c r="H52">
        <v>53</v>
      </c>
      <c r="J52">
        <f t="shared" si="0"/>
        <v>53</v>
      </c>
      <c r="L52">
        <f t="shared" si="1"/>
        <v>2.3660714285714285E-2</v>
      </c>
    </row>
    <row r="53" spans="1:12" x14ac:dyDescent="0.25">
      <c r="A53">
        <v>1733</v>
      </c>
      <c r="B53" t="s">
        <v>85</v>
      </c>
      <c r="C53" t="s">
        <v>68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1733</v>
      </c>
      <c r="B54" t="s">
        <v>54</v>
      </c>
      <c r="C54" t="s">
        <v>68</v>
      </c>
      <c r="D54" t="s">
        <v>33</v>
      </c>
      <c r="H54">
        <v>1951</v>
      </c>
      <c r="J54">
        <f t="shared" si="0"/>
        <v>1951</v>
      </c>
      <c r="L54">
        <f t="shared" si="1"/>
        <v>0.87098214285714282</v>
      </c>
    </row>
    <row r="55" spans="1:12" x14ac:dyDescent="0.25">
      <c r="A55">
        <v>1733</v>
      </c>
      <c r="B55" t="s">
        <v>95</v>
      </c>
      <c r="C55" t="s">
        <v>68</v>
      </c>
      <c r="D55" t="s">
        <v>33</v>
      </c>
      <c r="H55">
        <v>530</v>
      </c>
      <c r="J55">
        <f t="shared" si="0"/>
        <v>530</v>
      </c>
      <c r="L55">
        <f t="shared" si="1"/>
        <v>0.23660714285714285</v>
      </c>
    </row>
    <row r="56" spans="1:12" x14ac:dyDescent="0.25">
      <c r="A56">
        <v>1733</v>
      </c>
      <c r="B56" t="s">
        <v>20</v>
      </c>
      <c r="C56" t="s">
        <v>68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1733</v>
      </c>
      <c r="B57" t="s">
        <v>21</v>
      </c>
      <c r="C57" t="s">
        <v>68</v>
      </c>
      <c r="D57" t="s">
        <v>33</v>
      </c>
      <c r="H57">
        <v>5582</v>
      </c>
      <c r="J57">
        <f t="shared" si="0"/>
        <v>5582</v>
      </c>
      <c r="L57">
        <f t="shared" si="1"/>
        <v>2.4919642857142859</v>
      </c>
    </row>
    <row r="58" spans="1:12" x14ac:dyDescent="0.25">
      <c r="A58">
        <v>1733</v>
      </c>
      <c r="B58" t="s">
        <v>90</v>
      </c>
      <c r="C58" t="s">
        <v>68</v>
      </c>
      <c r="D58" t="s">
        <v>33</v>
      </c>
      <c r="F58">
        <v>266</v>
      </c>
      <c r="J58">
        <f t="shared" si="0"/>
        <v>29792</v>
      </c>
      <c r="L58">
        <f t="shared" si="1"/>
        <v>13.3</v>
      </c>
    </row>
    <row r="59" spans="1:12" x14ac:dyDescent="0.25">
      <c r="A59">
        <v>1733</v>
      </c>
      <c r="B59" t="s">
        <v>22</v>
      </c>
      <c r="C59" t="s">
        <v>68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1733</v>
      </c>
      <c r="B60" t="s">
        <v>61</v>
      </c>
      <c r="C60" t="s">
        <v>68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1733</v>
      </c>
      <c r="B61" t="s">
        <v>98</v>
      </c>
      <c r="C61" t="s">
        <v>68</v>
      </c>
      <c r="D61" t="s">
        <v>33</v>
      </c>
      <c r="E61">
        <v>92</v>
      </c>
      <c r="H61">
        <v>573</v>
      </c>
      <c r="J61">
        <f t="shared" si="0"/>
        <v>206653</v>
      </c>
      <c r="L61">
        <f t="shared" si="1"/>
        <v>92.255803571428572</v>
      </c>
    </row>
    <row r="62" spans="1:12" x14ac:dyDescent="0.25">
      <c r="A62">
        <v>1733</v>
      </c>
      <c r="B62" t="s">
        <v>87</v>
      </c>
      <c r="C62" t="s">
        <v>68</v>
      </c>
      <c r="D62" t="s">
        <v>33</v>
      </c>
      <c r="E62">
        <v>40</v>
      </c>
      <c r="F62">
        <v>1</v>
      </c>
      <c r="H62">
        <v>16</v>
      </c>
      <c r="J62">
        <f t="shared" si="0"/>
        <v>89728</v>
      </c>
      <c r="L62">
        <f t="shared" si="1"/>
        <v>40.057142857142857</v>
      </c>
    </row>
    <row r="63" spans="1:12" x14ac:dyDescent="0.25">
      <c r="A63">
        <v>1733</v>
      </c>
      <c r="B63" t="s">
        <v>62</v>
      </c>
      <c r="C63" t="s">
        <v>68</v>
      </c>
      <c r="D63" t="s">
        <v>33</v>
      </c>
      <c r="E63">
        <v>20</v>
      </c>
      <c r="J63">
        <f t="shared" si="0"/>
        <v>44800</v>
      </c>
      <c r="L63">
        <f t="shared" si="1"/>
        <v>20</v>
      </c>
    </row>
    <row r="64" spans="1:12" x14ac:dyDescent="0.25">
      <c r="A64">
        <v>1733</v>
      </c>
      <c r="B64" t="s">
        <v>88</v>
      </c>
      <c r="C64" t="s">
        <v>68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1733</v>
      </c>
      <c r="B65" t="s">
        <v>63</v>
      </c>
      <c r="C65" t="s">
        <v>68</v>
      </c>
      <c r="D65" t="s">
        <v>33</v>
      </c>
      <c r="E65">
        <v>341</v>
      </c>
      <c r="F65">
        <v>15</v>
      </c>
      <c r="H65">
        <v>13</v>
      </c>
      <c r="J65">
        <f t="shared" si="0"/>
        <v>765533</v>
      </c>
      <c r="L65">
        <f t="shared" si="1"/>
        <v>341.75580357142854</v>
      </c>
    </row>
    <row r="66" spans="1:12" x14ac:dyDescent="0.25">
      <c r="A66">
        <v>1733</v>
      </c>
      <c r="B66" t="s">
        <v>89</v>
      </c>
      <c r="C66" t="s">
        <v>68</v>
      </c>
      <c r="D66" t="s">
        <v>33</v>
      </c>
      <c r="E66">
        <v>145</v>
      </c>
      <c r="F66">
        <v>7</v>
      </c>
      <c r="H66">
        <v>4091</v>
      </c>
      <c r="J66">
        <f t="shared" si="0"/>
        <v>329675</v>
      </c>
      <c r="L66">
        <f t="shared" si="1"/>
        <v>147.17633928571428</v>
      </c>
    </row>
    <row r="67" spans="1:12" x14ac:dyDescent="0.25">
      <c r="A67">
        <v>1733</v>
      </c>
      <c r="B67" t="s">
        <v>70</v>
      </c>
      <c r="C67" t="s">
        <v>68</v>
      </c>
      <c r="D67" t="s">
        <v>33</v>
      </c>
      <c r="E67">
        <v>4</v>
      </c>
      <c r="J67">
        <f t="shared" si="0"/>
        <v>8960</v>
      </c>
      <c r="L67">
        <f t="shared" si="1"/>
        <v>4</v>
      </c>
    </row>
    <row r="68" spans="1:12" x14ac:dyDescent="0.25">
      <c r="A68">
        <v>1733</v>
      </c>
      <c r="B68" t="s">
        <v>64</v>
      </c>
      <c r="C68" t="s">
        <v>68</v>
      </c>
      <c r="D68" t="s">
        <v>33</v>
      </c>
      <c r="E68">
        <v>17</v>
      </c>
      <c r="J68">
        <f t="shared" si="0"/>
        <v>38080</v>
      </c>
      <c r="L68">
        <f t="shared" si="1"/>
        <v>17</v>
      </c>
    </row>
    <row r="69" spans="1:12" x14ac:dyDescent="0.25">
      <c r="A69">
        <v>1733</v>
      </c>
      <c r="B69" t="s">
        <v>65</v>
      </c>
      <c r="C69" t="s">
        <v>68</v>
      </c>
      <c r="D69" t="s">
        <v>33</v>
      </c>
      <c r="J69">
        <f t="shared" si="0"/>
        <v>0</v>
      </c>
      <c r="L69">
        <f t="shared" si="1"/>
        <v>0</v>
      </c>
    </row>
    <row r="70" spans="1:12" x14ac:dyDescent="0.25">
      <c r="A70">
        <v>1733</v>
      </c>
      <c r="B70" t="s">
        <v>55</v>
      </c>
      <c r="C70" t="s">
        <v>68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1733</v>
      </c>
      <c r="B71" t="s">
        <v>57</v>
      </c>
      <c r="C71" t="s">
        <v>68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1733</v>
      </c>
      <c r="B72" t="s">
        <v>36</v>
      </c>
      <c r="C72" t="s">
        <v>68</v>
      </c>
      <c r="D72" t="s">
        <v>35</v>
      </c>
      <c r="J72">
        <f t="shared" si="0"/>
        <v>0</v>
      </c>
      <c r="L72">
        <f t="shared" si="1"/>
        <v>0</v>
      </c>
    </row>
    <row r="73" spans="1:12" x14ac:dyDescent="0.25">
      <c r="A73">
        <v>1733</v>
      </c>
      <c r="B73" t="s">
        <v>4</v>
      </c>
      <c r="C73" t="s">
        <v>68</v>
      </c>
      <c r="D73" t="s">
        <v>35</v>
      </c>
      <c r="J73">
        <f t="shared" ref="J73:J134" si="2">(E73*2240)+(F73*112)+(G73*28)+H73</f>
        <v>0</v>
      </c>
      <c r="L73">
        <f t="shared" ref="L73:L134" si="3">J73/2240</f>
        <v>0</v>
      </c>
    </row>
    <row r="74" spans="1:12" x14ac:dyDescent="0.25">
      <c r="A74">
        <v>1733</v>
      </c>
      <c r="B74" t="s">
        <v>58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1733</v>
      </c>
      <c r="B75" t="s">
        <v>69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1733</v>
      </c>
      <c r="B76" t="s">
        <v>101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1733</v>
      </c>
      <c r="B77" t="s">
        <v>43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1733</v>
      </c>
      <c r="B78" t="s">
        <v>76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1733</v>
      </c>
      <c r="B79" t="s">
        <v>5</v>
      </c>
      <c r="C79" t="s">
        <v>68</v>
      </c>
      <c r="D79" t="s">
        <v>35</v>
      </c>
      <c r="F79">
        <v>18</v>
      </c>
      <c r="G79">
        <v>2</v>
      </c>
      <c r="H79">
        <v>9</v>
      </c>
      <c r="J79">
        <f t="shared" si="2"/>
        <v>2081</v>
      </c>
      <c r="L79">
        <f t="shared" si="3"/>
        <v>0.92901785714285712</v>
      </c>
    </row>
    <row r="80" spans="1:12" x14ac:dyDescent="0.25">
      <c r="A80">
        <v>1733</v>
      </c>
      <c r="B80" t="s">
        <v>59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1733</v>
      </c>
      <c r="B81" t="s">
        <v>6</v>
      </c>
      <c r="C81" t="s">
        <v>68</v>
      </c>
      <c r="D81" t="s">
        <v>35</v>
      </c>
      <c r="F81">
        <v>135450</v>
      </c>
      <c r="G81">
        <v>1</v>
      </c>
      <c r="H81">
        <v>23</v>
      </c>
      <c r="J81">
        <f t="shared" si="2"/>
        <v>15170451</v>
      </c>
      <c r="L81">
        <f t="shared" si="3"/>
        <v>6772.5227678571428</v>
      </c>
    </row>
    <row r="82" spans="1:12" x14ac:dyDescent="0.25">
      <c r="A82">
        <v>1733</v>
      </c>
      <c r="B82" t="s">
        <v>60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1733</v>
      </c>
      <c r="B83" t="s">
        <v>38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1733</v>
      </c>
      <c r="B84" t="s">
        <v>37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1733</v>
      </c>
      <c r="B85" t="s">
        <v>8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1733</v>
      </c>
      <c r="B86" t="s">
        <v>40</v>
      </c>
      <c r="C86" t="s">
        <v>68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1733</v>
      </c>
      <c r="B87" t="s">
        <v>77</v>
      </c>
      <c r="C87" t="s">
        <v>68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1733</v>
      </c>
      <c r="B88" t="s">
        <v>78</v>
      </c>
      <c r="C88" t="s">
        <v>68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1733</v>
      </c>
      <c r="B89" t="s">
        <v>46</v>
      </c>
      <c r="C89" t="s">
        <v>68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1733</v>
      </c>
      <c r="B90" t="s">
        <v>9</v>
      </c>
      <c r="C90" t="s">
        <v>68</v>
      </c>
      <c r="D90" t="s">
        <v>35</v>
      </c>
      <c r="H90">
        <f>465*200+88</f>
        <v>93088</v>
      </c>
      <c r="I90" t="s">
        <v>160</v>
      </c>
      <c r="J90">
        <f t="shared" si="2"/>
        <v>93088</v>
      </c>
      <c r="L90">
        <f t="shared" si="3"/>
        <v>41.557142857142857</v>
      </c>
    </row>
    <row r="91" spans="1:12" x14ac:dyDescent="0.25">
      <c r="A91">
        <v>1733</v>
      </c>
      <c r="B91" t="s">
        <v>10</v>
      </c>
      <c r="C91" t="s">
        <v>68</v>
      </c>
      <c r="D91" t="s">
        <v>35</v>
      </c>
      <c r="F91">
        <v>9291</v>
      </c>
      <c r="G91">
        <v>1</v>
      </c>
      <c r="H91">
        <v>20</v>
      </c>
      <c r="J91">
        <f t="shared" si="2"/>
        <v>1040640</v>
      </c>
      <c r="L91">
        <f t="shared" si="3"/>
        <v>464.57142857142856</v>
      </c>
    </row>
    <row r="92" spans="1:12" x14ac:dyDescent="0.25">
      <c r="A92">
        <v>1733</v>
      </c>
      <c r="B92" t="s">
        <v>11</v>
      </c>
      <c r="C92" t="s">
        <v>68</v>
      </c>
      <c r="D92" t="s">
        <v>35</v>
      </c>
      <c r="F92">
        <v>297</v>
      </c>
      <c r="G92">
        <v>1</v>
      </c>
      <c r="J92">
        <f t="shared" si="2"/>
        <v>33292</v>
      </c>
      <c r="L92">
        <f t="shared" si="3"/>
        <v>14.862500000000001</v>
      </c>
    </row>
    <row r="93" spans="1:12" x14ac:dyDescent="0.25">
      <c r="A93">
        <v>1733</v>
      </c>
      <c r="B93" t="s">
        <v>39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1733</v>
      </c>
      <c r="B94" t="s">
        <v>79</v>
      </c>
      <c r="C94" t="s">
        <v>68</v>
      </c>
      <c r="D94" t="s">
        <v>35</v>
      </c>
      <c r="H94">
        <v>28216</v>
      </c>
      <c r="J94">
        <f t="shared" si="2"/>
        <v>28216</v>
      </c>
      <c r="L94">
        <f t="shared" si="3"/>
        <v>12.596428571428572</v>
      </c>
    </row>
    <row r="95" spans="1:12" x14ac:dyDescent="0.25">
      <c r="A95">
        <v>1733</v>
      </c>
      <c r="B95" t="s">
        <v>103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1733</v>
      </c>
      <c r="B96" t="s">
        <v>44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1733</v>
      </c>
      <c r="B97" t="s">
        <v>97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1733</v>
      </c>
      <c r="B98" t="s">
        <v>12</v>
      </c>
      <c r="C98" t="s">
        <v>68</v>
      </c>
      <c r="D98" t="s">
        <v>35</v>
      </c>
      <c r="H98">
        <v>48110</v>
      </c>
      <c r="J98">
        <f t="shared" si="2"/>
        <v>48110</v>
      </c>
      <c r="L98">
        <f t="shared" si="3"/>
        <v>21.477678571428573</v>
      </c>
    </row>
    <row r="99" spans="1:12" x14ac:dyDescent="0.25">
      <c r="A99">
        <v>1733</v>
      </c>
      <c r="B99" t="s">
        <v>82</v>
      </c>
      <c r="C99" t="s">
        <v>68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1733</v>
      </c>
      <c r="B100" t="s">
        <v>34</v>
      </c>
      <c r="C100" t="s">
        <v>68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1733</v>
      </c>
      <c r="B101" t="s">
        <v>13</v>
      </c>
      <c r="C101" t="s">
        <v>68</v>
      </c>
      <c r="D101" t="s">
        <v>35</v>
      </c>
      <c r="F101">
        <v>260</v>
      </c>
      <c r="G101">
        <v>3</v>
      </c>
      <c r="H101">
        <v>10</v>
      </c>
      <c r="J101">
        <f t="shared" si="2"/>
        <v>29214</v>
      </c>
      <c r="L101">
        <f t="shared" si="3"/>
        <v>13.041964285714286</v>
      </c>
    </row>
    <row r="102" spans="1:12" x14ac:dyDescent="0.25">
      <c r="A102">
        <v>1733</v>
      </c>
      <c r="B102" t="s">
        <v>14</v>
      </c>
      <c r="C102" t="s">
        <v>68</v>
      </c>
      <c r="D102" t="s">
        <v>35</v>
      </c>
      <c r="H102">
        <v>70258</v>
      </c>
      <c r="I102" t="s">
        <v>156</v>
      </c>
      <c r="J102">
        <f t="shared" si="2"/>
        <v>70258</v>
      </c>
      <c r="L102">
        <f t="shared" si="3"/>
        <v>31.365178571428572</v>
      </c>
    </row>
    <row r="103" spans="1:12" x14ac:dyDescent="0.25">
      <c r="A103">
        <v>1733</v>
      </c>
      <c r="B103" t="s">
        <v>23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1733</v>
      </c>
      <c r="B104" t="s">
        <v>27</v>
      </c>
      <c r="C104" t="s">
        <v>68</v>
      </c>
      <c r="D104" t="s">
        <v>35</v>
      </c>
      <c r="H104">
        <v>97725</v>
      </c>
      <c r="I104" t="s">
        <v>159</v>
      </c>
      <c r="J104">
        <f t="shared" si="2"/>
        <v>97725</v>
      </c>
      <c r="L104">
        <f t="shared" si="3"/>
        <v>43.627232142857146</v>
      </c>
    </row>
    <row r="105" spans="1:12" x14ac:dyDescent="0.25">
      <c r="A105">
        <v>1733</v>
      </c>
      <c r="B105" t="s">
        <v>15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1733</v>
      </c>
      <c r="B106" t="s">
        <v>93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1733</v>
      </c>
      <c r="B107" t="s">
        <v>42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1733</v>
      </c>
      <c r="B108" t="s">
        <v>83</v>
      </c>
      <c r="C108" t="s">
        <v>68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1733</v>
      </c>
      <c r="B109" t="s">
        <v>47</v>
      </c>
      <c r="C109" t="s">
        <v>68</v>
      </c>
      <c r="D109" t="s">
        <v>35</v>
      </c>
      <c r="H109">
        <v>10</v>
      </c>
      <c r="I109" t="s">
        <v>157</v>
      </c>
      <c r="J109">
        <f t="shared" si="2"/>
        <v>10</v>
      </c>
      <c r="L109">
        <f t="shared" si="3"/>
        <v>4.464285714285714E-3</v>
      </c>
    </row>
    <row r="110" spans="1:12" x14ac:dyDescent="0.25">
      <c r="A110">
        <v>1733</v>
      </c>
      <c r="B110" t="s">
        <v>16</v>
      </c>
      <c r="C110" t="s">
        <v>68</v>
      </c>
      <c r="D110" t="s">
        <v>35</v>
      </c>
      <c r="H110">
        <v>106324</v>
      </c>
      <c r="J110">
        <f t="shared" si="2"/>
        <v>106324</v>
      </c>
      <c r="L110">
        <f t="shared" si="3"/>
        <v>47.466071428571432</v>
      </c>
    </row>
    <row r="111" spans="1:12" x14ac:dyDescent="0.25">
      <c r="A111">
        <v>1733</v>
      </c>
      <c r="B111" t="s">
        <v>17</v>
      </c>
      <c r="C111" t="s">
        <v>68</v>
      </c>
      <c r="D111" t="s">
        <v>35</v>
      </c>
      <c r="F111">
        <v>10</v>
      </c>
      <c r="G111">
        <v>3</v>
      </c>
      <c r="J111">
        <f t="shared" si="2"/>
        <v>1204</v>
      </c>
      <c r="L111">
        <f t="shared" si="3"/>
        <v>0.53749999999999998</v>
      </c>
    </row>
    <row r="112" spans="1:12" x14ac:dyDescent="0.25">
      <c r="A112">
        <v>1733</v>
      </c>
      <c r="B112" t="s">
        <v>18</v>
      </c>
      <c r="C112" t="s">
        <v>68</v>
      </c>
      <c r="D112" t="s">
        <v>35</v>
      </c>
      <c r="H112">
        <v>781585.5</v>
      </c>
      <c r="I112" t="s">
        <v>158</v>
      </c>
      <c r="J112">
        <f t="shared" si="2"/>
        <v>781585.5</v>
      </c>
      <c r="L112">
        <f t="shared" si="3"/>
        <v>348.92209821428571</v>
      </c>
    </row>
    <row r="113" spans="1:12" x14ac:dyDescent="0.25">
      <c r="A113">
        <v>1733</v>
      </c>
      <c r="B113" t="s">
        <v>26</v>
      </c>
      <c r="C113" t="s">
        <v>68</v>
      </c>
      <c r="D113" t="s">
        <v>35</v>
      </c>
      <c r="H113">
        <v>39</v>
      </c>
      <c r="J113">
        <f t="shared" si="2"/>
        <v>39</v>
      </c>
      <c r="L113">
        <f t="shared" si="3"/>
        <v>1.7410714285714286E-2</v>
      </c>
    </row>
    <row r="114" spans="1:12" x14ac:dyDescent="0.25">
      <c r="A114">
        <v>1733</v>
      </c>
      <c r="B114" t="s">
        <v>84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1733</v>
      </c>
      <c r="B115" t="s">
        <v>19</v>
      </c>
      <c r="C115" t="s">
        <v>68</v>
      </c>
      <c r="D115" t="s">
        <v>35</v>
      </c>
      <c r="F115">
        <v>4</v>
      </c>
      <c r="G115">
        <v>1</v>
      </c>
      <c r="H115">
        <v>6</v>
      </c>
      <c r="J115">
        <f t="shared" si="2"/>
        <v>482</v>
      </c>
      <c r="L115">
        <f t="shared" si="3"/>
        <v>0.21517857142857144</v>
      </c>
    </row>
    <row r="116" spans="1:12" x14ac:dyDescent="0.25">
      <c r="A116">
        <v>1733</v>
      </c>
      <c r="B116" t="s">
        <v>45</v>
      </c>
      <c r="C116" t="s">
        <v>68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1733</v>
      </c>
      <c r="B117" t="s">
        <v>85</v>
      </c>
      <c r="C117" t="s">
        <v>68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1733</v>
      </c>
      <c r="B118" t="s">
        <v>54</v>
      </c>
      <c r="C118" t="s">
        <v>68</v>
      </c>
      <c r="D118" t="s">
        <v>35</v>
      </c>
      <c r="H118">
        <v>171</v>
      </c>
      <c r="J118">
        <f t="shared" si="2"/>
        <v>171</v>
      </c>
      <c r="L118">
        <f t="shared" si="3"/>
        <v>7.6339285714285721E-2</v>
      </c>
    </row>
    <row r="119" spans="1:12" x14ac:dyDescent="0.25">
      <c r="A119">
        <v>1733</v>
      </c>
      <c r="B119" t="s">
        <v>95</v>
      </c>
      <c r="C119" t="s">
        <v>68</v>
      </c>
      <c r="D119" t="s">
        <v>35</v>
      </c>
      <c r="H119">
        <v>77</v>
      </c>
      <c r="J119">
        <f t="shared" si="2"/>
        <v>77</v>
      </c>
      <c r="L119">
        <f t="shared" si="3"/>
        <v>3.4375000000000003E-2</v>
      </c>
    </row>
    <row r="120" spans="1:12" x14ac:dyDescent="0.25">
      <c r="A120">
        <v>1733</v>
      </c>
      <c r="B120" t="s">
        <v>20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1733</v>
      </c>
      <c r="B121" t="s">
        <v>21</v>
      </c>
      <c r="C121" t="s">
        <v>68</v>
      </c>
      <c r="D121" t="s">
        <v>35</v>
      </c>
      <c r="H121">
        <v>1013</v>
      </c>
      <c r="J121">
        <f t="shared" si="2"/>
        <v>1013</v>
      </c>
      <c r="L121">
        <f t="shared" si="3"/>
        <v>0.45223214285714286</v>
      </c>
    </row>
    <row r="122" spans="1:12" x14ac:dyDescent="0.25">
      <c r="A122">
        <v>1733</v>
      </c>
      <c r="B122" t="s">
        <v>90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1733</v>
      </c>
      <c r="B123" t="s">
        <v>22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1733</v>
      </c>
      <c r="B124" t="s">
        <v>61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1733</v>
      </c>
      <c r="B125" t="s">
        <v>91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1733</v>
      </c>
      <c r="B126" t="s">
        <v>98</v>
      </c>
      <c r="C126" t="s">
        <v>68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1733</v>
      </c>
      <c r="B127" t="s">
        <v>87</v>
      </c>
      <c r="C127" t="s">
        <v>68</v>
      </c>
      <c r="D127" t="s">
        <v>35</v>
      </c>
      <c r="E127">
        <v>118</v>
      </c>
      <c r="F127">
        <v>3</v>
      </c>
      <c r="G127">
        <v>1</v>
      </c>
      <c r="H127">
        <v>13</v>
      </c>
      <c r="J127">
        <f t="shared" si="2"/>
        <v>264697</v>
      </c>
      <c r="L127">
        <f t="shared" si="3"/>
        <v>118.16830357142857</v>
      </c>
    </row>
    <row r="128" spans="1:12" x14ac:dyDescent="0.25">
      <c r="A128">
        <v>1733</v>
      </c>
      <c r="B128" t="s">
        <v>62</v>
      </c>
      <c r="C128" t="s">
        <v>68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1733</v>
      </c>
      <c r="B129" t="s">
        <v>88</v>
      </c>
      <c r="C129" t="s">
        <v>68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1733</v>
      </c>
      <c r="B130" t="s">
        <v>63</v>
      </c>
      <c r="C130" t="s">
        <v>68</v>
      </c>
      <c r="D130" t="s">
        <v>35</v>
      </c>
      <c r="E130">
        <v>405</v>
      </c>
      <c r="F130">
        <v>13</v>
      </c>
      <c r="G130">
        <v>1</v>
      </c>
      <c r="H130">
        <v>9</v>
      </c>
      <c r="J130">
        <f t="shared" si="2"/>
        <v>908693</v>
      </c>
      <c r="L130">
        <f t="shared" si="3"/>
        <v>405.66651785714288</v>
      </c>
    </row>
    <row r="131" spans="1:12" x14ac:dyDescent="0.25">
      <c r="A131">
        <v>1733</v>
      </c>
      <c r="B131" t="s">
        <v>89</v>
      </c>
      <c r="C131" t="s">
        <v>68</v>
      </c>
      <c r="D131" t="s">
        <v>35</v>
      </c>
      <c r="F131">
        <v>1846</v>
      </c>
      <c r="G131">
        <v>2</v>
      </c>
      <c r="H131">
        <v>10</v>
      </c>
      <c r="J131">
        <f t="shared" si="2"/>
        <v>206818</v>
      </c>
      <c r="L131">
        <f t="shared" si="3"/>
        <v>92.32946428571428</v>
      </c>
    </row>
    <row r="132" spans="1:12" x14ac:dyDescent="0.25">
      <c r="A132">
        <v>1733</v>
      </c>
      <c r="B132" t="s">
        <v>70</v>
      </c>
      <c r="C132" t="s">
        <v>68</v>
      </c>
      <c r="D132" t="s">
        <v>35</v>
      </c>
      <c r="E132">
        <v>4</v>
      </c>
      <c r="F132">
        <v>15</v>
      </c>
      <c r="J132">
        <f t="shared" si="2"/>
        <v>10640</v>
      </c>
      <c r="L132">
        <f t="shared" si="3"/>
        <v>4.75</v>
      </c>
    </row>
    <row r="133" spans="1:12" x14ac:dyDescent="0.25">
      <c r="A133">
        <v>1733</v>
      </c>
      <c r="B133" t="s">
        <v>64</v>
      </c>
      <c r="C133" t="s">
        <v>68</v>
      </c>
      <c r="D133" t="s">
        <v>35</v>
      </c>
      <c r="E133">
        <v>47</v>
      </c>
      <c r="F133">
        <v>7</v>
      </c>
      <c r="G133">
        <v>2</v>
      </c>
      <c r="H133">
        <v>14</v>
      </c>
      <c r="J133">
        <f t="shared" si="2"/>
        <v>106134</v>
      </c>
      <c r="L133">
        <f t="shared" si="3"/>
        <v>47.381250000000001</v>
      </c>
    </row>
    <row r="134" spans="1:12" x14ac:dyDescent="0.25">
      <c r="A134">
        <v>1733</v>
      </c>
      <c r="B134" t="s">
        <v>65</v>
      </c>
      <c r="C134" t="s">
        <v>68</v>
      </c>
      <c r="D134" t="s">
        <v>35</v>
      </c>
      <c r="J134">
        <f t="shared" si="2"/>
        <v>0</v>
      </c>
      <c r="L134">
        <f t="shared" si="3"/>
        <v>0</v>
      </c>
    </row>
  </sheetData>
  <autoFilter ref="A1:O65" xr:uid="{8C2F7725-5A61-4A1B-A740-CC887BCB0E68}">
    <sortState xmlns:xlrd2="http://schemas.microsoft.com/office/spreadsheetml/2017/richdata2" ref="A2:O65">
      <sortCondition ref="B1:B6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103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1733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1733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1733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1733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1733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1733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1733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1733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1733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1733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1733</v>
      </c>
      <c r="B12" t="s">
        <v>6</v>
      </c>
      <c r="C12" t="s">
        <v>72</v>
      </c>
      <c r="D12" t="s">
        <v>33</v>
      </c>
      <c r="F12">
        <v>41666</v>
      </c>
      <c r="G12">
        <v>2</v>
      </c>
      <c r="H12">
        <v>3</v>
      </c>
      <c r="J12">
        <f t="shared" si="0"/>
        <v>4666651</v>
      </c>
      <c r="L12">
        <f t="shared" si="1"/>
        <v>2083.3263392857143</v>
      </c>
    </row>
    <row r="13" spans="1:15" x14ac:dyDescent="0.25">
      <c r="A13">
        <v>1733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1733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1733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1733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1733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1733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1733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1733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1733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1733</v>
      </c>
      <c r="B22" t="s">
        <v>9</v>
      </c>
      <c r="C22" t="s">
        <v>72</v>
      </c>
      <c r="D22" t="s">
        <v>33</v>
      </c>
      <c r="H22">
        <f>96.5*200</f>
        <v>19300</v>
      </c>
      <c r="I22" t="s">
        <v>134</v>
      </c>
      <c r="J22">
        <f t="shared" si="0"/>
        <v>19300</v>
      </c>
      <c r="L22">
        <f t="shared" si="1"/>
        <v>8.6160714285714288</v>
      </c>
    </row>
    <row r="23" spans="1:12" x14ac:dyDescent="0.25">
      <c r="A23">
        <v>1733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1733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1733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1733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1733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1733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1733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1733</v>
      </c>
      <c r="B30" t="s">
        <v>12</v>
      </c>
      <c r="C30" t="s">
        <v>72</v>
      </c>
      <c r="D30" t="s">
        <v>33</v>
      </c>
      <c r="H30">
        <v>375</v>
      </c>
      <c r="J30">
        <f t="shared" si="0"/>
        <v>375</v>
      </c>
      <c r="L30">
        <f t="shared" si="1"/>
        <v>0.16741071428571427</v>
      </c>
    </row>
    <row r="31" spans="1:12" x14ac:dyDescent="0.25">
      <c r="A31">
        <v>1733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1733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1733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1733</v>
      </c>
      <c r="B34" t="s">
        <v>14</v>
      </c>
      <c r="C34" t="s">
        <v>72</v>
      </c>
      <c r="D34" t="s">
        <v>33</v>
      </c>
      <c r="H34">
        <v>5211.5</v>
      </c>
      <c r="I34" t="s">
        <v>130</v>
      </c>
      <c r="J34">
        <f t="shared" si="0"/>
        <v>5211.5</v>
      </c>
      <c r="L34">
        <f t="shared" si="1"/>
        <v>2.3265625000000001</v>
      </c>
    </row>
    <row r="35" spans="1:12" x14ac:dyDescent="0.25">
      <c r="A35">
        <v>1733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1733</v>
      </c>
      <c r="B36" t="s">
        <v>27</v>
      </c>
      <c r="C36" t="s">
        <v>72</v>
      </c>
      <c r="D36" t="s">
        <v>33</v>
      </c>
      <c r="H36">
        <v>700</v>
      </c>
      <c r="I36" t="s">
        <v>133</v>
      </c>
      <c r="J36">
        <f t="shared" si="0"/>
        <v>700</v>
      </c>
      <c r="L36">
        <f t="shared" si="1"/>
        <v>0.3125</v>
      </c>
    </row>
    <row r="37" spans="1:12" x14ac:dyDescent="0.25">
      <c r="A37">
        <v>1733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1733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1733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1733</v>
      </c>
      <c r="B40" t="s">
        <v>47</v>
      </c>
      <c r="C40" t="s">
        <v>72</v>
      </c>
      <c r="D40" t="s">
        <v>33</v>
      </c>
      <c r="H40">
        <v>40</v>
      </c>
      <c r="I40" t="s">
        <v>131</v>
      </c>
      <c r="J40">
        <f t="shared" si="0"/>
        <v>40</v>
      </c>
      <c r="L40">
        <f t="shared" si="1"/>
        <v>1.7857142857142856E-2</v>
      </c>
    </row>
    <row r="41" spans="1:12" x14ac:dyDescent="0.25">
      <c r="A41">
        <v>1733</v>
      </c>
      <c r="B41" t="s">
        <v>16</v>
      </c>
      <c r="C41" t="s">
        <v>72</v>
      </c>
      <c r="D41" t="s">
        <v>33</v>
      </c>
      <c r="H41">
        <v>2410</v>
      </c>
      <c r="J41">
        <f t="shared" si="0"/>
        <v>2410</v>
      </c>
      <c r="L41">
        <f t="shared" si="1"/>
        <v>1.0758928571428572</v>
      </c>
    </row>
    <row r="42" spans="1:12" x14ac:dyDescent="0.25">
      <c r="A42">
        <v>1733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1733</v>
      </c>
      <c r="B43" t="s">
        <v>18</v>
      </c>
      <c r="C43" t="s">
        <v>72</v>
      </c>
      <c r="D43" t="s">
        <v>33</v>
      </c>
      <c r="H43">
        <v>119100.5</v>
      </c>
      <c r="I43" t="s">
        <v>132</v>
      </c>
      <c r="J43">
        <f t="shared" si="0"/>
        <v>119100.5</v>
      </c>
      <c r="L43">
        <f t="shared" si="1"/>
        <v>53.169866071428572</v>
      </c>
    </row>
    <row r="44" spans="1:12" x14ac:dyDescent="0.25">
      <c r="A44">
        <v>1733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1733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1733</v>
      </c>
      <c r="B46" t="s">
        <v>19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1733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1733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1733</v>
      </c>
      <c r="B49" t="s">
        <v>54</v>
      </c>
      <c r="C49" t="s">
        <v>72</v>
      </c>
      <c r="D49" t="s">
        <v>33</v>
      </c>
      <c r="H49">
        <v>26</v>
      </c>
      <c r="J49">
        <f t="shared" si="0"/>
        <v>26</v>
      </c>
      <c r="L49">
        <f t="shared" si="1"/>
        <v>1.1607142857142858E-2</v>
      </c>
    </row>
    <row r="50" spans="1:12" x14ac:dyDescent="0.25">
      <c r="A50">
        <v>1733</v>
      </c>
      <c r="B50" t="s">
        <v>95</v>
      </c>
      <c r="C50" t="s">
        <v>72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1733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1733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1733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1733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1733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1733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1733</v>
      </c>
      <c r="B57" t="s">
        <v>62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1733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1733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1733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1733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1733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1733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1733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1733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1733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1733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1733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1733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1733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1733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1733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1733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1733</v>
      </c>
      <c r="B74" t="s">
        <v>6</v>
      </c>
      <c r="C74" t="s">
        <v>72</v>
      </c>
      <c r="D74" t="s">
        <v>35</v>
      </c>
      <c r="F74">
        <v>5515</v>
      </c>
      <c r="H74">
        <v>21</v>
      </c>
      <c r="J74">
        <f t="shared" si="2"/>
        <v>617701</v>
      </c>
      <c r="L74">
        <f t="shared" si="3"/>
        <v>275.75937499999998</v>
      </c>
    </row>
    <row r="75" spans="1:12" x14ac:dyDescent="0.25">
      <c r="A75">
        <v>1733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1733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1733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1733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1733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1733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1733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1733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1733</v>
      </c>
      <c r="B83" t="s">
        <v>9</v>
      </c>
      <c r="C83" t="s">
        <v>72</v>
      </c>
      <c r="D83" t="s">
        <v>35</v>
      </c>
      <c r="H83">
        <f>114*200</f>
        <v>22800</v>
      </c>
      <c r="I83" t="s">
        <v>163</v>
      </c>
      <c r="J83">
        <f t="shared" si="2"/>
        <v>22800</v>
      </c>
      <c r="L83">
        <f t="shared" si="3"/>
        <v>10.178571428571429</v>
      </c>
    </row>
    <row r="84" spans="1:12" x14ac:dyDescent="0.25">
      <c r="A84">
        <v>1733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1733</v>
      </c>
      <c r="B85" t="s">
        <v>11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1733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1733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1733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1733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1733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1733</v>
      </c>
      <c r="B91" t="s">
        <v>12</v>
      </c>
      <c r="C91" t="s">
        <v>72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1733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1733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1733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1733</v>
      </c>
      <c r="B95" t="s">
        <v>14</v>
      </c>
      <c r="C95" t="s">
        <v>72</v>
      </c>
      <c r="D95" t="s">
        <v>35</v>
      </c>
      <c r="H95">
        <v>490</v>
      </c>
      <c r="I95" t="s">
        <v>161</v>
      </c>
      <c r="J95">
        <f t="shared" si="2"/>
        <v>490</v>
      </c>
      <c r="L95">
        <f t="shared" si="3"/>
        <v>0.21875</v>
      </c>
    </row>
    <row r="96" spans="1:12" x14ac:dyDescent="0.25">
      <c r="A96">
        <v>1733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1733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1733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1733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1733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1733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1733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1733</v>
      </c>
      <c r="B103" t="s">
        <v>16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1733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1733</v>
      </c>
      <c r="B105" t="s">
        <v>18</v>
      </c>
      <c r="C105" t="s">
        <v>72</v>
      </c>
      <c r="D105" t="s">
        <v>35</v>
      </c>
      <c r="H105">
        <v>7672</v>
      </c>
      <c r="I105" t="s">
        <v>162</v>
      </c>
      <c r="J105">
        <f t="shared" si="2"/>
        <v>7672</v>
      </c>
      <c r="L105">
        <f t="shared" si="3"/>
        <v>3.4249999999999998</v>
      </c>
    </row>
    <row r="106" spans="1:12" x14ac:dyDescent="0.25">
      <c r="A106">
        <v>1733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1733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1733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1733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1733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1733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1733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1733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1733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1733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1733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1733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1733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1733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1733</v>
      </c>
      <c r="B120" t="s">
        <v>62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1733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1733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1733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1733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1733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1733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112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1733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1733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1733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1733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1733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1733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1733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1733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1733</v>
      </c>
      <c r="B10" t="s">
        <v>5</v>
      </c>
      <c r="C10" t="s">
        <v>73</v>
      </c>
      <c r="D10" t="s">
        <v>33</v>
      </c>
      <c r="F10">
        <v>1</v>
      </c>
      <c r="G10">
        <v>2</v>
      </c>
      <c r="H10">
        <v>26</v>
      </c>
      <c r="J10">
        <f t="shared" si="0"/>
        <v>194</v>
      </c>
      <c r="L10">
        <f t="shared" si="1"/>
        <v>8.6607142857142855E-2</v>
      </c>
    </row>
    <row r="11" spans="1:15" x14ac:dyDescent="0.25">
      <c r="A11">
        <v>1733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1733</v>
      </c>
      <c r="B12" t="s">
        <v>6</v>
      </c>
      <c r="C12" t="s">
        <v>73</v>
      </c>
      <c r="D12" t="s">
        <v>33</v>
      </c>
      <c r="F12">
        <v>54428</v>
      </c>
      <c r="G12">
        <v>1</v>
      </c>
      <c r="H12">
        <v>15</v>
      </c>
      <c r="J12">
        <f t="shared" si="0"/>
        <v>6095979</v>
      </c>
      <c r="L12">
        <f t="shared" si="1"/>
        <v>2721.4191964285715</v>
      </c>
    </row>
    <row r="13" spans="1:15" x14ac:dyDescent="0.25">
      <c r="A13">
        <v>1733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1733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1733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1733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1733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1733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1733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1733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1733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1733</v>
      </c>
      <c r="B22" t="s">
        <v>9</v>
      </c>
      <c r="C22" t="s">
        <v>73</v>
      </c>
      <c r="D22" t="s">
        <v>33</v>
      </c>
      <c r="H22">
        <f>115*200</f>
        <v>23000</v>
      </c>
      <c r="I22" t="s">
        <v>138</v>
      </c>
      <c r="J22">
        <f t="shared" si="0"/>
        <v>23000</v>
      </c>
      <c r="L22">
        <f t="shared" si="1"/>
        <v>10.267857142857142</v>
      </c>
    </row>
    <row r="23" spans="1:12" x14ac:dyDescent="0.25">
      <c r="A23">
        <v>1733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1733</v>
      </c>
      <c r="B24" t="s">
        <v>11</v>
      </c>
      <c r="C24" t="s">
        <v>73</v>
      </c>
      <c r="D24" t="s">
        <v>33</v>
      </c>
      <c r="F24">
        <v>2</v>
      </c>
      <c r="J24">
        <f t="shared" si="0"/>
        <v>224</v>
      </c>
      <c r="L24">
        <f t="shared" si="1"/>
        <v>0.1</v>
      </c>
    </row>
    <row r="25" spans="1:12" x14ac:dyDescent="0.25">
      <c r="A25">
        <v>1733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1733</v>
      </c>
      <c r="B26" t="s">
        <v>79</v>
      </c>
      <c r="C26" t="s">
        <v>73</v>
      </c>
      <c r="D26" t="s">
        <v>33</v>
      </c>
      <c r="H26">
        <v>320</v>
      </c>
      <c r="J26">
        <f t="shared" si="0"/>
        <v>320</v>
      </c>
      <c r="L26">
        <f t="shared" si="1"/>
        <v>0.14285714285714285</v>
      </c>
    </row>
    <row r="27" spans="1:12" x14ac:dyDescent="0.25">
      <c r="A27">
        <v>1733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1733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1733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1733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1733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1733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1733</v>
      </c>
      <c r="B33" t="s">
        <v>13</v>
      </c>
      <c r="C33" t="s">
        <v>73</v>
      </c>
      <c r="D33" t="s">
        <v>33</v>
      </c>
      <c r="E33">
        <v>3</v>
      </c>
      <c r="H33">
        <v>183</v>
      </c>
      <c r="J33">
        <f t="shared" si="0"/>
        <v>6903</v>
      </c>
      <c r="L33">
        <f t="shared" si="1"/>
        <v>3.0816964285714286</v>
      </c>
    </row>
    <row r="34" spans="1:12" x14ac:dyDescent="0.25">
      <c r="A34">
        <v>1733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1733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1733</v>
      </c>
      <c r="B36" t="s">
        <v>27</v>
      </c>
      <c r="C36" t="s">
        <v>73</v>
      </c>
      <c r="D36" t="s">
        <v>33</v>
      </c>
      <c r="H36">
        <v>8122</v>
      </c>
      <c r="I36" t="s">
        <v>137</v>
      </c>
      <c r="J36">
        <f t="shared" si="0"/>
        <v>8122</v>
      </c>
      <c r="L36">
        <f t="shared" si="1"/>
        <v>3.625892857142857</v>
      </c>
    </row>
    <row r="37" spans="1:12" x14ac:dyDescent="0.25">
      <c r="A37">
        <v>1733</v>
      </c>
      <c r="B37" t="s">
        <v>15</v>
      </c>
      <c r="C37" t="s">
        <v>73</v>
      </c>
      <c r="D37" t="s">
        <v>33</v>
      </c>
      <c r="F37">
        <v>17</v>
      </c>
      <c r="J37">
        <f t="shared" si="0"/>
        <v>1904</v>
      </c>
      <c r="L37">
        <f t="shared" si="1"/>
        <v>0.85</v>
      </c>
    </row>
    <row r="38" spans="1:12" x14ac:dyDescent="0.25">
      <c r="A38">
        <v>1733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1733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1733</v>
      </c>
      <c r="B40" t="s">
        <v>47</v>
      </c>
      <c r="C40" t="s">
        <v>73</v>
      </c>
      <c r="D40" t="s">
        <v>33</v>
      </c>
      <c r="H40">
        <v>90</v>
      </c>
      <c r="I40" t="s">
        <v>135</v>
      </c>
      <c r="J40">
        <f t="shared" si="0"/>
        <v>90</v>
      </c>
      <c r="L40">
        <f t="shared" si="1"/>
        <v>4.0178571428571432E-2</v>
      </c>
    </row>
    <row r="41" spans="1:12" x14ac:dyDescent="0.25">
      <c r="A41">
        <v>1733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1733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1733</v>
      </c>
      <c r="B43" t="s">
        <v>18</v>
      </c>
      <c r="C43" t="s">
        <v>73</v>
      </c>
      <c r="D43" t="s">
        <v>33</v>
      </c>
      <c r="H43">
        <v>10883</v>
      </c>
      <c r="I43" t="s">
        <v>136</v>
      </c>
      <c r="J43">
        <f t="shared" si="0"/>
        <v>10883</v>
      </c>
      <c r="L43">
        <f t="shared" si="1"/>
        <v>4.8584821428571425</v>
      </c>
    </row>
    <row r="44" spans="1:12" x14ac:dyDescent="0.25">
      <c r="A44">
        <v>1733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1733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1733</v>
      </c>
      <c r="B46" t="s">
        <v>19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1733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1733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1733</v>
      </c>
      <c r="B49" t="s">
        <v>54</v>
      </c>
      <c r="C49" t="s">
        <v>73</v>
      </c>
      <c r="D49" t="s">
        <v>33</v>
      </c>
      <c r="H49">
        <v>40</v>
      </c>
      <c r="J49">
        <f t="shared" si="0"/>
        <v>40</v>
      </c>
      <c r="L49">
        <f t="shared" si="1"/>
        <v>1.7857142857142856E-2</v>
      </c>
    </row>
    <row r="50" spans="1:12" x14ac:dyDescent="0.25">
      <c r="A50">
        <v>1733</v>
      </c>
      <c r="B50" t="s">
        <v>95</v>
      </c>
      <c r="C50" t="s">
        <v>73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1733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1733</v>
      </c>
      <c r="B52" t="s">
        <v>21</v>
      </c>
      <c r="C52" t="s">
        <v>73</v>
      </c>
      <c r="D52" t="s">
        <v>33</v>
      </c>
      <c r="H52">
        <v>18</v>
      </c>
      <c r="J52">
        <f t="shared" si="0"/>
        <v>18</v>
      </c>
      <c r="L52">
        <f t="shared" si="1"/>
        <v>8.0357142857142849E-3</v>
      </c>
    </row>
    <row r="53" spans="1:12" x14ac:dyDescent="0.25">
      <c r="A53">
        <v>1733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1733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1733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1733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1733</v>
      </c>
      <c r="B57" t="s">
        <v>62</v>
      </c>
      <c r="C57" t="s">
        <v>73</v>
      </c>
      <c r="D57" t="s">
        <v>33</v>
      </c>
      <c r="E57">
        <v>30</v>
      </c>
      <c r="F57">
        <v>11</v>
      </c>
      <c r="G57">
        <v>1</v>
      </c>
      <c r="H57">
        <v>71</v>
      </c>
      <c r="J57">
        <f t="shared" si="0"/>
        <v>68531</v>
      </c>
      <c r="L57">
        <f t="shared" si="1"/>
        <v>30.594196428571429</v>
      </c>
    </row>
    <row r="58" spans="1:12" x14ac:dyDescent="0.25">
      <c r="A58">
        <v>1733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1733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1733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1733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1733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1733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1733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1733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1733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1733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1733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1733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1733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1733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1733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1733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1733</v>
      </c>
      <c r="B74" t="s">
        <v>6</v>
      </c>
      <c r="C74" t="s">
        <v>73</v>
      </c>
      <c r="D74" t="s">
        <v>35</v>
      </c>
      <c r="F74">
        <v>8953</v>
      </c>
      <c r="G74">
        <v>3</v>
      </c>
      <c r="H74">
        <v>6</v>
      </c>
      <c r="J74">
        <f t="shared" si="2"/>
        <v>1002826</v>
      </c>
      <c r="L74">
        <f t="shared" si="3"/>
        <v>447.69017857142859</v>
      </c>
    </row>
    <row r="75" spans="1:12" x14ac:dyDescent="0.25">
      <c r="A75">
        <v>1733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1733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1733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1733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1733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1733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1733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1733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1733</v>
      </c>
      <c r="B83" t="s">
        <v>9</v>
      </c>
      <c r="C83" t="s">
        <v>73</v>
      </c>
      <c r="D83" t="s">
        <v>35</v>
      </c>
      <c r="H83">
        <f>80.75*200</f>
        <v>16150</v>
      </c>
      <c r="I83" t="s">
        <v>165</v>
      </c>
      <c r="J83">
        <f t="shared" si="2"/>
        <v>16150</v>
      </c>
      <c r="L83">
        <f t="shared" si="3"/>
        <v>7.2098214285714288</v>
      </c>
    </row>
    <row r="84" spans="1:12" x14ac:dyDescent="0.25">
      <c r="A84">
        <v>1733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1733</v>
      </c>
      <c r="B85" t="s">
        <v>11</v>
      </c>
      <c r="C85" t="s">
        <v>73</v>
      </c>
      <c r="D85" t="s">
        <v>35</v>
      </c>
      <c r="F85">
        <v>4</v>
      </c>
      <c r="G85">
        <v>1</v>
      </c>
      <c r="H85">
        <v>3</v>
      </c>
      <c r="J85">
        <f t="shared" si="2"/>
        <v>479</v>
      </c>
      <c r="L85">
        <f t="shared" si="3"/>
        <v>0.2138392857142857</v>
      </c>
    </row>
    <row r="86" spans="1:12" x14ac:dyDescent="0.25">
      <c r="A86">
        <v>1733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1733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1733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1733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1733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1733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1733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1733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1733</v>
      </c>
      <c r="B94" t="s">
        <v>13</v>
      </c>
      <c r="C94" t="s">
        <v>73</v>
      </c>
      <c r="D94" t="s">
        <v>35</v>
      </c>
      <c r="E94">
        <v>4</v>
      </c>
      <c r="F94">
        <v>3</v>
      </c>
      <c r="G94">
        <v>2</v>
      </c>
      <c r="H94">
        <v>12</v>
      </c>
      <c r="J94">
        <f t="shared" si="2"/>
        <v>9364</v>
      </c>
      <c r="L94">
        <f t="shared" si="3"/>
        <v>4.1803571428571429</v>
      </c>
    </row>
    <row r="95" spans="1:12" x14ac:dyDescent="0.25">
      <c r="A95">
        <v>1733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1733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1733</v>
      </c>
      <c r="B97" t="s">
        <v>27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1733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1733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1733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1733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1733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1733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1733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1733</v>
      </c>
      <c r="B105" t="s">
        <v>18</v>
      </c>
      <c r="C105" t="s">
        <v>73</v>
      </c>
      <c r="D105" t="s">
        <v>35</v>
      </c>
      <c r="H105">
        <v>6842</v>
      </c>
      <c r="I105" t="s">
        <v>164</v>
      </c>
      <c r="J105">
        <f t="shared" si="2"/>
        <v>6842</v>
      </c>
      <c r="L105">
        <f t="shared" si="3"/>
        <v>3.0544642857142859</v>
      </c>
    </row>
    <row r="106" spans="1:12" x14ac:dyDescent="0.25">
      <c r="A106">
        <v>1733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1733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1733</v>
      </c>
      <c r="B108" t="s">
        <v>19</v>
      </c>
      <c r="C108" t="s">
        <v>73</v>
      </c>
      <c r="D108" t="s">
        <v>35</v>
      </c>
      <c r="F108">
        <v>1</v>
      </c>
      <c r="G108">
        <v>1</v>
      </c>
      <c r="H108">
        <v>14</v>
      </c>
      <c r="J108">
        <f t="shared" si="2"/>
        <v>154</v>
      </c>
      <c r="L108">
        <f t="shared" si="3"/>
        <v>6.8750000000000006E-2</v>
      </c>
    </row>
    <row r="109" spans="1:12" x14ac:dyDescent="0.25">
      <c r="A109">
        <v>1733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1733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1733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1733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1733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1733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1733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1733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1733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1733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1733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1733</v>
      </c>
      <c r="B120" t="s">
        <v>62</v>
      </c>
      <c r="C120" t="s">
        <v>73</v>
      </c>
      <c r="D120" t="s">
        <v>35</v>
      </c>
      <c r="E120">
        <v>40</v>
      </c>
      <c r="F120">
        <v>6</v>
      </c>
      <c r="G120">
        <v>2</v>
      </c>
      <c r="H120">
        <v>16</v>
      </c>
      <c r="J120">
        <f t="shared" si="2"/>
        <v>90344</v>
      </c>
      <c r="L120">
        <f t="shared" si="3"/>
        <v>40.332142857142856</v>
      </c>
    </row>
    <row r="121" spans="1:12" x14ac:dyDescent="0.25">
      <c r="A121">
        <v>1733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1733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1733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1733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1733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1733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8"/>
  <sheetViews>
    <sheetView topLeftCell="A103" workbookViewId="0">
      <selection activeCell="H108" sqref="H10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1733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1733</v>
      </c>
      <c r="B3" t="s">
        <v>57</v>
      </c>
      <c r="C3" t="s">
        <v>74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1733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1733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1733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1733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1733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1733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1733</v>
      </c>
      <c r="B10" t="s">
        <v>5</v>
      </c>
      <c r="C10" t="s">
        <v>74</v>
      </c>
      <c r="D10" t="s">
        <v>33</v>
      </c>
      <c r="F10">
        <v>2</v>
      </c>
      <c r="J10">
        <f t="shared" si="0"/>
        <v>224</v>
      </c>
      <c r="L10">
        <f t="shared" si="1"/>
        <v>0.1</v>
      </c>
    </row>
    <row r="11" spans="1:15" x14ac:dyDescent="0.25">
      <c r="A11">
        <v>1733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1733</v>
      </c>
      <c r="B12" t="s">
        <v>6</v>
      </c>
      <c r="C12" t="s">
        <v>74</v>
      </c>
      <c r="D12" t="s">
        <v>33</v>
      </c>
      <c r="F12">
        <v>187239</v>
      </c>
      <c r="G12">
        <v>2</v>
      </c>
      <c r="H12">
        <v>13</v>
      </c>
      <c r="J12">
        <f t="shared" si="0"/>
        <v>20970837</v>
      </c>
      <c r="L12">
        <f t="shared" si="1"/>
        <v>9361.9808035714286</v>
      </c>
    </row>
    <row r="13" spans="1:15" x14ac:dyDescent="0.25">
      <c r="A13">
        <v>1733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1733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1733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1733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1733</v>
      </c>
      <c r="B17" t="s">
        <v>8</v>
      </c>
      <c r="C17" t="s">
        <v>74</v>
      </c>
      <c r="D17" t="s">
        <v>33</v>
      </c>
      <c r="F17">
        <v>1194</v>
      </c>
      <c r="G17">
        <v>3</v>
      </c>
      <c r="H17">
        <v>5</v>
      </c>
      <c r="J17">
        <f t="shared" si="0"/>
        <v>133817</v>
      </c>
      <c r="L17">
        <f t="shared" si="1"/>
        <v>59.739732142857143</v>
      </c>
    </row>
    <row r="18" spans="1:12" x14ac:dyDescent="0.25">
      <c r="A18">
        <v>1733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1733</v>
      </c>
      <c r="B19" t="s">
        <v>77</v>
      </c>
      <c r="C19" t="s">
        <v>74</v>
      </c>
      <c r="D19" t="s">
        <v>33</v>
      </c>
      <c r="F19">
        <v>22</v>
      </c>
      <c r="G19">
        <v>3</v>
      </c>
      <c r="H19">
        <v>2</v>
      </c>
      <c r="J19">
        <f t="shared" si="0"/>
        <v>2550</v>
      </c>
      <c r="L19">
        <f t="shared" si="1"/>
        <v>1.1383928571428572</v>
      </c>
    </row>
    <row r="20" spans="1:12" x14ac:dyDescent="0.25">
      <c r="A20">
        <v>1733</v>
      </c>
      <c r="B20" t="s">
        <v>121</v>
      </c>
      <c r="C20" t="s">
        <v>74</v>
      </c>
      <c r="D20" t="s">
        <v>33</v>
      </c>
      <c r="H20">
        <v>4</v>
      </c>
      <c r="J20">
        <f t="shared" si="0"/>
        <v>4</v>
      </c>
      <c r="L20">
        <f t="shared" si="1"/>
        <v>1.7857142857142857E-3</v>
      </c>
    </row>
    <row r="21" spans="1:12" x14ac:dyDescent="0.25">
      <c r="A21">
        <v>1733</v>
      </c>
      <c r="B21" t="s">
        <v>78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1733</v>
      </c>
      <c r="B22" t="s">
        <v>46</v>
      </c>
      <c r="C22" t="s">
        <v>74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1733</v>
      </c>
      <c r="B23" t="s">
        <v>9</v>
      </c>
      <c r="C23" t="s">
        <v>74</v>
      </c>
      <c r="D23" t="s">
        <v>33</v>
      </c>
      <c r="H23">
        <f>1405*200+171</f>
        <v>281171</v>
      </c>
      <c r="I23" t="s">
        <v>144</v>
      </c>
      <c r="J23">
        <f t="shared" si="0"/>
        <v>281171</v>
      </c>
      <c r="L23">
        <f t="shared" si="1"/>
        <v>125.52276785714285</v>
      </c>
    </row>
    <row r="24" spans="1:12" x14ac:dyDescent="0.25">
      <c r="A24">
        <v>1733</v>
      </c>
      <c r="B24" t="s">
        <v>10</v>
      </c>
      <c r="C24" t="s">
        <v>74</v>
      </c>
      <c r="D24" t="s">
        <v>33</v>
      </c>
      <c r="F24">
        <v>3</v>
      </c>
      <c r="G24">
        <v>1</v>
      </c>
      <c r="H24">
        <v>23</v>
      </c>
      <c r="J24">
        <f t="shared" si="0"/>
        <v>387</v>
      </c>
      <c r="L24">
        <f t="shared" si="1"/>
        <v>0.17276785714285714</v>
      </c>
    </row>
    <row r="25" spans="1:12" x14ac:dyDescent="0.25">
      <c r="A25">
        <v>1733</v>
      </c>
      <c r="B25" t="s">
        <v>11</v>
      </c>
      <c r="C25" t="s">
        <v>74</v>
      </c>
      <c r="D25" t="s">
        <v>33</v>
      </c>
      <c r="F25">
        <v>5936</v>
      </c>
      <c r="G25">
        <v>2</v>
      </c>
      <c r="H25">
        <v>9</v>
      </c>
      <c r="J25">
        <f t="shared" si="0"/>
        <v>664897</v>
      </c>
      <c r="L25">
        <f t="shared" si="1"/>
        <v>296.82901785714284</v>
      </c>
    </row>
    <row r="26" spans="1:12" x14ac:dyDescent="0.25">
      <c r="A26">
        <v>1733</v>
      </c>
      <c r="B26" t="s">
        <v>39</v>
      </c>
      <c r="C26" t="s">
        <v>74</v>
      </c>
      <c r="D26" t="s">
        <v>33</v>
      </c>
      <c r="H26">
        <v>100</v>
      </c>
      <c r="J26">
        <f t="shared" si="0"/>
        <v>100</v>
      </c>
      <c r="L26">
        <f t="shared" si="1"/>
        <v>4.4642857142857144E-2</v>
      </c>
    </row>
    <row r="27" spans="1:12" x14ac:dyDescent="0.25">
      <c r="A27">
        <v>1733</v>
      </c>
      <c r="B27" t="s">
        <v>79</v>
      </c>
      <c r="C27" t="s">
        <v>74</v>
      </c>
      <c r="D27" t="s">
        <v>33</v>
      </c>
      <c r="H27">
        <v>6620</v>
      </c>
      <c r="J27">
        <f t="shared" si="0"/>
        <v>6620</v>
      </c>
      <c r="L27">
        <f t="shared" si="1"/>
        <v>2.9553571428571428</v>
      </c>
    </row>
    <row r="28" spans="1:12" x14ac:dyDescent="0.25">
      <c r="A28">
        <v>1733</v>
      </c>
      <c r="B28" t="s">
        <v>103</v>
      </c>
      <c r="C28" t="s">
        <v>74</v>
      </c>
      <c r="D28" t="s">
        <v>33</v>
      </c>
      <c r="H28">
        <v>286</v>
      </c>
      <c r="J28">
        <f t="shared" si="0"/>
        <v>286</v>
      </c>
      <c r="L28">
        <f t="shared" si="1"/>
        <v>0.12767857142857142</v>
      </c>
    </row>
    <row r="29" spans="1:12" x14ac:dyDescent="0.25">
      <c r="A29">
        <v>1733</v>
      </c>
      <c r="B29" t="s">
        <v>44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1733</v>
      </c>
      <c r="B30" t="s">
        <v>97</v>
      </c>
      <c r="C30" t="s">
        <v>74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1733</v>
      </c>
      <c r="B31" t="s">
        <v>12</v>
      </c>
      <c r="C31" t="s">
        <v>74</v>
      </c>
      <c r="D31" t="s">
        <v>33</v>
      </c>
      <c r="H31">
        <v>7940</v>
      </c>
      <c r="J31">
        <f t="shared" si="0"/>
        <v>7940</v>
      </c>
      <c r="L31">
        <f t="shared" si="1"/>
        <v>3.5446428571428572</v>
      </c>
    </row>
    <row r="32" spans="1:12" x14ac:dyDescent="0.25">
      <c r="A32">
        <v>1733</v>
      </c>
      <c r="B32" t="s">
        <v>82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1733</v>
      </c>
      <c r="B33" t="s">
        <v>34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1733</v>
      </c>
      <c r="B34" t="s">
        <v>13</v>
      </c>
      <c r="C34" t="s">
        <v>74</v>
      </c>
      <c r="D34" t="s">
        <v>33</v>
      </c>
      <c r="E34">
        <v>40</v>
      </c>
      <c r="F34">
        <v>6</v>
      </c>
      <c r="H34">
        <v>4</v>
      </c>
      <c r="J34">
        <f t="shared" si="0"/>
        <v>90276</v>
      </c>
      <c r="L34">
        <f t="shared" si="1"/>
        <v>40.301785714285714</v>
      </c>
    </row>
    <row r="35" spans="1:12" x14ac:dyDescent="0.25">
      <c r="A35">
        <v>1733</v>
      </c>
      <c r="B35" t="s">
        <v>14</v>
      </c>
      <c r="C35" t="s">
        <v>74</v>
      </c>
      <c r="D35" t="s">
        <v>33</v>
      </c>
      <c r="H35">
        <v>970</v>
      </c>
      <c r="I35" t="s">
        <v>139</v>
      </c>
      <c r="J35">
        <f t="shared" si="0"/>
        <v>970</v>
      </c>
      <c r="L35">
        <f t="shared" si="1"/>
        <v>0.4330357142857143</v>
      </c>
    </row>
    <row r="36" spans="1:12" x14ac:dyDescent="0.25">
      <c r="A36">
        <v>1733</v>
      </c>
      <c r="B36" t="s">
        <v>23</v>
      </c>
      <c r="C36" t="s">
        <v>74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1733</v>
      </c>
      <c r="B37" t="s">
        <v>27</v>
      </c>
      <c r="C37" t="s">
        <v>74</v>
      </c>
      <c r="D37" t="s">
        <v>33</v>
      </c>
      <c r="H37">
        <v>183542</v>
      </c>
      <c r="I37" t="s">
        <v>142</v>
      </c>
      <c r="J37">
        <f t="shared" si="0"/>
        <v>183542</v>
      </c>
      <c r="L37">
        <f t="shared" si="1"/>
        <v>81.938392857142858</v>
      </c>
    </row>
    <row r="38" spans="1:12" x14ac:dyDescent="0.25">
      <c r="A38">
        <v>1733</v>
      </c>
      <c r="B38" t="s">
        <v>15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1733</v>
      </c>
      <c r="B39" t="s">
        <v>42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1733</v>
      </c>
      <c r="B40" t="s">
        <v>83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1733</v>
      </c>
      <c r="B41" t="s">
        <v>47</v>
      </c>
      <c r="C41" t="s">
        <v>74</v>
      </c>
      <c r="D41" t="s">
        <v>33</v>
      </c>
      <c r="H41">
        <v>80</v>
      </c>
      <c r="I41" t="s">
        <v>140</v>
      </c>
      <c r="J41">
        <f t="shared" si="0"/>
        <v>80</v>
      </c>
      <c r="L41">
        <f t="shared" si="1"/>
        <v>3.5714285714285712E-2</v>
      </c>
    </row>
    <row r="42" spans="1:12" x14ac:dyDescent="0.25">
      <c r="A42">
        <v>1733</v>
      </c>
      <c r="B42" t="s">
        <v>16</v>
      </c>
      <c r="C42" t="s">
        <v>74</v>
      </c>
      <c r="D42" t="s">
        <v>33</v>
      </c>
      <c r="H42">
        <v>2432</v>
      </c>
      <c r="J42">
        <f t="shared" si="0"/>
        <v>2432</v>
      </c>
      <c r="L42">
        <f t="shared" si="1"/>
        <v>1.0857142857142856</v>
      </c>
    </row>
    <row r="43" spans="1:12" x14ac:dyDescent="0.25">
      <c r="A43">
        <v>1733</v>
      </c>
      <c r="B43" t="s">
        <v>17</v>
      </c>
      <c r="C43" t="s">
        <v>74</v>
      </c>
      <c r="D43" t="s">
        <v>33</v>
      </c>
      <c r="F43">
        <v>100</v>
      </c>
      <c r="J43">
        <f t="shared" si="0"/>
        <v>11200</v>
      </c>
      <c r="L43">
        <f t="shared" si="1"/>
        <v>5</v>
      </c>
    </row>
    <row r="44" spans="1:12" x14ac:dyDescent="0.25">
      <c r="A44">
        <v>1733</v>
      </c>
      <c r="B44" t="s">
        <v>18</v>
      </c>
      <c r="C44" t="s">
        <v>74</v>
      </c>
      <c r="D44" t="s">
        <v>33</v>
      </c>
      <c r="H44">
        <v>108068</v>
      </c>
      <c r="I44" t="s">
        <v>141</v>
      </c>
      <c r="J44">
        <f t="shared" si="0"/>
        <v>108068</v>
      </c>
      <c r="L44">
        <f t="shared" si="1"/>
        <v>48.244642857142857</v>
      </c>
    </row>
    <row r="45" spans="1:12" x14ac:dyDescent="0.25">
      <c r="A45">
        <v>1733</v>
      </c>
      <c r="B45" t="s">
        <v>26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1733</v>
      </c>
      <c r="B46" t="s">
        <v>84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1733</v>
      </c>
      <c r="B47" t="s">
        <v>19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1733</v>
      </c>
      <c r="B48" t="s">
        <v>45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1733</v>
      </c>
      <c r="B49" t="s">
        <v>85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1733</v>
      </c>
      <c r="B50" t="s">
        <v>54</v>
      </c>
      <c r="C50" t="s">
        <v>74</v>
      </c>
      <c r="D50" t="s">
        <v>33</v>
      </c>
      <c r="H50">
        <v>316</v>
      </c>
      <c r="J50">
        <f t="shared" si="0"/>
        <v>316</v>
      </c>
      <c r="L50">
        <f t="shared" si="1"/>
        <v>0.14107142857142857</v>
      </c>
    </row>
    <row r="51" spans="1:12" x14ac:dyDescent="0.25">
      <c r="A51">
        <v>1733</v>
      </c>
      <c r="B51" t="s">
        <v>95</v>
      </c>
      <c r="C51" t="s">
        <v>74</v>
      </c>
      <c r="D51" t="s">
        <v>33</v>
      </c>
      <c r="H51">
        <v>100</v>
      </c>
      <c r="J51">
        <f t="shared" si="0"/>
        <v>100</v>
      </c>
      <c r="L51">
        <f t="shared" si="1"/>
        <v>4.4642857142857144E-2</v>
      </c>
    </row>
    <row r="52" spans="1:12" x14ac:dyDescent="0.25">
      <c r="A52">
        <v>1733</v>
      </c>
      <c r="B52" t="s">
        <v>20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1733</v>
      </c>
      <c r="B53" t="s">
        <v>21</v>
      </c>
      <c r="C53" t="s">
        <v>74</v>
      </c>
      <c r="D53" t="s">
        <v>33</v>
      </c>
      <c r="H53">
        <v>54</v>
      </c>
      <c r="J53">
        <f t="shared" si="0"/>
        <v>54</v>
      </c>
      <c r="L53">
        <f t="shared" si="1"/>
        <v>2.4107142857142858E-2</v>
      </c>
    </row>
    <row r="54" spans="1:12" x14ac:dyDescent="0.25">
      <c r="A54">
        <v>1733</v>
      </c>
      <c r="B54" t="s">
        <v>22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1733</v>
      </c>
      <c r="B55" t="s">
        <v>61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1733</v>
      </c>
      <c r="B56" t="s">
        <v>143</v>
      </c>
      <c r="C56" t="s">
        <v>74</v>
      </c>
      <c r="D56" t="s">
        <v>33</v>
      </c>
      <c r="F56">
        <v>29</v>
      </c>
      <c r="G56">
        <v>3</v>
      </c>
      <c r="J56">
        <f t="shared" si="0"/>
        <v>3332</v>
      </c>
      <c r="L56">
        <f t="shared" si="1"/>
        <v>1.4875</v>
      </c>
    </row>
    <row r="57" spans="1:12" x14ac:dyDescent="0.25">
      <c r="A57">
        <v>1733</v>
      </c>
      <c r="B57" t="s">
        <v>99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1733</v>
      </c>
      <c r="B58" t="s">
        <v>87</v>
      </c>
      <c r="C58" t="s">
        <v>74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1733</v>
      </c>
      <c r="B59" t="s">
        <v>62</v>
      </c>
      <c r="C59" t="s">
        <v>74</v>
      </c>
      <c r="D59" t="s">
        <v>33</v>
      </c>
      <c r="E59">
        <v>287</v>
      </c>
      <c r="F59">
        <v>7</v>
      </c>
      <c r="H59">
        <v>4</v>
      </c>
      <c r="J59">
        <f t="shared" si="0"/>
        <v>643668</v>
      </c>
      <c r="L59">
        <f t="shared" si="1"/>
        <v>287.35178571428571</v>
      </c>
    </row>
    <row r="60" spans="1:12" x14ac:dyDescent="0.25">
      <c r="A60">
        <v>1733</v>
      </c>
      <c r="B60" t="s">
        <v>88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1733</v>
      </c>
      <c r="B61" t="s">
        <v>63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1733</v>
      </c>
      <c r="B62" t="s">
        <v>89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1733</v>
      </c>
      <c r="B63" t="s">
        <v>70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1733</v>
      </c>
      <c r="B64" t="s">
        <v>64</v>
      </c>
      <c r="C64" t="s">
        <v>74</v>
      </c>
      <c r="D64" t="s">
        <v>33</v>
      </c>
      <c r="F64">
        <v>3</v>
      </c>
      <c r="J64">
        <f t="shared" si="0"/>
        <v>336</v>
      </c>
      <c r="L64">
        <f t="shared" si="1"/>
        <v>0.15</v>
      </c>
    </row>
    <row r="65" spans="1:12" x14ac:dyDescent="0.25">
      <c r="A65">
        <v>1733</v>
      </c>
      <c r="B65" t="s">
        <v>65</v>
      </c>
      <c r="C65" t="s">
        <v>74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1733</v>
      </c>
      <c r="B66" t="s">
        <v>55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1733</v>
      </c>
      <c r="B67" t="s">
        <v>57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1733</v>
      </c>
      <c r="B68" t="s">
        <v>36</v>
      </c>
      <c r="C68" t="s">
        <v>74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1733</v>
      </c>
      <c r="B69" t="s">
        <v>4</v>
      </c>
      <c r="C69" t="s">
        <v>74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1733</v>
      </c>
      <c r="B70" t="s">
        <v>58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1733</v>
      </c>
      <c r="B71" t="s">
        <v>69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1733</v>
      </c>
      <c r="B72" t="s">
        <v>43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1733</v>
      </c>
      <c r="B73" t="s">
        <v>76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1733</v>
      </c>
      <c r="B74" t="s">
        <v>5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1733</v>
      </c>
      <c r="B75" t="s">
        <v>59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1733</v>
      </c>
      <c r="B76" t="s">
        <v>6</v>
      </c>
      <c r="C76" t="s">
        <v>74</v>
      </c>
      <c r="D76" t="s">
        <v>35</v>
      </c>
      <c r="F76">
        <v>10675</v>
      </c>
      <c r="H76">
        <v>5</v>
      </c>
      <c r="J76">
        <f t="shared" si="2"/>
        <v>1195605</v>
      </c>
      <c r="L76">
        <f t="shared" si="3"/>
        <v>533.75223214285711</v>
      </c>
    </row>
    <row r="77" spans="1:12" x14ac:dyDescent="0.25">
      <c r="A77">
        <v>1733</v>
      </c>
      <c r="B77" t="s">
        <v>60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1733</v>
      </c>
      <c r="B78" t="s">
        <v>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1733</v>
      </c>
      <c r="B79" t="s">
        <v>37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1733</v>
      </c>
      <c r="B80" t="s">
        <v>8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1733</v>
      </c>
      <c r="B81" t="s">
        <v>40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1733</v>
      </c>
      <c r="B82" t="s">
        <v>77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1733</v>
      </c>
      <c r="B83" t="s">
        <v>78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1733</v>
      </c>
      <c r="B84" t="s">
        <v>46</v>
      </c>
      <c r="C84" t="s">
        <v>74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1733</v>
      </c>
      <c r="B85" t="s">
        <v>9</v>
      </c>
      <c r="C85" t="s">
        <v>74</v>
      </c>
      <c r="D85" t="s">
        <v>35</v>
      </c>
      <c r="H85">
        <f>288.75*200</f>
        <v>57750</v>
      </c>
      <c r="I85" t="s">
        <v>167</v>
      </c>
      <c r="J85">
        <f t="shared" si="2"/>
        <v>57750</v>
      </c>
      <c r="L85">
        <f t="shared" si="3"/>
        <v>25.78125</v>
      </c>
    </row>
    <row r="86" spans="1:12" x14ac:dyDescent="0.25">
      <c r="A86">
        <v>1733</v>
      </c>
      <c r="B86" t="s">
        <v>10</v>
      </c>
      <c r="C86" t="s">
        <v>74</v>
      </c>
      <c r="D86" t="s">
        <v>35</v>
      </c>
      <c r="F86">
        <v>9</v>
      </c>
      <c r="G86">
        <v>3</v>
      </c>
      <c r="J86">
        <f t="shared" si="2"/>
        <v>1092</v>
      </c>
      <c r="L86">
        <f t="shared" si="3"/>
        <v>0.48749999999999999</v>
      </c>
    </row>
    <row r="87" spans="1:12" x14ac:dyDescent="0.25">
      <c r="A87">
        <v>1733</v>
      </c>
      <c r="B87" t="s">
        <v>11</v>
      </c>
      <c r="C87" t="s">
        <v>74</v>
      </c>
      <c r="D87" t="s">
        <v>35</v>
      </c>
      <c r="F87">
        <v>4</v>
      </c>
      <c r="G87">
        <v>1</v>
      </c>
      <c r="H87">
        <v>27</v>
      </c>
      <c r="J87">
        <f t="shared" si="2"/>
        <v>503</v>
      </c>
      <c r="L87">
        <f t="shared" si="3"/>
        <v>0.22455357142857144</v>
      </c>
    </row>
    <row r="88" spans="1:12" x14ac:dyDescent="0.25">
      <c r="A88">
        <v>1733</v>
      </c>
      <c r="B88" t="s">
        <v>39</v>
      </c>
      <c r="C88" t="s">
        <v>74</v>
      </c>
      <c r="D88" t="s">
        <v>35</v>
      </c>
      <c r="H88">
        <v>3</v>
      </c>
      <c r="J88">
        <f t="shared" si="2"/>
        <v>3</v>
      </c>
      <c r="L88">
        <f t="shared" si="3"/>
        <v>1.3392857142857143E-3</v>
      </c>
    </row>
    <row r="89" spans="1:12" x14ac:dyDescent="0.25">
      <c r="A89">
        <v>1733</v>
      </c>
      <c r="B89" t="s">
        <v>79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1733</v>
      </c>
      <c r="B90" t="s">
        <v>103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1733</v>
      </c>
      <c r="B91" t="s">
        <v>44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1733</v>
      </c>
      <c r="B92" t="s">
        <v>97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1733</v>
      </c>
      <c r="B93" t="s">
        <v>12</v>
      </c>
      <c r="C93" t="s">
        <v>74</v>
      </c>
      <c r="D93" t="s">
        <v>35</v>
      </c>
      <c r="H93">
        <v>180</v>
      </c>
      <c r="J93">
        <f t="shared" si="2"/>
        <v>180</v>
      </c>
      <c r="L93">
        <f t="shared" si="3"/>
        <v>8.0357142857142863E-2</v>
      </c>
    </row>
    <row r="94" spans="1:12" x14ac:dyDescent="0.25">
      <c r="A94">
        <v>1733</v>
      </c>
      <c r="B94" t="s">
        <v>82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1733</v>
      </c>
      <c r="B95" t="s">
        <v>34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1733</v>
      </c>
      <c r="B96" t="s">
        <v>13</v>
      </c>
      <c r="C96" t="s">
        <v>74</v>
      </c>
      <c r="D96" t="s">
        <v>35</v>
      </c>
      <c r="E96">
        <v>1</v>
      </c>
      <c r="J96">
        <f t="shared" si="2"/>
        <v>2240</v>
      </c>
      <c r="L96">
        <f t="shared" si="3"/>
        <v>1</v>
      </c>
    </row>
    <row r="97" spans="1:12" x14ac:dyDescent="0.25">
      <c r="A97">
        <v>1733</v>
      </c>
      <c r="B97" t="s">
        <v>14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1733</v>
      </c>
      <c r="B98" t="s">
        <v>23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1733</v>
      </c>
      <c r="B99" t="s">
        <v>27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1733</v>
      </c>
      <c r="B100" t="s">
        <v>15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1733</v>
      </c>
      <c r="B101" t="s">
        <v>93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1733</v>
      </c>
      <c r="B102" t="s">
        <v>42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1733</v>
      </c>
      <c r="B103" t="s">
        <v>83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1733</v>
      </c>
      <c r="B104" t="s">
        <v>47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1733</v>
      </c>
      <c r="B105" t="s">
        <v>16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1733</v>
      </c>
      <c r="B106" t="s">
        <v>17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1733</v>
      </c>
      <c r="B107" t="s">
        <v>18</v>
      </c>
      <c r="C107" t="s">
        <v>74</v>
      </c>
      <c r="D107" t="s">
        <v>35</v>
      </c>
      <c r="H107">
        <v>33698.5</v>
      </c>
      <c r="I107" t="s">
        <v>166</v>
      </c>
      <c r="J107">
        <f t="shared" si="2"/>
        <v>33698.5</v>
      </c>
      <c r="L107">
        <f t="shared" si="3"/>
        <v>15.043973214285714</v>
      </c>
    </row>
    <row r="108" spans="1:12" x14ac:dyDescent="0.25">
      <c r="A108">
        <v>1733</v>
      </c>
      <c r="B108" t="s">
        <v>26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1733</v>
      </c>
      <c r="B109" t="s">
        <v>84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1733</v>
      </c>
      <c r="B110" t="s">
        <v>19</v>
      </c>
      <c r="C110" t="s">
        <v>74</v>
      </c>
      <c r="D110" t="s">
        <v>35</v>
      </c>
      <c r="F110">
        <v>3</v>
      </c>
      <c r="J110">
        <f t="shared" si="2"/>
        <v>336</v>
      </c>
      <c r="L110">
        <f t="shared" si="3"/>
        <v>0.15</v>
      </c>
    </row>
    <row r="111" spans="1:12" x14ac:dyDescent="0.25">
      <c r="A111">
        <v>1733</v>
      </c>
      <c r="B111" t="s">
        <v>45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1733</v>
      </c>
      <c r="B112" t="s">
        <v>85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1733</v>
      </c>
      <c r="B113" t="s">
        <v>54</v>
      </c>
      <c r="C113" t="s">
        <v>74</v>
      </c>
      <c r="D113" t="s">
        <v>35</v>
      </c>
      <c r="H113">
        <v>23</v>
      </c>
      <c r="J113">
        <f t="shared" si="2"/>
        <v>23</v>
      </c>
      <c r="L113">
        <f t="shared" si="3"/>
        <v>1.0267857142857143E-2</v>
      </c>
    </row>
    <row r="114" spans="1:12" x14ac:dyDescent="0.25">
      <c r="A114">
        <v>1733</v>
      </c>
      <c r="B114" t="s">
        <v>95</v>
      </c>
      <c r="C114" t="s">
        <v>74</v>
      </c>
      <c r="D114" t="s">
        <v>35</v>
      </c>
      <c r="H114">
        <v>6</v>
      </c>
      <c r="J114">
        <f t="shared" si="2"/>
        <v>6</v>
      </c>
      <c r="L114">
        <f t="shared" si="3"/>
        <v>2.6785714285714286E-3</v>
      </c>
    </row>
    <row r="115" spans="1:12" x14ac:dyDescent="0.25">
      <c r="A115">
        <v>1733</v>
      </c>
      <c r="B115" t="s">
        <v>20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1733</v>
      </c>
      <c r="B116" t="s">
        <v>21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1733</v>
      </c>
      <c r="B117" t="s">
        <v>22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1733</v>
      </c>
      <c r="B118" t="s">
        <v>61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1733</v>
      </c>
      <c r="B119" t="s">
        <v>91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1733</v>
      </c>
      <c r="B120" t="s">
        <v>98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1733</v>
      </c>
      <c r="B121" t="s">
        <v>87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1733</v>
      </c>
      <c r="B122" t="s">
        <v>62</v>
      </c>
      <c r="C122" t="s">
        <v>74</v>
      </c>
      <c r="D122" t="s">
        <v>35</v>
      </c>
      <c r="E122">
        <v>14</v>
      </c>
      <c r="F122">
        <v>6</v>
      </c>
      <c r="G122">
        <v>1</v>
      </c>
      <c r="H122">
        <v>2</v>
      </c>
      <c r="J122">
        <f t="shared" si="2"/>
        <v>32062</v>
      </c>
      <c r="L122">
        <f t="shared" si="3"/>
        <v>14.313392857142857</v>
      </c>
    </row>
    <row r="123" spans="1:12" x14ac:dyDescent="0.25">
      <c r="A123">
        <v>1733</v>
      </c>
      <c r="B123" t="s">
        <v>88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1733</v>
      </c>
      <c r="B124" t="s">
        <v>63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1733</v>
      </c>
      <c r="B125" t="s">
        <v>89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1733</v>
      </c>
      <c r="B126" t="s">
        <v>70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1733</v>
      </c>
      <c r="B127" t="s">
        <v>64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1733</v>
      </c>
      <c r="B128" t="s">
        <v>65</v>
      </c>
      <c r="C128" t="s">
        <v>74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9"/>
  <sheetViews>
    <sheetView topLeftCell="A112" workbookViewId="0">
      <selection activeCell="H46" sqref="H4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1733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1733</v>
      </c>
      <c r="B3" t="s">
        <v>57</v>
      </c>
      <c r="C3" t="s">
        <v>100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1733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1733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1733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1733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1733</v>
      </c>
      <c r="B8" t="s">
        <v>101</v>
      </c>
      <c r="C8" t="s">
        <v>100</v>
      </c>
      <c r="D8" t="s">
        <v>33</v>
      </c>
      <c r="H8">
        <v>270</v>
      </c>
      <c r="J8">
        <f t="shared" si="0"/>
        <v>270</v>
      </c>
      <c r="L8">
        <f t="shared" si="1"/>
        <v>0.12053571428571429</v>
      </c>
    </row>
    <row r="9" spans="1:15" x14ac:dyDescent="0.25">
      <c r="A9">
        <v>1733</v>
      </c>
      <c r="B9" t="s">
        <v>43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1733</v>
      </c>
      <c r="B10" t="s">
        <v>76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1733</v>
      </c>
      <c r="B11" t="s">
        <v>104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1733</v>
      </c>
      <c r="B12" t="s">
        <v>5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1733</v>
      </c>
      <c r="B13" t="s">
        <v>59</v>
      </c>
      <c r="C13" t="s">
        <v>100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1733</v>
      </c>
      <c r="B14" t="s">
        <v>6</v>
      </c>
      <c r="C14" t="s">
        <v>100</v>
      </c>
      <c r="D14" t="s">
        <v>33</v>
      </c>
      <c r="F14">
        <v>144</v>
      </c>
      <c r="J14">
        <f t="shared" si="0"/>
        <v>16128</v>
      </c>
      <c r="L14">
        <f t="shared" si="1"/>
        <v>7.2</v>
      </c>
    </row>
    <row r="15" spans="1:15" x14ac:dyDescent="0.25">
      <c r="A15">
        <v>1733</v>
      </c>
      <c r="B15" t="s">
        <v>96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1733</v>
      </c>
      <c r="B16" t="s">
        <v>60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1733</v>
      </c>
      <c r="B17" t="s">
        <v>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1733</v>
      </c>
      <c r="B18" t="s">
        <v>37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1733</v>
      </c>
      <c r="B19" t="s">
        <v>8</v>
      </c>
      <c r="C19" t="s">
        <v>100</v>
      </c>
      <c r="D19" t="s">
        <v>33</v>
      </c>
      <c r="F19">
        <v>25</v>
      </c>
      <c r="J19">
        <f t="shared" si="0"/>
        <v>2800</v>
      </c>
      <c r="L19">
        <f t="shared" si="1"/>
        <v>1.25</v>
      </c>
    </row>
    <row r="20" spans="1:12" x14ac:dyDescent="0.25">
      <c r="A20">
        <v>1733</v>
      </c>
      <c r="B20" t="s">
        <v>40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1733</v>
      </c>
      <c r="B21" t="s">
        <v>77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1733</v>
      </c>
      <c r="B22" t="s">
        <v>78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1733</v>
      </c>
      <c r="B23" t="s">
        <v>46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1733</v>
      </c>
      <c r="B24" t="s">
        <v>9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1733</v>
      </c>
      <c r="B25" t="s">
        <v>10</v>
      </c>
      <c r="C25" t="s">
        <v>100</v>
      </c>
      <c r="D25" t="s">
        <v>33</v>
      </c>
      <c r="F25">
        <v>45</v>
      </c>
      <c r="J25">
        <f t="shared" si="0"/>
        <v>5040</v>
      </c>
      <c r="L25">
        <f t="shared" si="1"/>
        <v>2.25</v>
      </c>
    </row>
    <row r="26" spans="1:12" x14ac:dyDescent="0.25">
      <c r="A26">
        <v>1733</v>
      </c>
      <c r="B26" t="s">
        <v>11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1733</v>
      </c>
      <c r="B27" t="s">
        <v>39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1733</v>
      </c>
      <c r="B28" t="s">
        <v>79</v>
      </c>
      <c r="C28" t="s">
        <v>100</v>
      </c>
      <c r="D28" t="s">
        <v>33</v>
      </c>
      <c r="H28">
        <v>400</v>
      </c>
      <c r="J28">
        <f t="shared" si="0"/>
        <v>400</v>
      </c>
      <c r="L28">
        <f t="shared" si="1"/>
        <v>0.17857142857142858</v>
      </c>
    </row>
    <row r="29" spans="1:12" x14ac:dyDescent="0.25">
      <c r="A29">
        <v>1733</v>
      </c>
      <c r="B29" t="s">
        <v>103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1733</v>
      </c>
      <c r="B30" t="s">
        <v>44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1733</v>
      </c>
      <c r="B31" t="s">
        <v>97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1733</v>
      </c>
      <c r="B32" t="s">
        <v>12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1733</v>
      </c>
      <c r="B33" t="s">
        <v>122</v>
      </c>
      <c r="C33" t="s">
        <v>100</v>
      </c>
      <c r="D33" t="s">
        <v>33</v>
      </c>
      <c r="H33">
        <v>250</v>
      </c>
      <c r="J33">
        <f t="shared" si="0"/>
        <v>250</v>
      </c>
      <c r="L33">
        <f t="shared" si="1"/>
        <v>0.11160714285714286</v>
      </c>
    </row>
    <row r="34" spans="1:12" x14ac:dyDescent="0.25">
      <c r="A34">
        <v>1733</v>
      </c>
      <c r="B34" t="s">
        <v>34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1733</v>
      </c>
      <c r="B35" t="s">
        <v>13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1733</v>
      </c>
      <c r="B36" t="s">
        <v>14</v>
      </c>
      <c r="C36" t="s">
        <v>100</v>
      </c>
      <c r="D36" t="s">
        <v>33</v>
      </c>
      <c r="H36">
        <v>200</v>
      </c>
      <c r="I36" t="s">
        <v>145</v>
      </c>
      <c r="J36">
        <f t="shared" si="0"/>
        <v>200</v>
      </c>
      <c r="L36">
        <f t="shared" si="1"/>
        <v>8.9285714285714288E-2</v>
      </c>
    </row>
    <row r="37" spans="1:12" x14ac:dyDescent="0.25">
      <c r="A37">
        <v>1733</v>
      </c>
      <c r="B37" t="s">
        <v>23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1733</v>
      </c>
      <c r="B38" t="s">
        <v>27</v>
      </c>
      <c r="C38" t="s">
        <v>100</v>
      </c>
      <c r="D38" t="s">
        <v>33</v>
      </c>
      <c r="H38">
        <v>3771</v>
      </c>
      <c r="I38" t="s">
        <v>147</v>
      </c>
      <c r="J38">
        <f t="shared" si="0"/>
        <v>3771</v>
      </c>
      <c r="L38">
        <f t="shared" si="1"/>
        <v>1.6834821428571429</v>
      </c>
    </row>
    <row r="39" spans="1:12" x14ac:dyDescent="0.25">
      <c r="A39">
        <v>1733</v>
      </c>
      <c r="B39" t="s">
        <v>15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1733</v>
      </c>
      <c r="B40" t="s">
        <v>42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1733</v>
      </c>
      <c r="B41" t="s">
        <v>83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1733</v>
      </c>
      <c r="B42" t="s">
        <v>47</v>
      </c>
      <c r="C42" t="s">
        <v>100</v>
      </c>
      <c r="D42" t="s">
        <v>33</v>
      </c>
      <c r="H42">
        <v>200</v>
      </c>
      <c r="I42" t="s">
        <v>145</v>
      </c>
      <c r="J42">
        <f t="shared" si="0"/>
        <v>200</v>
      </c>
      <c r="L42">
        <f t="shared" si="1"/>
        <v>8.9285714285714288E-2</v>
      </c>
    </row>
    <row r="43" spans="1:12" x14ac:dyDescent="0.25">
      <c r="A43">
        <v>1733</v>
      </c>
      <c r="B43" t="s">
        <v>16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1733</v>
      </c>
      <c r="B44" t="s">
        <v>17</v>
      </c>
      <c r="C44" t="s">
        <v>100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1733</v>
      </c>
      <c r="B45" t="s">
        <v>18</v>
      </c>
      <c r="C45" t="s">
        <v>100</v>
      </c>
      <c r="D45" t="s">
        <v>33</v>
      </c>
      <c r="H45">
        <v>8182</v>
      </c>
      <c r="I45" t="s">
        <v>146</v>
      </c>
      <c r="J45">
        <f t="shared" si="0"/>
        <v>8182</v>
      </c>
      <c r="L45">
        <f t="shared" si="1"/>
        <v>3.6526785714285714</v>
      </c>
    </row>
    <row r="46" spans="1:12" x14ac:dyDescent="0.25">
      <c r="A46">
        <v>1733</v>
      </c>
      <c r="B46" t="s">
        <v>26</v>
      </c>
      <c r="C46" t="s">
        <v>100</v>
      </c>
      <c r="D46" t="s">
        <v>33</v>
      </c>
      <c r="H46">
        <v>2500</v>
      </c>
      <c r="J46">
        <f t="shared" si="0"/>
        <v>2500</v>
      </c>
      <c r="L46">
        <f t="shared" si="1"/>
        <v>1.1160714285714286</v>
      </c>
    </row>
    <row r="47" spans="1:12" x14ac:dyDescent="0.25">
      <c r="A47">
        <v>1733</v>
      </c>
      <c r="B47" t="s">
        <v>84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1733</v>
      </c>
      <c r="B48" t="s">
        <v>19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1733</v>
      </c>
      <c r="B49" t="s">
        <v>45</v>
      </c>
      <c r="C49" t="s">
        <v>100</v>
      </c>
      <c r="D49" t="s">
        <v>33</v>
      </c>
      <c r="H49">
        <v>50</v>
      </c>
      <c r="J49">
        <f t="shared" si="0"/>
        <v>50</v>
      </c>
      <c r="L49">
        <f t="shared" si="1"/>
        <v>2.2321428571428572E-2</v>
      </c>
    </row>
    <row r="50" spans="1:12" x14ac:dyDescent="0.25">
      <c r="A50">
        <v>1733</v>
      </c>
      <c r="B50" t="s">
        <v>85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1733</v>
      </c>
      <c r="B51" t="s">
        <v>54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1733</v>
      </c>
      <c r="B52" t="s">
        <v>95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1733</v>
      </c>
      <c r="B53" t="s">
        <v>20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1733</v>
      </c>
      <c r="B54" t="s">
        <v>21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1733</v>
      </c>
      <c r="B55" t="s">
        <v>90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1733</v>
      </c>
      <c r="B56" t="s">
        <v>22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1733</v>
      </c>
      <c r="B57" t="s">
        <v>61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1733</v>
      </c>
      <c r="B58" t="s">
        <v>98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1733</v>
      </c>
      <c r="B59" t="s">
        <v>87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1733</v>
      </c>
      <c r="B60" t="s">
        <v>62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1733</v>
      </c>
      <c r="B61" t="s">
        <v>88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1733</v>
      </c>
      <c r="B62" t="s">
        <v>63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1733</v>
      </c>
      <c r="B63" t="s">
        <v>89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1733</v>
      </c>
      <c r="B64" t="s">
        <v>70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1733</v>
      </c>
      <c r="B65" t="s">
        <v>64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1733</v>
      </c>
      <c r="B66" t="s">
        <v>65</v>
      </c>
      <c r="C66" t="s">
        <v>100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1733</v>
      </c>
      <c r="B67" t="s">
        <v>55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1733</v>
      </c>
      <c r="B68" t="s">
        <v>57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1733</v>
      </c>
      <c r="B69" t="s">
        <v>36</v>
      </c>
      <c r="C69" t="s">
        <v>100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1733</v>
      </c>
      <c r="B70" t="s">
        <v>4</v>
      </c>
      <c r="C70" t="s">
        <v>100</v>
      </c>
      <c r="D70" t="s">
        <v>35</v>
      </c>
      <c r="J70">
        <f t="shared" ref="J70:J129" si="2">(E70*2240)+(F70*112)+(G70*28)+H70</f>
        <v>0</v>
      </c>
      <c r="L70">
        <f t="shared" ref="L70:L129" si="3">J70/2240</f>
        <v>0</v>
      </c>
    </row>
    <row r="71" spans="1:12" x14ac:dyDescent="0.25">
      <c r="A71">
        <v>1733</v>
      </c>
      <c r="B71" t="s">
        <v>58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1733</v>
      </c>
      <c r="B72" t="s">
        <v>69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1733</v>
      </c>
      <c r="B73" t="s">
        <v>43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1733</v>
      </c>
      <c r="B74" t="s">
        <v>76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1733</v>
      </c>
      <c r="B75" t="s">
        <v>5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1733</v>
      </c>
      <c r="B76" t="s">
        <v>59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1733</v>
      </c>
      <c r="B77" t="s">
        <v>6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1733</v>
      </c>
      <c r="B78" t="s">
        <v>60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1733</v>
      </c>
      <c r="B79" t="s">
        <v>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1733</v>
      </c>
      <c r="B80" t="s">
        <v>37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1733</v>
      </c>
      <c r="B81" t="s">
        <v>8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1733</v>
      </c>
      <c r="B82" t="s">
        <v>40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1733</v>
      </c>
      <c r="B83" t="s">
        <v>77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1733</v>
      </c>
      <c r="B84" t="s">
        <v>78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1733</v>
      </c>
      <c r="B85" t="s">
        <v>46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1733</v>
      </c>
      <c r="B86" t="s">
        <v>9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1733</v>
      </c>
      <c r="B87" t="s">
        <v>10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1733</v>
      </c>
      <c r="B88" t="s">
        <v>11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1733</v>
      </c>
      <c r="B89" t="s">
        <v>39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1733</v>
      </c>
      <c r="B90" t="s">
        <v>79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1733</v>
      </c>
      <c r="B91" t="s">
        <v>103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1733</v>
      </c>
      <c r="B92" t="s">
        <v>44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1733</v>
      </c>
      <c r="B93" t="s">
        <v>97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1733</v>
      </c>
      <c r="B94" t="s">
        <v>12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1733</v>
      </c>
      <c r="B95" t="s">
        <v>82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1733</v>
      </c>
      <c r="B96" t="s">
        <v>34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1733</v>
      </c>
      <c r="B97" t="s">
        <v>13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1733</v>
      </c>
      <c r="B98" t="s">
        <v>14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1733</v>
      </c>
      <c r="B99" t="s">
        <v>23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1733</v>
      </c>
      <c r="B100" t="s">
        <v>27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1733</v>
      </c>
      <c r="B101" t="s">
        <v>15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1733</v>
      </c>
      <c r="B102" t="s">
        <v>93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1733</v>
      </c>
      <c r="B103" t="s">
        <v>42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1733</v>
      </c>
      <c r="B104" t="s">
        <v>83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1733</v>
      </c>
      <c r="B105" t="s">
        <v>47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1733</v>
      </c>
      <c r="B106" t="s">
        <v>16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1733</v>
      </c>
      <c r="B107" t="s">
        <v>17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1733</v>
      </c>
      <c r="B108" t="s">
        <v>18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1733</v>
      </c>
      <c r="B109" t="s">
        <v>26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1733</v>
      </c>
      <c r="B110" t="s">
        <v>84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1733</v>
      </c>
      <c r="B111" t="s">
        <v>19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1733</v>
      </c>
      <c r="B112" t="s">
        <v>45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1733</v>
      </c>
      <c r="B113" t="s">
        <v>85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1733</v>
      </c>
      <c r="B114" t="s">
        <v>54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1733</v>
      </c>
      <c r="B115" t="s">
        <v>95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1733</v>
      </c>
      <c r="B116" t="s">
        <v>20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1733</v>
      </c>
      <c r="B117" t="s">
        <v>21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1733</v>
      </c>
      <c r="B118" t="s">
        <v>22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1733</v>
      </c>
      <c r="B119" t="s">
        <v>61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1733</v>
      </c>
      <c r="B120" t="s">
        <v>91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1733</v>
      </c>
      <c r="B121" t="s">
        <v>98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1733</v>
      </c>
      <c r="B122" t="s">
        <v>87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1733</v>
      </c>
      <c r="B123" t="s">
        <v>62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1733</v>
      </c>
      <c r="B124" t="s">
        <v>88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1733</v>
      </c>
      <c r="B125" t="s">
        <v>63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1733</v>
      </c>
      <c r="B126" t="s">
        <v>89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1733</v>
      </c>
      <c r="B127" t="s">
        <v>70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1733</v>
      </c>
      <c r="B128" t="s">
        <v>64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1733</v>
      </c>
      <c r="B129" t="s">
        <v>65</v>
      </c>
      <c r="C129" t="s">
        <v>100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2025-04-30T00:06:17Z</dcterms:modified>
</cp:coreProperties>
</file>