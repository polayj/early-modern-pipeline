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askca1-my.sharepoint.com/personal/lks029_usask_ca/Documents/CommodityImports/"/>
    </mc:Choice>
  </mc:AlternateContent>
  <xr:revisionPtr revIDLastSave="578" documentId="8_{27B2FA7E-E455-4137-94CE-08912713F268}" xr6:coauthVersionLast="47" xr6:coauthVersionMax="47" xr10:uidLastSave="{55582324-8451-4F93-8D02-E7AF95B930AD}"/>
  <bookViews>
    <workbookView xWindow="-120" yWindow="-120" windowWidth="29040" windowHeight="15840" xr2:uid="{DA50CDB8-E080-44E0-917E-86E1EE5F77DD}"/>
  </bookViews>
  <sheets>
    <sheet name="Master Goods Sheet" sheetId="1" r:id="rId1"/>
    <sheet name="Antigua" sheetId="2" r:id="rId2"/>
    <sheet name="Barbados" sheetId="3" r:id="rId3"/>
    <sheet name="Bermuda" sheetId="4" r:id="rId4"/>
    <sheet name="Jamaica" sheetId="5" r:id="rId5"/>
    <sheet name="Mountserat" sheetId="6" r:id="rId6"/>
    <sheet name="Nevis" sheetId="7" r:id="rId7"/>
    <sheet name="St Kitts" sheetId="8" r:id="rId8"/>
    <sheet name="General" sheetId="9" r:id="rId9"/>
  </sheets>
  <definedNames>
    <definedName name="_xlnm._FilterDatabase" localSheetId="2" hidden="1">Barbados!$A$1:$N$55</definedName>
    <definedName name="_xlnm._FilterDatabase" localSheetId="4" hidden="1">Jamaica!$A$1:$O$66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8" i="9" l="1"/>
  <c r="H18" i="8"/>
  <c r="H18" i="7"/>
  <c r="H51" i="6"/>
  <c r="H18" i="6"/>
  <c r="H19" i="5"/>
  <c r="H17" i="3"/>
  <c r="H7" i="2"/>
  <c r="J7" i="2"/>
  <c r="L7" i="2" s="1"/>
  <c r="L46" i="8"/>
  <c r="L47" i="8"/>
  <c r="L48" i="8"/>
  <c r="L49" i="8"/>
  <c r="L50" i="8"/>
  <c r="L51" i="8"/>
  <c r="L53" i="8"/>
  <c r="L54" i="8"/>
  <c r="L55" i="8"/>
  <c r="L56" i="8"/>
  <c r="L57" i="8"/>
  <c r="L59" i="8"/>
  <c r="L60" i="8"/>
  <c r="L61" i="8"/>
  <c r="L62" i="8"/>
  <c r="L63" i="8"/>
  <c r="L64" i="8"/>
  <c r="L65" i="8"/>
  <c r="J46" i="8"/>
  <c r="J47" i="8"/>
  <c r="J48" i="8"/>
  <c r="J49" i="8"/>
  <c r="J50" i="8"/>
  <c r="J51" i="8"/>
  <c r="J52" i="8"/>
  <c r="L52" i="8" s="1"/>
  <c r="J53" i="8"/>
  <c r="J54" i="8"/>
  <c r="J55" i="8"/>
  <c r="J56" i="8"/>
  <c r="J57" i="8"/>
  <c r="J58" i="8"/>
  <c r="L58" i="8" s="1"/>
  <c r="J59" i="8"/>
  <c r="J60" i="8"/>
  <c r="J61" i="8"/>
  <c r="J62" i="8"/>
  <c r="J63" i="8"/>
  <c r="J64" i="8"/>
  <c r="J65" i="8"/>
  <c r="J66" i="8"/>
  <c r="L66" i="8" s="1"/>
  <c r="J67" i="8"/>
  <c r="L67" i="8" s="1"/>
  <c r="L53" i="7"/>
  <c r="J53" i="7"/>
  <c r="L52" i="5"/>
  <c r="L53" i="5"/>
  <c r="L54" i="5"/>
  <c r="L55" i="5"/>
  <c r="L56" i="5"/>
  <c r="L57" i="5"/>
  <c r="L58" i="5"/>
  <c r="L60" i="5"/>
  <c r="L61" i="5"/>
  <c r="L62" i="5"/>
  <c r="L63" i="5"/>
  <c r="L64" i="5"/>
  <c r="L67" i="5"/>
  <c r="L68" i="5"/>
  <c r="L69" i="5"/>
  <c r="L71" i="5"/>
  <c r="L72" i="5"/>
  <c r="L73" i="5"/>
  <c r="L74" i="5"/>
  <c r="L75" i="5"/>
  <c r="L76" i="5"/>
  <c r="L77" i="5"/>
  <c r="L78" i="5"/>
  <c r="L79" i="5"/>
  <c r="J52" i="5"/>
  <c r="J53" i="5"/>
  <c r="J54" i="5"/>
  <c r="J55" i="5"/>
  <c r="J56" i="5"/>
  <c r="J57" i="5"/>
  <c r="J58" i="5"/>
  <c r="J59" i="5"/>
  <c r="L59" i="5" s="1"/>
  <c r="J60" i="5"/>
  <c r="J61" i="5"/>
  <c r="J62" i="5"/>
  <c r="J63" i="5"/>
  <c r="J64" i="5"/>
  <c r="J65" i="5"/>
  <c r="L65" i="5" s="1"/>
  <c r="J66" i="5"/>
  <c r="L66" i="5" s="1"/>
  <c r="J67" i="5"/>
  <c r="J68" i="5"/>
  <c r="J69" i="5"/>
  <c r="J70" i="5"/>
  <c r="L70" i="5" s="1"/>
  <c r="J71" i="5"/>
  <c r="J72" i="5"/>
  <c r="J73" i="5"/>
  <c r="J74" i="5"/>
  <c r="J75" i="5"/>
  <c r="J76" i="5"/>
  <c r="J77" i="5"/>
  <c r="J78" i="5"/>
  <c r="J79" i="5"/>
  <c r="J80" i="5"/>
  <c r="L80" i="5" s="1"/>
  <c r="J81" i="5"/>
  <c r="L81" i="5" s="1"/>
  <c r="H63" i="5"/>
  <c r="J63" i="3"/>
  <c r="L63" i="3" s="1"/>
  <c r="L48" i="3"/>
  <c r="L54" i="3"/>
  <c r="L55" i="3"/>
  <c r="J43" i="3"/>
  <c r="L43" i="3" s="1"/>
  <c r="J44" i="3"/>
  <c r="L44" i="3" s="1"/>
  <c r="J45" i="3"/>
  <c r="L45" i="3" s="1"/>
  <c r="J46" i="3"/>
  <c r="L46" i="3" s="1"/>
  <c r="J47" i="3"/>
  <c r="L47" i="3" s="1"/>
  <c r="J48" i="3"/>
  <c r="J49" i="3"/>
  <c r="L49" i="3" s="1"/>
  <c r="J50" i="3"/>
  <c r="L50" i="3" s="1"/>
  <c r="J51" i="3"/>
  <c r="L51" i="3" s="1"/>
  <c r="J52" i="3"/>
  <c r="L52" i="3" s="1"/>
  <c r="J53" i="3"/>
  <c r="L53" i="3" s="1"/>
  <c r="J54" i="3"/>
  <c r="J55" i="3"/>
  <c r="J56" i="3"/>
  <c r="L56" i="3" s="1"/>
  <c r="J57" i="3"/>
  <c r="L57" i="3" s="1"/>
  <c r="J58" i="3"/>
  <c r="L58" i="3" s="1"/>
  <c r="L45" i="2"/>
  <c r="J45" i="2"/>
  <c r="J31" i="2"/>
  <c r="L31" i="2" s="1"/>
  <c r="J32" i="2"/>
  <c r="L32" i="2" s="1"/>
  <c r="J66" i="9"/>
  <c r="L66" i="9" s="1"/>
  <c r="J65" i="9"/>
  <c r="L65" i="9" s="1"/>
  <c r="J64" i="9"/>
  <c r="L64" i="9" s="1"/>
  <c r="J63" i="9"/>
  <c r="L63" i="9" s="1"/>
  <c r="J62" i="9"/>
  <c r="L62" i="9" s="1"/>
  <c r="J61" i="9"/>
  <c r="L61" i="9" s="1"/>
  <c r="J60" i="9"/>
  <c r="L60" i="9" s="1"/>
  <c r="J59" i="9"/>
  <c r="L59" i="9" s="1"/>
  <c r="J58" i="9"/>
  <c r="L58" i="9" s="1"/>
  <c r="J57" i="9"/>
  <c r="L57" i="9" s="1"/>
  <c r="J56" i="9"/>
  <c r="L56" i="9" s="1"/>
  <c r="J55" i="9"/>
  <c r="L55" i="9" s="1"/>
  <c r="J54" i="9"/>
  <c r="L54" i="9" s="1"/>
  <c r="J53" i="9"/>
  <c r="L53" i="9" s="1"/>
  <c r="J52" i="9"/>
  <c r="L52" i="9" s="1"/>
  <c r="J51" i="9"/>
  <c r="L51" i="9" s="1"/>
  <c r="J50" i="9"/>
  <c r="L50" i="9" s="1"/>
  <c r="J49" i="9"/>
  <c r="L49" i="9" s="1"/>
  <c r="J48" i="9"/>
  <c r="L48" i="9" s="1"/>
  <c r="J47" i="9"/>
  <c r="L47" i="9" s="1"/>
  <c r="J46" i="9"/>
  <c r="L46" i="9" s="1"/>
  <c r="J45" i="9"/>
  <c r="L45" i="9" s="1"/>
  <c r="J44" i="9"/>
  <c r="L44" i="9" s="1"/>
  <c r="J43" i="9"/>
  <c r="L43" i="9" s="1"/>
  <c r="J42" i="9"/>
  <c r="L42" i="9" s="1"/>
  <c r="J41" i="9"/>
  <c r="L41" i="9" s="1"/>
  <c r="J40" i="9"/>
  <c r="L40" i="9" s="1"/>
  <c r="J39" i="9"/>
  <c r="L39" i="9" s="1"/>
  <c r="J38" i="9"/>
  <c r="L38" i="9" s="1"/>
  <c r="J37" i="9"/>
  <c r="L37" i="9" s="1"/>
  <c r="J36" i="9"/>
  <c r="L36" i="9" s="1"/>
  <c r="J35" i="9"/>
  <c r="L35" i="9" s="1"/>
  <c r="J34" i="9"/>
  <c r="L34" i="9" s="1"/>
  <c r="J33" i="9"/>
  <c r="L33" i="9" s="1"/>
  <c r="J32" i="9"/>
  <c r="L32" i="9" s="1"/>
  <c r="J31" i="9"/>
  <c r="L31" i="9" s="1"/>
  <c r="J30" i="9"/>
  <c r="L30" i="9" s="1"/>
  <c r="J29" i="9"/>
  <c r="L29" i="9" s="1"/>
  <c r="J28" i="9"/>
  <c r="L28" i="9" s="1"/>
  <c r="J27" i="9"/>
  <c r="L27" i="9" s="1"/>
  <c r="J26" i="9"/>
  <c r="L26" i="9" s="1"/>
  <c r="J25" i="9"/>
  <c r="L25" i="9" s="1"/>
  <c r="J24" i="9"/>
  <c r="L24" i="9" s="1"/>
  <c r="J23" i="9"/>
  <c r="L23" i="9" s="1"/>
  <c r="J22" i="9"/>
  <c r="L22" i="9" s="1"/>
  <c r="J21" i="9"/>
  <c r="L21" i="9" s="1"/>
  <c r="J20" i="9"/>
  <c r="L20" i="9" s="1"/>
  <c r="J19" i="9"/>
  <c r="L19" i="9" s="1"/>
  <c r="J18" i="9"/>
  <c r="L18" i="9" s="1"/>
  <c r="J17" i="9"/>
  <c r="L17" i="9" s="1"/>
  <c r="J16" i="9"/>
  <c r="L16" i="9" s="1"/>
  <c r="J15" i="9"/>
  <c r="L15" i="9" s="1"/>
  <c r="L14" i="9"/>
  <c r="J14" i="9"/>
  <c r="J13" i="9"/>
  <c r="L13" i="9" s="1"/>
  <c r="J12" i="9"/>
  <c r="L12" i="9" s="1"/>
  <c r="J11" i="9"/>
  <c r="L11" i="9" s="1"/>
  <c r="J10" i="9"/>
  <c r="L10" i="9" s="1"/>
  <c r="J9" i="9"/>
  <c r="L9" i="9" s="1"/>
  <c r="J8" i="9"/>
  <c r="L8" i="9" s="1"/>
  <c r="L7" i="9"/>
  <c r="J7" i="9"/>
  <c r="J6" i="9"/>
  <c r="L6" i="9" s="1"/>
  <c r="J5" i="9"/>
  <c r="L5" i="9" s="1"/>
  <c r="J4" i="9"/>
  <c r="L4" i="9" s="1"/>
  <c r="L3" i="9"/>
  <c r="J3" i="9"/>
  <c r="J2" i="9"/>
  <c r="L2" i="9" s="1"/>
  <c r="J45" i="5"/>
  <c r="L45" i="5" s="1"/>
  <c r="J46" i="5"/>
  <c r="L46" i="5" s="1"/>
  <c r="J47" i="5"/>
  <c r="J37" i="5"/>
  <c r="L37" i="5" s="1"/>
  <c r="J17" i="5"/>
  <c r="L17" i="5" s="1"/>
  <c r="J6" i="4"/>
  <c r="L6" i="4" s="1"/>
  <c r="J3" i="4"/>
  <c r="L3" i="4" s="1"/>
  <c r="J16" i="3"/>
  <c r="L16" i="3" s="1"/>
  <c r="L6" i="2"/>
  <c r="L9" i="2"/>
  <c r="L22" i="2"/>
  <c r="L23" i="2"/>
  <c r="L24" i="2"/>
  <c r="J3" i="2"/>
  <c r="L3" i="2" s="1"/>
  <c r="J4" i="2"/>
  <c r="L4" i="2" s="1"/>
  <c r="J5" i="2"/>
  <c r="L5" i="2" s="1"/>
  <c r="J6" i="2"/>
  <c r="J8" i="2"/>
  <c r="L8" i="2" s="1"/>
  <c r="J9" i="2"/>
  <c r="J10" i="2"/>
  <c r="L10" i="2" s="1"/>
  <c r="J11" i="2"/>
  <c r="L11" i="2" s="1"/>
  <c r="J12" i="2"/>
  <c r="L12" i="2" s="1"/>
  <c r="J13" i="2"/>
  <c r="L13" i="2" s="1"/>
  <c r="J14" i="2"/>
  <c r="L14" i="2" s="1"/>
  <c r="J15" i="2"/>
  <c r="L15" i="2" s="1"/>
  <c r="J16" i="2"/>
  <c r="L16" i="2" s="1"/>
  <c r="J17" i="2"/>
  <c r="L17" i="2" s="1"/>
  <c r="J18" i="2"/>
  <c r="L18" i="2" s="1"/>
  <c r="J19" i="2"/>
  <c r="L19" i="2" s="1"/>
  <c r="J20" i="2"/>
  <c r="L20" i="2" s="1"/>
  <c r="J21" i="2"/>
  <c r="L21" i="2" s="1"/>
  <c r="J22" i="2"/>
  <c r="J23" i="2"/>
  <c r="J24" i="2"/>
  <c r="J25" i="2"/>
  <c r="L25" i="2" s="1"/>
  <c r="J26" i="2"/>
  <c r="L26" i="2" s="1"/>
  <c r="J27" i="2"/>
  <c r="C3" i="1"/>
  <c r="C22" i="1"/>
  <c r="C23" i="1"/>
  <c r="C24" i="1"/>
  <c r="C25" i="1"/>
  <c r="C31" i="1"/>
  <c r="B23" i="1"/>
  <c r="B24" i="1"/>
  <c r="B25" i="1"/>
  <c r="D25" i="1" l="1"/>
  <c r="D24" i="1"/>
  <c r="D23" i="1"/>
  <c r="J45" i="8" l="1"/>
  <c r="L45" i="8" s="1"/>
  <c r="J44" i="8"/>
  <c r="L44" i="8" s="1"/>
  <c r="J43" i="8"/>
  <c r="L43" i="8" s="1"/>
  <c r="J42" i="8"/>
  <c r="L42" i="8" s="1"/>
  <c r="J41" i="8"/>
  <c r="L41" i="8" s="1"/>
  <c r="J40" i="8"/>
  <c r="L40" i="8" s="1"/>
  <c r="J39" i="8"/>
  <c r="L39" i="8" s="1"/>
  <c r="J38" i="8"/>
  <c r="L38" i="8" s="1"/>
  <c r="J37" i="8"/>
  <c r="L37" i="8" s="1"/>
  <c r="J36" i="8"/>
  <c r="L36" i="8" s="1"/>
  <c r="J35" i="8"/>
  <c r="L35" i="8" s="1"/>
  <c r="J34" i="8"/>
  <c r="L34" i="8" s="1"/>
  <c r="J33" i="8"/>
  <c r="L33" i="8" s="1"/>
  <c r="J32" i="8"/>
  <c r="L32" i="8" s="1"/>
  <c r="J31" i="8"/>
  <c r="L31" i="8" s="1"/>
  <c r="J30" i="8"/>
  <c r="L30" i="8" s="1"/>
  <c r="J29" i="8"/>
  <c r="L29" i="8" s="1"/>
  <c r="J28" i="8"/>
  <c r="L28" i="8" s="1"/>
  <c r="J27" i="8"/>
  <c r="L27" i="8" s="1"/>
  <c r="J26" i="8"/>
  <c r="L26" i="8" s="1"/>
  <c r="J25" i="8"/>
  <c r="L25" i="8" s="1"/>
  <c r="J24" i="8"/>
  <c r="L24" i="8" s="1"/>
  <c r="J23" i="8"/>
  <c r="L23" i="8" s="1"/>
  <c r="J22" i="8"/>
  <c r="L22" i="8" s="1"/>
  <c r="J21" i="8"/>
  <c r="L21" i="8" s="1"/>
  <c r="J20" i="8"/>
  <c r="L20" i="8" s="1"/>
  <c r="J19" i="8"/>
  <c r="L19" i="8" s="1"/>
  <c r="J18" i="8"/>
  <c r="L18" i="8" s="1"/>
  <c r="J17" i="8"/>
  <c r="L17" i="8" s="1"/>
  <c r="L16" i="8"/>
  <c r="J16" i="8"/>
  <c r="J15" i="8"/>
  <c r="L15" i="8" s="1"/>
  <c r="J14" i="8"/>
  <c r="L14" i="8" s="1"/>
  <c r="J13" i="8"/>
  <c r="L13" i="8" s="1"/>
  <c r="J12" i="8"/>
  <c r="L12" i="8" s="1"/>
  <c r="J11" i="8"/>
  <c r="L11" i="8" s="1"/>
  <c r="J10" i="8"/>
  <c r="L10" i="8" s="1"/>
  <c r="J9" i="8"/>
  <c r="L9" i="8" s="1"/>
  <c r="J8" i="8"/>
  <c r="L8" i="8" s="1"/>
  <c r="J7" i="8"/>
  <c r="L7" i="8" s="1"/>
  <c r="J6" i="8"/>
  <c r="L6" i="8" s="1"/>
  <c r="J5" i="8"/>
  <c r="L5" i="8" s="1"/>
  <c r="J4" i="8"/>
  <c r="L4" i="8" s="1"/>
  <c r="J3" i="8"/>
  <c r="L3" i="8" s="1"/>
  <c r="J2" i="8"/>
  <c r="L2" i="8" s="1"/>
  <c r="J66" i="7"/>
  <c r="L66" i="7" s="1"/>
  <c r="J65" i="7"/>
  <c r="L65" i="7" s="1"/>
  <c r="J64" i="7"/>
  <c r="L64" i="7" s="1"/>
  <c r="J63" i="7"/>
  <c r="L63" i="7" s="1"/>
  <c r="J62" i="7"/>
  <c r="L62" i="7" s="1"/>
  <c r="J61" i="7"/>
  <c r="L61" i="7" s="1"/>
  <c r="J60" i="7"/>
  <c r="L60" i="7" s="1"/>
  <c r="J59" i="7"/>
  <c r="L59" i="7" s="1"/>
  <c r="J58" i="7"/>
  <c r="L58" i="7" s="1"/>
  <c r="J57" i="7"/>
  <c r="L57" i="7" s="1"/>
  <c r="J56" i="7"/>
  <c r="L56" i="7" s="1"/>
  <c r="J55" i="7"/>
  <c r="L55" i="7" s="1"/>
  <c r="J54" i="7"/>
  <c r="L54" i="7" s="1"/>
  <c r="J52" i="7"/>
  <c r="L52" i="7" s="1"/>
  <c r="J51" i="7"/>
  <c r="L51" i="7" s="1"/>
  <c r="J50" i="7"/>
  <c r="L50" i="7" s="1"/>
  <c r="J49" i="7"/>
  <c r="L49" i="7" s="1"/>
  <c r="J48" i="7"/>
  <c r="L48" i="7" s="1"/>
  <c r="C4" i="1" s="1"/>
  <c r="J47" i="7"/>
  <c r="L47" i="7" s="1"/>
  <c r="J46" i="7"/>
  <c r="L46" i="7" s="1"/>
  <c r="J45" i="7"/>
  <c r="L45" i="7" s="1"/>
  <c r="J44" i="7"/>
  <c r="L44" i="7" s="1"/>
  <c r="J43" i="7"/>
  <c r="L43" i="7" s="1"/>
  <c r="J42" i="7"/>
  <c r="L42" i="7" s="1"/>
  <c r="J41" i="7"/>
  <c r="L41" i="7" s="1"/>
  <c r="J40" i="7"/>
  <c r="L40" i="7" s="1"/>
  <c r="J39" i="7"/>
  <c r="L39" i="7" s="1"/>
  <c r="J38" i="7"/>
  <c r="L38" i="7" s="1"/>
  <c r="J37" i="7"/>
  <c r="L37" i="7" s="1"/>
  <c r="J36" i="7"/>
  <c r="L36" i="7" s="1"/>
  <c r="J35" i="7"/>
  <c r="L35" i="7" s="1"/>
  <c r="J34" i="7"/>
  <c r="L34" i="7" s="1"/>
  <c r="J33" i="7"/>
  <c r="L33" i="7" s="1"/>
  <c r="J32" i="7"/>
  <c r="L32" i="7" s="1"/>
  <c r="J31" i="7"/>
  <c r="L31" i="7" s="1"/>
  <c r="J30" i="7"/>
  <c r="L30" i="7" s="1"/>
  <c r="J29" i="7"/>
  <c r="L29" i="7" s="1"/>
  <c r="J28" i="7"/>
  <c r="L28" i="7" s="1"/>
  <c r="J27" i="7"/>
  <c r="L27" i="7" s="1"/>
  <c r="J26" i="7"/>
  <c r="L26" i="7" s="1"/>
  <c r="J25" i="7"/>
  <c r="L25" i="7" s="1"/>
  <c r="J24" i="7"/>
  <c r="L24" i="7" s="1"/>
  <c r="J23" i="7"/>
  <c r="L23" i="7" s="1"/>
  <c r="J22" i="7"/>
  <c r="L22" i="7" s="1"/>
  <c r="J21" i="7"/>
  <c r="L21" i="7" s="1"/>
  <c r="J20" i="7"/>
  <c r="L20" i="7" s="1"/>
  <c r="J19" i="7"/>
  <c r="L19" i="7" s="1"/>
  <c r="J18" i="7"/>
  <c r="L18" i="7" s="1"/>
  <c r="J17" i="7"/>
  <c r="L17" i="7" s="1"/>
  <c r="J16" i="7"/>
  <c r="L16" i="7" s="1"/>
  <c r="J15" i="7"/>
  <c r="L15" i="7" s="1"/>
  <c r="J14" i="7"/>
  <c r="L14" i="7" s="1"/>
  <c r="J13" i="7"/>
  <c r="L13" i="7" s="1"/>
  <c r="J12" i="7"/>
  <c r="L12" i="7" s="1"/>
  <c r="J11" i="7"/>
  <c r="L11" i="7" s="1"/>
  <c r="J10" i="7"/>
  <c r="L10" i="7" s="1"/>
  <c r="J9" i="7"/>
  <c r="L9" i="7" s="1"/>
  <c r="J8" i="7"/>
  <c r="L8" i="7" s="1"/>
  <c r="J7" i="7"/>
  <c r="L7" i="7" s="1"/>
  <c r="J6" i="7"/>
  <c r="L6" i="7" s="1"/>
  <c r="J5" i="7"/>
  <c r="L5" i="7" s="1"/>
  <c r="J4" i="7"/>
  <c r="L4" i="7" s="1"/>
  <c r="J3" i="7"/>
  <c r="L3" i="7" s="1"/>
  <c r="J2" i="7"/>
  <c r="L2" i="7" s="1"/>
  <c r="J66" i="6"/>
  <c r="L66" i="6" s="1"/>
  <c r="J65" i="6"/>
  <c r="L65" i="6" s="1"/>
  <c r="J64" i="6"/>
  <c r="L64" i="6" s="1"/>
  <c r="J63" i="6"/>
  <c r="L63" i="6" s="1"/>
  <c r="J62" i="6"/>
  <c r="L62" i="6" s="1"/>
  <c r="J61" i="6"/>
  <c r="L61" i="6" s="1"/>
  <c r="J60" i="6"/>
  <c r="L60" i="6" s="1"/>
  <c r="J59" i="6"/>
  <c r="L59" i="6" s="1"/>
  <c r="J58" i="6"/>
  <c r="L58" i="6" s="1"/>
  <c r="J57" i="6"/>
  <c r="L57" i="6" s="1"/>
  <c r="J56" i="6"/>
  <c r="L56" i="6" s="1"/>
  <c r="J55" i="6"/>
  <c r="L55" i="6" s="1"/>
  <c r="J54" i="6"/>
  <c r="L54" i="6" s="1"/>
  <c r="J53" i="6"/>
  <c r="L53" i="6" s="1"/>
  <c r="J52" i="6"/>
  <c r="L52" i="6" s="1"/>
  <c r="J51" i="6"/>
  <c r="L51" i="6" s="1"/>
  <c r="J50" i="6"/>
  <c r="L50" i="6" s="1"/>
  <c r="J49" i="6"/>
  <c r="L49" i="6" s="1"/>
  <c r="J48" i="6"/>
  <c r="L48" i="6" s="1"/>
  <c r="J47" i="6"/>
  <c r="L47" i="6" s="1"/>
  <c r="J46" i="6"/>
  <c r="L46" i="6" s="1"/>
  <c r="J45" i="6"/>
  <c r="L45" i="6" s="1"/>
  <c r="J44" i="6"/>
  <c r="L44" i="6" s="1"/>
  <c r="J43" i="6"/>
  <c r="L43" i="6" s="1"/>
  <c r="J42" i="6"/>
  <c r="L42" i="6" s="1"/>
  <c r="J41" i="6"/>
  <c r="L41" i="6" s="1"/>
  <c r="J40" i="6"/>
  <c r="L40" i="6" s="1"/>
  <c r="J39" i="6"/>
  <c r="L39" i="6" s="1"/>
  <c r="J38" i="6"/>
  <c r="L38" i="6" s="1"/>
  <c r="J37" i="6"/>
  <c r="L37" i="6" s="1"/>
  <c r="J36" i="6"/>
  <c r="L36" i="6" s="1"/>
  <c r="J35" i="6"/>
  <c r="L35" i="6" s="1"/>
  <c r="J34" i="6"/>
  <c r="L34" i="6" s="1"/>
  <c r="J33" i="6"/>
  <c r="L33" i="6" s="1"/>
  <c r="J32" i="6"/>
  <c r="L32" i="6" s="1"/>
  <c r="J31" i="6"/>
  <c r="L31" i="6" s="1"/>
  <c r="J30" i="6"/>
  <c r="L30" i="6" s="1"/>
  <c r="J29" i="6"/>
  <c r="L29" i="6" s="1"/>
  <c r="J28" i="6"/>
  <c r="L28" i="6" s="1"/>
  <c r="J27" i="6"/>
  <c r="L27" i="6" s="1"/>
  <c r="J26" i="6"/>
  <c r="L26" i="6" s="1"/>
  <c r="J25" i="6"/>
  <c r="L25" i="6" s="1"/>
  <c r="J24" i="6"/>
  <c r="L24" i="6" s="1"/>
  <c r="J23" i="6"/>
  <c r="L23" i="6" s="1"/>
  <c r="J22" i="6"/>
  <c r="L22" i="6" s="1"/>
  <c r="J21" i="6"/>
  <c r="L21" i="6" s="1"/>
  <c r="J20" i="6"/>
  <c r="L20" i="6" s="1"/>
  <c r="J19" i="6"/>
  <c r="L19" i="6" s="1"/>
  <c r="J18" i="6"/>
  <c r="L18" i="6" s="1"/>
  <c r="J17" i="6"/>
  <c r="L17" i="6" s="1"/>
  <c r="J16" i="6"/>
  <c r="L16" i="6" s="1"/>
  <c r="J15" i="6"/>
  <c r="L15" i="6" s="1"/>
  <c r="J14" i="6"/>
  <c r="L14" i="6" s="1"/>
  <c r="J13" i="6"/>
  <c r="L13" i="6" s="1"/>
  <c r="J12" i="6"/>
  <c r="L12" i="6" s="1"/>
  <c r="J11" i="6"/>
  <c r="L11" i="6" s="1"/>
  <c r="J10" i="6"/>
  <c r="L10" i="6" s="1"/>
  <c r="J9" i="6"/>
  <c r="L9" i="6" s="1"/>
  <c r="J8" i="6"/>
  <c r="L8" i="6" s="1"/>
  <c r="J7" i="6"/>
  <c r="L7" i="6" s="1"/>
  <c r="J6" i="6"/>
  <c r="L6" i="6" s="1"/>
  <c r="J5" i="6"/>
  <c r="L5" i="6" s="1"/>
  <c r="J4" i="6"/>
  <c r="L4" i="6" s="1"/>
  <c r="J3" i="6"/>
  <c r="L3" i="6" s="1"/>
  <c r="J2" i="6"/>
  <c r="L2" i="6" s="1"/>
  <c r="C14" i="1"/>
  <c r="C2" i="1"/>
  <c r="J51" i="5"/>
  <c r="L51" i="5" s="1"/>
  <c r="J50" i="5"/>
  <c r="L50" i="5" s="1"/>
  <c r="J49" i="5"/>
  <c r="L49" i="5" s="1"/>
  <c r="J48" i="5"/>
  <c r="L48" i="5" s="1"/>
  <c r="L47" i="5"/>
  <c r="J44" i="5"/>
  <c r="L44" i="5" s="1"/>
  <c r="J43" i="5"/>
  <c r="L43" i="5" s="1"/>
  <c r="J42" i="5"/>
  <c r="L42" i="5" s="1"/>
  <c r="J41" i="5"/>
  <c r="L41" i="5" s="1"/>
  <c r="J40" i="5"/>
  <c r="L40" i="5" s="1"/>
  <c r="J39" i="5"/>
  <c r="L39" i="5" s="1"/>
  <c r="J38" i="5"/>
  <c r="L38" i="5" s="1"/>
  <c r="J36" i="5"/>
  <c r="L36" i="5" s="1"/>
  <c r="J35" i="5"/>
  <c r="L35" i="5" s="1"/>
  <c r="J34" i="5"/>
  <c r="L34" i="5" s="1"/>
  <c r="J33" i="5"/>
  <c r="L33" i="5" s="1"/>
  <c r="J32" i="5"/>
  <c r="L32" i="5" s="1"/>
  <c r="J31" i="5"/>
  <c r="L31" i="5" s="1"/>
  <c r="J30" i="5"/>
  <c r="L30" i="5" s="1"/>
  <c r="J29" i="5"/>
  <c r="L29" i="5" s="1"/>
  <c r="J28" i="5"/>
  <c r="L28" i="5" s="1"/>
  <c r="J27" i="5"/>
  <c r="L27" i="5" s="1"/>
  <c r="J26" i="5"/>
  <c r="L26" i="5" s="1"/>
  <c r="J25" i="5"/>
  <c r="L25" i="5" s="1"/>
  <c r="J24" i="5"/>
  <c r="L24" i="5" s="1"/>
  <c r="B10" i="1" s="1"/>
  <c r="J23" i="5"/>
  <c r="L23" i="5" s="1"/>
  <c r="J22" i="5"/>
  <c r="L22" i="5" s="1"/>
  <c r="J21" i="5"/>
  <c r="L21" i="5" s="1"/>
  <c r="J20" i="5"/>
  <c r="L20" i="5" s="1"/>
  <c r="J19" i="5"/>
  <c r="L19" i="5" s="1"/>
  <c r="J18" i="5"/>
  <c r="L18" i="5" s="1"/>
  <c r="J16" i="5"/>
  <c r="L16" i="5" s="1"/>
  <c r="J15" i="5"/>
  <c r="L15" i="5" s="1"/>
  <c r="J14" i="5"/>
  <c r="L14" i="5" s="1"/>
  <c r="J13" i="5"/>
  <c r="L13" i="5" s="1"/>
  <c r="J12" i="5"/>
  <c r="L12" i="5" s="1"/>
  <c r="J11" i="5"/>
  <c r="L11" i="5" s="1"/>
  <c r="J10" i="5"/>
  <c r="L10" i="5" s="1"/>
  <c r="J9" i="5"/>
  <c r="L9" i="5" s="1"/>
  <c r="J8" i="5"/>
  <c r="L8" i="5" s="1"/>
  <c r="J7" i="5"/>
  <c r="L7" i="5" s="1"/>
  <c r="J6" i="5"/>
  <c r="L6" i="5" s="1"/>
  <c r="J5" i="5"/>
  <c r="L5" i="5" s="1"/>
  <c r="J4" i="5"/>
  <c r="L4" i="5" s="1"/>
  <c r="J3" i="5"/>
  <c r="L3" i="5" s="1"/>
  <c r="J2" i="5"/>
  <c r="L2" i="5" s="1"/>
  <c r="J16" i="4"/>
  <c r="L16" i="4" s="1"/>
  <c r="J15" i="4"/>
  <c r="L15" i="4" s="1"/>
  <c r="C27" i="1" s="1"/>
  <c r="J14" i="4"/>
  <c r="L14" i="4" s="1"/>
  <c r="J13" i="4"/>
  <c r="L13" i="4" s="1"/>
  <c r="J12" i="4"/>
  <c r="L12" i="4" s="1"/>
  <c r="J11" i="4"/>
  <c r="L11" i="4" s="1"/>
  <c r="J10" i="4"/>
  <c r="L10" i="4" s="1"/>
  <c r="J9" i="4"/>
  <c r="L9" i="4" s="1"/>
  <c r="J8" i="4"/>
  <c r="L8" i="4" s="1"/>
  <c r="J7" i="4"/>
  <c r="L7" i="4" s="1"/>
  <c r="J5" i="4"/>
  <c r="L5" i="4" s="1"/>
  <c r="J4" i="4"/>
  <c r="L4" i="4" s="1"/>
  <c r="J2" i="4"/>
  <c r="L2" i="4" s="1"/>
  <c r="J68" i="3"/>
  <c r="L68" i="3" s="1"/>
  <c r="C30" i="1" s="1"/>
  <c r="J67" i="3"/>
  <c r="L67" i="3" s="1"/>
  <c r="C29" i="1" s="1"/>
  <c r="J66" i="3"/>
  <c r="L66" i="3" s="1"/>
  <c r="J65" i="3"/>
  <c r="L65" i="3" s="1"/>
  <c r="J64" i="3"/>
  <c r="L64" i="3" s="1"/>
  <c r="J62" i="3"/>
  <c r="L62" i="3" s="1"/>
  <c r="J61" i="3"/>
  <c r="L61" i="3" s="1"/>
  <c r="J60" i="3"/>
  <c r="L60" i="3" s="1"/>
  <c r="J59" i="3"/>
  <c r="L59" i="3" s="1"/>
  <c r="B31" i="1"/>
  <c r="D31" i="1" s="1"/>
  <c r="J42" i="3"/>
  <c r="L42" i="3" s="1"/>
  <c r="J41" i="3"/>
  <c r="L41" i="3" s="1"/>
  <c r="J40" i="3"/>
  <c r="L40" i="3" s="1"/>
  <c r="J39" i="3"/>
  <c r="L39" i="3" s="1"/>
  <c r="J38" i="3"/>
  <c r="L38" i="3" s="1"/>
  <c r="J37" i="3"/>
  <c r="L37" i="3" s="1"/>
  <c r="J36" i="3"/>
  <c r="L36" i="3" s="1"/>
  <c r="J35" i="3"/>
  <c r="L35" i="3" s="1"/>
  <c r="J34" i="3"/>
  <c r="L34" i="3" s="1"/>
  <c r="J33" i="3"/>
  <c r="L33" i="3" s="1"/>
  <c r="J32" i="3"/>
  <c r="L32" i="3" s="1"/>
  <c r="B15" i="1" s="1"/>
  <c r="J31" i="3"/>
  <c r="L31" i="3" s="1"/>
  <c r="J30" i="3"/>
  <c r="L30" i="3" s="1"/>
  <c r="J29" i="3"/>
  <c r="L29" i="3" s="1"/>
  <c r="J28" i="3"/>
  <c r="L28" i="3" s="1"/>
  <c r="J27" i="3"/>
  <c r="L27" i="3" s="1"/>
  <c r="J26" i="3"/>
  <c r="L26" i="3" s="1"/>
  <c r="J25" i="3"/>
  <c r="L25" i="3" s="1"/>
  <c r="J24" i="3"/>
  <c r="L24" i="3" s="1"/>
  <c r="J23" i="3"/>
  <c r="L23" i="3" s="1"/>
  <c r="J22" i="3"/>
  <c r="L22" i="3" s="1"/>
  <c r="J21" i="3"/>
  <c r="L21" i="3" s="1"/>
  <c r="J20" i="3"/>
  <c r="L20" i="3" s="1"/>
  <c r="J19" i="3"/>
  <c r="L19" i="3" s="1"/>
  <c r="J18" i="3"/>
  <c r="L18" i="3" s="1"/>
  <c r="J17" i="3"/>
  <c r="L17" i="3" s="1"/>
  <c r="J15" i="3"/>
  <c r="L15" i="3" s="1"/>
  <c r="J14" i="3"/>
  <c r="L14" i="3" s="1"/>
  <c r="J13" i="3"/>
  <c r="L13" i="3" s="1"/>
  <c r="J12" i="3"/>
  <c r="L12" i="3" s="1"/>
  <c r="J11" i="3"/>
  <c r="L11" i="3" s="1"/>
  <c r="J10" i="3"/>
  <c r="L10" i="3" s="1"/>
  <c r="J9" i="3"/>
  <c r="L9" i="3" s="1"/>
  <c r="J8" i="3"/>
  <c r="L8" i="3" s="1"/>
  <c r="J7" i="3"/>
  <c r="L7" i="3" s="1"/>
  <c r="J6" i="3"/>
  <c r="L6" i="3" s="1"/>
  <c r="J5" i="3"/>
  <c r="L5" i="3" s="1"/>
  <c r="J4" i="3"/>
  <c r="L4" i="3" s="1"/>
  <c r="J3" i="3"/>
  <c r="L3" i="3" s="1"/>
  <c r="J2" i="3"/>
  <c r="L2" i="3" s="1"/>
  <c r="J44" i="2"/>
  <c r="L44" i="2" s="1"/>
  <c r="J43" i="2"/>
  <c r="L43" i="2" s="1"/>
  <c r="J42" i="2"/>
  <c r="L42" i="2" s="1"/>
  <c r="C19" i="1" s="1"/>
  <c r="J41" i="2"/>
  <c r="L41" i="2" s="1"/>
  <c r="C18" i="1" s="1"/>
  <c r="J40" i="2"/>
  <c r="L40" i="2" s="1"/>
  <c r="C17" i="1" s="1"/>
  <c r="J39" i="2"/>
  <c r="L39" i="2" s="1"/>
  <c r="J38" i="2"/>
  <c r="L38" i="2" s="1"/>
  <c r="C15" i="1" s="1"/>
  <c r="J37" i="2"/>
  <c r="L37" i="2" s="1"/>
  <c r="J36" i="2"/>
  <c r="L36" i="2" s="1"/>
  <c r="J35" i="2"/>
  <c r="L35" i="2" s="1"/>
  <c r="C12" i="1" s="1"/>
  <c r="J34" i="2"/>
  <c r="L34" i="2" s="1"/>
  <c r="J33" i="2"/>
  <c r="L33" i="2" s="1"/>
  <c r="J30" i="2"/>
  <c r="L30" i="2" s="1"/>
  <c r="J29" i="2"/>
  <c r="L29" i="2" s="1"/>
  <c r="J28" i="2"/>
  <c r="L28" i="2" s="1"/>
  <c r="L27" i="2"/>
  <c r="B17" i="1"/>
  <c r="B16" i="1"/>
  <c r="B13" i="1"/>
  <c r="B5" i="1"/>
  <c r="J2" i="2"/>
  <c r="L2" i="2" s="1"/>
  <c r="B26" i="1" l="1"/>
  <c r="B11" i="1"/>
  <c r="B8" i="1"/>
  <c r="B12" i="1"/>
  <c r="D12" i="1" s="1"/>
  <c r="C6" i="1"/>
  <c r="B19" i="1"/>
  <c r="D19" i="1" s="1"/>
  <c r="B20" i="1"/>
  <c r="B21" i="1"/>
  <c r="C26" i="1"/>
  <c r="C16" i="1"/>
  <c r="D16" i="1" s="1"/>
  <c r="C5" i="1"/>
  <c r="D5" i="1" s="1"/>
  <c r="B22" i="1"/>
  <c r="D22" i="1" s="1"/>
  <c r="B30" i="1"/>
  <c r="D30" i="1" s="1"/>
  <c r="C7" i="1"/>
  <c r="B3" i="1"/>
  <c r="D3" i="1" s="1"/>
  <c r="B18" i="1"/>
  <c r="D18" i="1" s="1"/>
  <c r="C13" i="1"/>
  <c r="D13" i="1" s="1"/>
  <c r="B4" i="1"/>
  <c r="D4" i="1" s="1"/>
  <c r="B14" i="1"/>
  <c r="D14" i="1" s="1"/>
  <c r="C28" i="1"/>
  <c r="C20" i="1"/>
  <c r="C21" i="1"/>
  <c r="B9" i="1"/>
  <c r="C9" i="1"/>
  <c r="C11" i="1"/>
  <c r="B28" i="1"/>
  <c r="B7" i="1"/>
  <c r="B6" i="1"/>
  <c r="B27" i="1"/>
  <c r="D27" i="1" s="1"/>
  <c r="B29" i="1"/>
  <c r="D29" i="1" s="1"/>
  <c r="C10" i="1"/>
  <c r="D10" i="1" s="1"/>
  <c r="C8" i="1"/>
  <c r="D15" i="1"/>
  <c r="D17" i="1"/>
  <c r="B2" i="1"/>
  <c r="D2" i="1" s="1"/>
  <c r="D11" i="1" l="1"/>
  <c r="D8" i="1"/>
  <c r="D26" i="1"/>
  <c r="D20" i="1"/>
  <c r="D6" i="1"/>
  <c r="D21" i="1"/>
  <c r="D7" i="1"/>
  <c r="D28" i="1"/>
  <c r="D9" i="1"/>
</calcChain>
</file>

<file path=xl/sharedStrings.xml><?xml version="1.0" encoding="utf-8"?>
<sst xmlns="http://schemas.openxmlformats.org/spreadsheetml/2006/main" count="1540" uniqueCount="123">
  <si>
    <t>Item</t>
  </si>
  <si>
    <t>Total London</t>
  </si>
  <si>
    <t>Total Outports</t>
  </si>
  <si>
    <t>Total</t>
  </si>
  <si>
    <t>Annatto</t>
  </si>
  <si>
    <t>Bees Wax</t>
  </si>
  <si>
    <t>Brown Sugar</t>
  </si>
  <si>
    <t>Chocolate</t>
  </si>
  <si>
    <t>Cocoa Nuts</t>
  </si>
  <si>
    <t>Cotton</t>
  </si>
  <si>
    <t>Dry Ginger</t>
  </si>
  <si>
    <t>Elephant Teeth</t>
  </si>
  <si>
    <t>Indigo</t>
  </si>
  <si>
    <t>Lignum Vitae</t>
  </si>
  <si>
    <t>Lime Juice</t>
  </si>
  <si>
    <t>Molasses</t>
  </si>
  <si>
    <t>Pimento</t>
  </si>
  <si>
    <t>Rice</t>
  </si>
  <si>
    <t>Rum</t>
  </si>
  <si>
    <t>Shruff</t>
  </si>
  <si>
    <t>Tobacco</t>
  </si>
  <si>
    <t>Tortoise Shell</t>
  </si>
  <si>
    <t>White Sugar</t>
  </si>
  <si>
    <t>Loaf Sugar</t>
  </si>
  <si>
    <t>Sugar Loaf</t>
  </si>
  <si>
    <t>Muscavado Sugar</t>
  </si>
  <si>
    <t>Sasparilla</t>
  </si>
  <si>
    <t>Madera Wine</t>
  </si>
  <si>
    <t>ton</t>
  </si>
  <si>
    <t>hh</t>
  </si>
  <si>
    <t>quarter</t>
  </si>
  <si>
    <t>lb</t>
  </si>
  <si>
    <t>Total Pounds</t>
  </si>
  <si>
    <t>London</t>
  </si>
  <si>
    <t>Lemon Water</t>
  </si>
  <si>
    <t>Out Ports</t>
  </si>
  <si>
    <t>Cocoa</t>
  </si>
  <si>
    <t>Aloes Epatica</t>
  </si>
  <si>
    <t>Cocheneal</t>
  </si>
  <si>
    <t>Chocolate Paste</t>
  </si>
  <si>
    <t>Green Ginger</t>
  </si>
  <si>
    <t>Cocoa Paste</t>
  </si>
  <si>
    <t>Logwood</t>
  </si>
  <si>
    <t>Oranges</t>
  </si>
  <si>
    <t>Barrel Staves</t>
  </si>
  <si>
    <t>Hemp</t>
  </si>
  <si>
    <t>Snuff</t>
  </si>
  <si>
    <t>Cortex Winteranus</t>
  </si>
  <si>
    <t>Pickles</t>
  </si>
  <si>
    <t>YEAR</t>
  </si>
  <si>
    <t>COMMODITY_NAME</t>
  </si>
  <si>
    <t>FROM_LOCATION</t>
  </si>
  <si>
    <t>TO_LOCATION</t>
  </si>
  <si>
    <t>WEIGHT</t>
  </si>
  <si>
    <t>Antigua</t>
  </si>
  <si>
    <t>Succads</t>
  </si>
  <si>
    <t>Almonds, Bitter</t>
  </si>
  <si>
    <t>Barbados</t>
  </si>
  <si>
    <t>Almonds, Sweet</t>
  </si>
  <si>
    <t>Anniseeds</t>
  </si>
  <si>
    <t>Brimstone</t>
  </si>
  <si>
    <t>Cassia Fistula</t>
  </si>
  <si>
    <t>Wood, Braziletto</t>
  </si>
  <si>
    <t>Wood, Fustick</t>
  </si>
  <si>
    <t>Wood, Logwood</t>
  </si>
  <si>
    <t>Wood, Redwood</t>
  </si>
  <si>
    <t>Wood, Sweetwood</t>
  </si>
  <si>
    <t>Bermudos Plat</t>
  </si>
  <si>
    <t>Bermuda</t>
  </si>
  <si>
    <t>Jamaica</t>
  </si>
  <si>
    <t>Bacon</t>
  </si>
  <si>
    <t>Sarsparila</t>
  </si>
  <si>
    <t>Wood, Nicaragua</t>
  </si>
  <si>
    <t>Tallow</t>
  </si>
  <si>
    <t>Mountserat</t>
  </si>
  <si>
    <t>Nevis</t>
  </si>
  <si>
    <t>StKitts</t>
  </si>
  <si>
    <t>30t 16g</t>
  </si>
  <si>
    <t>196.25bag</t>
  </si>
  <si>
    <t>Coffee</t>
  </si>
  <si>
    <t>623g</t>
  </si>
  <si>
    <t>42181g</t>
  </si>
  <si>
    <t>31t 1h 6g</t>
  </si>
  <si>
    <t>220bag</t>
  </si>
  <si>
    <t>350g</t>
  </si>
  <si>
    <t>Cortex Peru</t>
  </si>
  <si>
    <t>Sassafras</t>
  </si>
  <si>
    <t>2359g</t>
  </si>
  <si>
    <t>142900g</t>
  </si>
  <si>
    <t>74t 8g</t>
  </si>
  <si>
    <t>Wood, Cocus</t>
  </si>
  <si>
    <t>Wood, Ebony</t>
  </si>
  <si>
    <t>475bags</t>
  </si>
  <si>
    <t>422g</t>
  </si>
  <si>
    <t>6255g</t>
  </si>
  <si>
    <t>1t 2h 40g</t>
  </si>
  <si>
    <t>13bags</t>
  </si>
  <si>
    <t>1581.5g</t>
  </si>
  <si>
    <t>6t 1h 49g</t>
  </si>
  <si>
    <t>38bags</t>
  </si>
  <si>
    <t>4165g</t>
  </si>
  <si>
    <t>19t 3h 18g</t>
  </si>
  <si>
    <t>557.5bags</t>
  </si>
  <si>
    <t>General</t>
  </si>
  <si>
    <t>803g</t>
  </si>
  <si>
    <t>1h 42g</t>
  </si>
  <si>
    <t>12bags</t>
  </si>
  <si>
    <t>7832g</t>
  </si>
  <si>
    <t>2t 1h 61g</t>
  </si>
  <si>
    <t>34g</t>
  </si>
  <si>
    <t>9264.25g</t>
  </si>
  <si>
    <t>10t 11g</t>
  </si>
  <si>
    <t>1053g</t>
  </si>
  <si>
    <t>49848.75g</t>
  </si>
  <si>
    <t>23t 3h 61g</t>
  </si>
  <si>
    <t>30g</t>
  </si>
  <si>
    <t>620g</t>
  </si>
  <si>
    <t>27bags</t>
  </si>
  <si>
    <t>217g</t>
  </si>
  <si>
    <t>1t 3h 7g</t>
  </si>
  <si>
    <t>1915g</t>
  </si>
  <si>
    <t>4t 1h 42g</t>
  </si>
  <si>
    <t>186g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</si>
</sst>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E34F2-F1DF-460D-957C-2DA5A774C49B}">
  <dimension ref="A1:D31"/>
  <sheetViews>
    <sheetView tabSelected="1" workbookViewId="0"/>
  </sheetViews>
  <sheetFormatPr defaultRowHeight="15" x14ac:dyDescent="0.25"/>
  <cols>
    <col min="1" max="1" width="17.140625" customWidth="1"/>
    <col min="2" max="2" width="21.85546875" customWidth="1"/>
    <col min="3" max="3" width="21" customWidth="1"/>
    <col min="4" max="4" width="20.855468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f>SUMIFS(Antigua!$L:$L, Antigua!$B:$B, $A2, Antigua!$D:$D, "London") + SUMIFS(Barbados!$L:$L, Barbados!$B:$B, $A2, Barbados!$D:$D, "London") + SUMIFS(Bermuda!$L:$L, Bermuda!$B:$B, $A2, Bermuda!$D:$D, "London") + SUMIFS(Jamaica!$L:$L, Jamaica!$B:$B, $A2, Jamaica!$D:$D, "London") + SUMIFS(Mountserat!$L:$L, Mountserat!$B:$B, $A2, Mountserat!$D:$D, "London") + SUMIFS(Nevis!$L:$L, Nevis!$B:$B, $A2, Nevis!$D:$D, "London") + SUMIFS('St Kitts'!$L:$L, 'St Kitts'!$B:$B, $A2, 'St Kitts'!$D:$D, "London")</f>
        <v>0.52410714285714288</v>
      </c>
      <c r="C2">
        <f>SUMIFS(Antigua!$L:$L, Antigua!$B:$B, $A2, Antigua!$D:$D, "Out Ports") + SUMIFS(Barbados!$L:$L, Barbados!$B:$B, $A2, Barbados!$D:$D, "Out Ports") + SUMIFS(Bermuda!$L:$L, Bermuda!$B:$B, $A2, Bermuda!$D:$D, "Out Ports") + SUMIFS(Jamaica!$L:$L, Jamaica!$B:$B, $A2, Jamaica!$D:$D, "Out Ports") + SUMIFS(Mountserat!$L:$L, Mountserat!$B:$B, $A2, Mountserat!$D:$D, "Out Ports") + SUMIFS(Nevis!$L:$L, Nevis!$B:$B, $A2, Nevis!$D:$D, "Out Ports") + SUMIFS('St Kitts'!$L:$L, 'St Kitts'!$B:$B, $A2, 'St Kitts'!$D:$D, "Out Ports")</f>
        <v>0</v>
      </c>
      <c r="D2">
        <f>B2+C2</f>
        <v>0.52410714285714288</v>
      </c>
    </row>
    <row r="3" spans="1:4" x14ac:dyDescent="0.25">
      <c r="A3" t="s">
        <v>5</v>
      </c>
      <c r="B3">
        <f>SUMIFS(Antigua!$L:$L, Antigua!$B:$B, $A3, Antigua!$D:$D, "London") + SUMIFS(Barbados!$L:$L, Barbados!$B:$B, $A3, Barbados!$D:$D, "London") + SUMIFS(Bermuda!$L:$L, Bermuda!$B:$B, $A3, Bermuda!$D:$D, "London") + SUMIFS(Jamaica!$L:$L, Jamaica!$B:$B, $A3, Jamaica!$D:$D, "London") + SUMIFS(Mountserat!$L:$L, Mountserat!$B:$B, $A3, Mountserat!$D:$D, "London") + SUMIFS(Nevis!$L:$L, Nevis!$B:$B, $A3, Nevis!$D:$D, "London") + SUMIFS('St Kitts'!$L:$L, 'St Kitts'!$B:$B, $A3, 'St Kitts'!$D:$D, "London")</f>
        <v>10.232142857142858</v>
      </c>
      <c r="C3">
        <f>SUMIFS(Antigua!$L:$L, Antigua!$B:$B, $A3, Antigua!$D:$D, "Out Ports") + SUMIFS(Barbados!$L:$L, Barbados!$B:$B, $A3, Barbados!$D:$D, "Out Ports") + SUMIFS(Bermuda!$L:$L, Bermuda!$B:$B, $A3, Bermuda!$D:$D, "Out Ports") + SUMIFS(Jamaica!$L:$L, Jamaica!$B:$B, $A3, Jamaica!$D:$D, "Out Ports") + SUMIFS(Mountserat!$L:$L, Mountserat!$B:$B, $A3, Mountserat!$D:$D, "Out Ports") + SUMIFS(Nevis!$L:$L, Nevis!$B:$B, $A3, Nevis!$D:$D, "Out Ports") + SUMIFS('St Kitts'!$L:$L, 'St Kitts'!$B:$B, $A3, 'St Kitts'!$D:$D, "Out Ports")</f>
        <v>0.20714285714285716</v>
      </c>
      <c r="D3">
        <f t="shared" ref="D3:D31" si="0">B3+C3</f>
        <v>10.439285714285715</v>
      </c>
    </row>
    <row r="4" spans="1:4" x14ac:dyDescent="0.25">
      <c r="A4" t="s">
        <v>6</v>
      </c>
      <c r="B4">
        <f>SUMIFS(Antigua!$L:$L, Antigua!$B:$B, $A4, Antigua!$D:$D, "London") + SUMIFS(Barbados!$L:$L, Barbados!$B:$B, $A4, Barbados!$D:$D, "London") + SUMIFS(Bermuda!$L:$L, Bermuda!$B:$B, $A4, Bermuda!$D:$D, "London") + SUMIFS(Jamaica!$L:$L, Jamaica!$B:$B, $A4, Jamaica!$D:$D, "London") + SUMIFS(Mountserat!$L:$L, Mountserat!$B:$B, $A4, Mountserat!$D:$D, "London") + SUMIFS(Nevis!$L:$L, Nevis!$B:$B, $A4, Nevis!$D:$D, "London") + SUMIFS('St Kitts'!$L:$L, 'St Kitts'!$B:$B, $A4, 'St Kitts'!$D:$D, "London")</f>
        <v>37516.704910714281</v>
      </c>
      <c r="C4">
        <f>SUMIFS(Antigua!$L:$L, Antigua!$B:$B, $A4, Antigua!$D:$D, "Out Ports") + SUMIFS(Barbados!$L:$L, Barbados!$B:$B, $A4, Barbados!$D:$D, "Out Ports") + SUMIFS(Bermuda!$L:$L, Bermuda!$B:$B, $A4, Bermuda!$D:$D, "Out Ports") + SUMIFS(Jamaica!$L:$L, Jamaica!$B:$B, $A4, Jamaica!$D:$D, "Out Ports") + SUMIFS(Mountserat!$L:$L, Mountserat!$B:$B, $A4, Mountserat!$D:$D, "Out Ports") + SUMIFS(Nevis!$L:$L, Nevis!$B:$B, $A4, Nevis!$D:$D, "Out Ports") + SUMIFS('St Kitts'!$L:$L, 'St Kitts'!$B:$B, $A4, 'St Kitts'!$D:$D, "Out Ports")</f>
        <v>13443.581250000001</v>
      </c>
      <c r="D4">
        <f t="shared" si="0"/>
        <v>50960.286160714284</v>
      </c>
    </row>
    <row r="5" spans="1:4" x14ac:dyDescent="0.25">
      <c r="A5" t="s">
        <v>7</v>
      </c>
      <c r="B5">
        <f>SUMIFS(Antigua!$L:$L, Antigua!$B:$B, $A5, Antigua!$D:$D, "London") + SUMIFS(Barbados!$L:$L, Barbados!$B:$B, $A5, Barbados!$D:$D, "London") + SUMIFS(Bermuda!$L:$L, Bermuda!$B:$B, $A5, Bermuda!$D:$D, "London") + SUMIFS(Jamaica!$L:$L, Jamaica!$B:$B, $A5, Jamaica!$D:$D, "London") + SUMIFS(Mountserat!$L:$L, Mountserat!$B:$B, $A5, Mountserat!$D:$D, "London") + SUMIFS(Nevis!$L:$L, Nevis!$B:$B, $A5, Nevis!$D:$D, "London") + SUMIFS('St Kitts'!$L:$L, 'St Kitts'!$B:$B, $A5, 'St Kitts'!$D:$D, "London")</f>
        <v>0</v>
      </c>
      <c r="C5">
        <f>SUMIFS(Antigua!$L:$L, Antigua!$B:$B, $A5, Antigua!$D:$D, "Out Ports") + SUMIFS(Barbados!$L:$L, Barbados!$B:$B, $A5, Barbados!$D:$D, "Out Ports") + SUMIFS(Bermuda!$L:$L, Bermuda!$B:$B, $A5, Bermuda!$D:$D, "Out Ports") + SUMIFS(Jamaica!$L:$L, Jamaica!$B:$B, $A5, Jamaica!$D:$D, "Out Ports") + SUMIFS(Mountserat!$L:$L, Mountserat!$B:$B, $A5, Mountserat!$D:$D, "Out Ports") + SUMIFS(Nevis!$L:$L, Nevis!$B:$B, $A5, Nevis!$D:$D, "Out Ports") + SUMIFS('St Kitts'!$L:$L, 'St Kitts'!$B:$B, $A5, 'St Kitts'!$D:$D, "Out Ports")</f>
        <v>0</v>
      </c>
      <c r="D5">
        <f t="shared" si="0"/>
        <v>0</v>
      </c>
    </row>
    <row r="6" spans="1:4" x14ac:dyDescent="0.25">
      <c r="A6" t="s">
        <v>8</v>
      </c>
      <c r="B6">
        <f>SUMIFS(Antigua!$L:$L, Antigua!$B:$B, $A6, Antigua!$D:$D, "London") + SUMIFS(Barbados!$L:$L, Barbados!$B:$B, $A6, Barbados!$D:$D, "London") + SUMIFS(Bermuda!$L:$L, Bermuda!$B:$B, $A6, Bermuda!$D:$D, "London") + SUMIFS(Jamaica!$L:$L, Jamaica!$B:$B, $A6, Jamaica!$D:$D, "London") + SUMIFS(Mountserat!$L:$L, Mountserat!$B:$B, $A6, Mountserat!$D:$D, "London") + SUMIFS(Nevis!$L:$L, Nevis!$B:$B, $A6, Nevis!$D:$D, "London") + SUMIFS('St Kitts'!$L:$L, 'St Kitts'!$B:$B, $A6, 'St Kitts'!$D:$D, "London")</f>
        <v>80.222321428571433</v>
      </c>
      <c r="C6">
        <f>SUMIFS(Antigua!$L:$L, Antigua!$B:$B, $A6, Antigua!$D:$D, "Out Ports") + SUMIFS(Barbados!$L:$L, Barbados!$B:$B, $A6, Barbados!$D:$D, "Out Ports") + SUMIFS(Bermuda!$L:$L, Bermuda!$B:$B, $A6, Bermuda!$D:$D, "Out Ports") + SUMIFS(Jamaica!$L:$L, Jamaica!$B:$B, $A6, Jamaica!$D:$D, "Out Ports") + SUMIFS(Mountserat!$L:$L, Mountserat!$B:$B, $A6, Mountserat!$D:$D, "Out Ports") + SUMIFS(Nevis!$L:$L, Nevis!$B:$B, $A6, Nevis!$D:$D, "Out Ports") + SUMIFS('St Kitts'!$L:$L, 'St Kitts'!$B:$B, $A6, 'St Kitts'!$D:$D, "Out Ports")</f>
        <v>5.7437500000000004</v>
      </c>
      <c r="D6">
        <f t="shared" si="0"/>
        <v>85.966071428571439</v>
      </c>
    </row>
    <row r="7" spans="1:4" x14ac:dyDescent="0.25">
      <c r="A7" t="s">
        <v>9</v>
      </c>
      <c r="B7">
        <f>SUMIFS(Antigua!$L:$L, Antigua!$B:$B, $A7, Antigua!$D:$D, "London") + SUMIFS(Barbados!$L:$L, Barbados!$B:$B, $A7, Barbados!$D:$D, "London") + SUMIFS(Bermuda!$L:$L, Bermuda!$B:$B, $A7, Bermuda!$D:$D, "London") + SUMIFS(Jamaica!$L:$L, Jamaica!$B:$B, $A7, Jamaica!$D:$D, "London") + SUMIFS(Mountserat!$L:$L, Mountserat!$B:$B, $A7, Mountserat!$D:$D, "London") + SUMIFS(Nevis!$L:$L, Nevis!$B:$B, $A7, Nevis!$D:$D, "London") + SUMIFS('St Kitts'!$L:$L, 'St Kitts'!$B:$B, $A7, 'St Kitts'!$D:$D, "London")</f>
        <v>133.90625</v>
      </c>
      <c r="C7">
        <f>SUMIFS(Antigua!$L:$L, Antigua!$B:$B, $A7, Antigua!$D:$D, "Out Ports") + SUMIFS(Barbados!$L:$L, Barbados!$B:$B, $A7, Barbados!$D:$D, "Out Ports") + SUMIFS(Bermuda!$L:$L, Bermuda!$B:$B, $A7, Bermuda!$D:$D, "Out Ports") + SUMIFS(Jamaica!$L:$L, Jamaica!$B:$B, $A7, Jamaica!$D:$D, "Out Ports") + SUMIFS(Mountserat!$L:$L, Mountserat!$B:$B, $A7, Mountserat!$D:$D, "Out Ports") + SUMIFS(Nevis!$L:$L, Nevis!$B:$B, $A7, Nevis!$D:$D, "Out Ports") + SUMIFS('St Kitts'!$L:$L, 'St Kitts'!$B:$B, $A7, 'St Kitts'!$D:$D, "Out Ports")</f>
        <v>366.08080357142859</v>
      </c>
      <c r="D7">
        <f t="shared" si="0"/>
        <v>499.98705357142859</v>
      </c>
    </row>
    <row r="8" spans="1:4" x14ac:dyDescent="0.25">
      <c r="A8" t="s">
        <v>10</v>
      </c>
      <c r="B8">
        <f>SUMIFS(Antigua!$L:$L, Antigua!$B:$B, $A8, Antigua!$D:$D, "London") + SUMIFS(Barbados!$L:$L, Barbados!$B:$B, $A8, Barbados!$D:$D, "London") + SUMIFS(Bermuda!$L:$L, Bermuda!$B:$B, $A8, Bermuda!$D:$D, "London") + SUMIFS(Jamaica!$L:$L, Jamaica!$B:$B, $A8, Jamaica!$D:$D, "London") + SUMIFS(Mountserat!$L:$L, Mountserat!$B:$B, $A8, Mountserat!$D:$D, "London") + SUMIFS(Nevis!$L:$L, Nevis!$B:$B, $A8, Nevis!$D:$D, "London") + SUMIFS('St Kitts'!$L:$L, 'St Kitts'!$B:$B, $A8, 'St Kitts'!$D:$D, "London")</f>
        <v>344.86473214285718</v>
      </c>
      <c r="C8">
        <f>SUMIFS(Antigua!$L:$L, Antigua!$B:$B, $A8, Antigua!$D:$D, "Out Ports") + SUMIFS(Barbados!$L:$L, Barbados!$B:$B, $A8, Barbados!$D:$D, "Out Ports") + SUMIFS(Bermuda!$L:$L, Bermuda!$B:$B, $A8, Bermuda!$D:$D, "Out Ports") + SUMIFS(Jamaica!$L:$L, Jamaica!$B:$B, $A8, Jamaica!$D:$D, "Out Ports") + SUMIFS(Mountserat!$L:$L, Mountserat!$B:$B, $A8, Mountserat!$D:$D, "Out Ports") + SUMIFS(Nevis!$L:$L, Nevis!$B:$B, $A8, Nevis!$D:$D, "Out Ports") + SUMIFS('St Kitts'!$L:$L, 'St Kitts'!$B:$B, $A8, 'St Kitts'!$D:$D, "Out Ports")</f>
        <v>264.34017857142857</v>
      </c>
      <c r="D8">
        <f t="shared" si="0"/>
        <v>609.20491071428569</v>
      </c>
    </row>
    <row r="9" spans="1:4" x14ac:dyDescent="0.25">
      <c r="A9" t="s">
        <v>11</v>
      </c>
      <c r="B9">
        <f>SUMIFS(Antigua!$L:$L, Antigua!$B:$B, $A9, Antigua!$D:$D, "London") + SUMIFS(Barbados!$L:$L, Barbados!$B:$B, $A9, Barbados!$D:$D, "London") + SUMIFS(Bermuda!$L:$L, Bermuda!$B:$B, $A9, Bermuda!$D:$D, "London") + SUMIFS(Jamaica!$L:$L, Jamaica!$B:$B, $A9, Jamaica!$D:$D, "London") + SUMIFS(Mountserat!$L:$L, Mountserat!$B:$B, $A9, Mountserat!$D:$D, "London") + SUMIFS(Nevis!$L:$L, Nevis!$B:$B, $A9, Nevis!$D:$D, "London") + SUMIFS('St Kitts'!$L:$L, 'St Kitts'!$B:$B, $A9, 'St Kitts'!$D:$D, "London")</f>
        <v>19.082589285714285</v>
      </c>
      <c r="C9">
        <f>SUMIFS(Antigua!$L:$L, Antigua!$B:$B, $A9, Antigua!$D:$D, "Out Ports") + SUMIFS(Barbados!$L:$L, Barbados!$B:$B, $A9, Barbados!$D:$D, "Out Ports") + SUMIFS(Bermuda!$L:$L, Bermuda!$B:$B, $A9, Bermuda!$D:$D, "Out Ports") + SUMIFS(Jamaica!$L:$L, Jamaica!$B:$B, $A9, Jamaica!$D:$D, "Out Ports") + SUMIFS(Mountserat!$L:$L, Mountserat!$B:$B, $A9, Mountserat!$D:$D, "Out Ports") + SUMIFS(Nevis!$L:$L, Nevis!$B:$B, $A9, Nevis!$D:$D, "Out Ports") + SUMIFS('St Kitts'!$L:$L, 'St Kitts'!$B:$B, $A9, 'St Kitts'!$D:$D, "Out Ports")</f>
        <v>22.44107142857143</v>
      </c>
      <c r="D9">
        <f t="shared" si="0"/>
        <v>41.523660714285711</v>
      </c>
    </row>
    <row r="10" spans="1:4" x14ac:dyDescent="0.25">
      <c r="A10" t="s">
        <v>12</v>
      </c>
      <c r="B10">
        <f>SUMIFS(Antigua!$L:$L, Antigua!$B:$B, $A10, Antigua!$D:$D, "London") + SUMIFS(Barbados!$L:$L, Barbados!$B:$B, $A10, Barbados!$D:$D, "London") + SUMIFS(Bermuda!$L:$L, Bermuda!$B:$B, $A10, Bermuda!$D:$D, "London") + SUMIFS(Jamaica!$L:$L, Jamaica!$B:$B, $A10, Jamaica!$D:$D, "London") + SUMIFS(Mountserat!$L:$L, Mountserat!$B:$B, $A10, Mountserat!$D:$D, "London") + SUMIFS(Nevis!$L:$L, Nevis!$B:$B, $A10, Nevis!$D:$D, "London") + SUMIFS('St Kitts'!$L:$L, 'St Kitts'!$B:$B, $A10, 'St Kitts'!$D:$D, "London")</f>
        <v>91.705803571428589</v>
      </c>
      <c r="C10">
        <f>SUMIFS(Antigua!$L:$L, Antigua!$B:$B, $A10, Antigua!$D:$D, "Out Ports") + SUMIFS(Barbados!$L:$L, Barbados!$B:$B, $A10, Barbados!$D:$D, "Out Ports") + SUMIFS(Bermuda!$L:$L, Bermuda!$B:$B, $A10, Bermuda!$D:$D, "Out Ports") + SUMIFS(Jamaica!$L:$L, Jamaica!$B:$B, $A10, Jamaica!$D:$D, "Out Ports") + SUMIFS(Mountserat!$L:$L, Mountserat!$B:$B, $A10, Mountserat!$D:$D, "Out Ports") + SUMIFS(Nevis!$L:$L, Nevis!$B:$B, $A10, Nevis!$D:$D, "Out Ports") + SUMIFS('St Kitts'!$L:$L, 'St Kitts'!$B:$B, $A10, 'St Kitts'!$D:$D, "Out Ports")</f>
        <v>54.743303571428569</v>
      </c>
      <c r="D10">
        <f t="shared" si="0"/>
        <v>146.44910714285714</v>
      </c>
    </row>
    <row r="11" spans="1:4" x14ac:dyDescent="0.25">
      <c r="A11" t="s">
        <v>13</v>
      </c>
      <c r="B11">
        <f>SUMIFS(Antigua!$L:$L, Antigua!$B:$B, $A11, Antigua!$D:$D, "London") + SUMIFS(Barbados!$L:$L, Barbados!$B:$B, $A11, Barbados!$D:$D, "London") + SUMIFS(Bermuda!$L:$L, Bermuda!$B:$B, $A11, Bermuda!$D:$D, "London") + SUMIFS(Jamaica!$L:$L, Jamaica!$B:$B, $A11, Jamaica!$D:$D, "London") + SUMIFS(Mountserat!$L:$L, Mountserat!$B:$B, $A11, Mountserat!$D:$D, "London") + SUMIFS(Nevis!$L:$L, Nevis!$B:$B, $A11, Nevis!$D:$D, "London") + SUMIFS('St Kitts'!$L:$L, 'St Kitts'!$B:$B, $A11, 'St Kitts'!$D:$D, "London")</f>
        <v>9.1624999999999996</v>
      </c>
      <c r="C11">
        <f>SUMIFS(Antigua!$L:$L, Antigua!$B:$B, $A11, Antigua!$D:$D, "Out Ports") + SUMIFS(Barbados!$L:$L, Barbados!$B:$B, $A11, Barbados!$D:$D, "Out Ports") + SUMIFS(Bermuda!$L:$L, Bermuda!$B:$B, $A11, Bermuda!$D:$D, "Out Ports") + SUMIFS(Jamaica!$L:$L, Jamaica!$B:$B, $A11, Jamaica!$D:$D, "Out Ports") + SUMIFS(Mountserat!$L:$L, Mountserat!$B:$B, $A11, Mountserat!$D:$D, "Out Ports") + SUMIFS(Nevis!$L:$L, Nevis!$B:$B, $A11, Nevis!$D:$D, "Out Ports") + SUMIFS('St Kitts'!$L:$L, 'St Kitts'!$B:$B, $A11, 'St Kitts'!$D:$D, "Out Ports")</f>
        <v>44.424107142857139</v>
      </c>
      <c r="D11">
        <f t="shared" si="0"/>
        <v>53.58660714285714</v>
      </c>
    </row>
    <row r="12" spans="1:4" x14ac:dyDescent="0.25">
      <c r="A12" t="s">
        <v>14</v>
      </c>
      <c r="B12">
        <f>SUMIFS(Antigua!$L:$L, Antigua!$B:$B, $A12, Antigua!$D:$D, "London") + SUMIFS(Barbados!$L:$L, Barbados!$B:$B, $A12, Barbados!$D:$D, "London") + SUMIFS(Bermuda!$L:$L, Bermuda!$B:$B, $A12, Bermuda!$D:$D, "London") + SUMIFS(Jamaica!$L:$L, Jamaica!$B:$B, $A12, Jamaica!$D:$D, "London") + SUMIFS(Mountserat!$L:$L, Mountserat!$B:$B, $A12, Mountserat!$D:$D, "London") + SUMIFS(Nevis!$L:$L, Nevis!$B:$B, $A12, Nevis!$D:$D, "London") + SUMIFS('St Kitts'!$L:$L, 'St Kitts'!$B:$B, $A12, 'St Kitts'!$D:$D, "London")</f>
        <v>15.337053571428571</v>
      </c>
      <c r="C12">
        <f>SUMIFS(Antigua!$L:$L, Antigua!$B:$B, $A12, Antigua!$D:$D, "Out Ports") + SUMIFS(Barbados!$L:$L, Barbados!$B:$B, $A12, Barbados!$D:$D, "Out Ports") + SUMIFS(Bermuda!$L:$L, Bermuda!$B:$B, $A12, Bermuda!$D:$D, "Out Ports") + SUMIFS(Jamaica!$L:$L, Jamaica!$B:$B, $A12, Jamaica!$D:$D, "Out Ports") + SUMIFS(Mountserat!$L:$L, Mountserat!$B:$B, $A12, Mountserat!$D:$D, "Out Ports") + SUMIFS(Nevis!$L:$L, Nevis!$B:$B, $A12, Nevis!$D:$D, "Out Ports") + SUMIFS('St Kitts'!$L:$L, 'St Kitts'!$B:$B, $A12, 'St Kitts'!$D:$D, "Out Ports")</f>
        <v>5.0325892857142858</v>
      </c>
      <c r="D12">
        <f t="shared" si="0"/>
        <v>20.369642857142857</v>
      </c>
    </row>
    <row r="13" spans="1:4" x14ac:dyDescent="0.25">
      <c r="A13" t="s">
        <v>15</v>
      </c>
      <c r="B13">
        <f>SUMIFS(Antigua!$L:$L, Antigua!$B:$B, $A13, Antigua!$D:$D, "London") + SUMIFS(Barbados!$L:$L, Barbados!$B:$B, $A13, Barbados!$D:$D, "London") + SUMIFS(Bermuda!$L:$L, Bermuda!$B:$B, $A13, Bermuda!$D:$D, "London") + SUMIFS(Jamaica!$L:$L, Jamaica!$B:$B, $A13, Jamaica!$D:$D, "London") + SUMIFS(Mountserat!$L:$L, Mountserat!$B:$B, $A13, Mountserat!$D:$D, "London") + SUMIFS(Nevis!$L:$L, Nevis!$B:$B, $A13, Nevis!$D:$D, "London") + SUMIFS('St Kitts'!$L:$L, 'St Kitts'!$B:$B, $A13, 'St Kitts'!$D:$D, "London")</f>
        <v>2.6750000000000003</v>
      </c>
      <c r="C13">
        <f>SUMIFS(Antigua!$L:$L, Antigua!$B:$B, $A13, Antigua!$D:$D, "Out Ports") + SUMIFS(Barbados!$L:$L, Barbados!$B:$B, $A13, Barbados!$D:$D, "Out Ports") + SUMIFS(Bermuda!$L:$L, Bermuda!$B:$B, $A13, Bermuda!$D:$D, "Out Ports") + SUMIFS(Jamaica!$L:$L, Jamaica!$B:$B, $A13, Jamaica!$D:$D, "Out Ports") + SUMIFS(Mountserat!$L:$L, Mountserat!$B:$B, $A13, Mountserat!$D:$D, "Out Ports") + SUMIFS(Nevis!$L:$L, Nevis!$B:$B, $A13, Nevis!$D:$D, "Out Ports") + SUMIFS('St Kitts'!$L:$L, 'St Kitts'!$B:$B, $A13, 'St Kitts'!$D:$D, "Out Ports")</f>
        <v>12.141517857142857</v>
      </c>
      <c r="D13">
        <f t="shared" si="0"/>
        <v>14.816517857142857</v>
      </c>
    </row>
    <row r="14" spans="1:4" x14ac:dyDescent="0.25">
      <c r="A14" t="s">
        <v>16</v>
      </c>
      <c r="B14">
        <f>SUMIFS(Antigua!$L:$L, Antigua!$B:$B, $A14, Antigua!$D:$D, "London") + SUMIFS(Barbados!$L:$L, Barbados!$B:$B, $A14, Barbados!$D:$D, "London") + SUMIFS(Bermuda!$L:$L, Bermuda!$B:$B, $A14, Bermuda!$D:$D, "London") + SUMIFS(Jamaica!$L:$L, Jamaica!$B:$B, $A14, Jamaica!$D:$D, "London") + SUMIFS(Mountserat!$L:$L, Mountserat!$B:$B, $A14, Mountserat!$D:$D, "London") + SUMIFS(Nevis!$L:$L, Nevis!$B:$B, $A14, Nevis!$D:$D, "London") + SUMIFS('St Kitts'!$L:$L, 'St Kitts'!$B:$B, $A14, 'St Kitts'!$D:$D, "London")</f>
        <v>98.45178571428572</v>
      </c>
      <c r="C14">
        <f>SUMIFS(Antigua!$L:$L, Antigua!$B:$B, $A14, Antigua!$D:$D, "Out Ports") + SUMIFS(Barbados!$L:$L, Barbados!$B:$B, $A14, Barbados!$D:$D, "Out Ports") + SUMIFS(Bermuda!$L:$L, Bermuda!$B:$B, $A14, Bermuda!$D:$D, "Out Ports") + SUMIFS(Jamaica!$L:$L, Jamaica!$B:$B, $A14, Jamaica!$D:$D, "Out Ports") + SUMIFS(Mountserat!$L:$L, Mountserat!$B:$B, $A14, Mountserat!$D:$D, "Out Ports") + SUMIFS(Nevis!$L:$L, Nevis!$B:$B, $A14, Nevis!$D:$D, "Out Ports") + SUMIFS('St Kitts'!$L:$L, 'St Kitts'!$B:$B, $A14, 'St Kitts'!$D:$D, "Out Ports")</f>
        <v>22.316517857142856</v>
      </c>
      <c r="D14">
        <f t="shared" si="0"/>
        <v>120.76830357142858</v>
      </c>
    </row>
    <row r="15" spans="1:4" x14ac:dyDescent="0.25">
      <c r="A15" t="s">
        <v>17</v>
      </c>
      <c r="B15">
        <f>SUMIFS(Antigua!$L:$L, Antigua!$B:$B, $A15, Antigua!$D:$D, "London") + SUMIFS(Barbados!$L:$L, Barbados!$B:$B, $A15, Barbados!$D:$D, "London") + SUMIFS(Bermuda!$L:$L, Bermuda!$B:$B, $A15, Bermuda!$D:$D, "London") + SUMIFS(Jamaica!$L:$L, Jamaica!$B:$B, $A15, Jamaica!$D:$D, "London") + SUMIFS(Mountserat!$L:$L, Mountserat!$B:$B, $A15, Mountserat!$D:$D, "London") + SUMIFS(Nevis!$L:$L, Nevis!$B:$B, $A15, Nevis!$D:$D, "London") + SUMIFS('St Kitts'!$L:$L, 'St Kitts'!$B:$B, $A15, 'St Kitts'!$D:$D, "London")</f>
        <v>5.6267857142857149</v>
      </c>
      <c r="C15">
        <f>SUMIFS(Antigua!$L:$L, Antigua!$B:$B, $A15, Antigua!$D:$D, "Out Ports") + SUMIFS(Barbados!$L:$L, Barbados!$B:$B, $A15, Barbados!$D:$D, "Out Ports") + SUMIFS(Bermuda!$L:$L, Bermuda!$B:$B, $A15, Bermuda!$D:$D, "Out Ports") + SUMIFS(Jamaica!$L:$L, Jamaica!$B:$B, $A15, Jamaica!$D:$D, "Out Ports") + SUMIFS(Mountserat!$L:$L, Mountserat!$B:$B, $A15, Mountserat!$D:$D, "Out Ports") + SUMIFS(Nevis!$L:$L, Nevis!$B:$B, $A15, Nevis!$D:$D, "Out Ports") + SUMIFS('St Kitts'!$L:$L, 'St Kitts'!$B:$B, $A15, 'St Kitts'!$D:$D, "Out Ports")</f>
        <v>11.817410714285716</v>
      </c>
      <c r="D15">
        <f t="shared" si="0"/>
        <v>17.444196428571431</v>
      </c>
    </row>
    <row r="16" spans="1:4" x14ac:dyDescent="0.25">
      <c r="A16" t="s">
        <v>18</v>
      </c>
      <c r="B16">
        <f>SUMIFS(Antigua!$L:$L, Antigua!$B:$B, $A16, Antigua!$D:$D, "London") + SUMIFS(Barbados!$L:$L, Barbados!$B:$B, $A16, Barbados!$D:$D, "London") + SUMIFS(Bermuda!$L:$L, Bermuda!$B:$B, $A16, Bermuda!$D:$D, "London") + SUMIFS(Jamaica!$L:$L, Jamaica!$B:$B, $A16, Jamaica!$D:$D, "London") + SUMIFS(Mountserat!$L:$L, Mountserat!$B:$B, $A16, Mountserat!$D:$D, "London") + SUMIFS(Nevis!$L:$L, Nevis!$B:$B, $A16, Nevis!$D:$D, "London") + SUMIFS('St Kitts'!$L:$L, 'St Kitts'!$B:$B, $A16, 'St Kitts'!$D:$D, "London")</f>
        <v>889.55401785714275</v>
      </c>
      <c r="C16">
        <f>SUMIFS(Antigua!$L:$L, Antigua!$B:$B, $A16, Antigua!$D:$D, "Out Ports") + SUMIFS(Barbados!$L:$L, Barbados!$B:$B, $A16, Barbados!$D:$D, "Out Ports") + SUMIFS(Bermuda!$L:$L, Bermuda!$B:$B, $A16, Bermuda!$D:$D, "Out Ports") + SUMIFS(Jamaica!$L:$L, Jamaica!$B:$B, $A16, Jamaica!$D:$D, "Out Ports") + SUMIFS(Mountserat!$L:$L, Mountserat!$B:$B, $A16, Mountserat!$D:$D, "Out Ports") + SUMIFS(Nevis!$L:$L, Nevis!$B:$B, $A16, Nevis!$D:$D, "Out Ports") + SUMIFS('St Kitts'!$L:$L, 'St Kitts'!$B:$B, $A16, 'St Kitts'!$D:$D, "Out Ports")</f>
        <v>314.02723214285714</v>
      </c>
      <c r="D16">
        <f t="shared" si="0"/>
        <v>1203.58125</v>
      </c>
    </row>
    <row r="17" spans="1:4" x14ac:dyDescent="0.25">
      <c r="A17" t="s">
        <v>19</v>
      </c>
      <c r="B17">
        <f>SUMIFS(Antigua!$L:$L, Antigua!$B:$B, $A17, Antigua!$D:$D, "London") + SUMIFS(Barbados!$L:$L, Barbados!$B:$B, $A17, Barbados!$D:$D, "London") + SUMIFS(Bermuda!$L:$L, Bermuda!$B:$B, $A17, Bermuda!$D:$D, "London") + SUMIFS(Jamaica!$L:$L, Jamaica!$B:$B, $A17, Jamaica!$D:$D, "London") + SUMIFS(Mountserat!$L:$L, Mountserat!$B:$B, $A17, Mountserat!$D:$D, "London") + SUMIFS(Nevis!$L:$L, Nevis!$B:$B, $A17, Nevis!$D:$D, "London") + SUMIFS('St Kitts'!$L:$L, 'St Kitts'!$B:$B, $A17, 'St Kitts'!$D:$D, "London")</f>
        <v>6.7950892857142859</v>
      </c>
      <c r="C17">
        <f>SUMIFS(Antigua!$L:$L, Antigua!$B:$B, $A17, Antigua!$D:$D, "Out Ports") + SUMIFS(Barbados!$L:$L, Barbados!$B:$B, $A17, Barbados!$D:$D, "Out Ports") + SUMIFS(Bermuda!$L:$L, Bermuda!$B:$B, $A17, Bermuda!$D:$D, "Out Ports") + SUMIFS(Jamaica!$L:$L, Jamaica!$B:$B, $A17, Jamaica!$D:$D, "Out Ports") + SUMIFS(Mountserat!$L:$L, Mountserat!$B:$B, $A17, Mountserat!$D:$D, "Out Ports") + SUMIFS(Nevis!$L:$L, Nevis!$B:$B, $A17, Nevis!$D:$D, "Out Ports") + SUMIFS('St Kitts'!$L:$L, 'St Kitts'!$B:$B, $A17, 'St Kitts'!$D:$D, "Out Ports")</f>
        <v>0.77500000000000002</v>
      </c>
      <c r="D17">
        <f t="shared" si="0"/>
        <v>7.5700892857142863</v>
      </c>
    </row>
    <row r="18" spans="1:4" x14ac:dyDescent="0.25">
      <c r="A18" t="s">
        <v>55</v>
      </c>
      <c r="B18">
        <f>SUMIFS(Antigua!$L:$L, Antigua!$B:$B, $A18, Antigua!$D:$D, "London") + SUMIFS(Barbados!$L:$L, Barbados!$B:$B, $A18, Barbados!$D:$D, "London") + SUMIFS(Bermuda!$L:$L, Bermuda!$B:$B, $A18, Bermuda!$D:$D, "London") + SUMIFS(Jamaica!$L:$L, Jamaica!$B:$B, $A18, Jamaica!$D:$D, "London") + SUMIFS(Mountserat!$L:$L, Mountserat!$B:$B, $A18, Mountserat!$D:$D, "London") + SUMIFS(Nevis!$L:$L, Nevis!$B:$B, $A18, Nevis!$D:$D, "London") + SUMIFS('St Kitts'!$L:$L, 'St Kitts'!$B:$B, $A18, 'St Kitts'!$D:$D, "London")</f>
        <v>2.9160714285714282</v>
      </c>
      <c r="C18">
        <f>SUMIFS(Antigua!$L:$L, Antigua!$B:$B, $A18, Antigua!$D:$D, "Out Ports") + SUMIFS(Barbados!$L:$L, Barbados!$B:$B, $A18, Barbados!$D:$D, "Out Ports") + SUMIFS(Bermuda!$L:$L, Bermuda!$B:$B, $A18, Bermuda!$D:$D, "Out Ports") + SUMIFS(Jamaica!$L:$L, Jamaica!$B:$B, $A18, Jamaica!$D:$D, "Out Ports") + SUMIFS(Mountserat!$L:$L, Mountserat!$B:$B, $A18, Mountserat!$D:$D, "Out Ports") + SUMIFS(Nevis!$L:$L, Nevis!$B:$B, $A18, Nevis!$D:$D, "Out Ports") + SUMIFS('St Kitts'!$L:$L, 'St Kitts'!$B:$B, $A18, 'St Kitts'!$D:$D, "Out Ports")</f>
        <v>0.23660714285714285</v>
      </c>
      <c r="D18">
        <f t="shared" si="0"/>
        <v>3.152678571428571</v>
      </c>
    </row>
    <row r="19" spans="1:4" x14ac:dyDescent="0.25">
      <c r="A19" t="s">
        <v>20</v>
      </c>
      <c r="B19">
        <f>SUMIFS(Antigua!$L:$L, Antigua!$B:$B, $A19, Antigua!$D:$D, "London") + SUMIFS(Barbados!$L:$L, Barbados!$B:$B, $A19, Barbados!$D:$D, "London") + SUMIFS(Bermuda!$L:$L, Bermuda!$B:$B, $A19, Bermuda!$D:$D, "London") + SUMIFS(Jamaica!$L:$L, Jamaica!$B:$B, $A19, Jamaica!$D:$D, "London") + SUMIFS(Mountserat!$L:$L, Mountserat!$B:$B, $A19, Mountserat!$D:$D, "London") + SUMIFS(Nevis!$L:$L, Nevis!$B:$B, $A19, Nevis!$D:$D, "London") + SUMIFS('St Kitts'!$L:$L, 'St Kitts'!$B:$B, $A19, 'St Kitts'!$D:$D, "London")</f>
        <v>10.848660714285714</v>
      </c>
      <c r="C19">
        <f>SUMIFS(Antigua!$L:$L, Antigua!$B:$B, $A19, Antigua!$D:$D, "Out Ports") + SUMIFS(Barbados!$L:$L, Barbados!$B:$B, $A19, Barbados!$D:$D, "Out Ports") + SUMIFS(Bermuda!$L:$L, Bermuda!$B:$B, $A19, Bermuda!$D:$D, "Out Ports") + SUMIFS(Jamaica!$L:$L, Jamaica!$B:$B, $A19, Jamaica!$D:$D, "Out Ports") + SUMIFS(Mountserat!$L:$L, Mountserat!$B:$B, $A19, Mountserat!$D:$D, "Out Ports") + SUMIFS(Nevis!$L:$L, Nevis!$B:$B, $A19, Nevis!$D:$D, "Out Ports") + SUMIFS('St Kitts'!$L:$L, 'St Kitts'!$B:$B, $A19, 'St Kitts'!$D:$D, "Out Ports")</f>
        <v>46.883928571428569</v>
      </c>
      <c r="D19">
        <f t="shared" si="0"/>
        <v>57.732589285714283</v>
      </c>
    </row>
    <row r="20" spans="1:4" x14ac:dyDescent="0.25">
      <c r="A20" t="s">
        <v>21</v>
      </c>
      <c r="B20">
        <f>SUMIFS(Antigua!$L:$L, Antigua!$B:$B, $A20, Antigua!$D:$D, "London") + SUMIFS(Barbados!$L:$L, Barbados!$B:$B, $A20, Barbados!$D:$D, "London") + SUMIFS(Bermuda!$L:$L, Bermuda!$B:$B, $A20, Bermuda!$D:$D, "London") + SUMIFS(Jamaica!$L:$L, Jamaica!$B:$B, $A20, Jamaica!$D:$D, "London") + SUMIFS(Mountserat!$L:$L, Mountserat!$B:$B, $A20, Mountserat!$D:$D, "London") + SUMIFS(Nevis!$L:$L, Nevis!$B:$B, $A20, Nevis!$D:$D, "London") + SUMIFS('St Kitts'!$L:$L, 'St Kitts'!$B:$B, $A20, 'St Kitts'!$D:$D, "London")</f>
        <v>2.5325892857142862</v>
      </c>
      <c r="C20">
        <f>SUMIFS(Antigua!$L:$L, Antigua!$B:$B, $A20, Antigua!$D:$D, "Out Ports") + SUMIFS(Barbados!$L:$L, Barbados!$B:$B, $A20, Barbados!$D:$D, "Out Ports") + SUMIFS(Bermuda!$L:$L, Bermuda!$B:$B, $A20, Bermuda!$D:$D, "Out Ports") + SUMIFS(Jamaica!$L:$L, Jamaica!$B:$B, $A20, Jamaica!$D:$D, "Out Ports") + SUMIFS(Mountserat!$L:$L, Mountserat!$B:$B, $A20, Mountserat!$D:$D, "Out Ports") + SUMIFS(Nevis!$L:$L, Nevis!$B:$B, $A20, Nevis!$D:$D, "Out Ports") + SUMIFS('St Kitts'!$L:$L, 'St Kitts'!$B:$B, $A20, 'St Kitts'!$D:$D, "Out Ports")</f>
        <v>0.19553571428571428</v>
      </c>
      <c r="D20">
        <f t="shared" si="0"/>
        <v>2.7281250000000004</v>
      </c>
    </row>
    <row r="21" spans="1:4" x14ac:dyDescent="0.25">
      <c r="A21" t="s">
        <v>22</v>
      </c>
      <c r="B21">
        <f>SUMIFS(Antigua!$L:$L, Antigua!$B:$B, $A21, Antigua!$D:$D, "London") + SUMIFS(Barbados!$L:$L, Barbados!$B:$B, $A21, Barbados!$D:$D, "London") + SUMIFS(Bermuda!$L:$L, Bermuda!$B:$B, $A21, Bermuda!$D:$D, "London") + SUMIFS(Jamaica!$L:$L, Jamaica!$B:$B, $A21, Jamaica!$D:$D, "London") + SUMIFS(Mountserat!$L:$L, Mountserat!$B:$B, $A21, Mountserat!$D:$D, "London") + SUMIFS(Nevis!$L:$L, Nevis!$B:$B, $A21, Nevis!$D:$D, "London") + SUMIFS('St Kitts'!$L:$L, 'St Kitts'!$B:$B, $A21, 'St Kitts'!$D:$D, "London")</f>
        <v>0</v>
      </c>
      <c r="C21">
        <f>SUMIFS(Antigua!$L:$L, Antigua!$B:$B, $A21, Antigua!$D:$D, "Out Ports") + SUMIFS(Barbados!$L:$L, Barbados!$B:$B, $A21, Barbados!$D:$D, "Out Ports") + SUMIFS(Bermuda!$L:$L, Bermuda!$B:$B, $A21, Bermuda!$D:$D, "Out Ports") + SUMIFS(Jamaica!$L:$L, Jamaica!$B:$B, $A21, Jamaica!$D:$D, "Out Ports") + SUMIFS(Mountserat!$L:$L, Mountserat!$B:$B, $A21, Mountserat!$D:$D, "Out Ports") + SUMIFS(Nevis!$L:$L, Nevis!$B:$B, $A21, Nevis!$D:$D, "Out Ports") + SUMIFS('St Kitts'!$L:$L, 'St Kitts'!$B:$B, $A21, 'St Kitts'!$D:$D, "Out Ports")</f>
        <v>2.9017857142857144E-3</v>
      </c>
      <c r="D21">
        <f t="shared" si="0"/>
        <v>2.9017857142857144E-3</v>
      </c>
    </row>
    <row r="22" spans="1:4" x14ac:dyDescent="0.25">
      <c r="A22" t="s">
        <v>23</v>
      </c>
      <c r="B22">
        <f>SUMIFS(Antigua!$L:$L, Antigua!$B:$B, $A22, Antigua!$D:$D, "London") + SUMIFS(Barbados!$L:$L, Barbados!$B:$B, $A22, Barbados!$D:$D, "London") + SUMIFS(Bermuda!$L:$L, Bermuda!$B:$B, $A22, Bermuda!$D:$D, "London") + SUMIFS(Jamaica!$L:$L, Jamaica!$B:$B, $A22, Jamaica!$D:$D, "London") + SUMIFS(Mountserat!$L:$L, Mountserat!$B:$B, $A22, Mountserat!$D:$D, "London") + SUMIFS(Nevis!$L:$L, Nevis!$B:$B, $A22, Nevis!$D:$D, "London") + SUMIFS('St Kitts'!$L:$L, 'St Kitts'!$B:$B, $A22, 'St Kitts'!$D:$D, "London")</f>
        <v>0</v>
      </c>
      <c r="C22">
        <f>SUMIFS(Antigua!$L:$L, Antigua!$B:$B, $A22, Antigua!$D:$D, "Out Ports") + SUMIFS(Barbados!$L:$L, Barbados!$B:$B, $A22, Barbados!$D:$D, "Out Ports") + SUMIFS(Bermuda!$L:$L, Bermuda!$B:$B, $A22, Bermuda!$D:$D, "Out Ports") + SUMIFS(Jamaica!$L:$L, Jamaica!$B:$B, $A22, Jamaica!$D:$D, "Out Ports") + SUMIFS(Mountserat!$L:$L, Mountserat!$B:$B, $A22, Mountserat!$D:$D, "Out Ports") + SUMIFS(Nevis!$L:$L, Nevis!$B:$B, $A22, Nevis!$D:$D, "Out Ports") + SUMIFS('St Kitts'!$L:$L, 'St Kitts'!$B:$B, $A22, 'St Kitts'!$D:$D, "Out Ports")</f>
        <v>0</v>
      </c>
      <c r="D22">
        <f t="shared" si="0"/>
        <v>0</v>
      </c>
    </row>
    <row r="23" spans="1:4" x14ac:dyDescent="0.25">
      <c r="A23" t="s">
        <v>24</v>
      </c>
      <c r="B23">
        <f>SUMIFS(Antigua!$L:$L, Antigua!$B:$B, $A23, Antigua!$D:$D, "London") + SUMIFS(Barbados!$L:$L, Barbados!$B:$B, $A23, Barbados!$D:$D, "London") + SUMIFS(Bermuda!$L:$L, Bermuda!$B:$B, $A23, Bermuda!$D:$D, "London") + SUMIFS(Jamaica!$L:$L, Jamaica!$B:$B, $A23, Jamaica!$D:$D, "London") + SUMIFS(Mountserat!$L:$L, Mountserat!$B:$B, $A23, Mountserat!$D:$D, "London") + SUMIFS(Nevis!$L:$L, Nevis!$B:$B, $A23, Nevis!$D:$D, "London") + SUMIFS('St Kitts'!$L:$L, 'St Kitts'!$B:$B, $A23, 'St Kitts'!$D:$D, "London")</f>
        <v>0</v>
      </c>
      <c r="C23">
        <f>SUMIFS(Antigua!$L:$L, Antigua!$B:$B, $A23, Antigua!$D:$D, "Out Ports") + SUMIFS(Barbados!$L:$L, Barbados!$B:$B, $A23, Barbados!$D:$D, "Out Ports") + SUMIFS(Bermuda!$L:$L, Bermuda!$B:$B, $A23, Bermuda!$D:$D, "Out Ports") + SUMIFS(Jamaica!$L:$L, Jamaica!$B:$B, $A23, Jamaica!$D:$D, "Out Ports") + SUMIFS(Mountserat!$L:$L, Mountserat!$B:$B, $A23, Mountserat!$D:$D, "Out Ports") + SUMIFS(Nevis!$L:$L, Nevis!$B:$B, $A23, Nevis!$D:$D, "Out Ports") + SUMIFS('St Kitts'!$L:$L, 'St Kitts'!$B:$B, $A23, 'St Kitts'!$D:$D, "Out Ports")</f>
        <v>0</v>
      </c>
      <c r="D23">
        <f t="shared" si="0"/>
        <v>0</v>
      </c>
    </row>
    <row r="24" spans="1:4" x14ac:dyDescent="0.25">
      <c r="A24" t="s">
        <v>25</v>
      </c>
      <c r="B24">
        <f>SUMIFS(Antigua!$L:$L, Antigua!$B:$B, $A24, Antigua!$D:$D, "London") + SUMIFS(Barbados!$L:$L, Barbados!$B:$B, $A24, Barbados!$D:$D, "London") + SUMIFS(Bermuda!$L:$L, Bermuda!$B:$B, $A24, Bermuda!$D:$D, "London") + SUMIFS(Jamaica!$L:$L, Jamaica!$B:$B, $A24, Jamaica!$D:$D, "London") + SUMIFS(Mountserat!$L:$L, Mountserat!$B:$B, $A24, Mountserat!$D:$D, "London") + SUMIFS(Nevis!$L:$L, Nevis!$B:$B, $A24, Nevis!$D:$D, "London") + SUMIFS('St Kitts'!$L:$L, 'St Kitts'!$B:$B, $A24, 'St Kitts'!$D:$D, "London")</f>
        <v>0</v>
      </c>
      <c r="C24">
        <f>SUMIFS(Antigua!$L:$L, Antigua!$B:$B, $A24, Antigua!$D:$D, "Out Ports") + SUMIFS(Barbados!$L:$L, Barbados!$B:$B, $A24, Barbados!$D:$D, "Out Ports") + SUMIFS(Bermuda!$L:$L, Bermuda!$B:$B, $A24, Bermuda!$D:$D, "Out Ports") + SUMIFS(Jamaica!$L:$L, Jamaica!$B:$B, $A24, Jamaica!$D:$D, "Out Ports") + SUMIFS(Mountserat!$L:$L, Mountserat!$B:$B, $A24, Mountserat!$D:$D, "Out Ports") + SUMIFS(Nevis!$L:$L, Nevis!$B:$B, $A24, Nevis!$D:$D, "Out Ports") + SUMIFS('St Kitts'!$L:$L, 'St Kitts'!$B:$B, $A24, 'St Kitts'!$D:$D, "Out Ports")</f>
        <v>0</v>
      </c>
      <c r="D24">
        <f t="shared" si="0"/>
        <v>0</v>
      </c>
    </row>
    <row r="25" spans="1:4" x14ac:dyDescent="0.25">
      <c r="A25" t="s">
        <v>26</v>
      </c>
      <c r="B25">
        <f>SUMIFS(Antigua!$L:$L, Antigua!$B:$B, $A25, Antigua!$D:$D, "London") + SUMIFS(Barbados!$L:$L, Barbados!$B:$B, $A25, Barbados!$D:$D, "London") + SUMIFS(Bermuda!$L:$L, Bermuda!$B:$B, $A25, Bermuda!$D:$D, "London") + SUMIFS(Jamaica!$L:$L, Jamaica!$B:$B, $A25, Jamaica!$D:$D, "London") + SUMIFS(Mountserat!$L:$L, Mountserat!$B:$B, $A25, Mountserat!$D:$D, "London") + SUMIFS(Nevis!$L:$L, Nevis!$B:$B, $A25, Nevis!$D:$D, "London") + SUMIFS('St Kitts'!$L:$L, 'St Kitts'!$B:$B, $A25, 'St Kitts'!$D:$D, "London")</f>
        <v>0</v>
      </c>
      <c r="C25">
        <f>SUMIFS(Antigua!$L:$L, Antigua!$B:$B, $A25, Antigua!$D:$D, "Out Ports") + SUMIFS(Barbados!$L:$L, Barbados!$B:$B, $A25, Barbados!$D:$D, "Out Ports") + SUMIFS(Bermuda!$L:$L, Bermuda!$B:$B, $A25, Bermuda!$D:$D, "Out Ports") + SUMIFS(Jamaica!$L:$L, Jamaica!$B:$B, $A25, Jamaica!$D:$D, "Out Ports") + SUMIFS(Mountserat!$L:$L, Mountserat!$B:$B, $A25, Mountserat!$D:$D, "Out Ports") + SUMIFS(Nevis!$L:$L, Nevis!$B:$B, $A25, Nevis!$D:$D, "Out Ports") + SUMIFS('St Kitts'!$L:$L, 'St Kitts'!$B:$B, $A25, 'St Kitts'!$D:$D, "Out Ports")</f>
        <v>0</v>
      </c>
      <c r="D25">
        <f t="shared" si="0"/>
        <v>0</v>
      </c>
    </row>
    <row r="26" spans="1:4" x14ac:dyDescent="0.25">
      <c r="A26" t="s">
        <v>27</v>
      </c>
      <c r="B26">
        <f>SUMIFS(Antigua!$L:$L, Antigua!$B:$B, $A26, Antigua!$D:$D, "London") + SUMIFS(Barbados!$L:$L, Barbados!$B:$B, $A26, Barbados!$D:$D, "London") + SUMIFS(Bermuda!$L:$L, Bermuda!$B:$B, $A26, Bermuda!$D:$D, "London") + SUMIFS(Jamaica!$L:$L, Jamaica!$B:$B, $A26, Jamaica!$D:$D, "London") + SUMIFS(Mountserat!$L:$L, Mountserat!$B:$B, $A26, Mountserat!$D:$D, "London") + SUMIFS(Nevis!$L:$L, Nevis!$B:$B, $A26, Nevis!$D:$D, "London") + SUMIFS('St Kitts'!$L:$L, 'St Kitts'!$B:$B, $A26, 'St Kitts'!$D:$D, "London")</f>
        <v>185.40580357142855</v>
      </c>
      <c r="C26">
        <f>SUMIFS(Antigua!$L:$L, Antigua!$B:$B, $A26, Antigua!$D:$D, "Out Ports") + SUMIFS(Barbados!$L:$L, Barbados!$B:$B, $A26, Barbados!$D:$D, "Out Ports") + SUMIFS(Bermuda!$L:$L, Bermuda!$B:$B, $A26, Bermuda!$D:$D, "Out Ports") + SUMIFS(Jamaica!$L:$L, Jamaica!$B:$B, $A26, Jamaica!$D:$D, "Out Ports") + SUMIFS(Mountserat!$L:$L, Mountserat!$B:$B, $A26, Mountserat!$D:$D, "Out Ports") + SUMIFS(Nevis!$L:$L, Nevis!$B:$B, $A26, Nevis!$D:$D, "Out Ports") + SUMIFS('St Kitts'!$L:$L, 'St Kitts'!$B:$B, $A26, 'St Kitts'!$D:$D, "Out Ports")</f>
        <v>48.507142857142853</v>
      </c>
      <c r="D26">
        <f t="shared" si="0"/>
        <v>233.91294642857139</v>
      </c>
    </row>
    <row r="27" spans="1:4" x14ac:dyDescent="0.25">
      <c r="A27" t="s">
        <v>62</v>
      </c>
      <c r="B27">
        <f>SUMIFS(Antigua!$L:$L, Antigua!$B:$B, $A27, Antigua!$D:$D, "London") + SUMIFS(Barbados!$L:$L, Barbados!$B:$B, $A27, Barbados!$D:$D, "London") + SUMIFS(Bermuda!$L:$L, Bermuda!$B:$B, $A27, Bermuda!$D:$D, "London") + SUMIFS(Jamaica!$L:$L, Jamaica!$B:$B, $A27, Jamaica!$D:$D, "London") + SUMIFS(Mountserat!$L:$L, Mountserat!$B:$B, $A27, Mountserat!$D:$D, "London") + SUMIFS(Nevis!$L:$L, Nevis!$B:$B, $A27, Nevis!$D:$D, "London") + SUMIFS('St Kitts'!$L:$L, 'St Kitts'!$B:$B, $A27, 'St Kitts'!$D:$D, "London")</f>
        <v>3.4250000000000003</v>
      </c>
      <c r="C27">
        <f>SUMIFS(Antigua!$L:$L, Antigua!$B:$B, $A27, Antigua!$D:$D, "Out Ports") + SUMIFS(Barbados!$L:$L, Barbados!$B:$B, $A27, Barbados!$D:$D, "Out Ports") + SUMIFS(Bermuda!$L:$L, Bermuda!$B:$B, $A27, Bermuda!$D:$D, "Out Ports") + SUMIFS(Jamaica!$L:$L, Jamaica!$B:$B, $A27, Jamaica!$D:$D, "Out Ports") + SUMIFS(Mountserat!$L:$L, Mountserat!$B:$B, $A27, Mountserat!$D:$D, "Out Ports") + SUMIFS(Nevis!$L:$L, Nevis!$B:$B, $A27, Nevis!$D:$D, "Out Ports") + SUMIFS('St Kitts'!$L:$L, 'St Kitts'!$B:$B, $A27, 'St Kitts'!$D:$D, "Out Ports")</f>
        <v>0</v>
      </c>
      <c r="D27">
        <f t="shared" si="0"/>
        <v>3.4250000000000003</v>
      </c>
    </row>
    <row r="28" spans="1:4" x14ac:dyDescent="0.25">
      <c r="A28" t="s">
        <v>63</v>
      </c>
      <c r="B28">
        <f>SUMIFS(Antigua!$L:$L, Antigua!$B:$B, $A28, Antigua!$D:$D, "London") + SUMIFS(Barbados!$L:$L, Barbados!$B:$B, $A28, Barbados!$D:$D, "London") + SUMIFS(Bermuda!$L:$L, Bermuda!$B:$B, $A28, Bermuda!$D:$D, "London") + SUMIFS(Jamaica!$L:$L, Jamaica!$B:$B, $A28, Jamaica!$D:$D, "London") + SUMIFS(Mountserat!$L:$L, Mountserat!$B:$B, $A28, Mountserat!$D:$D, "London") + SUMIFS(Nevis!$L:$L, Nevis!$B:$B, $A28, Nevis!$D:$D, "London") + SUMIFS('St Kitts'!$L:$L, 'St Kitts'!$B:$B, $A28, 'St Kitts'!$D:$D, "London")</f>
        <v>319.56160714285716</v>
      </c>
      <c r="C28">
        <f>SUMIFS(Antigua!$L:$L, Antigua!$B:$B, $A28, Antigua!$D:$D, "Out Ports") + SUMIFS(Barbados!$L:$L, Barbados!$B:$B, $A28, Barbados!$D:$D, "Out Ports") + SUMIFS(Bermuda!$L:$L, Bermuda!$B:$B, $A28, Bermuda!$D:$D, "Out Ports") + SUMIFS(Jamaica!$L:$L, Jamaica!$B:$B, $A28, Jamaica!$D:$D, "Out Ports") + SUMIFS(Mountserat!$L:$L, Mountserat!$B:$B, $A28, Mountserat!$D:$D, "Out Ports") + SUMIFS(Nevis!$L:$L, Nevis!$B:$B, $A28, Nevis!$D:$D, "Out Ports") + SUMIFS('St Kitts'!$L:$L, 'St Kitts'!$B:$B, $A28, 'St Kitts'!$D:$D, "Out Ports")</f>
        <v>165.95491071428572</v>
      </c>
      <c r="D28">
        <f t="shared" si="0"/>
        <v>485.51651785714284</v>
      </c>
    </row>
    <row r="29" spans="1:4" x14ac:dyDescent="0.25">
      <c r="A29" t="s">
        <v>64</v>
      </c>
      <c r="B29">
        <f>SUMIFS(Antigua!$L:$L, Antigua!$B:$B, $A29, Antigua!$D:$D, "London") + SUMIFS(Barbados!$L:$L, Barbados!$B:$B, $A29, Barbados!$D:$D, "London") + SUMIFS(Bermuda!$L:$L, Bermuda!$B:$B, $A29, Bermuda!$D:$D, "London") + SUMIFS(Jamaica!$L:$L, Jamaica!$B:$B, $A29, Jamaica!$D:$D, "London") + SUMIFS(Mountserat!$L:$L, Mountserat!$B:$B, $A29, Mountserat!$D:$D, "London") + SUMIFS(Nevis!$L:$L, Nevis!$B:$B, $A29, Nevis!$D:$D, "London") + SUMIFS('St Kitts'!$L:$L, 'St Kitts'!$B:$B, $A29, 'St Kitts'!$D:$D, "London")</f>
        <v>241.96741071428571</v>
      </c>
      <c r="C29">
        <f>SUMIFS(Antigua!$L:$L, Antigua!$B:$B, $A29, Antigua!$D:$D, "Out Ports") + SUMIFS(Barbados!$L:$L, Barbados!$B:$B, $A29, Barbados!$D:$D, "Out Ports") + SUMIFS(Bermuda!$L:$L, Bermuda!$B:$B, $A29, Bermuda!$D:$D, "Out Ports") + SUMIFS(Jamaica!$L:$L, Jamaica!$B:$B, $A29, Jamaica!$D:$D, "Out Ports") + SUMIFS(Mountserat!$L:$L, Mountserat!$B:$B, $A29, Mountserat!$D:$D, "Out Ports") + SUMIFS(Nevis!$L:$L, Nevis!$B:$B, $A29, Nevis!$D:$D, "Out Ports") + SUMIFS('St Kitts'!$L:$L, 'St Kitts'!$B:$B, $A29, 'St Kitts'!$D:$D, "Out Ports")</f>
        <v>231.81294642857142</v>
      </c>
      <c r="D29">
        <f t="shared" si="0"/>
        <v>473.78035714285716</v>
      </c>
    </row>
    <row r="30" spans="1:4" x14ac:dyDescent="0.25">
      <c r="A30" t="s">
        <v>65</v>
      </c>
      <c r="B30">
        <f>SUMIFS(Antigua!$L:$L, Antigua!$B:$B, $A30, Antigua!$D:$D, "London") + SUMIFS(Barbados!$L:$L, Barbados!$B:$B, $A30, Barbados!$D:$D, "London") + SUMIFS(Bermuda!$L:$L, Bermuda!$B:$B, $A30, Bermuda!$D:$D, "London") + SUMIFS(Jamaica!$L:$L, Jamaica!$B:$B, $A30, Jamaica!$D:$D, "London") + SUMIFS(Mountserat!$L:$L, Mountserat!$B:$B, $A30, Mountserat!$D:$D, "London") + SUMIFS(Nevis!$L:$L, Nevis!$B:$B, $A30, Nevis!$D:$D, "London") + SUMIFS('St Kitts'!$L:$L, 'St Kitts'!$B:$B, $A30, 'St Kitts'!$D:$D, "London")</f>
        <v>4</v>
      </c>
      <c r="C30">
        <f>SUMIFS(Antigua!$L:$L, Antigua!$B:$B, $A30, Antigua!$D:$D, "Out Ports") + SUMIFS(Barbados!$L:$L, Barbados!$B:$B, $A30, Barbados!$D:$D, "Out Ports") + SUMIFS(Bermuda!$L:$L, Bermuda!$B:$B, $A30, Bermuda!$D:$D, "Out Ports") + SUMIFS(Jamaica!$L:$L, Jamaica!$B:$B, $A30, Jamaica!$D:$D, "Out Ports") + SUMIFS(Mountserat!$L:$L, Mountserat!$B:$B, $A30, Mountserat!$D:$D, "Out Ports") + SUMIFS(Nevis!$L:$L, Nevis!$B:$B, $A30, Nevis!$D:$D, "Out Ports") + SUMIFS('St Kitts'!$L:$L, 'St Kitts'!$B:$B, $A30, 'St Kitts'!$D:$D, "Out Ports")</f>
        <v>69.835267857142867</v>
      </c>
      <c r="D30">
        <f t="shared" si="0"/>
        <v>73.835267857142867</v>
      </c>
    </row>
    <row r="31" spans="1:4" x14ac:dyDescent="0.25">
      <c r="A31" t="s">
        <v>66</v>
      </c>
      <c r="B31">
        <f>SUMIFS(Antigua!$L:$L, Antigua!$B:$B, $A31, Antigua!$D:$D, "London") + SUMIFS(Barbados!$L:$L, Barbados!$B:$B, $A31, Barbados!$D:$D, "London") + SUMIFS(Bermuda!$L:$L, Bermuda!$B:$B, $A31, Bermuda!$D:$D, "London") + SUMIFS(Jamaica!$L:$L, Jamaica!$B:$B, $A31, Jamaica!$D:$D, "London") + SUMIFS(Mountserat!$L:$L, Mountserat!$B:$B, $A31, Mountserat!$D:$D, "London") + SUMIFS(Nevis!$L:$L, Nevis!$B:$B, $A31, Nevis!$D:$D, "London") + SUMIFS('St Kitts'!$L:$L, 'St Kitts'!$B:$B, $A31, 'St Kitts'!$D:$D, "London")</f>
        <v>0</v>
      </c>
      <c r="C31">
        <f>SUMIFS(Antigua!$L:$L, Antigua!$B:$B, $A31, Antigua!$D:$D, "Out Ports") + SUMIFS(Barbados!$L:$L, Barbados!$B:$B, $A31, Barbados!$D:$D, "Out Ports") + SUMIFS(Bermuda!$L:$L, Bermuda!$B:$B, $A31, Bermuda!$D:$D, "Out Ports") + SUMIFS(Jamaica!$L:$L, Jamaica!$B:$B, $A31, Jamaica!$D:$D, "Out Ports") + SUMIFS(Mountserat!$L:$L, Mountserat!$B:$B, $A31, Mountserat!$D:$D, "Out Ports") + SUMIFS(Nevis!$L:$L, Nevis!$B:$B, $A31, Nevis!$D:$D, "Out Ports") + SUMIFS('St Kitts'!$L:$L, 'St Kitts'!$B:$B, $A31, 'St Kitts'!$D:$D, "Out Ports")</f>
        <v>0</v>
      </c>
      <c r="D31">
        <f t="shared" si="0"/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3741A-C4CD-4212-8E63-66DBAEEBDB55}">
  <dimension ref="A1:O45"/>
  <sheetViews>
    <sheetView workbookViewId="0">
      <selection activeCell="H8" sqref="H8"/>
    </sheetView>
  </sheetViews>
  <sheetFormatPr defaultRowHeight="15" x14ac:dyDescent="0.25"/>
  <cols>
    <col min="2" max="3" width="17.5703125" customWidth="1"/>
    <col min="4" max="4" width="11.28515625" customWidth="1"/>
    <col min="5" max="5" width="11.7109375" customWidth="1"/>
    <col min="6" max="6" width="11.85546875" customWidth="1"/>
    <col min="7" max="7" width="11.140625" customWidth="1"/>
    <col min="8" max="9" width="18.42578125" customWidth="1"/>
  </cols>
  <sheetData>
    <row r="1" spans="1:15" x14ac:dyDescent="0.25">
      <c r="A1" s="1" t="s">
        <v>49</v>
      </c>
      <c r="B1" s="1" t="s">
        <v>50</v>
      </c>
      <c r="C1" s="1" t="s">
        <v>51</v>
      </c>
      <c r="D1" s="1" t="s">
        <v>52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53</v>
      </c>
      <c r="O1" s="1"/>
    </row>
    <row r="2" spans="1:15" x14ac:dyDescent="0.25">
      <c r="A2">
        <v>1730</v>
      </c>
      <c r="B2" t="s">
        <v>4</v>
      </c>
      <c r="C2" t="s">
        <v>54</v>
      </c>
      <c r="D2" t="s">
        <v>33</v>
      </c>
      <c r="J2">
        <f t="shared" ref="J2:J45" si="0">(E2*2240)+(F2*112)+(G2*28)+H2</f>
        <v>0</v>
      </c>
      <c r="L2">
        <f t="shared" ref="L2:L45" si="1">J2/2240</f>
        <v>0</v>
      </c>
    </row>
    <row r="3" spans="1:15" x14ac:dyDescent="0.25">
      <c r="A3">
        <v>1730</v>
      </c>
      <c r="B3" t="s">
        <v>5</v>
      </c>
      <c r="C3" t="s">
        <v>54</v>
      </c>
      <c r="D3" t="s">
        <v>33</v>
      </c>
      <c r="F3">
        <v>108</v>
      </c>
      <c r="G3">
        <v>1</v>
      </c>
      <c r="H3">
        <v>16</v>
      </c>
      <c r="J3">
        <f t="shared" si="0"/>
        <v>12140</v>
      </c>
      <c r="L3">
        <f t="shared" si="1"/>
        <v>5.4196428571428568</v>
      </c>
    </row>
    <row r="4" spans="1:15" x14ac:dyDescent="0.25">
      <c r="A4">
        <v>1730</v>
      </c>
      <c r="B4" t="s">
        <v>6</v>
      </c>
      <c r="C4" t="s">
        <v>54</v>
      </c>
      <c r="D4" t="s">
        <v>33</v>
      </c>
      <c r="F4">
        <v>154347</v>
      </c>
      <c r="G4">
        <v>1</v>
      </c>
      <c r="H4">
        <v>17</v>
      </c>
      <c r="J4">
        <f t="shared" si="0"/>
        <v>17286909</v>
      </c>
      <c r="L4">
        <f t="shared" si="1"/>
        <v>7717.3700892857141</v>
      </c>
    </row>
    <row r="5" spans="1:15" x14ac:dyDescent="0.25">
      <c r="A5">
        <v>1730</v>
      </c>
      <c r="B5" t="s">
        <v>7</v>
      </c>
      <c r="C5" t="s">
        <v>54</v>
      </c>
      <c r="D5" t="s">
        <v>33</v>
      </c>
      <c r="J5">
        <f t="shared" si="0"/>
        <v>0</v>
      </c>
      <c r="L5">
        <f t="shared" si="1"/>
        <v>0</v>
      </c>
    </row>
    <row r="6" spans="1:15" x14ac:dyDescent="0.25">
      <c r="A6">
        <v>1730</v>
      </c>
      <c r="B6" t="s">
        <v>8</v>
      </c>
      <c r="C6" t="s">
        <v>54</v>
      </c>
      <c r="D6" t="s">
        <v>33</v>
      </c>
      <c r="F6">
        <v>3</v>
      </c>
      <c r="G6">
        <v>3</v>
      </c>
      <c r="J6">
        <f t="shared" si="0"/>
        <v>420</v>
      </c>
      <c r="L6">
        <f t="shared" si="1"/>
        <v>0.1875</v>
      </c>
    </row>
    <row r="7" spans="1:15" x14ac:dyDescent="0.25">
      <c r="A7">
        <v>1730</v>
      </c>
      <c r="B7" t="s">
        <v>9</v>
      </c>
      <c r="C7" t="s">
        <v>54</v>
      </c>
      <c r="D7" t="s">
        <v>33</v>
      </c>
      <c r="H7">
        <f>196.25*200</f>
        <v>39250</v>
      </c>
      <c r="I7" t="s">
        <v>78</v>
      </c>
      <c r="J7">
        <f t="shared" si="0"/>
        <v>39250</v>
      </c>
      <c r="L7">
        <f t="shared" si="1"/>
        <v>17.522321428571427</v>
      </c>
    </row>
    <row r="8" spans="1:15" x14ac:dyDescent="0.25">
      <c r="A8">
        <v>1730</v>
      </c>
      <c r="B8" t="s">
        <v>10</v>
      </c>
      <c r="C8" t="s">
        <v>54</v>
      </c>
      <c r="D8" t="s">
        <v>33</v>
      </c>
      <c r="F8">
        <v>278</v>
      </c>
      <c r="H8">
        <v>19</v>
      </c>
      <c r="J8">
        <f t="shared" si="0"/>
        <v>31155</v>
      </c>
      <c r="L8">
        <f t="shared" si="1"/>
        <v>13.908482142857142</v>
      </c>
    </row>
    <row r="9" spans="1:15" x14ac:dyDescent="0.25">
      <c r="A9">
        <v>1730</v>
      </c>
      <c r="B9" t="s">
        <v>11</v>
      </c>
      <c r="C9" t="s">
        <v>54</v>
      </c>
      <c r="D9" t="s">
        <v>33</v>
      </c>
      <c r="F9">
        <v>100</v>
      </c>
      <c r="G9">
        <v>2</v>
      </c>
      <c r="H9">
        <v>18</v>
      </c>
      <c r="J9">
        <f t="shared" si="0"/>
        <v>11274</v>
      </c>
      <c r="L9">
        <f t="shared" si="1"/>
        <v>5.0330357142857141</v>
      </c>
    </row>
    <row r="10" spans="1:15" x14ac:dyDescent="0.25">
      <c r="A10">
        <v>1730</v>
      </c>
      <c r="B10" t="s">
        <v>40</v>
      </c>
      <c r="C10" t="s">
        <v>54</v>
      </c>
      <c r="D10" t="s">
        <v>33</v>
      </c>
      <c r="J10">
        <f t="shared" si="0"/>
        <v>0</v>
      </c>
      <c r="L10">
        <f t="shared" si="1"/>
        <v>0</v>
      </c>
    </row>
    <row r="11" spans="1:15" x14ac:dyDescent="0.25">
      <c r="A11">
        <v>1730</v>
      </c>
      <c r="B11" t="s">
        <v>12</v>
      </c>
      <c r="C11" t="s">
        <v>54</v>
      </c>
      <c r="D11" t="s">
        <v>33</v>
      </c>
      <c r="H11">
        <v>26</v>
      </c>
      <c r="J11">
        <f t="shared" si="0"/>
        <v>26</v>
      </c>
      <c r="L11">
        <f t="shared" si="1"/>
        <v>1.1607142857142858E-2</v>
      </c>
    </row>
    <row r="12" spans="1:15" x14ac:dyDescent="0.25">
      <c r="A12">
        <v>1730</v>
      </c>
      <c r="B12" t="s">
        <v>34</v>
      </c>
      <c r="C12" t="s">
        <v>54</v>
      </c>
      <c r="D12" t="s">
        <v>33</v>
      </c>
      <c r="J12">
        <f t="shared" si="0"/>
        <v>0</v>
      </c>
      <c r="L12">
        <f t="shared" si="1"/>
        <v>0</v>
      </c>
    </row>
    <row r="13" spans="1:15" x14ac:dyDescent="0.25">
      <c r="A13">
        <v>1730</v>
      </c>
      <c r="B13" t="s">
        <v>13</v>
      </c>
      <c r="C13" t="s">
        <v>54</v>
      </c>
      <c r="D13" t="s">
        <v>33</v>
      </c>
      <c r="E13">
        <v>1</v>
      </c>
      <c r="J13">
        <f t="shared" si="0"/>
        <v>2240</v>
      </c>
      <c r="L13">
        <f t="shared" si="1"/>
        <v>1</v>
      </c>
    </row>
    <row r="14" spans="1:15" x14ac:dyDescent="0.25">
      <c r="A14">
        <v>1730</v>
      </c>
      <c r="B14" t="s">
        <v>14</v>
      </c>
      <c r="C14" t="s">
        <v>54</v>
      </c>
      <c r="D14" t="s">
        <v>33</v>
      </c>
      <c r="J14">
        <f t="shared" si="0"/>
        <v>0</v>
      </c>
      <c r="L14">
        <f t="shared" si="1"/>
        <v>0</v>
      </c>
    </row>
    <row r="15" spans="1:15" x14ac:dyDescent="0.25">
      <c r="A15">
        <v>1730</v>
      </c>
      <c r="B15" t="s">
        <v>27</v>
      </c>
      <c r="C15" t="s">
        <v>54</v>
      </c>
      <c r="D15" t="s">
        <v>33</v>
      </c>
      <c r="H15">
        <v>76461</v>
      </c>
      <c r="I15" t="s">
        <v>77</v>
      </c>
      <c r="J15">
        <f t="shared" si="0"/>
        <v>76461</v>
      </c>
      <c r="L15">
        <f t="shared" si="1"/>
        <v>34.134374999999999</v>
      </c>
    </row>
    <row r="16" spans="1:15" x14ac:dyDescent="0.25">
      <c r="A16">
        <v>1730</v>
      </c>
      <c r="B16" t="s">
        <v>15</v>
      </c>
      <c r="C16" t="s">
        <v>54</v>
      </c>
      <c r="D16" t="s">
        <v>33</v>
      </c>
      <c r="E16">
        <v>1</v>
      </c>
      <c r="F16">
        <v>10</v>
      </c>
      <c r="J16">
        <f t="shared" si="0"/>
        <v>3360</v>
      </c>
      <c r="L16">
        <f t="shared" si="1"/>
        <v>1.5</v>
      </c>
    </row>
    <row r="17" spans="1:12" x14ac:dyDescent="0.25">
      <c r="A17">
        <v>1730</v>
      </c>
      <c r="B17" t="s">
        <v>48</v>
      </c>
      <c r="C17" t="s">
        <v>54</v>
      </c>
      <c r="D17" t="s">
        <v>33</v>
      </c>
      <c r="J17">
        <f t="shared" si="0"/>
        <v>0</v>
      </c>
      <c r="L17">
        <f t="shared" si="1"/>
        <v>0</v>
      </c>
    </row>
    <row r="18" spans="1:12" x14ac:dyDescent="0.25">
      <c r="A18">
        <v>1730</v>
      </c>
      <c r="B18" t="s">
        <v>18</v>
      </c>
      <c r="C18" t="s">
        <v>54</v>
      </c>
      <c r="D18" t="s">
        <v>33</v>
      </c>
      <c r="J18">
        <f t="shared" si="0"/>
        <v>0</v>
      </c>
      <c r="L18">
        <f t="shared" si="1"/>
        <v>0</v>
      </c>
    </row>
    <row r="19" spans="1:12" x14ac:dyDescent="0.25">
      <c r="A19">
        <v>1730</v>
      </c>
      <c r="B19" t="s">
        <v>19</v>
      </c>
      <c r="C19" t="s">
        <v>54</v>
      </c>
      <c r="D19" t="s">
        <v>33</v>
      </c>
      <c r="F19">
        <v>14</v>
      </c>
      <c r="G19">
        <v>2</v>
      </c>
      <c r="H19">
        <v>11</v>
      </c>
      <c r="J19">
        <f t="shared" si="0"/>
        <v>1635</v>
      </c>
      <c r="L19">
        <f t="shared" si="1"/>
        <v>0.7299107142857143</v>
      </c>
    </row>
    <row r="20" spans="1:12" x14ac:dyDescent="0.25">
      <c r="A20">
        <v>1730</v>
      </c>
      <c r="B20" t="s">
        <v>55</v>
      </c>
      <c r="C20" t="s">
        <v>54</v>
      </c>
      <c r="D20" t="s">
        <v>33</v>
      </c>
      <c r="H20">
        <v>321</v>
      </c>
      <c r="J20">
        <f t="shared" si="0"/>
        <v>321</v>
      </c>
      <c r="L20">
        <f t="shared" si="1"/>
        <v>0.14330357142857142</v>
      </c>
    </row>
    <row r="21" spans="1:12" x14ac:dyDescent="0.25">
      <c r="A21">
        <v>1730</v>
      </c>
      <c r="B21" t="s">
        <v>20</v>
      </c>
      <c r="C21" t="s">
        <v>54</v>
      </c>
      <c r="D21" t="s">
        <v>33</v>
      </c>
      <c r="H21">
        <v>6014</v>
      </c>
      <c r="J21">
        <f t="shared" si="0"/>
        <v>6014</v>
      </c>
      <c r="L21">
        <f t="shared" si="1"/>
        <v>2.6848214285714285</v>
      </c>
    </row>
    <row r="22" spans="1:12" x14ac:dyDescent="0.25">
      <c r="A22">
        <v>1730</v>
      </c>
      <c r="B22" t="s">
        <v>21</v>
      </c>
      <c r="C22" t="s">
        <v>54</v>
      </c>
      <c r="D22" t="s">
        <v>33</v>
      </c>
      <c r="H22">
        <v>21</v>
      </c>
      <c r="J22">
        <f t="shared" si="0"/>
        <v>21</v>
      </c>
      <c r="L22">
        <f t="shared" si="1"/>
        <v>9.3749999999999997E-3</v>
      </c>
    </row>
    <row r="23" spans="1:12" x14ac:dyDescent="0.25">
      <c r="A23">
        <v>1730</v>
      </c>
      <c r="B23" t="s">
        <v>22</v>
      </c>
      <c r="C23" t="s">
        <v>54</v>
      </c>
      <c r="D23" t="s">
        <v>33</v>
      </c>
      <c r="J23">
        <f t="shared" si="0"/>
        <v>0</v>
      </c>
      <c r="L23">
        <f t="shared" si="1"/>
        <v>0</v>
      </c>
    </row>
    <row r="24" spans="1:12" x14ac:dyDescent="0.25">
      <c r="A24">
        <v>1730</v>
      </c>
      <c r="B24" t="s">
        <v>62</v>
      </c>
      <c r="C24" t="s">
        <v>54</v>
      </c>
      <c r="D24" t="s">
        <v>33</v>
      </c>
      <c r="F24">
        <v>12</v>
      </c>
      <c r="J24">
        <f t="shared" si="0"/>
        <v>1344</v>
      </c>
      <c r="L24">
        <f t="shared" si="1"/>
        <v>0.6</v>
      </c>
    </row>
    <row r="25" spans="1:12" x14ac:dyDescent="0.25">
      <c r="A25">
        <v>1730</v>
      </c>
      <c r="B25" t="s">
        <v>63</v>
      </c>
      <c r="C25" t="s">
        <v>54</v>
      </c>
      <c r="D25" t="s">
        <v>33</v>
      </c>
      <c r="F25">
        <v>19</v>
      </c>
      <c r="H25">
        <v>22</v>
      </c>
      <c r="J25">
        <f t="shared" si="0"/>
        <v>2150</v>
      </c>
      <c r="L25">
        <f t="shared" si="1"/>
        <v>0.9598214285714286</v>
      </c>
    </row>
    <row r="26" spans="1:12" x14ac:dyDescent="0.25">
      <c r="A26">
        <v>1730</v>
      </c>
      <c r="B26" t="s">
        <v>6</v>
      </c>
      <c r="C26" t="s">
        <v>54</v>
      </c>
      <c r="D26" t="s">
        <v>35</v>
      </c>
      <c r="F26">
        <v>27930</v>
      </c>
      <c r="H26">
        <v>26</v>
      </c>
      <c r="J26">
        <f t="shared" si="0"/>
        <v>3128186</v>
      </c>
      <c r="L26">
        <f t="shared" si="1"/>
        <v>1396.5116071428572</v>
      </c>
    </row>
    <row r="27" spans="1:12" x14ac:dyDescent="0.25">
      <c r="A27">
        <v>1730</v>
      </c>
      <c r="B27" t="s">
        <v>36</v>
      </c>
      <c r="C27" t="s">
        <v>54</v>
      </c>
      <c r="D27" t="s">
        <v>35</v>
      </c>
      <c r="J27">
        <f t="shared" si="0"/>
        <v>0</v>
      </c>
      <c r="L27">
        <f t="shared" si="1"/>
        <v>0</v>
      </c>
    </row>
    <row r="28" spans="1:12" x14ac:dyDescent="0.25">
      <c r="A28">
        <v>1730</v>
      </c>
      <c r="B28" t="s">
        <v>8</v>
      </c>
      <c r="C28" t="s">
        <v>54</v>
      </c>
      <c r="D28" t="s">
        <v>35</v>
      </c>
      <c r="J28">
        <f t="shared" si="0"/>
        <v>0</v>
      </c>
      <c r="L28">
        <f t="shared" si="1"/>
        <v>0</v>
      </c>
    </row>
    <row r="29" spans="1:12" x14ac:dyDescent="0.25">
      <c r="A29">
        <v>1730</v>
      </c>
      <c r="B29" t="s">
        <v>9</v>
      </c>
      <c r="C29" t="s">
        <v>54</v>
      </c>
      <c r="D29" t="s">
        <v>35</v>
      </c>
      <c r="H29">
        <v>302940</v>
      </c>
      <c r="J29">
        <f t="shared" si="0"/>
        <v>302940</v>
      </c>
      <c r="L29">
        <f t="shared" si="1"/>
        <v>135.24107142857142</v>
      </c>
    </row>
    <row r="30" spans="1:12" x14ac:dyDescent="0.25">
      <c r="A30">
        <v>1730</v>
      </c>
      <c r="B30" t="s">
        <v>10</v>
      </c>
      <c r="C30" t="s">
        <v>54</v>
      </c>
      <c r="D30" t="s">
        <v>35</v>
      </c>
      <c r="F30">
        <v>150</v>
      </c>
      <c r="G30">
        <v>2</v>
      </c>
      <c r="H30">
        <v>14</v>
      </c>
      <c r="J30">
        <f t="shared" si="0"/>
        <v>16870</v>
      </c>
      <c r="L30">
        <f t="shared" si="1"/>
        <v>7.53125</v>
      </c>
    </row>
    <row r="31" spans="1:12" x14ac:dyDescent="0.25">
      <c r="A31">
        <v>1730</v>
      </c>
      <c r="B31" t="s">
        <v>11</v>
      </c>
      <c r="C31" t="s">
        <v>54</v>
      </c>
      <c r="D31" t="s">
        <v>35</v>
      </c>
      <c r="F31">
        <v>13</v>
      </c>
      <c r="G31">
        <v>2</v>
      </c>
      <c r="H31">
        <v>15</v>
      </c>
      <c r="J31">
        <f t="shared" si="0"/>
        <v>1527</v>
      </c>
      <c r="L31">
        <f t="shared" si="1"/>
        <v>0.68169642857142854</v>
      </c>
    </row>
    <row r="32" spans="1:12" x14ac:dyDescent="0.25">
      <c r="A32">
        <v>1730</v>
      </c>
      <c r="B32" t="s">
        <v>40</v>
      </c>
      <c r="C32" t="s">
        <v>54</v>
      </c>
      <c r="D32" t="s">
        <v>35</v>
      </c>
      <c r="H32">
        <v>4</v>
      </c>
      <c r="J32">
        <f t="shared" si="0"/>
        <v>4</v>
      </c>
      <c r="L32">
        <f t="shared" si="1"/>
        <v>1.7857142857142857E-3</v>
      </c>
    </row>
    <row r="33" spans="1:12" x14ac:dyDescent="0.25">
      <c r="A33">
        <v>1730</v>
      </c>
      <c r="B33" t="s">
        <v>12</v>
      </c>
      <c r="C33" t="s">
        <v>54</v>
      </c>
      <c r="D33" t="s">
        <v>35</v>
      </c>
      <c r="H33">
        <v>200</v>
      </c>
      <c r="J33">
        <f t="shared" si="0"/>
        <v>200</v>
      </c>
      <c r="L33">
        <f t="shared" si="1"/>
        <v>8.9285714285714288E-2</v>
      </c>
    </row>
    <row r="34" spans="1:12" x14ac:dyDescent="0.25">
      <c r="A34">
        <v>1730</v>
      </c>
      <c r="B34" t="s">
        <v>13</v>
      </c>
      <c r="C34" t="s">
        <v>54</v>
      </c>
      <c r="D34" t="s">
        <v>35</v>
      </c>
      <c r="J34">
        <f t="shared" si="0"/>
        <v>0</v>
      </c>
      <c r="L34">
        <f t="shared" si="1"/>
        <v>0</v>
      </c>
    </row>
    <row r="35" spans="1:12" x14ac:dyDescent="0.25">
      <c r="A35">
        <v>1730</v>
      </c>
      <c r="B35" t="s">
        <v>14</v>
      </c>
      <c r="C35" t="s">
        <v>54</v>
      </c>
      <c r="D35" t="s">
        <v>35</v>
      </c>
      <c r="J35">
        <f t="shared" si="0"/>
        <v>0</v>
      </c>
      <c r="L35">
        <f t="shared" si="1"/>
        <v>0</v>
      </c>
    </row>
    <row r="36" spans="1:12" x14ac:dyDescent="0.25">
      <c r="A36">
        <v>1730</v>
      </c>
      <c r="B36" t="s">
        <v>27</v>
      </c>
      <c r="C36" t="s">
        <v>54</v>
      </c>
      <c r="D36" t="s">
        <v>35</v>
      </c>
      <c r="H36">
        <v>6338</v>
      </c>
      <c r="I36" t="s">
        <v>108</v>
      </c>
      <c r="J36">
        <f t="shared" si="0"/>
        <v>6338</v>
      </c>
      <c r="L36">
        <f t="shared" si="1"/>
        <v>2.8294642857142858</v>
      </c>
    </row>
    <row r="37" spans="1:12" x14ac:dyDescent="0.25">
      <c r="A37">
        <v>1730</v>
      </c>
      <c r="B37" t="s">
        <v>15</v>
      </c>
      <c r="C37" t="s">
        <v>54</v>
      </c>
      <c r="D37" t="s">
        <v>35</v>
      </c>
      <c r="F37">
        <v>17</v>
      </c>
      <c r="G37">
        <v>2</v>
      </c>
      <c r="H37">
        <v>27</v>
      </c>
      <c r="J37">
        <f t="shared" si="0"/>
        <v>1987</v>
      </c>
      <c r="L37">
        <f t="shared" si="1"/>
        <v>0.88705357142857144</v>
      </c>
    </row>
    <row r="38" spans="1:12" x14ac:dyDescent="0.25">
      <c r="A38">
        <v>1730</v>
      </c>
      <c r="B38" t="s">
        <v>17</v>
      </c>
      <c r="C38" t="s">
        <v>54</v>
      </c>
      <c r="D38" t="s">
        <v>35</v>
      </c>
      <c r="F38">
        <v>220</v>
      </c>
      <c r="G38">
        <v>1</v>
      </c>
      <c r="H38">
        <v>5</v>
      </c>
      <c r="J38">
        <f t="shared" si="0"/>
        <v>24673</v>
      </c>
      <c r="L38">
        <f t="shared" si="1"/>
        <v>11.014732142857143</v>
      </c>
    </row>
    <row r="39" spans="1:12" x14ac:dyDescent="0.25">
      <c r="A39">
        <v>1730</v>
      </c>
      <c r="B39" t="s">
        <v>18</v>
      </c>
      <c r="C39" t="s">
        <v>54</v>
      </c>
      <c r="D39" t="s">
        <v>35</v>
      </c>
      <c r="H39">
        <v>79045</v>
      </c>
      <c r="I39" t="s">
        <v>107</v>
      </c>
      <c r="J39">
        <f t="shared" si="0"/>
        <v>79045</v>
      </c>
      <c r="L39">
        <f t="shared" si="1"/>
        <v>35.287946428571431</v>
      </c>
    </row>
    <row r="40" spans="1:12" x14ac:dyDescent="0.25">
      <c r="A40">
        <v>1730</v>
      </c>
      <c r="B40" t="s">
        <v>19</v>
      </c>
      <c r="C40" t="s">
        <v>54</v>
      </c>
      <c r="D40" t="s">
        <v>35</v>
      </c>
      <c r="F40">
        <v>1</v>
      </c>
      <c r="G40">
        <v>3</v>
      </c>
      <c r="J40">
        <f t="shared" si="0"/>
        <v>196</v>
      </c>
      <c r="L40">
        <f t="shared" si="1"/>
        <v>8.7499999999999994E-2</v>
      </c>
    </row>
    <row r="41" spans="1:12" x14ac:dyDescent="0.25">
      <c r="A41">
        <v>1730</v>
      </c>
      <c r="B41" t="s">
        <v>55</v>
      </c>
      <c r="C41" t="s">
        <v>54</v>
      </c>
      <c r="D41" t="s">
        <v>35</v>
      </c>
      <c r="H41">
        <v>26</v>
      </c>
      <c r="J41">
        <f t="shared" si="0"/>
        <v>26</v>
      </c>
      <c r="L41">
        <f t="shared" si="1"/>
        <v>1.1607142857142858E-2</v>
      </c>
    </row>
    <row r="42" spans="1:12" x14ac:dyDescent="0.25">
      <c r="A42">
        <v>1730</v>
      </c>
      <c r="B42" t="s">
        <v>20</v>
      </c>
      <c r="C42" t="s">
        <v>54</v>
      </c>
      <c r="D42" t="s">
        <v>35</v>
      </c>
      <c r="J42">
        <f t="shared" si="0"/>
        <v>0</v>
      </c>
      <c r="L42">
        <f t="shared" si="1"/>
        <v>0</v>
      </c>
    </row>
    <row r="43" spans="1:12" x14ac:dyDescent="0.25">
      <c r="A43">
        <v>1730</v>
      </c>
      <c r="B43" t="s">
        <v>21</v>
      </c>
      <c r="C43" t="s">
        <v>54</v>
      </c>
      <c r="D43" t="s">
        <v>35</v>
      </c>
      <c r="J43">
        <f t="shared" si="0"/>
        <v>0</v>
      </c>
      <c r="L43">
        <f t="shared" si="1"/>
        <v>0</v>
      </c>
    </row>
    <row r="44" spans="1:12" x14ac:dyDescent="0.25">
      <c r="A44">
        <v>1730</v>
      </c>
      <c r="B44" t="s">
        <v>22</v>
      </c>
      <c r="C44" t="s">
        <v>54</v>
      </c>
      <c r="D44" t="s">
        <v>35</v>
      </c>
      <c r="J44">
        <f t="shared" si="0"/>
        <v>0</v>
      </c>
      <c r="L44">
        <f t="shared" si="1"/>
        <v>0</v>
      </c>
    </row>
    <row r="45" spans="1:12" x14ac:dyDescent="0.25">
      <c r="A45">
        <v>1730</v>
      </c>
      <c r="B45" t="s">
        <v>63</v>
      </c>
      <c r="C45" t="s">
        <v>54</v>
      </c>
      <c r="D45" t="s">
        <v>35</v>
      </c>
      <c r="E45">
        <v>21</v>
      </c>
      <c r="F45">
        <v>14</v>
      </c>
      <c r="H45">
        <v>25</v>
      </c>
      <c r="J45">
        <f t="shared" si="0"/>
        <v>48633</v>
      </c>
      <c r="L45">
        <f t="shared" si="1"/>
        <v>21.711160714285715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EB8C4-5365-4995-8CB0-F02A292F01C2}">
  <dimension ref="A1:L68"/>
  <sheetViews>
    <sheetView topLeftCell="A17" workbookViewId="0">
      <selection activeCell="H18" sqref="H18"/>
    </sheetView>
  </sheetViews>
  <sheetFormatPr defaultRowHeight="15" x14ac:dyDescent="0.25"/>
  <cols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2" x14ac:dyDescent="0.25">
      <c r="A1" s="1" t="s">
        <v>49</v>
      </c>
      <c r="B1" s="1" t="s">
        <v>50</v>
      </c>
      <c r="C1" s="1" t="s">
        <v>51</v>
      </c>
      <c r="D1" s="1" t="s">
        <v>52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53</v>
      </c>
    </row>
    <row r="2" spans="1:12" x14ac:dyDescent="0.25">
      <c r="A2">
        <v>1730</v>
      </c>
      <c r="B2" t="s">
        <v>56</v>
      </c>
      <c r="C2" t="s">
        <v>57</v>
      </c>
      <c r="D2" t="s">
        <v>33</v>
      </c>
      <c r="H2">
        <v>40</v>
      </c>
      <c r="J2">
        <f t="shared" ref="J2:J58" si="0">(E2*2240)+(F2*112)+(G2*28)+H2</f>
        <v>40</v>
      </c>
      <c r="L2">
        <f t="shared" ref="L2:L7" si="1">J2/2240</f>
        <v>1.7857142857142856E-2</v>
      </c>
    </row>
    <row r="3" spans="1:12" x14ac:dyDescent="0.25">
      <c r="A3">
        <v>1730</v>
      </c>
      <c r="B3" t="s">
        <v>58</v>
      </c>
      <c r="C3" t="s">
        <v>57</v>
      </c>
      <c r="D3" t="s">
        <v>33</v>
      </c>
      <c r="J3">
        <f t="shared" si="0"/>
        <v>0</v>
      </c>
      <c r="L3">
        <f t="shared" si="1"/>
        <v>0</v>
      </c>
    </row>
    <row r="4" spans="1:12" x14ac:dyDescent="0.25">
      <c r="A4">
        <v>1730</v>
      </c>
      <c r="B4" t="s">
        <v>37</v>
      </c>
      <c r="C4" t="s">
        <v>57</v>
      </c>
      <c r="D4" t="s">
        <v>33</v>
      </c>
      <c r="H4">
        <v>9309</v>
      </c>
      <c r="J4">
        <f t="shared" si="0"/>
        <v>9309</v>
      </c>
      <c r="L4">
        <f t="shared" si="1"/>
        <v>4.1558035714285717</v>
      </c>
    </row>
    <row r="5" spans="1:12" x14ac:dyDescent="0.25">
      <c r="A5">
        <v>1730</v>
      </c>
      <c r="B5" t="s">
        <v>4</v>
      </c>
      <c r="C5" t="s">
        <v>57</v>
      </c>
      <c r="D5" t="s">
        <v>33</v>
      </c>
      <c r="H5">
        <v>56</v>
      </c>
      <c r="J5">
        <f t="shared" si="0"/>
        <v>56</v>
      </c>
      <c r="L5">
        <f t="shared" si="1"/>
        <v>2.5000000000000001E-2</v>
      </c>
    </row>
    <row r="6" spans="1:12" x14ac:dyDescent="0.25">
      <c r="A6">
        <v>1730</v>
      </c>
      <c r="B6" t="s">
        <v>59</v>
      </c>
      <c r="C6" t="s">
        <v>57</v>
      </c>
      <c r="D6" t="s">
        <v>33</v>
      </c>
      <c r="J6">
        <f t="shared" si="0"/>
        <v>0</v>
      </c>
      <c r="L6">
        <f t="shared" si="1"/>
        <v>0</v>
      </c>
    </row>
    <row r="7" spans="1:12" x14ac:dyDescent="0.25">
      <c r="A7">
        <v>1730</v>
      </c>
      <c r="B7" t="s">
        <v>44</v>
      </c>
      <c r="C7" t="s">
        <v>57</v>
      </c>
      <c r="D7" t="s">
        <v>33</v>
      </c>
      <c r="J7">
        <f t="shared" si="0"/>
        <v>0</v>
      </c>
      <c r="L7">
        <f t="shared" si="1"/>
        <v>0</v>
      </c>
    </row>
    <row r="8" spans="1:12" x14ac:dyDescent="0.25">
      <c r="A8">
        <v>1730</v>
      </c>
      <c r="B8" t="s">
        <v>5</v>
      </c>
      <c r="C8" t="s">
        <v>57</v>
      </c>
      <c r="D8" t="s">
        <v>33</v>
      </c>
      <c r="J8">
        <f t="shared" si="0"/>
        <v>0</v>
      </c>
      <c r="L8">
        <f t="shared" ref="L8" si="2">J8/2240</f>
        <v>0</v>
      </c>
    </row>
    <row r="9" spans="1:12" x14ac:dyDescent="0.25">
      <c r="A9">
        <v>1730</v>
      </c>
      <c r="B9" t="s">
        <v>60</v>
      </c>
      <c r="C9" t="s">
        <v>57</v>
      </c>
      <c r="D9" t="s">
        <v>33</v>
      </c>
      <c r="J9">
        <f t="shared" si="0"/>
        <v>0</v>
      </c>
      <c r="L9">
        <f t="shared" ref="L9:L58" si="3">J9/2240</f>
        <v>0</v>
      </c>
    </row>
    <row r="10" spans="1:12" x14ac:dyDescent="0.25">
      <c r="A10">
        <v>1730</v>
      </c>
      <c r="B10" t="s">
        <v>6</v>
      </c>
      <c r="C10" t="s">
        <v>57</v>
      </c>
      <c r="D10" t="s">
        <v>33</v>
      </c>
      <c r="F10">
        <v>170162</v>
      </c>
      <c r="G10">
        <v>1</v>
      </c>
      <c r="H10">
        <v>3</v>
      </c>
      <c r="J10">
        <f t="shared" si="0"/>
        <v>19058175</v>
      </c>
      <c r="L10">
        <f t="shared" si="3"/>
        <v>8508.1138392857138</v>
      </c>
    </row>
    <row r="11" spans="1:12" x14ac:dyDescent="0.25">
      <c r="A11">
        <v>1730</v>
      </c>
      <c r="B11" t="s">
        <v>61</v>
      </c>
      <c r="C11" t="s">
        <v>57</v>
      </c>
      <c r="D11" t="s">
        <v>33</v>
      </c>
      <c r="H11">
        <v>4991</v>
      </c>
      <c r="J11">
        <f t="shared" si="0"/>
        <v>4991</v>
      </c>
      <c r="L11">
        <f t="shared" si="3"/>
        <v>2.2281249999999999</v>
      </c>
    </row>
    <row r="12" spans="1:12" x14ac:dyDescent="0.25">
      <c r="A12">
        <v>1730</v>
      </c>
      <c r="B12" t="s">
        <v>39</v>
      </c>
      <c r="C12" t="s">
        <v>57</v>
      </c>
      <c r="D12" t="s">
        <v>33</v>
      </c>
      <c r="J12">
        <f t="shared" si="0"/>
        <v>0</v>
      </c>
      <c r="L12">
        <f t="shared" si="3"/>
        <v>0</v>
      </c>
    </row>
    <row r="13" spans="1:12" x14ac:dyDescent="0.25">
      <c r="A13">
        <v>1730</v>
      </c>
      <c r="B13" t="s">
        <v>38</v>
      </c>
      <c r="C13" t="s">
        <v>57</v>
      </c>
      <c r="D13" t="s">
        <v>33</v>
      </c>
      <c r="J13">
        <f t="shared" si="0"/>
        <v>0</v>
      </c>
      <c r="L13">
        <f t="shared" si="3"/>
        <v>0</v>
      </c>
    </row>
    <row r="14" spans="1:12" x14ac:dyDescent="0.25">
      <c r="A14">
        <v>1730</v>
      </c>
      <c r="B14" t="s">
        <v>8</v>
      </c>
      <c r="C14" t="s">
        <v>57</v>
      </c>
      <c r="D14" t="s">
        <v>33</v>
      </c>
      <c r="F14">
        <v>40</v>
      </c>
      <c r="G14">
        <v>3</v>
      </c>
      <c r="H14">
        <v>15</v>
      </c>
      <c r="J14">
        <f t="shared" si="0"/>
        <v>4579</v>
      </c>
      <c r="L14">
        <f t="shared" si="3"/>
        <v>2.0441964285714285</v>
      </c>
    </row>
    <row r="15" spans="1:12" x14ac:dyDescent="0.25">
      <c r="A15">
        <v>1730</v>
      </c>
      <c r="B15" t="s">
        <v>41</v>
      </c>
      <c r="C15" t="s">
        <v>57</v>
      </c>
      <c r="D15" t="s">
        <v>33</v>
      </c>
      <c r="J15">
        <f>(E15*2240)+(F15*112)+(G15*28)+H15</f>
        <v>0</v>
      </c>
      <c r="L15">
        <f>J15/2240</f>
        <v>0</v>
      </c>
    </row>
    <row r="16" spans="1:12" x14ac:dyDescent="0.25">
      <c r="A16">
        <v>1730</v>
      </c>
      <c r="B16" t="s">
        <v>79</v>
      </c>
      <c r="C16" t="s">
        <v>57</v>
      </c>
      <c r="D16" t="s">
        <v>33</v>
      </c>
      <c r="H16">
        <v>61</v>
      </c>
      <c r="J16">
        <f>(E16*2240)+(F16*112)+(G16*28)+H16</f>
        <v>61</v>
      </c>
      <c r="L16">
        <f>J16/2240</f>
        <v>2.7232142857142858E-2</v>
      </c>
    </row>
    <row r="17" spans="1:12" x14ac:dyDescent="0.25">
      <c r="A17">
        <v>1730</v>
      </c>
      <c r="B17" t="s">
        <v>9</v>
      </c>
      <c r="C17" t="s">
        <v>57</v>
      </c>
      <c r="D17" t="s">
        <v>33</v>
      </c>
      <c r="H17">
        <f>220*200</f>
        <v>44000</v>
      </c>
      <c r="I17" t="s">
        <v>83</v>
      </c>
      <c r="J17">
        <f t="shared" si="0"/>
        <v>44000</v>
      </c>
      <c r="L17">
        <f t="shared" si="3"/>
        <v>19.642857142857142</v>
      </c>
    </row>
    <row r="18" spans="1:12" x14ac:dyDescent="0.25">
      <c r="A18">
        <v>1730</v>
      </c>
      <c r="B18" t="s">
        <v>10</v>
      </c>
      <c r="C18" t="s">
        <v>57</v>
      </c>
      <c r="D18" t="s">
        <v>33</v>
      </c>
      <c r="F18">
        <v>3301</v>
      </c>
      <c r="G18">
        <v>2</v>
      </c>
      <c r="H18">
        <v>14</v>
      </c>
      <c r="J18">
        <f t="shared" si="0"/>
        <v>369782</v>
      </c>
      <c r="L18">
        <f t="shared" si="3"/>
        <v>165.08125000000001</v>
      </c>
    </row>
    <row r="19" spans="1:12" x14ac:dyDescent="0.25">
      <c r="A19">
        <v>1730</v>
      </c>
      <c r="B19" t="s">
        <v>11</v>
      </c>
      <c r="C19" t="s">
        <v>57</v>
      </c>
      <c r="D19" t="s">
        <v>33</v>
      </c>
      <c r="F19">
        <v>114</v>
      </c>
      <c r="H19">
        <v>11</v>
      </c>
      <c r="J19">
        <f t="shared" si="0"/>
        <v>12779</v>
      </c>
      <c r="L19">
        <f t="shared" si="3"/>
        <v>5.7049107142857141</v>
      </c>
    </row>
    <row r="20" spans="1:12" x14ac:dyDescent="0.25">
      <c r="A20">
        <v>1730</v>
      </c>
      <c r="B20" t="s">
        <v>40</v>
      </c>
      <c r="C20" t="s">
        <v>57</v>
      </c>
      <c r="D20" t="s">
        <v>33</v>
      </c>
      <c r="H20">
        <v>185</v>
      </c>
      <c r="J20">
        <f t="shared" si="0"/>
        <v>185</v>
      </c>
      <c r="L20">
        <f t="shared" si="3"/>
        <v>8.2589285714285712E-2</v>
      </c>
    </row>
    <row r="21" spans="1:12" x14ac:dyDescent="0.25">
      <c r="A21">
        <v>1730</v>
      </c>
      <c r="B21" t="s">
        <v>45</v>
      </c>
      <c r="C21" t="s">
        <v>57</v>
      </c>
      <c r="D21" t="s">
        <v>33</v>
      </c>
      <c r="J21">
        <f t="shared" si="0"/>
        <v>0</v>
      </c>
      <c r="L21">
        <f t="shared" si="3"/>
        <v>0</v>
      </c>
    </row>
    <row r="22" spans="1:12" x14ac:dyDescent="0.25">
      <c r="A22">
        <v>1730</v>
      </c>
      <c r="B22" t="s">
        <v>12</v>
      </c>
      <c r="C22" t="s">
        <v>57</v>
      </c>
      <c r="D22" t="s">
        <v>33</v>
      </c>
      <c r="H22">
        <v>321</v>
      </c>
      <c r="J22">
        <f t="shared" si="0"/>
        <v>321</v>
      </c>
      <c r="L22">
        <f t="shared" si="3"/>
        <v>0.14330357142857142</v>
      </c>
    </row>
    <row r="23" spans="1:12" x14ac:dyDescent="0.25">
      <c r="A23">
        <v>1730</v>
      </c>
      <c r="B23" t="s">
        <v>34</v>
      </c>
      <c r="C23" t="s">
        <v>57</v>
      </c>
      <c r="D23" t="s">
        <v>33</v>
      </c>
      <c r="J23">
        <f t="shared" si="0"/>
        <v>0</v>
      </c>
      <c r="L23">
        <f t="shared" si="3"/>
        <v>0</v>
      </c>
    </row>
    <row r="24" spans="1:12" x14ac:dyDescent="0.25">
      <c r="A24">
        <v>1730</v>
      </c>
      <c r="B24" t="s">
        <v>13</v>
      </c>
      <c r="C24" t="s">
        <v>57</v>
      </c>
      <c r="D24" t="s">
        <v>33</v>
      </c>
      <c r="J24">
        <f t="shared" si="0"/>
        <v>0</v>
      </c>
      <c r="L24">
        <f t="shared" si="3"/>
        <v>0</v>
      </c>
    </row>
    <row r="25" spans="1:12" x14ac:dyDescent="0.25">
      <c r="A25">
        <v>1730</v>
      </c>
      <c r="B25" t="s">
        <v>14</v>
      </c>
      <c r="C25" t="s">
        <v>57</v>
      </c>
      <c r="D25" t="s">
        <v>33</v>
      </c>
      <c r="H25">
        <v>6288</v>
      </c>
      <c r="I25" t="s">
        <v>80</v>
      </c>
      <c r="J25">
        <f t="shared" si="0"/>
        <v>6288</v>
      </c>
      <c r="L25">
        <f t="shared" si="3"/>
        <v>2.8071428571428569</v>
      </c>
    </row>
    <row r="26" spans="1:12" x14ac:dyDescent="0.25">
      <c r="A26">
        <v>1730</v>
      </c>
      <c r="B26" t="s">
        <v>23</v>
      </c>
      <c r="C26" t="s">
        <v>57</v>
      </c>
      <c r="D26" t="s">
        <v>33</v>
      </c>
      <c r="J26">
        <f t="shared" si="0"/>
        <v>0</v>
      </c>
      <c r="L26">
        <f t="shared" si="3"/>
        <v>0</v>
      </c>
    </row>
    <row r="27" spans="1:12" x14ac:dyDescent="0.25">
      <c r="A27">
        <v>1730</v>
      </c>
      <c r="B27" t="s">
        <v>27</v>
      </c>
      <c r="C27" t="s">
        <v>57</v>
      </c>
      <c r="D27" t="s">
        <v>33</v>
      </c>
      <c r="H27">
        <v>79540</v>
      </c>
      <c r="I27" t="s">
        <v>82</v>
      </c>
      <c r="J27">
        <f t="shared" si="0"/>
        <v>79540</v>
      </c>
      <c r="L27">
        <f t="shared" si="3"/>
        <v>35.508928571428569</v>
      </c>
    </row>
    <row r="28" spans="1:12" x14ac:dyDescent="0.25">
      <c r="A28">
        <v>1730</v>
      </c>
      <c r="B28" t="s">
        <v>15</v>
      </c>
      <c r="C28" t="s">
        <v>57</v>
      </c>
      <c r="D28" t="s">
        <v>33</v>
      </c>
      <c r="J28">
        <f t="shared" si="0"/>
        <v>0</v>
      </c>
      <c r="L28">
        <f t="shared" si="3"/>
        <v>0</v>
      </c>
    </row>
    <row r="29" spans="1:12" x14ac:dyDescent="0.25">
      <c r="A29">
        <v>1730</v>
      </c>
      <c r="B29" t="s">
        <v>43</v>
      </c>
      <c r="C29" t="s">
        <v>57</v>
      </c>
      <c r="D29" t="s">
        <v>33</v>
      </c>
      <c r="J29">
        <f t="shared" si="0"/>
        <v>0</v>
      </c>
      <c r="L29">
        <f t="shared" si="3"/>
        <v>0</v>
      </c>
    </row>
    <row r="30" spans="1:12" x14ac:dyDescent="0.25">
      <c r="A30">
        <v>1730</v>
      </c>
      <c r="B30" t="s">
        <v>48</v>
      </c>
      <c r="C30" t="s">
        <v>57</v>
      </c>
      <c r="D30" t="s">
        <v>33</v>
      </c>
      <c r="J30">
        <f t="shared" si="0"/>
        <v>0</v>
      </c>
      <c r="L30">
        <f t="shared" si="3"/>
        <v>0</v>
      </c>
    </row>
    <row r="31" spans="1:12" x14ac:dyDescent="0.25">
      <c r="A31">
        <v>1730</v>
      </c>
      <c r="B31" t="s">
        <v>16</v>
      </c>
      <c r="C31" t="s">
        <v>57</v>
      </c>
      <c r="D31" t="s">
        <v>33</v>
      </c>
      <c r="J31">
        <f t="shared" si="0"/>
        <v>0</v>
      </c>
      <c r="L31">
        <f t="shared" si="3"/>
        <v>0</v>
      </c>
    </row>
    <row r="32" spans="1:12" x14ac:dyDescent="0.25">
      <c r="A32">
        <v>1730</v>
      </c>
      <c r="B32" t="s">
        <v>17</v>
      </c>
      <c r="C32" t="s">
        <v>57</v>
      </c>
      <c r="D32" t="s">
        <v>33</v>
      </c>
      <c r="F32">
        <v>68</v>
      </c>
      <c r="G32">
        <v>2</v>
      </c>
      <c r="H32">
        <v>4</v>
      </c>
      <c r="J32">
        <f t="shared" si="0"/>
        <v>7676</v>
      </c>
      <c r="L32">
        <f t="shared" si="3"/>
        <v>3.4267857142857143</v>
      </c>
    </row>
    <row r="33" spans="1:12" x14ac:dyDescent="0.25">
      <c r="A33">
        <v>1730</v>
      </c>
      <c r="B33" t="s">
        <v>18</v>
      </c>
      <c r="C33" t="s">
        <v>57</v>
      </c>
      <c r="D33" t="s">
        <v>33</v>
      </c>
      <c r="H33">
        <v>425715</v>
      </c>
      <c r="I33" t="s">
        <v>81</v>
      </c>
      <c r="J33">
        <f t="shared" si="0"/>
        <v>425715</v>
      </c>
      <c r="L33">
        <f t="shared" si="3"/>
        <v>190.05133928571428</v>
      </c>
    </row>
    <row r="34" spans="1:12" x14ac:dyDescent="0.25">
      <c r="A34">
        <v>1730</v>
      </c>
      <c r="B34" t="s">
        <v>19</v>
      </c>
      <c r="C34" t="s">
        <v>57</v>
      </c>
      <c r="D34" t="s">
        <v>33</v>
      </c>
      <c r="F34">
        <v>9</v>
      </c>
      <c r="G34">
        <v>2</v>
      </c>
      <c r="H34">
        <v>7</v>
      </c>
      <c r="J34">
        <f t="shared" si="0"/>
        <v>1071</v>
      </c>
      <c r="L34">
        <f t="shared" si="3"/>
        <v>0.47812500000000002</v>
      </c>
    </row>
    <row r="35" spans="1:12" x14ac:dyDescent="0.25">
      <c r="A35">
        <v>1730</v>
      </c>
      <c r="B35" t="s">
        <v>46</v>
      </c>
      <c r="C35" t="s">
        <v>57</v>
      </c>
      <c r="D35" t="s">
        <v>33</v>
      </c>
      <c r="J35">
        <f t="shared" si="0"/>
        <v>0</v>
      </c>
      <c r="L35">
        <f t="shared" si="3"/>
        <v>0</v>
      </c>
    </row>
    <row r="36" spans="1:12" x14ac:dyDescent="0.25">
      <c r="A36">
        <v>1730</v>
      </c>
      <c r="B36" t="s">
        <v>55</v>
      </c>
      <c r="C36" t="s">
        <v>57</v>
      </c>
      <c r="D36" t="s">
        <v>33</v>
      </c>
      <c r="H36">
        <v>2626</v>
      </c>
      <c r="J36">
        <f t="shared" si="0"/>
        <v>2626</v>
      </c>
      <c r="L36">
        <f t="shared" si="3"/>
        <v>1.1723214285714285</v>
      </c>
    </row>
    <row r="37" spans="1:12" x14ac:dyDescent="0.25">
      <c r="A37">
        <v>1730</v>
      </c>
      <c r="B37" t="s">
        <v>20</v>
      </c>
      <c r="C37" t="s">
        <v>57</v>
      </c>
      <c r="D37" t="s">
        <v>33</v>
      </c>
      <c r="H37">
        <v>2537</v>
      </c>
      <c r="J37">
        <f t="shared" si="0"/>
        <v>2537</v>
      </c>
      <c r="L37">
        <f t="shared" si="3"/>
        <v>1.1325892857142856</v>
      </c>
    </row>
    <row r="38" spans="1:12" x14ac:dyDescent="0.25">
      <c r="A38">
        <v>1730</v>
      </c>
      <c r="B38" t="s">
        <v>21</v>
      </c>
      <c r="C38" t="s">
        <v>57</v>
      </c>
      <c r="D38" t="s">
        <v>33</v>
      </c>
      <c r="H38">
        <v>7</v>
      </c>
      <c r="J38">
        <f t="shared" si="0"/>
        <v>7</v>
      </c>
      <c r="L38">
        <f t="shared" si="3"/>
        <v>3.1250000000000002E-3</v>
      </c>
    </row>
    <row r="39" spans="1:12" x14ac:dyDescent="0.25">
      <c r="A39">
        <v>1730</v>
      </c>
      <c r="B39" t="s">
        <v>22</v>
      </c>
      <c r="C39" t="s">
        <v>57</v>
      </c>
      <c r="D39" t="s">
        <v>33</v>
      </c>
      <c r="J39">
        <f t="shared" si="0"/>
        <v>0</v>
      </c>
      <c r="L39">
        <f t="shared" si="3"/>
        <v>0</v>
      </c>
    </row>
    <row r="40" spans="1:12" x14ac:dyDescent="0.25">
      <c r="A40">
        <v>1730</v>
      </c>
      <c r="B40" t="s">
        <v>62</v>
      </c>
      <c r="C40" t="s">
        <v>57</v>
      </c>
      <c r="D40" t="s">
        <v>33</v>
      </c>
      <c r="J40">
        <f t="shared" si="0"/>
        <v>0</v>
      </c>
      <c r="L40">
        <f t="shared" si="3"/>
        <v>0</v>
      </c>
    </row>
    <row r="41" spans="1:12" x14ac:dyDescent="0.25">
      <c r="A41">
        <v>1730</v>
      </c>
      <c r="B41" t="s">
        <v>63</v>
      </c>
      <c r="C41" t="s">
        <v>57</v>
      </c>
      <c r="D41" t="s">
        <v>33</v>
      </c>
      <c r="E41">
        <v>50</v>
      </c>
      <c r="F41">
        <v>13</v>
      </c>
      <c r="J41">
        <f t="shared" si="0"/>
        <v>113456</v>
      </c>
      <c r="L41">
        <f t="shared" si="3"/>
        <v>50.65</v>
      </c>
    </row>
    <row r="42" spans="1:12" x14ac:dyDescent="0.25">
      <c r="A42">
        <v>1730</v>
      </c>
      <c r="B42" t="s">
        <v>64</v>
      </c>
      <c r="C42" t="s">
        <v>57</v>
      </c>
      <c r="D42" t="s">
        <v>33</v>
      </c>
      <c r="E42">
        <v>17</v>
      </c>
      <c r="J42">
        <f t="shared" si="0"/>
        <v>38080</v>
      </c>
      <c r="L42">
        <f t="shared" si="3"/>
        <v>17</v>
      </c>
    </row>
    <row r="43" spans="1:12" x14ac:dyDescent="0.25">
      <c r="A43">
        <v>1730</v>
      </c>
      <c r="B43" t="s">
        <v>72</v>
      </c>
      <c r="C43" t="s">
        <v>57</v>
      </c>
      <c r="D43" t="s">
        <v>33</v>
      </c>
      <c r="E43">
        <v>4</v>
      </c>
      <c r="F43">
        <v>11</v>
      </c>
      <c r="G43">
        <v>1</v>
      </c>
      <c r="J43">
        <f t="shared" si="0"/>
        <v>10220</v>
      </c>
      <c r="L43">
        <f t="shared" si="3"/>
        <v>4.5625</v>
      </c>
    </row>
    <row r="44" spans="1:12" x14ac:dyDescent="0.25">
      <c r="A44">
        <v>1730</v>
      </c>
      <c r="B44" t="s">
        <v>65</v>
      </c>
      <c r="C44" t="s">
        <v>57</v>
      </c>
      <c r="D44" t="s">
        <v>33</v>
      </c>
      <c r="J44">
        <f t="shared" si="0"/>
        <v>0</v>
      </c>
      <c r="L44">
        <f t="shared" si="3"/>
        <v>0</v>
      </c>
    </row>
    <row r="45" spans="1:12" x14ac:dyDescent="0.25">
      <c r="A45">
        <v>1730</v>
      </c>
      <c r="B45" t="s">
        <v>66</v>
      </c>
      <c r="C45" t="s">
        <v>57</v>
      </c>
      <c r="D45" t="s">
        <v>33</v>
      </c>
      <c r="J45">
        <f t="shared" si="0"/>
        <v>0</v>
      </c>
      <c r="L45">
        <f t="shared" si="3"/>
        <v>0</v>
      </c>
    </row>
    <row r="46" spans="1:12" x14ac:dyDescent="0.25">
      <c r="A46">
        <v>1730</v>
      </c>
      <c r="B46" t="s">
        <v>37</v>
      </c>
      <c r="C46" t="s">
        <v>57</v>
      </c>
      <c r="D46" t="s">
        <v>35</v>
      </c>
      <c r="J46">
        <f t="shared" si="0"/>
        <v>0</v>
      </c>
      <c r="L46">
        <f t="shared" si="3"/>
        <v>0</v>
      </c>
    </row>
    <row r="47" spans="1:12" x14ac:dyDescent="0.25">
      <c r="A47">
        <v>1730</v>
      </c>
      <c r="B47" t="s">
        <v>6</v>
      </c>
      <c r="C47" t="s">
        <v>57</v>
      </c>
      <c r="D47" t="s">
        <v>35</v>
      </c>
      <c r="F47">
        <v>79913</v>
      </c>
      <c r="G47">
        <v>1</v>
      </c>
      <c r="H47">
        <v>22</v>
      </c>
      <c r="J47">
        <f t="shared" si="0"/>
        <v>8950306</v>
      </c>
      <c r="L47">
        <f t="shared" si="3"/>
        <v>3995.6723214285716</v>
      </c>
    </row>
    <row r="48" spans="1:12" x14ac:dyDescent="0.25">
      <c r="A48">
        <v>1730</v>
      </c>
      <c r="B48" t="s">
        <v>7</v>
      </c>
      <c r="C48" t="s">
        <v>57</v>
      </c>
      <c r="D48" t="s">
        <v>35</v>
      </c>
      <c r="J48">
        <f t="shared" si="0"/>
        <v>0</v>
      </c>
      <c r="L48">
        <f t="shared" si="3"/>
        <v>0</v>
      </c>
    </row>
    <row r="49" spans="1:12" x14ac:dyDescent="0.25">
      <c r="A49">
        <v>1730</v>
      </c>
      <c r="B49" t="s">
        <v>8</v>
      </c>
      <c r="C49" t="s">
        <v>57</v>
      </c>
      <c r="D49" t="s">
        <v>35</v>
      </c>
      <c r="J49">
        <f t="shared" si="0"/>
        <v>0</v>
      </c>
      <c r="L49">
        <f t="shared" si="3"/>
        <v>0</v>
      </c>
    </row>
    <row r="50" spans="1:12" x14ac:dyDescent="0.25">
      <c r="A50">
        <v>1730</v>
      </c>
      <c r="B50" t="s">
        <v>9</v>
      </c>
      <c r="C50" t="s">
        <v>57</v>
      </c>
      <c r="D50" t="s">
        <v>35</v>
      </c>
      <c r="H50">
        <v>195923</v>
      </c>
      <c r="J50">
        <f t="shared" si="0"/>
        <v>195923</v>
      </c>
      <c r="L50">
        <f t="shared" si="3"/>
        <v>87.465625000000003</v>
      </c>
    </row>
    <row r="51" spans="1:12" x14ac:dyDescent="0.25">
      <c r="A51">
        <v>1730</v>
      </c>
      <c r="B51" t="s">
        <v>10</v>
      </c>
      <c r="C51" t="s">
        <v>57</v>
      </c>
      <c r="D51" t="s">
        <v>35</v>
      </c>
      <c r="F51">
        <v>562</v>
      </c>
      <c r="G51">
        <v>2</v>
      </c>
      <c r="H51">
        <v>8</v>
      </c>
      <c r="J51">
        <f t="shared" si="0"/>
        <v>63008</v>
      </c>
      <c r="L51">
        <f t="shared" si="3"/>
        <v>28.12857142857143</v>
      </c>
    </row>
    <row r="52" spans="1:12" x14ac:dyDescent="0.25">
      <c r="A52">
        <v>1730</v>
      </c>
      <c r="B52" t="s">
        <v>11</v>
      </c>
      <c r="C52" t="s">
        <v>57</v>
      </c>
      <c r="D52" t="s">
        <v>35</v>
      </c>
      <c r="F52">
        <v>207</v>
      </c>
      <c r="H52">
        <v>23</v>
      </c>
      <c r="J52">
        <f t="shared" si="0"/>
        <v>23207</v>
      </c>
      <c r="L52">
        <f t="shared" si="3"/>
        <v>10.360267857142857</v>
      </c>
    </row>
    <row r="53" spans="1:12" x14ac:dyDescent="0.25">
      <c r="A53">
        <v>1730</v>
      </c>
      <c r="B53" t="s">
        <v>40</v>
      </c>
      <c r="C53" t="s">
        <v>57</v>
      </c>
      <c r="D53" t="s">
        <v>35</v>
      </c>
      <c r="H53">
        <v>10</v>
      </c>
      <c r="J53">
        <f t="shared" si="0"/>
        <v>10</v>
      </c>
      <c r="L53">
        <f t="shared" si="3"/>
        <v>4.464285714285714E-3</v>
      </c>
    </row>
    <row r="54" spans="1:12" x14ac:dyDescent="0.25">
      <c r="A54">
        <v>1730</v>
      </c>
      <c r="B54" t="s">
        <v>12</v>
      </c>
      <c r="C54" t="s">
        <v>57</v>
      </c>
      <c r="D54" t="s">
        <v>35</v>
      </c>
      <c r="J54">
        <f t="shared" si="0"/>
        <v>0</v>
      </c>
      <c r="L54">
        <f t="shared" si="3"/>
        <v>0</v>
      </c>
    </row>
    <row r="55" spans="1:12" x14ac:dyDescent="0.25">
      <c r="A55">
        <v>1730</v>
      </c>
      <c r="B55" t="s">
        <v>13</v>
      </c>
      <c r="C55" t="s">
        <v>57</v>
      </c>
      <c r="D55" t="s">
        <v>35</v>
      </c>
      <c r="E55">
        <v>4</v>
      </c>
      <c r="J55">
        <f t="shared" si="0"/>
        <v>8960</v>
      </c>
      <c r="L55">
        <f t="shared" si="3"/>
        <v>4</v>
      </c>
    </row>
    <row r="56" spans="1:12" x14ac:dyDescent="0.25">
      <c r="A56">
        <v>1730</v>
      </c>
      <c r="B56" t="s">
        <v>14</v>
      </c>
      <c r="C56" t="s">
        <v>57</v>
      </c>
      <c r="D56" t="s">
        <v>35</v>
      </c>
      <c r="H56">
        <v>343</v>
      </c>
      <c r="I56" t="s">
        <v>109</v>
      </c>
      <c r="J56">
        <f t="shared" si="0"/>
        <v>343</v>
      </c>
      <c r="L56">
        <f t="shared" si="3"/>
        <v>0.15312500000000001</v>
      </c>
    </row>
    <row r="57" spans="1:12" x14ac:dyDescent="0.25">
      <c r="A57">
        <v>1730</v>
      </c>
      <c r="B57" t="s">
        <v>27</v>
      </c>
      <c r="C57" t="s">
        <v>57</v>
      </c>
      <c r="D57" t="s">
        <v>35</v>
      </c>
      <c r="H57">
        <v>25544</v>
      </c>
      <c r="I57" t="s">
        <v>111</v>
      </c>
      <c r="J57">
        <f t="shared" si="0"/>
        <v>25544</v>
      </c>
      <c r="L57">
        <f t="shared" si="3"/>
        <v>11.403571428571428</v>
      </c>
    </row>
    <row r="58" spans="1:12" x14ac:dyDescent="0.25">
      <c r="A58">
        <v>1730</v>
      </c>
      <c r="B58" t="s">
        <v>15</v>
      </c>
      <c r="C58" t="s">
        <v>57</v>
      </c>
      <c r="D58" t="s">
        <v>35</v>
      </c>
      <c r="F58">
        <v>28</v>
      </c>
      <c r="G58">
        <v>1</v>
      </c>
      <c r="H58">
        <v>18</v>
      </c>
      <c r="J58">
        <f t="shared" si="0"/>
        <v>3182</v>
      </c>
      <c r="L58">
        <f t="shared" si="3"/>
        <v>1.4205357142857142</v>
      </c>
    </row>
    <row r="59" spans="1:12" x14ac:dyDescent="0.25">
      <c r="A59">
        <v>1730</v>
      </c>
      <c r="B59" t="s">
        <v>17</v>
      </c>
      <c r="C59" t="s">
        <v>57</v>
      </c>
      <c r="D59" t="s">
        <v>35</v>
      </c>
      <c r="J59">
        <f t="shared" ref="J59:J66" si="4">(E59*2240)+(F59*112)+(G59*28)+H59</f>
        <v>0</v>
      </c>
      <c r="L59">
        <f t="shared" ref="L59:L66" si="5">J59/2240</f>
        <v>0</v>
      </c>
    </row>
    <row r="60" spans="1:12" x14ac:dyDescent="0.25">
      <c r="A60">
        <v>1730</v>
      </c>
      <c r="B60" t="s">
        <v>18</v>
      </c>
      <c r="C60" t="s">
        <v>57</v>
      </c>
      <c r="D60" t="s">
        <v>35</v>
      </c>
      <c r="H60">
        <v>93500</v>
      </c>
      <c r="I60" t="s">
        <v>110</v>
      </c>
      <c r="J60">
        <f t="shared" si="4"/>
        <v>93500</v>
      </c>
      <c r="L60">
        <f t="shared" si="5"/>
        <v>41.741071428571431</v>
      </c>
    </row>
    <row r="61" spans="1:12" x14ac:dyDescent="0.25">
      <c r="A61">
        <v>1730</v>
      </c>
      <c r="B61" t="s">
        <v>19</v>
      </c>
      <c r="C61" t="s">
        <v>57</v>
      </c>
      <c r="D61" t="s">
        <v>35</v>
      </c>
      <c r="F61">
        <v>3</v>
      </c>
      <c r="G61">
        <v>2</v>
      </c>
      <c r="H61">
        <v>1</v>
      </c>
      <c r="J61">
        <f t="shared" si="4"/>
        <v>393</v>
      </c>
      <c r="L61">
        <f t="shared" si="5"/>
        <v>0.17544642857142856</v>
      </c>
    </row>
    <row r="62" spans="1:12" x14ac:dyDescent="0.25">
      <c r="A62">
        <v>1730</v>
      </c>
      <c r="B62" t="s">
        <v>55</v>
      </c>
      <c r="C62" t="s">
        <v>57</v>
      </c>
      <c r="D62" t="s">
        <v>35</v>
      </c>
      <c r="H62">
        <v>269</v>
      </c>
      <c r="J62">
        <f t="shared" si="4"/>
        <v>269</v>
      </c>
      <c r="L62">
        <f t="shared" si="5"/>
        <v>0.12008928571428572</v>
      </c>
    </row>
    <row r="63" spans="1:12" x14ac:dyDescent="0.25">
      <c r="A63">
        <v>1730</v>
      </c>
      <c r="B63" t="s">
        <v>20</v>
      </c>
      <c r="C63" t="s">
        <v>57</v>
      </c>
      <c r="D63" t="s">
        <v>35</v>
      </c>
      <c r="H63">
        <v>105020</v>
      </c>
      <c r="J63">
        <f t="shared" si="4"/>
        <v>105020</v>
      </c>
      <c r="L63">
        <f t="shared" si="5"/>
        <v>46.883928571428569</v>
      </c>
    </row>
    <row r="64" spans="1:12" x14ac:dyDescent="0.25">
      <c r="A64">
        <v>1730</v>
      </c>
      <c r="B64" t="s">
        <v>21</v>
      </c>
      <c r="C64" t="s">
        <v>57</v>
      </c>
      <c r="D64" t="s">
        <v>35</v>
      </c>
      <c r="J64">
        <f t="shared" si="4"/>
        <v>0</v>
      </c>
      <c r="L64">
        <f t="shared" si="5"/>
        <v>0</v>
      </c>
    </row>
    <row r="65" spans="1:12" x14ac:dyDescent="0.25">
      <c r="A65">
        <v>1730</v>
      </c>
      <c r="B65" t="s">
        <v>22</v>
      </c>
      <c r="C65" t="s">
        <v>57</v>
      </c>
      <c r="D65" t="s">
        <v>35</v>
      </c>
      <c r="H65">
        <v>6.5</v>
      </c>
      <c r="J65">
        <f t="shared" si="4"/>
        <v>6.5</v>
      </c>
      <c r="L65">
        <f t="shared" si="5"/>
        <v>2.9017857142857144E-3</v>
      </c>
    </row>
    <row r="66" spans="1:12" x14ac:dyDescent="0.25">
      <c r="A66">
        <v>1730</v>
      </c>
      <c r="B66" t="s">
        <v>63</v>
      </c>
      <c r="C66" t="s">
        <v>57</v>
      </c>
      <c r="D66" t="s">
        <v>35</v>
      </c>
      <c r="E66">
        <v>20</v>
      </c>
      <c r="F66">
        <v>17</v>
      </c>
      <c r="G66">
        <v>1</v>
      </c>
      <c r="H66">
        <v>18</v>
      </c>
      <c r="J66">
        <f t="shared" si="4"/>
        <v>46750</v>
      </c>
      <c r="L66">
        <f t="shared" si="5"/>
        <v>20.870535714285715</v>
      </c>
    </row>
    <row r="67" spans="1:12" x14ac:dyDescent="0.25">
      <c r="A67">
        <v>1730</v>
      </c>
      <c r="B67" t="s">
        <v>64</v>
      </c>
      <c r="C67" t="s">
        <v>57</v>
      </c>
      <c r="D67" t="s">
        <v>35</v>
      </c>
      <c r="J67">
        <f t="shared" ref="J67:J68" si="6">(E67*2240)+(F67*112)+(G67*28)+H67</f>
        <v>0</v>
      </c>
      <c r="L67">
        <f t="shared" ref="L67:L68" si="7">J67/2240</f>
        <v>0</v>
      </c>
    </row>
    <row r="68" spans="1:12" x14ac:dyDescent="0.25">
      <c r="A68">
        <v>1730</v>
      </c>
      <c r="B68" t="s">
        <v>65</v>
      </c>
      <c r="C68" t="s">
        <v>57</v>
      </c>
      <c r="D68" t="s">
        <v>35</v>
      </c>
      <c r="E68">
        <v>20</v>
      </c>
      <c r="J68">
        <f t="shared" si="6"/>
        <v>44800</v>
      </c>
      <c r="L68">
        <f t="shared" si="7"/>
        <v>20</v>
      </c>
    </row>
  </sheetData>
  <autoFilter ref="A1:N55" xr:uid="{AAD1F908-12B8-4B3A-A65D-184CD229ACD4}">
    <sortState xmlns:xlrd2="http://schemas.microsoft.com/office/spreadsheetml/2017/richdata2" ref="A2:N55">
      <sortCondition ref="B1:B55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32DCE-EE6D-47FD-92B8-104BB2E94424}">
  <dimension ref="A1:L16"/>
  <sheetViews>
    <sheetView workbookViewId="0">
      <selection activeCell="H7" sqref="H7"/>
    </sheetView>
  </sheetViews>
  <sheetFormatPr defaultRowHeight="15" x14ac:dyDescent="0.25"/>
  <cols>
    <col min="2" max="3" width="17.140625" customWidth="1"/>
    <col min="4" max="4" width="13.5703125" customWidth="1"/>
    <col min="7" max="7" width="12.42578125" customWidth="1"/>
    <col min="8" max="8" width="13.85546875" customWidth="1"/>
  </cols>
  <sheetData>
    <row r="1" spans="1:12" x14ac:dyDescent="0.25">
      <c r="A1" s="1" t="s">
        <v>49</v>
      </c>
      <c r="B1" s="1" t="s">
        <v>50</v>
      </c>
      <c r="C1" s="1" t="s">
        <v>51</v>
      </c>
      <c r="D1" s="1" t="s">
        <v>52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53</v>
      </c>
    </row>
    <row r="2" spans="1:12" x14ac:dyDescent="0.25">
      <c r="A2">
        <v>1730</v>
      </c>
      <c r="B2" t="s">
        <v>67</v>
      </c>
      <c r="C2" t="s">
        <v>68</v>
      </c>
      <c r="D2" t="s">
        <v>33</v>
      </c>
      <c r="J2">
        <f t="shared" ref="J2:J10" si="0">(E2*2240)+(F2*112)+(G2*28)+H2</f>
        <v>0</v>
      </c>
      <c r="L2">
        <f t="shared" ref="L2:L10" si="1">J2/2240</f>
        <v>0</v>
      </c>
    </row>
    <row r="3" spans="1:12" x14ac:dyDescent="0.25">
      <c r="A3">
        <v>1730</v>
      </c>
      <c r="B3" t="s">
        <v>6</v>
      </c>
      <c r="C3" t="s">
        <v>68</v>
      </c>
      <c r="D3" t="s">
        <v>33</v>
      </c>
      <c r="F3">
        <v>178</v>
      </c>
      <c r="H3">
        <v>13</v>
      </c>
      <c r="J3">
        <f t="shared" si="0"/>
        <v>19949</v>
      </c>
      <c r="L3">
        <f t="shared" si="1"/>
        <v>8.9058035714285708</v>
      </c>
    </row>
    <row r="4" spans="1:12" x14ac:dyDescent="0.25">
      <c r="A4">
        <v>1730</v>
      </c>
      <c r="B4" t="s">
        <v>8</v>
      </c>
      <c r="C4" t="s">
        <v>68</v>
      </c>
      <c r="D4" t="s">
        <v>33</v>
      </c>
      <c r="E4" s="1"/>
      <c r="I4" s="1"/>
      <c r="J4">
        <f t="shared" si="0"/>
        <v>0</v>
      </c>
      <c r="K4" s="1"/>
      <c r="L4">
        <f t="shared" si="1"/>
        <v>0</v>
      </c>
    </row>
    <row r="5" spans="1:12" x14ac:dyDescent="0.25">
      <c r="A5">
        <v>1730</v>
      </c>
      <c r="B5" t="s">
        <v>9</v>
      </c>
      <c r="C5" t="s">
        <v>68</v>
      </c>
      <c r="D5" t="s">
        <v>33</v>
      </c>
      <c r="E5" s="1"/>
      <c r="F5" s="1"/>
      <c r="G5" s="1"/>
      <c r="I5" s="1"/>
      <c r="J5">
        <f t="shared" si="0"/>
        <v>0</v>
      </c>
      <c r="K5" s="1"/>
      <c r="L5">
        <f t="shared" si="1"/>
        <v>0</v>
      </c>
    </row>
    <row r="6" spans="1:12" x14ac:dyDescent="0.25">
      <c r="A6">
        <v>1730</v>
      </c>
      <c r="B6" t="s">
        <v>18</v>
      </c>
      <c r="C6" t="s">
        <v>68</v>
      </c>
      <c r="D6" t="s">
        <v>33</v>
      </c>
      <c r="E6" s="1"/>
      <c r="F6" s="1"/>
      <c r="G6" s="1"/>
      <c r="H6">
        <v>3532</v>
      </c>
      <c r="I6" t="s">
        <v>84</v>
      </c>
      <c r="J6">
        <f t="shared" si="0"/>
        <v>3532</v>
      </c>
      <c r="K6" s="1"/>
      <c r="L6">
        <f t="shared" si="1"/>
        <v>1.5767857142857142</v>
      </c>
    </row>
    <row r="7" spans="1:12" x14ac:dyDescent="0.25">
      <c r="A7">
        <v>1730</v>
      </c>
      <c r="B7" t="s">
        <v>62</v>
      </c>
      <c r="C7" t="s">
        <v>68</v>
      </c>
      <c r="D7" t="s">
        <v>33</v>
      </c>
      <c r="J7">
        <f t="shared" si="0"/>
        <v>0</v>
      </c>
      <c r="L7">
        <f t="shared" si="1"/>
        <v>0</v>
      </c>
    </row>
    <row r="8" spans="1:12" x14ac:dyDescent="0.25">
      <c r="A8">
        <v>1730</v>
      </c>
      <c r="B8" t="s">
        <v>64</v>
      </c>
      <c r="C8" t="s">
        <v>68</v>
      </c>
      <c r="D8" t="s">
        <v>33</v>
      </c>
      <c r="J8">
        <f t="shared" si="0"/>
        <v>0</v>
      </c>
      <c r="L8">
        <f t="shared" si="1"/>
        <v>0</v>
      </c>
    </row>
    <row r="9" spans="1:12" x14ac:dyDescent="0.25">
      <c r="A9">
        <v>1730</v>
      </c>
      <c r="B9" t="s">
        <v>12</v>
      </c>
      <c r="C9" t="s">
        <v>68</v>
      </c>
      <c r="D9" t="s">
        <v>35</v>
      </c>
      <c r="J9">
        <f t="shared" si="0"/>
        <v>0</v>
      </c>
      <c r="K9" s="1"/>
      <c r="L9">
        <f t="shared" si="1"/>
        <v>0</v>
      </c>
    </row>
    <row r="10" spans="1:12" x14ac:dyDescent="0.25">
      <c r="A10">
        <v>1730</v>
      </c>
      <c r="B10" t="s">
        <v>42</v>
      </c>
      <c r="C10" t="s">
        <v>68</v>
      </c>
      <c r="D10" t="s">
        <v>35</v>
      </c>
      <c r="J10">
        <f t="shared" si="0"/>
        <v>0</v>
      </c>
      <c r="K10" s="1"/>
      <c r="L10">
        <f t="shared" si="1"/>
        <v>0</v>
      </c>
    </row>
    <row r="11" spans="1:12" x14ac:dyDescent="0.25">
      <c r="A11">
        <v>1730</v>
      </c>
      <c r="B11" t="s">
        <v>19</v>
      </c>
      <c r="C11" t="s">
        <v>68</v>
      </c>
      <c r="D11" t="s">
        <v>35</v>
      </c>
      <c r="J11">
        <f>(E11*2240)+(F11*112)+(G11*28)+H11</f>
        <v>0</v>
      </c>
      <c r="L11">
        <f>J11/2240</f>
        <v>0</v>
      </c>
    </row>
    <row r="12" spans="1:12" x14ac:dyDescent="0.25">
      <c r="A12">
        <v>1730</v>
      </c>
      <c r="B12" t="s">
        <v>55</v>
      </c>
      <c r="C12" t="s">
        <v>68</v>
      </c>
      <c r="D12" t="s">
        <v>35</v>
      </c>
      <c r="J12">
        <f t="shared" ref="J12:J16" si="2">(E12*2240)+(F12*112)+(G12*28)+H12</f>
        <v>0</v>
      </c>
      <c r="L12">
        <f t="shared" ref="L12:L16" si="3">J12/2240</f>
        <v>0</v>
      </c>
    </row>
    <row r="13" spans="1:12" x14ac:dyDescent="0.25">
      <c r="A13">
        <v>1730</v>
      </c>
      <c r="B13" t="s">
        <v>9</v>
      </c>
      <c r="C13" t="s">
        <v>68</v>
      </c>
      <c r="D13" t="s">
        <v>35</v>
      </c>
      <c r="J13">
        <f t="shared" si="2"/>
        <v>0</v>
      </c>
      <c r="L13">
        <f t="shared" si="3"/>
        <v>0</v>
      </c>
    </row>
    <row r="14" spans="1:12" x14ac:dyDescent="0.25">
      <c r="A14">
        <v>1730</v>
      </c>
      <c r="B14" t="s">
        <v>8</v>
      </c>
      <c r="C14" t="s">
        <v>68</v>
      </c>
      <c r="D14" t="s">
        <v>35</v>
      </c>
      <c r="J14">
        <f t="shared" si="2"/>
        <v>0</v>
      </c>
      <c r="L14">
        <f t="shared" si="3"/>
        <v>0</v>
      </c>
    </row>
    <row r="15" spans="1:12" x14ac:dyDescent="0.25">
      <c r="A15">
        <v>1730</v>
      </c>
      <c r="B15" t="s">
        <v>62</v>
      </c>
      <c r="C15" t="s">
        <v>68</v>
      </c>
      <c r="D15" t="s">
        <v>35</v>
      </c>
      <c r="J15">
        <f t="shared" si="2"/>
        <v>0</v>
      </c>
      <c r="L15">
        <f t="shared" si="3"/>
        <v>0</v>
      </c>
    </row>
    <row r="16" spans="1:12" x14ac:dyDescent="0.25">
      <c r="A16">
        <v>1730</v>
      </c>
      <c r="B16" t="s">
        <v>64</v>
      </c>
      <c r="C16" t="s">
        <v>68</v>
      </c>
      <c r="D16" t="s">
        <v>35</v>
      </c>
      <c r="J16">
        <f t="shared" si="2"/>
        <v>0</v>
      </c>
      <c r="L16">
        <f t="shared" si="3"/>
        <v>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A30DD-B439-4D0D-A79E-805D40D33689}">
  <dimension ref="A1:L81"/>
  <sheetViews>
    <sheetView topLeftCell="A16" zoomScaleNormal="100" workbookViewId="0">
      <selection activeCell="I19" sqref="I19"/>
    </sheetView>
  </sheetViews>
  <sheetFormatPr defaultRowHeight="15" x14ac:dyDescent="0.25"/>
  <cols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2" x14ac:dyDescent="0.25">
      <c r="A1" s="1" t="s">
        <v>49</v>
      </c>
      <c r="B1" s="1" t="s">
        <v>50</v>
      </c>
      <c r="C1" s="1" t="s">
        <v>51</v>
      </c>
      <c r="D1" s="1" t="s">
        <v>52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53</v>
      </c>
    </row>
    <row r="2" spans="1:12" x14ac:dyDescent="0.25">
      <c r="A2">
        <v>1730</v>
      </c>
      <c r="B2" t="s">
        <v>56</v>
      </c>
      <c r="C2" t="s">
        <v>69</v>
      </c>
      <c r="D2" t="s">
        <v>33</v>
      </c>
      <c r="J2">
        <f>(E2*2240)+(F2*112)+(G2*28)+H2</f>
        <v>0</v>
      </c>
      <c r="L2">
        <f>J2/2240</f>
        <v>0</v>
      </c>
    </row>
    <row r="3" spans="1:12" x14ac:dyDescent="0.25">
      <c r="A3">
        <v>1730</v>
      </c>
      <c r="B3" t="s">
        <v>58</v>
      </c>
      <c r="C3" t="s">
        <v>69</v>
      </c>
      <c r="D3" t="s">
        <v>33</v>
      </c>
      <c r="J3">
        <f>(E3*2240)+(F3*112)+(G3*28)+H3</f>
        <v>0</v>
      </c>
      <c r="L3">
        <f>J3/2240</f>
        <v>0</v>
      </c>
    </row>
    <row r="4" spans="1:12" x14ac:dyDescent="0.25">
      <c r="A4">
        <v>1730</v>
      </c>
      <c r="B4" t="s">
        <v>37</v>
      </c>
      <c r="C4" t="s">
        <v>69</v>
      </c>
      <c r="D4" t="s">
        <v>33</v>
      </c>
      <c r="J4">
        <f>(E4*2240)+(F4*112)+(G4*28)+H4</f>
        <v>0</v>
      </c>
      <c r="L4">
        <f>J4/2240</f>
        <v>0</v>
      </c>
    </row>
    <row r="5" spans="1:12" x14ac:dyDescent="0.25">
      <c r="A5">
        <v>1730</v>
      </c>
      <c r="B5" t="s">
        <v>4</v>
      </c>
      <c r="C5" t="s">
        <v>69</v>
      </c>
      <c r="D5" t="s">
        <v>33</v>
      </c>
      <c r="H5">
        <v>1118</v>
      </c>
      <c r="J5">
        <f>(E5*2240)+(F5*112)+(G5*28)+H5</f>
        <v>1118</v>
      </c>
      <c r="L5">
        <f>J5/2240</f>
        <v>0.49910714285714286</v>
      </c>
    </row>
    <row r="6" spans="1:12" x14ac:dyDescent="0.25">
      <c r="A6">
        <v>1730</v>
      </c>
      <c r="B6" t="s">
        <v>59</v>
      </c>
      <c r="C6" t="s">
        <v>69</v>
      </c>
      <c r="D6" t="s">
        <v>33</v>
      </c>
      <c r="G6">
        <v>2</v>
      </c>
      <c r="J6">
        <f>(E6*2240)+(F6*112)+(G6*28)+H6</f>
        <v>56</v>
      </c>
      <c r="L6">
        <f>J6/2240</f>
        <v>2.5000000000000001E-2</v>
      </c>
    </row>
    <row r="7" spans="1:12" x14ac:dyDescent="0.25">
      <c r="A7">
        <v>1730</v>
      </c>
      <c r="B7" t="s">
        <v>70</v>
      </c>
      <c r="C7" t="s">
        <v>69</v>
      </c>
      <c r="D7" t="s">
        <v>33</v>
      </c>
      <c r="J7">
        <f t="shared" ref="J7:J26" si="0">(E7*2240)+(F7*112)+(G7*28)+H7</f>
        <v>0</v>
      </c>
      <c r="L7">
        <f t="shared" ref="L7:L28" si="1">J7/2240</f>
        <v>0</v>
      </c>
    </row>
    <row r="8" spans="1:12" x14ac:dyDescent="0.25">
      <c r="A8">
        <v>1730</v>
      </c>
      <c r="B8" t="s">
        <v>44</v>
      </c>
      <c r="C8" t="s">
        <v>69</v>
      </c>
      <c r="D8" t="s">
        <v>33</v>
      </c>
      <c r="J8">
        <f t="shared" si="0"/>
        <v>0</v>
      </c>
      <c r="L8">
        <f t="shared" si="1"/>
        <v>0</v>
      </c>
    </row>
    <row r="9" spans="1:12" x14ac:dyDescent="0.25">
      <c r="A9">
        <v>1730</v>
      </c>
      <c r="B9" t="s">
        <v>5</v>
      </c>
      <c r="C9" t="s">
        <v>69</v>
      </c>
      <c r="D9" t="s">
        <v>33</v>
      </c>
      <c r="F9">
        <v>23</v>
      </c>
      <c r="G9">
        <v>1</v>
      </c>
      <c r="H9">
        <v>14</v>
      </c>
      <c r="J9">
        <f t="shared" si="0"/>
        <v>2618</v>
      </c>
      <c r="L9">
        <f t="shared" si="1"/>
        <v>1.16875</v>
      </c>
    </row>
    <row r="10" spans="1:12" x14ac:dyDescent="0.25">
      <c r="A10">
        <v>1730</v>
      </c>
      <c r="B10" t="s">
        <v>60</v>
      </c>
      <c r="C10" t="s">
        <v>69</v>
      </c>
      <c r="D10" t="s">
        <v>33</v>
      </c>
      <c r="J10">
        <f t="shared" si="0"/>
        <v>0</v>
      </c>
      <c r="L10">
        <f t="shared" si="1"/>
        <v>0</v>
      </c>
    </row>
    <row r="11" spans="1:12" x14ac:dyDescent="0.25">
      <c r="A11">
        <v>1730</v>
      </c>
      <c r="B11" t="s">
        <v>6</v>
      </c>
      <c r="C11" t="s">
        <v>69</v>
      </c>
      <c r="D11" t="s">
        <v>33</v>
      </c>
      <c r="F11">
        <v>203131</v>
      </c>
      <c r="G11">
        <v>1</v>
      </c>
      <c r="H11">
        <v>18</v>
      </c>
      <c r="J11">
        <f t="shared" si="0"/>
        <v>22750718</v>
      </c>
      <c r="L11">
        <f t="shared" si="1"/>
        <v>10156.570535714285</v>
      </c>
    </row>
    <row r="12" spans="1:12" x14ac:dyDescent="0.25">
      <c r="A12">
        <v>1730</v>
      </c>
      <c r="B12" t="s">
        <v>61</v>
      </c>
      <c r="C12" t="s">
        <v>69</v>
      </c>
      <c r="D12" t="s">
        <v>33</v>
      </c>
      <c r="H12">
        <v>400</v>
      </c>
      <c r="J12">
        <f t="shared" si="0"/>
        <v>400</v>
      </c>
      <c r="L12">
        <f t="shared" si="1"/>
        <v>0.17857142857142858</v>
      </c>
    </row>
    <row r="13" spans="1:12" x14ac:dyDescent="0.25">
      <c r="A13">
        <v>1730</v>
      </c>
      <c r="B13" t="s">
        <v>39</v>
      </c>
      <c r="C13" t="s">
        <v>69</v>
      </c>
      <c r="D13" t="s">
        <v>33</v>
      </c>
      <c r="J13">
        <f t="shared" si="0"/>
        <v>0</v>
      </c>
      <c r="L13">
        <f t="shared" si="1"/>
        <v>0</v>
      </c>
    </row>
    <row r="14" spans="1:12" x14ac:dyDescent="0.25">
      <c r="A14">
        <v>1730</v>
      </c>
      <c r="B14" t="s">
        <v>38</v>
      </c>
      <c r="C14" t="s">
        <v>69</v>
      </c>
      <c r="D14" t="s">
        <v>33</v>
      </c>
      <c r="J14">
        <f t="shared" si="0"/>
        <v>0</v>
      </c>
      <c r="L14">
        <f t="shared" si="1"/>
        <v>0</v>
      </c>
    </row>
    <row r="15" spans="1:12" x14ac:dyDescent="0.25">
      <c r="A15">
        <v>1730</v>
      </c>
      <c r="B15" t="s">
        <v>8</v>
      </c>
      <c r="C15" t="s">
        <v>69</v>
      </c>
      <c r="D15" t="s">
        <v>33</v>
      </c>
      <c r="F15">
        <v>121</v>
      </c>
      <c r="G15">
        <v>3</v>
      </c>
      <c r="H15">
        <v>21</v>
      </c>
      <c r="J15">
        <f t="shared" si="0"/>
        <v>13657</v>
      </c>
      <c r="L15">
        <f t="shared" si="1"/>
        <v>6.0968749999999998</v>
      </c>
    </row>
    <row r="16" spans="1:12" x14ac:dyDescent="0.25">
      <c r="A16">
        <v>1730</v>
      </c>
      <c r="B16" t="s">
        <v>41</v>
      </c>
      <c r="C16" t="s">
        <v>69</v>
      </c>
      <c r="D16" t="s">
        <v>33</v>
      </c>
      <c r="J16">
        <f t="shared" si="0"/>
        <v>0</v>
      </c>
      <c r="L16">
        <f t="shared" si="1"/>
        <v>0</v>
      </c>
    </row>
    <row r="17" spans="1:12" x14ac:dyDescent="0.25">
      <c r="A17">
        <v>1730</v>
      </c>
      <c r="B17" t="s">
        <v>85</v>
      </c>
      <c r="C17" t="s">
        <v>69</v>
      </c>
      <c r="D17" t="s">
        <v>33</v>
      </c>
      <c r="H17">
        <v>3441</v>
      </c>
      <c r="J17">
        <f t="shared" si="0"/>
        <v>3441</v>
      </c>
      <c r="L17">
        <f t="shared" si="1"/>
        <v>1.5361607142857143</v>
      </c>
    </row>
    <row r="18" spans="1:12" x14ac:dyDescent="0.25">
      <c r="A18">
        <v>1730</v>
      </c>
      <c r="B18" t="s">
        <v>47</v>
      </c>
      <c r="C18" t="s">
        <v>69</v>
      </c>
      <c r="D18" t="s">
        <v>33</v>
      </c>
      <c r="H18">
        <v>1630</v>
      </c>
      <c r="J18">
        <f t="shared" si="0"/>
        <v>1630</v>
      </c>
      <c r="L18">
        <f t="shared" si="1"/>
        <v>0.7276785714285714</v>
      </c>
    </row>
    <row r="19" spans="1:12" x14ac:dyDescent="0.25">
      <c r="A19">
        <v>1730</v>
      </c>
      <c r="B19" t="s">
        <v>9</v>
      </c>
      <c r="C19" t="s">
        <v>69</v>
      </c>
      <c r="D19" t="s">
        <v>33</v>
      </c>
      <c r="H19">
        <f>475*200</f>
        <v>95000</v>
      </c>
      <c r="I19" t="s">
        <v>92</v>
      </c>
      <c r="J19">
        <f t="shared" si="0"/>
        <v>95000</v>
      </c>
      <c r="L19">
        <f t="shared" si="1"/>
        <v>42.410714285714285</v>
      </c>
    </row>
    <row r="20" spans="1:12" x14ac:dyDescent="0.25">
      <c r="A20">
        <v>1730</v>
      </c>
      <c r="B20" t="s">
        <v>10</v>
      </c>
      <c r="C20" t="s">
        <v>69</v>
      </c>
      <c r="D20" t="s">
        <v>33</v>
      </c>
      <c r="F20">
        <v>3317</v>
      </c>
      <c r="G20">
        <v>2</v>
      </c>
      <c r="J20">
        <f t="shared" si="0"/>
        <v>371560</v>
      </c>
      <c r="L20">
        <f t="shared" si="1"/>
        <v>165.875</v>
      </c>
    </row>
    <row r="21" spans="1:12" x14ac:dyDescent="0.25">
      <c r="A21">
        <v>1730</v>
      </c>
      <c r="B21" t="s">
        <v>11</v>
      </c>
      <c r="C21" t="s">
        <v>69</v>
      </c>
      <c r="D21" t="s">
        <v>33</v>
      </c>
      <c r="F21">
        <v>85</v>
      </c>
      <c r="G21">
        <v>3</v>
      </c>
      <c r="H21">
        <v>1</v>
      </c>
      <c r="J21">
        <f t="shared" si="0"/>
        <v>9605</v>
      </c>
      <c r="L21">
        <f t="shared" si="1"/>
        <v>4.2879464285714288</v>
      </c>
    </row>
    <row r="22" spans="1:12" x14ac:dyDescent="0.25">
      <c r="A22">
        <v>1730</v>
      </c>
      <c r="B22" t="s">
        <v>40</v>
      </c>
      <c r="C22" t="s">
        <v>69</v>
      </c>
      <c r="D22" t="s">
        <v>33</v>
      </c>
      <c r="H22">
        <v>68</v>
      </c>
      <c r="J22">
        <f t="shared" si="0"/>
        <v>68</v>
      </c>
      <c r="L22">
        <f t="shared" si="1"/>
        <v>3.0357142857142857E-2</v>
      </c>
    </row>
    <row r="23" spans="1:12" x14ac:dyDescent="0.25">
      <c r="A23">
        <v>1730</v>
      </c>
      <c r="B23" t="s">
        <v>45</v>
      </c>
      <c r="C23" t="s">
        <v>69</v>
      </c>
      <c r="D23" t="s">
        <v>33</v>
      </c>
      <c r="J23">
        <f t="shared" si="0"/>
        <v>0</v>
      </c>
      <c r="L23">
        <f t="shared" si="1"/>
        <v>0</v>
      </c>
    </row>
    <row r="24" spans="1:12" x14ac:dyDescent="0.25">
      <c r="A24">
        <v>1730</v>
      </c>
      <c r="B24" t="s">
        <v>12</v>
      </c>
      <c r="C24" t="s">
        <v>69</v>
      </c>
      <c r="D24" t="s">
        <v>33</v>
      </c>
      <c r="H24">
        <v>204515</v>
      </c>
      <c r="J24">
        <f t="shared" si="0"/>
        <v>204515</v>
      </c>
      <c r="L24">
        <f t="shared" si="1"/>
        <v>91.301339285714292</v>
      </c>
    </row>
    <row r="25" spans="1:12" x14ac:dyDescent="0.25">
      <c r="A25">
        <v>1730</v>
      </c>
      <c r="B25" t="s">
        <v>34</v>
      </c>
      <c r="C25" t="s">
        <v>69</v>
      </c>
      <c r="D25" t="s">
        <v>33</v>
      </c>
      <c r="J25">
        <f t="shared" si="0"/>
        <v>0</v>
      </c>
      <c r="L25">
        <f t="shared" si="1"/>
        <v>0</v>
      </c>
    </row>
    <row r="26" spans="1:12" x14ac:dyDescent="0.25">
      <c r="A26">
        <v>1730</v>
      </c>
      <c r="B26" t="s">
        <v>13</v>
      </c>
      <c r="C26" t="s">
        <v>69</v>
      </c>
      <c r="D26" t="s">
        <v>33</v>
      </c>
      <c r="E26">
        <v>1</v>
      </c>
      <c r="F26">
        <v>3</v>
      </c>
      <c r="G26">
        <v>1</v>
      </c>
      <c r="J26">
        <f t="shared" si="0"/>
        <v>2604</v>
      </c>
      <c r="L26">
        <f t="shared" si="1"/>
        <v>1.1625000000000001</v>
      </c>
    </row>
    <row r="27" spans="1:12" x14ac:dyDescent="0.25">
      <c r="A27">
        <v>1730</v>
      </c>
      <c r="B27" t="s">
        <v>14</v>
      </c>
      <c r="C27" t="s">
        <v>69</v>
      </c>
      <c r="D27" t="s">
        <v>33</v>
      </c>
      <c r="H27">
        <v>23808</v>
      </c>
      <c r="I27" t="s">
        <v>87</v>
      </c>
      <c r="J27">
        <f t="shared" ref="J27:J81" si="2">(E27*2240)+(F27*112)+(G27*28)+H27</f>
        <v>23808</v>
      </c>
      <c r="L27">
        <f t="shared" si="1"/>
        <v>10.628571428571428</v>
      </c>
    </row>
    <row r="28" spans="1:12" x14ac:dyDescent="0.25">
      <c r="A28">
        <v>1730</v>
      </c>
      <c r="B28" t="s">
        <v>23</v>
      </c>
      <c r="C28" t="s">
        <v>69</v>
      </c>
      <c r="D28" t="s">
        <v>33</v>
      </c>
      <c r="J28">
        <f t="shared" si="2"/>
        <v>0</v>
      </c>
      <c r="L28">
        <f t="shared" si="1"/>
        <v>0</v>
      </c>
    </row>
    <row r="29" spans="1:12" x14ac:dyDescent="0.25">
      <c r="A29">
        <v>1730</v>
      </c>
      <c r="B29" t="s">
        <v>27</v>
      </c>
      <c r="C29" t="s">
        <v>69</v>
      </c>
      <c r="D29" t="s">
        <v>33</v>
      </c>
      <c r="H29">
        <v>188287</v>
      </c>
      <c r="I29" t="s">
        <v>89</v>
      </c>
      <c r="J29">
        <f t="shared" si="2"/>
        <v>188287</v>
      </c>
      <c r="L29">
        <f t="shared" ref="L29:L81" si="3">J29/2240</f>
        <v>84.056696428571428</v>
      </c>
    </row>
    <row r="30" spans="1:12" x14ac:dyDescent="0.25">
      <c r="A30">
        <v>1730</v>
      </c>
      <c r="B30" t="s">
        <v>15</v>
      </c>
      <c r="C30" t="s">
        <v>69</v>
      </c>
      <c r="D30" t="s">
        <v>33</v>
      </c>
      <c r="F30">
        <v>21</v>
      </c>
      <c r="G30">
        <v>2</v>
      </c>
      <c r="J30">
        <f t="shared" si="2"/>
        <v>2408</v>
      </c>
      <c r="L30">
        <f t="shared" si="3"/>
        <v>1.075</v>
      </c>
    </row>
    <row r="31" spans="1:12" x14ac:dyDescent="0.25">
      <c r="A31">
        <v>1730</v>
      </c>
      <c r="B31" t="s">
        <v>43</v>
      </c>
      <c r="C31" t="s">
        <v>69</v>
      </c>
      <c r="D31" t="s">
        <v>33</v>
      </c>
      <c r="J31">
        <f t="shared" si="2"/>
        <v>0</v>
      </c>
      <c r="L31">
        <f t="shared" si="3"/>
        <v>0</v>
      </c>
    </row>
    <row r="32" spans="1:12" x14ac:dyDescent="0.25">
      <c r="A32">
        <v>1730</v>
      </c>
      <c r="B32" t="s">
        <v>48</v>
      </c>
      <c r="C32" t="s">
        <v>69</v>
      </c>
      <c r="D32" t="s">
        <v>33</v>
      </c>
      <c r="J32">
        <f t="shared" si="2"/>
        <v>0</v>
      </c>
      <c r="L32">
        <f t="shared" si="3"/>
        <v>0</v>
      </c>
    </row>
    <row r="33" spans="1:12" x14ac:dyDescent="0.25">
      <c r="A33">
        <v>1730</v>
      </c>
      <c r="B33" t="s">
        <v>16</v>
      </c>
      <c r="C33" t="s">
        <v>69</v>
      </c>
      <c r="D33" t="s">
        <v>33</v>
      </c>
      <c r="H33">
        <v>219858</v>
      </c>
      <c r="J33">
        <f t="shared" si="2"/>
        <v>219858</v>
      </c>
      <c r="L33">
        <f t="shared" si="3"/>
        <v>98.150892857142864</v>
      </c>
    </row>
    <row r="34" spans="1:12" x14ac:dyDescent="0.25">
      <c r="A34">
        <v>1730</v>
      </c>
      <c r="B34" t="s">
        <v>17</v>
      </c>
      <c r="C34" t="s">
        <v>69</v>
      </c>
      <c r="D34" t="s">
        <v>33</v>
      </c>
      <c r="J34">
        <f t="shared" si="2"/>
        <v>0</v>
      </c>
      <c r="L34">
        <f t="shared" si="3"/>
        <v>0</v>
      </c>
    </row>
    <row r="35" spans="1:12" x14ac:dyDescent="0.25">
      <c r="A35">
        <v>1730</v>
      </c>
      <c r="B35" t="s">
        <v>18</v>
      </c>
      <c r="C35" t="s">
        <v>69</v>
      </c>
      <c r="D35" t="s">
        <v>33</v>
      </c>
      <c r="H35">
        <v>1442228</v>
      </c>
      <c r="I35" t="s">
        <v>88</v>
      </c>
      <c r="J35">
        <f t="shared" si="2"/>
        <v>1442228</v>
      </c>
      <c r="L35">
        <f t="shared" si="3"/>
        <v>643.85178571428571</v>
      </c>
    </row>
    <row r="36" spans="1:12" x14ac:dyDescent="0.25">
      <c r="A36">
        <v>1730</v>
      </c>
      <c r="B36" t="s">
        <v>71</v>
      </c>
      <c r="C36" t="s">
        <v>69</v>
      </c>
      <c r="D36" t="s">
        <v>33</v>
      </c>
      <c r="J36">
        <f t="shared" si="2"/>
        <v>0</v>
      </c>
      <c r="L36">
        <f t="shared" si="3"/>
        <v>0</v>
      </c>
    </row>
    <row r="37" spans="1:12" x14ac:dyDescent="0.25">
      <c r="A37">
        <v>1730</v>
      </c>
      <c r="B37" t="s">
        <v>86</v>
      </c>
      <c r="C37" t="s">
        <v>69</v>
      </c>
      <c r="D37" t="s">
        <v>33</v>
      </c>
      <c r="F37">
        <v>10</v>
      </c>
      <c r="J37">
        <f t="shared" si="2"/>
        <v>1120</v>
      </c>
      <c r="L37">
        <f t="shared" si="3"/>
        <v>0.5</v>
      </c>
    </row>
    <row r="38" spans="1:12" x14ac:dyDescent="0.25">
      <c r="A38">
        <v>1730</v>
      </c>
      <c r="B38" t="s">
        <v>19</v>
      </c>
      <c r="C38" t="s">
        <v>69</v>
      </c>
      <c r="D38" t="s">
        <v>33</v>
      </c>
      <c r="H38">
        <v>12263</v>
      </c>
      <c r="J38">
        <f t="shared" si="2"/>
        <v>12263</v>
      </c>
      <c r="L38">
        <f t="shared" si="3"/>
        <v>5.4745535714285714</v>
      </c>
    </row>
    <row r="39" spans="1:12" x14ac:dyDescent="0.25">
      <c r="A39">
        <v>1730</v>
      </c>
      <c r="B39" t="s">
        <v>46</v>
      </c>
      <c r="C39" t="s">
        <v>69</v>
      </c>
      <c r="D39" t="s">
        <v>33</v>
      </c>
      <c r="F39">
        <v>14</v>
      </c>
      <c r="H39">
        <v>14298</v>
      </c>
      <c r="J39">
        <f t="shared" si="2"/>
        <v>15866</v>
      </c>
      <c r="L39">
        <f t="shared" si="3"/>
        <v>7.0830357142857139</v>
      </c>
    </row>
    <row r="40" spans="1:12" x14ac:dyDescent="0.25">
      <c r="A40">
        <v>1730</v>
      </c>
      <c r="B40" t="s">
        <v>55</v>
      </c>
      <c r="C40" t="s">
        <v>69</v>
      </c>
      <c r="D40" t="s">
        <v>33</v>
      </c>
      <c r="H40">
        <v>2717</v>
      </c>
      <c r="J40">
        <f t="shared" si="2"/>
        <v>2717</v>
      </c>
      <c r="L40">
        <f t="shared" si="3"/>
        <v>1.2129464285714286</v>
      </c>
    </row>
    <row r="41" spans="1:12" x14ac:dyDescent="0.25">
      <c r="A41">
        <v>1730</v>
      </c>
      <c r="B41" t="s">
        <v>20</v>
      </c>
      <c r="C41" t="s">
        <v>69</v>
      </c>
      <c r="D41" t="s">
        <v>33</v>
      </c>
      <c r="H41">
        <v>676</v>
      </c>
      <c r="J41">
        <f t="shared" si="2"/>
        <v>676</v>
      </c>
      <c r="L41">
        <f t="shared" si="3"/>
        <v>0.30178571428571427</v>
      </c>
    </row>
    <row r="42" spans="1:12" x14ac:dyDescent="0.25">
      <c r="A42">
        <v>1730</v>
      </c>
      <c r="B42" t="s">
        <v>21</v>
      </c>
      <c r="C42" t="s">
        <v>69</v>
      </c>
      <c r="D42" t="s">
        <v>33</v>
      </c>
      <c r="H42">
        <v>5593</v>
      </c>
      <c r="J42">
        <f t="shared" si="2"/>
        <v>5593</v>
      </c>
      <c r="L42">
        <f t="shared" si="3"/>
        <v>2.4968750000000002</v>
      </c>
    </row>
    <row r="43" spans="1:12" x14ac:dyDescent="0.25">
      <c r="A43">
        <v>1730</v>
      </c>
      <c r="B43" t="s">
        <v>22</v>
      </c>
      <c r="C43" t="s">
        <v>69</v>
      </c>
      <c r="D43" t="s">
        <v>33</v>
      </c>
      <c r="J43">
        <f t="shared" si="2"/>
        <v>0</v>
      </c>
      <c r="L43">
        <f t="shared" si="3"/>
        <v>0</v>
      </c>
    </row>
    <row r="44" spans="1:12" x14ac:dyDescent="0.25">
      <c r="A44">
        <v>1730</v>
      </c>
      <c r="B44" t="s">
        <v>62</v>
      </c>
      <c r="C44" t="s">
        <v>69</v>
      </c>
      <c r="D44" t="s">
        <v>33</v>
      </c>
      <c r="E44">
        <v>2</v>
      </c>
      <c r="F44">
        <v>16</v>
      </c>
      <c r="G44">
        <v>2</v>
      </c>
      <c r="J44">
        <f t="shared" si="2"/>
        <v>6328</v>
      </c>
      <c r="L44">
        <f t="shared" si="3"/>
        <v>2.8250000000000002</v>
      </c>
    </row>
    <row r="45" spans="1:12" x14ac:dyDescent="0.25">
      <c r="A45">
        <v>1730</v>
      </c>
      <c r="B45" t="s">
        <v>90</v>
      </c>
      <c r="C45" t="s">
        <v>69</v>
      </c>
      <c r="D45" t="s">
        <v>33</v>
      </c>
      <c r="E45">
        <v>49</v>
      </c>
      <c r="J45">
        <f t="shared" si="2"/>
        <v>109760</v>
      </c>
      <c r="L45">
        <f t="shared" si="3"/>
        <v>49</v>
      </c>
    </row>
    <row r="46" spans="1:12" x14ac:dyDescent="0.25">
      <c r="A46">
        <v>1730</v>
      </c>
      <c r="B46" t="s">
        <v>91</v>
      </c>
      <c r="C46" t="s">
        <v>69</v>
      </c>
      <c r="D46" t="s">
        <v>33</v>
      </c>
      <c r="E46">
        <v>2</v>
      </c>
      <c r="F46">
        <v>18</v>
      </c>
      <c r="G46">
        <v>3</v>
      </c>
      <c r="J46">
        <f t="shared" si="2"/>
        <v>6580</v>
      </c>
      <c r="L46">
        <f t="shared" si="3"/>
        <v>2.9375</v>
      </c>
    </row>
    <row r="47" spans="1:12" x14ac:dyDescent="0.25">
      <c r="A47">
        <v>1730</v>
      </c>
      <c r="B47" t="s">
        <v>63</v>
      </c>
      <c r="C47" t="s">
        <v>69</v>
      </c>
      <c r="D47" t="s">
        <v>33</v>
      </c>
      <c r="E47">
        <v>41</v>
      </c>
      <c r="F47">
        <v>10</v>
      </c>
      <c r="J47">
        <f t="shared" si="2"/>
        <v>92960</v>
      </c>
      <c r="L47">
        <f>J47/2240</f>
        <v>41.5</v>
      </c>
    </row>
    <row r="48" spans="1:12" x14ac:dyDescent="0.25">
      <c r="A48">
        <v>1730</v>
      </c>
      <c r="B48" t="s">
        <v>64</v>
      </c>
      <c r="C48" t="s">
        <v>69</v>
      </c>
      <c r="D48" t="s">
        <v>33</v>
      </c>
      <c r="E48">
        <v>224</v>
      </c>
      <c r="F48">
        <v>19</v>
      </c>
      <c r="G48">
        <v>1</v>
      </c>
      <c r="H48">
        <v>11</v>
      </c>
      <c r="J48">
        <f t="shared" si="2"/>
        <v>503927</v>
      </c>
      <c r="L48">
        <f t="shared" si="3"/>
        <v>224.96741071428571</v>
      </c>
    </row>
    <row r="49" spans="1:12" x14ac:dyDescent="0.25">
      <c r="A49">
        <v>1730</v>
      </c>
      <c r="B49" t="s">
        <v>72</v>
      </c>
      <c r="C49" t="s">
        <v>69</v>
      </c>
      <c r="D49" t="s">
        <v>33</v>
      </c>
      <c r="E49">
        <v>43</v>
      </c>
      <c r="F49">
        <v>13</v>
      </c>
      <c r="G49">
        <v>2</v>
      </c>
      <c r="H49">
        <v>9</v>
      </c>
      <c r="J49">
        <f t="shared" si="2"/>
        <v>97841</v>
      </c>
      <c r="L49">
        <f t="shared" si="3"/>
        <v>43.67901785714286</v>
      </c>
    </row>
    <row r="50" spans="1:12" x14ac:dyDescent="0.25">
      <c r="A50">
        <v>1730</v>
      </c>
      <c r="B50" t="s">
        <v>65</v>
      </c>
      <c r="C50" t="s">
        <v>69</v>
      </c>
      <c r="D50" t="s">
        <v>33</v>
      </c>
      <c r="J50">
        <f t="shared" si="2"/>
        <v>0</v>
      </c>
      <c r="L50">
        <f t="shared" si="3"/>
        <v>0</v>
      </c>
    </row>
    <row r="51" spans="1:12" x14ac:dyDescent="0.25">
      <c r="A51">
        <v>1730</v>
      </c>
      <c r="B51" t="s">
        <v>66</v>
      </c>
      <c r="C51" t="s">
        <v>69</v>
      </c>
      <c r="D51" t="s">
        <v>33</v>
      </c>
      <c r="J51">
        <f t="shared" si="2"/>
        <v>0</v>
      </c>
      <c r="L51">
        <f t="shared" si="3"/>
        <v>0</v>
      </c>
    </row>
    <row r="52" spans="1:12" x14ac:dyDescent="0.25">
      <c r="A52">
        <v>1730</v>
      </c>
      <c r="B52" t="s">
        <v>37</v>
      </c>
      <c r="C52" t="s">
        <v>69</v>
      </c>
      <c r="D52" t="s">
        <v>35</v>
      </c>
      <c r="H52">
        <v>40</v>
      </c>
      <c r="J52">
        <f t="shared" si="2"/>
        <v>40</v>
      </c>
      <c r="L52">
        <f t="shared" si="3"/>
        <v>1.7857142857142856E-2</v>
      </c>
    </row>
    <row r="53" spans="1:12" x14ac:dyDescent="0.25">
      <c r="A53">
        <v>1730</v>
      </c>
      <c r="B53" t="s">
        <v>4</v>
      </c>
      <c r="C53" t="s">
        <v>69</v>
      </c>
      <c r="D53" t="s">
        <v>35</v>
      </c>
      <c r="J53">
        <f t="shared" si="2"/>
        <v>0</v>
      </c>
      <c r="L53">
        <f t="shared" si="3"/>
        <v>0</v>
      </c>
    </row>
    <row r="54" spans="1:12" x14ac:dyDescent="0.25">
      <c r="A54">
        <v>1730</v>
      </c>
      <c r="B54" t="s">
        <v>5</v>
      </c>
      <c r="C54" t="s">
        <v>69</v>
      </c>
      <c r="D54" t="s">
        <v>35</v>
      </c>
      <c r="G54">
        <v>3</v>
      </c>
      <c r="H54">
        <v>2</v>
      </c>
      <c r="J54">
        <f t="shared" si="2"/>
        <v>86</v>
      </c>
      <c r="L54">
        <f t="shared" si="3"/>
        <v>3.8392857142857145E-2</v>
      </c>
    </row>
    <row r="55" spans="1:12" x14ac:dyDescent="0.25">
      <c r="A55">
        <v>1730</v>
      </c>
      <c r="B55" t="s">
        <v>6</v>
      </c>
      <c r="C55" t="s">
        <v>69</v>
      </c>
      <c r="D55" t="s">
        <v>35</v>
      </c>
      <c r="F55">
        <v>116325</v>
      </c>
      <c r="H55">
        <v>7</v>
      </c>
      <c r="J55">
        <f t="shared" si="2"/>
        <v>13028407</v>
      </c>
      <c r="L55">
        <f t="shared" si="3"/>
        <v>5816.2531250000002</v>
      </c>
    </row>
    <row r="56" spans="1:12" x14ac:dyDescent="0.25">
      <c r="A56">
        <v>1730</v>
      </c>
      <c r="B56" t="s">
        <v>61</v>
      </c>
      <c r="C56" t="s">
        <v>69</v>
      </c>
      <c r="D56" t="s">
        <v>35</v>
      </c>
      <c r="J56">
        <f t="shared" si="2"/>
        <v>0</v>
      </c>
      <c r="L56">
        <f t="shared" si="3"/>
        <v>0</v>
      </c>
    </row>
    <row r="57" spans="1:12" x14ac:dyDescent="0.25">
      <c r="A57">
        <v>1730</v>
      </c>
      <c r="B57" t="s">
        <v>7</v>
      </c>
      <c r="C57" t="s">
        <v>69</v>
      </c>
      <c r="D57" t="s">
        <v>35</v>
      </c>
      <c r="J57">
        <f t="shared" si="2"/>
        <v>0</v>
      </c>
      <c r="L57">
        <f t="shared" si="3"/>
        <v>0</v>
      </c>
    </row>
    <row r="58" spans="1:12" x14ac:dyDescent="0.25">
      <c r="A58">
        <v>1730</v>
      </c>
      <c r="B58" t="s">
        <v>8</v>
      </c>
      <c r="C58" t="s">
        <v>69</v>
      </c>
      <c r="D58" t="s">
        <v>35</v>
      </c>
      <c r="F58">
        <v>103</v>
      </c>
      <c r="G58">
        <v>1</v>
      </c>
      <c r="H58">
        <v>26</v>
      </c>
      <c r="J58">
        <f t="shared" si="2"/>
        <v>11590</v>
      </c>
      <c r="L58">
        <f t="shared" si="3"/>
        <v>5.1741071428571432</v>
      </c>
    </row>
    <row r="59" spans="1:12" x14ac:dyDescent="0.25">
      <c r="A59">
        <v>1730</v>
      </c>
      <c r="B59" t="s">
        <v>9</v>
      </c>
      <c r="C59" t="s">
        <v>69</v>
      </c>
      <c r="D59" t="s">
        <v>35</v>
      </c>
      <c r="H59">
        <v>167946</v>
      </c>
      <c r="J59">
        <f t="shared" si="2"/>
        <v>167946</v>
      </c>
      <c r="L59">
        <f t="shared" si="3"/>
        <v>74.975892857142853</v>
      </c>
    </row>
    <row r="60" spans="1:12" x14ac:dyDescent="0.25">
      <c r="A60">
        <v>1730</v>
      </c>
      <c r="B60" t="s">
        <v>10</v>
      </c>
      <c r="C60" t="s">
        <v>69</v>
      </c>
      <c r="D60" t="s">
        <v>35</v>
      </c>
      <c r="F60">
        <v>4573</v>
      </c>
      <c r="G60">
        <v>2</v>
      </c>
      <c r="H60">
        <v>12</v>
      </c>
      <c r="J60">
        <f t="shared" si="2"/>
        <v>512244</v>
      </c>
      <c r="L60">
        <f t="shared" si="3"/>
        <v>228.68035714285713</v>
      </c>
    </row>
    <row r="61" spans="1:12" x14ac:dyDescent="0.25">
      <c r="A61">
        <v>1730</v>
      </c>
      <c r="B61" t="s">
        <v>11</v>
      </c>
      <c r="C61" t="s">
        <v>69</v>
      </c>
      <c r="D61" t="s">
        <v>35</v>
      </c>
      <c r="F61">
        <v>160</v>
      </c>
      <c r="G61">
        <v>3</v>
      </c>
      <c r="H61">
        <v>7</v>
      </c>
      <c r="J61">
        <f t="shared" si="2"/>
        <v>18011</v>
      </c>
      <c r="L61">
        <f t="shared" si="3"/>
        <v>8.0406250000000004</v>
      </c>
    </row>
    <row r="62" spans="1:12" x14ac:dyDescent="0.25">
      <c r="A62">
        <v>1730</v>
      </c>
      <c r="B62" t="s">
        <v>40</v>
      </c>
      <c r="C62" t="s">
        <v>69</v>
      </c>
      <c r="D62" t="s">
        <v>35</v>
      </c>
      <c r="H62">
        <v>14</v>
      </c>
      <c r="J62">
        <f t="shared" si="2"/>
        <v>14</v>
      </c>
      <c r="L62">
        <f t="shared" si="3"/>
        <v>6.2500000000000003E-3</v>
      </c>
    </row>
    <row r="63" spans="1:12" x14ac:dyDescent="0.25">
      <c r="A63">
        <v>1730</v>
      </c>
      <c r="B63" t="s">
        <v>12</v>
      </c>
      <c r="C63" t="s">
        <v>69</v>
      </c>
      <c r="D63" t="s">
        <v>35</v>
      </c>
      <c r="H63">
        <f>2070+119795</f>
        <v>121865</v>
      </c>
      <c r="J63">
        <f t="shared" si="2"/>
        <v>121865</v>
      </c>
      <c r="L63">
        <f t="shared" si="3"/>
        <v>54.404017857142854</v>
      </c>
    </row>
    <row r="64" spans="1:12" x14ac:dyDescent="0.25">
      <c r="A64">
        <v>1730</v>
      </c>
      <c r="B64" t="s">
        <v>13</v>
      </c>
      <c r="C64" t="s">
        <v>69</v>
      </c>
      <c r="D64" t="s">
        <v>35</v>
      </c>
      <c r="F64">
        <v>43</v>
      </c>
      <c r="J64">
        <f t="shared" si="2"/>
        <v>4816</v>
      </c>
      <c r="L64">
        <f t="shared" si="3"/>
        <v>2.15</v>
      </c>
    </row>
    <row r="65" spans="1:12" x14ac:dyDescent="0.25">
      <c r="A65">
        <v>1730</v>
      </c>
      <c r="B65" t="s">
        <v>14</v>
      </c>
      <c r="C65" t="s">
        <v>69</v>
      </c>
      <c r="D65" t="s">
        <v>35</v>
      </c>
      <c r="H65">
        <v>10627</v>
      </c>
      <c r="I65" t="s">
        <v>112</v>
      </c>
      <c r="J65">
        <f t="shared" si="2"/>
        <v>10627</v>
      </c>
      <c r="L65">
        <f t="shared" si="3"/>
        <v>4.7441964285714286</v>
      </c>
    </row>
    <row r="66" spans="1:12" x14ac:dyDescent="0.25">
      <c r="A66">
        <v>1730</v>
      </c>
      <c r="B66" t="s">
        <v>27</v>
      </c>
      <c r="C66" t="s">
        <v>69</v>
      </c>
      <c r="D66" t="s">
        <v>35</v>
      </c>
      <c r="H66">
        <v>61020</v>
      </c>
      <c r="I66" t="s">
        <v>114</v>
      </c>
      <c r="J66">
        <f t="shared" si="2"/>
        <v>61020</v>
      </c>
      <c r="L66">
        <f t="shared" si="3"/>
        <v>27.241071428571427</v>
      </c>
    </row>
    <row r="67" spans="1:12" x14ac:dyDescent="0.25">
      <c r="A67">
        <v>1730</v>
      </c>
      <c r="B67" t="s">
        <v>15</v>
      </c>
      <c r="C67" t="s">
        <v>69</v>
      </c>
      <c r="D67" t="s">
        <v>35</v>
      </c>
      <c r="E67">
        <v>2</v>
      </c>
      <c r="J67">
        <f t="shared" si="2"/>
        <v>4480</v>
      </c>
      <c r="L67">
        <f t="shared" si="3"/>
        <v>2</v>
      </c>
    </row>
    <row r="68" spans="1:12" x14ac:dyDescent="0.25">
      <c r="A68">
        <v>1730</v>
      </c>
      <c r="B68" t="s">
        <v>16</v>
      </c>
      <c r="C68" t="s">
        <v>69</v>
      </c>
      <c r="D68" t="s">
        <v>35</v>
      </c>
      <c r="H68">
        <v>49989</v>
      </c>
      <c r="J68">
        <f t="shared" si="2"/>
        <v>49989</v>
      </c>
      <c r="L68">
        <f t="shared" si="3"/>
        <v>22.316517857142856</v>
      </c>
    </row>
    <row r="69" spans="1:12" x14ac:dyDescent="0.25">
      <c r="A69">
        <v>1730</v>
      </c>
      <c r="B69" t="s">
        <v>17</v>
      </c>
      <c r="C69" t="s">
        <v>69</v>
      </c>
      <c r="D69" t="s">
        <v>35</v>
      </c>
      <c r="F69">
        <v>16</v>
      </c>
      <c r="H69">
        <v>6</v>
      </c>
      <c r="J69">
        <f t="shared" si="2"/>
        <v>1798</v>
      </c>
      <c r="L69">
        <f t="shared" si="3"/>
        <v>0.80267857142857146</v>
      </c>
    </row>
    <row r="70" spans="1:12" x14ac:dyDescent="0.25">
      <c r="A70">
        <v>1730</v>
      </c>
      <c r="B70" t="s">
        <v>18</v>
      </c>
      <c r="C70" t="s">
        <v>69</v>
      </c>
      <c r="D70" t="s">
        <v>35</v>
      </c>
      <c r="H70">
        <v>503102</v>
      </c>
      <c r="I70" t="s">
        <v>113</v>
      </c>
      <c r="J70">
        <f t="shared" si="2"/>
        <v>503102</v>
      </c>
      <c r="L70">
        <f t="shared" si="3"/>
        <v>224.59910714285715</v>
      </c>
    </row>
    <row r="71" spans="1:12" x14ac:dyDescent="0.25">
      <c r="A71">
        <v>1730</v>
      </c>
      <c r="B71" t="s">
        <v>19</v>
      </c>
      <c r="C71" t="s">
        <v>69</v>
      </c>
      <c r="D71" t="s">
        <v>35</v>
      </c>
      <c r="F71">
        <v>5</v>
      </c>
      <c r="G71">
        <v>3</v>
      </c>
      <c r="H71">
        <v>5</v>
      </c>
      <c r="J71">
        <f t="shared" si="2"/>
        <v>649</v>
      </c>
      <c r="L71">
        <f t="shared" si="3"/>
        <v>0.28973214285714288</v>
      </c>
    </row>
    <row r="72" spans="1:12" x14ac:dyDescent="0.25">
      <c r="A72">
        <v>1730</v>
      </c>
      <c r="B72" t="s">
        <v>46</v>
      </c>
      <c r="C72" t="s">
        <v>69</v>
      </c>
      <c r="D72" t="s">
        <v>35</v>
      </c>
      <c r="H72">
        <v>10903</v>
      </c>
      <c r="J72">
        <f t="shared" si="2"/>
        <v>10903</v>
      </c>
      <c r="L72">
        <f t="shared" si="3"/>
        <v>4.8674107142857146</v>
      </c>
    </row>
    <row r="73" spans="1:12" x14ac:dyDescent="0.25">
      <c r="A73">
        <v>1730</v>
      </c>
      <c r="B73" t="s">
        <v>55</v>
      </c>
      <c r="C73" t="s">
        <v>69</v>
      </c>
      <c r="D73" t="s">
        <v>35</v>
      </c>
      <c r="H73">
        <v>235</v>
      </c>
      <c r="J73">
        <f t="shared" si="2"/>
        <v>235</v>
      </c>
      <c r="L73">
        <f t="shared" si="3"/>
        <v>0.10491071428571429</v>
      </c>
    </row>
    <row r="74" spans="1:12" x14ac:dyDescent="0.25">
      <c r="A74">
        <v>1730</v>
      </c>
      <c r="B74" t="s">
        <v>73</v>
      </c>
      <c r="C74" t="s">
        <v>69</v>
      </c>
      <c r="D74" t="s">
        <v>35</v>
      </c>
      <c r="J74">
        <f t="shared" si="2"/>
        <v>0</v>
      </c>
      <c r="L74">
        <f t="shared" si="3"/>
        <v>0</v>
      </c>
    </row>
    <row r="75" spans="1:12" x14ac:dyDescent="0.25">
      <c r="A75">
        <v>1730</v>
      </c>
      <c r="B75" t="s">
        <v>21</v>
      </c>
      <c r="C75" t="s">
        <v>69</v>
      </c>
      <c r="D75" t="s">
        <v>35</v>
      </c>
      <c r="H75">
        <v>438</v>
      </c>
      <c r="J75">
        <f t="shared" si="2"/>
        <v>438</v>
      </c>
      <c r="L75">
        <f t="shared" si="3"/>
        <v>0.19553571428571428</v>
      </c>
    </row>
    <row r="76" spans="1:12" x14ac:dyDescent="0.25">
      <c r="A76">
        <v>1730</v>
      </c>
      <c r="B76" t="s">
        <v>22</v>
      </c>
      <c r="C76" t="s">
        <v>69</v>
      </c>
      <c r="D76" t="s">
        <v>35</v>
      </c>
      <c r="J76">
        <f t="shared" si="2"/>
        <v>0</v>
      </c>
      <c r="L76">
        <f t="shared" si="3"/>
        <v>0</v>
      </c>
    </row>
    <row r="77" spans="1:12" x14ac:dyDescent="0.25">
      <c r="A77">
        <v>1730</v>
      </c>
      <c r="B77" t="s">
        <v>62</v>
      </c>
      <c r="C77" t="s">
        <v>69</v>
      </c>
      <c r="D77" t="s">
        <v>35</v>
      </c>
      <c r="J77">
        <f t="shared" si="2"/>
        <v>0</v>
      </c>
      <c r="L77">
        <f t="shared" si="3"/>
        <v>0</v>
      </c>
    </row>
    <row r="78" spans="1:12" x14ac:dyDescent="0.25">
      <c r="A78">
        <v>1730</v>
      </c>
      <c r="B78" t="s">
        <v>63</v>
      </c>
      <c r="C78" t="s">
        <v>69</v>
      </c>
      <c r="D78" t="s">
        <v>35</v>
      </c>
      <c r="E78">
        <v>4</v>
      </c>
      <c r="J78">
        <f t="shared" si="2"/>
        <v>8960</v>
      </c>
      <c r="L78">
        <f t="shared" si="3"/>
        <v>4</v>
      </c>
    </row>
    <row r="79" spans="1:12" x14ac:dyDescent="0.25">
      <c r="A79">
        <v>1730</v>
      </c>
      <c r="B79" t="s">
        <v>64</v>
      </c>
      <c r="C79" t="s">
        <v>69</v>
      </c>
      <c r="D79" t="s">
        <v>35</v>
      </c>
      <c r="E79">
        <v>231</v>
      </c>
      <c r="F79">
        <v>6</v>
      </c>
      <c r="G79">
        <v>2</v>
      </c>
      <c r="H79">
        <v>24</v>
      </c>
      <c r="J79">
        <f t="shared" si="2"/>
        <v>518192</v>
      </c>
      <c r="L79">
        <f t="shared" si="3"/>
        <v>231.33571428571429</v>
      </c>
    </row>
    <row r="80" spans="1:12" x14ac:dyDescent="0.25">
      <c r="A80">
        <v>1730</v>
      </c>
      <c r="B80" t="s">
        <v>72</v>
      </c>
      <c r="C80" t="s">
        <v>69</v>
      </c>
      <c r="D80" t="s">
        <v>35</v>
      </c>
      <c r="E80">
        <v>71</v>
      </c>
      <c r="F80">
        <v>15</v>
      </c>
      <c r="G80">
        <v>1</v>
      </c>
      <c r="H80">
        <v>26</v>
      </c>
      <c r="J80">
        <f t="shared" si="2"/>
        <v>160774</v>
      </c>
      <c r="L80">
        <f t="shared" si="3"/>
        <v>71.774107142857147</v>
      </c>
    </row>
    <row r="81" spans="1:12" x14ac:dyDescent="0.25">
      <c r="A81">
        <v>1730</v>
      </c>
      <c r="B81" t="s">
        <v>65</v>
      </c>
      <c r="C81" t="s">
        <v>69</v>
      </c>
      <c r="D81" t="s">
        <v>35</v>
      </c>
      <c r="E81">
        <v>49</v>
      </c>
      <c r="F81">
        <v>16</v>
      </c>
      <c r="G81">
        <v>2</v>
      </c>
      <c r="H81">
        <v>23</v>
      </c>
      <c r="J81">
        <f t="shared" si="2"/>
        <v>111631</v>
      </c>
      <c r="L81">
        <f t="shared" si="3"/>
        <v>49.83526785714286</v>
      </c>
    </row>
  </sheetData>
  <autoFilter ref="A1:O66" xr:uid="{8C2F7725-5A61-4A1B-A740-CC887BCB0E68}">
    <sortState xmlns:xlrd2="http://schemas.microsoft.com/office/spreadsheetml/2017/richdata2" ref="A2:O66">
      <sortCondition ref="B1:B66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13998-4536-4659-A938-5514675D65BA}">
  <dimension ref="A1:L66"/>
  <sheetViews>
    <sheetView topLeftCell="A18" workbookViewId="0">
      <selection activeCell="H52" sqref="H52"/>
    </sheetView>
  </sheetViews>
  <sheetFormatPr defaultRowHeight="15" x14ac:dyDescent="0.25"/>
  <cols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2" x14ac:dyDescent="0.25">
      <c r="A1" s="1" t="s">
        <v>49</v>
      </c>
      <c r="B1" s="1" t="s">
        <v>50</v>
      </c>
      <c r="C1" s="1" t="s">
        <v>51</v>
      </c>
      <c r="D1" s="1" t="s">
        <v>52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53</v>
      </c>
    </row>
    <row r="2" spans="1:12" x14ac:dyDescent="0.25">
      <c r="A2">
        <v>1730</v>
      </c>
      <c r="B2" t="s">
        <v>56</v>
      </c>
      <c r="C2" t="s">
        <v>74</v>
      </c>
      <c r="D2" t="s">
        <v>33</v>
      </c>
      <c r="J2">
        <f>(E2*2240)+(F2*112)+(G2*28)+H2</f>
        <v>0</v>
      </c>
      <c r="L2">
        <f>J2/2240</f>
        <v>0</v>
      </c>
    </row>
    <row r="3" spans="1:12" x14ac:dyDescent="0.25">
      <c r="A3">
        <v>1730</v>
      </c>
      <c r="B3" t="s">
        <v>58</v>
      </c>
      <c r="C3" t="s">
        <v>74</v>
      </c>
      <c r="D3" t="s">
        <v>33</v>
      </c>
      <c r="J3">
        <f>(E3*2240)+(F3*112)+(G3*28)+H3</f>
        <v>0</v>
      </c>
      <c r="L3">
        <f>J3/2240</f>
        <v>0</v>
      </c>
    </row>
    <row r="4" spans="1:12" x14ac:dyDescent="0.25">
      <c r="A4">
        <v>1730</v>
      </c>
      <c r="B4" t="s">
        <v>37</v>
      </c>
      <c r="C4" t="s">
        <v>74</v>
      </c>
      <c r="D4" t="s">
        <v>33</v>
      </c>
      <c r="J4">
        <f>(E4*2240)+(F4*112)+(G4*28)+H4</f>
        <v>0</v>
      </c>
      <c r="L4">
        <f>J4/2240</f>
        <v>0</v>
      </c>
    </row>
    <row r="5" spans="1:12" x14ac:dyDescent="0.25">
      <c r="A5">
        <v>1730</v>
      </c>
      <c r="B5" t="s">
        <v>4</v>
      </c>
      <c r="C5" t="s">
        <v>74</v>
      </c>
      <c r="D5" t="s">
        <v>33</v>
      </c>
      <c r="J5">
        <f>(E5*2240)+(F5*112)+(G5*28)+H5</f>
        <v>0</v>
      </c>
      <c r="L5">
        <f>J5/2240</f>
        <v>0</v>
      </c>
    </row>
    <row r="6" spans="1:12" x14ac:dyDescent="0.25">
      <c r="A6">
        <v>1730</v>
      </c>
      <c r="B6" t="s">
        <v>59</v>
      </c>
      <c r="C6" t="s">
        <v>74</v>
      </c>
      <c r="D6" t="s">
        <v>33</v>
      </c>
      <c r="J6">
        <f>(E6*2240)+(F6*112)+(G6*28)+H6</f>
        <v>0</v>
      </c>
      <c r="L6">
        <f>J6/2240</f>
        <v>0</v>
      </c>
    </row>
    <row r="7" spans="1:12" x14ac:dyDescent="0.25">
      <c r="A7">
        <v>1730</v>
      </c>
      <c r="B7" t="s">
        <v>70</v>
      </c>
      <c r="C7" t="s">
        <v>74</v>
      </c>
      <c r="D7" t="s">
        <v>33</v>
      </c>
      <c r="J7">
        <f t="shared" ref="J7:J25" si="0">(E7*2240)+(F7*112)+(G7*28)+H7</f>
        <v>0</v>
      </c>
      <c r="L7">
        <f t="shared" ref="L7:L27" si="1">J7/2240</f>
        <v>0</v>
      </c>
    </row>
    <row r="8" spans="1:12" x14ac:dyDescent="0.25">
      <c r="A8">
        <v>1730</v>
      </c>
      <c r="B8" t="s">
        <v>44</v>
      </c>
      <c r="C8" t="s">
        <v>74</v>
      </c>
      <c r="D8" t="s">
        <v>33</v>
      </c>
      <c r="J8">
        <f t="shared" si="0"/>
        <v>0</v>
      </c>
      <c r="L8">
        <f t="shared" si="1"/>
        <v>0</v>
      </c>
    </row>
    <row r="9" spans="1:12" x14ac:dyDescent="0.25">
      <c r="A9">
        <v>1730</v>
      </c>
      <c r="B9" t="s">
        <v>5</v>
      </c>
      <c r="C9" t="s">
        <v>74</v>
      </c>
      <c r="D9" t="s">
        <v>33</v>
      </c>
      <c r="F9">
        <v>72</v>
      </c>
      <c r="G9">
        <v>3</v>
      </c>
      <c r="H9">
        <v>14</v>
      </c>
      <c r="J9">
        <f t="shared" si="0"/>
        <v>8162</v>
      </c>
      <c r="L9">
        <f t="shared" si="1"/>
        <v>3.6437499999999998</v>
      </c>
    </row>
    <row r="10" spans="1:12" x14ac:dyDescent="0.25">
      <c r="A10">
        <v>1730</v>
      </c>
      <c r="B10" t="s">
        <v>60</v>
      </c>
      <c r="C10" t="s">
        <v>74</v>
      </c>
      <c r="D10" t="s">
        <v>33</v>
      </c>
      <c r="J10">
        <f t="shared" si="0"/>
        <v>0</v>
      </c>
      <c r="L10">
        <f t="shared" si="1"/>
        <v>0</v>
      </c>
    </row>
    <row r="11" spans="1:12" x14ac:dyDescent="0.25">
      <c r="A11">
        <v>1730</v>
      </c>
      <c r="B11" t="s">
        <v>6</v>
      </c>
      <c r="C11" t="s">
        <v>74</v>
      </c>
      <c r="D11" t="s">
        <v>33</v>
      </c>
      <c r="F11">
        <v>41286</v>
      </c>
      <c r="H11">
        <v>7</v>
      </c>
      <c r="J11">
        <f t="shared" si="0"/>
        <v>4624039</v>
      </c>
      <c r="L11">
        <f t="shared" si="1"/>
        <v>2064.3031249999999</v>
      </c>
    </row>
    <row r="12" spans="1:12" x14ac:dyDescent="0.25">
      <c r="A12">
        <v>1730</v>
      </c>
      <c r="B12" t="s">
        <v>61</v>
      </c>
      <c r="C12" t="s">
        <v>74</v>
      </c>
      <c r="D12" t="s">
        <v>33</v>
      </c>
      <c r="J12">
        <f t="shared" si="0"/>
        <v>0</v>
      </c>
      <c r="L12">
        <f t="shared" si="1"/>
        <v>0</v>
      </c>
    </row>
    <row r="13" spans="1:12" x14ac:dyDescent="0.25">
      <c r="A13">
        <v>1730</v>
      </c>
      <c r="B13" t="s">
        <v>39</v>
      </c>
      <c r="C13" t="s">
        <v>74</v>
      </c>
      <c r="D13" t="s">
        <v>33</v>
      </c>
      <c r="J13">
        <f t="shared" si="0"/>
        <v>0</v>
      </c>
      <c r="L13">
        <f t="shared" si="1"/>
        <v>0</v>
      </c>
    </row>
    <row r="14" spans="1:12" x14ac:dyDescent="0.25">
      <c r="A14">
        <v>1730</v>
      </c>
      <c r="B14" t="s">
        <v>38</v>
      </c>
      <c r="C14" t="s">
        <v>74</v>
      </c>
      <c r="D14" t="s">
        <v>33</v>
      </c>
      <c r="J14">
        <f t="shared" si="0"/>
        <v>0</v>
      </c>
      <c r="L14">
        <f t="shared" si="1"/>
        <v>0</v>
      </c>
    </row>
    <row r="15" spans="1:12" x14ac:dyDescent="0.25">
      <c r="A15">
        <v>1730</v>
      </c>
      <c r="B15" t="s">
        <v>8</v>
      </c>
      <c r="C15" t="s">
        <v>74</v>
      </c>
      <c r="D15" t="s">
        <v>33</v>
      </c>
      <c r="J15">
        <f t="shared" si="0"/>
        <v>0</v>
      </c>
      <c r="L15">
        <f t="shared" si="1"/>
        <v>0</v>
      </c>
    </row>
    <row r="16" spans="1:12" x14ac:dyDescent="0.25">
      <c r="A16">
        <v>1730</v>
      </c>
      <c r="B16" t="s">
        <v>41</v>
      </c>
      <c r="C16" t="s">
        <v>74</v>
      </c>
      <c r="D16" t="s">
        <v>33</v>
      </c>
      <c r="J16">
        <f t="shared" si="0"/>
        <v>0</v>
      </c>
      <c r="L16">
        <f t="shared" si="1"/>
        <v>0</v>
      </c>
    </row>
    <row r="17" spans="1:12" x14ac:dyDescent="0.25">
      <c r="A17">
        <v>1730</v>
      </c>
      <c r="B17" t="s">
        <v>47</v>
      </c>
      <c r="C17" t="s">
        <v>74</v>
      </c>
      <c r="D17" t="s">
        <v>33</v>
      </c>
      <c r="J17">
        <f t="shared" si="0"/>
        <v>0</v>
      </c>
      <c r="L17">
        <f t="shared" si="1"/>
        <v>0</v>
      </c>
    </row>
    <row r="18" spans="1:12" x14ac:dyDescent="0.25">
      <c r="A18">
        <v>1730</v>
      </c>
      <c r="B18" t="s">
        <v>9</v>
      </c>
      <c r="C18" t="s">
        <v>74</v>
      </c>
      <c r="D18" t="s">
        <v>33</v>
      </c>
      <c r="H18">
        <f>13*200</f>
        <v>2600</v>
      </c>
      <c r="I18" t="s">
        <v>96</v>
      </c>
      <c r="J18">
        <f t="shared" si="0"/>
        <v>2600</v>
      </c>
      <c r="L18">
        <f t="shared" si="1"/>
        <v>1.1607142857142858</v>
      </c>
    </row>
    <row r="19" spans="1:12" x14ac:dyDescent="0.25">
      <c r="A19">
        <v>1730</v>
      </c>
      <c r="B19" t="s">
        <v>10</v>
      </c>
      <c r="C19" t="s">
        <v>74</v>
      </c>
      <c r="D19" t="s">
        <v>33</v>
      </c>
      <c r="J19">
        <f t="shared" si="0"/>
        <v>0</v>
      </c>
      <c r="L19">
        <f t="shared" si="1"/>
        <v>0</v>
      </c>
    </row>
    <row r="20" spans="1:12" x14ac:dyDescent="0.25">
      <c r="A20">
        <v>1730</v>
      </c>
      <c r="B20" t="s">
        <v>11</v>
      </c>
      <c r="C20" t="s">
        <v>74</v>
      </c>
      <c r="D20" t="s">
        <v>33</v>
      </c>
      <c r="F20">
        <v>45</v>
      </c>
      <c r="G20">
        <v>3</v>
      </c>
      <c r="H20">
        <v>21</v>
      </c>
      <c r="J20">
        <f t="shared" si="0"/>
        <v>5145</v>
      </c>
      <c r="L20">
        <f t="shared" si="1"/>
        <v>2.296875</v>
      </c>
    </row>
    <row r="21" spans="1:12" x14ac:dyDescent="0.25">
      <c r="A21">
        <v>1730</v>
      </c>
      <c r="B21" t="s">
        <v>40</v>
      </c>
      <c r="C21" t="s">
        <v>74</v>
      </c>
      <c r="D21" t="s">
        <v>33</v>
      </c>
      <c r="J21">
        <f t="shared" si="0"/>
        <v>0</v>
      </c>
      <c r="L21">
        <f t="shared" si="1"/>
        <v>0</v>
      </c>
    </row>
    <row r="22" spans="1:12" x14ac:dyDescent="0.25">
      <c r="A22">
        <v>1730</v>
      </c>
      <c r="B22" t="s">
        <v>45</v>
      </c>
      <c r="C22" t="s">
        <v>74</v>
      </c>
      <c r="D22" t="s">
        <v>33</v>
      </c>
      <c r="J22">
        <f t="shared" si="0"/>
        <v>0</v>
      </c>
      <c r="L22">
        <f t="shared" si="1"/>
        <v>0</v>
      </c>
    </row>
    <row r="23" spans="1:12" x14ac:dyDescent="0.25">
      <c r="A23">
        <v>1730</v>
      </c>
      <c r="B23" t="s">
        <v>12</v>
      </c>
      <c r="C23" t="s">
        <v>74</v>
      </c>
      <c r="D23" t="s">
        <v>33</v>
      </c>
      <c r="H23">
        <v>365</v>
      </c>
      <c r="J23">
        <f t="shared" si="0"/>
        <v>365</v>
      </c>
      <c r="L23">
        <f t="shared" si="1"/>
        <v>0.16294642857142858</v>
      </c>
    </row>
    <row r="24" spans="1:12" x14ac:dyDescent="0.25">
      <c r="A24">
        <v>1730</v>
      </c>
      <c r="B24" t="s">
        <v>34</v>
      </c>
      <c r="C24" t="s">
        <v>74</v>
      </c>
      <c r="D24" t="s">
        <v>33</v>
      </c>
      <c r="J24">
        <f t="shared" si="0"/>
        <v>0</v>
      </c>
      <c r="L24">
        <f t="shared" si="1"/>
        <v>0</v>
      </c>
    </row>
    <row r="25" spans="1:12" x14ac:dyDescent="0.25">
      <c r="A25">
        <v>1730</v>
      </c>
      <c r="B25" t="s">
        <v>13</v>
      </c>
      <c r="C25" t="s">
        <v>74</v>
      </c>
      <c r="D25" t="s">
        <v>33</v>
      </c>
      <c r="J25">
        <f t="shared" si="0"/>
        <v>0</v>
      </c>
      <c r="L25">
        <f t="shared" si="1"/>
        <v>0</v>
      </c>
    </row>
    <row r="26" spans="1:12" x14ac:dyDescent="0.25">
      <c r="A26">
        <v>1730</v>
      </c>
      <c r="B26" t="s">
        <v>14</v>
      </c>
      <c r="C26" t="s">
        <v>74</v>
      </c>
      <c r="D26" t="s">
        <v>33</v>
      </c>
      <c r="H26">
        <v>4259</v>
      </c>
      <c r="I26" t="s">
        <v>93</v>
      </c>
      <c r="J26">
        <f t="shared" ref="J26:J65" si="2">(E26*2240)+(F26*112)+(G26*28)+H26</f>
        <v>4259</v>
      </c>
      <c r="L26">
        <f t="shared" si="1"/>
        <v>1.9013392857142857</v>
      </c>
    </row>
    <row r="27" spans="1:12" x14ac:dyDescent="0.25">
      <c r="A27">
        <v>1730</v>
      </c>
      <c r="B27" t="s">
        <v>23</v>
      </c>
      <c r="C27" t="s">
        <v>74</v>
      </c>
      <c r="D27" t="s">
        <v>33</v>
      </c>
      <c r="J27">
        <f t="shared" si="2"/>
        <v>0</v>
      </c>
      <c r="L27">
        <f t="shared" si="1"/>
        <v>0</v>
      </c>
    </row>
    <row r="28" spans="1:12" x14ac:dyDescent="0.25">
      <c r="A28">
        <v>1730</v>
      </c>
      <c r="B28" t="s">
        <v>27</v>
      </c>
      <c r="C28" t="s">
        <v>74</v>
      </c>
      <c r="D28" t="s">
        <v>33</v>
      </c>
      <c r="H28">
        <v>4219</v>
      </c>
      <c r="I28" t="s">
        <v>95</v>
      </c>
      <c r="J28">
        <f t="shared" si="2"/>
        <v>4219</v>
      </c>
      <c r="L28">
        <f t="shared" ref="L28:L65" si="3">J28/2240</f>
        <v>1.8834821428571429</v>
      </c>
    </row>
    <row r="29" spans="1:12" x14ac:dyDescent="0.25">
      <c r="A29">
        <v>1730</v>
      </c>
      <c r="B29" t="s">
        <v>15</v>
      </c>
      <c r="C29" t="s">
        <v>74</v>
      </c>
      <c r="D29" t="s">
        <v>33</v>
      </c>
      <c r="J29">
        <f t="shared" si="2"/>
        <v>0</v>
      </c>
      <c r="L29">
        <f t="shared" si="3"/>
        <v>0</v>
      </c>
    </row>
    <row r="30" spans="1:12" x14ac:dyDescent="0.25">
      <c r="A30">
        <v>1730</v>
      </c>
      <c r="B30" t="s">
        <v>43</v>
      </c>
      <c r="C30" t="s">
        <v>74</v>
      </c>
      <c r="D30" t="s">
        <v>33</v>
      </c>
      <c r="J30">
        <f t="shared" si="2"/>
        <v>0</v>
      </c>
      <c r="L30">
        <f t="shared" si="3"/>
        <v>0</v>
      </c>
    </row>
    <row r="31" spans="1:12" x14ac:dyDescent="0.25">
      <c r="A31">
        <v>1730</v>
      </c>
      <c r="B31" t="s">
        <v>48</v>
      </c>
      <c r="C31" t="s">
        <v>74</v>
      </c>
      <c r="D31" t="s">
        <v>33</v>
      </c>
      <c r="J31">
        <f t="shared" si="2"/>
        <v>0</v>
      </c>
      <c r="L31">
        <f t="shared" si="3"/>
        <v>0</v>
      </c>
    </row>
    <row r="32" spans="1:12" x14ac:dyDescent="0.25">
      <c r="A32">
        <v>1730</v>
      </c>
      <c r="B32" t="s">
        <v>16</v>
      </c>
      <c r="C32" t="s">
        <v>74</v>
      </c>
      <c r="D32" t="s">
        <v>33</v>
      </c>
      <c r="H32">
        <v>474</v>
      </c>
      <c r="J32">
        <f t="shared" si="2"/>
        <v>474</v>
      </c>
      <c r="L32">
        <f t="shared" si="3"/>
        <v>0.21160714285714285</v>
      </c>
    </row>
    <row r="33" spans="1:12" x14ac:dyDescent="0.25">
      <c r="A33">
        <v>1730</v>
      </c>
      <c r="B33" t="s">
        <v>17</v>
      </c>
      <c r="C33" t="s">
        <v>74</v>
      </c>
      <c r="D33" t="s">
        <v>33</v>
      </c>
      <c r="J33">
        <f t="shared" si="2"/>
        <v>0</v>
      </c>
      <c r="L33">
        <f t="shared" si="3"/>
        <v>0</v>
      </c>
    </row>
    <row r="34" spans="1:12" x14ac:dyDescent="0.25">
      <c r="A34">
        <v>1730</v>
      </c>
      <c r="B34" t="s">
        <v>18</v>
      </c>
      <c r="C34" t="s">
        <v>74</v>
      </c>
      <c r="D34" t="s">
        <v>33</v>
      </c>
      <c r="H34">
        <v>63129</v>
      </c>
      <c r="I34" t="s">
        <v>94</v>
      </c>
      <c r="J34">
        <f t="shared" si="2"/>
        <v>63129</v>
      </c>
      <c r="L34">
        <f t="shared" si="3"/>
        <v>28.182589285714286</v>
      </c>
    </row>
    <row r="35" spans="1:12" x14ac:dyDescent="0.25">
      <c r="A35">
        <v>1730</v>
      </c>
      <c r="B35" t="s">
        <v>71</v>
      </c>
      <c r="C35" t="s">
        <v>74</v>
      </c>
      <c r="D35" t="s">
        <v>33</v>
      </c>
      <c r="J35">
        <f t="shared" si="2"/>
        <v>0</v>
      </c>
      <c r="L35">
        <f t="shared" si="3"/>
        <v>0</v>
      </c>
    </row>
    <row r="36" spans="1:12" x14ac:dyDescent="0.25">
      <c r="A36">
        <v>1730</v>
      </c>
      <c r="B36" t="s">
        <v>19</v>
      </c>
      <c r="C36" t="s">
        <v>74</v>
      </c>
      <c r="D36" t="s">
        <v>33</v>
      </c>
      <c r="J36">
        <f t="shared" si="2"/>
        <v>0</v>
      </c>
      <c r="L36">
        <f t="shared" si="3"/>
        <v>0</v>
      </c>
    </row>
    <row r="37" spans="1:12" x14ac:dyDescent="0.25">
      <c r="A37">
        <v>1730</v>
      </c>
      <c r="B37" t="s">
        <v>46</v>
      </c>
      <c r="C37" t="s">
        <v>74</v>
      </c>
      <c r="D37" t="s">
        <v>33</v>
      </c>
      <c r="J37">
        <f t="shared" si="2"/>
        <v>0</v>
      </c>
      <c r="L37">
        <f t="shared" si="3"/>
        <v>0</v>
      </c>
    </row>
    <row r="38" spans="1:12" x14ac:dyDescent="0.25">
      <c r="A38">
        <v>1730</v>
      </c>
      <c r="B38" t="s">
        <v>55</v>
      </c>
      <c r="C38" t="s">
        <v>74</v>
      </c>
      <c r="D38" t="s">
        <v>33</v>
      </c>
      <c r="H38">
        <v>201</v>
      </c>
      <c r="J38">
        <f t="shared" si="2"/>
        <v>201</v>
      </c>
      <c r="L38">
        <f t="shared" si="3"/>
        <v>8.9732142857142858E-2</v>
      </c>
    </row>
    <row r="39" spans="1:12" x14ac:dyDescent="0.25">
      <c r="A39">
        <v>1730</v>
      </c>
      <c r="B39" t="s">
        <v>20</v>
      </c>
      <c r="C39" t="s">
        <v>74</v>
      </c>
      <c r="D39" t="s">
        <v>33</v>
      </c>
      <c r="H39">
        <v>15074</v>
      </c>
      <c r="J39">
        <f t="shared" si="2"/>
        <v>15074</v>
      </c>
      <c r="L39">
        <f t="shared" si="3"/>
        <v>6.7294642857142861</v>
      </c>
    </row>
    <row r="40" spans="1:12" x14ac:dyDescent="0.25">
      <c r="A40">
        <v>1730</v>
      </c>
      <c r="B40" t="s">
        <v>21</v>
      </c>
      <c r="C40" t="s">
        <v>74</v>
      </c>
      <c r="D40" t="s">
        <v>33</v>
      </c>
      <c r="J40">
        <f t="shared" si="2"/>
        <v>0</v>
      </c>
      <c r="L40">
        <f t="shared" si="3"/>
        <v>0</v>
      </c>
    </row>
    <row r="41" spans="1:12" x14ac:dyDescent="0.25">
      <c r="A41">
        <v>1730</v>
      </c>
      <c r="B41" t="s">
        <v>22</v>
      </c>
      <c r="C41" t="s">
        <v>74</v>
      </c>
      <c r="D41" t="s">
        <v>33</v>
      </c>
      <c r="J41">
        <f t="shared" si="2"/>
        <v>0</v>
      </c>
      <c r="L41">
        <f t="shared" si="3"/>
        <v>0</v>
      </c>
    </row>
    <row r="42" spans="1:12" x14ac:dyDescent="0.25">
      <c r="A42">
        <v>1730</v>
      </c>
      <c r="B42" t="s">
        <v>62</v>
      </c>
      <c r="C42" t="s">
        <v>74</v>
      </c>
      <c r="D42" t="s">
        <v>33</v>
      </c>
      <c r="J42">
        <f t="shared" si="2"/>
        <v>0</v>
      </c>
      <c r="L42">
        <f t="shared" si="3"/>
        <v>0</v>
      </c>
    </row>
    <row r="43" spans="1:12" x14ac:dyDescent="0.25">
      <c r="A43">
        <v>1730</v>
      </c>
      <c r="B43" t="s">
        <v>63</v>
      </c>
      <c r="C43" t="s">
        <v>74</v>
      </c>
      <c r="D43" t="s">
        <v>33</v>
      </c>
      <c r="J43">
        <f t="shared" si="2"/>
        <v>0</v>
      </c>
      <c r="L43">
        <f t="shared" si="3"/>
        <v>0</v>
      </c>
    </row>
    <row r="44" spans="1:12" x14ac:dyDescent="0.25">
      <c r="A44">
        <v>1730</v>
      </c>
      <c r="B44" t="s">
        <v>64</v>
      </c>
      <c r="C44" t="s">
        <v>74</v>
      </c>
      <c r="D44" t="s">
        <v>33</v>
      </c>
      <c r="J44">
        <f t="shared" si="2"/>
        <v>0</v>
      </c>
      <c r="L44">
        <f t="shared" si="3"/>
        <v>0</v>
      </c>
    </row>
    <row r="45" spans="1:12" x14ac:dyDescent="0.25">
      <c r="A45">
        <v>1730</v>
      </c>
      <c r="B45" t="s">
        <v>72</v>
      </c>
      <c r="C45" t="s">
        <v>74</v>
      </c>
      <c r="D45" t="s">
        <v>33</v>
      </c>
      <c r="J45">
        <f t="shared" si="2"/>
        <v>0</v>
      </c>
      <c r="L45">
        <f t="shared" si="3"/>
        <v>0</v>
      </c>
    </row>
    <row r="46" spans="1:12" x14ac:dyDescent="0.25">
      <c r="A46">
        <v>1730</v>
      </c>
      <c r="B46" t="s">
        <v>65</v>
      </c>
      <c r="C46" t="s">
        <v>74</v>
      </c>
      <c r="D46" t="s">
        <v>33</v>
      </c>
      <c r="J46">
        <f t="shared" si="2"/>
        <v>0</v>
      </c>
      <c r="L46">
        <f t="shared" si="3"/>
        <v>0</v>
      </c>
    </row>
    <row r="47" spans="1:12" x14ac:dyDescent="0.25">
      <c r="A47">
        <v>1730</v>
      </c>
      <c r="B47" t="s">
        <v>66</v>
      </c>
      <c r="C47" t="s">
        <v>74</v>
      </c>
      <c r="D47" t="s">
        <v>33</v>
      </c>
      <c r="J47">
        <f t="shared" si="2"/>
        <v>0</v>
      </c>
      <c r="L47">
        <f t="shared" si="3"/>
        <v>0</v>
      </c>
    </row>
    <row r="48" spans="1:12" x14ac:dyDescent="0.25">
      <c r="A48">
        <v>1730</v>
      </c>
      <c r="B48" t="s">
        <v>6</v>
      </c>
      <c r="C48" t="s">
        <v>74</v>
      </c>
      <c r="D48" t="s">
        <v>35</v>
      </c>
      <c r="F48">
        <v>3465</v>
      </c>
      <c r="G48">
        <v>1</v>
      </c>
      <c r="H48">
        <v>1</v>
      </c>
      <c r="J48">
        <f t="shared" si="2"/>
        <v>388109</v>
      </c>
      <c r="L48">
        <f t="shared" si="3"/>
        <v>173.26294642857144</v>
      </c>
    </row>
    <row r="49" spans="1:12" x14ac:dyDescent="0.25">
      <c r="A49">
        <v>1730</v>
      </c>
      <c r="B49" t="s">
        <v>7</v>
      </c>
      <c r="C49" t="s">
        <v>74</v>
      </c>
      <c r="D49" t="s">
        <v>35</v>
      </c>
      <c r="J49">
        <f t="shared" si="2"/>
        <v>0</v>
      </c>
      <c r="L49">
        <f t="shared" si="3"/>
        <v>0</v>
      </c>
    </row>
    <row r="50" spans="1:12" x14ac:dyDescent="0.25">
      <c r="A50">
        <v>1730</v>
      </c>
      <c r="B50" t="s">
        <v>8</v>
      </c>
      <c r="C50" t="s">
        <v>74</v>
      </c>
      <c r="D50" t="s">
        <v>35</v>
      </c>
      <c r="J50">
        <f t="shared" si="2"/>
        <v>0</v>
      </c>
      <c r="L50">
        <f t="shared" si="3"/>
        <v>0</v>
      </c>
    </row>
    <row r="51" spans="1:12" x14ac:dyDescent="0.25">
      <c r="A51">
        <v>1730</v>
      </c>
      <c r="B51" t="s">
        <v>9</v>
      </c>
      <c r="C51" t="s">
        <v>74</v>
      </c>
      <c r="D51" t="s">
        <v>35</v>
      </c>
      <c r="H51">
        <f>27*200</f>
        <v>5400</v>
      </c>
      <c r="I51" t="s">
        <v>117</v>
      </c>
      <c r="J51">
        <f t="shared" si="2"/>
        <v>5400</v>
      </c>
      <c r="L51">
        <f t="shared" si="3"/>
        <v>2.4107142857142856</v>
      </c>
    </row>
    <row r="52" spans="1:12" x14ac:dyDescent="0.25">
      <c r="A52">
        <v>1730</v>
      </c>
      <c r="B52" t="s">
        <v>10</v>
      </c>
      <c r="C52" t="s">
        <v>74</v>
      </c>
      <c r="D52" t="s">
        <v>35</v>
      </c>
      <c r="J52">
        <f t="shared" si="2"/>
        <v>0</v>
      </c>
      <c r="L52">
        <f t="shared" si="3"/>
        <v>0</v>
      </c>
    </row>
    <row r="53" spans="1:12" x14ac:dyDescent="0.25">
      <c r="A53">
        <v>1730</v>
      </c>
      <c r="B53" t="s">
        <v>11</v>
      </c>
      <c r="C53" t="s">
        <v>74</v>
      </c>
      <c r="D53" t="s">
        <v>35</v>
      </c>
      <c r="F53">
        <v>2</v>
      </c>
      <c r="G53">
        <v>3</v>
      </c>
      <c r="H53">
        <v>3</v>
      </c>
      <c r="J53">
        <f t="shared" si="2"/>
        <v>311</v>
      </c>
      <c r="L53">
        <f t="shared" si="3"/>
        <v>0.13883928571428572</v>
      </c>
    </row>
    <row r="54" spans="1:12" x14ac:dyDescent="0.25">
      <c r="A54">
        <v>1730</v>
      </c>
      <c r="B54" t="s">
        <v>12</v>
      </c>
      <c r="C54" t="s">
        <v>74</v>
      </c>
      <c r="D54" t="s">
        <v>35</v>
      </c>
      <c r="H54">
        <v>560</v>
      </c>
      <c r="J54">
        <f t="shared" si="2"/>
        <v>560</v>
      </c>
      <c r="L54">
        <f t="shared" si="3"/>
        <v>0.25</v>
      </c>
    </row>
    <row r="55" spans="1:12" x14ac:dyDescent="0.25">
      <c r="A55">
        <v>1730</v>
      </c>
      <c r="B55" t="s">
        <v>13</v>
      </c>
      <c r="C55" t="s">
        <v>74</v>
      </c>
      <c r="D55" t="s">
        <v>35</v>
      </c>
      <c r="F55">
        <v>120</v>
      </c>
      <c r="J55">
        <f t="shared" si="2"/>
        <v>13440</v>
      </c>
      <c r="L55">
        <f t="shared" si="3"/>
        <v>6</v>
      </c>
    </row>
    <row r="56" spans="1:12" x14ac:dyDescent="0.25">
      <c r="A56">
        <v>1730</v>
      </c>
      <c r="B56" t="s">
        <v>14</v>
      </c>
      <c r="C56" t="s">
        <v>74</v>
      </c>
      <c r="D56" t="s">
        <v>35</v>
      </c>
      <c r="H56">
        <v>303</v>
      </c>
      <c r="I56" t="s">
        <v>115</v>
      </c>
      <c r="J56">
        <f t="shared" si="2"/>
        <v>303</v>
      </c>
      <c r="L56">
        <f t="shared" si="3"/>
        <v>0.13526785714285713</v>
      </c>
    </row>
    <row r="57" spans="1:12" x14ac:dyDescent="0.25">
      <c r="A57">
        <v>1730</v>
      </c>
      <c r="B57" t="s">
        <v>27</v>
      </c>
      <c r="C57" t="s">
        <v>74</v>
      </c>
      <c r="D57" t="s">
        <v>35</v>
      </c>
      <c r="J57">
        <f t="shared" si="2"/>
        <v>0</v>
      </c>
      <c r="L57">
        <f t="shared" si="3"/>
        <v>0</v>
      </c>
    </row>
    <row r="58" spans="1:12" x14ac:dyDescent="0.25">
      <c r="A58">
        <v>1730</v>
      </c>
      <c r="B58" t="s">
        <v>15</v>
      </c>
      <c r="C58" t="s">
        <v>74</v>
      </c>
      <c r="D58" t="s">
        <v>35</v>
      </c>
      <c r="J58">
        <f t="shared" si="2"/>
        <v>0</v>
      </c>
      <c r="L58">
        <f t="shared" si="3"/>
        <v>0</v>
      </c>
    </row>
    <row r="59" spans="1:12" x14ac:dyDescent="0.25">
      <c r="A59">
        <v>1730</v>
      </c>
      <c r="B59" t="s">
        <v>17</v>
      </c>
      <c r="C59" t="s">
        <v>74</v>
      </c>
      <c r="D59" t="s">
        <v>35</v>
      </c>
      <c r="J59">
        <f t="shared" si="2"/>
        <v>0</v>
      </c>
      <c r="L59">
        <f t="shared" si="3"/>
        <v>0</v>
      </c>
    </row>
    <row r="60" spans="1:12" x14ac:dyDescent="0.25">
      <c r="A60">
        <v>1730</v>
      </c>
      <c r="B60" t="s">
        <v>18</v>
      </c>
      <c r="C60" t="s">
        <v>74</v>
      </c>
      <c r="D60" t="s">
        <v>35</v>
      </c>
      <c r="H60">
        <v>6257</v>
      </c>
      <c r="I60" t="s">
        <v>116</v>
      </c>
      <c r="J60">
        <f t="shared" si="2"/>
        <v>6257</v>
      </c>
      <c r="L60">
        <f t="shared" si="3"/>
        <v>2.7933035714285714</v>
      </c>
    </row>
    <row r="61" spans="1:12" x14ac:dyDescent="0.25">
      <c r="A61">
        <v>1730</v>
      </c>
      <c r="B61" t="s">
        <v>19</v>
      </c>
      <c r="C61" t="s">
        <v>74</v>
      </c>
      <c r="D61" t="s">
        <v>35</v>
      </c>
      <c r="J61">
        <f t="shared" si="2"/>
        <v>0</v>
      </c>
      <c r="L61">
        <f t="shared" si="3"/>
        <v>0</v>
      </c>
    </row>
    <row r="62" spans="1:12" x14ac:dyDescent="0.25">
      <c r="A62">
        <v>1730</v>
      </c>
      <c r="B62" t="s">
        <v>55</v>
      </c>
      <c r="C62" t="s">
        <v>74</v>
      </c>
      <c r="D62" t="s">
        <v>35</v>
      </c>
      <c r="J62">
        <f t="shared" si="2"/>
        <v>0</v>
      </c>
      <c r="L62">
        <f t="shared" si="3"/>
        <v>0</v>
      </c>
    </row>
    <row r="63" spans="1:12" x14ac:dyDescent="0.25">
      <c r="A63">
        <v>1730</v>
      </c>
      <c r="B63" t="s">
        <v>21</v>
      </c>
      <c r="C63" t="s">
        <v>74</v>
      </c>
      <c r="D63" t="s">
        <v>35</v>
      </c>
      <c r="J63">
        <f t="shared" si="2"/>
        <v>0</v>
      </c>
      <c r="L63">
        <f t="shared" si="3"/>
        <v>0</v>
      </c>
    </row>
    <row r="64" spans="1:12" x14ac:dyDescent="0.25">
      <c r="A64">
        <v>1730</v>
      </c>
      <c r="B64" t="s">
        <v>22</v>
      </c>
      <c r="C64" t="s">
        <v>74</v>
      </c>
      <c r="D64" t="s">
        <v>35</v>
      </c>
      <c r="J64">
        <f t="shared" si="2"/>
        <v>0</v>
      </c>
      <c r="L64">
        <f t="shared" si="3"/>
        <v>0</v>
      </c>
    </row>
    <row r="65" spans="10:12" x14ac:dyDescent="0.25">
      <c r="J65">
        <f t="shared" si="2"/>
        <v>0</v>
      </c>
      <c r="L65">
        <f t="shared" si="3"/>
        <v>0</v>
      </c>
    </row>
    <row r="66" spans="10:12" x14ac:dyDescent="0.25">
      <c r="J66">
        <f t="shared" ref="J66" si="4">(E66*2240)+(F66*112)+(G66*28)+H66</f>
        <v>0</v>
      </c>
      <c r="L66">
        <f t="shared" ref="L66" si="5">J66/2240</f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78D41-F260-45DD-BAFF-5C983F846926}">
  <dimension ref="A1:L66"/>
  <sheetViews>
    <sheetView workbookViewId="0">
      <selection activeCell="H19" sqref="H19"/>
    </sheetView>
  </sheetViews>
  <sheetFormatPr defaultRowHeight="15" x14ac:dyDescent="0.25"/>
  <cols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2" x14ac:dyDescent="0.25">
      <c r="A1" s="1" t="s">
        <v>49</v>
      </c>
      <c r="B1" s="1" t="s">
        <v>50</v>
      </c>
      <c r="C1" s="1" t="s">
        <v>51</v>
      </c>
      <c r="D1" s="1" t="s">
        <v>52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53</v>
      </c>
    </row>
    <row r="2" spans="1:12" x14ac:dyDescent="0.25">
      <c r="A2">
        <v>1730</v>
      </c>
      <c r="B2" t="s">
        <v>56</v>
      </c>
      <c r="C2" t="s">
        <v>75</v>
      </c>
      <c r="D2" t="s">
        <v>33</v>
      </c>
      <c r="J2">
        <f>(E2*2240)+(F2*112)+(G2*28)+H2</f>
        <v>0</v>
      </c>
      <c r="L2">
        <f>J2/2240</f>
        <v>0</v>
      </c>
    </row>
    <row r="3" spans="1:12" x14ac:dyDescent="0.25">
      <c r="A3">
        <v>1730</v>
      </c>
      <c r="B3" t="s">
        <v>58</v>
      </c>
      <c r="C3" t="s">
        <v>75</v>
      </c>
      <c r="D3" t="s">
        <v>33</v>
      </c>
      <c r="J3">
        <f>(E3*2240)+(F3*112)+(G3*28)+H3</f>
        <v>0</v>
      </c>
      <c r="L3">
        <f>J3/2240</f>
        <v>0</v>
      </c>
    </row>
    <row r="4" spans="1:12" x14ac:dyDescent="0.25">
      <c r="A4">
        <v>1730</v>
      </c>
      <c r="B4" t="s">
        <v>37</v>
      </c>
      <c r="C4" t="s">
        <v>75</v>
      </c>
      <c r="D4" t="s">
        <v>33</v>
      </c>
      <c r="J4">
        <f>(E4*2240)+(F4*112)+(G4*28)+H4</f>
        <v>0</v>
      </c>
      <c r="L4">
        <f>J4/2240</f>
        <v>0</v>
      </c>
    </row>
    <row r="5" spans="1:12" x14ac:dyDescent="0.25">
      <c r="A5">
        <v>1730</v>
      </c>
      <c r="B5" t="s">
        <v>4</v>
      </c>
      <c r="C5" t="s">
        <v>75</v>
      </c>
      <c r="D5" t="s">
        <v>33</v>
      </c>
      <c r="J5">
        <f>(E5*2240)+(F5*112)+(G5*28)+H5</f>
        <v>0</v>
      </c>
      <c r="L5">
        <f>J5/2240</f>
        <v>0</v>
      </c>
    </row>
    <row r="6" spans="1:12" x14ac:dyDescent="0.25">
      <c r="A6">
        <v>1730</v>
      </c>
      <c r="B6" t="s">
        <v>59</v>
      </c>
      <c r="C6" t="s">
        <v>75</v>
      </c>
      <c r="D6" t="s">
        <v>33</v>
      </c>
      <c r="J6">
        <f>(E6*2240)+(F6*112)+(G6*28)+H6</f>
        <v>0</v>
      </c>
      <c r="L6">
        <f>J6/2240</f>
        <v>0</v>
      </c>
    </row>
    <row r="7" spans="1:12" x14ac:dyDescent="0.25">
      <c r="A7">
        <v>1730</v>
      </c>
      <c r="B7" t="s">
        <v>70</v>
      </c>
      <c r="C7" t="s">
        <v>75</v>
      </c>
      <c r="D7" t="s">
        <v>33</v>
      </c>
      <c r="J7">
        <f t="shared" ref="J7:J25" si="0">(E7*2240)+(F7*112)+(G7*28)+H7</f>
        <v>0</v>
      </c>
      <c r="L7">
        <f t="shared" ref="L7:L27" si="1">J7/2240</f>
        <v>0</v>
      </c>
    </row>
    <row r="8" spans="1:12" x14ac:dyDescent="0.25">
      <c r="A8">
        <v>1730</v>
      </c>
      <c r="B8" t="s">
        <v>44</v>
      </c>
      <c r="C8" t="s">
        <v>75</v>
      </c>
      <c r="D8" t="s">
        <v>33</v>
      </c>
      <c r="J8">
        <f t="shared" si="0"/>
        <v>0</v>
      </c>
      <c r="L8">
        <f t="shared" si="1"/>
        <v>0</v>
      </c>
    </row>
    <row r="9" spans="1:12" x14ac:dyDescent="0.25">
      <c r="A9">
        <v>1730</v>
      </c>
      <c r="B9" t="s">
        <v>5</v>
      </c>
      <c r="C9" t="s">
        <v>75</v>
      </c>
      <c r="D9" t="s">
        <v>33</v>
      </c>
      <c r="J9">
        <f t="shared" si="0"/>
        <v>0</v>
      </c>
      <c r="L9">
        <f t="shared" si="1"/>
        <v>0</v>
      </c>
    </row>
    <row r="10" spans="1:12" x14ac:dyDescent="0.25">
      <c r="A10">
        <v>1730</v>
      </c>
      <c r="B10" t="s">
        <v>60</v>
      </c>
      <c r="C10" t="s">
        <v>75</v>
      </c>
      <c r="D10" t="s">
        <v>33</v>
      </c>
      <c r="J10">
        <f t="shared" si="0"/>
        <v>0</v>
      </c>
      <c r="L10">
        <f t="shared" si="1"/>
        <v>0</v>
      </c>
    </row>
    <row r="11" spans="1:12" x14ac:dyDescent="0.25">
      <c r="A11">
        <v>1730</v>
      </c>
      <c r="B11" t="s">
        <v>6</v>
      </c>
      <c r="C11" t="s">
        <v>75</v>
      </c>
      <c r="D11" t="s">
        <v>33</v>
      </c>
      <c r="F11">
        <v>43115</v>
      </c>
      <c r="H11">
        <v>8</v>
      </c>
      <c r="J11">
        <f t="shared" si="0"/>
        <v>4828888</v>
      </c>
      <c r="L11">
        <f t="shared" si="1"/>
        <v>2155.7535714285714</v>
      </c>
    </row>
    <row r="12" spans="1:12" x14ac:dyDescent="0.25">
      <c r="A12">
        <v>1730</v>
      </c>
      <c r="B12" t="s">
        <v>61</v>
      </c>
      <c r="C12" t="s">
        <v>75</v>
      </c>
      <c r="D12" t="s">
        <v>33</v>
      </c>
      <c r="J12">
        <f t="shared" si="0"/>
        <v>0</v>
      </c>
      <c r="L12">
        <f t="shared" si="1"/>
        <v>0</v>
      </c>
    </row>
    <row r="13" spans="1:12" x14ac:dyDescent="0.25">
      <c r="A13">
        <v>1730</v>
      </c>
      <c r="B13" t="s">
        <v>39</v>
      </c>
      <c r="C13" t="s">
        <v>75</v>
      </c>
      <c r="D13" t="s">
        <v>33</v>
      </c>
      <c r="J13">
        <f t="shared" si="0"/>
        <v>0</v>
      </c>
      <c r="L13">
        <f t="shared" si="1"/>
        <v>0</v>
      </c>
    </row>
    <row r="14" spans="1:12" x14ac:dyDescent="0.25">
      <c r="A14">
        <v>1730</v>
      </c>
      <c r="B14" t="s">
        <v>38</v>
      </c>
      <c r="C14" t="s">
        <v>75</v>
      </c>
      <c r="D14" t="s">
        <v>33</v>
      </c>
      <c r="J14">
        <f t="shared" si="0"/>
        <v>0</v>
      </c>
      <c r="L14">
        <f t="shared" si="1"/>
        <v>0</v>
      </c>
    </row>
    <row r="15" spans="1:12" x14ac:dyDescent="0.25">
      <c r="A15">
        <v>1730</v>
      </c>
      <c r="B15" t="s">
        <v>8</v>
      </c>
      <c r="C15" t="s">
        <v>75</v>
      </c>
      <c r="D15" t="s">
        <v>33</v>
      </c>
      <c r="J15">
        <f t="shared" si="0"/>
        <v>0</v>
      </c>
      <c r="L15">
        <f t="shared" si="1"/>
        <v>0</v>
      </c>
    </row>
    <row r="16" spans="1:12" x14ac:dyDescent="0.25">
      <c r="A16">
        <v>1730</v>
      </c>
      <c r="B16" t="s">
        <v>41</v>
      </c>
      <c r="C16" t="s">
        <v>75</v>
      </c>
      <c r="D16" t="s">
        <v>33</v>
      </c>
      <c r="J16">
        <f t="shared" si="0"/>
        <v>0</v>
      </c>
      <c r="L16">
        <f t="shared" si="1"/>
        <v>0</v>
      </c>
    </row>
    <row r="17" spans="1:12" x14ac:dyDescent="0.25">
      <c r="A17">
        <v>1730</v>
      </c>
      <c r="B17" t="s">
        <v>47</v>
      </c>
      <c r="C17" t="s">
        <v>75</v>
      </c>
      <c r="D17" t="s">
        <v>33</v>
      </c>
      <c r="J17">
        <f t="shared" si="0"/>
        <v>0</v>
      </c>
      <c r="L17">
        <f t="shared" si="1"/>
        <v>0</v>
      </c>
    </row>
    <row r="18" spans="1:12" x14ac:dyDescent="0.25">
      <c r="A18">
        <v>1730</v>
      </c>
      <c r="B18" t="s">
        <v>9</v>
      </c>
      <c r="C18" t="s">
        <v>75</v>
      </c>
      <c r="D18" t="s">
        <v>33</v>
      </c>
      <c r="H18">
        <f>38*200</f>
        <v>7600</v>
      </c>
      <c r="I18" t="s">
        <v>99</v>
      </c>
      <c r="J18">
        <f t="shared" si="0"/>
        <v>7600</v>
      </c>
      <c r="L18">
        <f t="shared" si="1"/>
        <v>3.3928571428571428</v>
      </c>
    </row>
    <row r="19" spans="1:12" x14ac:dyDescent="0.25">
      <c r="A19">
        <v>1730</v>
      </c>
      <c r="B19" t="s">
        <v>10</v>
      </c>
      <c r="C19" t="s">
        <v>75</v>
      </c>
      <c r="D19" t="s">
        <v>33</v>
      </c>
      <c r="J19">
        <f t="shared" si="0"/>
        <v>0</v>
      </c>
      <c r="L19">
        <f t="shared" si="1"/>
        <v>0</v>
      </c>
    </row>
    <row r="20" spans="1:12" x14ac:dyDescent="0.25">
      <c r="A20">
        <v>1730</v>
      </c>
      <c r="B20" t="s">
        <v>11</v>
      </c>
      <c r="C20" t="s">
        <v>75</v>
      </c>
      <c r="D20" t="s">
        <v>33</v>
      </c>
      <c r="J20">
        <f t="shared" si="0"/>
        <v>0</v>
      </c>
      <c r="L20">
        <f t="shared" si="1"/>
        <v>0</v>
      </c>
    </row>
    <row r="21" spans="1:12" x14ac:dyDescent="0.25">
      <c r="A21">
        <v>1730</v>
      </c>
      <c r="B21" t="s">
        <v>40</v>
      </c>
      <c r="C21" t="s">
        <v>75</v>
      </c>
      <c r="D21" t="s">
        <v>33</v>
      </c>
      <c r="J21">
        <f t="shared" si="0"/>
        <v>0</v>
      </c>
      <c r="L21">
        <f t="shared" si="1"/>
        <v>0</v>
      </c>
    </row>
    <row r="22" spans="1:12" x14ac:dyDescent="0.25">
      <c r="A22">
        <v>1730</v>
      </c>
      <c r="B22" t="s">
        <v>45</v>
      </c>
      <c r="C22" t="s">
        <v>75</v>
      </c>
      <c r="D22" t="s">
        <v>33</v>
      </c>
      <c r="J22">
        <f t="shared" si="0"/>
        <v>0</v>
      </c>
      <c r="L22">
        <f t="shared" si="1"/>
        <v>0</v>
      </c>
    </row>
    <row r="23" spans="1:12" x14ac:dyDescent="0.25">
      <c r="A23">
        <v>1730</v>
      </c>
      <c r="B23" t="s">
        <v>12</v>
      </c>
      <c r="C23" t="s">
        <v>75</v>
      </c>
      <c r="D23" t="s">
        <v>33</v>
      </c>
      <c r="J23">
        <f t="shared" si="0"/>
        <v>0</v>
      </c>
      <c r="L23">
        <f t="shared" si="1"/>
        <v>0</v>
      </c>
    </row>
    <row r="24" spans="1:12" x14ac:dyDescent="0.25">
      <c r="A24">
        <v>1730</v>
      </c>
      <c r="B24" t="s">
        <v>34</v>
      </c>
      <c r="C24" t="s">
        <v>75</v>
      </c>
      <c r="D24" t="s">
        <v>33</v>
      </c>
      <c r="J24">
        <f t="shared" si="0"/>
        <v>0</v>
      </c>
      <c r="L24">
        <f t="shared" si="1"/>
        <v>0</v>
      </c>
    </row>
    <row r="25" spans="1:12" x14ac:dyDescent="0.25">
      <c r="A25">
        <v>1730</v>
      </c>
      <c r="B25" t="s">
        <v>13</v>
      </c>
      <c r="C25" t="s">
        <v>75</v>
      </c>
      <c r="D25" t="s">
        <v>33</v>
      </c>
      <c r="J25">
        <f t="shared" si="0"/>
        <v>0</v>
      </c>
      <c r="L25">
        <f t="shared" si="1"/>
        <v>0</v>
      </c>
    </row>
    <row r="26" spans="1:12" x14ac:dyDescent="0.25">
      <c r="A26">
        <v>1730</v>
      </c>
      <c r="B26" t="s">
        <v>14</v>
      </c>
      <c r="C26" t="s">
        <v>75</v>
      </c>
      <c r="D26" t="s">
        <v>33</v>
      </c>
      <c r="J26">
        <f t="shared" ref="J26:J65" si="2">(E26*2240)+(F26*112)+(G26*28)+H26</f>
        <v>0</v>
      </c>
      <c r="L26">
        <f t="shared" si="1"/>
        <v>0</v>
      </c>
    </row>
    <row r="27" spans="1:12" x14ac:dyDescent="0.25">
      <c r="A27">
        <v>1730</v>
      </c>
      <c r="B27" t="s">
        <v>23</v>
      </c>
      <c r="C27" t="s">
        <v>75</v>
      </c>
      <c r="D27" t="s">
        <v>33</v>
      </c>
      <c r="J27">
        <f t="shared" si="2"/>
        <v>0</v>
      </c>
      <c r="L27">
        <f t="shared" si="1"/>
        <v>0</v>
      </c>
    </row>
    <row r="28" spans="1:12" x14ac:dyDescent="0.25">
      <c r="A28">
        <v>1730</v>
      </c>
      <c r="B28" t="s">
        <v>27</v>
      </c>
      <c r="C28" t="s">
        <v>75</v>
      </c>
      <c r="D28" t="s">
        <v>33</v>
      </c>
      <c r="H28">
        <v>16390</v>
      </c>
      <c r="I28" t="s">
        <v>98</v>
      </c>
      <c r="J28">
        <f t="shared" si="2"/>
        <v>16390</v>
      </c>
      <c r="L28">
        <f t="shared" ref="L28:L65" si="3">J28/2240</f>
        <v>7.3169642857142856</v>
      </c>
    </row>
    <row r="29" spans="1:12" x14ac:dyDescent="0.25">
      <c r="A29">
        <v>1730</v>
      </c>
      <c r="B29" t="s">
        <v>15</v>
      </c>
      <c r="C29" t="s">
        <v>75</v>
      </c>
      <c r="D29" t="s">
        <v>33</v>
      </c>
      <c r="F29">
        <v>2</v>
      </c>
      <c r="J29">
        <f t="shared" si="2"/>
        <v>224</v>
      </c>
      <c r="L29">
        <f t="shared" si="3"/>
        <v>0.1</v>
      </c>
    </row>
    <row r="30" spans="1:12" x14ac:dyDescent="0.25">
      <c r="A30">
        <v>1730</v>
      </c>
      <c r="B30" t="s">
        <v>43</v>
      </c>
      <c r="C30" t="s">
        <v>75</v>
      </c>
      <c r="D30" t="s">
        <v>33</v>
      </c>
      <c r="J30">
        <f t="shared" si="2"/>
        <v>0</v>
      </c>
      <c r="L30">
        <f t="shared" si="3"/>
        <v>0</v>
      </c>
    </row>
    <row r="31" spans="1:12" x14ac:dyDescent="0.25">
      <c r="A31">
        <v>1730</v>
      </c>
      <c r="B31" t="s">
        <v>48</v>
      </c>
      <c r="C31" t="s">
        <v>75</v>
      </c>
      <c r="D31" t="s">
        <v>33</v>
      </c>
      <c r="J31">
        <f t="shared" si="2"/>
        <v>0</v>
      </c>
      <c r="L31">
        <f t="shared" si="3"/>
        <v>0</v>
      </c>
    </row>
    <row r="32" spans="1:12" x14ac:dyDescent="0.25">
      <c r="A32">
        <v>1730</v>
      </c>
      <c r="B32" t="s">
        <v>16</v>
      </c>
      <c r="C32" t="s">
        <v>75</v>
      </c>
      <c r="D32" t="s">
        <v>33</v>
      </c>
      <c r="J32">
        <f t="shared" si="2"/>
        <v>0</v>
      </c>
      <c r="L32">
        <f t="shared" si="3"/>
        <v>0</v>
      </c>
    </row>
    <row r="33" spans="1:12" x14ac:dyDescent="0.25">
      <c r="A33">
        <v>1730</v>
      </c>
      <c r="B33" t="s">
        <v>17</v>
      </c>
      <c r="C33" t="s">
        <v>75</v>
      </c>
      <c r="D33" t="s">
        <v>33</v>
      </c>
      <c r="J33">
        <f t="shared" si="2"/>
        <v>0</v>
      </c>
      <c r="L33">
        <f t="shared" si="3"/>
        <v>0</v>
      </c>
    </row>
    <row r="34" spans="1:12" x14ac:dyDescent="0.25">
      <c r="A34">
        <v>1730</v>
      </c>
      <c r="B34" t="s">
        <v>18</v>
      </c>
      <c r="C34" t="s">
        <v>75</v>
      </c>
      <c r="D34" t="s">
        <v>33</v>
      </c>
      <c r="H34">
        <v>15961</v>
      </c>
      <c r="I34" t="s">
        <v>97</v>
      </c>
      <c r="J34">
        <f t="shared" si="2"/>
        <v>15961</v>
      </c>
      <c r="L34">
        <f t="shared" si="3"/>
        <v>7.1254464285714283</v>
      </c>
    </row>
    <row r="35" spans="1:12" x14ac:dyDescent="0.25">
      <c r="A35">
        <v>1730</v>
      </c>
      <c r="B35" t="s">
        <v>71</v>
      </c>
      <c r="C35" t="s">
        <v>75</v>
      </c>
      <c r="D35" t="s">
        <v>33</v>
      </c>
      <c r="J35">
        <f t="shared" si="2"/>
        <v>0</v>
      </c>
      <c r="L35">
        <f t="shared" si="3"/>
        <v>0</v>
      </c>
    </row>
    <row r="36" spans="1:12" x14ac:dyDescent="0.25">
      <c r="A36">
        <v>1730</v>
      </c>
      <c r="B36" t="s">
        <v>19</v>
      </c>
      <c r="C36" t="s">
        <v>75</v>
      </c>
      <c r="D36" t="s">
        <v>33</v>
      </c>
      <c r="J36">
        <f t="shared" si="2"/>
        <v>0</v>
      </c>
      <c r="L36">
        <f t="shared" si="3"/>
        <v>0</v>
      </c>
    </row>
    <row r="37" spans="1:12" x14ac:dyDescent="0.25">
      <c r="A37">
        <v>1730</v>
      </c>
      <c r="B37" t="s">
        <v>46</v>
      </c>
      <c r="C37" t="s">
        <v>75</v>
      </c>
      <c r="D37" t="s">
        <v>33</v>
      </c>
      <c r="J37">
        <f t="shared" si="2"/>
        <v>0</v>
      </c>
      <c r="L37">
        <f t="shared" si="3"/>
        <v>0</v>
      </c>
    </row>
    <row r="38" spans="1:12" x14ac:dyDescent="0.25">
      <c r="A38">
        <v>1730</v>
      </c>
      <c r="B38" t="s">
        <v>55</v>
      </c>
      <c r="C38" t="s">
        <v>75</v>
      </c>
      <c r="D38" t="s">
        <v>33</v>
      </c>
      <c r="H38">
        <v>53</v>
      </c>
      <c r="J38">
        <f t="shared" si="2"/>
        <v>53</v>
      </c>
      <c r="L38">
        <f t="shared" si="3"/>
        <v>2.3660714285714285E-2</v>
      </c>
    </row>
    <row r="39" spans="1:12" x14ac:dyDescent="0.25">
      <c r="A39">
        <v>1730</v>
      </c>
      <c r="B39" t="s">
        <v>20</v>
      </c>
      <c r="C39" t="s">
        <v>75</v>
      </c>
      <c r="D39" t="s">
        <v>33</v>
      </c>
      <c r="J39">
        <f t="shared" si="2"/>
        <v>0</v>
      </c>
      <c r="L39">
        <f t="shared" si="3"/>
        <v>0</v>
      </c>
    </row>
    <row r="40" spans="1:12" x14ac:dyDescent="0.25">
      <c r="A40">
        <v>1730</v>
      </c>
      <c r="B40" t="s">
        <v>21</v>
      </c>
      <c r="C40" t="s">
        <v>75</v>
      </c>
      <c r="D40" t="s">
        <v>33</v>
      </c>
      <c r="H40">
        <v>6</v>
      </c>
      <c r="J40">
        <f t="shared" si="2"/>
        <v>6</v>
      </c>
      <c r="L40">
        <f t="shared" si="3"/>
        <v>2.6785714285714286E-3</v>
      </c>
    </row>
    <row r="41" spans="1:12" x14ac:dyDescent="0.25">
      <c r="A41">
        <v>1730</v>
      </c>
      <c r="B41" t="s">
        <v>22</v>
      </c>
      <c r="C41" t="s">
        <v>75</v>
      </c>
      <c r="D41" t="s">
        <v>33</v>
      </c>
      <c r="J41">
        <f t="shared" si="2"/>
        <v>0</v>
      </c>
      <c r="L41">
        <f t="shared" si="3"/>
        <v>0</v>
      </c>
    </row>
    <row r="42" spans="1:12" x14ac:dyDescent="0.25">
      <c r="A42">
        <v>1730</v>
      </c>
      <c r="B42" t="s">
        <v>62</v>
      </c>
      <c r="C42" t="s">
        <v>75</v>
      </c>
      <c r="D42" t="s">
        <v>33</v>
      </c>
      <c r="J42">
        <f t="shared" si="2"/>
        <v>0</v>
      </c>
      <c r="L42">
        <f t="shared" si="3"/>
        <v>0</v>
      </c>
    </row>
    <row r="43" spans="1:12" x14ac:dyDescent="0.25">
      <c r="A43">
        <v>1730</v>
      </c>
      <c r="B43" t="s">
        <v>63</v>
      </c>
      <c r="C43" t="s">
        <v>75</v>
      </c>
      <c r="D43" t="s">
        <v>33</v>
      </c>
      <c r="E43">
        <v>8</v>
      </c>
      <c r="J43">
        <f t="shared" si="2"/>
        <v>17920</v>
      </c>
      <c r="L43">
        <f t="shared" si="3"/>
        <v>8</v>
      </c>
    </row>
    <row r="44" spans="1:12" x14ac:dyDescent="0.25">
      <c r="A44">
        <v>1730</v>
      </c>
      <c r="B44" t="s">
        <v>64</v>
      </c>
      <c r="C44" t="s">
        <v>75</v>
      </c>
      <c r="D44" t="s">
        <v>33</v>
      </c>
      <c r="J44">
        <f t="shared" si="2"/>
        <v>0</v>
      </c>
      <c r="L44">
        <f t="shared" si="3"/>
        <v>0</v>
      </c>
    </row>
    <row r="45" spans="1:12" x14ac:dyDescent="0.25">
      <c r="A45">
        <v>1730</v>
      </c>
      <c r="B45" t="s">
        <v>72</v>
      </c>
      <c r="C45" t="s">
        <v>75</v>
      </c>
      <c r="D45" t="s">
        <v>33</v>
      </c>
      <c r="J45">
        <f t="shared" si="2"/>
        <v>0</v>
      </c>
      <c r="L45">
        <f t="shared" si="3"/>
        <v>0</v>
      </c>
    </row>
    <row r="46" spans="1:12" x14ac:dyDescent="0.25">
      <c r="A46">
        <v>1730</v>
      </c>
      <c r="B46" t="s">
        <v>65</v>
      </c>
      <c r="C46" t="s">
        <v>75</v>
      </c>
      <c r="D46" t="s">
        <v>33</v>
      </c>
      <c r="E46">
        <v>1</v>
      </c>
      <c r="J46">
        <f t="shared" si="2"/>
        <v>2240</v>
      </c>
      <c r="L46">
        <f t="shared" si="3"/>
        <v>1</v>
      </c>
    </row>
    <row r="47" spans="1:12" x14ac:dyDescent="0.25">
      <c r="A47">
        <v>1730</v>
      </c>
      <c r="B47" t="s">
        <v>66</v>
      </c>
      <c r="C47" t="s">
        <v>75</v>
      </c>
      <c r="D47" t="s">
        <v>33</v>
      </c>
      <c r="J47">
        <f t="shared" si="2"/>
        <v>0</v>
      </c>
      <c r="L47">
        <f t="shared" si="3"/>
        <v>0</v>
      </c>
    </row>
    <row r="48" spans="1:12" x14ac:dyDescent="0.25">
      <c r="A48">
        <v>1730</v>
      </c>
      <c r="B48" t="s">
        <v>6</v>
      </c>
      <c r="C48" t="s">
        <v>75</v>
      </c>
      <c r="D48" t="s">
        <v>35</v>
      </c>
      <c r="F48">
        <v>16944</v>
      </c>
      <c r="G48">
        <v>1</v>
      </c>
      <c r="H48">
        <v>9</v>
      </c>
      <c r="J48">
        <f t="shared" si="2"/>
        <v>1897765</v>
      </c>
      <c r="L48">
        <f t="shared" si="3"/>
        <v>847.21651785714289</v>
      </c>
    </row>
    <row r="49" spans="1:12" x14ac:dyDescent="0.25">
      <c r="A49">
        <v>1730</v>
      </c>
      <c r="B49" t="s">
        <v>7</v>
      </c>
      <c r="C49" t="s">
        <v>75</v>
      </c>
      <c r="D49" t="s">
        <v>35</v>
      </c>
      <c r="J49">
        <f t="shared" si="2"/>
        <v>0</v>
      </c>
      <c r="L49">
        <f t="shared" si="3"/>
        <v>0</v>
      </c>
    </row>
    <row r="50" spans="1:12" x14ac:dyDescent="0.25">
      <c r="A50">
        <v>1730</v>
      </c>
      <c r="B50" t="s">
        <v>8</v>
      </c>
      <c r="C50" t="s">
        <v>75</v>
      </c>
      <c r="D50" t="s">
        <v>35</v>
      </c>
      <c r="J50">
        <f t="shared" si="2"/>
        <v>0</v>
      </c>
      <c r="L50">
        <f t="shared" si="3"/>
        <v>0</v>
      </c>
    </row>
    <row r="51" spans="1:12" x14ac:dyDescent="0.25">
      <c r="A51">
        <v>1730</v>
      </c>
      <c r="B51" t="s">
        <v>9</v>
      </c>
      <c r="C51" t="s">
        <v>75</v>
      </c>
      <c r="D51" t="s">
        <v>35</v>
      </c>
      <c r="H51">
        <v>18470</v>
      </c>
      <c r="J51">
        <f t="shared" si="2"/>
        <v>18470</v>
      </c>
      <c r="L51">
        <f t="shared" si="3"/>
        <v>8.2455357142857135</v>
      </c>
    </row>
    <row r="52" spans="1:12" x14ac:dyDescent="0.25">
      <c r="A52">
        <v>1730</v>
      </c>
      <c r="B52" t="s">
        <v>10</v>
      </c>
      <c r="C52" t="s">
        <v>75</v>
      </c>
      <c r="D52" t="s">
        <v>35</v>
      </c>
      <c r="J52">
        <f t="shared" si="2"/>
        <v>0</v>
      </c>
      <c r="L52">
        <f>J52/2240</f>
        <v>0</v>
      </c>
    </row>
    <row r="53" spans="1:12" x14ac:dyDescent="0.25">
      <c r="A53">
        <v>1730</v>
      </c>
      <c r="B53" t="s">
        <v>11</v>
      </c>
      <c r="C53" t="s">
        <v>75</v>
      </c>
      <c r="D53" t="s">
        <v>35</v>
      </c>
      <c r="F53">
        <v>32</v>
      </c>
      <c r="G53">
        <v>3</v>
      </c>
      <c r="H53">
        <v>7</v>
      </c>
      <c r="J53">
        <f t="shared" si="2"/>
        <v>3675</v>
      </c>
      <c r="L53">
        <f>J53/2240</f>
        <v>1.640625</v>
      </c>
    </row>
    <row r="54" spans="1:12" x14ac:dyDescent="0.25">
      <c r="A54">
        <v>1730</v>
      </c>
      <c r="B54" t="s">
        <v>12</v>
      </c>
      <c r="C54" t="s">
        <v>75</v>
      </c>
      <c r="D54" t="s">
        <v>35</v>
      </c>
      <c r="J54">
        <f t="shared" si="2"/>
        <v>0</v>
      </c>
      <c r="L54">
        <f t="shared" si="3"/>
        <v>0</v>
      </c>
    </row>
    <row r="55" spans="1:12" x14ac:dyDescent="0.25">
      <c r="A55">
        <v>1730</v>
      </c>
      <c r="B55" t="s">
        <v>13</v>
      </c>
      <c r="C55" t="s">
        <v>75</v>
      </c>
      <c r="D55" t="s">
        <v>35</v>
      </c>
      <c r="E55">
        <v>6</v>
      </c>
      <c r="J55">
        <f t="shared" si="2"/>
        <v>13440</v>
      </c>
      <c r="L55">
        <f t="shared" si="3"/>
        <v>6</v>
      </c>
    </row>
    <row r="56" spans="1:12" x14ac:dyDescent="0.25">
      <c r="A56">
        <v>1730</v>
      </c>
      <c r="B56" t="s">
        <v>14</v>
      </c>
      <c r="C56" t="s">
        <v>75</v>
      </c>
      <c r="D56" t="s">
        <v>35</v>
      </c>
      <c r="J56">
        <f t="shared" si="2"/>
        <v>0</v>
      </c>
      <c r="L56">
        <f t="shared" si="3"/>
        <v>0</v>
      </c>
    </row>
    <row r="57" spans="1:12" x14ac:dyDescent="0.25">
      <c r="A57">
        <v>1730</v>
      </c>
      <c r="B57" t="s">
        <v>27</v>
      </c>
      <c r="C57" t="s">
        <v>75</v>
      </c>
      <c r="D57" t="s">
        <v>35</v>
      </c>
      <c r="H57">
        <v>4521</v>
      </c>
      <c r="I57" t="s">
        <v>119</v>
      </c>
      <c r="J57">
        <f t="shared" si="2"/>
        <v>4521</v>
      </c>
      <c r="L57">
        <f t="shared" si="3"/>
        <v>2.0183035714285715</v>
      </c>
    </row>
    <row r="58" spans="1:12" x14ac:dyDescent="0.25">
      <c r="A58">
        <v>1730</v>
      </c>
      <c r="B58" t="s">
        <v>15</v>
      </c>
      <c r="C58" t="s">
        <v>75</v>
      </c>
      <c r="D58" t="s">
        <v>35</v>
      </c>
      <c r="E58">
        <v>7</v>
      </c>
      <c r="F58">
        <v>6</v>
      </c>
      <c r="H58">
        <v>20</v>
      </c>
      <c r="J58">
        <f t="shared" si="2"/>
        <v>16372</v>
      </c>
      <c r="L58">
        <f t="shared" si="3"/>
        <v>7.308928571428571</v>
      </c>
    </row>
    <row r="59" spans="1:12" x14ac:dyDescent="0.25">
      <c r="A59">
        <v>1730</v>
      </c>
      <c r="B59" t="s">
        <v>17</v>
      </c>
      <c r="C59" t="s">
        <v>75</v>
      </c>
      <c r="D59" t="s">
        <v>35</v>
      </c>
      <c r="J59">
        <f t="shared" si="2"/>
        <v>0</v>
      </c>
      <c r="L59">
        <f t="shared" si="3"/>
        <v>0</v>
      </c>
    </row>
    <row r="60" spans="1:12" x14ac:dyDescent="0.25">
      <c r="A60">
        <v>1730</v>
      </c>
      <c r="B60" t="s">
        <v>18</v>
      </c>
      <c r="C60" t="s">
        <v>75</v>
      </c>
      <c r="D60" t="s">
        <v>35</v>
      </c>
      <c r="H60">
        <v>2190</v>
      </c>
      <c r="I60" t="s">
        <v>118</v>
      </c>
      <c r="J60">
        <f t="shared" si="2"/>
        <v>2190</v>
      </c>
      <c r="L60">
        <f t="shared" si="3"/>
        <v>0.9776785714285714</v>
      </c>
    </row>
    <row r="61" spans="1:12" x14ac:dyDescent="0.25">
      <c r="A61">
        <v>1730</v>
      </c>
      <c r="B61" t="s">
        <v>19</v>
      </c>
      <c r="C61" t="s">
        <v>75</v>
      </c>
      <c r="D61" t="s">
        <v>35</v>
      </c>
      <c r="H61">
        <v>4</v>
      </c>
      <c r="J61">
        <f t="shared" si="2"/>
        <v>4</v>
      </c>
      <c r="L61">
        <f t="shared" si="3"/>
        <v>1.7857142857142857E-3</v>
      </c>
    </row>
    <row r="62" spans="1:12" x14ac:dyDescent="0.25">
      <c r="A62">
        <v>1730</v>
      </c>
      <c r="B62" t="s">
        <v>55</v>
      </c>
      <c r="C62" t="s">
        <v>75</v>
      </c>
      <c r="D62" t="s">
        <v>35</v>
      </c>
      <c r="J62">
        <f t="shared" si="2"/>
        <v>0</v>
      </c>
      <c r="L62">
        <f t="shared" si="3"/>
        <v>0</v>
      </c>
    </row>
    <row r="63" spans="1:12" x14ac:dyDescent="0.25">
      <c r="A63">
        <v>1730</v>
      </c>
      <c r="B63" t="s">
        <v>21</v>
      </c>
      <c r="C63" t="s">
        <v>75</v>
      </c>
      <c r="D63" t="s">
        <v>35</v>
      </c>
      <c r="J63">
        <f t="shared" si="2"/>
        <v>0</v>
      </c>
      <c r="L63">
        <f t="shared" si="3"/>
        <v>0</v>
      </c>
    </row>
    <row r="64" spans="1:12" x14ac:dyDescent="0.25">
      <c r="A64">
        <v>1730</v>
      </c>
      <c r="B64" t="s">
        <v>22</v>
      </c>
      <c r="C64" t="s">
        <v>75</v>
      </c>
      <c r="D64" t="s">
        <v>35</v>
      </c>
      <c r="J64">
        <f t="shared" si="2"/>
        <v>0</v>
      </c>
      <c r="L64">
        <f t="shared" si="3"/>
        <v>0</v>
      </c>
    </row>
    <row r="65" spans="10:12" x14ac:dyDescent="0.25">
      <c r="J65">
        <f t="shared" si="2"/>
        <v>0</v>
      </c>
      <c r="L65">
        <f t="shared" si="3"/>
        <v>0</v>
      </c>
    </row>
    <row r="66" spans="10:12" x14ac:dyDescent="0.25">
      <c r="J66">
        <f t="shared" ref="J66" si="4">(E66*2240)+(F66*112)+(G66*28)+H66</f>
        <v>0</v>
      </c>
      <c r="L66">
        <f t="shared" ref="L66" si="5">J66/2240</f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C988A-EF5D-4D8D-966B-955CB5EB687E}">
  <dimension ref="A1:L67"/>
  <sheetViews>
    <sheetView topLeftCell="A2" workbookViewId="0">
      <selection activeCell="H19" sqref="H19"/>
    </sheetView>
  </sheetViews>
  <sheetFormatPr defaultRowHeight="15" x14ac:dyDescent="0.25"/>
  <cols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2" x14ac:dyDescent="0.25">
      <c r="A1" s="1" t="s">
        <v>49</v>
      </c>
      <c r="B1" s="1" t="s">
        <v>50</v>
      </c>
      <c r="C1" s="1" t="s">
        <v>51</v>
      </c>
      <c r="D1" s="1" t="s">
        <v>52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53</v>
      </c>
    </row>
    <row r="2" spans="1:12" x14ac:dyDescent="0.25">
      <c r="A2">
        <v>1730</v>
      </c>
      <c r="B2" t="s">
        <v>56</v>
      </c>
      <c r="C2" t="s">
        <v>76</v>
      </c>
      <c r="D2" t="s">
        <v>33</v>
      </c>
      <c r="J2">
        <f>(E2*2240)+(F2*112)+(G2*28)+H2</f>
        <v>0</v>
      </c>
      <c r="L2">
        <f>J2/2240</f>
        <v>0</v>
      </c>
    </row>
    <row r="3" spans="1:12" x14ac:dyDescent="0.25">
      <c r="A3">
        <v>1730</v>
      </c>
      <c r="B3" t="s">
        <v>58</v>
      </c>
      <c r="C3" t="s">
        <v>76</v>
      </c>
      <c r="D3" t="s">
        <v>33</v>
      </c>
      <c r="J3">
        <f>(E3*2240)+(F3*112)+(G3*28)+H3</f>
        <v>0</v>
      </c>
      <c r="L3">
        <f>J3/2240</f>
        <v>0</v>
      </c>
    </row>
    <row r="4" spans="1:12" x14ac:dyDescent="0.25">
      <c r="A4">
        <v>1730</v>
      </c>
      <c r="B4" t="s">
        <v>37</v>
      </c>
      <c r="C4" t="s">
        <v>76</v>
      </c>
      <c r="D4" t="s">
        <v>33</v>
      </c>
      <c r="J4">
        <f>(E4*2240)+(F4*112)+(G4*28)+H4</f>
        <v>0</v>
      </c>
      <c r="L4">
        <f>J4/2240</f>
        <v>0</v>
      </c>
    </row>
    <row r="5" spans="1:12" x14ac:dyDescent="0.25">
      <c r="A5">
        <v>1730</v>
      </c>
      <c r="B5" t="s">
        <v>4</v>
      </c>
      <c r="C5" t="s">
        <v>76</v>
      </c>
      <c r="D5" t="s">
        <v>33</v>
      </c>
      <c r="J5">
        <f>(E5*2240)+(F5*112)+(G5*28)+H5</f>
        <v>0</v>
      </c>
      <c r="L5">
        <f>J5/2240</f>
        <v>0</v>
      </c>
    </row>
    <row r="6" spans="1:12" x14ac:dyDescent="0.25">
      <c r="A6">
        <v>1730</v>
      </c>
      <c r="B6" t="s">
        <v>59</v>
      </c>
      <c r="C6" t="s">
        <v>76</v>
      </c>
      <c r="D6" t="s">
        <v>33</v>
      </c>
      <c r="J6">
        <f>(E6*2240)+(F6*112)+(G6*28)+H6</f>
        <v>0</v>
      </c>
      <c r="L6">
        <f>J6/2240</f>
        <v>0</v>
      </c>
    </row>
    <row r="7" spans="1:12" x14ac:dyDescent="0.25">
      <c r="A7">
        <v>1730</v>
      </c>
      <c r="B7" t="s">
        <v>70</v>
      </c>
      <c r="C7" t="s">
        <v>76</v>
      </c>
      <c r="D7" t="s">
        <v>33</v>
      </c>
      <c r="J7">
        <f t="shared" ref="J7:J25" si="0">(E7*2240)+(F7*112)+(G7*28)+H7</f>
        <v>0</v>
      </c>
      <c r="L7">
        <f t="shared" ref="L7:L27" si="1">J7/2240</f>
        <v>0</v>
      </c>
    </row>
    <row r="8" spans="1:12" x14ac:dyDescent="0.25">
      <c r="A8">
        <v>1730</v>
      </c>
      <c r="B8" t="s">
        <v>44</v>
      </c>
      <c r="C8" t="s">
        <v>76</v>
      </c>
      <c r="D8" t="s">
        <v>33</v>
      </c>
      <c r="J8">
        <f t="shared" si="0"/>
        <v>0</v>
      </c>
      <c r="L8">
        <f t="shared" si="1"/>
        <v>0</v>
      </c>
    </row>
    <row r="9" spans="1:12" x14ac:dyDescent="0.25">
      <c r="A9">
        <v>1730</v>
      </c>
      <c r="B9" t="s">
        <v>5</v>
      </c>
      <c r="C9" t="s">
        <v>76</v>
      </c>
      <c r="D9" t="s">
        <v>33</v>
      </c>
      <c r="J9">
        <f t="shared" si="0"/>
        <v>0</v>
      </c>
      <c r="L9">
        <f t="shared" si="1"/>
        <v>0</v>
      </c>
    </row>
    <row r="10" spans="1:12" x14ac:dyDescent="0.25">
      <c r="A10">
        <v>1730</v>
      </c>
      <c r="B10" t="s">
        <v>60</v>
      </c>
      <c r="C10" t="s">
        <v>76</v>
      </c>
      <c r="D10" t="s">
        <v>33</v>
      </c>
      <c r="J10">
        <f t="shared" si="0"/>
        <v>0</v>
      </c>
      <c r="L10">
        <f t="shared" si="1"/>
        <v>0</v>
      </c>
    </row>
    <row r="11" spans="1:12" x14ac:dyDescent="0.25">
      <c r="A11">
        <v>1730</v>
      </c>
      <c r="B11" t="s">
        <v>6</v>
      </c>
      <c r="C11" t="s">
        <v>76</v>
      </c>
      <c r="D11" t="s">
        <v>33</v>
      </c>
      <c r="F11">
        <v>138113</v>
      </c>
      <c r="G11">
        <v>3</v>
      </c>
      <c r="H11">
        <v>1</v>
      </c>
      <c r="J11">
        <f t="shared" si="0"/>
        <v>15468741</v>
      </c>
      <c r="L11">
        <f t="shared" si="1"/>
        <v>6905.6879464285712</v>
      </c>
    </row>
    <row r="12" spans="1:12" x14ac:dyDescent="0.25">
      <c r="A12">
        <v>1730</v>
      </c>
      <c r="B12" t="s">
        <v>61</v>
      </c>
      <c r="C12" t="s">
        <v>76</v>
      </c>
      <c r="D12" t="s">
        <v>33</v>
      </c>
      <c r="J12">
        <f t="shared" si="0"/>
        <v>0</v>
      </c>
      <c r="L12">
        <f t="shared" si="1"/>
        <v>0</v>
      </c>
    </row>
    <row r="13" spans="1:12" x14ac:dyDescent="0.25">
      <c r="A13">
        <v>1730</v>
      </c>
      <c r="B13" t="s">
        <v>39</v>
      </c>
      <c r="C13" t="s">
        <v>76</v>
      </c>
      <c r="D13" t="s">
        <v>33</v>
      </c>
      <c r="J13">
        <f t="shared" si="0"/>
        <v>0</v>
      </c>
      <c r="L13">
        <f t="shared" si="1"/>
        <v>0</v>
      </c>
    </row>
    <row r="14" spans="1:12" x14ac:dyDescent="0.25">
      <c r="A14">
        <v>1730</v>
      </c>
      <c r="B14" t="s">
        <v>38</v>
      </c>
      <c r="C14" t="s">
        <v>76</v>
      </c>
      <c r="D14" t="s">
        <v>33</v>
      </c>
      <c r="J14">
        <f t="shared" si="0"/>
        <v>0</v>
      </c>
      <c r="L14">
        <f t="shared" si="1"/>
        <v>0</v>
      </c>
    </row>
    <row r="15" spans="1:12" x14ac:dyDescent="0.25">
      <c r="A15">
        <v>1730</v>
      </c>
      <c r="B15" t="s">
        <v>8</v>
      </c>
      <c r="C15" t="s">
        <v>76</v>
      </c>
      <c r="D15" t="s">
        <v>33</v>
      </c>
      <c r="F15">
        <v>1437</v>
      </c>
      <c r="G15">
        <v>3</v>
      </c>
      <c r="H15">
        <v>14</v>
      </c>
      <c r="J15">
        <f t="shared" si="0"/>
        <v>161042</v>
      </c>
      <c r="L15">
        <f t="shared" si="1"/>
        <v>71.893749999999997</v>
      </c>
    </row>
    <row r="16" spans="1:12" x14ac:dyDescent="0.25">
      <c r="A16">
        <v>1730</v>
      </c>
      <c r="B16" t="s">
        <v>41</v>
      </c>
      <c r="C16" t="s">
        <v>76</v>
      </c>
      <c r="D16" t="s">
        <v>33</v>
      </c>
      <c r="J16">
        <f t="shared" si="0"/>
        <v>0</v>
      </c>
      <c r="L16">
        <f t="shared" si="1"/>
        <v>0</v>
      </c>
    </row>
    <row r="17" spans="1:12" x14ac:dyDescent="0.25">
      <c r="A17">
        <v>1730</v>
      </c>
      <c r="B17" t="s">
        <v>47</v>
      </c>
      <c r="C17" t="s">
        <v>76</v>
      </c>
      <c r="D17" t="s">
        <v>33</v>
      </c>
      <c r="J17">
        <f t="shared" si="0"/>
        <v>0</v>
      </c>
      <c r="L17">
        <f t="shared" si="1"/>
        <v>0</v>
      </c>
    </row>
    <row r="18" spans="1:12" x14ac:dyDescent="0.25">
      <c r="A18">
        <v>1730</v>
      </c>
      <c r="B18" t="s">
        <v>9</v>
      </c>
      <c r="C18" t="s">
        <v>76</v>
      </c>
      <c r="D18" t="s">
        <v>33</v>
      </c>
      <c r="H18">
        <f>557.5*200</f>
        <v>111500</v>
      </c>
      <c r="I18" t="s">
        <v>102</v>
      </c>
      <c r="J18">
        <f t="shared" si="0"/>
        <v>111500</v>
      </c>
      <c r="L18">
        <f t="shared" si="1"/>
        <v>49.776785714285715</v>
      </c>
    </row>
    <row r="19" spans="1:12" x14ac:dyDescent="0.25">
      <c r="A19">
        <v>1730</v>
      </c>
      <c r="B19" t="s">
        <v>10</v>
      </c>
      <c r="C19" t="s">
        <v>76</v>
      </c>
      <c r="D19" t="s">
        <v>33</v>
      </c>
      <c r="J19">
        <f t="shared" si="0"/>
        <v>0</v>
      </c>
      <c r="L19">
        <f t="shared" si="1"/>
        <v>0</v>
      </c>
    </row>
    <row r="20" spans="1:12" x14ac:dyDescent="0.25">
      <c r="A20">
        <v>1730</v>
      </c>
      <c r="B20" t="s">
        <v>11</v>
      </c>
      <c r="C20" t="s">
        <v>76</v>
      </c>
      <c r="D20" t="s">
        <v>33</v>
      </c>
      <c r="F20">
        <v>35</v>
      </c>
      <c r="H20">
        <v>22</v>
      </c>
      <c r="J20">
        <f t="shared" si="0"/>
        <v>3942</v>
      </c>
      <c r="L20">
        <f t="shared" si="1"/>
        <v>1.7598214285714286</v>
      </c>
    </row>
    <row r="21" spans="1:12" x14ac:dyDescent="0.25">
      <c r="A21">
        <v>1730</v>
      </c>
      <c r="B21" t="s">
        <v>40</v>
      </c>
      <c r="C21" t="s">
        <v>76</v>
      </c>
      <c r="D21" t="s">
        <v>33</v>
      </c>
      <c r="J21">
        <f t="shared" si="0"/>
        <v>0</v>
      </c>
      <c r="L21">
        <f t="shared" si="1"/>
        <v>0</v>
      </c>
    </row>
    <row r="22" spans="1:12" x14ac:dyDescent="0.25">
      <c r="A22">
        <v>1730</v>
      </c>
      <c r="B22" t="s">
        <v>45</v>
      </c>
      <c r="C22" t="s">
        <v>76</v>
      </c>
      <c r="D22" t="s">
        <v>33</v>
      </c>
      <c r="J22">
        <f t="shared" si="0"/>
        <v>0</v>
      </c>
      <c r="L22">
        <f t="shared" si="1"/>
        <v>0</v>
      </c>
    </row>
    <row r="23" spans="1:12" x14ac:dyDescent="0.25">
      <c r="A23">
        <v>1730</v>
      </c>
      <c r="B23" t="s">
        <v>12</v>
      </c>
      <c r="C23" t="s">
        <v>76</v>
      </c>
      <c r="D23" t="s">
        <v>33</v>
      </c>
      <c r="H23">
        <v>194</v>
      </c>
      <c r="J23">
        <f t="shared" si="0"/>
        <v>194</v>
      </c>
      <c r="L23">
        <f t="shared" si="1"/>
        <v>8.6607142857142855E-2</v>
      </c>
    </row>
    <row r="24" spans="1:12" x14ac:dyDescent="0.25">
      <c r="A24">
        <v>1730</v>
      </c>
      <c r="B24" t="s">
        <v>34</v>
      </c>
      <c r="C24" t="s">
        <v>76</v>
      </c>
      <c r="D24" t="s">
        <v>33</v>
      </c>
      <c r="J24">
        <f t="shared" si="0"/>
        <v>0</v>
      </c>
      <c r="L24">
        <f t="shared" si="1"/>
        <v>0</v>
      </c>
    </row>
    <row r="25" spans="1:12" x14ac:dyDescent="0.25">
      <c r="A25">
        <v>1730</v>
      </c>
      <c r="B25" t="s">
        <v>13</v>
      </c>
      <c r="C25" t="s">
        <v>76</v>
      </c>
      <c r="D25" t="s">
        <v>33</v>
      </c>
      <c r="E25">
        <v>7</v>
      </c>
      <c r="J25">
        <f t="shared" si="0"/>
        <v>15680</v>
      </c>
      <c r="L25">
        <f t="shared" si="1"/>
        <v>7</v>
      </c>
    </row>
    <row r="26" spans="1:12" x14ac:dyDescent="0.25">
      <c r="A26">
        <v>1730</v>
      </c>
      <c r="B26" t="s">
        <v>14</v>
      </c>
      <c r="C26" t="s">
        <v>76</v>
      </c>
      <c r="D26" t="s">
        <v>33</v>
      </c>
      <c r="J26">
        <f t="shared" ref="J26:J67" si="2">(E26*2240)+(F26*112)+(G26*28)+H26</f>
        <v>0</v>
      </c>
      <c r="L26">
        <f t="shared" si="1"/>
        <v>0</v>
      </c>
    </row>
    <row r="27" spans="1:12" x14ac:dyDescent="0.25">
      <c r="A27">
        <v>1730</v>
      </c>
      <c r="B27" t="s">
        <v>23</v>
      </c>
      <c r="C27" t="s">
        <v>76</v>
      </c>
      <c r="D27" t="s">
        <v>33</v>
      </c>
      <c r="J27">
        <f t="shared" si="2"/>
        <v>0</v>
      </c>
      <c r="L27">
        <f t="shared" si="1"/>
        <v>0</v>
      </c>
    </row>
    <row r="28" spans="1:12" x14ac:dyDescent="0.25">
      <c r="A28">
        <v>1730</v>
      </c>
      <c r="B28" t="s">
        <v>27</v>
      </c>
      <c r="C28" t="s">
        <v>76</v>
      </c>
      <c r="D28" t="s">
        <v>33</v>
      </c>
      <c r="H28">
        <v>50412</v>
      </c>
      <c r="I28" t="s">
        <v>101</v>
      </c>
      <c r="J28">
        <f t="shared" si="2"/>
        <v>50412</v>
      </c>
      <c r="L28">
        <f t="shared" ref="L28:L67" si="3">J28/2240</f>
        <v>22.505357142857143</v>
      </c>
    </row>
    <row r="29" spans="1:12" x14ac:dyDescent="0.25">
      <c r="A29">
        <v>1730</v>
      </c>
      <c r="B29" t="s">
        <v>15</v>
      </c>
      <c r="C29" t="s">
        <v>76</v>
      </c>
      <c r="D29" t="s">
        <v>33</v>
      </c>
      <c r="J29">
        <f t="shared" si="2"/>
        <v>0</v>
      </c>
      <c r="L29">
        <f t="shared" si="3"/>
        <v>0</v>
      </c>
    </row>
    <row r="30" spans="1:12" x14ac:dyDescent="0.25">
      <c r="A30">
        <v>1730</v>
      </c>
      <c r="B30" t="s">
        <v>43</v>
      </c>
      <c r="C30" t="s">
        <v>76</v>
      </c>
      <c r="D30" t="s">
        <v>33</v>
      </c>
      <c r="J30">
        <f t="shared" si="2"/>
        <v>0</v>
      </c>
      <c r="L30">
        <f t="shared" si="3"/>
        <v>0</v>
      </c>
    </row>
    <row r="31" spans="1:12" x14ac:dyDescent="0.25">
      <c r="A31">
        <v>1730</v>
      </c>
      <c r="B31" t="s">
        <v>48</v>
      </c>
      <c r="C31" t="s">
        <v>76</v>
      </c>
      <c r="D31" t="s">
        <v>33</v>
      </c>
      <c r="J31">
        <f t="shared" si="2"/>
        <v>0</v>
      </c>
      <c r="L31">
        <f t="shared" si="3"/>
        <v>0</v>
      </c>
    </row>
    <row r="32" spans="1:12" x14ac:dyDescent="0.25">
      <c r="A32">
        <v>1730</v>
      </c>
      <c r="B32" t="s">
        <v>16</v>
      </c>
      <c r="C32" t="s">
        <v>76</v>
      </c>
      <c r="D32" t="s">
        <v>33</v>
      </c>
      <c r="H32">
        <v>200</v>
      </c>
      <c r="J32">
        <f t="shared" si="2"/>
        <v>200</v>
      </c>
      <c r="L32">
        <f t="shared" si="3"/>
        <v>8.9285714285714288E-2</v>
      </c>
    </row>
    <row r="33" spans="1:12" x14ac:dyDescent="0.25">
      <c r="A33">
        <v>1730</v>
      </c>
      <c r="B33" t="s">
        <v>17</v>
      </c>
      <c r="C33" t="s">
        <v>76</v>
      </c>
      <c r="D33" t="s">
        <v>33</v>
      </c>
      <c r="F33">
        <v>44</v>
      </c>
      <c r="J33">
        <f t="shared" si="2"/>
        <v>4928</v>
      </c>
      <c r="L33">
        <f t="shared" si="3"/>
        <v>2.2000000000000002</v>
      </c>
    </row>
    <row r="34" spans="1:12" x14ac:dyDescent="0.25">
      <c r="A34">
        <v>1730</v>
      </c>
      <c r="B34" t="s">
        <v>18</v>
      </c>
      <c r="C34" t="s">
        <v>76</v>
      </c>
      <c r="D34" t="s">
        <v>33</v>
      </c>
      <c r="H34">
        <v>42036</v>
      </c>
      <c r="I34" t="s">
        <v>100</v>
      </c>
      <c r="J34">
        <f t="shared" si="2"/>
        <v>42036</v>
      </c>
      <c r="L34">
        <f t="shared" si="3"/>
        <v>18.766071428571429</v>
      </c>
    </row>
    <row r="35" spans="1:12" x14ac:dyDescent="0.25">
      <c r="A35">
        <v>1730</v>
      </c>
      <c r="B35" t="s">
        <v>71</v>
      </c>
      <c r="C35" t="s">
        <v>76</v>
      </c>
      <c r="D35" t="s">
        <v>33</v>
      </c>
      <c r="J35">
        <f t="shared" si="2"/>
        <v>0</v>
      </c>
      <c r="L35">
        <f t="shared" si="3"/>
        <v>0</v>
      </c>
    </row>
    <row r="36" spans="1:12" x14ac:dyDescent="0.25">
      <c r="A36">
        <v>1730</v>
      </c>
      <c r="B36" t="s">
        <v>19</v>
      </c>
      <c r="C36" t="s">
        <v>76</v>
      </c>
      <c r="D36" t="s">
        <v>33</v>
      </c>
      <c r="F36">
        <v>2</v>
      </c>
      <c r="G36">
        <v>1</v>
      </c>
      <c r="J36">
        <f t="shared" si="2"/>
        <v>252</v>
      </c>
      <c r="L36">
        <f t="shared" si="3"/>
        <v>0.1125</v>
      </c>
    </row>
    <row r="37" spans="1:12" x14ac:dyDescent="0.25">
      <c r="A37">
        <v>1730</v>
      </c>
      <c r="B37" t="s">
        <v>46</v>
      </c>
      <c r="C37" t="s">
        <v>76</v>
      </c>
      <c r="D37" t="s">
        <v>33</v>
      </c>
      <c r="J37">
        <f t="shared" si="2"/>
        <v>0</v>
      </c>
      <c r="L37">
        <f t="shared" si="3"/>
        <v>0</v>
      </c>
    </row>
    <row r="38" spans="1:12" x14ac:dyDescent="0.25">
      <c r="A38">
        <v>1730</v>
      </c>
      <c r="B38" t="s">
        <v>55</v>
      </c>
      <c r="C38" t="s">
        <v>76</v>
      </c>
      <c r="D38" t="s">
        <v>33</v>
      </c>
      <c r="H38">
        <v>614</v>
      </c>
      <c r="J38">
        <f t="shared" si="2"/>
        <v>614</v>
      </c>
      <c r="L38">
        <f t="shared" si="3"/>
        <v>0.27410714285714288</v>
      </c>
    </row>
    <row r="39" spans="1:12" x14ac:dyDescent="0.25">
      <c r="A39">
        <v>1730</v>
      </c>
      <c r="B39" t="s">
        <v>20</v>
      </c>
      <c r="C39" t="s">
        <v>76</v>
      </c>
      <c r="D39" t="s">
        <v>33</v>
      </c>
      <c r="J39">
        <f t="shared" si="2"/>
        <v>0</v>
      </c>
      <c r="L39">
        <f t="shared" si="3"/>
        <v>0</v>
      </c>
    </row>
    <row r="40" spans="1:12" x14ac:dyDescent="0.25">
      <c r="A40">
        <v>1730</v>
      </c>
      <c r="B40" t="s">
        <v>21</v>
      </c>
      <c r="C40" t="s">
        <v>76</v>
      </c>
      <c r="D40" t="s">
        <v>33</v>
      </c>
      <c r="H40">
        <v>46</v>
      </c>
      <c r="J40">
        <f t="shared" si="2"/>
        <v>46</v>
      </c>
      <c r="L40">
        <f t="shared" si="3"/>
        <v>2.0535714285714286E-2</v>
      </c>
    </row>
    <row r="41" spans="1:12" x14ac:dyDescent="0.25">
      <c r="A41">
        <v>1730</v>
      </c>
      <c r="B41" t="s">
        <v>22</v>
      </c>
      <c r="C41" t="s">
        <v>76</v>
      </c>
      <c r="D41" t="s">
        <v>33</v>
      </c>
      <c r="J41">
        <f t="shared" si="2"/>
        <v>0</v>
      </c>
      <c r="L41">
        <f t="shared" si="3"/>
        <v>0</v>
      </c>
    </row>
    <row r="42" spans="1:12" x14ac:dyDescent="0.25">
      <c r="A42">
        <v>1730</v>
      </c>
      <c r="B42" t="s">
        <v>62</v>
      </c>
      <c r="C42" t="s">
        <v>76</v>
      </c>
      <c r="D42" t="s">
        <v>33</v>
      </c>
      <c r="J42">
        <f t="shared" si="2"/>
        <v>0</v>
      </c>
      <c r="L42">
        <f t="shared" si="3"/>
        <v>0</v>
      </c>
    </row>
    <row r="43" spans="1:12" x14ac:dyDescent="0.25">
      <c r="A43">
        <v>1730</v>
      </c>
      <c r="B43" t="s">
        <v>63</v>
      </c>
      <c r="C43" t="s">
        <v>76</v>
      </c>
      <c r="D43" t="s">
        <v>33</v>
      </c>
      <c r="E43">
        <v>218</v>
      </c>
      <c r="F43">
        <v>9</v>
      </c>
      <c r="H43">
        <v>4</v>
      </c>
      <c r="J43">
        <f t="shared" si="2"/>
        <v>489332</v>
      </c>
      <c r="L43">
        <f t="shared" si="3"/>
        <v>218.45178571428571</v>
      </c>
    </row>
    <row r="44" spans="1:12" x14ac:dyDescent="0.25">
      <c r="A44">
        <v>1730</v>
      </c>
      <c r="B44" t="s">
        <v>64</v>
      </c>
      <c r="C44" t="s">
        <v>76</v>
      </c>
      <c r="D44" t="s">
        <v>33</v>
      </c>
      <c r="J44">
        <f t="shared" si="2"/>
        <v>0</v>
      </c>
      <c r="L44">
        <f t="shared" si="3"/>
        <v>0</v>
      </c>
    </row>
    <row r="45" spans="1:12" x14ac:dyDescent="0.25">
      <c r="A45">
        <v>1730</v>
      </c>
      <c r="B45" t="s">
        <v>72</v>
      </c>
      <c r="C45" t="s">
        <v>76</v>
      </c>
      <c r="D45" t="s">
        <v>33</v>
      </c>
      <c r="J45">
        <f t="shared" si="2"/>
        <v>0</v>
      </c>
      <c r="L45">
        <f t="shared" si="3"/>
        <v>0</v>
      </c>
    </row>
    <row r="46" spans="1:12" x14ac:dyDescent="0.25">
      <c r="A46">
        <v>1730</v>
      </c>
      <c r="B46" t="s">
        <v>65</v>
      </c>
      <c r="C46" t="s">
        <v>76</v>
      </c>
      <c r="D46" t="s">
        <v>33</v>
      </c>
      <c r="E46">
        <v>3</v>
      </c>
      <c r="J46">
        <f t="shared" si="2"/>
        <v>6720</v>
      </c>
      <c r="L46">
        <f t="shared" si="3"/>
        <v>3</v>
      </c>
    </row>
    <row r="47" spans="1:12" x14ac:dyDescent="0.25">
      <c r="A47">
        <v>1730</v>
      </c>
      <c r="B47" t="s">
        <v>66</v>
      </c>
      <c r="C47" t="s">
        <v>76</v>
      </c>
      <c r="D47" t="s">
        <v>33</v>
      </c>
      <c r="J47">
        <f t="shared" si="2"/>
        <v>0</v>
      </c>
      <c r="L47">
        <f t="shared" si="3"/>
        <v>0</v>
      </c>
    </row>
    <row r="48" spans="1:12" x14ac:dyDescent="0.25">
      <c r="A48">
        <v>1730</v>
      </c>
      <c r="B48" t="s">
        <v>5</v>
      </c>
      <c r="C48" t="s">
        <v>76</v>
      </c>
      <c r="D48" t="s">
        <v>35</v>
      </c>
      <c r="F48">
        <v>3</v>
      </c>
      <c r="G48">
        <v>1</v>
      </c>
      <c r="H48">
        <v>14</v>
      </c>
      <c r="J48">
        <f t="shared" si="2"/>
        <v>378</v>
      </c>
      <c r="L48">
        <f t="shared" si="3"/>
        <v>0.16875000000000001</v>
      </c>
    </row>
    <row r="49" spans="1:12" x14ac:dyDescent="0.25">
      <c r="A49">
        <v>1730</v>
      </c>
      <c r="B49" t="s">
        <v>6</v>
      </c>
      <c r="C49" t="s">
        <v>76</v>
      </c>
      <c r="D49" t="s">
        <v>35</v>
      </c>
      <c r="F49">
        <v>24293</v>
      </c>
      <c r="G49">
        <v>1</v>
      </c>
      <c r="H49">
        <v>5</v>
      </c>
      <c r="J49">
        <f t="shared" si="2"/>
        <v>2720849</v>
      </c>
      <c r="L49">
        <f t="shared" si="3"/>
        <v>1214.6647321428572</v>
      </c>
    </row>
    <row r="50" spans="1:12" x14ac:dyDescent="0.25">
      <c r="A50">
        <v>1730</v>
      </c>
      <c r="B50" t="s">
        <v>7</v>
      </c>
      <c r="C50" t="s">
        <v>76</v>
      </c>
      <c r="D50" t="s">
        <v>35</v>
      </c>
      <c r="J50">
        <f t="shared" si="2"/>
        <v>0</v>
      </c>
      <c r="L50">
        <f t="shared" si="3"/>
        <v>0</v>
      </c>
    </row>
    <row r="51" spans="1:12" x14ac:dyDescent="0.25">
      <c r="A51">
        <v>1730</v>
      </c>
      <c r="B51" t="s">
        <v>8</v>
      </c>
      <c r="C51" t="s">
        <v>76</v>
      </c>
      <c r="D51" t="s">
        <v>35</v>
      </c>
      <c r="F51">
        <v>11</v>
      </c>
      <c r="G51">
        <v>1</v>
      </c>
      <c r="H51">
        <v>16</v>
      </c>
      <c r="J51">
        <f t="shared" si="2"/>
        <v>1276</v>
      </c>
      <c r="L51">
        <f t="shared" si="3"/>
        <v>0.56964285714285712</v>
      </c>
    </row>
    <row r="52" spans="1:12" x14ac:dyDescent="0.25">
      <c r="A52">
        <v>1730</v>
      </c>
      <c r="B52" t="s">
        <v>9</v>
      </c>
      <c r="C52" t="s">
        <v>76</v>
      </c>
      <c r="D52" t="s">
        <v>35</v>
      </c>
      <c r="H52">
        <v>129342</v>
      </c>
      <c r="J52">
        <f t="shared" si="2"/>
        <v>129342</v>
      </c>
      <c r="L52">
        <f t="shared" si="3"/>
        <v>57.741964285714289</v>
      </c>
    </row>
    <row r="53" spans="1:12" x14ac:dyDescent="0.25">
      <c r="A53">
        <v>1730</v>
      </c>
      <c r="B53" t="s">
        <v>10</v>
      </c>
      <c r="C53" t="s">
        <v>76</v>
      </c>
      <c r="D53" t="s">
        <v>35</v>
      </c>
      <c r="J53">
        <f t="shared" si="2"/>
        <v>0</v>
      </c>
      <c r="L53">
        <f t="shared" si="3"/>
        <v>0</v>
      </c>
    </row>
    <row r="54" spans="1:12" x14ac:dyDescent="0.25">
      <c r="A54">
        <v>1730</v>
      </c>
      <c r="B54" t="s">
        <v>11</v>
      </c>
      <c r="C54" t="s">
        <v>76</v>
      </c>
      <c r="D54" t="s">
        <v>35</v>
      </c>
      <c r="F54">
        <v>31</v>
      </c>
      <c r="G54">
        <v>2</v>
      </c>
      <c r="H54">
        <v>9</v>
      </c>
      <c r="J54">
        <f t="shared" si="2"/>
        <v>3537</v>
      </c>
      <c r="L54">
        <f t="shared" si="3"/>
        <v>1.5790178571428573</v>
      </c>
    </row>
    <row r="55" spans="1:12" x14ac:dyDescent="0.25">
      <c r="A55">
        <v>1730</v>
      </c>
      <c r="B55" t="s">
        <v>12</v>
      </c>
      <c r="C55" t="s">
        <v>76</v>
      </c>
      <c r="D55" t="s">
        <v>35</v>
      </c>
      <c r="J55">
        <f t="shared" si="2"/>
        <v>0</v>
      </c>
      <c r="L55">
        <f t="shared" si="3"/>
        <v>0</v>
      </c>
    </row>
    <row r="56" spans="1:12" x14ac:dyDescent="0.25">
      <c r="A56">
        <v>1730</v>
      </c>
      <c r="B56" t="s">
        <v>13</v>
      </c>
      <c r="C56" t="s">
        <v>76</v>
      </c>
      <c r="D56" t="s">
        <v>35</v>
      </c>
      <c r="F56">
        <v>525</v>
      </c>
      <c r="G56">
        <v>1</v>
      </c>
      <c r="H56">
        <v>26</v>
      </c>
      <c r="J56">
        <f t="shared" si="2"/>
        <v>58854</v>
      </c>
      <c r="L56">
        <f t="shared" si="3"/>
        <v>26.274107142857144</v>
      </c>
    </row>
    <row r="57" spans="1:12" x14ac:dyDescent="0.25">
      <c r="A57">
        <v>1730</v>
      </c>
      <c r="B57" t="s">
        <v>14</v>
      </c>
      <c r="C57" t="s">
        <v>76</v>
      </c>
      <c r="D57" t="s">
        <v>35</v>
      </c>
      <c r="J57">
        <f t="shared" si="2"/>
        <v>0</v>
      </c>
      <c r="L57">
        <f t="shared" si="3"/>
        <v>0</v>
      </c>
    </row>
    <row r="58" spans="1:12" x14ac:dyDescent="0.25">
      <c r="A58">
        <v>1730</v>
      </c>
      <c r="B58" t="s">
        <v>27</v>
      </c>
      <c r="C58" t="s">
        <v>76</v>
      </c>
      <c r="D58" t="s">
        <v>35</v>
      </c>
      <c r="H58">
        <v>11233</v>
      </c>
      <c r="I58" t="s">
        <v>121</v>
      </c>
      <c r="J58">
        <f t="shared" si="2"/>
        <v>11233</v>
      </c>
      <c r="L58">
        <f t="shared" si="3"/>
        <v>5.0147321428571425</v>
      </c>
    </row>
    <row r="59" spans="1:12" x14ac:dyDescent="0.25">
      <c r="A59">
        <v>1730</v>
      </c>
      <c r="B59" t="s">
        <v>15</v>
      </c>
      <c r="C59" t="s">
        <v>76</v>
      </c>
      <c r="D59" t="s">
        <v>35</v>
      </c>
      <c r="F59">
        <v>10</v>
      </c>
      <c r="G59">
        <v>2</v>
      </c>
      <c r="J59">
        <f t="shared" si="2"/>
        <v>1176</v>
      </c>
      <c r="L59">
        <f t="shared" si="3"/>
        <v>0.52500000000000002</v>
      </c>
    </row>
    <row r="60" spans="1:12" x14ac:dyDescent="0.25">
      <c r="A60">
        <v>1730</v>
      </c>
      <c r="B60" t="s">
        <v>17</v>
      </c>
      <c r="C60" t="s">
        <v>76</v>
      </c>
      <c r="D60" t="s">
        <v>35</v>
      </c>
      <c r="J60">
        <f t="shared" si="2"/>
        <v>0</v>
      </c>
      <c r="L60">
        <f t="shared" si="3"/>
        <v>0</v>
      </c>
    </row>
    <row r="61" spans="1:12" x14ac:dyDescent="0.25">
      <c r="A61">
        <v>1730</v>
      </c>
      <c r="B61" t="s">
        <v>18</v>
      </c>
      <c r="C61" t="s">
        <v>76</v>
      </c>
      <c r="D61" t="s">
        <v>35</v>
      </c>
      <c r="H61">
        <v>19327</v>
      </c>
      <c r="I61" t="s">
        <v>120</v>
      </c>
      <c r="J61">
        <f t="shared" si="2"/>
        <v>19327</v>
      </c>
      <c r="L61">
        <f t="shared" si="3"/>
        <v>8.6281250000000007</v>
      </c>
    </row>
    <row r="62" spans="1:12" x14ac:dyDescent="0.25">
      <c r="A62">
        <v>1730</v>
      </c>
      <c r="B62" t="s">
        <v>19</v>
      </c>
      <c r="C62" t="s">
        <v>76</v>
      </c>
      <c r="D62" t="s">
        <v>35</v>
      </c>
      <c r="F62">
        <v>4</v>
      </c>
      <c r="G62">
        <v>1</v>
      </c>
      <c r="H62">
        <v>18</v>
      </c>
      <c r="J62">
        <f t="shared" si="2"/>
        <v>494</v>
      </c>
      <c r="L62">
        <f t="shared" si="3"/>
        <v>0.22053571428571428</v>
      </c>
    </row>
    <row r="63" spans="1:12" x14ac:dyDescent="0.25">
      <c r="A63">
        <v>1730</v>
      </c>
      <c r="B63" t="s">
        <v>55</v>
      </c>
      <c r="C63" t="s">
        <v>76</v>
      </c>
      <c r="D63" t="s">
        <v>35</v>
      </c>
      <c r="J63">
        <f t="shared" si="2"/>
        <v>0</v>
      </c>
      <c r="L63">
        <f t="shared" si="3"/>
        <v>0</v>
      </c>
    </row>
    <row r="64" spans="1:12" x14ac:dyDescent="0.25">
      <c r="A64">
        <v>1730</v>
      </c>
      <c r="B64" t="s">
        <v>21</v>
      </c>
      <c r="C64" t="s">
        <v>76</v>
      </c>
      <c r="D64" t="s">
        <v>35</v>
      </c>
      <c r="J64">
        <f t="shared" si="2"/>
        <v>0</v>
      </c>
      <c r="L64">
        <f t="shared" si="3"/>
        <v>0</v>
      </c>
    </row>
    <row r="65" spans="1:12" x14ac:dyDescent="0.25">
      <c r="A65">
        <v>1730</v>
      </c>
      <c r="B65" t="s">
        <v>22</v>
      </c>
      <c r="C65" t="s">
        <v>76</v>
      </c>
      <c r="D65" t="s">
        <v>35</v>
      </c>
      <c r="J65">
        <f t="shared" si="2"/>
        <v>0</v>
      </c>
      <c r="L65">
        <f t="shared" si="3"/>
        <v>0</v>
      </c>
    </row>
    <row r="66" spans="1:12" x14ac:dyDescent="0.25">
      <c r="A66">
        <v>1730</v>
      </c>
      <c r="B66" t="s">
        <v>63</v>
      </c>
      <c r="C66" t="s">
        <v>76</v>
      </c>
      <c r="D66" t="s">
        <v>35</v>
      </c>
      <c r="E66">
        <v>119</v>
      </c>
      <c r="F66">
        <v>7</v>
      </c>
      <c r="G66">
        <v>1</v>
      </c>
      <c r="H66">
        <v>24</v>
      </c>
      <c r="J66">
        <f t="shared" si="2"/>
        <v>267396</v>
      </c>
      <c r="L66">
        <f t="shared" si="3"/>
        <v>119.37321428571428</v>
      </c>
    </row>
    <row r="67" spans="1:12" x14ac:dyDescent="0.25">
      <c r="A67">
        <v>1730</v>
      </c>
      <c r="B67" t="s">
        <v>64</v>
      </c>
      <c r="C67" t="s">
        <v>76</v>
      </c>
      <c r="D67" t="s">
        <v>35</v>
      </c>
      <c r="F67">
        <v>9</v>
      </c>
      <c r="G67">
        <v>2</v>
      </c>
      <c r="H67">
        <v>5</v>
      </c>
      <c r="J67">
        <f t="shared" si="2"/>
        <v>1069</v>
      </c>
      <c r="L67">
        <f t="shared" si="3"/>
        <v>0.47723214285714288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4BE2E-C55F-44E6-BF87-822589C5CAD7}">
  <dimension ref="A1:L66"/>
  <sheetViews>
    <sheetView workbookViewId="0">
      <selection activeCell="H19" sqref="H19"/>
    </sheetView>
  </sheetViews>
  <sheetFormatPr defaultRowHeight="15" x14ac:dyDescent="0.25"/>
  <cols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2" x14ac:dyDescent="0.25">
      <c r="A1" s="1" t="s">
        <v>49</v>
      </c>
      <c r="B1" s="1" t="s">
        <v>50</v>
      </c>
      <c r="C1" s="1" t="s">
        <v>51</v>
      </c>
      <c r="D1" s="1" t="s">
        <v>52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53</v>
      </c>
    </row>
    <row r="2" spans="1:12" x14ac:dyDescent="0.25">
      <c r="A2">
        <v>1730</v>
      </c>
      <c r="B2" t="s">
        <v>56</v>
      </c>
      <c r="C2" t="s">
        <v>103</v>
      </c>
      <c r="D2" t="s">
        <v>33</v>
      </c>
      <c r="J2">
        <f>(E2*2240)+(F2*112)+(G2*28)+H2</f>
        <v>0</v>
      </c>
      <c r="L2">
        <f>J2/2240</f>
        <v>0</v>
      </c>
    </row>
    <row r="3" spans="1:12" x14ac:dyDescent="0.25">
      <c r="A3">
        <v>1730</v>
      </c>
      <c r="B3" t="s">
        <v>58</v>
      </c>
      <c r="C3" t="s">
        <v>103</v>
      </c>
      <c r="D3" t="s">
        <v>33</v>
      </c>
      <c r="J3">
        <f>(E3*2240)+(F3*112)+(G3*28)+H3</f>
        <v>0</v>
      </c>
      <c r="L3">
        <f>J3/2240</f>
        <v>0</v>
      </c>
    </row>
    <row r="4" spans="1:12" x14ac:dyDescent="0.25">
      <c r="A4">
        <v>1730</v>
      </c>
      <c r="B4" t="s">
        <v>37</v>
      </c>
      <c r="C4" t="s">
        <v>103</v>
      </c>
      <c r="D4" t="s">
        <v>33</v>
      </c>
      <c r="H4">
        <v>1904</v>
      </c>
      <c r="J4">
        <f>(E4*2240)+(F4*112)+(G4*28)+H4</f>
        <v>1904</v>
      </c>
      <c r="L4">
        <f>J4/2240</f>
        <v>0.85</v>
      </c>
    </row>
    <row r="5" spans="1:12" x14ac:dyDescent="0.25">
      <c r="A5">
        <v>1730</v>
      </c>
      <c r="B5" t="s">
        <v>4</v>
      </c>
      <c r="C5" t="s">
        <v>103</v>
      </c>
      <c r="D5" t="s">
        <v>33</v>
      </c>
      <c r="H5">
        <v>100</v>
      </c>
      <c r="J5">
        <f>(E5*2240)+(F5*112)+(G5*28)+H5</f>
        <v>100</v>
      </c>
      <c r="L5">
        <f>J5/2240</f>
        <v>4.4642857142857144E-2</v>
      </c>
    </row>
    <row r="6" spans="1:12" x14ac:dyDescent="0.25">
      <c r="A6">
        <v>1730</v>
      </c>
      <c r="B6" t="s">
        <v>59</v>
      </c>
      <c r="C6" t="s">
        <v>103</v>
      </c>
      <c r="D6" t="s">
        <v>33</v>
      </c>
      <c r="J6">
        <f>(E6*2240)+(F6*112)+(G6*28)+H6</f>
        <v>0</v>
      </c>
      <c r="L6">
        <f>J6/2240</f>
        <v>0</v>
      </c>
    </row>
    <row r="7" spans="1:12" x14ac:dyDescent="0.25">
      <c r="A7">
        <v>1730</v>
      </c>
      <c r="B7" t="s">
        <v>70</v>
      </c>
      <c r="C7" t="s">
        <v>103</v>
      </c>
      <c r="D7" t="s">
        <v>33</v>
      </c>
      <c r="J7">
        <f t="shared" ref="J7:J66" si="0">(E7*2240)+(F7*112)+(G7*28)+H7</f>
        <v>0</v>
      </c>
      <c r="L7">
        <f t="shared" ref="L7:L66" si="1">J7/2240</f>
        <v>0</v>
      </c>
    </row>
    <row r="8" spans="1:12" x14ac:dyDescent="0.25">
      <c r="A8">
        <v>1730</v>
      </c>
      <c r="B8" t="s">
        <v>44</v>
      </c>
      <c r="C8" t="s">
        <v>103</v>
      </c>
      <c r="D8" t="s">
        <v>33</v>
      </c>
      <c r="J8">
        <f t="shared" si="0"/>
        <v>0</v>
      </c>
      <c r="L8">
        <f t="shared" si="1"/>
        <v>0</v>
      </c>
    </row>
    <row r="9" spans="1:12" x14ac:dyDescent="0.25">
      <c r="A9">
        <v>1730</v>
      </c>
      <c r="B9" t="s">
        <v>5</v>
      </c>
      <c r="C9" t="s">
        <v>103</v>
      </c>
      <c r="D9" t="s">
        <v>33</v>
      </c>
      <c r="J9">
        <f t="shared" si="0"/>
        <v>0</v>
      </c>
      <c r="L9">
        <f t="shared" si="1"/>
        <v>0</v>
      </c>
    </row>
    <row r="10" spans="1:12" x14ac:dyDescent="0.25">
      <c r="A10">
        <v>1730</v>
      </c>
      <c r="B10" t="s">
        <v>60</v>
      </c>
      <c r="C10" t="s">
        <v>103</v>
      </c>
      <c r="D10" t="s">
        <v>33</v>
      </c>
      <c r="J10">
        <f t="shared" si="0"/>
        <v>0</v>
      </c>
      <c r="L10">
        <f t="shared" si="1"/>
        <v>0</v>
      </c>
    </row>
    <row r="11" spans="1:12" x14ac:dyDescent="0.25">
      <c r="A11">
        <v>1730</v>
      </c>
      <c r="B11" t="s">
        <v>6</v>
      </c>
      <c r="C11" t="s">
        <v>103</v>
      </c>
      <c r="D11" t="s">
        <v>33</v>
      </c>
      <c r="F11">
        <v>1741</v>
      </c>
      <c r="H11">
        <v>23</v>
      </c>
      <c r="J11">
        <f t="shared" si="0"/>
        <v>195015</v>
      </c>
      <c r="L11">
        <f t="shared" si="1"/>
        <v>87.060267857142861</v>
      </c>
    </row>
    <row r="12" spans="1:12" x14ac:dyDescent="0.25">
      <c r="A12">
        <v>1730</v>
      </c>
      <c r="B12" t="s">
        <v>61</v>
      </c>
      <c r="C12" t="s">
        <v>103</v>
      </c>
      <c r="D12" t="s">
        <v>33</v>
      </c>
      <c r="H12">
        <v>2070</v>
      </c>
      <c r="J12">
        <f t="shared" si="0"/>
        <v>2070</v>
      </c>
      <c r="L12">
        <f t="shared" si="1"/>
        <v>0.9241071428571429</v>
      </c>
    </row>
    <row r="13" spans="1:12" x14ac:dyDescent="0.25">
      <c r="A13">
        <v>1730</v>
      </c>
      <c r="B13" t="s">
        <v>39</v>
      </c>
      <c r="C13" t="s">
        <v>103</v>
      </c>
      <c r="D13" t="s">
        <v>33</v>
      </c>
      <c r="J13">
        <f t="shared" si="0"/>
        <v>0</v>
      </c>
      <c r="L13">
        <f t="shared" si="1"/>
        <v>0</v>
      </c>
    </row>
    <row r="14" spans="1:12" x14ac:dyDescent="0.25">
      <c r="A14">
        <v>1730</v>
      </c>
      <c r="B14" t="s">
        <v>38</v>
      </c>
      <c r="C14" t="s">
        <v>103</v>
      </c>
      <c r="D14" t="s">
        <v>33</v>
      </c>
      <c r="J14">
        <f t="shared" si="0"/>
        <v>0</v>
      </c>
      <c r="L14">
        <f t="shared" si="1"/>
        <v>0</v>
      </c>
    </row>
    <row r="15" spans="1:12" x14ac:dyDescent="0.25">
      <c r="A15">
        <v>1730</v>
      </c>
      <c r="B15" t="s">
        <v>8</v>
      </c>
      <c r="C15" t="s">
        <v>103</v>
      </c>
      <c r="D15" t="s">
        <v>33</v>
      </c>
      <c r="J15">
        <f t="shared" si="0"/>
        <v>0</v>
      </c>
      <c r="L15">
        <f t="shared" si="1"/>
        <v>0</v>
      </c>
    </row>
    <row r="16" spans="1:12" x14ac:dyDescent="0.25">
      <c r="A16">
        <v>1730</v>
      </c>
      <c r="B16" t="s">
        <v>41</v>
      </c>
      <c r="C16" t="s">
        <v>103</v>
      </c>
      <c r="D16" t="s">
        <v>33</v>
      </c>
      <c r="J16">
        <f t="shared" si="0"/>
        <v>0</v>
      </c>
      <c r="L16">
        <f t="shared" si="1"/>
        <v>0</v>
      </c>
    </row>
    <row r="17" spans="1:12" x14ac:dyDescent="0.25">
      <c r="A17">
        <v>1730</v>
      </c>
      <c r="B17" t="s">
        <v>47</v>
      </c>
      <c r="C17" t="s">
        <v>103</v>
      </c>
      <c r="D17" t="s">
        <v>33</v>
      </c>
      <c r="J17">
        <f t="shared" si="0"/>
        <v>0</v>
      </c>
      <c r="L17">
        <f t="shared" si="1"/>
        <v>0</v>
      </c>
    </row>
    <row r="18" spans="1:12" x14ac:dyDescent="0.25">
      <c r="A18">
        <v>1730</v>
      </c>
      <c r="B18" t="s">
        <v>9</v>
      </c>
      <c r="C18" t="s">
        <v>103</v>
      </c>
      <c r="D18" t="s">
        <v>33</v>
      </c>
      <c r="H18">
        <f>12*200</f>
        <v>2400</v>
      </c>
      <c r="I18" t="s">
        <v>106</v>
      </c>
      <c r="J18">
        <f t="shared" si="0"/>
        <v>2400</v>
      </c>
      <c r="L18">
        <f t="shared" si="1"/>
        <v>1.0714285714285714</v>
      </c>
    </row>
    <row r="19" spans="1:12" x14ac:dyDescent="0.25">
      <c r="A19">
        <v>1730</v>
      </c>
      <c r="B19" t="s">
        <v>10</v>
      </c>
      <c r="C19" t="s">
        <v>103</v>
      </c>
      <c r="D19" t="s">
        <v>33</v>
      </c>
      <c r="F19">
        <v>111</v>
      </c>
      <c r="G19">
        <v>2</v>
      </c>
      <c r="J19">
        <f t="shared" si="0"/>
        <v>12488</v>
      </c>
      <c r="L19">
        <f t="shared" si="1"/>
        <v>5.5750000000000002</v>
      </c>
    </row>
    <row r="20" spans="1:12" x14ac:dyDescent="0.25">
      <c r="A20">
        <v>1730</v>
      </c>
      <c r="B20" t="s">
        <v>11</v>
      </c>
      <c r="C20" t="s">
        <v>103</v>
      </c>
      <c r="D20" t="s">
        <v>33</v>
      </c>
      <c r="J20">
        <f t="shared" si="0"/>
        <v>0</v>
      </c>
      <c r="L20">
        <f t="shared" si="1"/>
        <v>0</v>
      </c>
    </row>
    <row r="21" spans="1:12" x14ac:dyDescent="0.25">
      <c r="A21">
        <v>1730</v>
      </c>
      <c r="B21" t="s">
        <v>40</v>
      </c>
      <c r="C21" t="s">
        <v>103</v>
      </c>
      <c r="D21" t="s">
        <v>33</v>
      </c>
      <c r="J21">
        <f t="shared" si="0"/>
        <v>0</v>
      </c>
      <c r="L21">
        <f t="shared" si="1"/>
        <v>0</v>
      </c>
    </row>
    <row r="22" spans="1:12" x14ac:dyDescent="0.25">
      <c r="A22">
        <v>1730</v>
      </c>
      <c r="B22" t="s">
        <v>45</v>
      </c>
      <c r="C22" t="s">
        <v>103</v>
      </c>
      <c r="D22" t="s">
        <v>33</v>
      </c>
      <c r="J22">
        <f t="shared" si="0"/>
        <v>0</v>
      </c>
      <c r="L22">
        <f t="shared" si="1"/>
        <v>0</v>
      </c>
    </row>
    <row r="23" spans="1:12" x14ac:dyDescent="0.25">
      <c r="A23">
        <v>1730</v>
      </c>
      <c r="B23" t="s">
        <v>12</v>
      </c>
      <c r="C23" t="s">
        <v>103</v>
      </c>
      <c r="D23" t="s">
        <v>33</v>
      </c>
      <c r="H23">
        <v>700</v>
      </c>
      <c r="J23">
        <f t="shared" si="0"/>
        <v>700</v>
      </c>
      <c r="L23">
        <f t="shared" si="1"/>
        <v>0.3125</v>
      </c>
    </row>
    <row r="24" spans="1:12" x14ac:dyDescent="0.25">
      <c r="A24">
        <v>1730</v>
      </c>
      <c r="B24" t="s">
        <v>34</v>
      </c>
      <c r="C24" t="s">
        <v>103</v>
      </c>
      <c r="D24" t="s">
        <v>33</v>
      </c>
      <c r="J24">
        <f t="shared" si="0"/>
        <v>0</v>
      </c>
      <c r="L24">
        <f t="shared" si="1"/>
        <v>0</v>
      </c>
    </row>
    <row r="25" spans="1:12" x14ac:dyDescent="0.25">
      <c r="A25">
        <v>1730</v>
      </c>
      <c r="B25" t="s">
        <v>13</v>
      </c>
      <c r="C25" t="s">
        <v>103</v>
      </c>
      <c r="D25" t="s">
        <v>33</v>
      </c>
      <c r="J25">
        <f t="shared" si="0"/>
        <v>0</v>
      </c>
      <c r="L25">
        <f t="shared" si="1"/>
        <v>0</v>
      </c>
    </row>
    <row r="26" spans="1:12" x14ac:dyDescent="0.25">
      <c r="A26">
        <v>1730</v>
      </c>
      <c r="B26" t="s">
        <v>14</v>
      </c>
      <c r="C26" t="s">
        <v>103</v>
      </c>
      <c r="D26" t="s">
        <v>33</v>
      </c>
      <c r="J26">
        <f t="shared" si="0"/>
        <v>0</v>
      </c>
      <c r="L26">
        <f t="shared" si="1"/>
        <v>0</v>
      </c>
    </row>
    <row r="27" spans="1:12" x14ac:dyDescent="0.25">
      <c r="A27">
        <v>1730</v>
      </c>
      <c r="B27" t="s">
        <v>23</v>
      </c>
      <c r="C27" t="s">
        <v>103</v>
      </c>
      <c r="D27" t="s">
        <v>33</v>
      </c>
      <c r="J27">
        <f t="shared" si="0"/>
        <v>0</v>
      </c>
      <c r="L27">
        <f t="shared" si="1"/>
        <v>0</v>
      </c>
    </row>
    <row r="28" spans="1:12" x14ac:dyDescent="0.25">
      <c r="A28">
        <v>1730</v>
      </c>
      <c r="B28" t="s">
        <v>27</v>
      </c>
      <c r="C28" t="s">
        <v>103</v>
      </c>
      <c r="D28" t="s">
        <v>33</v>
      </c>
      <c r="H28">
        <v>1060</v>
      </c>
      <c r="I28" t="s">
        <v>105</v>
      </c>
      <c r="J28">
        <f t="shared" si="0"/>
        <v>1060</v>
      </c>
      <c r="L28">
        <f t="shared" si="1"/>
        <v>0.4732142857142857</v>
      </c>
    </row>
    <row r="29" spans="1:12" x14ac:dyDescent="0.25">
      <c r="A29">
        <v>1730</v>
      </c>
      <c r="B29" t="s">
        <v>15</v>
      </c>
      <c r="C29" t="s">
        <v>103</v>
      </c>
      <c r="D29" t="s">
        <v>33</v>
      </c>
      <c r="J29">
        <f t="shared" si="0"/>
        <v>0</v>
      </c>
      <c r="L29">
        <f t="shared" si="1"/>
        <v>0</v>
      </c>
    </row>
    <row r="30" spans="1:12" x14ac:dyDescent="0.25">
      <c r="A30">
        <v>1730</v>
      </c>
      <c r="B30" t="s">
        <v>43</v>
      </c>
      <c r="C30" t="s">
        <v>103</v>
      </c>
      <c r="D30" t="s">
        <v>33</v>
      </c>
      <c r="J30">
        <f t="shared" si="0"/>
        <v>0</v>
      </c>
      <c r="L30">
        <f t="shared" si="1"/>
        <v>0</v>
      </c>
    </row>
    <row r="31" spans="1:12" x14ac:dyDescent="0.25">
      <c r="A31">
        <v>1730</v>
      </c>
      <c r="B31" t="s">
        <v>48</v>
      </c>
      <c r="C31" t="s">
        <v>103</v>
      </c>
      <c r="D31" t="s">
        <v>33</v>
      </c>
      <c r="J31">
        <f t="shared" si="0"/>
        <v>0</v>
      </c>
      <c r="L31">
        <f t="shared" si="1"/>
        <v>0</v>
      </c>
    </row>
    <row r="32" spans="1:12" x14ac:dyDescent="0.25">
      <c r="A32">
        <v>1730</v>
      </c>
      <c r="B32" t="s">
        <v>16</v>
      </c>
      <c r="C32" t="s">
        <v>103</v>
      </c>
      <c r="D32" t="s">
        <v>33</v>
      </c>
      <c r="H32">
        <v>1400</v>
      </c>
      <c r="J32">
        <f t="shared" si="0"/>
        <v>1400</v>
      </c>
      <c r="L32">
        <f t="shared" si="1"/>
        <v>0.625</v>
      </c>
    </row>
    <row r="33" spans="1:12" x14ac:dyDescent="0.25">
      <c r="A33">
        <v>1730</v>
      </c>
      <c r="B33" t="s">
        <v>17</v>
      </c>
      <c r="C33" t="s">
        <v>103</v>
      </c>
      <c r="D33" t="s">
        <v>33</v>
      </c>
      <c r="F33">
        <v>110</v>
      </c>
      <c r="J33">
        <f t="shared" si="0"/>
        <v>12320</v>
      </c>
      <c r="L33">
        <f t="shared" si="1"/>
        <v>5.5</v>
      </c>
    </row>
    <row r="34" spans="1:12" x14ac:dyDescent="0.25">
      <c r="A34">
        <v>1730</v>
      </c>
      <c r="B34" t="s">
        <v>18</v>
      </c>
      <c r="C34" t="s">
        <v>103</v>
      </c>
      <c r="D34" t="s">
        <v>33</v>
      </c>
      <c r="H34">
        <v>8104</v>
      </c>
      <c r="I34" t="s">
        <v>104</v>
      </c>
      <c r="J34">
        <f t="shared" si="0"/>
        <v>8104</v>
      </c>
      <c r="L34">
        <f t="shared" si="1"/>
        <v>3.6178571428571429</v>
      </c>
    </row>
    <row r="35" spans="1:12" x14ac:dyDescent="0.25">
      <c r="A35">
        <v>1730</v>
      </c>
      <c r="B35" t="s">
        <v>71</v>
      </c>
      <c r="C35" t="s">
        <v>103</v>
      </c>
      <c r="D35" t="s">
        <v>33</v>
      </c>
      <c r="H35">
        <v>600</v>
      </c>
      <c r="J35">
        <f t="shared" si="0"/>
        <v>600</v>
      </c>
      <c r="L35">
        <f t="shared" si="1"/>
        <v>0.26785714285714285</v>
      </c>
    </row>
    <row r="36" spans="1:12" x14ac:dyDescent="0.25">
      <c r="A36">
        <v>1730</v>
      </c>
      <c r="B36" t="s">
        <v>19</v>
      </c>
      <c r="C36" t="s">
        <v>103</v>
      </c>
      <c r="D36" t="s">
        <v>33</v>
      </c>
      <c r="F36">
        <v>2</v>
      </c>
      <c r="G36">
        <v>1</v>
      </c>
      <c r="J36">
        <f t="shared" si="0"/>
        <v>252</v>
      </c>
      <c r="L36">
        <f t="shared" si="1"/>
        <v>0.1125</v>
      </c>
    </row>
    <row r="37" spans="1:12" x14ac:dyDescent="0.25">
      <c r="A37">
        <v>1730</v>
      </c>
      <c r="B37" t="s">
        <v>46</v>
      </c>
      <c r="C37" t="s">
        <v>103</v>
      </c>
      <c r="D37" t="s">
        <v>33</v>
      </c>
      <c r="J37">
        <f t="shared" si="0"/>
        <v>0</v>
      </c>
      <c r="L37">
        <f t="shared" si="1"/>
        <v>0</v>
      </c>
    </row>
    <row r="38" spans="1:12" x14ac:dyDescent="0.25">
      <c r="A38">
        <v>1730</v>
      </c>
      <c r="B38" t="s">
        <v>55</v>
      </c>
      <c r="C38" t="s">
        <v>103</v>
      </c>
      <c r="D38" t="s">
        <v>33</v>
      </c>
      <c r="H38">
        <v>10</v>
      </c>
      <c r="J38">
        <f t="shared" si="0"/>
        <v>10</v>
      </c>
      <c r="L38">
        <f t="shared" si="1"/>
        <v>4.464285714285714E-3</v>
      </c>
    </row>
    <row r="39" spans="1:12" x14ac:dyDescent="0.25">
      <c r="A39">
        <v>1730</v>
      </c>
      <c r="B39" t="s">
        <v>20</v>
      </c>
      <c r="C39" t="s">
        <v>103</v>
      </c>
      <c r="D39" t="s">
        <v>33</v>
      </c>
      <c r="J39">
        <f t="shared" si="0"/>
        <v>0</v>
      </c>
      <c r="L39">
        <f t="shared" si="1"/>
        <v>0</v>
      </c>
    </row>
    <row r="40" spans="1:12" x14ac:dyDescent="0.25">
      <c r="A40">
        <v>1730</v>
      </c>
      <c r="B40" t="s">
        <v>21</v>
      </c>
      <c r="C40" t="s">
        <v>103</v>
      </c>
      <c r="D40" t="s">
        <v>33</v>
      </c>
      <c r="H40">
        <v>160</v>
      </c>
      <c r="J40">
        <f t="shared" si="0"/>
        <v>160</v>
      </c>
      <c r="L40">
        <f t="shared" si="1"/>
        <v>7.1428571428571425E-2</v>
      </c>
    </row>
    <row r="41" spans="1:12" x14ac:dyDescent="0.25">
      <c r="A41">
        <v>1730</v>
      </c>
      <c r="B41" t="s">
        <v>22</v>
      </c>
      <c r="C41" t="s">
        <v>103</v>
      </c>
      <c r="D41" t="s">
        <v>33</v>
      </c>
      <c r="J41">
        <f t="shared" si="0"/>
        <v>0</v>
      </c>
      <c r="L41">
        <f t="shared" si="1"/>
        <v>0</v>
      </c>
    </row>
    <row r="42" spans="1:12" x14ac:dyDescent="0.25">
      <c r="A42">
        <v>1730</v>
      </c>
      <c r="B42" t="s">
        <v>62</v>
      </c>
      <c r="C42" t="s">
        <v>103</v>
      </c>
      <c r="D42" t="s">
        <v>33</v>
      </c>
      <c r="J42">
        <f t="shared" si="0"/>
        <v>0</v>
      </c>
      <c r="L42">
        <f t="shared" si="1"/>
        <v>0</v>
      </c>
    </row>
    <row r="43" spans="1:12" x14ac:dyDescent="0.25">
      <c r="A43">
        <v>1730</v>
      </c>
      <c r="B43" t="s">
        <v>63</v>
      </c>
      <c r="C43" t="s">
        <v>103</v>
      </c>
      <c r="D43" t="s">
        <v>33</v>
      </c>
      <c r="J43">
        <f t="shared" si="0"/>
        <v>0</v>
      </c>
      <c r="L43">
        <f t="shared" si="1"/>
        <v>0</v>
      </c>
    </row>
    <row r="44" spans="1:12" x14ac:dyDescent="0.25">
      <c r="A44">
        <v>1730</v>
      </c>
      <c r="B44" t="s">
        <v>64</v>
      </c>
      <c r="C44" t="s">
        <v>103</v>
      </c>
      <c r="D44" t="s">
        <v>33</v>
      </c>
      <c r="E44">
        <v>358</v>
      </c>
      <c r="J44">
        <f t="shared" si="0"/>
        <v>801920</v>
      </c>
      <c r="L44">
        <f t="shared" si="1"/>
        <v>358</v>
      </c>
    </row>
    <row r="45" spans="1:12" x14ac:dyDescent="0.25">
      <c r="A45">
        <v>1730</v>
      </c>
      <c r="B45" t="s">
        <v>72</v>
      </c>
      <c r="C45" t="s">
        <v>103</v>
      </c>
      <c r="D45" t="s">
        <v>33</v>
      </c>
      <c r="J45">
        <f t="shared" si="0"/>
        <v>0</v>
      </c>
      <c r="L45">
        <f t="shared" si="1"/>
        <v>0</v>
      </c>
    </row>
    <row r="46" spans="1:12" x14ac:dyDescent="0.25">
      <c r="A46">
        <v>1730</v>
      </c>
      <c r="B46" t="s">
        <v>65</v>
      </c>
      <c r="C46" t="s">
        <v>103</v>
      </c>
      <c r="D46" t="s">
        <v>33</v>
      </c>
      <c r="J46">
        <f t="shared" si="0"/>
        <v>0</v>
      </c>
      <c r="L46">
        <f t="shared" si="1"/>
        <v>0</v>
      </c>
    </row>
    <row r="47" spans="1:12" x14ac:dyDescent="0.25">
      <c r="A47">
        <v>1730</v>
      </c>
      <c r="B47" t="s">
        <v>66</v>
      </c>
      <c r="C47" t="s">
        <v>103</v>
      </c>
      <c r="D47" t="s">
        <v>33</v>
      </c>
      <c r="J47">
        <f t="shared" si="0"/>
        <v>0</v>
      </c>
      <c r="L47">
        <f t="shared" si="1"/>
        <v>0</v>
      </c>
    </row>
    <row r="48" spans="1:12" x14ac:dyDescent="0.25">
      <c r="A48">
        <v>1730</v>
      </c>
      <c r="B48" t="s">
        <v>6</v>
      </c>
      <c r="C48" t="s">
        <v>103</v>
      </c>
      <c r="D48" t="s">
        <v>35</v>
      </c>
      <c r="F48">
        <v>1</v>
      </c>
      <c r="G48">
        <v>1</v>
      </c>
      <c r="J48">
        <f t="shared" si="0"/>
        <v>140</v>
      </c>
      <c r="L48">
        <f t="shared" si="1"/>
        <v>6.25E-2</v>
      </c>
    </row>
    <row r="49" spans="1:12" x14ac:dyDescent="0.25">
      <c r="A49">
        <v>1730</v>
      </c>
      <c r="B49" t="s">
        <v>7</v>
      </c>
      <c r="C49" t="s">
        <v>103</v>
      </c>
      <c r="D49" t="s">
        <v>35</v>
      </c>
      <c r="J49">
        <f t="shared" si="0"/>
        <v>0</v>
      </c>
      <c r="L49">
        <f t="shared" si="1"/>
        <v>0</v>
      </c>
    </row>
    <row r="50" spans="1:12" x14ac:dyDescent="0.25">
      <c r="A50">
        <v>1730</v>
      </c>
      <c r="B50" t="s">
        <v>8</v>
      </c>
      <c r="C50" t="s">
        <v>103</v>
      </c>
      <c r="D50" t="s">
        <v>35</v>
      </c>
      <c r="J50">
        <f t="shared" si="0"/>
        <v>0</v>
      </c>
      <c r="L50">
        <f t="shared" si="1"/>
        <v>0</v>
      </c>
    </row>
    <row r="51" spans="1:12" x14ac:dyDescent="0.25">
      <c r="A51">
        <v>1730</v>
      </c>
      <c r="B51" t="s">
        <v>9</v>
      </c>
      <c r="C51" t="s">
        <v>103</v>
      </c>
      <c r="D51" t="s">
        <v>35</v>
      </c>
      <c r="J51">
        <f t="shared" si="0"/>
        <v>0</v>
      </c>
      <c r="L51">
        <f t="shared" si="1"/>
        <v>0</v>
      </c>
    </row>
    <row r="52" spans="1:12" x14ac:dyDescent="0.25">
      <c r="A52">
        <v>1730</v>
      </c>
      <c r="B52" t="s">
        <v>10</v>
      </c>
      <c r="C52" t="s">
        <v>103</v>
      </c>
      <c r="D52" t="s">
        <v>35</v>
      </c>
      <c r="J52">
        <f t="shared" si="0"/>
        <v>0</v>
      </c>
      <c r="L52">
        <f t="shared" si="1"/>
        <v>0</v>
      </c>
    </row>
    <row r="53" spans="1:12" x14ac:dyDescent="0.25">
      <c r="A53">
        <v>1730</v>
      </c>
      <c r="B53" t="s">
        <v>11</v>
      </c>
      <c r="C53" t="s">
        <v>103</v>
      </c>
      <c r="D53" t="s">
        <v>35</v>
      </c>
      <c r="J53">
        <f t="shared" si="0"/>
        <v>0</v>
      </c>
      <c r="L53">
        <f t="shared" si="1"/>
        <v>0</v>
      </c>
    </row>
    <row r="54" spans="1:12" x14ac:dyDescent="0.25">
      <c r="A54">
        <v>1730</v>
      </c>
      <c r="B54" t="s">
        <v>12</v>
      </c>
      <c r="C54" t="s">
        <v>103</v>
      </c>
      <c r="D54" t="s">
        <v>35</v>
      </c>
      <c r="J54">
        <f t="shared" si="0"/>
        <v>0</v>
      </c>
      <c r="L54">
        <f t="shared" si="1"/>
        <v>0</v>
      </c>
    </row>
    <row r="55" spans="1:12" x14ac:dyDescent="0.25">
      <c r="A55">
        <v>1730</v>
      </c>
      <c r="B55" t="s">
        <v>13</v>
      </c>
      <c r="C55" t="s">
        <v>103</v>
      </c>
      <c r="D55" t="s">
        <v>35</v>
      </c>
      <c r="J55">
        <f t="shared" si="0"/>
        <v>0</v>
      </c>
      <c r="L55">
        <f t="shared" si="1"/>
        <v>0</v>
      </c>
    </row>
    <row r="56" spans="1:12" x14ac:dyDescent="0.25">
      <c r="A56">
        <v>1730</v>
      </c>
      <c r="B56" t="s">
        <v>14</v>
      </c>
      <c r="C56" t="s">
        <v>103</v>
      </c>
      <c r="D56" t="s">
        <v>35</v>
      </c>
      <c r="J56">
        <f t="shared" si="0"/>
        <v>0</v>
      </c>
      <c r="L56">
        <f t="shared" si="1"/>
        <v>0</v>
      </c>
    </row>
    <row r="57" spans="1:12" x14ac:dyDescent="0.25">
      <c r="A57">
        <v>1730</v>
      </c>
      <c r="B57" t="s">
        <v>27</v>
      </c>
      <c r="C57" t="s">
        <v>103</v>
      </c>
      <c r="D57" t="s">
        <v>35</v>
      </c>
      <c r="J57">
        <f t="shared" si="0"/>
        <v>0</v>
      </c>
      <c r="L57">
        <f t="shared" si="1"/>
        <v>0</v>
      </c>
    </row>
    <row r="58" spans="1:12" x14ac:dyDescent="0.25">
      <c r="A58">
        <v>1730</v>
      </c>
      <c r="B58" t="s">
        <v>15</v>
      </c>
      <c r="C58" t="s">
        <v>103</v>
      </c>
      <c r="D58" t="s">
        <v>35</v>
      </c>
      <c r="J58">
        <f t="shared" si="0"/>
        <v>0</v>
      </c>
      <c r="L58">
        <f t="shared" si="1"/>
        <v>0</v>
      </c>
    </row>
    <row r="59" spans="1:12" x14ac:dyDescent="0.25">
      <c r="A59">
        <v>1730</v>
      </c>
      <c r="B59" t="s">
        <v>17</v>
      </c>
      <c r="C59" t="s">
        <v>103</v>
      </c>
      <c r="D59" t="s">
        <v>35</v>
      </c>
      <c r="J59">
        <f t="shared" si="0"/>
        <v>0</v>
      </c>
      <c r="L59">
        <f t="shared" si="1"/>
        <v>0</v>
      </c>
    </row>
    <row r="60" spans="1:12" x14ac:dyDescent="0.25">
      <c r="A60">
        <v>1730</v>
      </c>
      <c r="B60" t="s">
        <v>18</v>
      </c>
      <c r="C60" t="s">
        <v>103</v>
      </c>
      <c r="D60" t="s">
        <v>35</v>
      </c>
      <c r="H60">
        <v>1877</v>
      </c>
      <c r="I60" t="s">
        <v>122</v>
      </c>
      <c r="J60">
        <f t="shared" si="0"/>
        <v>1877</v>
      </c>
      <c r="L60">
        <f t="shared" si="1"/>
        <v>0.83794642857142854</v>
      </c>
    </row>
    <row r="61" spans="1:12" x14ac:dyDescent="0.25">
      <c r="A61">
        <v>1730</v>
      </c>
      <c r="B61" t="s">
        <v>19</v>
      </c>
      <c r="C61" t="s">
        <v>103</v>
      </c>
      <c r="D61" t="s">
        <v>35</v>
      </c>
      <c r="J61">
        <f t="shared" si="0"/>
        <v>0</v>
      </c>
      <c r="L61">
        <f t="shared" si="1"/>
        <v>0</v>
      </c>
    </row>
    <row r="62" spans="1:12" x14ac:dyDescent="0.25">
      <c r="A62">
        <v>1730</v>
      </c>
      <c r="B62" t="s">
        <v>55</v>
      </c>
      <c r="C62" t="s">
        <v>103</v>
      </c>
      <c r="D62" t="s">
        <v>35</v>
      </c>
      <c r="J62">
        <f t="shared" si="0"/>
        <v>0</v>
      </c>
      <c r="L62">
        <f t="shared" si="1"/>
        <v>0</v>
      </c>
    </row>
    <row r="63" spans="1:12" x14ac:dyDescent="0.25">
      <c r="A63">
        <v>1730</v>
      </c>
      <c r="B63" t="s">
        <v>21</v>
      </c>
      <c r="C63" t="s">
        <v>103</v>
      </c>
      <c r="D63" t="s">
        <v>35</v>
      </c>
      <c r="J63">
        <f t="shared" si="0"/>
        <v>0</v>
      </c>
      <c r="L63">
        <f t="shared" si="1"/>
        <v>0</v>
      </c>
    </row>
    <row r="64" spans="1:12" x14ac:dyDescent="0.25">
      <c r="A64">
        <v>1730</v>
      </c>
      <c r="B64" t="s">
        <v>22</v>
      </c>
      <c r="C64" t="s">
        <v>103</v>
      </c>
      <c r="D64" t="s">
        <v>35</v>
      </c>
      <c r="J64">
        <f t="shared" si="0"/>
        <v>0</v>
      </c>
      <c r="L64">
        <f t="shared" si="1"/>
        <v>0</v>
      </c>
    </row>
    <row r="65" spans="1:12" x14ac:dyDescent="0.25">
      <c r="A65">
        <v>1730</v>
      </c>
      <c r="B65" t="s">
        <v>63</v>
      </c>
      <c r="C65" t="s">
        <v>103</v>
      </c>
      <c r="D65" t="s">
        <v>35</v>
      </c>
      <c r="J65">
        <f t="shared" si="0"/>
        <v>0</v>
      </c>
      <c r="L65">
        <f t="shared" si="1"/>
        <v>0</v>
      </c>
    </row>
    <row r="66" spans="1:12" x14ac:dyDescent="0.25">
      <c r="J66">
        <f t="shared" si="0"/>
        <v>0</v>
      </c>
      <c r="L66">
        <f t="shared" si="1"/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C737C8930EB24D8E43F3205FC06BBA" ma:contentTypeVersion="6" ma:contentTypeDescription="Create a new document." ma:contentTypeScope="" ma:versionID="603e91c72b62c964620858d3caac0708">
  <xsd:schema xmlns:xsd="http://www.w3.org/2001/XMLSchema" xmlns:xs="http://www.w3.org/2001/XMLSchema" xmlns:p="http://schemas.microsoft.com/office/2006/metadata/properties" xmlns:ns3="cefc4363-6422-4cdd-96f6-49f865293ffe" targetNamespace="http://schemas.microsoft.com/office/2006/metadata/properties" ma:root="true" ma:fieldsID="bdb3fa76c8d7c99816ad06ce9ee87077" ns3:_="">
    <xsd:import namespace="cefc4363-6422-4cdd-96f6-49f865293ff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fc4363-6422-4cdd-96f6-49f865293ff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efc4363-6422-4cdd-96f6-49f865293ffe" xsi:nil="true"/>
  </documentManagement>
</p:properties>
</file>

<file path=customXml/itemProps1.xml><?xml version="1.0" encoding="utf-8"?>
<ds:datastoreItem xmlns:ds="http://schemas.openxmlformats.org/officeDocument/2006/customXml" ds:itemID="{0730D539-777A-4592-A9F8-E624453A459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efc4363-6422-4cdd-96f6-49f865293ff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C249574-5007-4200-B1EE-8CE9497A50C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3CFA084-1EC8-4AFB-9A94-A53147DBFDD1}">
  <ds:schemaRefs>
    <ds:schemaRef ds:uri="cefc4363-6422-4cdd-96f6-49f865293ffe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www.w3.org/XML/1998/namespace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Master Goods Sheet</vt:lpstr>
      <vt:lpstr>Antigua</vt:lpstr>
      <vt:lpstr>Barbados</vt:lpstr>
      <vt:lpstr>Bermuda</vt:lpstr>
      <vt:lpstr>Jamaica</vt:lpstr>
      <vt:lpstr>Mountserat</vt:lpstr>
      <vt:lpstr>Nevis</vt:lpstr>
      <vt:lpstr>St Kitts</vt:lpstr>
      <vt:lpstr>General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Polay, Jacob</dc:creator>
  <cp:lastModifiedBy>Polay, Jacob</cp:lastModifiedBy>
  <dcterms:created xsi:type="dcterms:W3CDTF">2024-12-05T00:07:08Z</dcterms:created>
  <dcterms:modified xsi:type="dcterms:W3CDTF">2025-04-29T19:16:08Z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0x01010021C737C8930EB24D8E43F3205FC06BBA</vt:lpwstr>
  </property>
</Properties>
</file>