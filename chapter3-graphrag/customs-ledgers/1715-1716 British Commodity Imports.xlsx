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803" documentId="8_{D91C46B7-1F1A-4624-8DB5-6DC072FFA7E8}" xr6:coauthVersionLast="47" xr6:coauthVersionMax="47" xr10:uidLastSave="{6C8E0DB9-04BC-40C4-90A6-6FCE3681B580}"/>
  <bookViews>
    <workbookView xWindow="-120" yWindow="-120" windowWidth="29040" windowHeight="15840" xr2:uid="{A9AB6255-FFC3-4BA2-A4C8-A2A9711B6F5F}"/>
  </bookViews>
  <sheets>
    <sheet name="Master Goods Sheet" sheetId="12" r:id="rId1"/>
    <sheet name="Africa" sheetId="1" r:id="rId2"/>
    <sheet name="Canaries" sheetId="2" r:id="rId3"/>
    <sheet name="Antigua" sheetId="3" r:id="rId4"/>
    <sheet name="Barbados" sheetId="4" r:id="rId5"/>
    <sheet name="Bermuda" sheetId="5" r:id="rId6"/>
    <sheet name="Carolina" sheetId="6" r:id="rId7"/>
    <sheet name="Jamaica" sheetId="7" r:id="rId8"/>
    <sheet name="Mountserat" sheetId="8" r:id="rId9"/>
    <sheet name="Nevis" sheetId="9" r:id="rId10"/>
    <sheet name="St Kitts" sheetId="10" r:id="rId11"/>
    <sheet name="NewEngland" sheetId="11" r:id="rId12"/>
  </sheets>
  <definedNames>
    <definedName name="_xlnm._FilterDatabase" localSheetId="3" hidden="1">Antigua!$A$1:$L$43</definedName>
    <definedName name="_xlnm._FilterDatabase" localSheetId="4" hidden="1">Barbados!$B$1:$L$59</definedName>
    <definedName name="_xlnm._FilterDatabase" localSheetId="7" hidden="1">Jamaica!$B$1:$Q$64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L8" i="4"/>
  <c r="L9" i="4"/>
  <c r="L11" i="4"/>
  <c r="L28" i="4"/>
  <c r="L29" i="4"/>
  <c r="L33" i="4"/>
  <c r="L34" i="4"/>
  <c r="L35" i="4"/>
  <c r="L48" i="4"/>
  <c r="L53" i="4"/>
  <c r="L54" i="4"/>
  <c r="L55" i="4"/>
  <c r="L56" i="4"/>
  <c r="L57" i="4"/>
  <c r="L58" i="4"/>
  <c r="J3" i="4"/>
  <c r="L3" i="4" s="1"/>
  <c r="J4" i="4"/>
  <c r="L4" i="4" s="1"/>
  <c r="J5" i="4"/>
  <c r="L5" i="4" s="1"/>
  <c r="J6" i="4"/>
  <c r="L6" i="4" s="1"/>
  <c r="J7" i="4"/>
  <c r="L7" i="4" s="1"/>
  <c r="J8" i="4"/>
  <c r="J9" i="4"/>
  <c r="J10" i="4"/>
  <c r="L10" i="4" s="1"/>
  <c r="J11" i="4"/>
  <c r="J12" i="4"/>
  <c r="L12" i="4" s="1"/>
  <c r="J13" i="4"/>
  <c r="L13" i="4" s="1"/>
  <c r="J14" i="4"/>
  <c r="L14" i="4" s="1"/>
  <c r="J15" i="4"/>
  <c r="L15" i="4" s="1"/>
  <c r="J16" i="4"/>
  <c r="L16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J29" i="4"/>
  <c r="J30" i="4"/>
  <c r="L30" i="4" s="1"/>
  <c r="J31" i="4"/>
  <c r="L31" i="4" s="1"/>
  <c r="J32" i="4"/>
  <c r="L32" i="4" s="1"/>
  <c r="J33" i="4"/>
  <c r="J34" i="4"/>
  <c r="J35" i="4"/>
  <c r="J36" i="4"/>
  <c r="L36" i="4" s="1"/>
  <c r="J37" i="4"/>
  <c r="L37" i="4" s="1"/>
  <c r="J38" i="4"/>
  <c r="L38" i="4" s="1"/>
  <c r="J39" i="4"/>
  <c r="L39" i="4" s="1"/>
  <c r="J40" i="4"/>
  <c r="L40" i="4" s="1"/>
  <c r="J41" i="4"/>
  <c r="L41" i="4" s="1"/>
  <c r="J42" i="4"/>
  <c r="L42" i="4" s="1"/>
  <c r="J43" i="4"/>
  <c r="L43" i="4" s="1"/>
  <c r="J44" i="4"/>
  <c r="L44" i="4" s="1"/>
  <c r="J45" i="4"/>
  <c r="L45" i="4" s="1"/>
  <c r="J46" i="4"/>
  <c r="L46" i="4" s="1"/>
  <c r="J47" i="4"/>
  <c r="L47" i="4" s="1"/>
  <c r="J48" i="4"/>
  <c r="J49" i="4"/>
  <c r="L49" i="4" s="1"/>
  <c r="J50" i="4"/>
  <c r="L50" i="4" s="1"/>
  <c r="J51" i="4"/>
  <c r="L51" i="4" s="1"/>
  <c r="J52" i="4"/>
  <c r="L52" i="4" s="1"/>
  <c r="J53" i="4"/>
  <c r="J54" i="4"/>
  <c r="J55" i="4"/>
  <c r="J56" i="4"/>
  <c r="J57" i="4"/>
  <c r="J58" i="4"/>
  <c r="J59" i="4"/>
  <c r="L16" i="3"/>
  <c r="L17" i="3"/>
  <c r="L18" i="3"/>
  <c r="L13" i="3"/>
  <c r="L35" i="3"/>
  <c r="L24" i="3"/>
  <c r="J2" i="3"/>
  <c r="L2" i="3" s="1"/>
  <c r="J7" i="3"/>
  <c r="L7" i="3" s="1"/>
  <c r="J14" i="3"/>
  <c r="L14" i="3" s="1"/>
  <c r="J3" i="3"/>
  <c r="L3" i="3" s="1"/>
  <c r="J20" i="3"/>
  <c r="L20" i="3" s="1"/>
  <c r="J9" i="3"/>
  <c r="L9" i="3" s="1"/>
  <c r="J10" i="3"/>
  <c r="L10" i="3" s="1"/>
  <c r="J11" i="3"/>
  <c r="L11" i="3" s="1"/>
  <c r="J16" i="3"/>
  <c r="J17" i="3"/>
  <c r="J18" i="3"/>
  <c r="J13" i="3"/>
  <c r="J6" i="3"/>
  <c r="L6" i="3" s="1"/>
  <c r="J4" i="3"/>
  <c r="L4" i="3" s="1"/>
  <c r="J12" i="3"/>
  <c r="L12" i="3" s="1"/>
  <c r="J5" i="3"/>
  <c r="L5" i="3" s="1"/>
  <c r="J15" i="3"/>
  <c r="L15" i="3" s="1"/>
  <c r="J19" i="3"/>
  <c r="L19" i="3" s="1"/>
  <c r="J31" i="3"/>
  <c r="L31" i="3" s="1"/>
  <c r="J27" i="3"/>
  <c r="L27" i="3" s="1"/>
  <c r="J26" i="3"/>
  <c r="L26" i="3" s="1"/>
  <c r="J37" i="3"/>
  <c r="L37" i="3" s="1"/>
  <c r="J35" i="3"/>
  <c r="J21" i="3"/>
  <c r="L21" i="3" s="1"/>
  <c r="J43" i="3"/>
  <c r="L43" i="3" s="1"/>
  <c r="J38" i="3"/>
  <c r="L38" i="3" s="1"/>
  <c r="J30" i="3"/>
  <c r="L30" i="3" s="1"/>
  <c r="J39" i="3"/>
  <c r="L39" i="3" s="1"/>
  <c r="J40" i="3"/>
  <c r="L40" i="3" s="1"/>
  <c r="J41" i="3"/>
  <c r="L41" i="3" s="1"/>
  <c r="J34" i="3"/>
  <c r="L34" i="3" s="1"/>
  <c r="J28" i="3"/>
  <c r="L28" i="3" s="1"/>
  <c r="J25" i="3"/>
  <c r="L25" i="3" s="1"/>
  <c r="J23" i="3"/>
  <c r="L23" i="3" s="1"/>
  <c r="J22" i="3"/>
  <c r="L22" i="3" s="1"/>
  <c r="J32" i="3"/>
  <c r="L32" i="3" s="1"/>
  <c r="J42" i="3"/>
  <c r="L42" i="3" s="1"/>
  <c r="J29" i="3"/>
  <c r="L29" i="3" s="1"/>
  <c r="J33" i="3"/>
  <c r="L33" i="3" s="1"/>
  <c r="J36" i="3"/>
  <c r="L36" i="3" s="1"/>
  <c r="J24" i="3"/>
  <c r="J22" i="6"/>
  <c r="L22" i="6" s="1"/>
  <c r="J23" i="6"/>
  <c r="L23" i="6" s="1"/>
  <c r="J17" i="10"/>
  <c r="L17" i="10" s="1"/>
  <c r="J18" i="10"/>
  <c r="L18" i="10" s="1"/>
  <c r="J19" i="10"/>
  <c r="L19" i="10" s="1"/>
  <c r="J20" i="10"/>
  <c r="L20" i="10" s="1"/>
  <c r="J21" i="10"/>
  <c r="L21" i="10" s="1"/>
  <c r="J22" i="10"/>
  <c r="L22" i="10" s="1"/>
  <c r="J23" i="10"/>
  <c r="L23" i="10" s="1"/>
  <c r="L22" i="9"/>
  <c r="L23" i="9"/>
  <c r="L25" i="9"/>
  <c r="L29" i="9"/>
  <c r="L30" i="9"/>
  <c r="L32" i="9"/>
  <c r="L34" i="9"/>
  <c r="L35" i="9"/>
  <c r="J22" i="9"/>
  <c r="J23" i="9"/>
  <c r="J24" i="9"/>
  <c r="L24" i="9" s="1"/>
  <c r="J25" i="9"/>
  <c r="J26" i="9"/>
  <c r="L26" i="9" s="1"/>
  <c r="J27" i="9"/>
  <c r="L27" i="9" s="1"/>
  <c r="J28" i="9"/>
  <c r="L28" i="9" s="1"/>
  <c r="J29" i="9"/>
  <c r="J30" i="9"/>
  <c r="J31" i="9"/>
  <c r="L31" i="9" s="1"/>
  <c r="J32" i="9"/>
  <c r="J33" i="9"/>
  <c r="L33" i="9" s="1"/>
  <c r="J34" i="9"/>
  <c r="J35" i="9"/>
  <c r="J36" i="9"/>
  <c r="L36" i="9" s="1"/>
  <c r="J37" i="9"/>
  <c r="L37" i="9" s="1"/>
  <c r="J38" i="9"/>
  <c r="L38" i="9" s="1"/>
  <c r="J28" i="8"/>
  <c r="L28" i="8" s="1"/>
  <c r="J30" i="8"/>
  <c r="L30" i="8" s="1"/>
  <c r="J11" i="10"/>
  <c r="L11" i="10" s="1"/>
  <c r="J12" i="10"/>
  <c r="L12" i="10" s="1"/>
  <c r="J13" i="10"/>
  <c r="L13" i="10" s="1"/>
  <c r="J14" i="10"/>
  <c r="L14" i="10" s="1"/>
  <c r="J15" i="10"/>
  <c r="L15" i="10" s="1"/>
  <c r="J16" i="10"/>
  <c r="L16" i="10" s="1"/>
  <c r="J10" i="10"/>
  <c r="L10" i="10" s="1"/>
  <c r="J3" i="10"/>
  <c r="L3" i="10" s="1"/>
  <c r="J4" i="10"/>
  <c r="L4" i="10" s="1"/>
  <c r="J5" i="10"/>
  <c r="L5" i="10" s="1"/>
  <c r="J6" i="10"/>
  <c r="L6" i="10" s="1"/>
  <c r="J7" i="10"/>
  <c r="L7" i="10" s="1"/>
  <c r="J8" i="10"/>
  <c r="L8" i="10" s="1"/>
  <c r="J9" i="10"/>
  <c r="L9" i="10" s="1"/>
  <c r="J4" i="8"/>
  <c r="L4" i="8" s="1"/>
  <c r="J24" i="11" l="1"/>
  <c r="L24" i="11" s="1"/>
  <c r="J25" i="11"/>
  <c r="L25" i="11" s="1"/>
  <c r="J26" i="11"/>
  <c r="L26" i="11" s="1"/>
  <c r="J27" i="11"/>
  <c r="L27" i="11" s="1"/>
  <c r="J28" i="11"/>
  <c r="L28" i="11" s="1"/>
  <c r="J29" i="11"/>
  <c r="L29" i="11" s="1"/>
  <c r="J30" i="11"/>
  <c r="L30" i="11" s="1"/>
  <c r="J31" i="11"/>
  <c r="L31" i="11" s="1"/>
  <c r="J32" i="11"/>
  <c r="L32" i="11" s="1"/>
  <c r="J33" i="11"/>
  <c r="L33" i="11" s="1"/>
  <c r="J34" i="11"/>
  <c r="L34" i="11" s="1"/>
  <c r="L17" i="11"/>
  <c r="L18" i="11"/>
  <c r="L19" i="11"/>
  <c r="J3" i="11"/>
  <c r="L3" i="11" s="1"/>
  <c r="J4" i="11"/>
  <c r="L4" i="11" s="1"/>
  <c r="J5" i="11"/>
  <c r="L5" i="11" s="1"/>
  <c r="J6" i="11"/>
  <c r="L6" i="11" s="1"/>
  <c r="J7" i="11"/>
  <c r="L7" i="11" s="1"/>
  <c r="J8" i="11"/>
  <c r="L8" i="11" s="1"/>
  <c r="J9" i="11"/>
  <c r="L9" i="11" s="1"/>
  <c r="J10" i="11"/>
  <c r="L10" i="11" s="1"/>
  <c r="J11" i="11"/>
  <c r="L11" i="11" s="1"/>
  <c r="J12" i="11"/>
  <c r="L12" i="11" s="1"/>
  <c r="J13" i="11"/>
  <c r="L13" i="11" s="1"/>
  <c r="J14" i="11"/>
  <c r="L14" i="11" s="1"/>
  <c r="J15" i="11"/>
  <c r="L15" i="11" s="1"/>
  <c r="J16" i="11"/>
  <c r="L16" i="11" s="1"/>
  <c r="J17" i="11"/>
  <c r="J18" i="11"/>
  <c r="J19" i="11"/>
  <c r="J20" i="11"/>
  <c r="L20" i="11" s="1"/>
  <c r="J21" i="11"/>
  <c r="L21" i="11" s="1"/>
  <c r="J22" i="11"/>
  <c r="L22" i="11" s="1"/>
  <c r="J23" i="11"/>
  <c r="L23" i="11" s="1"/>
  <c r="J6" i="8"/>
  <c r="L6" i="8" s="1"/>
  <c r="J7" i="8"/>
  <c r="L7" i="8" s="1"/>
  <c r="J8" i="8"/>
  <c r="L8" i="8" s="1"/>
  <c r="J9" i="8"/>
  <c r="L9" i="8" s="1"/>
  <c r="J10" i="8"/>
  <c r="L10" i="8" s="1"/>
  <c r="J11" i="8"/>
  <c r="L11" i="8" s="1"/>
  <c r="J12" i="8"/>
  <c r="L12" i="8" s="1"/>
  <c r="J13" i="8"/>
  <c r="L13" i="8" s="1"/>
  <c r="J14" i="8"/>
  <c r="L14" i="8" s="1"/>
  <c r="J15" i="8"/>
  <c r="L15" i="8" s="1"/>
  <c r="J16" i="8"/>
  <c r="L16" i="8" s="1"/>
  <c r="J17" i="8"/>
  <c r="L17" i="8" s="1"/>
  <c r="J18" i="8"/>
  <c r="L18" i="8" s="1"/>
  <c r="J19" i="8"/>
  <c r="L19" i="8" s="1"/>
  <c r="J20" i="8"/>
  <c r="L20" i="8" s="1"/>
  <c r="J21" i="8"/>
  <c r="L21" i="8" s="1"/>
  <c r="J22" i="8"/>
  <c r="L22" i="8" s="1"/>
  <c r="J23" i="8"/>
  <c r="L23" i="8" s="1"/>
  <c r="J24" i="8"/>
  <c r="L24" i="8" s="1"/>
  <c r="J25" i="8"/>
  <c r="L25" i="8" s="1"/>
  <c r="J26" i="8"/>
  <c r="L26" i="8" s="1"/>
  <c r="J27" i="8"/>
  <c r="L27" i="8" s="1"/>
  <c r="J29" i="8"/>
  <c r="L29" i="8" s="1"/>
  <c r="J16" i="6"/>
  <c r="L16" i="6" s="1"/>
  <c r="J17" i="6"/>
  <c r="L17" i="6" s="1"/>
  <c r="J18" i="6"/>
  <c r="L18" i="6" s="1"/>
  <c r="J19" i="6"/>
  <c r="L19" i="6" s="1"/>
  <c r="J20" i="6"/>
  <c r="L20" i="6" s="1"/>
  <c r="J21" i="6"/>
  <c r="L21" i="6" s="1"/>
  <c r="J10" i="6"/>
  <c r="L10" i="6"/>
  <c r="J7" i="5"/>
  <c r="L7" i="5" s="1"/>
  <c r="J6" i="5"/>
  <c r="L6" i="5" s="1"/>
  <c r="J2" i="5"/>
  <c r="L2" i="5" s="1"/>
  <c r="J3" i="5"/>
  <c r="L3" i="5" s="1"/>
  <c r="L59" i="4"/>
  <c r="J60" i="4"/>
  <c r="L60" i="4" s="1"/>
  <c r="J7" i="9" l="1"/>
  <c r="L7" i="9" s="1"/>
  <c r="J8" i="9"/>
  <c r="L8" i="9" s="1"/>
  <c r="J9" i="9"/>
  <c r="L9" i="9" s="1"/>
  <c r="J10" i="9"/>
  <c r="L10" i="9" s="1"/>
  <c r="J11" i="9"/>
  <c r="L11" i="9" s="1"/>
  <c r="J12" i="9"/>
  <c r="L12" i="9" s="1"/>
  <c r="J13" i="9"/>
  <c r="L13" i="9" s="1"/>
  <c r="J14" i="9"/>
  <c r="L14" i="9" s="1"/>
  <c r="J15" i="9"/>
  <c r="L15" i="9" s="1"/>
  <c r="J16" i="9"/>
  <c r="L16" i="9" s="1"/>
  <c r="J17" i="9"/>
  <c r="L17" i="9" s="1"/>
  <c r="J18" i="9"/>
  <c r="L18" i="9" s="1"/>
  <c r="J19" i="9"/>
  <c r="L19" i="9" s="1"/>
  <c r="J20" i="9"/>
  <c r="L20" i="9" s="1"/>
  <c r="J21" i="9"/>
  <c r="L21" i="9" s="1"/>
  <c r="J3" i="9"/>
  <c r="L3" i="9" s="1"/>
  <c r="J4" i="9"/>
  <c r="L4" i="9" s="1"/>
  <c r="J5" i="9"/>
  <c r="J6" i="9"/>
  <c r="J2" i="9"/>
  <c r="J2" i="8"/>
  <c r="L2" i="8" s="1"/>
  <c r="J7" i="6"/>
  <c r="L7" i="6" s="1"/>
  <c r="J8" i="6"/>
  <c r="L8" i="6" s="1"/>
  <c r="J9" i="6"/>
  <c r="L9" i="6" s="1"/>
  <c r="J11" i="6"/>
  <c r="L11" i="6" s="1"/>
  <c r="J12" i="6"/>
  <c r="L12" i="6" s="1"/>
  <c r="J13" i="6"/>
  <c r="L13" i="6" s="1"/>
  <c r="J14" i="6"/>
  <c r="L14" i="6" s="1"/>
  <c r="J15" i="6"/>
  <c r="L15" i="6" s="1"/>
  <c r="J3" i="6"/>
  <c r="L3" i="6" s="1"/>
  <c r="C3" i="12"/>
  <c r="C4" i="12"/>
  <c r="C5" i="12"/>
  <c r="C7" i="12"/>
  <c r="C9" i="12"/>
  <c r="C26" i="12"/>
  <c r="C27" i="12"/>
  <c r="C28" i="12"/>
  <c r="C30" i="12"/>
  <c r="B5" i="12"/>
  <c r="B7" i="12"/>
  <c r="B9" i="12"/>
  <c r="B28" i="12"/>
  <c r="B29" i="12"/>
  <c r="B30" i="12"/>
  <c r="C2" i="12"/>
  <c r="B4" i="12" l="1"/>
  <c r="D4" i="12" s="1"/>
  <c r="D30" i="12"/>
  <c r="D28" i="12"/>
  <c r="D9" i="12"/>
  <c r="D7" i="12"/>
  <c r="D5" i="12"/>
  <c r="C29" i="12"/>
  <c r="D29" i="12" s="1"/>
  <c r="J4" i="6"/>
  <c r="L4" i="6" s="1"/>
  <c r="J5" i="6"/>
  <c r="L5" i="6" s="1"/>
  <c r="J6" i="6"/>
  <c r="L6" i="6" s="1"/>
  <c r="C8" i="12"/>
  <c r="C31" i="12"/>
  <c r="J2" i="11"/>
  <c r="L2" i="11" s="1"/>
  <c r="J3" i="8"/>
  <c r="L3" i="8" s="1"/>
  <c r="B3" i="12"/>
  <c r="D3" i="12" s="1"/>
  <c r="J2" i="10"/>
  <c r="L2" i="10" s="1"/>
  <c r="L6" i="9"/>
  <c r="L5" i="9"/>
  <c r="L2" i="9"/>
  <c r="J5" i="8"/>
  <c r="L5" i="8" s="1"/>
  <c r="J2" i="7"/>
  <c r="L2" i="7" s="1"/>
  <c r="J2" i="6"/>
  <c r="L2" i="6" s="1"/>
  <c r="J5" i="5"/>
  <c r="L5" i="5" s="1"/>
  <c r="J4" i="5"/>
  <c r="L4" i="5" s="1"/>
  <c r="B26" i="12"/>
  <c r="D26" i="12" s="1"/>
  <c r="J2" i="4"/>
  <c r="L2" i="4" s="1"/>
  <c r="J8" i="3"/>
  <c r="L8" i="3" s="1"/>
  <c r="C23" i="12" l="1"/>
  <c r="P2" i="9"/>
  <c r="C14" i="12"/>
  <c r="B15" i="12"/>
  <c r="C21" i="12"/>
  <c r="C15" i="12"/>
  <c r="B19" i="12"/>
  <c r="B13" i="12"/>
  <c r="C10" i="12"/>
  <c r="B12" i="12"/>
  <c r="B22" i="12"/>
  <c r="B10" i="12"/>
  <c r="B14" i="12"/>
  <c r="B27" i="12"/>
  <c r="D27" i="12" s="1"/>
  <c r="C13" i="12"/>
  <c r="C18" i="12"/>
  <c r="B18" i="12"/>
  <c r="C12" i="12"/>
  <c r="C25" i="12"/>
  <c r="B24" i="12"/>
  <c r="C20" i="12"/>
  <c r="C24" i="12"/>
  <c r="C11" i="12"/>
  <c r="B25" i="12"/>
  <c r="B16" i="12"/>
  <c r="C22" i="12"/>
  <c r="B6" i="12"/>
  <c r="B23" i="12"/>
  <c r="B11" i="12"/>
  <c r="B20" i="12"/>
  <c r="C6" i="12"/>
  <c r="B17" i="12"/>
  <c r="B21" i="12"/>
  <c r="B2" i="12"/>
  <c r="D2" i="12" s="1"/>
  <c r="C17" i="12"/>
  <c r="C16" i="12"/>
  <c r="B31" i="12"/>
  <c r="D31" i="12" s="1"/>
  <c r="B8" i="12"/>
  <c r="D8" i="12" s="1"/>
  <c r="C19" i="12"/>
  <c r="N2" i="9"/>
  <c r="D23" i="12" l="1"/>
  <c r="D14" i="12"/>
  <c r="D19" i="12"/>
  <c r="D13" i="12"/>
  <c r="D15" i="12"/>
  <c r="D21" i="12"/>
  <c r="D12" i="12"/>
  <c r="D10" i="12"/>
  <c r="D11" i="12"/>
  <c r="D22" i="12"/>
  <c r="D16" i="12"/>
  <c r="D17" i="12"/>
  <c r="D25" i="12"/>
  <c r="D24" i="12"/>
  <c r="D18" i="12"/>
  <c r="D6" i="12"/>
  <c r="D20" i="12"/>
</calcChain>
</file>

<file path=xl/sharedStrings.xml><?xml version="1.0" encoding="utf-8"?>
<sst xmlns="http://schemas.openxmlformats.org/spreadsheetml/2006/main" count="1104" uniqueCount="124">
  <si>
    <t>Items</t>
  </si>
  <si>
    <t>Import Location</t>
  </si>
  <si>
    <t>1700 Ton</t>
  </si>
  <si>
    <t>1700 hh</t>
  </si>
  <si>
    <t>1700 quarter</t>
  </si>
  <si>
    <t>1700 Stone/lb</t>
  </si>
  <si>
    <t>Total Pounds</t>
  </si>
  <si>
    <t>Total Tons</t>
  </si>
  <si>
    <t>London</t>
  </si>
  <si>
    <t>Indigo</t>
  </si>
  <si>
    <t>Cotton</t>
  </si>
  <si>
    <t>Elephants Teeth</t>
  </si>
  <si>
    <t>Out Ports</t>
  </si>
  <si>
    <t>Chocolate</t>
  </si>
  <si>
    <t>1700 lb</t>
  </si>
  <si>
    <t>Dry Ginger</t>
  </si>
  <si>
    <t>Molasses</t>
  </si>
  <si>
    <t>Brown Sugar</t>
  </si>
  <si>
    <t>White Sugar</t>
  </si>
  <si>
    <t>Oranges</t>
  </si>
  <si>
    <t>Tobacco</t>
  </si>
  <si>
    <t>Lime Juice</t>
  </si>
  <si>
    <t>Rum</t>
  </si>
  <si>
    <t>Tortoise Shell</t>
  </si>
  <si>
    <t>Shruff</t>
  </si>
  <si>
    <t>Elephant Teeth</t>
  </si>
  <si>
    <t>Annatto</t>
  </si>
  <si>
    <t>Rice</t>
  </si>
  <si>
    <t>Sugar Loaf</t>
  </si>
  <si>
    <t>Madera Wine</t>
  </si>
  <si>
    <t>Loaf Sugar</t>
  </si>
  <si>
    <t>Bayberry Wax</t>
  </si>
  <si>
    <t>Pimento</t>
  </si>
  <si>
    <t>Total Not Sugar</t>
  </si>
  <si>
    <t>Total Sugar</t>
  </si>
  <si>
    <t>Lignum Vitae</t>
  </si>
  <si>
    <t>Succands</t>
  </si>
  <si>
    <t>Pickles</t>
  </si>
  <si>
    <t>Snuff</t>
  </si>
  <si>
    <t>Lemon Water</t>
  </si>
  <si>
    <t>Cocoa Nuts</t>
  </si>
  <si>
    <t>Bayberries</t>
  </si>
  <si>
    <t>Fustic</t>
  </si>
  <si>
    <t>Tea</t>
  </si>
  <si>
    <t>Succand</t>
  </si>
  <si>
    <t>Item</t>
  </si>
  <si>
    <t>Total London</t>
  </si>
  <si>
    <t>Total Outports</t>
  </si>
  <si>
    <t>Total</t>
  </si>
  <si>
    <t>Bees Wax</t>
  </si>
  <si>
    <t>Brandy</t>
  </si>
  <si>
    <t>Cascarilla</t>
  </si>
  <si>
    <t>Cockeneal</t>
  </si>
  <si>
    <t>Muscavado Sugar</t>
  </si>
  <si>
    <t>Sasparilla</t>
  </si>
  <si>
    <t>Brazilia</t>
  </si>
  <si>
    <t>Aloes Epatica</t>
  </si>
  <si>
    <t>ton</t>
  </si>
  <si>
    <t>hh</t>
  </si>
  <si>
    <t>quarter</t>
  </si>
  <si>
    <t>lb</t>
  </si>
  <si>
    <t>Green Ginger</t>
  </si>
  <si>
    <t>Hemp</t>
  </si>
  <si>
    <t>Barrel Staves</t>
  </si>
  <si>
    <t>Chocolate Paste</t>
  </si>
  <si>
    <t>Cocoa Paste</t>
  </si>
  <si>
    <t>Braziletto Wood</t>
  </si>
  <si>
    <t>Logwood</t>
  </si>
  <si>
    <t>Fustick Wood</t>
  </si>
  <si>
    <t>Wool Vigonia</t>
  </si>
  <si>
    <t>Jamaica Roots</t>
  </si>
  <si>
    <t>Cocoa Wood</t>
  </si>
  <si>
    <t>Nicaragua Wood</t>
  </si>
  <si>
    <t>Cortex Winteranus</t>
  </si>
  <si>
    <t>Turpentine Common</t>
  </si>
  <si>
    <t>Cocoa</t>
  </si>
  <si>
    <t>Hops</t>
  </si>
  <si>
    <t>9t 1h 36g</t>
  </si>
  <si>
    <t>196g</t>
  </si>
  <si>
    <t>2123.5g</t>
  </si>
  <si>
    <t>Cocheneal</t>
  </si>
  <si>
    <t>12t 1h 39g</t>
  </si>
  <si>
    <t>Redwood</t>
  </si>
  <si>
    <t>556g</t>
  </si>
  <si>
    <t>6643g</t>
  </si>
  <si>
    <t>286g</t>
  </si>
  <si>
    <t>2081g</t>
  </si>
  <si>
    <t>17115g</t>
  </si>
  <si>
    <t>14gal</t>
  </si>
  <si>
    <t>112gal</t>
  </si>
  <si>
    <t>335gal</t>
  </si>
  <si>
    <t>3t 1h 23g</t>
  </si>
  <si>
    <t>702g</t>
  </si>
  <si>
    <t>372.5g</t>
  </si>
  <si>
    <t>591g</t>
  </si>
  <si>
    <t>Guiney Grains</t>
  </si>
  <si>
    <t>1t 1h 42g</t>
  </si>
  <si>
    <t>Cortex Peru</t>
  </si>
  <si>
    <t>113g</t>
  </si>
  <si>
    <t>808g</t>
  </si>
  <si>
    <t>1t 27g</t>
  </si>
  <si>
    <t>1068g</t>
  </si>
  <si>
    <t>1332.25g</t>
  </si>
  <si>
    <t>Sweetwood</t>
  </si>
  <si>
    <t>4105g</t>
  </si>
  <si>
    <t>4250g</t>
  </si>
  <si>
    <t>60g</t>
  </si>
  <si>
    <t>90g</t>
  </si>
  <si>
    <t>321g</t>
  </si>
  <si>
    <t>Guinea Grains</t>
  </si>
  <si>
    <t>YEAR</t>
  </si>
  <si>
    <t>COMMODITY_NAME</t>
  </si>
  <si>
    <t>FROM_LOCATION</t>
  </si>
  <si>
    <t>TO_LOCATION</t>
  </si>
  <si>
    <t>WEIGHT</t>
  </si>
  <si>
    <t>Antigua</t>
  </si>
  <si>
    <t>Barbados</t>
  </si>
  <si>
    <t>Bermuda</t>
  </si>
  <si>
    <t>Carolina</t>
  </si>
  <si>
    <t>Jamaica</t>
  </si>
  <si>
    <t>Mountserat</t>
  </si>
  <si>
    <t>Nevis</t>
  </si>
  <si>
    <t>StKitts</t>
  </si>
  <si>
    <t>NewEngland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</si>
</sst>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7BE7-232D-4293-9729-642230ECC67F}">
  <dimension ref="A1:D31"/>
  <sheetViews>
    <sheetView tabSelected="1" workbookViewId="0">
      <selection activeCell="F24" sqref="F24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 t="s">
        <v>26</v>
      </c>
      <c r="B2">
        <f>SUMIFS(Antigua!$L:$L, Antigua!$B:$B, $A2, Antigua!$D:$D, "London") + SUMIFS(Barbados!$L:$L, Barbados!$B:$B, $A2, Barbados!$D:$D, "London") + SUMIFS(Bermuda!$L:$L, Bermuda!$B:$B, $A2, Bermuda!$D:$D, "London") + SUMIFS(Carolina!$L:$L, Carolina!$B:$B, $A2, Carolina!$D:$D, "London") + SUMIFS(Jamaica!$L:$L, Jamaica!$B:$B, $A2, Jamaica!$D:$D, "London") + SUMIFS(Mountserat!$L:$L, Mountserat!$B:$B, $A2, Mountserat!$D:$D, "London") + SUMIFS(Nevis!$L:$L, Nevis!$B:$B, $A2, Nevis!$D:$D, "London") + SUMIFS(NewEngland!$L:$L, NewEngland!$B:$B, $A2, NewEngland!$D:$D, "London")</f>
        <v>2.3053571428571429</v>
      </c>
      <c r="C2">
        <f>SUMIFS(Antigua!$L:$L, Antigua!$B:$B, $A2, Antigua!$D:$D, "Out Ports") + SUMIFS(Barbados!$L:$L, Barbados!$B:$B, $A2, Barbados!$D:$D, "Out Ports") + SUMIFS(Bermuda!$L:$L, Bermuda!$B:$B, $A2, Bermuda!$D:$D, "Out Ports") + SUMIFS(Carolina!$L:$L, Carolina!$B:$B, $A2, Carolina!$D:$D, "Out Ports") + SUMIFS(Jamaica!$L:$L, Jamaica!$B:$B, $A2, Jamaica!$D:$D, "Out Ports") + SUMIFS(Mountserat!$L:$L, Mountserat!$B:$B, $A2, Mountserat!$D:$D, "Out Ports") + SUMIFS(Nevis!$L:$L, Nevis!$B:$B, $A2, Nevis!$D:$D, "Out Ports") + SUMIFS(NewEngland!$L:$L, NewEngland!$B:$B, $A2, NewEngland!$D:$D, "Out Ports")</f>
        <v>1.3049107142857144</v>
      </c>
      <c r="D2">
        <f>ROUND((B2+C2),2)</f>
        <v>3.61</v>
      </c>
    </row>
    <row r="3" spans="1:4" x14ac:dyDescent="0.25">
      <c r="A3" t="s">
        <v>31</v>
      </c>
      <c r="B3">
        <f>SUMIFS(Antigua!$L:$L, Antigua!$B:$B, $A3, Antigua!$D:$D, "London") + SUMIFS(Barbados!$L:$L, Barbados!$B:$B, $A3, Barbados!$D:$D, "London") + SUMIFS(Bermuda!$L:$L, Bermuda!$B:$B, $A3, Bermuda!$D:$D, "London") + SUMIFS(Carolina!$L:$L, Carolina!$B:$B, $A3, Carolina!$D:$D, "London") + SUMIFS(Jamaica!$L:$L, Jamaica!$B:$B, $A3, Jamaica!$D:$D, "London") + SUMIFS(Mountserat!$L:$L, Mountserat!$B:$B, $A3, Mountserat!$D:$D, "London") + SUMIFS(Nevis!$L:$L, Nevis!$B:$B, $A3, Nevis!$D:$D, "London") + SUMIFS(NewEngland!$L:$L, NewEngland!$B:$B, $A3, NewEngland!$D:$D,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SUMIFS(Carolina!$L:$L, Carolina!$B:$B, $A3, Carolina!$D:$D, "Out Ports") + SUMIFS(Jamaica!$L:$L, Jamaica!$B:$B, $A3, Jamaica!$D:$D, "Out Ports") + SUMIFS(Mountserat!$L:$L, Mountserat!$B:$B, $A3, Mountserat!$D:$D, "Out Ports") + SUMIFS(Nevis!$L:$L, Nevis!$B:$B, $A3, Nevis!$D:$D, "Out Ports") + SUMIFS(NewEngland!$L:$L, NewEngland!$B:$B, $A3, NewEngland!$D:$D, "Out Ports")</f>
        <v>0</v>
      </c>
      <c r="D3">
        <f t="shared" ref="D3:D31" si="0">ROUND((B3+C3),2)</f>
        <v>0</v>
      </c>
    </row>
    <row r="4" spans="1:4" x14ac:dyDescent="0.25">
      <c r="A4" t="s">
        <v>49</v>
      </c>
      <c r="B4">
        <f>SUMIFS(Antigua!$L:$L, Antigua!$B:$B, $A4, Antigua!$D:$D, "London") + SUMIFS(Barbados!$L:$L, Barbados!$B:$B, $A4, Barbados!$D:$D, "London") + SUMIFS(Bermuda!$L:$L, Bermuda!$B:$B, $A4, Bermuda!$D:$D, "London") + SUMIFS(Carolina!$L:$L, Carolina!$B:$B, $A4, Carolina!$D:$D, "London") + SUMIFS(Jamaica!$L:$L, Jamaica!$B:$B, $A4, Jamaica!$D:$D, "London") + SUMIFS(Mountserat!$L:$L, Mountserat!$B:$B, $A4, Mountserat!$D:$D, "London") + SUMIFS(Nevis!$L:$L, Nevis!$B:$B, $A4, Nevis!$D:$D, "London") + SUMIFS(NewEngland!$L:$L, NewEngland!$B:$B, $A4, NewEngland!$D:$D, "London")</f>
        <v>0</v>
      </c>
      <c r="C4">
        <f>SUMIFS(Antigua!$L:$L, Antigua!$B:$B, $A4, Antigua!$D:$D, "Out Ports") + SUMIFS(Barbados!$L:$L, Barbados!$B:$B, $A4, Barbados!$D:$D, "Out Ports") + SUMIFS(Bermuda!$L:$L, Bermuda!$B:$B, $A4, Bermuda!$D:$D, "Out Ports") + SUMIFS(Carolina!$L:$L, Carolina!$B:$B, $A4, Carolina!$D:$D, "Out Ports") + SUMIFS(Jamaica!$L:$L, Jamaica!$B:$B, $A4, Jamaica!$D:$D, "Out Ports") + SUMIFS(Mountserat!$L:$L, Mountserat!$B:$B, $A4, Mountserat!$D:$D, "Out Ports") + SUMIFS(Nevis!$L:$L, Nevis!$B:$B, $A4, Nevis!$D:$D, "Out Ports") + SUMIFS(NewEngland!$L:$L, NewEngland!$B:$B, $A4, NewEngland!$D:$D, "Out Ports")</f>
        <v>1.75</v>
      </c>
      <c r="D4">
        <f t="shared" si="0"/>
        <v>1.75</v>
      </c>
    </row>
    <row r="5" spans="1:4" x14ac:dyDescent="0.25">
      <c r="A5" t="s">
        <v>50</v>
      </c>
      <c r="B5">
        <f>SUMIFS(Antigua!$L:$L, Antigua!$B:$B, $A5, Antigua!$D:$D, "London") + SUMIFS(Barbados!$L:$L, Barbados!$B:$B, $A5, Barbados!$D:$D, "London") + SUMIFS(Bermuda!$L:$L, Bermuda!$B:$B, $A5, Bermuda!$D:$D, "London") + SUMIFS(Carolina!$L:$L, Carolina!$B:$B, $A5, Carolina!$D:$D, "London") + SUMIFS(Jamaica!$L:$L, Jamaica!$B:$B, $A5, Jamaica!$D:$D, "London") + SUMIFS(Mountserat!$L:$L, Mountserat!$B:$B, $A5, Mountserat!$D:$D, "London") + SUMIFS(Nevis!$L:$L, Nevis!$B:$B, $A5, Nevis!$D:$D, "London") + SUMIFS(NewEngland!$L:$L, NewEngland!$B:$B, $A5, NewEngland!$D:$D,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SUMIFS(Carolina!$L:$L, Carolina!$B:$B, $A5, Carolina!$D:$D, "Out Ports") + SUMIFS(Jamaica!$L:$L, Jamaica!$B:$B, $A5, Jamaica!$D:$D, "Out Ports") + SUMIFS(Mountserat!$L:$L, Mountserat!$B:$B, $A5, Mountserat!$D:$D, "Out Ports") + SUMIFS(Nevis!$L:$L, Nevis!$B:$B, $A5, Nevis!$D:$D, "Out Ports") + SUMIFS(NewEngland!$L:$L, NewEngland!$B:$B, $A5, NewEngland!$D:$D, "Out Ports")</f>
        <v>0</v>
      </c>
      <c r="D5">
        <f t="shared" si="0"/>
        <v>0</v>
      </c>
    </row>
    <row r="6" spans="1:4" x14ac:dyDescent="0.25">
      <c r="A6" t="s">
        <v>17</v>
      </c>
      <c r="B6">
        <f>SUMIFS(Antigua!$L:$L, Antigua!$B:$B, $A6, Antigua!$D:$D, "London") + SUMIFS(Barbados!$L:$L, Barbados!$B:$B, $A6, Barbados!$D:$D, "London") + SUMIFS(Bermuda!$L:$L, Bermuda!$B:$B, $A6, Bermuda!$D:$D, "London") + SUMIFS(Carolina!$L:$L, Carolina!$B:$B, $A6, Carolina!$D:$D, "London") + SUMIFS(Jamaica!$L:$L, Jamaica!$B:$B, $A6, Jamaica!$D:$D, "London") + SUMIFS(Mountserat!$L:$L, Mountserat!$B:$B, $A6, Mountserat!$D:$D, "London") + SUMIFS(Nevis!$L:$L, Nevis!$B:$B, $A6, Nevis!$D:$D, "London") + SUMIFS(NewEngland!$L:$L, NewEngland!$B:$B, $A6, NewEngland!$D:$D, "London")</f>
        <v>22675.917410714286</v>
      </c>
      <c r="C6">
        <f>SUMIFS(Antigua!$L:$L, Antigua!$B:$B, $A6, Antigua!$D:$D, "Out Ports") + SUMIFS(Barbados!$L:$L, Barbados!$B:$B, $A6, Barbados!$D:$D, "Out Ports") + SUMIFS(Bermuda!$L:$L, Bermuda!$B:$B, $A6, Bermuda!$D:$D, "Out Ports") + SUMIFS(Carolina!$L:$L, Carolina!$B:$B, $A6, Carolina!$D:$D, "Out Ports") + SUMIFS(Jamaica!$L:$L, Jamaica!$B:$B, $A6, Jamaica!$D:$D, "Out Ports") + SUMIFS(Mountserat!$L:$L, Mountserat!$B:$B, $A6, Mountserat!$D:$D, "Out Ports") + SUMIFS(Nevis!$L:$L, Nevis!$B:$B, $A6, Nevis!$D:$D, "Out Ports") + SUMIFS(NewEngland!$L:$L, NewEngland!$B:$B, $A6, NewEngland!$D:$D, "Out Ports")</f>
        <v>6899.7406250000004</v>
      </c>
      <c r="D6">
        <f t="shared" si="0"/>
        <v>29575.66</v>
      </c>
    </row>
    <row r="7" spans="1:4" x14ac:dyDescent="0.25">
      <c r="A7" t="s">
        <v>51</v>
      </c>
      <c r="B7">
        <f>SUMIFS(Antigua!$L:$L, Antigua!$B:$B, $A7, Antigua!$D:$D, "London") + SUMIFS(Barbados!$L:$L, Barbados!$B:$B, $A7, Barbados!$D:$D, "London") + SUMIFS(Bermuda!$L:$L, Bermuda!$B:$B, $A7, Bermuda!$D:$D, "London") + SUMIFS(Carolina!$L:$L, Carolina!$B:$B, $A7, Carolina!$D:$D, "London") + SUMIFS(Jamaica!$L:$L, Jamaica!$B:$B, $A7, Jamaica!$D:$D, "London") + SUMIFS(Mountserat!$L:$L, Mountserat!$B:$B, $A7, Mountserat!$D:$D, "London") + SUMIFS(Nevis!$L:$L, Nevis!$B:$B, $A7, Nevis!$D:$D, "London") + SUMIFS(NewEngland!$L:$L, NewEngland!$B:$B, $A7, NewEngland!$D:$D, "London")</f>
        <v>1.0415178571428572</v>
      </c>
      <c r="C7">
        <f>SUMIFS(Antigua!$L:$L, Antigua!$B:$B, $A7, Antigua!$D:$D, "Out Ports") + SUMIFS(Barbados!$L:$L, Barbados!$B:$B, $A7, Barbados!$D:$D, "Out Ports") + SUMIFS(Bermuda!$L:$L, Bermuda!$B:$B, $A7, Bermuda!$D:$D, "Out Ports") + SUMIFS(Carolina!$L:$L, Carolina!$B:$B, $A7, Carolina!$D:$D, "Out Ports") + SUMIFS(Jamaica!$L:$L, Jamaica!$B:$B, $A7, Jamaica!$D:$D, "Out Ports") + SUMIFS(Mountserat!$L:$L, Mountserat!$B:$B, $A7, Mountserat!$D:$D, "Out Ports") + SUMIFS(Nevis!$L:$L, Nevis!$B:$B, $A7, Nevis!$D:$D, "Out Ports") + SUMIFS(NewEngland!$L:$L, NewEngland!$B:$B, $A7, NewEngland!$D:$D, "Out Ports")</f>
        <v>0</v>
      </c>
      <c r="D7">
        <f t="shared" si="0"/>
        <v>1.04</v>
      </c>
    </row>
    <row r="8" spans="1:4" x14ac:dyDescent="0.25">
      <c r="A8" t="s">
        <v>13</v>
      </c>
      <c r="B8">
        <f>SUMIFS(Antigua!$L:$L, Antigua!$B:$B, $A8, Antigua!$D:$D, "London") + SUMIFS(Barbados!$L:$L, Barbados!$B:$B, $A8, Barbados!$D:$D, "London") + SUMIFS(Bermuda!$L:$L, Bermuda!$B:$B, $A8, Bermuda!$D:$D, "London") + SUMIFS(Carolina!$L:$L, Carolina!$B:$B, $A8, Carolina!$D:$D, "London") + SUMIFS(Jamaica!$L:$L, Jamaica!$B:$B, $A8, Jamaica!$D:$D, "London") + SUMIFS(Mountserat!$L:$L, Mountserat!$B:$B, $A8, Mountserat!$D:$D, "London") + SUMIFS(Nevis!$L:$L, Nevis!$B:$B, $A8, Nevis!$D:$D, "London") + SUMIFS(NewEngland!$L:$L, NewEngland!$B:$B, $A8, NewEngland!$D:$D, "London")</f>
        <v>8.3928571428571422E-2</v>
      </c>
      <c r="C8">
        <f>SUMIFS(Antigua!$L:$L, Antigua!$B:$B, $A8, Antigua!$D:$D, "Out Ports") + SUMIFS(Barbados!$L:$L, Barbados!$B:$B, $A8, Barbados!$D:$D, "Out Ports") + SUMIFS(Bermuda!$L:$L, Bermuda!$B:$B, $A8, Bermuda!$D:$D, "Out Ports") + SUMIFS(Carolina!$L:$L, Carolina!$B:$B, $A8, Carolina!$D:$D, "Out Ports") + SUMIFS(Jamaica!$L:$L, Jamaica!$B:$B, $A8, Jamaica!$D:$D, "Out Ports") + SUMIFS(Mountserat!$L:$L, Mountserat!$B:$B, $A8, Mountserat!$D:$D, "Out Ports") + SUMIFS(Nevis!$L:$L, Nevis!$B:$B, $A8, Nevis!$D:$D, "Out Ports") + SUMIFS(NewEngland!$L:$L, NewEngland!$B:$B, $A8, NewEngland!$D:$D, "Out Ports")</f>
        <v>0</v>
      </c>
      <c r="D8">
        <f t="shared" si="0"/>
        <v>0.08</v>
      </c>
    </row>
    <row r="9" spans="1:4" x14ac:dyDescent="0.25">
      <c r="A9" t="s">
        <v>52</v>
      </c>
      <c r="B9">
        <f>SUMIFS(Antigua!$L:$L, Antigua!$B:$B, $A9, Antigua!$D:$D, "London") + SUMIFS(Barbados!$L:$L, Barbados!$B:$B, $A9, Barbados!$D:$D, "London") + SUMIFS(Bermuda!$L:$L, Bermuda!$B:$B, $A9, Bermuda!$D:$D, "London") + SUMIFS(Carolina!$L:$L, Carolina!$B:$B, $A9, Carolina!$D:$D, "London") + SUMIFS(Jamaica!$L:$L, Jamaica!$B:$B, $A9, Jamaica!$D:$D, "London") + SUMIFS(Mountserat!$L:$L, Mountserat!$B:$B, $A9, Mountserat!$D:$D, "London") + SUMIFS(Nevis!$L:$L, Nevis!$B:$B, $A9, Nevis!$D:$D, "London") + SUMIFS(NewEngland!$L:$L, NewEngland!$B:$B, $A9, NewEngland!$D:$D, "London")</f>
        <v>0</v>
      </c>
      <c r="C9">
        <f>SUMIFS(Antigua!$L:$L, Antigua!$B:$B, $A9, Antigua!$D:$D, "Out Ports") + SUMIFS(Barbados!$L:$L, Barbados!$B:$B, $A9, Barbados!$D:$D, "Out Ports") + SUMIFS(Bermuda!$L:$L, Bermuda!$B:$B, $A9, Bermuda!$D:$D, "Out Ports") + SUMIFS(Carolina!$L:$L, Carolina!$B:$B, $A9, Carolina!$D:$D, "Out Ports") + SUMIFS(Jamaica!$L:$L, Jamaica!$B:$B, $A9, Jamaica!$D:$D, "Out Ports") + SUMIFS(Mountserat!$L:$L, Mountserat!$B:$B, $A9, Mountserat!$D:$D, "Out Ports") + SUMIFS(Nevis!$L:$L, Nevis!$B:$B, $A9, Nevis!$D:$D, "Out Ports") + SUMIFS(NewEngland!$L:$L, NewEngland!$B:$B, $A9, NewEngland!$D:$D, "Out Ports")</f>
        <v>0</v>
      </c>
      <c r="D9">
        <f t="shared" si="0"/>
        <v>0</v>
      </c>
    </row>
    <row r="10" spans="1:4" x14ac:dyDescent="0.25">
      <c r="A10" t="s">
        <v>40</v>
      </c>
      <c r="B10">
        <f>SUMIFS(Antigua!$L:$L, Antigua!$B:$B, $A10, Antigua!$D:$D, "London") + SUMIFS(Barbados!$L:$L, Barbados!$B:$B, $A10, Barbados!$D:$D, "London") + SUMIFS(Bermuda!$L:$L, Bermuda!$B:$B, $A10, Bermuda!$D:$D, "London") + SUMIFS(Carolina!$L:$L, Carolina!$B:$B, $A10, Carolina!$D:$D, "London") + SUMIFS(Jamaica!$L:$L, Jamaica!$B:$B, $A10, Jamaica!$D:$D, "London") + SUMIFS(Mountserat!$L:$L, Mountserat!$B:$B, $A10, Mountserat!$D:$D, "London") + SUMIFS(Nevis!$L:$L, Nevis!$B:$B, $A10, Nevis!$D:$D, "London") + SUMIFS(NewEngland!$L:$L, NewEngland!$B:$B, $A10, NewEngland!$D:$D, "London")</f>
        <v>143.33794642857143</v>
      </c>
      <c r="C10">
        <f>SUMIFS(Antigua!$L:$L, Antigua!$B:$B, $A10, Antigua!$D:$D, "Out Ports") + SUMIFS(Barbados!$L:$L, Barbados!$B:$B, $A10, Barbados!$D:$D, "Out Ports") + SUMIFS(Bermuda!$L:$L, Bermuda!$B:$B, $A10, Bermuda!$D:$D, "Out Ports") + SUMIFS(Carolina!$L:$L, Carolina!$B:$B, $A10, Carolina!$D:$D, "Out Ports") + SUMIFS(Jamaica!$L:$L, Jamaica!$B:$B, $A10, Jamaica!$D:$D, "Out Ports") + SUMIFS(Mountserat!$L:$L, Mountserat!$B:$B, $A10, Mountserat!$D:$D, "Out Ports") + SUMIFS(Nevis!$L:$L, Nevis!$B:$B, $A10, Nevis!$D:$D, "Out Ports") + SUMIFS(NewEngland!$L:$L, NewEngland!$B:$B, $A10, NewEngland!$D:$D, "Out Ports")</f>
        <v>34.181696428571428</v>
      </c>
      <c r="D10">
        <f t="shared" si="0"/>
        <v>177.52</v>
      </c>
    </row>
    <row r="11" spans="1:4" x14ac:dyDescent="0.25">
      <c r="A11" t="s">
        <v>10</v>
      </c>
      <c r="B11">
        <f>SUMIFS(Antigua!$L:$L, Antigua!$B:$B, $A11, Antigua!$D:$D, "London") + SUMIFS(Barbados!$L:$L, Barbados!$B:$B, $A11, Barbados!$D:$D, "London") + SUMIFS(Bermuda!$L:$L, Bermuda!$B:$B, $A11, Bermuda!$D:$D, "London") + SUMIFS(Carolina!$L:$L, Carolina!$B:$B, $A11, Carolina!$D:$D, "London") + SUMIFS(Jamaica!$L:$L, Jamaica!$B:$B, $A11, Jamaica!$D:$D, "London") + SUMIFS(Mountserat!$L:$L, Mountserat!$B:$B, $A11, Mountserat!$D:$D, "London") + SUMIFS(Nevis!$L:$L, Nevis!$B:$B, $A11, Nevis!$D:$D, "London") + SUMIFS(NewEngland!$L:$L, NewEngland!$B:$B, $A11, NewEngland!$D:$D, "London")</f>
        <v>584.81785714285706</v>
      </c>
      <c r="C11">
        <f>SUMIFS(Antigua!$L:$L, Antigua!$B:$B, $A11, Antigua!$D:$D, "Out Ports") + SUMIFS(Barbados!$L:$L, Barbados!$B:$B, $A11, Barbados!$D:$D, "Out Ports") + SUMIFS(Bermuda!$L:$L, Bermuda!$B:$B, $A11, Bermuda!$D:$D, "Out Ports") + SUMIFS(Carolina!$L:$L, Carolina!$B:$B, $A11, Carolina!$D:$D, "Out Ports") + SUMIFS(Jamaica!$L:$L, Jamaica!$B:$B, $A11, Jamaica!$D:$D, "Out Ports") + SUMIFS(Mountserat!$L:$L, Mountserat!$B:$B, $A11, Mountserat!$D:$D, "Out Ports") + SUMIFS(Nevis!$L:$L, Nevis!$B:$B, $A11, Nevis!$D:$D, "Out Ports") + SUMIFS(NewEngland!$L:$L, NewEngland!$B:$B, $A11, NewEngland!$D:$D, "Out Ports")</f>
        <v>215.04017857142856</v>
      </c>
      <c r="D11">
        <f t="shared" si="0"/>
        <v>799.86</v>
      </c>
    </row>
    <row r="12" spans="1:4" x14ac:dyDescent="0.25">
      <c r="A12" t="s">
        <v>15</v>
      </c>
      <c r="B12">
        <f>SUMIFS(Antigua!$L:$L, Antigua!$B:$B, $A12, Antigua!$D:$D, "London") + SUMIFS(Barbados!$L:$L, Barbados!$B:$B, $A12, Barbados!$D:$D, "London") + SUMIFS(Bermuda!$L:$L, Bermuda!$B:$B, $A12, Bermuda!$D:$D, "London") + SUMIFS(Carolina!$L:$L, Carolina!$B:$B, $A12, Carolina!$D:$D, "London") + SUMIFS(Jamaica!$L:$L, Jamaica!$B:$B, $A12, Jamaica!$D:$D, "London") + SUMIFS(Mountserat!$L:$L, Mountserat!$B:$B, $A12, Mountserat!$D:$D, "London") + SUMIFS(Nevis!$L:$L, Nevis!$B:$B, $A12, Nevis!$D:$D, "London") + SUMIFS(NewEngland!$L:$L, NewEngland!$B:$B, $A12, NewEngland!$D:$D, "London")</f>
        <v>484.29464285714289</v>
      </c>
      <c r="C12">
        <f>SUMIFS(Antigua!$L:$L, Antigua!$B:$B, $A12, Antigua!$D:$D, "Out Ports") + SUMIFS(Barbados!$L:$L, Barbados!$B:$B, $A12, Barbados!$D:$D, "Out Ports") + SUMIFS(Bermuda!$L:$L, Bermuda!$B:$B, $A12, Bermuda!$D:$D, "Out Ports") + SUMIFS(Carolina!$L:$L, Carolina!$B:$B, $A12, Carolina!$D:$D, "Out Ports") + SUMIFS(Jamaica!$L:$L, Jamaica!$B:$B, $A12, Jamaica!$D:$D, "Out Ports") + SUMIFS(Mountserat!$L:$L, Mountserat!$B:$B, $A12, Mountserat!$D:$D, "Out Ports") + SUMIFS(Nevis!$L:$L, Nevis!$B:$B, $A12, Nevis!$D:$D, "Out Ports") + SUMIFS(NewEngland!$L:$L, NewEngland!$B:$B, $A12, NewEngland!$D:$D, "Out Ports")</f>
        <v>105.72499999999999</v>
      </c>
      <c r="D12">
        <f t="shared" si="0"/>
        <v>590.02</v>
      </c>
    </row>
    <row r="13" spans="1:4" x14ac:dyDescent="0.25">
      <c r="A13" t="s">
        <v>25</v>
      </c>
      <c r="B13">
        <f>SUMIFS(Antigua!$L:$L, Antigua!$B:$B, $A13, Antigua!$D:$D, "London") + SUMIFS(Barbados!$L:$L, Barbados!$B:$B, $A13, Barbados!$D:$D, "London") + SUMIFS(Bermuda!$L:$L, Bermuda!$B:$B, $A13, Bermuda!$D:$D, "London") + SUMIFS(Carolina!$L:$L, Carolina!$B:$B, $A13, Carolina!$D:$D, "London") + SUMIFS(Jamaica!$L:$L, Jamaica!$B:$B, $A13, Jamaica!$D:$D, "London") + SUMIFS(Mountserat!$L:$L, Mountserat!$B:$B, $A13, Mountserat!$D:$D, "London") + SUMIFS(Nevis!$L:$L, Nevis!$B:$B, $A13, Nevis!$D:$D, "London") + SUMIFS(NewEngland!$L:$L, NewEngland!$B:$B, $A13, NewEngland!$D:$D, "London")</f>
        <v>23.807589285714286</v>
      </c>
      <c r="C13">
        <f>SUMIFS(Antigua!$L:$L, Antigua!$B:$B, $A13, Antigua!$D:$D, "Out Ports") + SUMIFS(Barbados!$L:$L, Barbados!$B:$B, $A13, Barbados!$D:$D, "Out Ports") + SUMIFS(Bermuda!$L:$L, Bermuda!$B:$B, $A13, Bermuda!$D:$D, "Out Ports") + SUMIFS(Carolina!$L:$L, Carolina!$B:$B, $A13, Carolina!$D:$D, "Out Ports") + SUMIFS(Jamaica!$L:$L, Jamaica!$B:$B, $A13, Jamaica!$D:$D, "Out Ports") + SUMIFS(Mountserat!$L:$L, Mountserat!$B:$B, $A13, Mountserat!$D:$D, "Out Ports") + SUMIFS(Nevis!$L:$L, Nevis!$B:$B, $A13, Nevis!$D:$D, "Out Ports") + SUMIFS(NewEngland!$L:$L, NewEngland!$B:$B, $A13, NewEngland!$D:$D, "Out Ports")</f>
        <v>15.263392857142858</v>
      </c>
      <c r="D13">
        <f t="shared" si="0"/>
        <v>39.07</v>
      </c>
    </row>
    <row r="14" spans="1:4" x14ac:dyDescent="0.25">
      <c r="A14" t="s">
        <v>9</v>
      </c>
      <c r="B14">
        <f>SUMIFS(Antigua!$L:$L, Antigua!$B:$B, $A14, Antigua!$D:$D, "London") + SUMIFS(Barbados!$L:$L, Barbados!$B:$B, $A14, Barbados!$D:$D, "London") + SUMIFS(Bermuda!$L:$L, Bermuda!$B:$B, $A14, Bermuda!$D:$D, "London") + SUMIFS(Carolina!$L:$L, Carolina!$B:$B, $A14, Carolina!$D:$D, "London") + SUMIFS(Jamaica!$L:$L, Jamaica!$B:$B, $A14, Jamaica!$D:$D, "London") + SUMIFS(Mountserat!$L:$L, Mountserat!$B:$B, $A14, Mountserat!$D:$D, "London") + SUMIFS(Nevis!$L:$L, Nevis!$B:$B, $A14, Nevis!$D:$D, "London") + SUMIFS(NewEngland!$L:$L, NewEngland!$B:$B, $A14, NewEngland!$D:$D, "London")</f>
        <v>95.51428571428572</v>
      </c>
      <c r="C14">
        <f>SUMIFS(Antigua!$L:$L, Antigua!$B:$B, $A14, Antigua!$D:$D, "Out Ports") + SUMIFS(Barbados!$L:$L, Barbados!$B:$B, $A14, Barbados!$D:$D, "Out Ports") + SUMIFS(Bermuda!$L:$L, Bermuda!$B:$B, $A14, Bermuda!$D:$D, "Out Ports") + SUMIFS(Carolina!$L:$L, Carolina!$B:$B, $A14, Carolina!$D:$D, "Out Ports") + SUMIFS(Jamaica!$L:$L, Jamaica!$B:$B, $A14, Jamaica!$D:$D, "Out Ports") + SUMIFS(Mountserat!$L:$L, Mountserat!$B:$B, $A14, Mountserat!$D:$D, "Out Ports") + SUMIFS(Nevis!$L:$L, Nevis!$B:$B, $A14, Nevis!$D:$D, "Out Ports") + SUMIFS(NewEngland!$L:$L, NewEngland!$B:$B, $A14, NewEngland!$D:$D, "Out Ports")</f>
        <v>25.611607142857146</v>
      </c>
      <c r="D14">
        <f t="shared" si="0"/>
        <v>121.13</v>
      </c>
    </row>
    <row r="15" spans="1:4" x14ac:dyDescent="0.25">
      <c r="A15" t="s">
        <v>35</v>
      </c>
      <c r="B15">
        <f>SUMIFS(Antigua!$L:$L, Antigua!$B:$B, $A15, Antigua!$D:$D, "London") + SUMIFS(Barbados!$L:$L, Barbados!$B:$B, $A15, Barbados!$D:$D, "London") + SUMIFS(Bermuda!$L:$L, Bermuda!$B:$B, $A15, Bermuda!$D:$D, "London") + SUMIFS(Carolina!$L:$L, Carolina!$B:$B, $A15, Carolina!$D:$D, "London") + SUMIFS(Jamaica!$L:$L, Jamaica!$B:$B, $A15, Jamaica!$D:$D, "London") + SUMIFS(Mountserat!$L:$L, Mountserat!$B:$B, $A15, Mountserat!$D:$D, "London") + SUMIFS(Nevis!$L:$L, Nevis!$B:$B, $A15, Nevis!$D:$D, "London") + SUMIFS(NewEngland!$L:$L, NewEngland!$B:$B, $A15, NewEngland!$D:$D, "London")</f>
        <v>91.443749999999994</v>
      </c>
      <c r="C15">
        <f>SUMIFS(Antigua!$L:$L, Antigua!$B:$B, $A15, Antigua!$D:$D, "Out Ports") + SUMIFS(Barbados!$L:$L, Barbados!$B:$B, $A15, Barbados!$D:$D, "Out Ports") + SUMIFS(Bermuda!$L:$L, Bermuda!$B:$B, $A15, Bermuda!$D:$D, "Out Ports") + SUMIFS(Carolina!$L:$L, Carolina!$B:$B, $A15, Carolina!$D:$D, "Out Ports") + SUMIFS(Jamaica!$L:$L, Jamaica!$B:$B, $A15, Jamaica!$D:$D, "Out Ports") + SUMIFS(Mountserat!$L:$L, Mountserat!$B:$B, $A15, Mountserat!$D:$D, "Out Ports") + SUMIFS(Nevis!$L:$L, Nevis!$B:$B, $A15, Nevis!$D:$D, "Out Ports") + SUMIFS(NewEngland!$L:$L, NewEngland!$B:$B, $A15, NewEngland!$D:$D, "Out Ports")</f>
        <v>21.748660714285712</v>
      </c>
      <c r="D15">
        <f t="shared" si="0"/>
        <v>113.19</v>
      </c>
    </row>
    <row r="16" spans="1:4" x14ac:dyDescent="0.25">
      <c r="A16" t="s">
        <v>21</v>
      </c>
      <c r="B16">
        <f>SUMIFS(Antigua!$L:$L, Antigua!$B:$B, $A16, Antigua!$D:$D, "London") + SUMIFS(Barbados!$L:$L, Barbados!$B:$B, $A16, Barbados!$D:$D, "London") + SUMIFS(Bermuda!$L:$L, Bermuda!$B:$B, $A16, Bermuda!$D:$D, "London") + SUMIFS(Carolina!$L:$L, Carolina!$B:$B, $A16, Carolina!$D:$D, "London") + SUMIFS(Jamaica!$L:$L, Jamaica!$B:$B, $A16, Jamaica!$D:$D, "London") + SUMIFS(Mountserat!$L:$L, Mountserat!$B:$B, $A16, Mountserat!$D:$D, "London") + SUMIFS(Nevis!$L:$L, Nevis!$B:$B, $A16, Nevis!$D:$D, "London") + SUMIFS(NewEngland!$L:$L, NewEngland!$B:$B, $A16, NewEngland!$D:$D, "London")</f>
        <v>13.150223214285713</v>
      </c>
      <c r="C16">
        <f>SUMIFS(Antigua!$L:$L, Antigua!$B:$B, $A16, Antigua!$D:$D, "Out Ports") + SUMIFS(Barbados!$L:$L, Barbados!$B:$B, $A16, Barbados!$D:$D, "Out Ports") + SUMIFS(Bermuda!$L:$L, Bermuda!$B:$B, $A16, Bermuda!$D:$D, "Out Ports") + SUMIFS(Carolina!$L:$L, Carolina!$B:$B, $A16, Carolina!$D:$D, "Out Ports") + SUMIFS(Jamaica!$L:$L, Jamaica!$B:$B, $A16, Jamaica!$D:$D, "Out Ports") + SUMIFS(Mountserat!$L:$L, Mountserat!$B:$B, $A16, Mountserat!$D:$D, "Out Ports") + SUMIFS(Nevis!$L:$L, Nevis!$B:$B, $A16, Nevis!$D:$D, "Out Ports") + SUMIFS(NewEngland!$L:$L, NewEngland!$B:$B, $A16, NewEngland!$D:$D, "Out Ports")</f>
        <v>23.871651785714285</v>
      </c>
      <c r="D16">
        <f t="shared" si="0"/>
        <v>37.020000000000003</v>
      </c>
    </row>
    <row r="17" spans="1:4" x14ac:dyDescent="0.25">
      <c r="A17" t="s">
        <v>16</v>
      </c>
      <c r="B17">
        <f>SUMIFS(Antigua!$L:$L, Antigua!$B:$B, $A17, Antigua!$D:$D, "London") + SUMIFS(Barbados!$L:$L, Barbados!$B:$B, $A17, Barbados!$D:$D, "London") + SUMIFS(Bermuda!$L:$L, Bermuda!$B:$B, $A17, Bermuda!$D:$D, "London") + SUMIFS(Carolina!$L:$L, Carolina!$B:$B, $A17, Carolina!$D:$D, "London") + SUMIFS(Jamaica!$L:$L, Jamaica!$B:$B, $A17, Jamaica!$D:$D, "London") + SUMIFS(Mountserat!$L:$L, Mountserat!$B:$B, $A17, Mountserat!$D:$D, "London") + SUMIFS(Nevis!$L:$L, Nevis!$B:$B, $A17, Nevis!$D:$D, "London") + SUMIFS(NewEngland!$L:$L, NewEngland!$B:$B, $A17, NewEngland!$D:$D, "London")</f>
        <v>38.625000000000007</v>
      </c>
      <c r="C17">
        <f>SUMIFS(Antigua!$L:$L, Antigua!$B:$B, $A17, Antigua!$D:$D, "Out Ports") + SUMIFS(Barbados!$L:$L, Barbados!$B:$B, $A17, Barbados!$D:$D, "Out Ports") + SUMIFS(Bermuda!$L:$L, Bermuda!$B:$B, $A17, Bermuda!$D:$D, "Out Ports") + SUMIFS(Carolina!$L:$L, Carolina!$B:$B, $A17, Carolina!$D:$D, "Out Ports") + SUMIFS(Jamaica!$L:$L, Jamaica!$B:$B, $A17, Jamaica!$D:$D, "Out Ports") + SUMIFS(Mountserat!$L:$L, Mountserat!$B:$B, $A17, Mountserat!$D:$D, "Out Ports") + SUMIFS(Nevis!$L:$L, Nevis!$B:$B, $A17, Nevis!$D:$D, "Out Ports") + SUMIFS(NewEngland!$L:$L, NewEngland!$B:$B, $A17, NewEngland!$D:$D, "Out Ports")</f>
        <v>16.564285714285713</v>
      </c>
      <c r="D17">
        <f t="shared" si="0"/>
        <v>55.19</v>
      </c>
    </row>
    <row r="18" spans="1:4" x14ac:dyDescent="0.25">
      <c r="A18" t="s">
        <v>32</v>
      </c>
      <c r="B18">
        <f>SUMIFS(Antigua!$L:$L, Antigua!$B:$B, $A18, Antigua!$D:$D, "London") + SUMIFS(Barbados!$L:$L, Barbados!$B:$B, $A18, Barbados!$D:$D, "London") + SUMIFS(Bermuda!$L:$L, Bermuda!$B:$B, $A18, Bermuda!$D:$D, "London") + SUMIFS(Carolina!$L:$L, Carolina!$B:$B, $A18, Carolina!$D:$D, "London") + SUMIFS(Jamaica!$L:$L, Jamaica!$B:$B, $A18, Jamaica!$D:$D, "London") + SUMIFS(Mountserat!$L:$L, Mountserat!$B:$B, $A18, Mountserat!$D:$D, "London") + SUMIFS(Nevis!$L:$L, Nevis!$B:$B, $A18, Nevis!$D:$D, "London") + SUMIFS(NewEngland!$L:$L, NewEngland!$B:$B, $A18, NewEngland!$D:$D, "London")</f>
        <v>74.304464285714289</v>
      </c>
      <c r="C18">
        <f>SUMIFS(Antigua!$L:$L, Antigua!$B:$B, $A18, Antigua!$D:$D, "Out Ports") + SUMIFS(Barbados!$L:$L, Barbados!$B:$B, $A18, Barbados!$D:$D, "Out Ports") + SUMIFS(Bermuda!$L:$L, Bermuda!$B:$B, $A18, Bermuda!$D:$D, "Out Ports") + SUMIFS(Carolina!$L:$L, Carolina!$B:$B, $A18, Carolina!$D:$D, "Out Ports") + SUMIFS(Jamaica!$L:$L, Jamaica!$B:$B, $A18, Jamaica!$D:$D, "Out Ports") + SUMIFS(Mountserat!$L:$L, Mountserat!$B:$B, $A18, Mountserat!$D:$D, "Out Ports") + SUMIFS(Nevis!$L:$L, Nevis!$B:$B, $A18, Nevis!$D:$D, "Out Ports") + SUMIFS(NewEngland!$L:$L, NewEngland!$B:$B, $A18, NewEngland!$D:$D, "Out Ports")</f>
        <v>27.976785714285715</v>
      </c>
      <c r="D18">
        <f t="shared" si="0"/>
        <v>102.28</v>
      </c>
    </row>
    <row r="19" spans="1:4" x14ac:dyDescent="0.25">
      <c r="A19" t="s">
        <v>27</v>
      </c>
      <c r="B19">
        <f>SUMIFS(Antigua!$L:$L, Antigua!$B:$B, $A19, Antigua!$D:$D, "London") + SUMIFS(Barbados!$L:$L, Barbados!$B:$B, $A19, Barbados!$D:$D, "London") + SUMIFS(Bermuda!$L:$L, Bermuda!$B:$B, $A19, Bermuda!$D:$D, "London") + SUMIFS(Carolina!$L:$L, Carolina!$B:$B, $A19, Carolina!$D:$D, "London") + SUMIFS(Jamaica!$L:$L, Jamaica!$B:$B, $A19, Jamaica!$D:$D, "London") + SUMIFS(Mountserat!$L:$L, Mountserat!$B:$B, $A19, Mountserat!$D:$D, "London") + SUMIFS(Nevis!$L:$L, Nevis!$B:$B, $A19, Nevis!$D:$D, "London") + SUMIFS(NewEngland!$L:$L, NewEngland!$B:$B, $A19, NewEngland!$D:$D, "London")</f>
        <v>1110.7191964285714</v>
      </c>
      <c r="C19">
        <f>SUMIFS(Antigua!$L:$L, Antigua!$B:$B, $A19, Antigua!$D:$D, "Out Ports") + SUMIFS(Barbados!$L:$L, Barbados!$B:$B, $A19, Barbados!$D:$D, "Out Ports") + SUMIFS(Bermuda!$L:$L, Bermuda!$B:$B, $A19, Bermuda!$D:$D, "Out Ports") + SUMIFS(Carolina!$L:$L, Carolina!$B:$B, $A19, Carolina!$D:$D, "Out Ports") + SUMIFS(Jamaica!$L:$L, Jamaica!$B:$B, $A19, Jamaica!$D:$D, "Out Ports") + SUMIFS(Mountserat!$L:$L, Mountserat!$B:$B, $A19, Mountserat!$D:$D, "Out Ports") + SUMIFS(Nevis!$L:$L, Nevis!$B:$B, $A19, Nevis!$D:$D, "Out Ports") + SUMIFS(NewEngland!$L:$L, NewEngland!$B:$B, $A19, NewEngland!$D:$D, "Out Ports")</f>
        <v>47.299107142857146</v>
      </c>
      <c r="D19">
        <f t="shared" si="0"/>
        <v>1158.02</v>
      </c>
    </row>
    <row r="20" spans="1:4" x14ac:dyDescent="0.25">
      <c r="A20" t="s">
        <v>22</v>
      </c>
      <c r="B20">
        <f>SUMIFS(Antigua!$L:$L, Antigua!$B:$B, $A20, Antigua!$D:$D, "London") + SUMIFS(Barbados!$L:$L, Barbados!$B:$B, $A20, Barbados!$D:$D, "London") + SUMIFS(Bermuda!$L:$L, Bermuda!$B:$B, $A20, Bermuda!$D:$D, "London") + SUMIFS(Carolina!$L:$L, Carolina!$B:$B, $A20, Carolina!$D:$D, "London") + SUMIFS(Jamaica!$L:$L, Jamaica!$B:$B, $A20, Jamaica!$D:$D, "London") + SUMIFS(Mountserat!$L:$L, Mountserat!$B:$B, $A20, Mountserat!$D:$D, "London") + SUMIFS(Nevis!$L:$L, Nevis!$B:$B, $A20, Nevis!$D:$D, "London") + SUMIFS(NewEngland!$L:$L, NewEngland!$B:$B, $A20, NewEngland!$D:$D, "London")</f>
        <v>123.20892857142856</v>
      </c>
      <c r="C20">
        <f>SUMIFS(Antigua!$L:$L, Antigua!$B:$B, $A20, Antigua!$D:$D, "Out Ports") + SUMIFS(Barbados!$L:$L, Barbados!$B:$B, $A20, Barbados!$D:$D, "Out Ports") + SUMIFS(Bermuda!$L:$L, Bermuda!$B:$B, $A20, Bermuda!$D:$D, "Out Ports") + SUMIFS(Carolina!$L:$L, Carolina!$B:$B, $A20, Carolina!$D:$D, "Out Ports") + SUMIFS(Jamaica!$L:$L, Jamaica!$B:$B, $A20, Jamaica!$D:$D, "Out Ports") + SUMIFS(Mountserat!$L:$L, Mountserat!$B:$B, $A20, Mountserat!$D:$D, "Out Ports") + SUMIFS(Nevis!$L:$L, Nevis!$B:$B, $A20, Nevis!$D:$D, "Out Ports") + SUMIFS(NewEngland!$L:$L, NewEngland!$B:$B, $A20, NewEngland!$D:$D, "Out Ports")</f>
        <v>30.370089285714286</v>
      </c>
      <c r="D20">
        <f t="shared" si="0"/>
        <v>153.58000000000001</v>
      </c>
    </row>
    <row r="21" spans="1:4" x14ac:dyDescent="0.25">
      <c r="A21" t="s">
        <v>24</v>
      </c>
      <c r="B21">
        <f>SUMIFS(Antigua!$L:$L, Antigua!$B:$B, $A21, Antigua!$D:$D, "London") + SUMIFS(Barbados!$L:$L, Barbados!$B:$B, $A21, Barbados!$D:$D, "London") + SUMIFS(Bermuda!$L:$L, Bermuda!$B:$B, $A21, Bermuda!$D:$D, "London") + SUMIFS(Carolina!$L:$L, Carolina!$B:$B, $A21, Carolina!$D:$D, "London") + SUMIFS(Jamaica!$L:$L, Jamaica!$B:$B, $A21, Jamaica!$D:$D, "London") + SUMIFS(Mountserat!$L:$L, Mountserat!$B:$B, $A21, Mountserat!$D:$D, "London") + SUMIFS(Nevis!$L:$L, Nevis!$B:$B, $A21, Nevis!$D:$D, "London") + SUMIFS(NewEngland!$L:$L, NewEngland!$B:$B, $A21, NewEngland!$D:$D, "London")</f>
        <v>10.367410714285715</v>
      </c>
      <c r="C21">
        <f>SUMIFS(Antigua!$L:$L, Antigua!$B:$B, $A21, Antigua!$D:$D, "Out Ports") + SUMIFS(Barbados!$L:$L, Barbados!$B:$B, $A21, Barbados!$D:$D, "Out Ports") + SUMIFS(Bermuda!$L:$L, Bermuda!$B:$B, $A21, Bermuda!$D:$D, "Out Ports") + SUMIFS(Carolina!$L:$L, Carolina!$B:$B, $A21, Carolina!$D:$D, "Out Ports") + SUMIFS(Jamaica!$L:$L, Jamaica!$B:$B, $A21, Jamaica!$D:$D, "Out Ports") + SUMIFS(Mountserat!$L:$L, Mountserat!$B:$B, $A21, Mountserat!$D:$D, "Out Ports") + SUMIFS(Nevis!$L:$L, Nevis!$B:$B, $A21, Nevis!$D:$D, "Out Ports") + SUMIFS(NewEngland!$L:$L, NewEngland!$B:$B, $A21, NewEngland!$D:$D, "Out Ports")</f>
        <v>4.0187499999999998</v>
      </c>
      <c r="D21">
        <f t="shared" si="0"/>
        <v>14.39</v>
      </c>
    </row>
    <row r="22" spans="1:4" x14ac:dyDescent="0.25">
      <c r="A22" t="s">
        <v>36</v>
      </c>
      <c r="B22">
        <f>SUMIFS(Antigua!$L:$L, Antigua!$B:$B, $A22, Antigua!$D:$D, "London") + SUMIFS(Barbados!$L:$L, Barbados!$B:$B, $A22, Barbados!$D:$D, "London") + SUMIFS(Bermuda!$L:$L, Bermuda!$B:$B, $A22, Bermuda!$D:$D, "London") + SUMIFS(Carolina!$L:$L, Carolina!$B:$B, $A22, Carolina!$D:$D, "London") + SUMIFS(Jamaica!$L:$L, Jamaica!$B:$B, $A22, Jamaica!$D:$D, "London") + SUMIFS(Mountserat!$L:$L, Mountserat!$B:$B, $A22, Mountserat!$D:$D, "London") + SUMIFS(Nevis!$L:$L, Nevis!$B:$B, $A22, Nevis!$D:$D, "London") + SUMIFS(NewEngland!$L:$L, NewEngland!$B:$B, $A22, NewEngland!$D:$D, "London")</f>
        <v>1.5450892857142859</v>
      </c>
      <c r="C22">
        <f>SUMIFS(Antigua!$L:$L, Antigua!$B:$B, $A22, Antigua!$D:$D, "Out Ports") + SUMIFS(Barbados!$L:$L, Barbados!$B:$B, $A22, Barbados!$D:$D, "Out Ports") + SUMIFS(Bermuda!$L:$L, Bermuda!$B:$B, $A22, Bermuda!$D:$D, "Out Ports") + SUMIFS(Carolina!$L:$L, Carolina!$B:$B, $A22, Carolina!$D:$D, "Out Ports") + SUMIFS(Jamaica!$L:$L, Jamaica!$B:$B, $A22, Jamaica!$D:$D, "Out Ports") + SUMIFS(Mountserat!$L:$L, Mountserat!$B:$B, $A22, Mountserat!$D:$D, "Out Ports") + SUMIFS(Nevis!$L:$L, Nevis!$B:$B, $A22, Nevis!$D:$D, "Out Ports") + SUMIFS(NewEngland!$L:$L, NewEngland!$B:$B, $A22, NewEngland!$D:$D, "Out Ports")</f>
        <v>0.82723214285714286</v>
      </c>
      <c r="D22">
        <f t="shared" si="0"/>
        <v>2.37</v>
      </c>
    </row>
    <row r="23" spans="1:4" x14ac:dyDescent="0.25">
      <c r="A23" t="s">
        <v>20</v>
      </c>
      <c r="B23">
        <f>SUMIFS(Antigua!$L:$L, Antigua!$B:$B, $A23, Antigua!$D:$D, "London") + SUMIFS(Barbados!$L:$L, Barbados!$B:$B, $A23, Barbados!$D:$D, "London") + SUMIFS(Bermuda!$L:$L, Bermuda!$B:$B, $A23, Bermuda!$D:$D, "London") + SUMIFS(Carolina!$L:$L, Carolina!$B:$B, $A23, Carolina!$D:$D, "London") + SUMIFS(Jamaica!$L:$L, Jamaica!$B:$B, $A23, Jamaica!$D:$D, "London") + SUMIFS(Mountserat!$L:$L, Mountserat!$B:$B, $A23, Mountserat!$D:$D, "London") + SUMIFS(Nevis!$L:$L, Nevis!$B:$B, $A23, Nevis!$D:$D, "London") + SUMIFS(NewEngland!$L:$L, NewEngland!$B:$B, $A23, NewEngland!$D:$D, "London")</f>
        <v>1.9513392857142857</v>
      </c>
      <c r="C23">
        <f>SUMIFS(Antigua!$L:$L, Antigua!$B:$B, $A23, Antigua!$D:$D, "Out Ports") + SUMIFS(Barbados!$L:$L, Barbados!$B:$B, $A23, Barbados!$D:$D, "Out Ports") + SUMIFS(Bermuda!$L:$L, Bermuda!$B:$B, $A23, Bermuda!$D:$D, "Out Ports") + SUMIFS(Carolina!$L:$L, Carolina!$B:$B, $A23, Carolina!$D:$D, "Out Ports") + SUMIFS(Jamaica!$L:$L, Jamaica!$B:$B, $A23, Jamaica!$D:$D, "Out Ports") + SUMIFS(Mountserat!$L:$L, Mountserat!$B:$B, $A23, Mountserat!$D:$D, "Out Ports") + SUMIFS(Nevis!$L:$L, Nevis!$B:$B, $A23, Nevis!$D:$D, "Out Ports") + SUMIFS(NewEngland!$L:$L, NewEngland!$B:$B, $A23, NewEngland!$D:$D, "Out Ports")</f>
        <v>3.4776785714285712</v>
      </c>
      <c r="D23">
        <f t="shared" si="0"/>
        <v>5.43</v>
      </c>
    </row>
    <row r="24" spans="1:4" x14ac:dyDescent="0.25">
      <c r="A24" t="s">
        <v>23</v>
      </c>
      <c r="B24">
        <f>SUMIFS(Antigua!$L:$L, Antigua!$B:$B, $A24, Antigua!$D:$D, "London") + SUMIFS(Barbados!$L:$L, Barbados!$B:$B, $A24, Barbados!$D:$D, "London") + SUMIFS(Bermuda!$L:$L, Bermuda!$B:$B, $A24, Bermuda!$D:$D, "London") + SUMIFS(Carolina!$L:$L, Carolina!$B:$B, $A24, Carolina!$D:$D, "London") + SUMIFS(Jamaica!$L:$L, Jamaica!$B:$B, $A24, Jamaica!$D:$D, "London") + SUMIFS(Mountserat!$L:$L, Mountserat!$B:$B, $A24, Mountserat!$D:$D, "London") + SUMIFS(Nevis!$L:$L, Nevis!$B:$B, $A24, Nevis!$D:$D, "London") + SUMIFS(NewEngland!$L:$L, NewEngland!$B:$B, $A24, NewEngland!$D:$D, "London")</f>
        <v>0.89263392857142865</v>
      </c>
      <c r="C24">
        <f>SUMIFS(Antigua!$L:$L, Antigua!$B:$B, $A24, Antigua!$D:$D, "Out Ports") + SUMIFS(Barbados!$L:$L, Barbados!$B:$B, $A24, Barbados!$D:$D, "Out Ports") + SUMIFS(Bermuda!$L:$L, Bermuda!$B:$B, $A24, Bermuda!$D:$D, "Out Ports") + SUMIFS(Carolina!$L:$L, Carolina!$B:$B, $A24, Carolina!$D:$D, "Out Ports") + SUMIFS(Jamaica!$L:$L, Jamaica!$B:$B, $A24, Jamaica!$D:$D, "Out Ports") + SUMIFS(Mountserat!$L:$L, Mountserat!$B:$B, $A24, Mountserat!$D:$D, "Out Ports") + SUMIFS(Nevis!$L:$L, Nevis!$B:$B, $A24, Nevis!$D:$D, "Out Ports") + SUMIFS(NewEngland!$L:$L, NewEngland!$B:$B, $A24, NewEngland!$D:$D, "Out Ports")</f>
        <v>0.10870535714285715</v>
      </c>
      <c r="D24">
        <f t="shared" si="0"/>
        <v>1</v>
      </c>
    </row>
    <row r="25" spans="1:4" x14ac:dyDescent="0.25">
      <c r="A25" t="s">
        <v>18</v>
      </c>
      <c r="B25">
        <f>SUMIFS(Antigua!$L:$L, Antigua!$B:$B, $A25, Antigua!$D:$D, "London") + SUMIFS(Barbados!$L:$L, Barbados!$B:$B, $A25, Barbados!$D:$D, "London") + SUMIFS(Bermuda!$L:$L, Bermuda!$B:$B, $A25, Bermuda!$D:$D, "London") + SUMIFS(Carolina!$L:$L, Carolina!$B:$B, $A25, Carolina!$D:$D, "London") + SUMIFS(Jamaica!$L:$L, Jamaica!$B:$B, $A25, Jamaica!$D:$D, "London") + SUMIFS(Mountserat!$L:$L, Mountserat!$B:$B, $A25, Mountserat!$D:$D, "London") + SUMIFS(Nevis!$L:$L, Nevis!$B:$B, $A25, Nevis!$D:$D, "London") + SUMIFS(NewEngland!$L:$L, NewEngland!$B:$B, $A25, NewEngland!$D:$D, "London")</f>
        <v>9.7473214285714302</v>
      </c>
      <c r="C25">
        <f>SUMIFS(Antigua!$L:$L, Antigua!$B:$B, $A25, Antigua!$D:$D, "Out Ports") + SUMIFS(Barbados!$L:$L, Barbados!$B:$B, $A25, Barbados!$D:$D, "Out Ports") + SUMIFS(Bermuda!$L:$L, Bermuda!$B:$B, $A25, Bermuda!$D:$D, "Out Ports") + SUMIFS(Carolina!$L:$L, Carolina!$B:$B, $A25, Carolina!$D:$D, "Out Ports") + SUMIFS(Jamaica!$L:$L, Jamaica!$B:$B, $A25, Jamaica!$D:$D, "Out Ports") + SUMIFS(Mountserat!$L:$L, Mountserat!$B:$B, $A25, Mountserat!$D:$D, "Out Ports") + SUMIFS(Nevis!$L:$L, Nevis!$B:$B, $A25, Nevis!$D:$D, "Out Ports") + SUMIFS(NewEngland!$L:$L, NewEngland!$B:$B, $A25, NewEngland!$D:$D, "Out Ports")</f>
        <v>1.5674107142857143</v>
      </c>
      <c r="D25">
        <f t="shared" si="0"/>
        <v>11.31</v>
      </c>
    </row>
    <row r="26" spans="1:4" x14ac:dyDescent="0.25">
      <c r="A26" t="s">
        <v>30</v>
      </c>
      <c r="B26">
        <f>SUMIFS(Antigua!$L:$L, Antigua!$B:$B, $A26, Antigua!$D:$D, "London") + SUMIFS(Barbados!$L:$L, Barbados!$B:$B, $A26, Barbados!$D:$D, "London") + SUMIFS(Bermuda!$L:$L, Bermuda!$B:$B, $A26, Bermuda!$D:$D, "London") + SUMIFS(Carolina!$L:$L, Carolina!$B:$B, $A26, Carolina!$D:$D, "London") + SUMIFS(Jamaica!$L:$L, Jamaica!$B:$B, $A26, Jamaica!$D:$D, "London") + SUMIFS(Mountserat!$L:$L, Mountserat!$B:$B, $A26, Mountserat!$D:$D, "London") + SUMIFS(Nevis!$L:$L, Nevis!$B:$B, $A26, Nevis!$D:$D, "London") + SUMIFS(NewEngland!$L:$L, NewEngland!$B:$B, $A26, NewEngland!$D:$D, "London")</f>
        <v>0</v>
      </c>
      <c r="C26">
        <f>SUMIFS(Antigua!$L:$L, Antigua!$B:$B, $A26, Antigua!$D:$D, "Out Ports") + SUMIFS(Barbados!$L:$L, Barbados!$B:$B, $A26, Barbados!$D:$D, "Out Ports") + SUMIFS(Bermuda!$L:$L, Bermuda!$B:$B, $A26, Bermuda!$D:$D, "Out Ports") + SUMIFS(Carolina!$L:$L, Carolina!$B:$B, $A26, Carolina!$D:$D, "Out Ports") + SUMIFS(Jamaica!$L:$L, Jamaica!$B:$B, $A26, Jamaica!$D:$D, "Out Ports") + SUMIFS(Mountserat!$L:$L, Mountserat!$B:$B, $A26, Mountserat!$D:$D, "Out Ports") + SUMIFS(Nevis!$L:$L, Nevis!$B:$B, $A26, Nevis!$D:$D, "Out Ports") + SUMIFS(NewEngland!$L:$L, NewEngland!$B:$B, $A26, NewEngland!$D:$D, "Out Ports")</f>
        <v>0</v>
      </c>
      <c r="D26">
        <f t="shared" si="0"/>
        <v>0</v>
      </c>
    </row>
    <row r="27" spans="1:4" x14ac:dyDescent="0.25">
      <c r="A27" t="s">
        <v>28</v>
      </c>
      <c r="B27">
        <f>SUMIFS(Antigua!$L:$L, Antigua!$B:$B, $A27, Antigua!$D:$D, "London") + SUMIFS(Barbados!$L:$L, Barbados!$B:$B, $A27, Barbados!$D:$D, "London") + SUMIFS(Bermuda!$L:$L, Bermuda!$B:$B, $A27, Bermuda!$D:$D, "London") + SUMIFS(Carolina!$L:$L, Carolina!$B:$B, $A27, Carolina!$D:$D, "London") + SUMIFS(Jamaica!$L:$L, Jamaica!$B:$B, $A27, Jamaica!$D:$D, "London") + SUMIFS(Mountserat!$L:$L, Mountserat!$B:$B, $A27, Mountserat!$D:$D, "London") + SUMIFS(Nevis!$L:$L, Nevis!$B:$B, $A27, Nevis!$D:$D, "London") + SUMIFS(NewEngland!$L:$L, NewEngland!$B:$B, $A27, NewEngland!$D:$D,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SUMIFS(Carolina!$L:$L, Carolina!$B:$B, $A27, Carolina!$D:$D, "Out Ports") + SUMIFS(Jamaica!$L:$L, Jamaica!$B:$B, $A27, Jamaica!$D:$D, "Out Ports") + SUMIFS(Mountserat!$L:$L, Mountserat!$B:$B, $A27, Mountserat!$D:$D, "Out Ports") + SUMIFS(Nevis!$L:$L, Nevis!$B:$B, $A27, Nevis!$D:$D, "Out Ports") + SUMIFS(NewEngland!$L:$L, NewEngland!$B:$B, $A27, NewEngland!$D:$D, "Out Ports")</f>
        <v>0</v>
      </c>
      <c r="D27">
        <f t="shared" si="0"/>
        <v>0</v>
      </c>
    </row>
    <row r="28" spans="1:4" x14ac:dyDescent="0.25">
      <c r="A28" t="s">
        <v>53</v>
      </c>
      <c r="B28">
        <f>SUMIFS(Antigua!$L:$L, Antigua!$B:$B, $A28, Antigua!$D:$D, "London") + SUMIFS(Barbados!$L:$L, Barbados!$B:$B, $A28, Barbados!$D:$D, "London") + SUMIFS(Bermuda!$L:$L, Bermuda!$B:$B, $A28, Bermuda!$D:$D, "London") + SUMIFS(Carolina!$L:$L, Carolina!$B:$B, $A28, Carolina!$D:$D, "London") + SUMIFS(Jamaica!$L:$L, Jamaica!$B:$B, $A28, Jamaica!$D:$D, "London") + SUMIFS(Mountserat!$L:$L, Mountserat!$B:$B, $A28, Mountserat!$D:$D, "London") + SUMIFS(Nevis!$L:$L, Nevis!$B:$B, $A28, Nevis!$D:$D, "London") + SUMIFS(NewEngland!$L:$L, NewEngland!$B:$B, $A28, NewEngland!$D:$D, "London")</f>
        <v>0</v>
      </c>
      <c r="C28">
        <f>SUMIFS(Antigua!$L:$L, Antigua!$B:$B, $A28, Antigua!$D:$D, "Out Ports") + SUMIFS(Barbados!$L:$L, Barbados!$B:$B, $A28, Barbados!$D:$D, "Out Ports") + SUMIFS(Bermuda!$L:$L, Bermuda!$B:$B, $A28, Bermuda!$D:$D, "Out Ports") + SUMIFS(Carolina!$L:$L, Carolina!$B:$B, $A28, Carolina!$D:$D, "Out Ports") + SUMIFS(Jamaica!$L:$L, Jamaica!$B:$B, $A28, Jamaica!$D:$D, "Out Ports") + SUMIFS(Mountserat!$L:$L, Mountserat!$B:$B, $A28, Mountserat!$D:$D, "Out Ports") + SUMIFS(Nevis!$L:$L, Nevis!$B:$B, $A28, Nevis!$D:$D, "Out Ports") + SUMIFS(NewEngland!$L:$L, NewEngland!$B:$B, $A28, NewEngland!$D:$D, "Out Ports")</f>
        <v>0</v>
      </c>
      <c r="D28">
        <f t="shared" si="0"/>
        <v>0</v>
      </c>
    </row>
    <row r="29" spans="1:4" x14ac:dyDescent="0.25">
      <c r="A29" t="s">
        <v>43</v>
      </c>
      <c r="B29">
        <f>SUMIFS(Antigua!$L:$L, Antigua!$B:$B, $A29, Antigua!$D:$D, "London") + SUMIFS(Barbados!$L:$L, Barbados!$B:$B, $A29, Barbados!$D:$D, "London") + SUMIFS(Bermuda!$L:$L, Bermuda!$B:$B, $A29, Bermuda!$D:$D, "London") + SUMIFS(Carolina!$L:$L, Carolina!$B:$B, $A29, Carolina!$D:$D, "London") + SUMIFS(Jamaica!$L:$L, Jamaica!$B:$B, $A29, Jamaica!$D:$D, "London") + SUMIFS(Mountserat!$L:$L, Mountserat!$B:$B, $A29, Mountserat!$D:$D, "London") + SUMIFS(Nevis!$L:$L, Nevis!$B:$B, $A29, Nevis!$D:$D, "London") + SUMIFS(NewEngland!$L:$L, NewEngland!$B:$B, $A29, NewEngland!$D:$D, "London")</f>
        <v>0</v>
      </c>
      <c r="C29">
        <f>SUMIFS(Antigua!$L:$L, Antigua!$B:$B, $A29, Antigua!$D:$D, "Out Ports") + SUMIFS(Barbados!$L:$L, Barbados!$B:$B, $A29, Barbados!$D:$D, "Out Ports") + SUMIFS(Bermuda!$L:$L, Bermuda!$B:$B, $A29, Bermuda!$D:$D, "Out Ports") + SUMIFS(Carolina!$L:$L, Carolina!$B:$B, $A29, Carolina!$D:$D, "Out Ports") + SUMIFS(Jamaica!$L:$L, Jamaica!$B:$B, $A29, Jamaica!$D:$D, "Out Ports") + SUMIFS(Mountserat!$L:$L, Mountserat!$B:$B, $A29, Mountserat!$D:$D, "Out Ports") + SUMIFS(Nevis!$L:$L, Nevis!$B:$B, $A29, Nevis!$D:$D, "Out Ports") + SUMIFS(NewEngland!$L:$L, NewEngland!$B:$B, $A29, NewEngland!$D:$D, "Out Ports")</f>
        <v>0</v>
      </c>
      <c r="D29">
        <f t="shared" si="0"/>
        <v>0</v>
      </c>
    </row>
    <row r="30" spans="1:4" x14ac:dyDescent="0.25">
      <c r="A30" t="s">
        <v>54</v>
      </c>
      <c r="B30">
        <f>SUMIFS(Antigua!$L:$L, Antigua!$B:$B, $A30, Antigua!$D:$D, "London") + SUMIFS(Barbados!$L:$L, Barbados!$B:$B, $A30, Barbados!$D:$D, "London") + SUMIFS(Bermuda!$L:$L, Bermuda!$B:$B, $A30, Bermuda!$D:$D, "London") + SUMIFS(Carolina!$L:$L, Carolina!$B:$B, $A30, Carolina!$D:$D, "London") + SUMIFS(Jamaica!$L:$L, Jamaica!$B:$B, $A30, Jamaica!$D:$D, "London") + SUMIFS(Mountserat!$L:$L, Mountserat!$B:$B, $A30, Mountserat!$D:$D, "London") + SUMIFS(Nevis!$L:$L, Nevis!$B:$B, $A30, Nevis!$D:$D, "London") + SUMIFS(NewEngland!$L:$L, NewEngland!$B:$B, $A30, NewEngland!$D:$D, "London")</f>
        <v>12.829017857142857</v>
      </c>
      <c r="C30">
        <f>SUMIFS(Antigua!$L:$L, Antigua!$B:$B, $A30, Antigua!$D:$D, "Out Ports") + SUMIFS(Barbados!$L:$L, Barbados!$B:$B, $A30, Barbados!$D:$D, "Out Ports") + SUMIFS(Bermuda!$L:$L, Bermuda!$B:$B, $A30, Bermuda!$D:$D, "Out Ports") + SUMIFS(Carolina!$L:$L, Carolina!$B:$B, $A30, Carolina!$D:$D, "Out Ports") + SUMIFS(Jamaica!$L:$L, Jamaica!$B:$B, $A30, Jamaica!$D:$D, "Out Ports") + SUMIFS(Mountserat!$L:$L, Mountserat!$B:$B, $A30, Mountserat!$D:$D, "Out Ports") + SUMIFS(Nevis!$L:$L, Nevis!$B:$B, $A30, Nevis!$D:$D, "Out Ports") + SUMIFS(NewEngland!$L:$L, NewEngland!$B:$B, $A30, NewEngland!$D:$D, "Out Ports")</f>
        <v>0.34866071428571427</v>
      </c>
      <c r="D30">
        <f t="shared" si="0"/>
        <v>13.18</v>
      </c>
    </row>
    <row r="31" spans="1:4" x14ac:dyDescent="0.25">
      <c r="A31" t="s">
        <v>29</v>
      </c>
      <c r="B31">
        <f>SUMIFS(Antigua!$L:$L, Antigua!$B:$B, $A31, Antigua!$D:$D, "London") + SUMIFS(Barbados!$L:$L, Barbados!$B:$B, $A31, Barbados!$D:$D, "London") + SUMIFS(Bermuda!$L:$L, Bermuda!$B:$B, $A31, Bermuda!$D:$D, "London") + SUMIFS(Carolina!$L:$L, Carolina!$B:$B, $A31, Carolina!$D:$D, "London") + SUMIFS(Jamaica!$L:$L, Jamaica!$B:$B, $A31, Jamaica!$D:$D, "London") + SUMIFS(Mountserat!$L:$L, Mountserat!$B:$B, $A31, Mountserat!$D:$D, "London") + SUMIFS(Nevis!$L:$L, Nevis!$B:$B, $A31, Nevis!$D:$D, "London") + SUMIFS(NewEngland!$L:$L, NewEngland!$B:$B, $A31, NewEngland!$D:$D, "London")</f>
        <v>28.35089285714286</v>
      </c>
      <c r="C31">
        <f>SUMIFS(Antigua!$L:$L, Antigua!$B:$B, $A31, Antigua!$D:$D, "Out Ports") + SUMIFS(Barbados!$L:$L, Barbados!$B:$B, $A31, Barbados!$D:$D, "Out Ports") + SUMIFS(Bermuda!$L:$L, Bermuda!$B:$B, $A31, Bermuda!$D:$D, "Out Ports") + SUMIFS(Carolina!$L:$L, Carolina!$B:$B, $A31, Carolina!$D:$D, "Out Ports") + SUMIFS(Jamaica!$L:$L, Jamaica!$B:$B, $A31, Jamaica!$D:$D, "Out Ports") + SUMIFS(Mountserat!$L:$L, Mountserat!$B:$B, $A31, Mountserat!$D:$D, "Out Ports") + SUMIFS(Nevis!$L:$L, Nevis!$B:$B, $A31, Nevis!$D:$D, "Out Ports") + SUMIFS(NewEngland!$L:$L, NewEngland!$B:$B, $A31, NewEngland!$D:$D, "Out Ports")</f>
        <v>2.8397321428571427</v>
      </c>
      <c r="D31">
        <f t="shared" si="0"/>
        <v>31.19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19CC-ED12-4EDC-B6A1-87517C728FBE}">
  <dimension ref="A1:I1"/>
  <sheetViews>
    <sheetView workbookViewId="0">
      <selection activeCell="A11" sqref="A2:F11"/>
    </sheetView>
  </sheetViews>
  <sheetFormatPr defaultRowHeight="15" x14ac:dyDescent="0.25"/>
  <cols>
    <col min="1" max="2" width="13.85546875" customWidth="1"/>
    <col min="5" max="5" width="12.140625" customWidth="1"/>
    <col min="6" max="6" width="11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D4E2-0DF8-4904-877B-B0432FE13C0E}">
  <dimension ref="A1:I1"/>
  <sheetViews>
    <sheetView workbookViewId="0">
      <selection activeCell="A6" sqref="A2:F6"/>
    </sheetView>
  </sheetViews>
  <sheetFormatPr defaultRowHeight="15" x14ac:dyDescent="0.25"/>
  <cols>
    <col min="1" max="1" width="15.42578125" customWidth="1"/>
    <col min="2" max="2" width="13.140625" customWidth="1"/>
    <col min="5" max="5" width="10.85546875" customWidth="1"/>
    <col min="6" max="6" width="14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6</v>
      </c>
      <c r="H1" s="1"/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dimension ref="A1:L43"/>
  <sheetViews>
    <sheetView workbookViewId="0">
      <selection activeCell="M1" sqref="M1:O1048576"/>
    </sheetView>
  </sheetViews>
  <sheetFormatPr defaultRowHeight="15" x14ac:dyDescent="0.25"/>
  <cols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2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57</v>
      </c>
      <c r="F1" s="1" t="s">
        <v>58</v>
      </c>
      <c r="G1" s="1" t="s">
        <v>59</v>
      </c>
      <c r="H1" s="1" t="s">
        <v>60</v>
      </c>
      <c r="I1" s="1"/>
      <c r="J1" s="1" t="s">
        <v>6</v>
      </c>
      <c r="K1" s="1"/>
      <c r="L1" s="1" t="s">
        <v>114</v>
      </c>
    </row>
    <row r="2" spans="1:12" x14ac:dyDescent="0.25">
      <c r="A2">
        <v>1716</v>
      </c>
      <c r="B2" t="s">
        <v>26</v>
      </c>
      <c r="C2" t="s">
        <v>115</v>
      </c>
      <c r="D2" t="s">
        <v>8</v>
      </c>
      <c r="H2">
        <v>2030</v>
      </c>
      <c r="J2">
        <f t="shared" ref="J2:J43" si="0">(E2*2240)+(F2*112)+(G2*28)+H2</f>
        <v>2030</v>
      </c>
      <c r="L2">
        <f t="shared" ref="L2:L43" si="1">J2/2240</f>
        <v>0.90625</v>
      </c>
    </row>
    <row r="3" spans="1:12" x14ac:dyDescent="0.25">
      <c r="A3">
        <v>1716</v>
      </c>
      <c r="B3" t="s">
        <v>17</v>
      </c>
      <c r="C3" t="s">
        <v>115</v>
      </c>
      <c r="D3" t="s">
        <v>8</v>
      </c>
      <c r="F3">
        <v>96694</v>
      </c>
      <c r="G3">
        <v>3</v>
      </c>
      <c r="H3">
        <v>16</v>
      </c>
      <c r="J3">
        <f t="shared" si="0"/>
        <v>10829828</v>
      </c>
      <c r="L3">
        <f t="shared" si="1"/>
        <v>4834.7446428571429</v>
      </c>
    </row>
    <row r="4" spans="1:12" x14ac:dyDescent="0.25">
      <c r="A4">
        <v>1716</v>
      </c>
      <c r="B4" t="s">
        <v>13</v>
      </c>
      <c r="C4" t="s">
        <v>115</v>
      </c>
      <c r="D4" t="s">
        <v>8</v>
      </c>
      <c r="J4">
        <f t="shared" si="0"/>
        <v>0</v>
      </c>
      <c r="L4">
        <f t="shared" si="1"/>
        <v>0</v>
      </c>
    </row>
    <row r="5" spans="1:12" x14ac:dyDescent="0.25">
      <c r="A5">
        <v>1716</v>
      </c>
      <c r="B5" t="s">
        <v>40</v>
      </c>
      <c r="C5" t="s">
        <v>115</v>
      </c>
      <c r="D5" t="s">
        <v>8</v>
      </c>
      <c r="F5">
        <v>90</v>
      </c>
      <c r="G5">
        <v>3</v>
      </c>
      <c r="H5">
        <v>16</v>
      </c>
      <c r="J5">
        <f t="shared" si="0"/>
        <v>10180</v>
      </c>
      <c r="L5">
        <f t="shared" si="1"/>
        <v>4.5446428571428568</v>
      </c>
    </row>
    <row r="6" spans="1:12" x14ac:dyDescent="0.25">
      <c r="A6">
        <v>1716</v>
      </c>
      <c r="B6" t="s">
        <v>10</v>
      </c>
      <c r="C6" t="s">
        <v>115</v>
      </c>
      <c r="D6" t="s">
        <v>8</v>
      </c>
      <c r="H6">
        <v>224952</v>
      </c>
      <c r="J6">
        <f t="shared" si="0"/>
        <v>224952</v>
      </c>
      <c r="L6">
        <f t="shared" si="1"/>
        <v>100.425</v>
      </c>
    </row>
    <row r="7" spans="1:12" x14ac:dyDescent="0.25">
      <c r="A7">
        <v>1716</v>
      </c>
      <c r="B7" t="s">
        <v>15</v>
      </c>
      <c r="C7" t="s">
        <v>115</v>
      </c>
      <c r="D7" t="s">
        <v>8</v>
      </c>
      <c r="F7">
        <v>571</v>
      </c>
      <c r="H7">
        <v>21</v>
      </c>
      <c r="J7">
        <f t="shared" si="0"/>
        <v>63973</v>
      </c>
      <c r="L7">
        <f t="shared" si="1"/>
        <v>28.559374999999999</v>
      </c>
    </row>
    <row r="8" spans="1:12" x14ac:dyDescent="0.25">
      <c r="A8">
        <v>1716</v>
      </c>
      <c r="B8" t="s">
        <v>25</v>
      </c>
      <c r="C8" t="s">
        <v>115</v>
      </c>
      <c r="D8" t="s">
        <v>8</v>
      </c>
      <c r="F8">
        <v>4</v>
      </c>
      <c r="H8">
        <v>14</v>
      </c>
      <c r="J8">
        <f t="shared" si="0"/>
        <v>462</v>
      </c>
      <c r="L8">
        <f t="shared" si="1"/>
        <v>0.20624999999999999</v>
      </c>
    </row>
    <row r="9" spans="1:12" x14ac:dyDescent="0.25">
      <c r="A9">
        <v>1716</v>
      </c>
      <c r="B9" t="s">
        <v>9</v>
      </c>
      <c r="C9" t="s">
        <v>115</v>
      </c>
      <c r="D9" t="s">
        <v>8</v>
      </c>
      <c r="H9">
        <v>4595</v>
      </c>
      <c r="J9">
        <f t="shared" si="0"/>
        <v>4595</v>
      </c>
      <c r="L9">
        <f t="shared" si="1"/>
        <v>2.0513392857142856</v>
      </c>
    </row>
    <row r="10" spans="1:12" x14ac:dyDescent="0.25">
      <c r="A10">
        <v>1716</v>
      </c>
      <c r="B10" t="s">
        <v>39</v>
      </c>
      <c r="C10" t="s">
        <v>115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1716</v>
      </c>
      <c r="B11" t="s">
        <v>35</v>
      </c>
      <c r="C11" t="s">
        <v>115</v>
      </c>
      <c r="D11" t="s">
        <v>8</v>
      </c>
      <c r="F11">
        <v>866</v>
      </c>
      <c r="H11">
        <v>14</v>
      </c>
      <c r="J11">
        <f t="shared" si="0"/>
        <v>97006</v>
      </c>
      <c r="L11">
        <f t="shared" si="1"/>
        <v>43.306249999999999</v>
      </c>
    </row>
    <row r="12" spans="1:12" x14ac:dyDescent="0.25">
      <c r="A12">
        <v>1716</v>
      </c>
      <c r="B12" t="s">
        <v>21</v>
      </c>
      <c r="C12" t="s">
        <v>115</v>
      </c>
      <c r="D12" t="s">
        <v>8</v>
      </c>
      <c r="H12">
        <v>1960.5</v>
      </c>
      <c r="I12" t="s">
        <v>78</v>
      </c>
      <c r="J12">
        <f t="shared" si="0"/>
        <v>1960.5</v>
      </c>
      <c r="L12">
        <f t="shared" si="1"/>
        <v>0.87522321428571426</v>
      </c>
    </row>
    <row r="13" spans="1:12" x14ac:dyDescent="0.25">
      <c r="A13">
        <v>1716</v>
      </c>
      <c r="B13" t="s">
        <v>29</v>
      </c>
      <c r="C13" t="s">
        <v>115</v>
      </c>
      <c r="D13" t="s">
        <v>8</v>
      </c>
      <c r="H13">
        <v>23676</v>
      </c>
      <c r="I13" t="s">
        <v>77</v>
      </c>
      <c r="J13">
        <f t="shared" si="0"/>
        <v>23676</v>
      </c>
      <c r="L13">
        <f t="shared" si="1"/>
        <v>10.569642857142858</v>
      </c>
    </row>
    <row r="14" spans="1:12" x14ac:dyDescent="0.25">
      <c r="A14">
        <v>1716</v>
      </c>
      <c r="B14" t="s">
        <v>16</v>
      </c>
      <c r="C14" t="s">
        <v>115</v>
      </c>
      <c r="D14" t="s">
        <v>8</v>
      </c>
      <c r="F14">
        <v>289</v>
      </c>
      <c r="G14">
        <v>3</v>
      </c>
      <c r="H14">
        <v>0</v>
      </c>
      <c r="J14">
        <f t="shared" si="0"/>
        <v>32452</v>
      </c>
      <c r="L14">
        <f t="shared" si="1"/>
        <v>14.487500000000001</v>
      </c>
    </row>
    <row r="15" spans="1:12" x14ac:dyDescent="0.25">
      <c r="A15">
        <v>1716</v>
      </c>
      <c r="B15" t="s">
        <v>22</v>
      </c>
      <c r="C15" t="s">
        <v>115</v>
      </c>
      <c r="D15" t="s">
        <v>8</v>
      </c>
      <c r="H15">
        <v>21240</v>
      </c>
      <c r="I15" t="s">
        <v>79</v>
      </c>
      <c r="J15">
        <f t="shared" si="0"/>
        <v>21240</v>
      </c>
      <c r="L15">
        <f t="shared" si="1"/>
        <v>9.4821428571428577</v>
      </c>
    </row>
    <row r="16" spans="1:12" x14ac:dyDescent="0.25">
      <c r="A16">
        <v>1716</v>
      </c>
      <c r="B16" t="s">
        <v>24</v>
      </c>
      <c r="C16" t="s">
        <v>115</v>
      </c>
      <c r="D16" t="s">
        <v>8</v>
      </c>
      <c r="F16">
        <v>43</v>
      </c>
      <c r="G16">
        <v>3</v>
      </c>
      <c r="H16">
        <v>17</v>
      </c>
      <c r="J16">
        <f t="shared" si="0"/>
        <v>4917</v>
      </c>
      <c r="L16">
        <f t="shared" si="1"/>
        <v>2.1950892857142859</v>
      </c>
    </row>
    <row r="17" spans="1:12" x14ac:dyDescent="0.25">
      <c r="A17">
        <v>1716</v>
      </c>
      <c r="B17" t="s">
        <v>36</v>
      </c>
      <c r="C17" t="s">
        <v>115</v>
      </c>
      <c r="D17" t="s">
        <v>8</v>
      </c>
      <c r="H17">
        <v>374</v>
      </c>
      <c r="J17">
        <f t="shared" si="0"/>
        <v>374</v>
      </c>
      <c r="L17">
        <f t="shared" si="1"/>
        <v>0.1669642857142857</v>
      </c>
    </row>
    <row r="18" spans="1:12" x14ac:dyDescent="0.25">
      <c r="A18">
        <v>1716</v>
      </c>
      <c r="B18" t="s">
        <v>20</v>
      </c>
      <c r="C18" t="s">
        <v>115</v>
      </c>
      <c r="D18" t="s">
        <v>8</v>
      </c>
      <c r="J18">
        <f t="shared" si="0"/>
        <v>0</v>
      </c>
      <c r="L18">
        <f t="shared" si="1"/>
        <v>0</v>
      </c>
    </row>
    <row r="19" spans="1:12" x14ac:dyDescent="0.25">
      <c r="A19">
        <v>1716</v>
      </c>
      <c r="B19" t="s">
        <v>23</v>
      </c>
      <c r="C19" t="s">
        <v>115</v>
      </c>
      <c r="D19" t="s">
        <v>8</v>
      </c>
      <c r="J19">
        <f t="shared" si="0"/>
        <v>0</v>
      </c>
      <c r="L19">
        <f t="shared" si="1"/>
        <v>0</v>
      </c>
    </row>
    <row r="20" spans="1:12" x14ac:dyDescent="0.25">
      <c r="A20">
        <v>1716</v>
      </c>
      <c r="B20" t="s">
        <v>18</v>
      </c>
      <c r="C20" t="s">
        <v>115</v>
      </c>
      <c r="D20" t="s">
        <v>8</v>
      </c>
      <c r="G20">
        <v>3</v>
      </c>
      <c r="H20">
        <v>22</v>
      </c>
      <c r="J20">
        <f t="shared" si="0"/>
        <v>106</v>
      </c>
      <c r="L20">
        <f t="shared" si="1"/>
        <v>4.732142857142857E-2</v>
      </c>
    </row>
    <row r="21" spans="1:12" x14ac:dyDescent="0.25">
      <c r="A21">
        <v>1716</v>
      </c>
      <c r="B21" t="s">
        <v>17</v>
      </c>
      <c r="C21" t="s">
        <v>115</v>
      </c>
      <c r="D21" t="s">
        <v>12</v>
      </c>
      <c r="F21">
        <v>24584</v>
      </c>
      <c r="G21">
        <v>2</v>
      </c>
      <c r="J21">
        <f t="shared" si="0"/>
        <v>2753464</v>
      </c>
      <c r="L21">
        <f t="shared" si="1"/>
        <v>1229.2249999999999</v>
      </c>
    </row>
    <row r="22" spans="1:12" x14ac:dyDescent="0.25">
      <c r="A22">
        <v>1716</v>
      </c>
      <c r="B22" t="s">
        <v>75</v>
      </c>
      <c r="C22" t="s">
        <v>115</v>
      </c>
      <c r="D22" t="s">
        <v>12</v>
      </c>
      <c r="J22">
        <f t="shared" si="0"/>
        <v>0</v>
      </c>
      <c r="L22">
        <f t="shared" si="1"/>
        <v>0</v>
      </c>
    </row>
    <row r="23" spans="1:12" x14ac:dyDescent="0.25">
      <c r="A23">
        <v>1716</v>
      </c>
      <c r="B23" t="s">
        <v>40</v>
      </c>
      <c r="C23" t="s">
        <v>115</v>
      </c>
      <c r="D23" t="s">
        <v>12</v>
      </c>
      <c r="F23">
        <v>21</v>
      </c>
      <c r="G23">
        <v>3</v>
      </c>
      <c r="H23">
        <v>22</v>
      </c>
      <c r="J23">
        <f t="shared" si="0"/>
        <v>2458</v>
      </c>
      <c r="L23">
        <f t="shared" si="1"/>
        <v>1.0973214285714286</v>
      </c>
    </row>
    <row r="24" spans="1:12" x14ac:dyDescent="0.25">
      <c r="A24">
        <v>1716</v>
      </c>
      <c r="B24" t="s">
        <v>97</v>
      </c>
      <c r="C24" t="s">
        <v>115</v>
      </c>
      <c r="D24" t="s">
        <v>12</v>
      </c>
      <c r="H24">
        <v>103</v>
      </c>
      <c r="J24">
        <f t="shared" si="0"/>
        <v>103</v>
      </c>
      <c r="L24">
        <f t="shared" si="1"/>
        <v>4.598214285714286E-2</v>
      </c>
    </row>
    <row r="25" spans="1:12" x14ac:dyDescent="0.25">
      <c r="A25">
        <v>1716</v>
      </c>
      <c r="B25" t="s">
        <v>10</v>
      </c>
      <c r="C25" t="s">
        <v>115</v>
      </c>
      <c r="D25" t="s">
        <v>12</v>
      </c>
      <c r="H25">
        <v>180291</v>
      </c>
      <c r="J25">
        <f t="shared" si="0"/>
        <v>180291</v>
      </c>
      <c r="L25">
        <f t="shared" si="1"/>
        <v>80.487053571428575</v>
      </c>
    </row>
    <row r="26" spans="1:12" x14ac:dyDescent="0.25">
      <c r="A26">
        <v>1716</v>
      </c>
      <c r="B26" t="s">
        <v>15</v>
      </c>
      <c r="C26" t="s">
        <v>115</v>
      </c>
      <c r="D26" t="s">
        <v>12</v>
      </c>
      <c r="F26">
        <v>116</v>
      </c>
      <c r="H26">
        <v>21</v>
      </c>
      <c r="J26">
        <f t="shared" si="0"/>
        <v>13013</v>
      </c>
      <c r="L26">
        <f t="shared" si="1"/>
        <v>5.8093750000000002</v>
      </c>
    </row>
    <row r="27" spans="1:12" x14ac:dyDescent="0.25">
      <c r="A27">
        <v>1716</v>
      </c>
      <c r="B27" t="s">
        <v>25</v>
      </c>
      <c r="C27" t="s">
        <v>115</v>
      </c>
      <c r="D27" t="s">
        <v>12</v>
      </c>
      <c r="F27">
        <v>62</v>
      </c>
      <c r="G27">
        <v>1</v>
      </c>
      <c r="H27">
        <v>4</v>
      </c>
      <c r="J27">
        <f t="shared" si="0"/>
        <v>6976</v>
      </c>
      <c r="L27">
        <f t="shared" si="1"/>
        <v>3.1142857142857143</v>
      </c>
    </row>
    <row r="28" spans="1:12" x14ac:dyDescent="0.25">
      <c r="A28">
        <v>1716</v>
      </c>
      <c r="B28" t="s">
        <v>42</v>
      </c>
      <c r="C28" t="s">
        <v>115</v>
      </c>
      <c r="D28" t="s">
        <v>12</v>
      </c>
      <c r="J28">
        <f t="shared" si="0"/>
        <v>0</v>
      </c>
      <c r="L28">
        <f t="shared" si="1"/>
        <v>0</v>
      </c>
    </row>
    <row r="29" spans="1:12" x14ac:dyDescent="0.25">
      <c r="A29">
        <v>1716</v>
      </c>
      <c r="B29" t="s">
        <v>95</v>
      </c>
      <c r="C29" t="s">
        <v>115</v>
      </c>
      <c r="D29" t="s">
        <v>12</v>
      </c>
      <c r="H29">
        <v>8138</v>
      </c>
      <c r="J29">
        <f t="shared" si="0"/>
        <v>8138</v>
      </c>
      <c r="L29">
        <f t="shared" si="1"/>
        <v>3.6330357142857141</v>
      </c>
    </row>
    <row r="30" spans="1:12" x14ac:dyDescent="0.25">
      <c r="A30">
        <v>1716</v>
      </c>
      <c r="B30" t="s">
        <v>9</v>
      </c>
      <c r="C30" t="s">
        <v>115</v>
      </c>
      <c r="D30" t="s">
        <v>12</v>
      </c>
      <c r="H30">
        <v>795</v>
      </c>
      <c r="J30">
        <f t="shared" si="0"/>
        <v>795</v>
      </c>
      <c r="L30">
        <f t="shared" si="1"/>
        <v>0.3549107142857143</v>
      </c>
    </row>
    <row r="31" spans="1:12" x14ac:dyDescent="0.25">
      <c r="A31">
        <v>1716</v>
      </c>
      <c r="B31" t="s">
        <v>35</v>
      </c>
      <c r="C31" t="s">
        <v>115</v>
      </c>
      <c r="D31" t="s">
        <v>12</v>
      </c>
      <c r="E31">
        <v>18</v>
      </c>
      <c r="F31">
        <v>1</v>
      </c>
      <c r="G31">
        <v>3</v>
      </c>
      <c r="H31">
        <v>17</v>
      </c>
      <c r="J31">
        <f t="shared" si="0"/>
        <v>40533</v>
      </c>
      <c r="L31">
        <f t="shared" si="1"/>
        <v>18.095089285714284</v>
      </c>
    </row>
    <row r="32" spans="1:12" x14ac:dyDescent="0.25">
      <c r="A32">
        <v>1716</v>
      </c>
      <c r="B32" t="s">
        <v>21</v>
      </c>
      <c r="C32" t="s">
        <v>115</v>
      </c>
      <c r="D32" t="s">
        <v>12</v>
      </c>
      <c r="H32">
        <v>1130</v>
      </c>
      <c r="I32" t="s">
        <v>98</v>
      </c>
      <c r="J32">
        <f t="shared" si="0"/>
        <v>1130</v>
      </c>
      <c r="L32">
        <f t="shared" si="1"/>
        <v>0.5044642857142857</v>
      </c>
    </row>
    <row r="33" spans="1:12" x14ac:dyDescent="0.25">
      <c r="A33">
        <v>1716</v>
      </c>
      <c r="B33" t="s">
        <v>67</v>
      </c>
      <c r="C33" t="s">
        <v>115</v>
      </c>
      <c r="D33" t="s">
        <v>12</v>
      </c>
      <c r="F33">
        <v>17</v>
      </c>
      <c r="G33">
        <v>0</v>
      </c>
      <c r="H33">
        <v>3</v>
      </c>
      <c r="J33">
        <f t="shared" si="0"/>
        <v>1907</v>
      </c>
      <c r="L33">
        <f t="shared" si="1"/>
        <v>0.85133928571428574</v>
      </c>
    </row>
    <row r="34" spans="1:12" x14ac:dyDescent="0.25">
      <c r="A34">
        <v>1716</v>
      </c>
      <c r="B34" t="s">
        <v>29</v>
      </c>
      <c r="C34" t="s">
        <v>115</v>
      </c>
      <c r="D34" t="s">
        <v>12</v>
      </c>
      <c r="H34">
        <v>3571</v>
      </c>
      <c r="I34" t="s">
        <v>96</v>
      </c>
      <c r="J34">
        <f t="shared" si="0"/>
        <v>3571</v>
      </c>
      <c r="L34">
        <f t="shared" si="1"/>
        <v>1.5941964285714285</v>
      </c>
    </row>
    <row r="35" spans="1:12" x14ac:dyDescent="0.25">
      <c r="A35">
        <v>1716</v>
      </c>
      <c r="B35" t="s">
        <v>16</v>
      </c>
      <c r="C35" t="s">
        <v>115</v>
      </c>
      <c r="D35" t="s">
        <v>12</v>
      </c>
      <c r="F35">
        <v>260</v>
      </c>
      <c r="G35">
        <v>2</v>
      </c>
      <c r="H35">
        <v>22</v>
      </c>
      <c r="J35">
        <f t="shared" si="0"/>
        <v>29198</v>
      </c>
      <c r="L35">
        <f t="shared" si="1"/>
        <v>13.034821428571428</v>
      </c>
    </row>
    <row r="36" spans="1:12" x14ac:dyDescent="0.25">
      <c r="A36">
        <v>1716</v>
      </c>
      <c r="B36" t="s">
        <v>82</v>
      </c>
      <c r="C36" t="s">
        <v>115</v>
      </c>
      <c r="D36" t="s">
        <v>12</v>
      </c>
      <c r="E36">
        <v>8</v>
      </c>
      <c r="F36">
        <v>19</v>
      </c>
      <c r="G36">
        <v>3</v>
      </c>
      <c r="H36">
        <v>7</v>
      </c>
      <c r="J36">
        <f t="shared" si="0"/>
        <v>20139</v>
      </c>
      <c r="L36">
        <f t="shared" si="1"/>
        <v>8.9906249999999996</v>
      </c>
    </row>
    <row r="37" spans="1:12" x14ac:dyDescent="0.25">
      <c r="A37">
        <v>1716</v>
      </c>
      <c r="B37" t="s">
        <v>27</v>
      </c>
      <c r="C37" t="s">
        <v>115</v>
      </c>
      <c r="D37" t="s">
        <v>12</v>
      </c>
      <c r="J37">
        <f t="shared" si="0"/>
        <v>0</v>
      </c>
      <c r="L37">
        <f t="shared" si="1"/>
        <v>0</v>
      </c>
    </row>
    <row r="38" spans="1:12" x14ac:dyDescent="0.25">
      <c r="A38">
        <v>1716</v>
      </c>
      <c r="B38" t="s">
        <v>22</v>
      </c>
      <c r="C38" t="s">
        <v>115</v>
      </c>
      <c r="D38" t="s">
        <v>12</v>
      </c>
      <c r="H38">
        <v>8082</v>
      </c>
      <c r="I38" t="s">
        <v>99</v>
      </c>
      <c r="J38">
        <f t="shared" si="0"/>
        <v>8082</v>
      </c>
      <c r="L38">
        <f t="shared" si="1"/>
        <v>3.6080357142857142</v>
      </c>
    </row>
    <row r="39" spans="1:12" x14ac:dyDescent="0.25">
      <c r="A39">
        <v>1716</v>
      </c>
      <c r="B39" t="s">
        <v>24</v>
      </c>
      <c r="C39" t="s">
        <v>115</v>
      </c>
      <c r="D39" t="s">
        <v>12</v>
      </c>
      <c r="F39">
        <v>10</v>
      </c>
      <c r="G39">
        <v>3</v>
      </c>
      <c r="H39">
        <v>9</v>
      </c>
      <c r="J39">
        <f t="shared" si="0"/>
        <v>1213</v>
      </c>
      <c r="L39">
        <f t="shared" si="1"/>
        <v>0.54151785714285716</v>
      </c>
    </row>
    <row r="40" spans="1:12" x14ac:dyDescent="0.25">
      <c r="A40">
        <v>1716</v>
      </c>
      <c r="B40" t="s">
        <v>36</v>
      </c>
      <c r="C40" t="s">
        <v>115</v>
      </c>
      <c r="D40" t="s">
        <v>12</v>
      </c>
      <c r="H40">
        <v>672</v>
      </c>
      <c r="J40">
        <f t="shared" si="0"/>
        <v>672</v>
      </c>
      <c r="L40">
        <f t="shared" si="1"/>
        <v>0.3</v>
      </c>
    </row>
    <row r="41" spans="1:12" x14ac:dyDescent="0.25">
      <c r="A41">
        <v>1716</v>
      </c>
      <c r="B41" t="s">
        <v>20</v>
      </c>
      <c r="C41" t="s">
        <v>115</v>
      </c>
      <c r="D41" t="s">
        <v>12</v>
      </c>
      <c r="J41">
        <f t="shared" si="0"/>
        <v>0</v>
      </c>
      <c r="L41">
        <f t="shared" si="1"/>
        <v>0</v>
      </c>
    </row>
    <row r="42" spans="1:12" x14ac:dyDescent="0.25">
      <c r="A42">
        <v>1716</v>
      </c>
      <c r="B42" t="s">
        <v>23</v>
      </c>
      <c r="C42" t="s">
        <v>115</v>
      </c>
      <c r="D42" t="s">
        <v>12</v>
      </c>
      <c r="J42">
        <f t="shared" si="0"/>
        <v>0</v>
      </c>
      <c r="L42">
        <f t="shared" si="1"/>
        <v>0</v>
      </c>
    </row>
    <row r="43" spans="1:12" x14ac:dyDescent="0.25">
      <c r="A43">
        <v>1716</v>
      </c>
      <c r="B43" t="s">
        <v>18</v>
      </c>
      <c r="C43" t="s">
        <v>115</v>
      </c>
      <c r="D43" t="s">
        <v>12</v>
      </c>
      <c r="F43">
        <v>6</v>
      </c>
      <c r="G43">
        <v>2</v>
      </c>
      <c r="H43">
        <v>25</v>
      </c>
      <c r="J43">
        <f t="shared" si="0"/>
        <v>753</v>
      </c>
      <c r="L43">
        <f t="shared" si="1"/>
        <v>0.33616071428571431</v>
      </c>
    </row>
  </sheetData>
  <autoFilter ref="A1:L43" xr:uid="{693D6FA2-B6A0-4711-A44A-6CA286BF1E63}">
    <sortState xmlns:xlrd2="http://schemas.microsoft.com/office/spreadsheetml/2017/richdata2" ref="A2:L43">
      <sortCondition ref="D1:D4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dimension ref="A1:L60"/>
  <sheetViews>
    <sheetView topLeftCell="A43" workbookViewId="0">
      <selection activeCell="Q13" sqref="Q1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57</v>
      </c>
      <c r="F1" s="1" t="s">
        <v>58</v>
      </c>
      <c r="G1" s="1" t="s">
        <v>59</v>
      </c>
      <c r="H1" s="1" t="s">
        <v>60</v>
      </c>
      <c r="I1" s="1"/>
      <c r="J1" s="1" t="s">
        <v>6</v>
      </c>
      <c r="K1" s="1"/>
      <c r="L1" s="1" t="s">
        <v>114</v>
      </c>
    </row>
    <row r="2" spans="1:12" x14ac:dyDescent="0.25">
      <c r="A2">
        <v>1716</v>
      </c>
      <c r="B2" t="s">
        <v>26</v>
      </c>
      <c r="C2" t="s">
        <v>116</v>
      </c>
      <c r="D2" t="s">
        <v>8</v>
      </c>
      <c r="H2">
        <v>3134</v>
      </c>
      <c r="J2">
        <f>(E2*2240)+(F2*112)+(G2*28)+H2</f>
        <v>3134</v>
      </c>
      <c r="L2">
        <f>J2/2240</f>
        <v>1.3991071428571429</v>
      </c>
    </row>
    <row r="3" spans="1:12" x14ac:dyDescent="0.25">
      <c r="A3">
        <v>1716</v>
      </c>
      <c r="B3" t="s">
        <v>56</v>
      </c>
      <c r="C3" t="s">
        <v>116</v>
      </c>
      <c r="D3" t="s">
        <v>8</v>
      </c>
      <c r="H3">
        <v>19399</v>
      </c>
      <c r="J3">
        <f t="shared" ref="J3:J59" si="0">(E3*2240)+(F3*112)+(G3*28)+H3</f>
        <v>19399</v>
      </c>
      <c r="L3">
        <f t="shared" ref="L3:L58" si="1">J3/2240</f>
        <v>8.6602678571428573</v>
      </c>
    </row>
    <row r="4" spans="1:12" x14ac:dyDescent="0.25">
      <c r="A4">
        <v>1716</v>
      </c>
      <c r="B4" t="s">
        <v>55</v>
      </c>
      <c r="C4" t="s">
        <v>116</v>
      </c>
      <c r="D4" t="s">
        <v>8</v>
      </c>
      <c r="J4">
        <f t="shared" si="0"/>
        <v>0</v>
      </c>
      <c r="L4">
        <f t="shared" si="1"/>
        <v>0</v>
      </c>
    </row>
    <row r="5" spans="1:12" x14ac:dyDescent="0.25">
      <c r="A5">
        <v>1716</v>
      </c>
      <c r="B5" t="s">
        <v>17</v>
      </c>
      <c r="C5" t="s">
        <v>116</v>
      </c>
      <c r="D5" t="s">
        <v>8</v>
      </c>
      <c r="F5">
        <v>163179</v>
      </c>
      <c r="G5">
        <v>3</v>
      </c>
      <c r="H5">
        <v>19</v>
      </c>
      <c r="J5">
        <f t="shared" si="0"/>
        <v>18276151</v>
      </c>
      <c r="L5">
        <f t="shared" si="1"/>
        <v>8158.9959821428574</v>
      </c>
    </row>
    <row r="6" spans="1:12" x14ac:dyDescent="0.25">
      <c r="A6">
        <v>1716</v>
      </c>
      <c r="B6" t="s">
        <v>80</v>
      </c>
      <c r="C6" t="s">
        <v>116</v>
      </c>
      <c r="D6" t="s">
        <v>8</v>
      </c>
      <c r="H6">
        <v>1193</v>
      </c>
      <c r="J6">
        <f t="shared" si="0"/>
        <v>1193</v>
      </c>
      <c r="L6">
        <f t="shared" si="1"/>
        <v>0.53258928571428577</v>
      </c>
    </row>
    <row r="7" spans="1:12" x14ac:dyDescent="0.25">
      <c r="A7">
        <v>1716</v>
      </c>
      <c r="B7" t="s">
        <v>64</v>
      </c>
      <c r="C7" t="s">
        <v>116</v>
      </c>
      <c r="D7" t="s">
        <v>8</v>
      </c>
      <c r="J7">
        <f t="shared" si="0"/>
        <v>0</v>
      </c>
      <c r="L7">
        <f t="shared" si="1"/>
        <v>0</v>
      </c>
    </row>
    <row r="8" spans="1:12" x14ac:dyDescent="0.25">
      <c r="A8">
        <v>1716</v>
      </c>
      <c r="B8" t="s">
        <v>68</v>
      </c>
      <c r="C8" t="s">
        <v>116</v>
      </c>
      <c r="D8" t="s">
        <v>8</v>
      </c>
      <c r="E8">
        <v>196</v>
      </c>
      <c r="F8">
        <v>4</v>
      </c>
      <c r="G8">
        <v>3</v>
      </c>
      <c r="H8">
        <v>15</v>
      </c>
      <c r="J8">
        <f t="shared" si="0"/>
        <v>439587</v>
      </c>
      <c r="L8">
        <f t="shared" si="1"/>
        <v>196.24419642857143</v>
      </c>
    </row>
    <row r="9" spans="1:12" x14ac:dyDescent="0.25">
      <c r="A9">
        <v>1716</v>
      </c>
      <c r="B9" t="s">
        <v>61</v>
      </c>
      <c r="C9" t="s">
        <v>116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1716</v>
      </c>
      <c r="B10" t="s">
        <v>40</v>
      </c>
      <c r="C10" t="s">
        <v>116</v>
      </c>
      <c r="D10" t="s">
        <v>8</v>
      </c>
      <c r="F10">
        <v>2538</v>
      </c>
      <c r="G10">
        <v>2</v>
      </c>
      <c r="H10">
        <v>18</v>
      </c>
      <c r="J10">
        <f t="shared" si="0"/>
        <v>284330</v>
      </c>
      <c r="L10">
        <f t="shared" si="1"/>
        <v>126.93303571428571</v>
      </c>
    </row>
    <row r="11" spans="1:12" x14ac:dyDescent="0.25">
      <c r="A11">
        <v>1716</v>
      </c>
      <c r="B11" t="s">
        <v>65</v>
      </c>
      <c r="C11" t="s">
        <v>116</v>
      </c>
      <c r="D11" t="s">
        <v>8</v>
      </c>
      <c r="J11">
        <f t="shared" si="0"/>
        <v>0</v>
      </c>
      <c r="L11">
        <f t="shared" si="1"/>
        <v>0</v>
      </c>
    </row>
    <row r="12" spans="1:12" x14ac:dyDescent="0.25">
      <c r="A12">
        <v>1716</v>
      </c>
      <c r="B12" t="s">
        <v>10</v>
      </c>
      <c r="C12" t="s">
        <v>116</v>
      </c>
      <c r="D12" t="s">
        <v>8</v>
      </c>
      <c r="H12">
        <v>58016</v>
      </c>
      <c r="J12">
        <f t="shared" si="0"/>
        <v>58016</v>
      </c>
      <c r="L12">
        <f t="shared" si="1"/>
        <v>25.9</v>
      </c>
    </row>
    <row r="13" spans="1:12" x14ac:dyDescent="0.25">
      <c r="A13">
        <v>1716</v>
      </c>
      <c r="B13" t="s">
        <v>15</v>
      </c>
      <c r="C13" t="s">
        <v>116</v>
      </c>
      <c r="D13" t="s">
        <v>8</v>
      </c>
      <c r="F13">
        <v>2896</v>
      </c>
      <c r="G13">
        <v>3</v>
      </c>
      <c r="H13">
        <v>23</v>
      </c>
      <c r="J13">
        <f t="shared" si="0"/>
        <v>324459</v>
      </c>
      <c r="L13">
        <f t="shared" si="1"/>
        <v>144.84776785714286</v>
      </c>
    </row>
    <row r="14" spans="1:12" x14ac:dyDescent="0.25">
      <c r="A14">
        <v>1716</v>
      </c>
      <c r="B14" t="s">
        <v>25</v>
      </c>
      <c r="C14" t="s">
        <v>116</v>
      </c>
      <c r="D14" t="s">
        <v>8</v>
      </c>
      <c r="F14">
        <v>310</v>
      </c>
      <c r="G14">
        <v>1</v>
      </c>
      <c r="H14">
        <v>15</v>
      </c>
      <c r="J14">
        <f t="shared" si="0"/>
        <v>34763</v>
      </c>
      <c r="L14">
        <f t="shared" si="1"/>
        <v>15.519196428571428</v>
      </c>
    </row>
    <row r="15" spans="1:12" x14ac:dyDescent="0.25">
      <c r="A15">
        <v>1716</v>
      </c>
      <c r="B15" t="s">
        <v>39</v>
      </c>
      <c r="C15" t="s">
        <v>116</v>
      </c>
      <c r="D15" t="s">
        <v>8</v>
      </c>
      <c r="J15">
        <f t="shared" si="0"/>
        <v>0</v>
      </c>
      <c r="L15">
        <f t="shared" si="1"/>
        <v>0</v>
      </c>
    </row>
    <row r="16" spans="1:12" x14ac:dyDescent="0.25">
      <c r="A16">
        <v>1716</v>
      </c>
      <c r="B16" t="s">
        <v>21</v>
      </c>
      <c r="C16" t="s">
        <v>116</v>
      </c>
      <c r="D16" t="s">
        <v>8</v>
      </c>
      <c r="H16">
        <v>5561</v>
      </c>
      <c r="I16" t="s">
        <v>83</v>
      </c>
      <c r="J16">
        <f t="shared" si="0"/>
        <v>5561</v>
      </c>
      <c r="L16">
        <f t="shared" si="1"/>
        <v>2.4825892857142855</v>
      </c>
    </row>
    <row r="17" spans="1:12" x14ac:dyDescent="0.25">
      <c r="A17">
        <v>1716</v>
      </c>
      <c r="B17" t="s">
        <v>30</v>
      </c>
      <c r="C17" t="s">
        <v>116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1716</v>
      </c>
      <c r="B18" t="s">
        <v>67</v>
      </c>
      <c r="C18" t="s">
        <v>116</v>
      </c>
      <c r="D18" t="s">
        <v>8</v>
      </c>
      <c r="E18">
        <v>50</v>
      </c>
      <c r="F18">
        <v>1</v>
      </c>
      <c r="G18">
        <v>2</v>
      </c>
      <c r="H18">
        <v>20</v>
      </c>
      <c r="J18">
        <f t="shared" si="0"/>
        <v>112188</v>
      </c>
      <c r="L18">
        <f t="shared" si="1"/>
        <v>50.083928571428572</v>
      </c>
    </row>
    <row r="19" spans="1:12" x14ac:dyDescent="0.25">
      <c r="A19">
        <v>1716</v>
      </c>
      <c r="B19" t="s">
        <v>27</v>
      </c>
      <c r="C19" t="s">
        <v>116</v>
      </c>
      <c r="D19" t="s">
        <v>8</v>
      </c>
      <c r="F19">
        <v>1469</v>
      </c>
      <c r="H19">
        <v>7</v>
      </c>
      <c r="J19">
        <f t="shared" si="0"/>
        <v>164535</v>
      </c>
      <c r="L19">
        <f t="shared" si="1"/>
        <v>73.453125</v>
      </c>
    </row>
    <row r="20" spans="1:12" x14ac:dyDescent="0.25">
      <c r="A20">
        <v>1716</v>
      </c>
      <c r="B20" t="s">
        <v>29</v>
      </c>
      <c r="C20" t="s">
        <v>116</v>
      </c>
      <c r="D20" t="s">
        <v>8</v>
      </c>
      <c r="H20">
        <v>31268</v>
      </c>
      <c r="I20" t="s">
        <v>81</v>
      </c>
      <c r="J20">
        <f t="shared" si="0"/>
        <v>31268</v>
      </c>
      <c r="L20">
        <f t="shared" si="1"/>
        <v>13.958928571428572</v>
      </c>
    </row>
    <row r="21" spans="1:12" x14ac:dyDescent="0.25">
      <c r="A21">
        <v>1716</v>
      </c>
      <c r="B21" t="s">
        <v>16</v>
      </c>
      <c r="C21" t="s">
        <v>116</v>
      </c>
      <c r="D21" t="s">
        <v>8</v>
      </c>
      <c r="F21">
        <v>413</v>
      </c>
      <c r="G21">
        <v>1</v>
      </c>
      <c r="J21">
        <f t="shared" si="0"/>
        <v>46284</v>
      </c>
      <c r="L21">
        <f t="shared" si="1"/>
        <v>20.662500000000001</v>
      </c>
    </row>
    <row r="22" spans="1:12" x14ac:dyDescent="0.25">
      <c r="A22">
        <v>1716</v>
      </c>
      <c r="B22" t="s">
        <v>19</v>
      </c>
      <c r="C22" t="s">
        <v>116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1716</v>
      </c>
      <c r="B23" t="s">
        <v>82</v>
      </c>
      <c r="C23" t="s">
        <v>116</v>
      </c>
      <c r="D23" t="s">
        <v>8</v>
      </c>
      <c r="E23">
        <v>93</v>
      </c>
      <c r="F23">
        <v>8</v>
      </c>
      <c r="G23">
        <v>2</v>
      </c>
      <c r="H23">
        <v>14</v>
      </c>
      <c r="J23">
        <f t="shared" si="0"/>
        <v>209286</v>
      </c>
      <c r="L23">
        <f t="shared" si="1"/>
        <v>93.431250000000006</v>
      </c>
    </row>
    <row r="24" spans="1:12" x14ac:dyDescent="0.25">
      <c r="A24">
        <v>1716</v>
      </c>
      <c r="B24" t="s">
        <v>22</v>
      </c>
      <c r="C24" t="s">
        <v>116</v>
      </c>
      <c r="D24" t="s">
        <v>8</v>
      </c>
      <c r="H24">
        <v>66447</v>
      </c>
      <c r="I24" t="s">
        <v>84</v>
      </c>
      <c r="J24">
        <f t="shared" si="0"/>
        <v>66447</v>
      </c>
      <c r="L24">
        <f t="shared" si="1"/>
        <v>29.663839285714285</v>
      </c>
    </row>
    <row r="25" spans="1:12" x14ac:dyDescent="0.25">
      <c r="A25">
        <v>1716</v>
      </c>
      <c r="B25" t="s">
        <v>24</v>
      </c>
      <c r="C25" t="s">
        <v>116</v>
      </c>
      <c r="D25" t="s">
        <v>8</v>
      </c>
      <c r="F25">
        <v>84</v>
      </c>
      <c r="G25">
        <v>2</v>
      </c>
      <c r="H25">
        <v>15</v>
      </c>
      <c r="J25">
        <f t="shared" si="0"/>
        <v>9479</v>
      </c>
      <c r="L25">
        <f t="shared" si="1"/>
        <v>4.2316964285714285</v>
      </c>
    </row>
    <row r="26" spans="1:12" x14ac:dyDescent="0.25">
      <c r="A26">
        <v>1716</v>
      </c>
      <c r="B26" t="s">
        <v>36</v>
      </c>
      <c r="C26" t="s">
        <v>116</v>
      </c>
      <c r="D26" t="s">
        <v>8</v>
      </c>
      <c r="H26">
        <v>1771</v>
      </c>
      <c r="J26">
        <f t="shared" si="0"/>
        <v>1771</v>
      </c>
      <c r="L26">
        <f t="shared" si="1"/>
        <v>0.79062500000000002</v>
      </c>
    </row>
    <row r="27" spans="1:12" x14ac:dyDescent="0.25">
      <c r="A27">
        <v>1716</v>
      </c>
      <c r="B27" t="s">
        <v>20</v>
      </c>
      <c r="C27" t="s">
        <v>116</v>
      </c>
      <c r="D27" t="s">
        <v>8</v>
      </c>
      <c r="H27">
        <v>4025</v>
      </c>
      <c r="J27">
        <f t="shared" si="0"/>
        <v>4025</v>
      </c>
      <c r="L27">
        <f t="shared" si="1"/>
        <v>1.796875</v>
      </c>
    </row>
    <row r="28" spans="1:12" x14ac:dyDescent="0.25">
      <c r="A28">
        <v>1716</v>
      </c>
      <c r="B28" t="s">
        <v>23</v>
      </c>
      <c r="C28" t="s">
        <v>116</v>
      </c>
      <c r="D28" t="s">
        <v>8</v>
      </c>
      <c r="H28">
        <v>23.5</v>
      </c>
      <c r="J28">
        <f t="shared" si="0"/>
        <v>23.5</v>
      </c>
      <c r="L28">
        <f t="shared" si="1"/>
        <v>1.0491071428571428E-2</v>
      </c>
    </row>
    <row r="29" spans="1:12" x14ac:dyDescent="0.25">
      <c r="A29">
        <v>1716</v>
      </c>
      <c r="B29" t="s">
        <v>35</v>
      </c>
      <c r="C29" t="s">
        <v>116</v>
      </c>
      <c r="D29" t="s">
        <v>8</v>
      </c>
      <c r="J29">
        <f t="shared" si="0"/>
        <v>0</v>
      </c>
      <c r="L29">
        <f t="shared" si="1"/>
        <v>0</v>
      </c>
    </row>
    <row r="30" spans="1:12" x14ac:dyDescent="0.25">
      <c r="A30">
        <v>1716</v>
      </c>
      <c r="B30" t="s">
        <v>18</v>
      </c>
      <c r="C30" t="s">
        <v>116</v>
      </c>
      <c r="D30" t="s">
        <v>8</v>
      </c>
      <c r="F30">
        <v>192</v>
      </c>
      <c r="G30">
        <v>2</v>
      </c>
      <c r="H30">
        <v>7</v>
      </c>
      <c r="J30">
        <f t="shared" si="0"/>
        <v>21567</v>
      </c>
      <c r="L30">
        <f t="shared" si="1"/>
        <v>9.6281250000000007</v>
      </c>
    </row>
    <row r="31" spans="1:12" x14ac:dyDescent="0.25">
      <c r="A31">
        <v>1716</v>
      </c>
      <c r="B31" t="s">
        <v>9</v>
      </c>
      <c r="C31" t="s">
        <v>116</v>
      </c>
      <c r="D31" t="s">
        <v>8</v>
      </c>
      <c r="H31">
        <v>27403</v>
      </c>
      <c r="J31">
        <f t="shared" si="0"/>
        <v>27403</v>
      </c>
      <c r="L31">
        <f t="shared" si="1"/>
        <v>12.233482142857143</v>
      </c>
    </row>
    <row r="32" spans="1:12" x14ac:dyDescent="0.25">
      <c r="A32">
        <v>1716</v>
      </c>
      <c r="B32" t="s">
        <v>63</v>
      </c>
      <c r="C32" t="s">
        <v>116</v>
      </c>
      <c r="D32" t="s">
        <v>8</v>
      </c>
      <c r="J32">
        <f t="shared" si="0"/>
        <v>0</v>
      </c>
      <c r="L32">
        <f t="shared" si="1"/>
        <v>0</v>
      </c>
    </row>
    <row r="33" spans="1:12" x14ac:dyDescent="0.25">
      <c r="A33">
        <v>1716</v>
      </c>
      <c r="B33" t="s">
        <v>32</v>
      </c>
      <c r="C33" t="s">
        <v>116</v>
      </c>
      <c r="D33" t="s">
        <v>8</v>
      </c>
      <c r="J33">
        <f t="shared" si="0"/>
        <v>0</v>
      </c>
      <c r="L33">
        <f t="shared" si="1"/>
        <v>0</v>
      </c>
    </row>
    <row r="34" spans="1:12" x14ac:dyDescent="0.25">
      <c r="A34">
        <v>1716</v>
      </c>
      <c r="B34" t="s">
        <v>62</v>
      </c>
      <c r="C34" t="s">
        <v>116</v>
      </c>
      <c r="D34" t="s">
        <v>8</v>
      </c>
      <c r="J34">
        <f t="shared" si="0"/>
        <v>0</v>
      </c>
      <c r="L34">
        <f t="shared" si="1"/>
        <v>0</v>
      </c>
    </row>
    <row r="35" spans="1:12" x14ac:dyDescent="0.25">
      <c r="A35">
        <v>1716</v>
      </c>
      <c r="B35" t="s">
        <v>38</v>
      </c>
      <c r="C35" t="s">
        <v>116</v>
      </c>
      <c r="D35" t="s">
        <v>8</v>
      </c>
      <c r="J35">
        <f t="shared" si="0"/>
        <v>0</v>
      </c>
      <c r="L35">
        <f t="shared" si="1"/>
        <v>0</v>
      </c>
    </row>
    <row r="36" spans="1:12" x14ac:dyDescent="0.25">
      <c r="A36">
        <v>1716</v>
      </c>
      <c r="B36" t="s">
        <v>26</v>
      </c>
      <c r="C36" t="s">
        <v>116</v>
      </c>
      <c r="D36" t="s">
        <v>12</v>
      </c>
      <c r="H36">
        <v>2853</v>
      </c>
      <c r="J36">
        <f t="shared" si="0"/>
        <v>2853</v>
      </c>
      <c r="L36">
        <f t="shared" si="1"/>
        <v>1.2736607142857144</v>
      </c>
    </row>
    <row r="37" spans="1:12" x14ac:dyDescent="0.25">
      <c r="A37">
        <v>1716</v>
      </c>
      <c r="B37" t="s">
        <v>17</v>
      </c>
      <c r="C37" t="s">
        <v>116</v>
      </c>
      <c r="D37" t="s">
        <v>12</v>
      </c>
      <c r="F37">
        <v>48683</v>
      </c>
      <c r="H37">
        <v>23</v>
      </c>
      <c r="J37">
        <f t="shared" si="0"/>
        <v>5452519</v>
      </c>
      <c r="L37">
        <f t="shared" si="1"/>
        <v>2434.160267857143</v>
      </c>
    </row>
    <row r="38" spans="1:12" x14ac:dyDescent="0.25">
      <c r="A38">
        <v>1716</v>
      </c>
      <c r="B38" t="s">
        <v>13</v>
      </c>
      <c r="C38" t="s">
        <v>116</v>
      </c>
      <c r="D38" t="s">
        <v>12</v>
      </c>
      <c r="J38">
        <f t="shared" si="0"/>
        <v>0</v>
      </c>
      <c r="L38">
        <f t="shared" si="1"/>
        <v>0</v>
      </c>
    </row>
    <row r="39" spans="1:12" x14ac:dyDescent="0.25">
      <c r="A39">
        <v>1716</v>
      </c>
      <c r="B39" t="s">
        <v>40</v>
      </c>
      <c r="C39" t="s">
        <v>116</v>
      </c>
      <c r="D39" t="s">
        <v>12</v>
      </c>
      <c r="F39">
        <v>631</v>
      </c>
      <c r="G39">
        <v>1</v>
      </c>
      <c r="J39">
        <f t="shared" si="0"/>
        <v>70700</v>
      </c>
      <c r="L39">
        <f t="shared" si="1"/>
        <v>31.5625</v>
      </c>
    </row>
    <row r="40" spans="1:12" x14ac:dyDescent="0.25">
      <c r="A40">
        <v>1716</v>
      </c>
      <c r="B40" t="s">
        <v>10</v>
      </c>
      <c r="C40" t="s">
        <v>116</v>
      </c>
      <c r="D40" t="s">
        <v>12</v>
      </c>
      <c r="H40">
        <v>97157</v>
      </c>
      <c r="J40">
        <f t="shared" si="0"/>
        <v>97157</v>
      </c>
      <c r="L40">
        <f t="shared" si="1"/>
        <v>43.373660714285712</v>
      </c>
    </row>
    <row r="41" spans="1:12" x14ac:dyDescent="0.25">
      <c r="A41">
        <v>1716</v>
      </c>
      <c r="B41" t="s">
        <v>15</v>
      </c>
      <c r="C41" t="s">
        <v>116</v>
      </c>
      <c r="D41" t="s">
        <v>12</v>
      </c>
      <c r="F41">
        <v>578</v>
      </c>
      <c r="G41">
        <v>3</v>
      </c>
      <c r="H41">
        <v>14</v>
      </c>
      <c r="J41">
        <f t="shared" si="0"/>
        <v>64834</v>
      </c>
      <c r="L41">
        <f t="shared" si="1"/>
        <v>28.943750000000001</v>
      </c>
    </row>
    <row r="42" spans="1:12" x14ac:dyDescent="0.25">
      <c r="A42">
        <v>1716</v>
      </c>
      <c r="B42" t="s">
        <v>25</v>
      </c>
      <c r="C42" t="s">
        <v>116</v>
      </c>
      <c r="D42" t="s">
        <v>12</v>
      </c>
      <c r="F42">
        <v>143</v>
      </c>
      <c r="G42">
        <v>1</v>
      </c>
      <c r="H42">
        <v>17</v>
      </c>
      <c r="J42">
        <f t="shared" si="0"/>
        <v>16061</v>
      </c>
      <c r="L42">
        <f t="shared" si="1"/>
        <v>7.1700892857142859</v>
      </c>
    </row>
    <row r="43" spans="1:12" x14ac:dyDescent="0.25">
      <c r="A43">
        <v>1716</v>
      </c>
      <c r="B43" t="s">
        <v>68</v>
      </c>
      <c r="C43" t="s">
        <v>116</v>
      </c>
      <c r="D43" t="s">
        <v>12</v>
      </c>
      <c r="E43">
        <v>53</v>
      </c>
      <c r="F43">
        <v>12</v>
      </c>
      <c r="G43">
        <v>2</v>
      </c>
      <c r="H43">
        <v>6</v>
      </c>
      <c r="J43">
        <f t="shared" si="0"/>
        <v>120126</v>
      </c>
      <c r="L43">
        <f t="shared" si="1"/>
        <v>53.627678571428568</v>
      </c>
    </row>
    <row r="44" spans="1:12" x14ac:dyDescent="0.25">
      <c r="A44">
        <v>1716</v>
      </c>
      <c r="B44" t="s">
        <v>109</v>
      </c>
      <c r="C44" t="s">
        <v>116</v>
      </c>
      <c r="D44" t="s">
        <v>12</v>
      </c>
      <c r="H44">
        <v>10969</v>
      </c>
      <c r="J44">
        <f t="shared" si="0"/>
        <v>10969</v>
      </c>
      <c r="L44">
        <f t="shared" si="1"/>
        <v>4.8968749999999996</v>
      </c>
    </row>
    <row r="45" spans="1:12" x14ac:dyDescent="0.25">
      <c r="A45">
        <v>1716</v>
      </c>
      <c r="B45" t="s">
        <v>9</v>
      </c>
      <c r="C45" t="s">
        <v>116</v>
      </c>
      <c r="D45" t="s">
        <v>12</v>
      </c>
      <c r="H45">
        <v>8285</v>
      </c>
      <c r="J45">
        <f t="shared" si="0"/>
        <v>8285</v>
      </c>
      <c r="L45">
        <f t="shared" si="1"/>
        <v>3.6986607142857144</v>
      </c>
    </row>
    <row r="46" spans="1:12" x14ac:dyDescent="0.25">
      <c r="A46">
        <v>1716</v>
      </c>
      <c r="B46" t="s">
        <v>35</v>
      </c>
      <c r="C46" t="s">
        <v>116</v>
      </c>
      <c r="D46" t="s">
        <v>12</v>
      </c>
      <c r="J46">
        <f t="shared" si="0"/>
        <v>0</v>
      </c>
      <c r="L46">
        <f t="shared" si="1"/>
        <v>0</v>
      </c>
    </row>
    <row r="47" spans="1:12" x14ac:dyDescent="0.25">
      <c r="A47">
        <v>1716</v>
      </c>
      <c r="B47" t="s">
        <v>21</v>
      </c>
      <c r="C47" t="s">
        <v>116</v>
      </c>
      <c r="D47" t="s">
        <v>12</v>
      </c>
      <c r="H47">
        <v>10682</v>
      </c>
      <c r="I47" t="s">
        <v>101</v>
      </c>
      <c r="J47">
        <f t="shared" si="0"/>
        <v>10682</v>
      </c>
      <c r="L47">
        <f t="shared" si="1"/>
        <v>4.7687499999999998</v>
      </c>
    </row>
    <row r="48" spans="1:12" x14ac:dyDescent="0.25">
      <c r="A48">
        <v>1716</v>
      </c>
      <c r="B48" t="s">
        <v>67</v>
      </c>
      <c r="C48" t="s">
        <v>116</v>
      </c>
      <c r="D48" t="s">
        <v>12</v>
      </c>
      <c r="E48">
        <v>7</v>
      </c>
      <c r="F48">
        <v>6</v>
      </c>
      <c r="G48">
        <v>2</v>
      </c>
      <c r="H48">
        <v>14</v>
      </c>
      <c r="J48">
        <f t="shared" si="0"/>
        <v>16422</v>
      </c>
      <c r="L48">
        <f t="shared" si="1"/>
        <v>7.3312499999999998</v>
      </c>
    </row>
    <row r="49" spans="1:12" x14ac:dyDescent="0.25">
      <c r="A49">
        <v>1716</v>
      </c>
      <c r="B49" t="s">
        <v>29</v>
      </c>
      <c r="C49" t="s">
        <v>116</v>
      </c>
      <c r="D49" t="s">
        <v>12</v>
      </c>
      <c r="H49">
        <v>2790</v>
      </c>
      <c r="I49" t="s">
        <v>100</v>
      </c>
      <c r="J49">
        <f t="shared" si="0"/>
        <v>2790</v>
      </c>
      <c r="L49">
        <f t="shared" si="1"/>
        <v>1.2455357142857142</v>
      </c>
    </row>
    <row r="50" spans="1:12" x14ac:dyDescent="0.25">
      <c r="A50">
        <v>1716</v>
      </c>
      <c r="B50" t="s">
        <v>16</v>
      </c>
      <c r="C50" t="s">
        <v>116</v>
      </c>
      <c r="D50" t="s">
        <v>12</v>
      </c>
      <c r="G50">
        <v>2</v>
      </c>
      <c r="H50">
        <v>10</v>
      </c>
      <c r="J50">
        <f t="shared" si="0"/>
        <v>66</v>
      </c>
      <c r="L50">
        <f t="shared" si="1"/>
        <v>2.9464285714285714E-2</v>
      </c>
    </row>
    <row r="51" spans="1:12" x14ac:dyDescent="0.25">
      <c r="A51">
        <v>1716</v>
      </c>
      <c r="B51" t="s">
        <v>82</v>
      </c>
      <c r="C51" t="s">
        <v>116</v>
      </c>
      <c r="D51" t="s">
        <v>12</v>
      </c>
      <c r="E51">
        <v>49</v>
      </c>
      <c r="F51">
        <v>18</v>
      </c>
      <c r="G51">
        <v>3</v>
      </c>
      <c r="H51">
        <v>15</v>
      </c>
      <c r="J51">
        <f t="shared" si="0"/>
        <v>111875</v>
      </c>
      <c r="L51">
        <f t="shared" si="1"/>
        <v>49.944196428571431</v>
      </c>
    </row>
    <row r="52" spans="1:12" x14ac:dyDescent="0.25">
      <c r="A52">
        <v>1716</v>
      </c>
      <c r="B52" t="s">
        <v>27</v>
      </c>
      <c r="C52" t="s">
        <v>116</v>
      </c>
      <c r="D52" t="s">
        <v>12</v>
      </c>
      <c r="F52">
        <v>385</v>
      </c>
      <c r="G52">
        <v>1</v>
      </c>
      <c r="H52">
        <v>26</v>
      </c>
      <c r="J52">
        <f t="shared" si="0"/>
        <v>43174</v>
      </c>
      <c r="L52">
        <f t="shared" si="1"/>
        <v>19.274107142857144</v>
      </c>
    </row>
    <row r="53" spans="1:12" x14ac:dyDescent="0.25">
      <c r="A53">
        <v>1716</v>
      </c>
      <c r="B53" t="s">
        <v>22</v>
      </c>
      <c r="C53" t="s">
        <v>116</v>
      </c>
      <c r="D53" t="s">
        <v>12</v>
      </c>
      <c r="H53">
        <v>13326</v>
      </c>
      <c r="I53" t="s">
        <v>102</v>
      </c>
      <c r="J53">
        <f t="shared" si="0"/>
        <v>13326</v>
      </c>
      <c r="L53">
        <f t="shared" si="1"/>
        <v>5.9491071428571427</v>
      </c>
    </row>
    <row r="54" spans="1:12" x14ac:dyDescent="0.25">
      <c r="A54">
        <v>1716</v>
      </c>
      <c r="B54" t="s">
        <v>24</v>
      </c>
      <c r="C54" t="s">
        <v>116</v>
      </c>
      <c r="D54" t="s">
        <v>12</v>
      </c>
      <c r="F54">
        <v>61</v>
      </c>
      <c r="G54">
        <v>2</v>
      </c>
      <c r="H54">
        <v>18</v>
      </c>
      <c r="J54">
        <f t="shared" si="0"/>
        <v>6906</v>
      </c>
      <c r="L54">
        <f t="shared" si="1"/>
        <v>3.0830357142857143</v>
      </c>
    </row>
    <row r="55" spans="1:12" x14ac:dyDescent="0.25">
      <c r="A55">
        <v>1716</v>
      </c>
      <c r="B55" t="s">
        <v>36</v>
      </c>
      <c r="C55" t="s">
        <v>116</v>
      </c>
      <c r="D55" t="s">
        <v>12</v>
      </c>
      <c r="H55">
        <v>613</v>
      </c>
      <c r="J55">
        <f t="shared" si="0"/>
        <v>613</v>
      </c>
      <c r="L55">
        <f t="shared" si="1"/>
        <v>0.27366071428571431</v>
      </c>
    </row>
    <row r="56" spans="1:12" x14ac:dyDescent="0.25">
      <c r="A56">
        <v>1716</v>
      </c>
      <c r="B56" t="s">
        <v>20</v>
      </c>
      <c r="C56" t="s">
        <v>116</v>
      </c>
      <c r="D56" t="s">
        <v>12</v>
      </c>
      <c r="H56">
        <v>4190</v>
      </c>
      <c r="J56">
        <f t="shared" si="0"/>
        <v>4190</v>
      </c>
      <c r="L56">
        <f t="shared" si="1"/>
        <v>1.8705357142857142</v>
      </c>
    </row>
    <row r="57" spans="1:12" x14ac:dyDescent="0.25">
      <c r="A57">
        <v>1716</v>
      </c>
      <c r="B57" t="s">
        <v>23</v>
      </c>
      <c r="C57" t="s">
        <v>116</v>
      </c>
      <c r="D57" t="s">
        <v>12</v>
      </c>
      <c r="J57">
        <f t="shared" si="0"/>
        <v>0</v>
      </c>
      <c r="L57">
        <f t="shared" si="1"/>
        <v>0</v>
      </c>
    </row>
    <row r="58" spans="1:12" x14ac:dyDescent="0.25">
      <c r="A58">
        <v>1716</v>
      </c>
      <c r="B58" t="s">
        <v>18</v>
      </c>
      <c r="C58" t="s">
        <v>116</v>
      </c>
      <c r="D58" t="s">
        <v>12</v>
      </c>
      <c r="F58">
        <v>24</v>
      </c>
      <c r="H58">
        <v>14</v>
      </c>
      <c r="J58">
        <f t="shared" si="0"/>
        <v>2702</v>
      </c>
      <c r="L58">
        <f t="shared" si="1"/>
        <v>1.20625</v>
      </c>
    </row>
    <row r="59" spans="1:12" x14ac:dyDescent="0.25">
      <c r="J59">
        <f t="shared" si="0"/>
        <v>0</v>
      </c>
      <c r="L59">
        <f t="shared" ref="L59:L60" si="2">J59/2240</f>
        <v>0</v>
      </c>
    </row>
    <row r="60" spans="1:12" x14ac:dyDescent="0.25">
      <c r="J60">
        <f t="shared" ref="J60" si="3">(E60*2240)+(F60*112)+(G60*28)+H60</f>
        <v>0</v>
      </c>
      <c r="L60">
        <f t="shared" si="2"/>
        <v>0</v>
      </c>
    </row>
  </sheetData>
  <autoFilter ref="B1:L59" xr:uid="{AAD1F908-12B8-4B3A-A65D-184CD229ACD4}">
    <sortState xmlns:xlrd2="http://schemas.microsoft.com/office/spreadsheetml/2017/richdata2" ref="B2:L59">
      <sortCondition ref="D1:D5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dimension ref="A1:L7"/>
  <sheetViews>
    <sheetView workbookViewId="0">
      <selection activeCell="C2" sqref="C2:C7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57</v>
      </c>
      <c r="F1" s="1" t="s">
        <v>58</v>
      </c>
      <c r="G1" s="1" t="s">
        <v>59</v>
      </c>
      <c r="H1" s="1" t="s">
        <v>60</v>
      </c>
      <c r="I1" s="1"/>
      <c r="J1" s="1" t="s">
        <v>6</v>
      </c>
      <c r="K1" s="1"/>
      <c r="L1" s="1" t="s">
        <v>114</v>
      </c>
    </row>
    <row r="2" spans="1:12" x14ac:dyDescent="0.25">
      <c r="A2">
        <v>1716</v>
      </c>
      <c r="B2" t="s">
        <v>9</v>
      </c>
      <c r="C2" t="s">
        <v>117</v>
      </c>
      <c r="D2" t="s">
        <v>12</v>
      </c>
      <c r="J2">
        <f t="shared" ref="J2:J3" si="0">(E2*2240)+(F2*112)+(G2*28)+H2</f>
        <v>0</v>
      </c>
      <c r="K2" s="1"/>
      <c r="L2">
        <f t="shared" ref="L2:L3" si="1">J2/2240</f>
        <v>0</v>
      </c>
    </row>
    <row r="3" spans="1:12" x14ac:dyDescent="0.25">
      <c r="A3">
        <v>1716</v>
      </c>
      <c r="B3" t="s">
        <v>67</v>
      </c>
      <c r="C3" t="s">
        <v>117</v>
      </c>
      <c r="D3" t="s">
        <v>12</v>
      </c>
      <c r="J3">
        <f t="shared" si="0"/>
        <v>0</v>
      </c>
      <c r="K3" s="1"/>
      <c r="L3">
        <f t="shared" si="1"/>
        <v>0</v>
      </c>
    </row>
    <row r="4" spans="1:12" x14ac:dyDescent="0.25">
      <c r="A4">
        <v>1716</v>
      </c>
      <c r="B4" t="s">
        <v>24</v>
      </c>
      <c r="C4" t="s">
        <v>117</v>
      </c>
      <c r="D4" t="s">
        <v>12</v>
      </c>
      <c r="J4">
        <f>(E4*2240)+(F4*112)+(G4*28)+H4</f>
        <v>0</v>
      </c>
      <c r="L4">
        <f>J4/2240</f>
        <v>0</v>
      </c>
    </row>
    <row r="5" spans="1:12" x14ac:dyDescent="0.25">
      <c r="A5">
        <v>1716</v>
      </c>
      <c r="B5" t="s">
        <v>36</v>
      </c>
      <c r="C5" t="s">
        <v>117</v>
      </c>
      <c r="D5" t="s">
        <v>12</v>
      </c>
      <c r="J5">
        <f t="shared" ref="J5:J7" si="2">(E5*2240)+(F5*112)+(G5*28)+H5</f>
        <v>0</v>
      </c>
      <c r="L5">
        <f t="shared" ref="L5:L7" si="3">J5/2240</f>
        <v>0</v>
      </c>
    </row>
    <row r="6" spans="1:12" x14ac:dyDescent="0.25">
      <c r="A6">
        <v>1716</v>
      </c>
      <c r="B6" t="s">
        <v>10</v>
      </c>
      <c r="C6" t="s">
        <v>117</v>
      </c>
      <c r="D6" t="s">
        <v>12</v>
      </c>
      <c r="J6">
        <f t="shared" si="2"/>
        <v>0</v>
      </c>
      <c r="L6">
        <f t="shared" si="3"/>
        <v>0</v>
      </c>
    </row>
    <row r="7" spans="1:12" x14ac:dyDescent="0.25">
      <c r="A7">
        <v>1716</v>
      </c>
      <c r="B7" t="s">
        <v>40</v>
      </c>
      <c r="C7" t="s">
        <v>117</v>
      </c>
      <c r="D7" t="s">
        <v>12</v>
      </c>
      <c r="J7">
        <f t="shared" si="2"/>
        <v>0</v>
      </c>
      <c r="L7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dimension ref="A1:L23"/>
  <sheetViews>
    <sheetView workbookViewId="0">
      <selection activeCell="C2" sqref="C2:C23"/>
    </sheetView>
  </sheetViews>
  <sheetFormatPr defaultRowHeight="15" x14ac:dyDescent="0.25"/>
  <cols>
    <col min="2" max="2" width="17" customWidth="1"/>
    <col min="3" max="3" width="13.85546875" customWidth="1"/>
  </cols>
  <sheetData>
    <row r="1" spans="1:12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57</v>
      </c>
      <c r="F1" s="1" t="s">
        <v>58</v>
      </c>
      <c r="G1" s="1" t="s">
        <v>59</v>
      </c>
      <c r="H1" s="1" t="s">
        <v>60</v>
      </c>
      <c r="I1" s="1"/>
      <c r="J1" s="1" t="s">
        <v>6</v>
      </c>
      <c r="K1" s="1"/>
      <c r="L1" s="1" t="s">
        <v>114</v>
      </c>
    </row>
    <row r="2" spans="1:12" x14ac:dyDescent="0.25">
      <c r="A2">
        <v>1716</v>
      </c>
      <c r="B2" t="s">
        <v>25</v>
      </c>
      <c r="C2" t="s">
        <v>118</v>
      </c>
      <c r="D2" t="s">
        <v>8</v>
      </c>
      <c r="J2">
        <f>(E2*2240)+(F2*112)+(G2*28)+H2</f>
        <v>0</v>
      </c>
      <c r="L2">
        <f>J2/2240</f>
        <v>0</v>
      </c>
    </row>
    <row r="3" spans="1:12" x14ac:dyDescent="0.25">
      <c r="A3">
        <v>1716</v>
      </c>
      <c r="B3" t="s">
        <v>15</v>
      </c>
      <c r="C3" t="s">
        <v>118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1716</v>
      </c>
      <c r="B4" t="s">
        <v>27</v>
      </c>
      <c r="C4" t="s">
        <v>118</v>
      </c>
      <c r="D4" t="s">
        <v>8</v>
      </c>
      <c r="F4">
        <v>19907</v>
      </c>
      <c r="G4">
        <v>1</v>
      </c>
      <c r="H4">
        <v>16</v>
      </c>
      <c r="J4">
        <f>(E4*2240)+(F4*112)+(G4*28)+H4</f>
        <v>2229628</v>
      </c>
      <c r="L4">
        <f t="shared" ref="L4:L23" si="0">J4/2240</f>
        <v>995.36964285714282</v>
      </c>
    </row>
    <row r="5" spans="1:12" x14ac:dyDescent="0.25">
      <c r="A5">
        <v>1716</v>
      </c>
      <c r="B5" t="s">
        <v>20</v>
      </c>
      <c r="C5" t="s">
        <v>118</v>
      </c>
      <c r="D5" t="s">
        <v>8</v>
      </c>
      <c r="H5">
        <v>146</v>
      </c>
      <c r="J5">
        <f t="shared" ref="J5:J23" si="1">(E5*2240)+(F5*112)+(G5*28)+H5</f>
        <v>146</v>
      </c>
      <c r="L5">
        <f t="shared" si="0"/>
        <v>6.5178571428571433E-2</v>
      </c>
    </row>
    <row r="6" spans="1:12" x14ac:dyDescent="0.25">
      <c r="A6">
        <v>1716</v>
      </c>
      <c r="B6" t="s">
        <v>13</v>
      </c>
      <c r="C6" t="s">
        <v>118</v>
      </c>
      <c r="D6" t="s">
        <v>8</v>
      </c>
      <c r="J6">
        <f t="shared" si="1"/>
        <v>0</v>
      </c>
      <c r="L6">
        <f t="shared" si="0"/>
        <v>0</v>
      </c>
    </row>
    <row r="7" spans="1:12" x14ac:dyDescent="0.25">
      <c r="A7">
        <v>1716</v>
      </c>
      <c r="B7" t="s">
        <v>17</v>
      </c>
      <c r="C7" t="s">
        <v>118</v>
      </c>
      <c r="D7" t="s">
        <v>8</v>
      </c>
      <c r="F7">
        <v>24</v>
      </c>
      <c r="J7">
        <f t="shared" si="1"/>
        <v>2688</v>
      </c>
      <c r="L7">
        <f t="shared" si="0"/>
        <v>1.2</v>
      </c>
    </row>
    <row r="8" spans="1:12" x14ac:dyDescent="0.25">
      <c r="A8">
        <v>1716</v>
      </c>
      <c r="B8" t="s">
        <v>40</v>
      </c>
      <c r="C8" t="s">
        <v>118</v>
      </c>
      <c r="D8" t="s">
        <v>8</v>
      </c>
      <c r="J8">
        <f t="shared" si="1"/>
        <v>0</v>
      </c>
      <c r="L8">
        <f t="shared" si="0"/>
        <v>0</v>
      </c>
    </row>
    <row r="9" spans="1:12" x14ac:dyDescent="0.25">
      <c r="A9">
        <v>1716</v>
      </c>
      <c r="B9" t="s">
        <v>23</v>
      </c>
      <c r="C9" t="s">
        <v>118</v>
      </c>
      <c r="D9" t="s">
        <v>8</v>
      </c>
      <c r="J9">
        <f t="shared" si="1"/>
        <v>0</v>
      </c>
      <c r="L9">
        <f t="shared" si="0"/>
        <v>0</v>
      </c>
    </row>
    <row r="10" spans="1:12" x14ac:dyDescent="0.25">
      <c r="A10">
        <v>1716</v>
      </c>
      <c r="B10" t="s">
        <v>73</v>
      </c>
      <c r="C10" t="s">
        <v>118</v>
      </c>
      <c r="D10" t="s">
        <v>12</v>
      </c>
      <c r="J10">
        <f t="shared" si="1"/>
        <v>0</v>
      </c>
      <c r="L10">
        <f t="shared" si="0"/>
        <v>0</v>
      </c>
    </row>
    <row r="11" spans="1:12" x14ac:dyDescent="0.25">
      <c r="A11">
        <v>1716</v>
      </c>
      <c r="B11" t="s">
        <v>25</v>
      </c>
      <c r="C11" t="s">
        <v>118</v>
      </c>
      <c r="D11" t="s">
        <v>12</v>
      </c>
      <c r="J11">
        <f t="shared" si="1"/>
        <v>0</v>
      </c>
      <c r="L11">
        <f t="shared" si="0"/>
        <v>0</v>
      </c>
    </row>
    <row r="12" spans="1:12" x14ac:dyDescent="0.25">
      <c r="A12">
        <v>1716</v>
      </c>
      <c r="B12" t="s">
        <v>9</v>
      </c>
      <c r="C12" t="s">
        <v>118</v>
      </c>
      <c r="D12" t="s">
        <v>12</v>
      </c>
      <c r="J12">
        <f t="shared" si="1"/>
        <v>0</v>
      </c>
      <c r="L12">
        <f t="shared" si="0"/>
        <v>0</v>
      </c>
    </row>
    <row r="13" spans="1:12" x14ac:dyDescent="0.25">
      <c r="A13">
        <v>1716</v>
      </c>
      <c r="B13" t="s">
        <v>27</v>
      </c>
      <c r="C13" t="s">
        <v>118</v>
      </c>
      <c r="D13" t="s">
        <v>12</v>
      </c>
      <c r="J13">
        <f>(E13*2240)+(F13*112)+(G13*28)+H13</f>
        <v>0</v>
      </c>
      <c r="L13">
        <f t="shared" si="0"/>
        <v>0</v>
      </c>
    </row>
    <row r="14" spans="1:12" x14ac:dyDescent="0.25">
      <c r="A14">
        <v>1716</v>
      </c>
      <c r="B14" t="s">
        <v>17</v>
      </c>
      <c r="C14" t="s">
        <v>118</v>
      </c>
      <c r="D14" t="s">
        <v>12</v>
      </c>
      <c r="J14">
        <f t="shared" si="1"/>
        <v>0</v>
      </c>
      <c r="L14">
        <f t="shared" si="0"/>
        <v>0</v>
      </c>
    </row>
    <row r="15" spans="1:12" x14ac:dyDescent="0.25">
      <c r="A15">
        <v>1716</v>
      </c>
      <c r="B15" t="s">
        <v>10</v>
      </c>
      <c r="C15" t="s">
        <v>118</v>
      </c>
      <c r="D15" t="s">
        <v>12</v>
      </c>
      <c r="J15">
        <f t="shared" si="1"/>
        <v>0</v>
      </c>
      <c r="L15">
        <f t="shared" si="0"/>
        <v>0</v>
      </c>
    </row>
    <row r="16" spans="1:12" x14ac:dyDescent="0.25">
      <c r="A16">
        <v>1716</v>
      </c>
      <c r="B16" t="s">
        <v>75</v>
      </c>
      <c r="C16" t="s">
        <v>118</v>
      </c>
      <c r="D16" t="s">
        <v>12</v>
      </c>
      <c r="J16">
        <f t="shared" si="1"/>
        <v>0</v>
      </c>
      <c r="L16">
        <f t="shared" si="0"/>
        <v>0</v>
      </c>
    </row>
    <row r="17" spans="1:12" x14ac:dyDescent="0.25">
      <c r="A17">
        <v>1716</v>
      </c>
      <c r="B17" t="s">
        <v>40</v>
      </c>
      <c r="C17" t="s">
        <v>118</v>
      </c>
      <c r="D17" t="s">
        <v>12</v>
      </c>
      <c r="J17">
        <f t="shared" si="1"/>
        <v>0</v>
      </c>
      <c r="L17">
        <f t="shared" si="0"/>
        <v>0</v>
      </c>
    </row>
    <row r="18" spans="1:12" x14ac:dyDescent="0.25">
      <c r="A18">
        <v>1716</v>
      </c>
      <c r="B18" t="s">
        <v>21</v>
      </c>
      <c r="C18" t="s">
        <v>118</v>
      </c>
      <c r="D18" t="s">
        <v>12</v>
      </c>
      <c r="J18">
        <f t="shared" si="1"/>
        <v>0</v>
      </c>
      <c r="L18">
        <f t="shared" si="0"/>
        <v>0</v>
      </c>
    </row>
    <row r="19" spans="1:12" x14ac:dyDescent="0.25">
      <c r="A19">
        <v>1716</v>
      </c>
      <c r="B19" t="s">
        <v>49</v>
      </c>
      <c r="C19" t="s">
        <v>118</v>
      </c>
      <c r="D19" t="s">
        <v>8</v>
      </c>
      <c r="J19">
        <f t="shared" si="1"/>
        <v>0</v>
      </c>
      <c r="L19">
        <f t="shared" si="0"/>
        <v>0</v>
      </c>
    </row>
    <row r="20" spans="1:12" x14ac:dyDescent="0.25">
      <c r="A20">
        <v>1716</v>
      </c>
      <c r="B20" t="s">
        <v>66</v>
      </c>
      <c r="C20" t="s">
        <v>118</v>
      </c>
      <c r="D20" t="s">
        <v>8</v>
      </c>
      <c r="E20">
        <v>11</v>
      </c>
      <c r="F20">
        <v>19</v>
      </c>
      <c r="G20">
        <v>3</v>
      </c>
      <c r="J20">
        <f t="shared" si="1"/>
        <v>26852</v>
      </c>
      <c r="L20">
        <f t="shared" si="0"/>
        <v>11.987500000000001</v>
      </c>
    </row>
    <row r="21" spans="1:12" x14ac:dyDescent="0.25">
      <c r="A21">
        <v>1716</v>
      </c>
      <c r="B21" t="s">
        <v>67</v>
      </c>
      <c r="C21" t="s">
        <v>118</v>
      </c>
      <c r="D21" t="s">
        <v>8</v>
      </c>
      <c r="E21">
        <v>336</v>
      </c>
      <c r="F21">
        <v>2</v>
      </c>
      <c r="G21">
        <v>1</v>
      </c>
      <c r="H21">
        <v>10</v>
      </c>
      <c r="J21">
        <f t="shared" si="1"/>
        <v>752902</v>
      </c>
      <c r="L21">
        <f t="shared" si="0"/>
        <v>336.11696428571429</v>
      </c>
    </row>
    <row r="22" spans="1:12" x14ac:dyDescent="0.25">
      <c r="A22">
        <v>1716</v>
      </c>
      <c r="B22" t="s">
        <v>35</v>
      </c>
      <c r="C22" t="s">
        <v>118</v>
      </c>
      <c r="D22" t="s">
        <v>8</v>
      </c>
      <c r="F22">
        <v>84</v>
      </c>
      <c r="G22">
        <v>3</v>
      </c>
      <c r="H22">
        <v>7</v>
      </c>
      <c r="J22">
        <f t="shared" si="1"/>
        <v>9499</v>
      </c>
      <c r="L22">
        <f t="shared" si="0"/>
        <v>4.2406249999999996</v>
      </c>
    </row>
    <row r="23" spans="1:12" x14ac:dyDescent="0.25">
      <c r="A23">
        <v>1716</v>
      </c>
      <c r="B23" t="s">
        <v>22</v>
      </c>
      <c r="C23" t="s">
        <v>118</v>
      </c>
      <c r="D23" t="s">
        <v>8</v>
      </c>
      <c r="H23">
        <v>2860</v>
      </c>
      <c r="I23" t="s">
        <v>85</v>
      </c>
      <c r="J23">
        <f t="shared" si="1"/>
        <v>2860</v>
      </c>
      <c r="L23">
        <f t="shared" si="0"/>
        <v>1.2767857142857142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dimension ref="A1:Q64"/>
  <sheetViews>
    <sheetView topLeftCell="A52" zoomScaleNormal="100" workbookViewId="0">
      <selection activeCell="L2" sqref="L2:L64"/>
    </sheetView>
  </sheetViews>
  <sheetFormatPr defaultRowHeight="15" x14ac:dyDescent="0.25"/>
  <cols>
    <col min="2" max="2" width="19.140625" customWidth="1"/>
    <col min="3" max="3" width="14.140625" customWidth="1"/>
  </cols>
  <sheetData>
    <row r="1" spans="1:17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57</v>
      </c>
      <c r="F1" s="1" t="s">
        <v>58</v>
      </c>
      <c r="G1" s="1" t="s">
        <v>59</v>
      </c>
      <c r="H1" s="1" t="s">
        <v>60</v>
      </c>
      <c r="I1" s="1"/>
      <c r="J1" s="1" t="s">
        <v>6</v>
      </c>
      <c r="K1" s="1"/>
      <c r="L1" s="1" t="s">
        <v>114</v>
      </c>
      <c r="O1" t="s">
        <v>33</v>
      </c>
      <c r="Q1" t="s">
        <v>34</v>
      </c>
    </row>
    <row r="2" spans="1:17" x14ac:dyDescent="0.25">
      <c r="A2">
        <v>1716</v>
      </c>
      <c r="B2" t="s">
        <v>26</v>
      </c>
      <c r="C2" t="s">
        <v>119</v>
      </c>
      <c r="D2" t="s">
        <v>8</v>
      </c>
      <c r="J2">
        <f>(E2*2240)+(F2*112)+(G2*28)+H2</f>
        <v>0</v>
      </c>
      <c r="L2">
        <f>J2/2240</f>
        <v>0</v>
      </c>
    </row>
    <row r="3" spans="1:17" x14ac:dyDescent="0.25">
      <c r="A3">
        <v>1716</v>
      </c>
      <c r="B3" t="s">
        <v>49</v>
      </c>
      <c r="C3" t="s">
        <v>119</v>
      </c>
      <c r="D3" t="s">
        <v>8</v>
      </c>
      <c r="J3">
        <f t="shared" ref="J3:J64" si="0">(E3*2240)+(F3*112)+(G3*28)+H3</f>
        <v>0</v>
      </c>
      <c r="L3">
        <f t="shared" ref="L3:L64" si="1">J3/2240</f>
        <v>0</v>
      </c>
    </row>
    <row r="4" spans="1:17" x14ac:dyDescent="0.25">
      <c r="A4">
        <v>1716</v>
      </c>
      <c r="B4" t="s">
        <v>66</v>
      </c>
      <c r="C4" t="s">
        <v>119</v>
      </c>
      <c r="D4" t="s">
        <v>8</v>
      </c>
      <c r="E4">
        <v>18</v>
      </c>
      <c r="F4">
        <v>16</v>
      </c>
      <c r="G4">
        <v>2</v>
      </c>
      <c r="H4">
        <v>21</v>
      </c>
      <c r="J4">
        <f t="shared" si="0"/>
        <v>42189</v>
      </c>
      <c r="L4">
        <f t="shared" si="1"/>
        <v>18.834375000000001</v>
      </c>
    </row>
    <row r="5" spans="1:17" x14ac:dyDescent="0.25">
      <c r="A5">
        <v>1716</v>
      </c>
      <c r="B5" t="s">
        <v>17</v>
      </c>
      <c r="C5" t="s">
        <v>119</v>
      </c>
      <c r="D5" t="s">
        <v>8</v>
      </c>
      <c r="F5">
        <v>123217</v>
      </c>
      <c r="G5">
        <v>1</v>
      </c>
      <c r="H5">
        <v>4</v>
      </c>
      <c r="J5">
        <f t="shared" si="0"/>
        <v>13800336</v>
      </c>
      <c r="L5">
        <f t="shared" si="1"/>
        <v>6160.8642857142859</v>
      </c>
    </row>
    <row r="6" spans="1:17" x14ac:dyDescent="0.25">
      <c r="A6">
        <v>1716</v>
      </c>
      <c r="B6" t="s">
        <v>51</v>
      </c>
      <c r="C6" t="s">
        <v>119</v>
      </c>
      <c r="D6" t="s">
        <v>8</v>
      </c>
      <c r="H6">
        <v>2333</v>
      </c>
      <c r="J6">
        <f t="shared" si="0"/>
        <v>2333</v>
      </c>
      <c r="L6">
        <f t="shared" si="1"/>
        <v>1.0415178571428572</v>
      </c>
    </row>
    <row r="7" spans="1:17" x14ac:dyDescent="0.25">
      <c r="A7">
        <v>1716</v>
      </c>
      <c r="B7" t="s">
        <v>13</v>
      </c>
      <c r="C7" t="s">
        <v>119</v>
      </c>
      <c r="D7" t="s">
        <v>8</v>
      </c>
      <c r="H7">
        <v>177</v>
      </c>
      <c r="J7">
        <f t="shared" si="0"/>
        <v>177</v>
      </c>
      <c r="L7">
        <f t="shared" si="1"/>
        <v>7.901785714285714E-2</v>
      </c>
    </row>
    <row r="8" spans="1:17" x14ac:dyDescent="0.25">
      <c r="A8">
        <v>1716</v>
      </c>
      <c r="B8" t="s">
        <v>80</v>
      </c>
      <c r="C8" t="s">
        <v>119</v>
      </c>
      <c r="D8" t="s">
        <v>8</v>
      </c>
      <c r="H8">
        <v>3728</v>
      </c>
      <c r="J8">
        <f t="shared" si="0"/>
        <v>3728</v>
      </c>
      <c r="L8">
        <f t="shared" si="1"/>
        <v>1.6642857142857144</v>
      </c>
    </row>
    <row r="9" spans="1:17" x14ac:dyDescent="0.25">
      <c r="A9">
        <v>1716</v>
      </c>
      <c r="B9" t="s">
        <v>40</v>
      </c>
      <c r="C9" t="s">
        <v>119</v>
      </c>
      <c r="D9" t="s">
        <v>8</v>
      </c>
      <c r="F9">
        <v>146</v>
      </c>
      <c r="G9">
        <v>3</v>
      </c>
      <c r="H9">
        <v>21</v>
      </c>
      <c r="J9">
        <f t="shared" si="0"/>
        <v>16457</v>
      </c>
      <c r="L9">
        <f t="shared" si="1"/>
        <v>7.3468749999999998</v>
      </c>
    </row>
    <row r="10" spans="1:17" x14ac:dyDescent="0.25">
      <c r="A10">
        <v>1716</v>
      </c>
      <c r="B10" t="s">
        <v>65</v>
      </c>
      <c r="C10" t="s">
        <v>119</v>
      </c>
      <c r="D10" t="s">
        <v>8</v>
      </c>
      <c r="J10">
        <f t="shared" si="0"/>
        <v>0</v>
      </c>
      <c r="L10">
        <f t="shared" si="1"/>
        <v>0</v>
      </c>
    </row>
    <row r="11" spans="1:17" x14ac:dyDescent="0.25">
      <c r="A11">
        <v>1716</v>
      </c>
      <c r="B11" t="s">
        <v>71</v>
      </c>
      <c r="C11" t="s">
        <v>119</v>
      </c>
      <c r="D11" t="s">
        <v>8</v>
      </c>
      <c r="J11">
        <f t="shared" si="0"/>
        <v>0</v>
      </c>
      <c r="L11">
        <f t="shared" si="1"/>
        <v>0</v>
      </c>
    </row>
    <row r="12" spans="1:17" x14ac:dyDescent="0.25">
      <c r="A12">
        <v>1716</v>
      </c>
      <c r="B12" t="s">
        <v>10</v>
      </c>
      <c r="C12" t="s">
        <v>119</v>
      </c>
      <c r="D12" t="s">
        <v>8</v>
      </c>
      <c r="H12">
        <v>980880</v>
      </c>
      <c r="J12">
        <f t="shared" si="0"/>
        <v>980880</v>
      </c>
      <c r="L12">
        <f t="shared" si="1"/>
        <v>437.89285714285717</v>
      </c>
    </row>
    <row r="13" spans="1:17" x14ac:dyDescent="0.25">
      <c r="A13">
        <v>1716</v>
      </c>
      <c r="B13" t="s">
        <v>69</v>
      </c>
      <c r="C13" t="s">
        <v>119</v>
      </c>
      <c r="D13" t="s">
        <v>8</v>
      </c>
      <c r="J13">
        <f t="shared" si="0"/>
        <v>0</v>
      </c>
      <c r="L13">
        <f t="shared" si="1"/>
        <v>0</v>
      </c>
    </row>
    <row r="14" spans="1:17" x14ac:dyDescent="0.25">
      <c r="A14">
        <v>1716</v>
      </c>
      <c r="B14" t="s">
        <v>15</v>
      </c>
      <c r="C14" t="s">
        <v>119</v>
      </c>
      <c r="D14" t="s">
        <v>8</v>
      </c>
      <c r="F14">
        <v>6207</v>
      </c>
      <c r="J14">
        <f t="shared" si="0"/>
        <v>695184</v>
      </c>
      <c r="L14">
        <f t="shared" si="1"/>
        <v>310.35000000000002</v>
      </c>
    </row>
    <row r="15" spans="1:17" x14ac:dyDescent="0.25">
      <c r="A15">
        <v>1716</v>
      </c>
      <c r="B15" t="s">
        <v>25</v>
      </c>
      <c r="C15" t="s">
        <v>119</v>
      </c>
      <c r="D15" t="s">
        <v>8</v>
      </c>
      <c r="F15">
        <v>161</v>
      </c>
      <c r="G15">
        <v>2</v>
      </c>
      <c r="H15">
        <v>16</v>
      </c>
      <c r="J15">
        <f t="shared" si="0"/>
        <v>18104</v>
      </c>
      <c r="L15">
        <f t="shared" si="1"/>
        <v>8.0821428571428573</v>
      </c>
    </row>
    <row r="16" spans="1:17" x14ac:dyDescent="0.25">
      <c r="A16">
        <v>1716</v>
      </c>
      <c r="B16" t="s">
        <v>68</v>
      </c>
      <c r="C16" t="s">
        <v>119</v>
      </c>
      <c r="D16" t="s">
        <v>8</v>
      </c>
      <c r="E16">
        <v>892</v>
      </c>
      <c r="F16">
        <v>7</v>
      </c>
      <c r="G16">
        <v>1</v>
      </c>
      <c r="H16">
        <v>26</v>
      </c>
      <c r="J16">
        <f t="shared" si="0"/>
        <v>1998918</v>
      </c>
      <c r="L16">
        <f t="shared" si="1"/>
        <v>892.37410714285716</v>
      </c>
    </row>
    <row r="17" spans="1:12" x14ac:dyDescent="0.25">
      <c r="A17">
        <v>1716</v>
      </c>
      <c r="B17" t="s">
        <v>9</v>
      </c>
      <c r="C17" t="s">
        <v>119</v>
      </c>
      <c r="D17" t="s">
        <v>8</v>
      </c>
      <c r="H17">
        <v>146728</v>
      </c>
      <c r="J17">
        <f t="shared" si="0"/>
        <v>146728</v>
      </c>
      <c r="L17">
        <f t="shared" si="1"/>
        <v>65.503571428571433</v>
      </c>
    </row>
    <row r="18" spans="1:12" x14ac:dyDescent="0.25">
      <c r="A18">
        <v>1716</v>
      </c>
      <c r="B18" t="s">
        <v>70</v>
      </c>
      <c r="C18" t="s">
        <v>119</v>
      </c>
      <c r="D18" t="s">
        <v>8</v>
      </c>
      <c r="J18">
        <f t="shared" si="0"/>
        <v>0</v>
      </c>
      <c r="L18">
        <f t="shared" si="1"/>
        <v>0</v>
      </c>
    </row>
    <row r="19" spans="1:12" x14ac:dyDescent="0.25">
      <c r="A19">
        <v>1716</v>
      </c>
      <c r="B19" t="s">
        <v>35</v>
      </c>
      <c r="C19" t="s">
        <v>119</v>
      </c>
      <c r="D19" t="s">
        <v>8</v>
      </c>
      <c r="E19">
        <v>11</v>
      </c>
      <c r="F19">
        <v>17</v>
      </c>
      <c r="G19">
        <v>1</v>
      </c>
      <c r="H19">
        <v>14</v>
      </c>
      <c r="J19">
        <f t="shared" si="0"/>
        <v>26586</v>
      </c>
      <c r="L19">
        <f t="shared" si="1"/>
        <v>11.86875</v>
      </c>
    </row>
    <row r="20" spans="1:12" x14ac:dyDescent="0.25">
      <c r="A20">
        <v>1716</v>
      </c>
      <c r="B20" t="s">
        <v>21</v>
      </c>
      <c r="C20" t="s">
        <v>119</v>
      </c>
      <c r="D20" t="s">
        <v>8</v>
      </c>
      <c r="H20">
        <v>20815</v>
      </c>
      <c r="I20" t="s">
        <v>86</v>
      </c>
      <c r="J20">
        <f t="shared" si="0"/>
        <v>20815</v>
      </c>
      <c r="L20">
        <f t="shared" si="1"/>
        <v>9.2924107142857135</v>
      </c>
    </row>
    <row r="21" spans="1:12" x14ac:dyDescent="0.25">
      <c r="A21">
        <v>1716</v>
      </c>
      <c r="B21" t="s">
        <v>67</v>
      </c>
      <c r="C21" t="s">
        <v>119</v>
      </c>
      <c r="D21" t="s">
        <v>8</v>
      </c>
      <c r="E21">
        <v>323</v>
      </c>
      <c r="F21">
        <v>17</v>
      </c>
      <c r="G21">
        <v>2</v>
      </c>
      <c r="H21">
        <v>9</v>
      </c>
      <c r="J21">
        <f t="shared" si="0"/>
        <v>725489</v>
      </c>
      <c r="L21">
        <f t="shared" si="1"/>
        <v>323.87901785714286</v>
      </c>
    </row>
    <row r="22" spans="1:12" x14ac:dyDescent="0.25">
      <c r="A22">
        <v>1716</v>
      </c>
      <c r="B22" t="s">
        <v>29</v>
      </c>
      <c r="C22" t="s">
        <v>119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1716</v>
      </c>
      <c r="B23" t="s">
        <v>16</v>
      </c>
      <c r="C23" t="s">
        <v>119</v>
      </c>
      <c r="D23" t="s">
        <v>8</v>
      </c>
      <c r="J23">
        <f t="shared" si="0"/>
        <v>0</v>
      </c>
      <c r="L23">
        <f t="shared" si="1"/>
        <v>0</v>
      </c>
    </row>
    <row r="24" spans="1:12" x14ac:dyDescent="0.25">
      <c r="A24">
        <v>1716</v>
      </c>
      <c r="B24" t="s">
        <v>72</v>
      </c>
      <c r="C24" t="s">
        <v>119</v>
      </c>
      <c r="D24" t="s">
        <v>8</v>
      </c>
      <c r="J24">
        <f t="shared" si="0"/>
        <v>0</v>
      </c>
      <c r="L24">
        <f t="shared" si="1"/>
        <v>0</v>
      </c>
    </row>
    <row r="25" spans="1:12" x14ac:dyDescent="0.25">
      <c r="A25">
        <v>1716</v>
      </c>
      <c r="B25" t="s">
        <v>32</v>
      </c>
      <c r="C25" t="s">
        <v>119</v>
      </c>
      <c r="D25" t="s">
        <v>8</v>
      </c>
      <c r="H25">
        <v>166442</v>
      </c>
      <c r="J25">
        <f t="shared" si="0"/>
        <v>166442</v>
      </c>
      <c r="L25">
        <f t="shared" si="1"/>
        <v>74.304464285714289</v>
      </c>
    </row>
    <row r="26" spans="1:12" x14ac:dyDescent="0.25">
      <c r="A26">
        <v>1716</v>
      </c>
      <c r="B26" t="s">
        <v>27</v>
      </c>
      <c r="C26" t="s">
        <v>119</v>
      </c>
      <c r="D26" t="s">
        <v>8</v>
      </c>
      <c r="F26">
        <v>837</v>
      </c>
      <c r="G26">
        <v>3</v>
      </c>
      <c r="H26">
        <v>20</v>
      </c>
      <c r="J26">
        <f t="shared" si="0"/>
        <v>93848</v>
      </c>
      <c r="L26">
        <f t="shared" si="1"/>
        <v>41.896428571428572</v>
      </c>
    </row>
    <row r="27" spans="1:12" x14ac:dyDescent="0.25">
      <c r="A27">
        <v>1716</v>
      </c>
      <c r="B27" t="s">
        <v>22</v>
      </c>
      <c r="C27" t="s">
        <v>119</v>
      </c>
      <c r="D27" t="s">
        <v>8</v>
      </c>
      <c r="H27">
        <v>171194</v>
      </c>
      <c r="I27" t="s">
        <v>87</v>
      </c>
      <c r="J27">
        <f t="shared" si="0"/>
        <v>171194</v>
      </c>
      <c r="L27">
        <f t="shared" si="1"/>
        <v>76.425892857142856</v>
      </c>
    </row>
    <row r="28" spans="1:12" x14ac:dyDescent="0.25">
      <c r="A28">
        <v>1716</v>
      </c>
      <c r="B28" t="s">
        <v>54</v>
      </c>
      <c r="C28" t="s">
        <v>119</v>
      </c>
      <c r="D28" t="s">
        <v>8</v>
      </c>
      <c r="H28">
        <v>28737</v>
      </c>
      <c r="J28">
        <f t="shared" si="0"/>
        <v>28737</v>
      </c>
      <c r="L28">
        <f t="shared" si="1"/>
        <v>12.829017857142857</v>
      </c>
    </row>
    <row r="29" spans="1:12" x14ac:dyDescent="0.25">
      <c r="A29">
        <v>1716</v>
      </c>
      <c r="B29" t="s">
        <v>24</v>
      </c>
      <c r="C29" t="s">
        <v>119</v>
      </c>
      <c r="D29" t="s">
        <v>8</v>
      </c>
      <c r="F29">
        <v>46</v>
      </c>
      <c r="G29">
        <v>3</v>
      </c>
      <c r="H29">
        <v>21</v>
      </c>
      <c r="J29">
        <f t="shared" si="0"/>
        <v>5257</v>
      </c>
      <c r="L29">
        <f t="shared" si="1"/>
        <v>2.3468749999999998</v>
      </c>
    </row>
    <row r="30" spans="1:12" x14ac:dyDescent="0.25">
      <c r="A30">
        <v>1716</v>
      </c>
      <c r="B30" t="s">
        <v>38</v>
      </c>
      <c r="C30" t="s">
        <v>119</v>
      </c>
      <c r="D30" t="s">
        <v>8</v>
      </c>
      <c r="J30">
        <f t="shared" si="0"/>
        <v>0</v>
      </c>
      <c r="L30">
        <f t="shared" si="1"/>
        <v>0</v>
      </c>
    </row>
    <row r="31" spans="1:12" x14ac:dyDescent="0.25">
      <c r="A31">
        <v>1716</v>
      </c>
      <c r="B31" t="s">
        <v>36</v>
      </c>
      <c r="C31" t="s">
        <v>119</v>
      </c>
      <c r="D31" t="s">
        <v>8</v>
      </c>
      <c r="H31">
        <v>1267</v>
      </c>
      <c r="J31">
        <f t="shared" si="0"/>
        <v>1267</v>
      </c>
      <c r="L31">
        <f t="shared" si="1"/>
        <v>0.56562500000000004</v>
      </c>
    </row>
    <row r="32" spans="1:12" x14ac:dyDescent="0.25">
      <c r="A32">
        <v>1716</v>
      </c>
      <c r="B32" t="s">
        <v>28</v>
      </c>
      <c r="C32" t="s">
        <v>119</v>
      </c>
      <c r="D32" t="s">
        <v>8</v>
      </c>
      <c r="J32">
        <f t="shared" si="0"/>
        <v>0</v>
      </c>
      <c r="L32">
        <f t="shared" si="1"/>
        <v>0</v>
      </c>
    </row>
    <row r="33" spans="1:12" x14ac:dyDescent="0.25">
      <c r="A33">
        <v>1716</v>
      </c>
      <c r="B33" t="s">
        <v>20</v>
      </c>
      <c r="C33" t="s">
        <v>119</v>
      </c>
      <c r="D33" t="s">
        <v>8</v>
      </c>
      <c r="J33">
        <f t="shared" si="0"/>
        <v>0</v>
      </c>
      <c r="L33">
        <f t="shared" si="1"/>
        <v>0</v>
      </c>
    </row>
    <row r="34" spans="1:12" x14ac:dyDescent="0.25">
      <c r="A34">
        <v>1716</v>
      </c>
      <c r="B34" t="s">
        <v>23</v>
      </c>
      <c r="C34" t="s">
        <v>119</v>
      </c>
      <c r="D34" t="s">
        <v>8</v>
      </c>
      <c r="H34">
        <v>1967</v>
      </c>
      <c r="J34">
        <f t="shared" si="0"/>
        <v>1967</v>
      </c>
      <c r="L34">
        <f t="shared" si="1"/>
        <v>0.87812500000000004</v>
      </c>
    </row>
    <row r="35" spans="1:12" x14ac:dyDescent="0.25">
      <c r="A35">
        <v>1716</v>
      </c>
      <c r="B35" t="s">
        <v>18</v>
      </c>
      <c r="C35" t="s">
        <v>119</v>
      </c>
      <c r="D35" t="s">
        <v>8</v>
      </c>
      <c r="F35">
        <v>1</v>
      </c>
      <c r="G35">
        <v>1</v>
      </c>
      <c r="H35">
        <v>21</v>
      </c>
      <c r="J35">
        <f t="shared" si="0"/>
        <v>161</v>
      </c>
      <c r="L35">
        <f t="shared" si="1"/>
        <v>7.1874999999999994E-2</v>
      </c>
    </row>
    <row r="36" spans="1:12" x14ac:dyDescent="0.25">
      <c r="A36">
        <v>1716</v>
      </c>
      <c r="B36" t="s">
        <v>26</v>
      </c>
      <c r="C36" t="s">
        <v>119</v>
      </c>
      <c r="D36" t="s">
        <v>12</v>
      </c>
      <c r="H36">
        <v>70</v>
      </c>
      <c r="J36">
        <f t="shared" si="0"/>
        <v>70</v>
      </c>
      <c r="L36">
        <f t="shared" si="1"/>
        <v>3.125E-2</v>
      </c>
    </row>
    <row r="37" spans="1:12" x14ac:dyDescent="0.25">
      <c r="A37">
        <v>1716</v>
      </c>
      <c r="B37" t="s">
        <v>73</v>
      </c>
      <c r="C37" t="s">
        <v>119</v>
      </c>
      <c r="D37" t="s">
        <v>12</v>
      </c>
      <c r="J37">
        <f t="shared" si="0"/>
        <v>0</v>
      </c>
      <c r="L37">
        <f t="shared" si="1"/>
        <v>0</v>
      </c>
    </row>
    <row r="38" spans="1:12" x14ac:dyDescent="0.25">
      <c r="A38">
        <v>1716</v>
      </c>
      <c r="B38" t="s">
        <v>66</v>
      </c>
      <c r="C38" t="s">
        <v>119</v>
      </c>
      <c r="D38" t="s">
        <v>12</v>
      </c>
      <c r="E38">
        <v>2</v>
      </c>
      <c r="F38">
        <v>18</v>
      </c>
      <c r="H38">
        <v>24</v>
      </c>
      <c r="J38">
        <f t="shared" si="0"/>
        <v>6520</v>
      </c>
      <c r="L38">
        <f t="shared" si="1"/>
        <v>2.9107142857142856</v>
      </c>
    </row>
    <row r="39" spans="1:12" x14ac:dyDescent="0.25">
      <c r="A39">
        <v>1716</v>
      </c>
      <c r="B39" t="s">
        <v>17</v>
      </c>
      <c r="C39" t="s">
        <v>119</v>
      </c>
      <c r="D39" t="s">
        <v>12</v>
      </c>
      <c r="F39">
        <v>43207</v>
      </c>
      <c r="G39">
        <v>2</v>
      </c>
      <c r="H39">
        <v>21</v>
      </c>
      <c r="J39">
        <f t="shared" si="0"/>
        <v>4839261</v>
      </c>
      <c r="L39">
        <f t="shared" si="1"/>
        <v>2160.3843750000001</v>
      </c>
    </row>
    <row r="40" spans="1:12" x14ac:dyDescent="0.25">
      <c r="A40">
        <v>1716</v>
      </c>
      <c r="B40" t="s">
        <v>16</v>
      </c>
      <c r="C40" t="s">
        <v>119</v>
      </c>
      <c r="D40" t="s">
        <v>12</v>
      </c>
      <c r="F40">
        <v>10</v>
      </c>
      <c r="J40">
        <f t="shared" si="0"/>
        <v>1120</v>
      </c>
      <c r="L40">
        <f t="shared" si="1"/>
        <v>0.5</v>
      </c>
    </row>
    <row r="41" spans="1:12" x14ac:dyDescent="0.25">
      <c r="A41">
        <v>1716</v>
      </c>
      <c r="B41" t="s">
        <v>13</v>
      </c>
      <c r="C41" t="s">
        <v>119</v>
      </c>
      <c r="D41" t="s">
        <v>12</v>
      </c>
      <c r="J41">
        <f t="shared" si="0"/>
        <v>0</v>
      </c>
      <c r="L41">
        <f t="shared" si="1"/>
        <v>0</v>
      </c>
    </row>
    <row r="42" spans="1:12" x14ac:dyDescent="0.25">
      <c r="A42">
        <v>1716</v>
      </c>
      <c r="B42" t="s">
        <v>71</v>
      </c>
      <c r="C42" t="s">
        <v>119</v>
      </c>
      <c r="D42" t="s">
        <v>12</v>
      </c>
      <c r="J42">
        <f t="shared" si="0"/>
        <v>0</v>
      </c>
      <c r="L42">
        <f t="shared" si="1"/>
        <v>0</v>
      </c>
    </row>
    <row r="43" spans="1:12" x14ac:dyDescent="0.25">
      <c r="A43">
        <v>1716</v>
      </c>
      <c r="B43" t="s">
        <v>40</v>
      </c>
      <c r="C43" t="s">
        <v>119</v>
      </c>
      <c r="D43" t="s">
        <v>12</v>
      </c>
      <c r="F43">
        <v>3</v>
      </c>
      <c r="H43">
        <v>27</v>
      </c>
      <c r="J43">
        <f t="shared" si="0"/>
        <v>363</v>
      </c>
      <c r="L43">
        <f t="shared" si="1"/>
        <v>0.16205357142857144</v>
      </c>
    </row>
    <row r="44" spans="1:12" x14ac:dyDescent="0.25">
      <c r="A44">
        <v>1716</v>
      </c>
      <c r="B44" t="s">
        <v>10</v>
      </c>
      <c r="C44" t="s">
        <v>119</v>
      </c>
      <c r="D44" t="s">
        <v>12</v>
      </c>
      <c r="H44">
        <v>157086</v>
      </c>
      <c r="J44">
        <f t="shared" si="0"/>
        <v>157086</v>
      </c>
      <c r="L44">
        <f t="shared" si="1"/>
        <v>70.127678571428575</v>
      </c>
    </row>
    <row r="45" spans="1:12" x14ac:dyDescent="0.25">
      <c r="A45">
        <v>1716</v>
      </c>
      <c r="B45" t="s">
        <v>15</v>
      </c>
      <c r="C45" t="s">
        <v>119</v>
      </c>
      <c r="D45" t="s">
        <v>12</v>
      </c>
      <c r="F45">
        <v>1419</v>
      </c>
      <c r="G45">
        <v>1</v>
      </c>
      <c r="H45">
        <v>21</v>
      </c>
      <c r="J45">
        <f t="shared" si="0"/>
        <v>158977</v>
      </c>
      <c r="L45">
        <f t="shared" si="1"/>
        <v>70.971874999999997</v>
      </c>
    </row>
    <row r="46" spans="1:12" x14ac:dyDescent="0.25">
      <c r="A46">
        <v>1716</v>
      </c>
      <c r="B46" t="s">
        <v>25</v>
      </c>
      <c r="C46" t="s">
        <v>119</v>
      </c>
      <c r="D46" t="s">
        <v>12</v>
      </c>
      <c r="F46">
        <v>69</v>
      </c>
      <c r="G46">
        <v>1</v>
      </c>
      <c r="J46">
        <f t="shared" si="0"/>
        <v>7756</v>
      </c>
      <c r="L46">
        <f t="shared" si="1"/>
        <v>3.4624999999999999</v>
      </c>
    </row>
    <row r="47" spans="1:12" x14ac:dyDescent="0.25">
      <c r="A47">
        <v>1716</v>
      </c>
      <c r="B47" t="s">
        <v>68</v>
      </c>
      <c r="C47" t="s">
        <v>119</v>
      </c>
      <c r="D47" t="s">
        <v>12</v>
      </c>
      <c r="E47">
        <v>1156</v>
      </c>
      <c r="F47">
        <v>19</v>
      </c>
      <c r="G47">
        <v>3</v>
      </c>
      <c r="H47">
        <v>22</v>
      </c>
      <c r="J47">
        <f t="shared" si="0"/>
        <v>2591674</v>
      </c>
      <c r="L47">
        <f t="shared" si="1"/>
        <v>1156.9973214285715</v>
      </c>
    </row>
    <row r="48" spans="1:12" x14ac:dyDescent="0.25">
      <c r="A48">
        <v>1716</v>
      </c>
      <c r="B48" t="s">
        <v>9</v>
      </c>
      <c r="C48" t="s">
        <v>119</v>
      </c>
      <c r="D48" t="s">
        <v>12</v>
      </c>
      <c r="H48">
        <v>41462</v>
      </c>
      <c r="J48">
        <f t="shared" si="0"/>
        <v>41462</v>
      </c>
      <c r="L48">
        <f t="shared" si="1"/>
        <v>18.509821428571428</v>
      </c>
    </row>
    <row r="49" spans="1:12" x14ac:dyDescent="0.25">
      <c r="A49">
        <v>1716</v>
      </c>
      <c r="B49" t="s">
        <v>35</v>
      </c>
      <c r="C49" t="s">
        <v>119</v>
      </c>
      <c r="D49" t="s">
        <v>12</v>
      </c>
      <c r="F49">
        <v>25</v>
      </c>
      <c r="G49">
        <v>2</v>
      </c>
      <c r="H49">
        <v>18</v>
      </c>
      <c r="J49">
        <f t="shared" si="0"/>
        <v>2874</v>
      </c>
      <c r="L49">
        <f t="shared" si="1"/>
        <v>1.2830357142857143</v>
      </c>
    </row>
    <row r="50" spans="1:12" x14ac:dyDescent="0.25">
      <c r="A50">
        <v>1716</v>
      </c>
      <c r="B50" t="s">
        <v>54</v>
      </c>
      <c r="C50" t="s">
        <v>119</v>
      </c>
      <c r="D50" t="s">
        <v>12</v>
      </c>
      <c r="H50">
        <v>781</v>
      </c>
      <c r="J50">
        <f t="shared" si="0"/>
        <v>781</v>
      </c>
      <c r="L50">
        <f t="shared" si="1"/>
        <v>0.34866071428571427</v>
      </c>
    </row>
    <row r="51" spans="1:12" x14ac:dyDescent="0.25">
      <c r="A51">
        <v>1716</v>
      </c>
      <c r="B51" t="s">
        <v>21</v>
      </c>
      <c r="C51" t="s">
        <v>119</v>
      </c>
      <c r="D51" t="s">
        <v>12</v>
      </c>
      <c r="H51">
        <v>41060.5</v>
      </c>
      <c r="I51" t="s">
        <v>104</v>
      </c>
      <c r="J51">
        <f t="shared" si="0"/>
        <v>41060.5</v>
      </c>
      <c r="L51">
        <f t="shared" si="1"/>
        <v>18.330580357142857</v>
      </c>
    </row>
    <row r="52" spans="1:12" x14ac:dyDescent="0.25">
      <c r="A52">
        <v>1716</v>
      </c>
      <c r="B52" t="s">
        <v>67</v>
      </c>
      <c r="C52" t="s">
        <v>119</v>
      </c>
      <c r="D52" t="s">
        <v>12</v>
      </c>
      <c r="E52">
        <v>267</v>
      </c>
      <c r="F52">
        <v>14</v>
      </c>
      <c r="G52">
        <v>3</v>
      </c>
      <c r="H52">
        <v>5</v>
      </c>
      <c r="J52">
        <f t="shared" si="0"/>
        <v>599737</v>
      </c>
      <c r="L52">
        <f t="shared" si="1"/>
        <v>267.73973214285712</v>
      </c>
    </row>
    <row r="53" spans="1:12" x14ac:dyDescent="0.25">
      <c r="A53">
        <v>1716</v>
      </c>
      <c r="B53" t="s">
        <v>32</v>
      </c>
      <c r="C53" t="s">
        <v>119</v>
      </c>
      <c r="D53" t="s">
        <v>12</v>
      </c>
      <c r="H53">
        <v>62501</v>
      </c>
      <c r="J53">
        <f t="shared" si="0"/>
        <v>62501</v>
      </c>
      <c r="L53">
        <f t="shared" si="1"/>
        <v>27.902232142857144</v>
      </c>
    </row>
    <row r="54" spans="1:12" x14ac:dyDescent="0.25">
      <c r="A54">
        <v>1716</v>
      </c>
      <c r="B54" t="s">
        <v>82</v>
      </c>
      <c r="C54" t="s">
        <v>119</v>
      </c>
      <c r="D54" t="s">
        <v>12</v>
      </c>
      <c r="E54">
        <v>6</v>
      </c>
      <c r="F54">
        <v>16</v>
      </c>
      <c r="G54">
        <v>2</v>
      </c>
      <c r="H54">
        <v>10</v>
      </c>
      <c r="J54">
        <f t="shared" si="0"/>
        <v>15298</v>
      </c>
      <c r="L54">
        <f t="shared" si="1"/>
        <v>6.8294642857142858</v>
      </c>
    </row>
    <row r="55" spans="1:12" x14ac:dyDescent="0.25">
      <c r="A55">
        <v>1716</v>
      </c>
      <c r="B55" t="s">
        <v>27</v>
      </c>
      <c r="C55" t="s">
        <v>119</v>
      </c>
      <c r="D55" t="s">
        <v>12</v>
      </c>
      <c r="F55">
        <v>553</v>
      </c>
      <c r="G55">
        <v>2</v>
      </c>
      <c r="H55">
        <v>4</v>
      </c>
      <c r="J55">
        <f t="shared" si="0"/>
        <v>61996</v>
      </c>
      <c r="L55">
        <f t="shared" si="1"/>
        <v>27.676785714285714</v>
      </c>
    </row>
    <row r="56" spans="1:12" x14ac:dyDescent="0.25">
      <c r="A56">
        <v>1716</v>
      </c>
      <c r="B56" t="s">
        <v>22</v>
      </c>
      <c r="C56" t="s">
        <v>119</v>
      </c>
      <c r="D56" t="s">
        <v>12</v>
      </c>
      <c r="H56">
        <v>42511</v>
      </c>
      <c r="I56" t="s">
        <v>105</v>
      </c>
      <c r="J56">
        <f t="shared" si="0"/>
        <v>42511</v>
      </c>
      <c r="L56">
        <f t="shared" si="1"/>
        <v>18.978124999999999</v>
      </c>
    </row>
    <row r="57" spans="1:12" x14ac:dyDescent="0.25">
      <c r="A57">
        <v>1716</v>
      </c>
      <c r="B57" t="s">
        <v>24</v>
      </c>
      <c r="C57" t="s">
        <v>119</v>
      </c>
      <c r="D57" t="s">
        <v>12</v>
      </c>
      <c r="F57">
        <v>3</v>
      </c>
      <c r="G57">
        <v>2</v>
      </c>
      <c r="H57">
        <v>27</v>
      </c>
      <c r="J57">
        <f t="shared" si="0"/>
        <v>419</v>
      </c>
      <c r="L57">
        <f t="shared" si="1"/>
        <v>0.18705357142857143</v>
      </c>
    </row>
    <row r="58" spans="1:12" x14ac:dyDescent="0.25">
      <c r="A58">
        <v>1716</v>
      </c>
      <c r="B58" t="s">
        <v>38</v>
      </c>
      <c r="C58" t="s">
        <v>119</v>
      </c>
      <c r="D58" t="s">
        <v>12</v>
      </c>
      <c r="J58">
        <f t="shared" si="0"/>
        <v>0</v>
      </c>
      <c r="L58">
        <f t="shared" si="1"/>
        <v>0</v>
      </c>
    </row>
    <row r="59" spans="1:12" x14ac:dyDescent="0.25">
      <c r="A59">
        <v>1716</v>
      </c>
      <c r="B59" t="s">
        <v>36</v>
      </c>
      <c r="C59" t="s">
        <v>119</v>
      </c>
      <c r="D59" t="s">
        <v>12</v>
      </c>
      <c r="H59">
        <v>568</v>
      </c>
      <c r="J59">
        <f t="shared" si="0"/>
        <v>568</v>
      </c>
      <c r="L59">
        <f t="shared" si="1"/>
        <v>0.25357142857142856</v>
      </c>
    </row>
    <row r="60" spans="1:12" x14ac:dyDescent="0.25">
      <c r="A60">
        <v>1716</v>
      </c>
      <c r="B60" t="s">
        <v>103</v>
      </c>
      <c r="C60" t="s">
        <v>119</v>
      </c>
      <c r="D60" t="s">
        <v>12</v>
      </c>
      <c r="E60">
        <v>1</v>
      </c>
      <c r="F60">
        <v>11</v>
      </c>
      <c r="H60">
        <v>10</v>
      </c>
      <c r="J60">
        <f t="shared" si="0"/>
        <v>3482</v>
      </c>
      <c r="L60">
        <f t="shared" si="1"/>
        <v>1.5544642857142856</v>
      </c>
    </row>
    <row r="61" spans="1:12" x14ac:dyDescent="0.25">
      <c r="A61">
        <v>1716</v>
      </c>
      <c r="B61" t="s">
        <v>20</v>
      </c>
      <c r="C61" t="s">
        <v>119</v>
      </c>
      <c r="D61" t="s">
        <v>12</v>
      </c>
      <c r="J61">
        <f t="shared" si="0"/>
        <v>0</v>
      </c>
      <c r="L61">
        <f t="shared" si="1"/>
        <v>0</v>
      </c>
    </row>
    <row r="62" spans="1:12" x14ac:dyDescent="0.25">
      <c r="A62">
        <v>1716</v>
      </c>
      <c r="B62" t="s">
        <v>43</v>
      </c>
      <c r="C62" t="s">
        <v>119</v>
      </c>
      <c r="D62" t="s">
        <v>12</v>
      </c>
      <c r="J62">
        <f t="shared" si="0"/>
        <v>0</v>
      </c>
      <c r="L62">
        <f t="shared" si="1"/>
        <v>0</v>
      </c>
    </row>
    <row r="63" spans="1:12" x14ac:dyDescent="0.25">
      <c r="A63">
        <v>1716</v>
      </c>
      <c r="B63" t="s">
        <v>23</v>
      </c>
      <c r="C63" t="s">
        <v>119</v>
      </c>
      <c r="D63" t="s">
        <v>12</v>
      </c>
      <c r="H63">
        <v>241</v>
      </c>
      <c r="J63">
        <f t="shared" si="0"/>
        <v>241</v>
      </c>
      <c r="L63">
        <f t="shared" si="1"/>
        <v>0.10758928571428572</v>
      </c>
    </row>
    <row r="64" spans="1:12" x14ac:dyDescent="0.25">
      <c r="A64">
        <v>1716</v>
      </c>
      <c r="B64" t="s">
        <v>18</v>
      </c>
      <c r="C64" t="s">
        <v>119</v>
      </c>
      <c r="D64" t="s">
        <v>12</v>
      </c>
      <c r="J64">
        <f t="shared" si="0"/>
        <v>0</v>
      </c>
      <c r="L64">
        <f t="shared" si="1"/>
        <v>0</v>
      </c>
    </row>
  </sheetData>
  <autoFilter ref="B1:Q64" xr:uid="{8C2F7725-5A61-4A1B-A740-CC887BCB0E68}">
    <sortState xmlns:xlrd2="http://schemas.microsoft.com/office/spreadsheetml/2017/richdata2" ref="B2:Q64">
      <sortCondition ref="D1:D6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dimension ref="A1:L30"/>
  <sheetViews>
    <sheetView workbookViewId="0">
      <selection activeCell="C2" sqref="C2:C30"/>
    </sheetView>
  </sheetViews>
  <sheetFormatPr defaultRowHeight="15" x14ac:dyDescent="0.25"/>
  <cols>
    <col min="2" max="2" width="17.5703125" customWidth="1"/>
    <col min="3" max="3" width="15.42578125" customWidth="1"/>
  </cols>
  <sheetData>
    <row r="1" spans="1:12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57</v>
      </c>
      <c r="F1" s="1" t="s">
        <v>58</v>
      </c>
      <c r="G1" s="1" t="s">
        <v>59</v>
      </c>
      <c r="H1" s="1" t="s">
        <v>60</v>
      </c>
      <c r="I1" s="1"/>
      <c r="J1" s="1" t="s">
        <v>6</v>
      </c>
      <c r="K1" s="1"/>
      <c r="L1" s="1" t="s">
        <v>114</v>
      </c>
    </row>
    <row r="2" spans="1:12" x14ac:dyDescent="0.25">
      <c r="A2">
        <v>1716</v>
      </c>
      <c r="B2" t="s">
        <v>73</v>
      </c>
      <c r="C2" t="s">
        <v>120</v>
      </c>
      <c r="D2" t="s">
        <v>8</v>
      </c>
      <c r="E2" s="1"/>
      <c r="F2" s="1"/>
      <c r="G2" s="1"/>
      <c r="I2" s="1"/>
      <c r="J2">
        <f>(E2*2240)+(F2*112)+(G2*28)+H2</f>
        <v>0</v>
      </c>
      <c r="K2" s="1"/>
      <c r="L2">
        <f>J2/2240</f>
        <v>0</v>
      </c>
    </row>
    <row r="3" spans="1:12" x14ac:dyDescent="0.25">
      <c r="A3">
        <v>1716</v>
      </c>
      <c r="B3" t="s">
        <v>35</v>
      </c>
      <c r="C3" t="s">
        <v>120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1716</v>
      </c>
      <c r="B4" t="s">
        <v>15</v>
      </c>
      <c r="C4" t="s">
        <v>120</v>
      </c>
      <c r="D4" t="s">
        <v>8</v>
      </c>
      <c r="F4">
        <v>10</v>
      </c>
      <c r="G4">
        <v>3</v>
      </c>
      <c r="J4">
        <f>(E4*2240)+(F4*112)+(G4*28)+H4</f>
        <v>1204</v>
      </c>
      <c r="L4">
        <f>J4/2240</f>
        <v>0.53749999999999998</v>
      </c>
    </row>
    <row r="5" spans="1:12" x14ac:dyDescent="0.25">
      <c r="A5">
        <v>1716</v>
      </c>
      <c r="B5" t="s">
        <v>11</v>
      </c>
      <c r="C5" t="s">
        <v>120</v>
      </c>
      <c r="D5" t="s">
        <v>8</v>
      </c>
      <c r="F5">
        <v>2</v>
      </c>
      <c r="J5">
        <f>(E5*2240)+(F5*112)+(G5*28)+H5</f>
        <v>224</v>
      </c>
      <c r="L5">
        <f>J5/2240</f>
        <v>0.1</v>
      </c>
    </row>
    <row r="6" spans="1:12" x14ac:dyDescent="0.25">
      <c r="A6">
        <v>1716</v>
      </c>
      <c r="B6" t="s">
        <v>29</v>
      </c>
      <c r="C6" t="s">
        <v>120</v>
      </c>
      <c r="D6" t="s">
        <v>8</v>
      </c>
      <c r="H6">
        <v>140</v>
      </c>
      <c r="I6" t="s">
        <v>88</v>
      </c>
      <c r="J6">
        <f t="shared" ref="J6:J30" si="0">(E6*2240)+(F6*112)+(G6*28)+H6</f>
        <v>140</v>
      </c>
      <c r="L6">
        <f t="shared" ref="L6:L30" si="1">J6/2240</f>
        <v>6.25E-2</v>
      </c>
    </row>
    <row r="7" spans="1:12" x14ac:dyDescent="0.25">
      <c r="A7">
        <v>1716</v>
      </c>
      <c r="B7" t="s">
        <v>16</v>
      </c>
      <c r="C7" t="s">
        <v>120</v>
      </c>
      <c r="D7" t="s">
        <v>8</v>
      </c>
      <c r="F7">
        <v>12</v>
      </c>
      <c r="J7">
        <f t="shared" si="0"/>
        <v>1344</v>
      </c>
      <c r="L7">
        <f t="shared" si="1"/>
        <v>0.6</v>
      </c>
    </row>
    <row r="8" spans="1:12" x14ac:dyDescent="0.25">
      <c r="A8">
        <v>1716</v>
      </c>
      <c r="B8" t="s">
        <v>17</v>
      </c>
      <c r="C8" t="s">
        <v>120</v>
      </c>
      <c r="D8" t="s">
        <v>8</v>
      </c>
      <c r="F8">
        <v>21058</v>
      </c>
      <c r="H8">
        <v>25</v>
      </c>
      <c r="J8">
        <f t="shared" si="0"/>
        <v>2358521</v>
      </c>
      <c r="L8">
        <f t="shared" si="1"/>
        <v>1052.9111607142856</v>
      </c>
    </row>
    <row r="9" spans="1:12" x14ac:dyDescent="0.25">
      <c r="A9">
        <v>1716</v>
      </c>
      <c r="B9" t="s">
        <v>18</v>
      </c>
      <c r="C9" t="s">
        <v>120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1716</v>
      </c>
      <c r="B10" t="s">
        <v>9</v>
      </c>
      <c r="C10" t="s">
        <v>120</v>
      </c>
      <c r="D10" t="s">
        <v>8</v>
      </c>
      <c r="H10">
        <v>34489</v>
      </c>
      <c r="J10">
        <f t="shared" si="0"/>
        <v>34489</v>
      </c>
      <c r="L10">
        <f t="shared" si="1"/>
        <v>15.396875</v>
      </c>
    </row>
    <row r="11" spans="1:12" x14ac:dyDescent="0.25">
      <c r="A11">
        <v>1716</v>
      </c>
      <c r="B11" t="s">
        <v>24</v>
      </c>
      <c r="C11" t="s">
        <v>120</v>
      </c>
      <c r="D11" t="s">
        <v>8</v>
      </c>
      <c r="H11">
        <v>14</v>
      </c>
      <c r="J11">
        <f t="shared" si="0"/>
        <v>14</v>
      </c>
      <c r="L11">
        <f t="shared" si="1"/>
        <v>6.2500000000000003E-3</v>
      </c>
    </row>
    <row r="12" spans="1:12" x14ac:dyDescent="0.25">
      <c r="A12">
        <v>1716</v>
      </c>
      <c r="B12" t="s">
        <v>36</v>
      </c>
      <c r="C12" t="s">
        <v>120</v>
      </c>
      <c r="D12" t="s">
        <v>8</v>
      </c>
      <c r="J12">
        <f t="shared" si="0"/>
        <v>0</v>
      </c>
      <c r="L12">
        <f t="shared" si="1"/>
        <v>0</v>
      </c>
    </row>
    <row r="13" spans="1:12" x14ac:dyDescent="0.25">
      <c r="A13">
        <v>1716</v>
      </c>
      <c r="B13" t="s">
        <v>10</v>
      </c>
      <c r="C13" t="s">
        <v>120</v>
      </c>
      <c r="D13" t="s">
        <v>8</v>
      </c>
      <c r="H13">
        <v>2240</v>
      </c>
      <c r="J13">
        <f t="shared" si="0"/>
        <v>2240</v>
      </c>
      <c r="L13">
        <f t="shared" si="1"/>
        <v>1</v>
      </c>
    </row>
    <row r="14" spans="1:12" x14ac:dyDescent="0.25">
      <c r="A14">
        <v>1716</v>
      </c>
      <c r="B14" t="s">
        <v>13</v>
      </c>
      <c r="C14" t="s">
        <v>120</v>
      </c>
      <c r="D14" t="s">
        <v>8</v>
      </c>
      <c r="J14">
        <f t="shared" si="0"/>
        <v>0</v>
      </c>
      <c r="L14">
        <f t="shared" si="1"/>
        <v>0</v>
      </c>
    </row>
    <row r="15" spans="1:12" x14ac:dyDescent="0.25">
      <c r="A15">
        <v>1716</v>
      </c>
      <c r="B15" t="s">
        <v>40</v>
      </c>
      <c r="C15" t="s">
        <v>120</v>
      </c>
      <c r="D15" t="s">
        <v>8</v>
      </c>
      <c r="F15">
        <v>2</v>
      </c>
      <c r="H15">
        <v>5</v>
      </c>
      <c r="J15">
        <f t="shared" si="0"/>
        <v>229</v>
      </c>
      <c r="L15">
        <f t="shared" si="1"/>
        <v>0.10223214285714285</v>
      </c>
    </row>
    <row r="16" spans="1:12" x14ac:dyDescent="0.25">
      <c r="A16">
        <v>1716</v>
      </c>
      <c r="B16" t="s">
        <v>21</v>
      </c>
      <c r="C16" t="s">
        <v>120</v>
      </c>
      <c r="D16" t="s">
        <v>8</v>
      </c>
      <c r="H16">
        <v>1120</v>
      </c>
      <c r="I16" t="s">
        <v>89</v>
      </c>
      <c r="J16">
        <f t="shared" si="0"/>
        <v>1120</v>
      </c>
      <c r="L16">
        <f t="shared" si="1"/>
        <v>0.5</v>
      </c>
    </row>
    <row r="17" spans="1:12" x14ac:dyDescent="0.25">
      <c r="A17">
        <v>1716</v>
      </c>
      <c r="B17" t="s">
        <v>32</v>
      </c>
      <c r="C17" t="s">
        <v>120</v>
      </c>
      <c r="D17" t="s">
        <v>8</v>
      </c>
      <c r="I17">
        <v>63</v>
      </c>
      <c r="J17">
        <f t="shared" si="0"/>
        <v>0</v>
      </c>
      <c r="L17">
        <f t="shared" si="1"/>
        <v>0</v>
      </c>
    </row>
    <row r="18" spans="1:12" x14ac:dyDescent="0.25">
      <c r="A18">
        <v>1716</v>
      </c>
      <c r="B18" t="s">
        <v>22</v>
      </c>
      <c r="C18" t="s">
        <v>120</v>
      </c>
      <c r="D18" t="s">
        <v>8</v>
      </c>
      <c r="H18">
        <v>3350</v>
      </c>
      <c r="I18" t="s">
        <v>90</v>
      </c>
      <c r="J18">
        <f t="shared" si="0"/>
        <v>3350</v>
      </c>
      <c r="L18">
        <f t="shared" si="1"/>
        <v>1.4955357142857142</v>
      </c>
    </row>
    <row r="19" spans="1:12" x14ac:dyDescent="0.25">
      <c r="A19">
        <v>1716</v>
      </c>
      <c r="B19" t="s">
        <v>23</v>
      </c>
      <c r="C19" t="s">
        <v>120</v>
      </c>
      <c r="D19" t="s">
        <v>8</v>
      </c>
      <c r="J19">
        <f t="shared" si="0"/>
        <v>0</v>
      </c>
      <c r="L19">
        <f t="shared" si="1"/>
        <v>0</v>
      </c>
    </row>
    <row r="20" spans="1:12" x14ac:dyDescent="0.25">
      <c r="A20">
        <v>1716</v>
      </c>
      <c r="B20" t="s">
        <v>15</v>
      </c>
      <c r="C20" t="s">
        <v>120</v>
      </c>
      <c r="D20" t="s">
        <v>12</v>
      </c>
      <c r="J20">
        <f t="shared" si="0"/>
        <v>0</v>
      </c>
      <c r="L20">
        <f t="shared" si="1"/>
        <v>0</v>
      </c>
    </row>
    <row r="21" spans="1:12" x14ac:dyDescent="0.25">
      <c r="A21">
        <v>1716</v>
      </c>
      <c r="B21" t="s">
        <v>11</v>
      </c>
      <c r="C21" t="s">
        <v>120</v>
      </c>
      <c r="D21" t="s">
        <v>12</v>
      </c>
      <c r="J21">
        <f t="shared" si="0"/>
        <v>0</v>
      </c>
      <c r="L21">
        <f t="shared" si="1"/>
        <v>0</v>
      </c>
    </row>
    <row r="22" spans="1:12" x14ac:dyDescent="0.25">
      <c r="A22">
        <v>1716</v>
      </c>
      <c r="B22" t="s">
        <v>17</v>
      </c>
      <c r="C22" t="s">
        <v>120</v>
      </c>
      <c r="D22" t="s">
        <v>12</v>
      </c>
      <c r="F22">
        <v>5698</v>
      </c>
      <c r="H22">
        <v>14</v>
      </c>
      <c r="J22">
        <f t="shared" si="0"/>
        <v>638190</v>
      </c>
      <c r="L22">
        <f t="shared" si="1"/>
        <v>284.90625</v>
      </c>
    </row>
    <row r="23" spans="1:12" x14ac:dyDescent="0.25">
      <c r="A23">
        <v>1716</v>
      </c>
      <c r="B23" t="s">
        <v>9</v>
      </c>
      <c r="C23" t="s">
        <v>120</v>
      </c>
      <c r="D23" t="s">
        <v>12</v>
      </c>
      <c r="H23">
        <v>5456</v>
      </c>
      <c r="J23">
        <f t="shared" si="0"/>
        <v>5456</v>
      </c>
      <c r="L23">
        <f t="shared" si="1"/>
        <v>2.4357142857142855</v>
      </c>
    </row>
    <row r="24" spans="1:12" x14ac:dyDescent="0.25">
      <c r="A24">
        <v>1716</v>
      </c>
      <c r="B24" t="s">
        <v>32</v>
      </c>
      <c r="C24" t="s">
        <v>120</v>
      </c>
      <c r="D24" t="s">
        <v>12</v>
      </c>
      <c r="H24">
        <v>167</v>
      </c>
      <c r="J24">
        <f t="shared" si="0"/>
        <v>167</v>
      </c>
      <c r="L24">
        <f t="shared" si="1"/>
        <v>7.4553571428571427E-2</v>
      </c>
    </row>
    <row r="25" spans="1:12" x14ac:dyDescent="0.25">
      <c r="A25">
        <v>1716</v>
      </c>
      <c r="B25" t="s">
        <v>10</v>
      </c>
      <c r="C25" t="s">
        <v>120</v>
      </c>
      <c r="D25" t="s">
        <v>12</v>
      </c>
      <c r="H25">
        <v>6384</v>
      </c>
      <c r="J25">
        <f t="shared" si="0"/>
        <v>6384</v>
      </c>
      <c r="L25">
        <f t="shared" si="1"/>
        <v>2.85</v>
      </c>
    </row>
    <row r="26" spans="1:12" x14ac:dyDescent="0.25">
      <c r="A26">
        <v>1716</v>
      </c>
      <c r="B26" t="s">
        <v>75</v>
      </c>
      <c r="C26" t="s">
        <v>120</v>
      </c>
      <c r="D26" t="s">
        <v>12</v>
      </c>
      <c r="J26">
        <f t="shared" si="0"/>
        <v>0</v>
      </c>
      <c r="L26">
        <f t="shared" si="1"/>
        <v>0</v>
      </c>
    </row>
    <row r="27" spans="1:12" x14ac:dyDescent="0.25">
      <c r="A27">
        <v>1716</v>
      </c>
      <c r="B27" t="s">
        <v>40</v>
      </c>
      <c r="C27" t="s">
        <v>120</v>
      </c>
      <c r="D27" t="s">
        <v>12</v>
      </c>
      <c r="J27">
        <f t="shared" si="0"/>
        <v>0</v>
      </c>
      <c r="L27">
        <f t="shared" si="1"/>
        <v>0</v>
      </c>
    </row>
    <row r="28" spans="1:12" x14ac:dyDescent="0.25">
      <c r="A28">
        <v>1716</v>
      </c>
      <c r="B28" t="s">
        <v>22</v>
      </c>
      <c r="C28" t="s">
        <v>120</v>
      </c>
      <c r="D28" t="s">
        <v>12</v>
      </c>
      <c r="H28">
        <v>900</v>
      </c>
      <c r="I28" t="s">
        <v>107</v>
      </c>
      <c r="J28">
        <f t="shared" si="0"/>
        <v>900</v>
      </c>
      <c r="L28">
        <f t="shared" si="1"/>
        <v>0.4017857142857143</v>
      </c>
    </row>
    <row r="29" spans="1:12" x14ac:dyDescent="0.25">
      <c r="A29">
        <v>1716</v>
      </c>
      <c r="B29" t="s">
        <v>21</v>
      </c>
      <c r="C29" t="s">
        <v>120</v>
      </c>
      <c r="D29" t="s">
        <v>12</v>
      </c>
      <c r="H29">
        <v>600</v>
      </c>
      <c r="I29" t="s">
        <v>106</v>
      </c>
      <c r="J29">
        <f t="shared" si="0"/>
        <v>600</v>
      </c>
      <c r="L29">
        <f t="shared" si="1"/>
        <v>0.26785714285714285</v>
      </c>
    </row>
    <row r="30" spans="1:12" x14ac:dyDescent="0.25">
      <c r="A30">
        <v>1716</v>
      </c>
      <c r="B30" t="s">
        <v>18</v>
      </c>
      <c r="C30" t="s">
        <v>120</v>
      </c>
      <c r="D30" t="s">
        <v>12</v>
      </c>
      <c r="G30">
        <v>2</v>
      </c>
      <c r="J30">
        <f t="shared" si="0"/>
        <v>56</v>
      </c>
      <c r="L30">
        <f t="shared" si="1"/>
        <v>2.5000000000000001E-2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dimension ref="A1:P38"/>
  <sheetViews>
    <sheetView topLeftCell="A28" workbookViewId="0">
      <selection activeCell="C2" sqref="C2:C38"/>
    </sheetView>
  </sheetViews>
  <sheetFormatPr defaultRowHeight="15" x14ac:dyDescent="0.25"/>
  <cols>
    <col min="2" max="2" width="17.5703125" customWidth="1"/>
    <col min="3" max="3" width="15.85546875" customWidth="1"/>
  </cols>
  <sheetData>
    <row r="1" spans="1:16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57</v>
      </c>
      <c r="F1" s="1" t="s">
        <v>58</v>
      </c>
      <c r="G1" s="1" t="s">
        <v>59</v>
      </c>
      <c r="H1" s="1" t="s">
        <v>60</v>
      </c>
      <c r="I1" s="1"/>
      <c r="J1" s="1" t="s">
        <v>6</v>
      </c>
      <c r="K1" s="1"/>
      <c r="L1" s="1" t="s">
        <v>114</v>
      </c>
      <c r="N1" t="s">
        <v>33</v>
      </c>
      <c r="P1" t="s">
        <v>34</v>
      </c>
    </row>
    <row r="2" spans="1:16" x14ac:dyDescent="0.25">
      <c r="A2">
        <v>1716</v>
      </c>
      <c r="B2" t="s">
        <v>25</v>
      </c>
      <c r="C2" t="s">
        <v>121</v>
      </c>
      <c r="D2" t="s">
        <v>8</v>
      </c>
      <c r="J2">
        <f>(E2*2240)+(F2*112)+(G2*28)+(H2)</f>
        <v>0</v>
      </c>
      <c r="L2">
        <f>J2/2240</f>
        <v>0</v>
      </c>
      <c r="N2">
        <f>L2+L8+L11+L12+L15+L18+L19+L26+L35+L24+L25+L36+L38+L10</f>
        <v>56.061383928571431</v>
      </c>
      <c r="P2">
        <f>L4+L5+L6+L23</f>
        <v>3258.2660714285712</v>
      </c>
    </row>
    <row r="3" spans="1:16" x14ac:dyDescent="0.25">
      <c r="A3">
        <v>1716</v>
      </c>
      <c r="B3" t="s">
        <v>73</v>
      </c>
      <c r="C3" t="s">
        <v>121</v>
      </c>
      <c r="D3" t="s">
        <v>8</v>
      </c>
      <c r="J3">
        <f t="shared" ref="J3:J38" si="0">(E3*2240)+(F3*112)+(G3*28)+(H3)</f>
        <v>0</v>
      </c>
      <c r="L3">
        <f t="shared" ref="L3:L4" si="1">J3/2240</f>
        <v>0</v>
      </c>
    </row>
    <row r="4" spans="1:16" x14ac:dyDescent="0.25">
      <c r="A4">
        <v>1716</v>
      </c>
      <c r="B4" t="s">
        <v>28</v>
      </c>
      <c r="C4" t="s">
        <v>121</v>
      </c>
      <c r="D4" t="s">
        <v>8</v>
      </c>
      <c r="J4">
        <f t="shared" si="0"/>
        <v>0</v>
      </c>
      <c r="L4">
        <f t="shared" si="1"/>
        <v>0</v>
      </c>
    </row>
    <row r="5" spans="1:16" x14ac:dyDescent="0.25">
      <c r="A5">
        <v>1716</v>
      </c>
      <c r="B5" t="s">
        <v>17</v>
      </c>
      <c r="C5" t="s">
        <v>121</v>
      </c>
      <c r="D5" t="s">
        <v>8</v>
      </c>
      <c r="F5">
        <v>49344</v>
      </c>
      <c r="H5">
        <v>3</v>
      </c>
      <c r="J5">
        <f t="shared" si="0"/>
        <v>5526531</v>
      </c>
      <c r="L5">
        <f t="shared" ref="L5:L38" si="2">J5/2240</f>
        <v>2467.2013392857143</v>
      </c>
    </row>
    <row r="6" spans="1:16" x14ac:dyDescent="0.25">
      <c r="A6">
        <v>1716</v>
      </c>
      <c r="B6" t="s">
        <v>18</v>
      </c>
      <c r="C6" t="s">
        <v>121</v>
      </c>
      <c r="D6" t="s">
        <v>8</v>
      </c>
      <c r="J6">
        <f t="shared" si="0"/>
        <v>0</v>
      </c>
      <c r="L6">
        <f t="shared" si="2"/>
        <v>0</v>
      </c>
    </row>
    <row r="7" spans="1:16" x14ac:dyDescent="0.25">
      <c r="A7">
        <v>1716</v>
      </c>
      <c r="B7" t="s">
        <v>16</v>
      </c>
      <c r="C7" t="s">
        <v>121</v>
      </c>
      <c r="D7" t="s">
        <v>8</v>
      </c>
      <c r="F7">
        <v>57</v>
      </c>
      <c r="G7">
        <v>2</v>
      </c>
      <c r="J7">
        <f t="shared" si="0"/>
        <v>6440</v>
      </c>
      <c r="L7">
        <f t="shared" si="2"/>
        <v>2.875</v>
      </c>
    </row>
    <row r="8" spans="1:16" x14ac:dyDescent="0.25">
      <c r="A8">
        <v>1716</v>
      </c>
      <c r="B8" t="s">
        <v>9</v>
      </c>
      <c r="C8" t="s">
        <v>121</v>
      </c>
      <c r="D8" t="s">
        <v>8</v>
      </c>
      <c r="H8">
        <v>737</v>
      </c>
      <c r="J8">
        <f t="shared" si="0"/>
        <v>737</v>
      </c>
      <c r="L8">
        <f t="shared" si="2"/>
        <v>0.32901785714285714</v>
      </c>
    </row>
    <row r="9" spans="1:16" x14ac:dyDescent="0.25">
      <c r="A9">
        <v>1716</v>
      </c>
      <c r="B9" t="s">
        <v>21</v>
      </c>
      <c r="C9" t="s">
        <v>121</v>
      </c>
      <c r="D9" t="s">
        <v>8</v>
      </c>
      <c r="J9">
        <f t="shared" si="0"/>
        <v>0</v>
      </c>
      <c r="L9">
        <f t="shared" si="2"/>
        <v>0</v>
      </c>
    </row>
    <row r="10" spans="1:16" x14ac:dyDescent="0.25">
      <c r="A10">
        <v>1716</v>
      </c>
      <c r="B10" t="s">
        <v>35</v>
      </c>
      <c r="C10" t="s">
        <v>121</v>
      </c>
      <c r="D10" t="s">
        <v>8</v>
      </c>
      <c r="E10">
        <v>32</v>
      </c>
      <c r="G10">
        <v>2</v>
      </c>
      <c r="H10">
        <v>7</v>
      </c>
      <c r="J10">
        <f t="shared" si="0"/>
        <v>71743</v>
      </c>
      <c r="L10">
        <f t="shared" si="2"/>
        <v>32.028125000000003</v>
      </c>
    </row>
    <row r="11" spans="1:16" x14ac:dyDescent="0.25">
      <c r="A11">
        <v>1716</v>
      </c>
      <c r="B11" t="s">
        <v>24</v>
      </c>
      <c r="C11" t="s">
        <v>121</v>
      </c>
      <c r="D11" t="s">
        <v>8</v>
      </c>
      <c r="F11">
        <v>17</v>
      </c>
      <c r="G11">
        <v>1</v>
      </c>
      <c r="H11">
        <v>14</v>
      </c>
      <c r="J11">
        <f t="shared" si="0"/>
        <v>1946</v>
      </c>
      <c r="L11">
        <f t="shared" si="2"/>
        <v>0.86875000000000002</v>
      </c>
    </row>
    <row r="12" spans="1:16" x14ac:dyDescent="0.25">
      <c r="A12">
        <v>1716</v>
      </c>
      <c r="B12" t="s">
        <v>36</v>
      </c>
      <c r="C12" t="s">
        <v>121</v>
      </c>
      <c r="D12" t="s">
        <v>8</v>
      </c>
      <c r="H12">
        <v>49</v>
      </c>
      <c r="J12">
        <f t="shared" si="0"/>
        <v>49</v>
      </c>
      <c r="L12">
        <f t="shared" si="2"/>
        <v>2.1874999999999999E-2</v>
      </c>
    </row>
    <row r="13" spans="1:16" x14ac:dyDescent="0.25">
      <c r="A13">
        <v>1716</v>
      </c>
      <c r="B13" t="s">
        <v>20</v>
      </c>
      <c r="C13" t="s">
        <v>121</v>
      </c>
      <c r="D13" t="s">
        <v>8</v>
      </c>
      <c r="J13">
        <f t="shared" si="0"/>
        <v>0</v>
      </c>
      <c r="L13">
        <f t="shared" si="2"/>
        <v>0</v>
      </c>
    </row>
    <row r="14" spans="1:16" x14ac:dyDescent="0.25">
      <c r="A14">
        <v>1716</v>
      </c>
      <c r="B14" t="s">
        <v>10</v>
      </c>
      <c r="C14" t="s">
        <v>121</v>
      </c>
      <c r="D14" t="s">
        <v>8</v>
      </c>
      <c r="H14">
        <v>40992</v>
      </c>
      <c r="J14">
        <f t="shared" si="0"/>
        <v>40992</v>
      </c>
      <c r="L14">
        <f t="shared" si="2"/>
        <v>18.3</v>
      </c>
    </row>
    <row r="15" spans="1:16" x14ac:dyDescent="0.25">
      <c r="A15">
        <v>1716</v>
      </c>
      <c r="B15" t="s">
        <v>40</v>
      </c>
      <c r="C15" t="s">
        <v>121</v>
      </c>
      <c r="D15" t="s">
        <v>8</v>
      </c>
      <c r="F15">
        <v>30</v>
      </c>
      <c r="H15">
        <v>25</v>
      </c>
      <c r="J15">
        <f t="shared" si="0"/>
        <v>3385</v>
      </c>
      <c r="L15">
        <f t="shared" si="2"/>
        <v>1.5111607142857142</v>
      </c>
    </row>
    <row r="16" spans="1:16" x14ac:dyDescent="0.25">
      <c r="A16">
        <v>1716</v>
      </c>
      <c r="B16" t="s">
        <v>13</v>
      </c>
      <c r="C16" t="s">
        <v>121</v>
      </c>
      <c r="D16" t="s">
        <v>8</v>
      </c>
      <c r="H16">
        <v>11</v>
      </c>
      <c r="J16">
        <f t="shared" si="0"/>
        <v>11</v>
      </c>
      <c r="L16">
        <f t="shared" si="2"/>
        <v>4.9107142857142856E-3</v>
      </c>
    </row>
    <row r="17" spans="1:12" x14ac:dyDescent="0.25">
      <c r="A17">
        <v>1716</v>
      </c>
      <c r="B17" t="s">
        <v>22</v>
      </c>
      <c r="C17" t="s">
        <v>121</v>
      </c>
      <c r="D17" t="s">
        <v>8</v>
      </c>
      <c r="H17">
        <v>7022</v>
      </c>
      <c r="I17" t="s">
        <v>92</v>
      </c>
      <c r="J17">
        <f t="shared" si="0"/>
        <v>7022</v>
      </c>
      <c r="L17">
        <f t="shared" si="2"/>
        <v>3.1348214285714286</v>
      </c>
    </row>
    <row r="18" spans="1:12" x14ac:dyDescent="0.25">
      <c r="A18">
        <v>1716</v>
      </c>
      <c r="B18" t="s">
        <v>23</v>
      </c>
      <c r="C18" t="s">
        <v>121</v>
      </c>
      <c r="D18" t="s">
        <v>8</v>
      </c>
      <c r="J18">
        <f t="shared" si="0"/>
        <v>0</v>
      </c>
      <c r="L18">
        <f t="shared" si="2"/>
        <v>0</v>
      </c>
    </row>
    <row r="19" spans="1:12" x14ac:dyDescent="0.25">
      <c r="A19">
        <v>1716</v>
      </c>
      <c r="B19" t="s">
        <v>37</v>
      </c>
      <c r="C19" t="s">
        <v>121</v>
      </c>
      <c r="D19" t="s">
        <v>8</v>
      </c>
      <c r="J19">
        <f t="shared" si="0"/>
        <v>0</v>
      </c>
      <c r="L19">
        <f t="shared" si="2"/>
        <v>0</v>
      </c>
    </row>
    <row r="20" spans="1:12" x14ac:dyDescent="0.25">
      <c r="A20">
        <v>1716</v>
      </c>
      <c r="B20" t="s">
        <v>29</v>
      </c>
      <c r="C20" t="s">
        <v>121</v>
      </c>
      <c r="D20" t="s">
        <v>8</v>
      </c>
      <c r="H20">
        <v>8422</v>
      </c>
      <c r="I20" t="s">
        <v>91</v>
      </c>
      <c r="J20">
        <f t="shared" si="0"/>
        <v>8422</v>
      </c>
      <c r="L20">
        <f t="shared" si="2"/>
        <v>3.7598214285714286</v>
      </c>
    </row>
    <row r="21" spans="1:12" x14ac:dyDescent="0.25">
      <c r="A21">
        <v>1716</v>
      </c>
      <c r="B21" t="s">
        <v>23</v>
      </c>
      <c r="C21" t="s">
        <v>121</v>
      </c>
      <c r="D21" t="s">
        <v>8</v>
      </c>
      <c r="H21">
        <v>9</v>
      </c>
      <c r="J21">
        <f t="shared" si="0"/>
        <v>9</v>
      </c>
      <c r="L21">
        <f t="shared" si="2"/>
        <v>4.0178571428571425E-3</v>
      </c>
    </row>
    <row r="22" spans="1:12" x14ac:dyDescent="0.25">
      <c r="A22">
        <v>1716</v>
      </c>
      <c r="B22" t="s">
        <v>49</v>
      </c>
      <c r="C22" t="s">
        <v>121</v>
      </c>
      <c r="D22" t="s">
        <v>12</v>
      </c>
      <c r="F22">
        <v>35</v>
      </c>
      <c r="J22">
        <f t="shared" si="0"/>
        <v>3920</v>
      </c>
      <c r="L22">
        <f t="shared" si="2"/>
        <v>1.75</v>
      </c>
    </row>
    <row r="23" spans="1:12" x14ac:dyDescent="0.25">
      <c r="A23">
        <v>1716</v>
      </c>
      <c r="B23" t="s">
        <v>17</v>
      </c>
      <c r="C23" t="s">
        <v>121</v>
      </c>
      <c r="D23" t="s">
        <v>12</v>
      </c>
      <c r="F23">
        <v>15821</v>
      </c>
      <c r="G23">
        <v>1</v>
      </c>
      <c r="H23">
        <v>5</v>
      </c>
      <c r="J23">
        <f t="shared" si="0"/>
        <v>1771985</v>
      </c>
      <c r="L23">
        <f t="shared" si="2"/>
        <v>791.06473214285711</v>
      </c>
    </row>
    <row r="24" spans="1:12" x14ac:dyDescent="0.25">
      <c r="A24">
        <v>1716</v>
      </c>
      <c r="B24" t="s">
        <v>10</v>
      </c>
      <c r="C24" t="s">
        <v>121</v>
      </c>
      <c r="D24" t="s">
        <v>12</v>
      </c>
      <c r="H24">
        <v>40772</v>
      </c>
      <c r="J24">
        <f t="shared" si="0"/>
        <v>40772</v>
      </c>
      <c r="L24">
        <f t="shared" si="2"/>
        <v>18.201785714285716</v>
      </c>
    </row>
    <row r="25" spans="1:12" x14ac:dyDescent="0.25">
      <c r="A25">
        <v>1716</v>
      </c>
      <c r="B25" t="s">
        <v>40</v>
      </c>
      <c r="C25" t="s">
        <v>121</v>
      </c>
      <c r="D25" t="s">
        <v>12</v>
      </c>
      <c r="F25">
        <v>27</v>
      </c>
      <c r="H25">
        <v>22</v>
      </c>
      <c r="J25">
        <f t="shared" si="0"/>
        <v>3046</v>
      </c>
      <c r="L25">
        <f t="shared" si="2"/>
        <v>1.3598214285714285</v>
      </c>
    </row>
    <row r="26" spans="1:12" x14ac:dyDescent="0.25">
      <c r="A26">
        <v>1716</v>
      </c>
      <c r="B26" t="s">
        <v>25</v>
      </c>
      <c r="C26" t="s">
        <v>121</v>
      </c>
      <c r="D26" t="s">
        <v>12</v>
      </c>
      <c r="F26">
        <v>30</v>
      </c>
      <c r="G26">
        <v>1</v>
      </c>
      <c r="H26">
        <v>9</v>
      </c>
      <c r="J26">
        <f t="shared" si="0"/>
        <v>3397</v>
      </c>
      <c r="L26">
        <f t="shared" si="2"/>
        <v>1.5165178571428573</v>
      </c>
    </row>
    <row r="27" spans="1:12" x14ac:dyDescent="0.25">
      <c r="A27">
        <v>1716</v>
      </c>
      <c r="B27" t="s">
        <v>95</v>
      </c>
      <c r="C27" t="s">
        <v>121</v>
      </c>
      <c r="D27" t="s">
        <v>12</v>
      </c>
      <c r="H27">
        <v>23507</v>
      </c>
      <c r="J27">
        <f t="shared" si="0"/>
        <v>23507</v>
      </c>
      <c r="L27">
        <f t="shared" si="2"/>
        <v>10.494196428571428</v>
      </c>
    </row>
    <row r="28" spans="1:12" x14ac:dyDescent="0.25">
      <c r="A28">
        <v>1716</v>
      </c>
      <c r="B28" t="s">
        <v>9</v>
      </c>
      <c r="C28" t="s">
        <v>121</v>
      </c>
      <c r="D28" t="s">
        <v>12</v>
      </c>
      <c r="H28">
        <v>1372</v>
      </c>
      <c r="J28">
        <f t="shared" si="0"/>
        <v>1372</v>
      </c>
      <c r="L28">
        <f t="shared" si="2"/>
        <v>0.61250000000000004</v>
      </c>
    </row>
    <row r="29" spans="1:12" x14ac:dyDescent="0.25">
      <c r="A29">
        <v>1716</v>
      </c>
      <c r="B29" t="s">
        <v>35</v>
      </c>
      <c r="C29" t="s">
        <v>121</v>
      </c>
      <c r="D29" t="s">
        <v>12</v>
      </c>
      <c r="F29">
        <v>47</v>
      </c>
      <c r="G29">
        <v>1</v>
      </c>
      <c r="H29">
        <v>18</v>
      </c>
      <c r="J29">
        <f t="shared" si="0"/>
        <v>5310</v>
      </c>
      <c r="L29">
        <f t="shared" si="2"/>
        <v>2.3705357142857144</v>
      </c>
    </row>
    <row r="30" spans="1:12" x14ac:dyDescent="0.25">
      <c r="A30">
        <v>1716</v>
      </c>
      <c r="B30" t="s">
        <v>21</v>
      </c>
      <c r="C30" t="s">
        <v>121</v>
      </c>
      <c r="D30" t="s">
        <v>12</v>
      </c>
      <c r="J30">
        <f t="shared" si="0"/>
        <v>0</v>
      </c>
      <c r="L30">
        <f t="shared" si="2"/>
        <v>0</v>
      </c>
    </row>
    <row r="31" spans="1:12" x14ac:dyDescent="0.25">
      <c r="A31">
        <v>1716</v>
      </c>
      <c r="B31" t="s">
        <v>16</v>
      </c>
      <c r="C31" t="s">
        <v>121</v>
      </c>
      <c r="D31" t="s">
        <v>12</v>
      </c>
      <c r="F31">
        <v>60</v>
      </c>
      <c r="J31">
        <f t="shared" si="0"/>
        <v>6720</v>
      </c>
      <c r="L31">
        <f t="shared" si="2"/>
        <v>3</v>
      </c>
    </row>
    <row r="32" spans="1:12" x14ac:dyDescent="0.25">
      <c r="A32">
        <v>1716</v>
      </c>
      <c r="B32" t="s">
        <v>82</v>
      </c>
      <c r="C32" t="s">
        <v>121</v>
      </c>
      <c r="D32" t="s">
        <v>12</v>
      </c>
      <c r="F32">
        <v>15</v>
      </c>
      <c r="G32">
        <v>3</v>
      </c>
      <c r="H32">
        <v>9</v>
      </c>
      <c r="J32">
        <f t="shared" si="0"/>
        <v>1773</v>
      </c>
      <c r="L32">
        <f t="shared" si="2"/>
        <v>0.79151785714285716</v>
      </c>
    </row>
    <row r="33" spans="1:12" x14ac:dyDescent="0.25">
      <c r="A33">
        <v>1716</v>
      </c>
      <c r="B33" t="s">
        <v>27</v>
      </c>
      <c r="C33" t="s">
        <v>121</v>
      </c>
      <c r="D33" t="s">
        <v>12</v>
      </c>
      <c r="F33">
        <v>6</v>
      </c>
      <c r="G33">
        <v>3</v>
      </c>
      <c r="H33">
        <v>24</v>
      </c>
      <c r="J33">
        <f t="shared" si="0"/>
        <v>780</v>
      </c>
      <c r="L33">
        <f t="shared" si="2"/>
        <v>0.3482142857142857</v>
      </c>
    </row>
    <row r="34" spans="1:12" x14ac:dyDescent="0.25">
      <c r="A34">
        <v>1716</v>
      </c>
      <c r="B34" t="s">
        <v>22</v>
      </c>
      <c r="C34" t="s">
        <v>121</v>
      </c>
      <c r="D34" t="s">
        <v>12</v>
      </c>
      <c r="H34">
        <v>3210</v>
      </c>
      <c r="I34" t="s">
        <v>108</v>
      </c>
      <c r="J34">
        <f t="shared" si="0"/>
        <v>3210</v>
      </c>
      <c r="L34">
        <f t="shared" si="2"/>
        <v>1.4330357142857142</v>
      </c>
    </row>
    <row r="35" spans="1:12" x14ac:dyDescent="0.25">
      <c r="A35">
        <v>1716</v>
      </c>
      <c r="B35" t="s">
        <v>24</v>
      </c>
      <c r="C35" t="s">
        <v>121</v>
      </c>
      <c r="D35" t="s">
        <v>12</v>
      </c>
      <c r="F35">
        <v>4</v>
      </c>
      <c r="H35">
        <v>16</v>
      </c>
      <c r="J35">
        <f t="shared" si="0"/>
        <v>464</v>
      </c>
      <c r="L35">
        <f t="shared" si="2"/>
        <v>0.20714285714285716</v>
      </c>
    </row>
    <row r="36" spans="1:12" x14ac:dyDescent="0.25">
      <c r="A36">
        <v>1716</v>
      </c>
      <c r="B36" t="s">
        <v>44</v>
      </c>
      <c r="C36" t="s">
        <v>121</v>
      </c>
      <c r="D36" t="s">
        <v>12</v>
      </c>
      <c r="H36">
        <v>36</v>
      </c>
      <c r="J36">
        <f t="shared" si="0"/>
        <v>36</v>
      </c>
      <c r="L36">
        <f t="shared" si="2"/>
        <v>1.607142857142857E-2</v>
      </c>
    </row>
    <row r="37" spans="1:12" x14ac:dyDescent="0.25">
      <c r="A37">
        <v>1716</v>
      </c>
      <c r="B37" t="s">
        <v>20</v>
      </c>
      <c r="C37" t="s">
        <v>121</v>
      </c>
      <c r="D37" t="s">
        <v>12</v>
      </c>
      <c r="H37">
        <v>3600</v>
      </c>
      <c r="J37">
        <f t="shared" si="0"/>
        <v>3600</v>
      </c>
      <c r="L37">
        <f t="shared" si="2"/>
        <v>1.6071428571428572</v>
      </c>
    </row>
    <row r="38" spans="1:12" x14ac:dyDescent="0.25">
      <c r="A38">
        <v>1716</v>
      </c>
      <c r="B38" t="s">
        <v>23</v>
      </c>
      <c r="C38" t="s">
        <v>121</v>
      </c>
      <c r="D38" t="s">
        <v>12</v>
      </c>
      <c r="H38">
        <v>2.5</v>
      </c>
      <c r="J38">
        <f t="shared" si="0"/>
        <v>2.5</v>
      </c>
      <c r="L38">
        <f t="shared" si="2"/>
        <v>1.1160714285714285E-3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dimension ref="A1:L23"/>
  <sheetViews>
    <sheetView workbookViewId="0">
      <selection activeCell="C2" sqref="C2:C23"/>
    </sheetView>
  </sheetViews>
  <sheetFormatPr defaultRowHeight="15" x14ac:dyDescent="0.25"/>
  <cols>
    <col min="2" max="2" width="18.5703125" customWidth="1"/>
    <col min="3" max="3" width="17.85546875" customWidth="1"/>
  </cols>
  <sheetData>
    <row r="1" spans="1:12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57</v>
      </c>
      <c r="F1" s="1" t="s">
        <v>58</v>
      </c>
      <c r="G1" s="1" t="s">
        <v>59</v>
      </c>
      <c r="H1" s="1" t="s">
        <v>60</v>
      </c>
      <c r="I1" s="1"/>
      <c r="J1" s="1" t="s">
        <v>6</v>
      </c>
      <c r="K1" s="1"/>
      <c r="L1" s="1" t="s">
        <v>114</v>
      </c>
    </row>
    <row r="2" spans="1:12" x14ac:dyDescent="0.25">
      <c r="A2">
        <v>1716</v>
      </c>
      <c r="B2" t="s">
        <v>25</v>
      </c>
      <c r="C2" t="s">
        <v>122</v>
      </c>
      <c r="D2" t="s">
        <v>8</v>
      </c>
      <c r="F2">
        <v>40</v>
      </c>
      <c r="G2">
        <v>3</v>
      </c>
      <c r="H2">
        <v>27</v>
      </c>
      <c r="J2">
        <f>(E2*2240)+(F2*112)+(G2*28)+(H2/16)</f>
        <v>4565.6875</v>
      </c>
      <c r="L2">
        <f>J2/2240</f>
        <v>2.0382533482142855</v>
      </c>
    </row>
    <row r="3" spans="1:12" x14ac:dyDescent="0.25">
      <c r="A3">
        <v>1716</v>
      </c>
      <c r="B3" t="s">
        <v>26</v>
      </c>
      <c r="C3" t="s">
        <v>122</v>
      </c>
      <c r="D3" t="s">
        <v>8</v>
      </c>
      <c r="H3">
        <v>2392</v>
      </c>
      <c r="J3">
        <f t="shared" ref="J3:J15" si="0">(E3*2240)+(F3*112)+(G3*28)+(H3/16)</f>
        <v>149.5</v>
      </c>
      <c r="L3">
        <f t="shared" ref="L3:L15" si="1">J3/2240</f>
        <v>6.6741071428571427E-2</v>
      </c>
    </row>
    <row r="4" spans="1:12" x14ac:dyDescent="0.25">
      <c r="A4">
        <v>1716</v>
      </c>
      <c r="B4" t="s">
        <v>16</v>
      </c>
      <c r="C4" t="s">
        <v>122</v>
      </c>
      <c r="D4" t="s">
        <v>8</v>
      </c>
      <c r="J4">
        <f t="shared" si="0"/>
        <v>0</v>
      </c>
      <c r="L4">
        <f t="shared" si="1"/>
        <v>0</v>
      </c>
    </row>
    <row r="5" spans="1:12" x14ac:dyDescent="0.25">
      <c r="A5">
        <v>1716</v>
      </c>
      <c r="B5" t="s">
        <v>17</v>
      </c>
      <c r="C5" t="s">
        <v>122</v>
      </c>
      <c r="D5" t="s">
        <v>8</v>
      </c>
      <c r="F5">
        <v>64670</v>
      </c>
      <c r="G5">
        <v>3</v>
      </c>
      <c r="H5">
        <v>22</v>
      </c>
      <c r="J5">
        <f t="shared" si="0"/>
        <v>7243125.375</v>
      </c>
      <c r="L5">
        <f t="shared" si="1"/>
        <v>3233.5381138392859</v>
      </c>
    </row>
    <row r="6" spans="1:12" x14ac:dyDescent="0.25">
      <c r="A6">
        <v>1716</v>
      </c>
      <c r="B6" t="s">
        <v>9</v>
      </c>
      <c r="C6" t="s">
        <v>122</v>
      </c>
      <c r="D6" t="s">
        <v>8</v>
      </c>
      <c r="H6">
        <v>3904</v>
      </c>
      <c r="J6">
        <f t="shared" si="0"/>
        <v>244</v>
      </c>
      <c r="L6">
        <f t="shared" si="1"/>
        <v>0.10892857142857143</v>
      </c>
    </row>
    <row r="7" spans="1:12" x14ac:dyDescent="0.25">
      <c r="A7">
        <v>1716</v>
      </c>
      <c r="B7" t="s">
        <v>10</v>
      </c>
      <c r="C7" t="s">
        <v>122</v>
      </c>
      <c r="D7" t="s">
        <v>8</v>
      </c>
      <c r="H7">
        <v>31808</v>
      </c>
      <c r="J7">
        <f t="shared" si="0"/>
        <v>1988</v>
      </c>
      <c r="L7">
        <f t="shared" si="1"/>
        <v>0.88749999999999996</v>
      </c>
    </row>
    <row r="8" spans="1:12" x14ac:dyDescent="0.25">
      <c r="A8">
        <v>1716</v>
      </c>
      <c r="B8" t="s">
        <v>40</v>
      </c>
      <c r="C8" t="s">
        <v>122</v>
      </c>
      <c r="D8" t="s">
        <v>8</v>
      </c>
      <c r="F8">
        <v>31</v>
      </c>
      <c r="H8">
        <v>13</v>
      </c>
      <c r="J8">
        <f t="shared" si="0"/>
        <v>3472.8125</v>
      </c>
      <c r="L8">
        <f t="shared" si="1"/>
        <v>1.5503627232142858</v>
      </c>
    </row>
    <row r="9" spans="1:12" x14ac:dyDescent="0.25">
      <c r="A9">
        <v>1716</v>
      </c>
      <c r="B9" t="s">
        <v>15</v>
      </c>
      <c r="C9" t="s">
        <v>122</v>
      </c>
      <c r="D9" t="s">
        <v>8</v>
      </c>
      <c r="F9">
        <v>90</v>
      </c>
      <c r="G9">
        <v>3</v>
      </c>
      <c r="J9">
        <f t="shared" si="0"/>
        <v>10164</v>
      </c>
      <c r="L9">
        <f t="shared" si="1"/>
        <v>4.5374999999999996</v>
      </c>
    </row>
    <row r="10" spans="1:12" x14ac:dyDescent="0.25">
      <c r="A10">
        <v>1716</v>
      </c>
      <c r="B10" t="s">
        <v>35</v>
      </c>
      <c r="C10" t="s">
        <v>122</v>
      </c>
      <c r="D10" t="s">
        <v>8</v>
      </c>
      <c r="E10">
        <v>61</v>
      </c>
      <c r="F10">
        <v>19</v>
      </c>
      <c r="H10">
        <v>6</v>
      </c>
      <c r="J10">
        <f t="shared" si="0"/>
        <v>138768.375</v>
      </c>
      <c r="L10">
        <f t="shared" si="1"/>
        <v>61.950167410714286</v>
      </c>
    </row>
    <row r="11" spans="1:12" x14ac:dyDescent="0.25">
      <c r="A11">
        <v>1716</v>
      </c>
      <c r="B11" t="s">
        <v>67</v>
      </c>
      <c r="C11" t="s">
        <v>122</v>
      </c>
      <c r="D11" t="s">
        <v>8</v>
      </c>
      <c r="E11">
        <v>6</v>
      </c>
      <c r="F11">
        <v>13</v>
      </c>
      <c r="G11">
        <v>2</v>
      </c>
      <c r="H11">
        <v>14</v>
      </c>
      <c r="J11">
        <f t="shared" si="0"/>
        <v>14952.875</v>
      </c>
      <c r="L11">
        <f t="shared" si="1"/>
        <v>6.6753906250000004</v>
      </c>
    </row>
    <row r="12" spans="1:12" x14ac:dyDescent="0.25">
      <c r="A12">
        <v>1716</v>
      </c>
      <c r="B12" t="s">
        <v>24</v>
      </c>
      <c r="C12" t="s">
        <v>122</v>
      </c>
      <c r="D12" t="s">
        <v>8</v>
      </c>
      <c r="F12">
        <v>16</v>
      </c>
      <c r="H12">
        <v>10</v>
      </c>
      <c r="J12">
        <f t="shared" si="0"/>
        <v>1792.625</v>
      </c>
      <c r="L12">
        <f t="shared" si="1"/>
        <v>0.80027901785714284</v>
      </c>
    </row>
    <row r="13" spans="1:12" x14ac:dyDescent="0.25">
      <c r="A13">
        <v>1716</v>
      </c>
      <c r="B13" t="s">
        <v>36</v>
      </c>
      <c r="C13" t="s">
        <v>122</v>
      </c>
      <c r="D13" t="s">
        <v>8</v>
      </c>
      <c r="H13">
        <v>253</v>
      </c>
      <c r="J13">
        <f t="shared" si="0"/>
        <v>15.8125</v>
      </c>
      <c r="L13">
        <f t="shared" si="1"/>
        <v>7.0591517857142858E-3</v>
      </c>
    </row>
    <row r="14" spans="1:12" x14ac:dyDescent="0.25">
      <c r="A14">
        <v>1716</v>
      </c>
      <c r="B14" t="s">
        <v>49</v>
      </c>
      <c r="C14" t="s">
        <v>122</v>
      </c>
      <c r="D14" t="s">
        <v>8</v>
      </c>
      <c r="F14">
        <v>6</v>
      </c>
      <c r="G14">
        <v>1</v>
      </c>
      <c r="H14">
        <v>14</v>
      </c>
      <c r="J14">
        <f t="shared" si="0"/>
        <v>700.875</v>
      </c>
      <c r="L14">
        <f t="shared" si="1"/>
        <v>0.31289062499999998</v>
      </c>
    </row>
    <row r="15" spans="1:12" x14ac:dyDescent="0.25">
      <c r="A15">
        <v>1716</v>
      </c>
      <c r="B15" t="s">
        <v>32</v>
      </c>
      <c r="C15" t="s">
        <v>122</v>
      </c>
      <c r="D15" t="s">
        <v>8</v>
      </c>
      <c r="H15">
        <v>2000</v>
      </c>
      <c r="J15">
        <f t="shared" si="0"/>
        <v>125</v>
      </c>
      <c r="L15">
        <f t="shared" si="1"/>
        <v>5.5803571428571432E-2</v>
      </c>
    </row>
    <row r="16" spans="1:12" x14ac:dyDescent="0.25">
      <c r="A16">
        <v>1716</v>
      </c>
      <c r="B16" t="s">
        <v>22</v>
      </c>
      <c r="C16" t="s">
        <v>122</v>
      </c>
      <c r="D16" t="s">
        <v>8</v>
      </c>
      <c r="H16">
        <v>6148</v>
      </c>
      <c r="I16" t="s">
        <v>94</v>
      </c>
      <c r="J16">
        <f>(E16*2240)+(F16*112)+(G16*28)+(H16/16)</f>
        <v>384.25</v>
      </c>
      <c r="L16">
        <f>J16/2240</f>
        <v>0.17154017857142856</v>
      </c>
    </row>
    <row r="17" spans="1:12" x14ac:dyDescent="0.25">
      <c r="A17">
        <v>1716</v>
      </c>
      <c r="B17" t="s">
        <v>25</v>
      </c>
      <c r="C17" t="s">
        <v>122</v>
      </c>
      <c r="D17" t="s">
        <v>12</v>
      </c>
      <c r="F17">
        <v>4</v>
      </c>
      <c r="G17">
        <v>2</v>
      </c>
      <c r="H17">
        <v>22</v>
      </c>
      <c r="J17">
        <f t="shared" ref="J17:J23" si="2">(E17*2240)+(F17*112)+(G17*28)+(H17/16)</f>
        <v>505.375</v>
      </c>
      <c r="L17">
        <f t="shared" ref="L17:L23" si="3">J17/2240</f>
        <v>0.2256138392857143</v>
      </c>
    </row>
    <row r="18" spans="1:12" x14ac:dyDescent="0.25">
      <c r="A18">
        <v>1716</v>
      </c>
      <c r="B18" t="s">
        <v>9</v>
      </c>
      <c r="C18" t="s">
        <v>122</v>
      </c>
      <c r="D18" t="s">
        <v>12</v>
      </c>
      <c r="H18">
        <v>2458</v>
      </c>
      <c r="J18">
        <f t="shared" si="2"/>
        <v>153.625</v>
      </c>
      <c r="L18">
        <f t="shared" si="3"/>
        <v>6.8582589285714285E-2</v>
      </c>
    </row>
    <row r="19" spans="1:12" x14ac:dyDescent="0.25">
      <c r="A19">
        <v>1716</v>
      </c>
      <c r="B19" t="s">
        <v>35</v>
      </c>
      <c r="C19" t="s">
        <v>122</v>
      </c>
      <c r="D19" t="s">
        <v>12</v>
      </c>
      <c r="F19">
        <v>125</v>
      </c>
      <c r="G19">
        <v>1</v>
      </c>
      <c r="H19">
        <v>19</v>
      </c>
      <c r="J19">
        <f t="shared" si="2"/>
        <v>14029.1875</v>
      </c>
      <c r="L19">
        <f t="shared" si="3"/>
        <v>6.263030133928571</v>
      </c>
    </row>
    <row r="20" spans="1:12" x14ac:dyDescent="0.25">
      <c r="A20">
        <v>1716</v>
      </c>
      <c r="B20" t="s">
        <v>16</v>
      </c>
      <c r="C20" t="s">
        <v>122</v>
      </c>
      <c r="D20" t="s">
        <v>12</v>
      </c>
      <c r="F20">
        <v>9</v>
      </c>
      <c r="H20">
        <v>11</v>
      </c>
      <c r="J20">
        <f t="shared" si="2"/>
        <v>1008.6875</v>
      </c>
      <c r="L20">
        <f t="shared" si="3"/>
        <v>0.45030691964285713</v>
      </c>
    </row>
    <row r="21" spans="1:12" x14ac:dyDescent="0.25">
      <c r="A21">
        <v>1716</v>
      </c>
      <c r="B21" t="s">
        <v>36</v>
      </c>
      <c r="C21" t="s">
        <v>122</v>
      </c>
      <c r="D21" t="s">
        <v>12</v>
      </c>
      <c r="H21">
        <v>98</v>
      </c>
      <c r="J21">
        <f t="shared" si="2"/>
        <v>6.125</v>
      </c>
      <c r="L21">
        <f t="shared" si="3"/>
        <v>2.7343749999999998E-3</v>
      </c>
    </row>
    <row r="22" spans="1:12" x14ac:dyDescent="0.25">
      <c r="A22">
        <v>1716</v>
      </c>
      <c r="B22" t="s">
        <v>17</v>
      </c>
      <c r="C22" t="s">
        <v>122</v>
      </c>
      <c r="D22" t="s">
        <v>12</v>
      </c>
      <c r="F22">
        <v>17147</v>
      </c>
      <c r="G22">
        <v>3</v>
      </c>
      <c r="H22">
        <v>10</v>
      </c>
      <c r="J22">
        <f t="shared" si="2"/>
        <v>1920548.625</v>
      </c>
      <c r="L22">
        <f t="shared" si="3"/>
        <v>857.38777901785716</v>
      </c>
    </row>
    <row r="23" spans="1:12" x14ac:dyDescent="0.25">
      <c r="A23">
        <v>1716</v>
      </c>
      <c r="B23" t="s">
        <v>10</v>
      </c>
      <c r="C23" t="s">
        <v>122</v>
      </c>
      <c r="D23" t="s">
        <v>12</v>
      </c>
      <c r="H23">
        <v>46646</v>
      </c>
      <c r="J23">
        <f t="shared" si="2"/>
        <v>2915.375</v>
      </c>
      <c r="L23">
        <f t="shared" si="3"/>
        <v>1.3015066964285715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dimension ref="A1:L34"/>
  <sheetViews>
    <sheetView workbookViewId="0">
      <selection activeCell="R39" sqref="R39"/>
    </sheetView>
  </sheetViews>
  <sheetFormatPr defaultRowHeight="15" x14ac:dyDescent="0.25"/>
  <cols>
    <col min="2" max="2" width="17.42578125" customWidth="1"/>
    <col min="3" max="3" width="15" customWidth="1"/>
  </cols>
  <sheetData>
    <row r="1" spans="1:12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57</v>
      </c>
      <c r="F1" s="1" t="s">
        <v>58</v>
      </c>
      <c r="G1" s="1" t="s">
        <v>59</v>
      </c>
      <c r="H1" s="1" t="s">
        <v>60</v>
      </c>
      <c r="I1" s="1"/>
      <c r="J1" s="1" t="s">
        <v>6</v>
      </c>
      <c r="K1" s="1"/>
      <c r="L1" s="1" t="s">
        <v>114</v>
      </c>
    </row>
    <row r="2" spans="1:12" x14ac:dyDescent="0.25">
      <c r="A2">
        <v>1716</v>
      </c>
      <c r="B2" t="s">
        <v>35</v>
      </c>
      <c r="C2" t="s">
        <v>123</v>
      </c>
      <c r="D2" t="s">
        <v>8</v>
      </c>
      <c r="J2">
        <f t="shared" ref="J2:J34" si="0">(E2*2240)+(F2*112)+(G2*28)+H2</f>
        <v>0</v>
      </c>
      <c r="K2" s="1"/>
      <c r="L2">
        <f t="shared" ref="L2:L34" si="1">J2/2240</f>
        <v>0</v>
      </c>
    </row>
    <row r="3" spans="1:12" x14ac:dyDescent="0.25">
      <c r="A3">
        <v>1716</v>
      </c>
      <c r="B3" t="s">
        <v>66</v>
      </c>
      <c r="C3" t="s">
        <v>123</v>
      </c>
      <c r="D3" t="s">
        <v>8</v>
      </c>
      <c r="E3">
        <v>35</v>
      </c>
      <c r="F3">
        <v>15</v>
      </c>
      <c r="H3">
        <v>20</v>
      </c>
      <c r="J3">
        <f t="shared" si="0"/>
        <v>80100</v>
      </c>
      <c r="K3" s="1"/>
      <c r="L3">
        <f t="shared" si="1"/>
        <v>35.758928571428569</v>
      </c>
    </row>
    <row r="4" spans="1:12" x14ac:dyDescent="0.25">
      <c r="A4">
        <v>1716</v>
      </c>
      <c r="B4" t="s">
        <v>68</v>
      </c>
      <c r="C4" t="s">
        <v>123</v>
      </c>
      <c r="D4" t="s">
        <v>8</v>
      </c>
      <c r="E4">
        <v>114</v>
      </c>
      <c r="F4">
        <v>9</v>
      </c>
      <c r="G4">
        <v>3</v>
      </c>
      <c r="H4">
        <v>20</v>
      </c>
      <c r="J4">
        <f t="shared" si="0"/>
        <v>256472</v>
      </c>
      <c r="K4" s="1"/>
      <c r="L4">
        <f t="shared" si="1"/>
        <v>114.49642857142857</v>
      </c>
    </row>
    <row r="5" spans="1:12" x14ac:dyDescent="0.25">
      <c r="A5">
        <v>1716</v>
      </c>
      <c r="B5" t="s">
        <v>67</v>
      </c>
      <c r="C5" t="s">
        <v>123</v>
      </c>
      <c r="D5" t="s">
        <v>8</v>
      </c>
      <c r="E5">
        <v>613</v>
      </c>
      <c r="F5">
        <v>12</v>
      </c>
      <c r="G5">
        <v>3</v>
      </c>
      <c r="H5">
        <v>7</v>
      </c>
      <c r="J5">
        <f t="shared" si="0"/>
        <v>1374555</v>
      </c>
      <c r="K5" s="1"/>
      <c r="L5">
        <f t="shared" si="1"/>
        <v>613.640625</v>
      </c>
    </row>
    <row r="6" spans="1:12" x14ac:dyDescent="0.25">
      <c r="A6">
        <v>1716</v>
      </c>
      <c r="B6" t="s">
        <v>73</v>
      </c>
      <c r="C6" t="s">
        <v>123</v>
      </c>
      <c r="D6" t="s">
        <v>8</v>
      </c>
      <c r="J6">
        <f t="shared" si="0"/>
        <v>0</v>
      </c>
      <c r="K6" s="1"/>
      <c r="L6">
        <f t="shared" si="1"/>
        <v>0</v>
      </c>
    </row>
    <row r="7" spans="1:12" x14ac:dyDescent="0.25">
      <c r="A7">
        <v>1716</v>
      </c>
      <c r="B7" t="s">
        <v>74</v>
      </c>
      <c r="C7" t="s">
        <v>123</v>
      </c>
      <c r="D7" t="s">
        <v>8</v>
      </c>
      <c r="J7">
        <f t="shared" si="0"/>
        <v>0</v>
      </c>
      <c r="K7" s="1"/>
      <c r="L7">
        <f t="shared" si="1"/>
        <v>0</v>
      </c>
    </row>
    <row r="8" spans="1:12" x14ac:dyDescent="0.25">
      <c r="A8">
        <v>1716</v>
      </c>
      <c r="B8" t="s">
        <v>15</v>
      </c>
      <c r="C8" t="s">
        <v>123</v>
      </c>
      <c r="D8" t="s">
        <v>8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1716</v>
      </c>
      <c r="B9" t="s">
        <v>16</v>
      </c>
      <c r="C9" t="s">
        <v>123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1716</v>
      </c>
      <c r="B10" t="s">
        <v>17</v>
      </c>
      <c r="C10" t="s">
        <v>123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1716</v>
      </c>
      <c r="B11" t="s">
        <v>18</v>
      </c>
      <c r="C11" t="s">
        <v>123</v>
      </c>
      <c r="D11" t="s">
        <v>8</v>
      </c>
      <c r="J11">
        <f t="shared" si="0"/>
        <v>0</v>
      </c>
      <c r="L11">
        <f t="shared" si="1"/>
        <v>0</v>
      </c>
    </row>
    <row r="12" spans="1:12" x14ac:dyDescent="0.25">
      <c r="A12">
        <v>1716</v>
      </c>
      <c r="B12" t="s">
        <v>27</v>
      </c>
      <c r="C12" t="s">
        <v>123</v>
      </c>
      <c r="D12" t="s">
        <v>8</v>
      </c>
      <c r="J12">
        <f t="shared" si="0"/>
        <v>0</v>
      </c>
      <c r="L12">
        <f t="shared" si="1"/>
        <v>0</v>
      </c>
    </row>
    <row r="13" spans="1:12" x14ac:dyDescent="0.25">
      <c r="A13">
        <v>1716</v>
      </c>
      <c r="B13" t="s">
        <v>24</v>
      </c>
      <c r="C13" t="s">
        <v>123</v>
      </c>
      <c r="D13" t="s">
        <v>8</v>
      </c>
      <c r="F13">
        <v>14</v>
      </c>
      <c r="G13">
        <v>1</v>
      </c>
      <c r="H13">
        <v>14</v>
      </c>
      <c r="J13">
        <f t="shared" si="0"/>
        <v>1610</v>
      </c>
      <c r="L13">
        <f t="shared" si="1"/>
        <v>0.71875</v>
      </c>
    </row>
    <row r="14" spans="1:12" x14ac:dyDescent="0.25">
      <c r="A14">
        <v>1716</v>
      </c>
      <c r="B14" t="s">
        <v>9</v>
      </c>
      <c r="C14" t="s">
        <v>123</v>
      </c>
      <c r="D14" t="s">
        <v>8</v>
      </c>
      <c r="J14">
        <f t="shared" si="0"/>
        <v>0</v>
      </c>
      <c r="L14">
        <f t="shared" si="1"/>
        <v>0</v>
      </c>
    </row>
    <row r="15" spans="1:12" x14ac:dyDescent="0.25">
      <c r="A15">
        <v>1716</v>
      </c>
      <c r="B15" t="s">
        <v>20</v>
      </c>
      <c r="C15" t="s">
        <v>123</v>
      </c>
      <c r="D15" t="s">
        <v>8</v>
      </c>
      <c r="H15">
        <v>200</v>
      </c>
      <c r="J15">
        <f t="shared" si="0"/>
        <v>200</v>
      </c>
      <c r="L15">
        <f t="shared" si="1"/>
        <v>8.9285714285714288E-2</v>
      </c>
    </row>
    <row r="16" spans="1:12" x14ac:dyDescent="0.25">
      <c r="A16">
        <v>1716</v>
      </c>
      <c r="B16" t="s">
        <v>10</v>
      </c>
      <c r="C16" t="s">
        <v>123</v>
      </c>
      <c r="D16" t="s">
        <v>8</v>
      </c>
      <c r="H16">
        <v>2912</v>
      </c>
      <c r="J16">
        <f t="shared" si="0"/>
        <v>2912</v>
      </c>
      <c r="L16">
        <f t="shared" si="1"/>
        <v>1.3</v>
      </c>
    </row>
    <row r="17" spans="1:12" x14ac:dyDescent="0.25">
      <c r="A17">
        <v>1716</v>
      </c>
      <c r="B17" t="s">
        <v>41</v>
      </c>
      <c r="C17" t="s">
        <v>123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1716</v>
      </c>
      <c r="B18" t="s">
        <v>31</v>
      </c>
      <c r="C18" t="s">
        <v>123</v>
      </c>
      <c r="D18" t="s">
        <v>8</v>
      </c>
      <c r="J18">
        <f t="shared" si="0"/>
        <v>0</v>
      </c>
      <c r="L18">
        <f t="shared" si="1"/>
        <v>0</v>
      </c>
    </row>
    <row r="19" spans="1:12" x14ac:dyDescent="0.25">
      <c r="A19">
        <v>1716</v>
      </c>
      <c r="B19" t="s">
        <v>23</v>
      </c>
      <c r="C19" t="s">
        <v>123</v>
      </c>
      <c r="D19" t="s">
        <v>8</v>
      </c>
      <c r="J19">
        <f t="shared" si="0"/>
        <v>0</v>
      </c>
      <c r="L19">
        <f t="shared" si="1"/>
        <v>0</v>
      </c>
    </row>
    <row r="20" spans="1:12" x14ac:dyDescent="0.25">
      <c r="A20">
        <v>1716</v>
      </c>
      <c r="B20" t="s">
        <v>40</v>
      </c>
      <c r="C20" t="s">
        <v>123</v>
      </c>
      <c r="D20" t="s">
        <v>8</v>
      </c>
      <c r="F20">
        <v>58</v>
      </c>
      <c r="J20">
        <f t="shared" si="0"/>
        <v>6496</v>
      </c>
      <c r="L20">
        <f t="shared" si="1"/>
        <v>2.9</v>
      </c>
    </row>
    <row r="21" spans="1:12" x14ac:dyDescent="0.25">
      <c r="A21">
        <v>1716</v>
      </c>
      <c r="B21" t="s">
        <v>22</v>
      </c>
      <c r="C21" t="s">
        <v>123</v>
      </c>
      <c r="D21" t="s">
        <v>8</v>
      </c>
      <c r="H21">
        <v>3875</v>
      </c>
      <c r="I21" t="s">
        <v>93</v>
      </c>
      <c r="J21">
        <f t="shared" si="0"/>
        <v>3875</v>
      </c>
      <c r="L21">
        <f t="shared" si="1"/>
        <v>1.7299107142857142</v>
      </c>
    </row>
    <row r="22" spans="1:12" x14ac:dyDescent="0.25">
      <c r="A22">
        <v>1716</v>
      </c>
      <c r="B22" t="s">
        <v>21</v>
      </c>
      <c r="C22" t="s">
        <v>123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1716</v>
      </c>
      <c r="B23" t="s">
        <v>29</v>
      </c>
      <c r="C23" t="s">
        <v>123</v>
      </c>
      <c r="D23" t="s">
        <v>8</v>
      </c>
      <c r="J23">
        <f t="shared" si="0"/>
        <v>0</v>
      </c>
      <c r="L23">
        <f t="shared" si="1"/>
        <v>0</v>
      </c>
    </row>
    <row r="24" spans="1:12" x14ac:dyDescent="0.25">
      <c r="A24">
        <v>1716</v>
      </c>
      <c r="B24" t="s">
        <v>35</v>
      </c>
      <c r="C24" t="s">
        <v>123</v>
      </c>
      <c r="D24" t="s">
        <v>12</v>
      </c>
      <c r="J24">
        <f t="shared" si="0"/>
        <v>0</v>
      </c>
      <c r="L24">
        <f t="shared" si="1"/>
        <v>0</v>
      </c>
    </row>
    <row r="25" spans="1:12" x14ac:dyDescent="0.25">
      <c r="A25">
        <v>1716</v>
      </c>
      <c r="B25" t="s">
        <v>15</v>
      </c>
      <c r="C25" t="s">
        <v>123</v>
      </c>
      <c r="D25" t="s">
        <v>12</v>
      </c>
      <c r="J25">
        <f t="shared" si="0"/>
        <v>0</v>
      </c>
      <c r="L25">
        <f t="shared" si="1"/>
        <v>0</v>
      </c>
    </row>
    <row r="26" spans="1:12" x14ac:dyDescent="0.25">
      <c r="A26">
        <v>1716</v>
      </c>
      <c r="B26" t="s">
        <v>16</v>
      </c>
      <c r="C26" t="s">
        <v>123</v>
      </c>
      <c r="D26" t="s">
        <v>12</v>
      </c>
      <c r="J26">
        <f t="shared" si="0"/>
        <v>0</v>
      </c>
      <c r="L26">
        <f t="shared" si="1"/>
        <v>0</v>
      </c>
    </row>
    <row r="27" spans="1:12" x14ac:dyDescent="0.25">
      <c r="A27">
        <v>1716</v>
      </c>
      <c r="B27" t="s">
        <v>17</v>
      </c>
      <c r="C27" t="s">
        <v>123</v>
      </c>
      <c r="D27" t="s">
        <v>12</v>
      </c>
      <c r="J27">
        <f t="shared" si="0"/>
        <v>0</v>
      </c>
      <c r="L27">
        <f t="shared" si="1"/>
        <v>0</v>
      </c>
    </row>
    <row r="28" spans="1:12" x14ac:dyDescent="0.25">
      <c r="A28">
        <v>1716</v>
      </c>
      <c r="B28" t="s">
        <v>27</v>
      </c>
      <c r="C28" t="s">
        <v>123</v>
      </c>
      <c r="D28" t="s">
        <v>12</v>
      </c>
      <c r="J28">
        <f t="shared" si="0"/>
        <v>0</v>
      </c>
      <c r="L28">
        <f t="shared" si="1"/>
        <v>0</v>
      </c>
    </row>
    <row r="29" spans="1:12" x14ac:dyDescent="0.25">
      <c r="A29">
        <v>1716</v>
      </c>
      <c r="B29" t="s">
        <v>20</v>
      </c>
      <c r="C29" t="s">
        <v>123</v>
      </c>
      <c r="D29" t="s">
        <v>12</v>
      </c>
      <c r="J29">
        <f t="shared" si="0"/>
        <v>0</v>
      </c>
      <c r="L29">
        <f t="shared" si="1"/>
        <v>0</v>
      </c>
    </row>
    <row r="30" spans="1:12" x14ac:dyDescent="0.25">
      <c r="A30">
        <v>1716</v>
      </c>
      <c r="B30" t="s">
        <v>76</v>
      </c>
      <c r="C30" t="s">
        <v>123</v>
      </c>
      <c r="D30" t="s">
        <v>12</v>
      </c>
      <c r="J30">
        <f t="shared" si="0"/>
        <v>0</v>
      </c>
      <c r="L30">
        <f t="shared" si="1"/>
        <v>0</v>
      </c>
    </row>
    <row r="31" spans="1:12" x14ac:dyDescent="0.25">
      <c r="A31">
        <v>1716</v>
      </c>
      <c r="B31" t="s">
        <v>66</v>
      </c>
      <c r="C31" t="s">
        <v>123</v>
      </c>
      <c r="D31" t="s">
        <v>12</v>
      </c>
      <c r="J31">
        <f t="shared" si="0"/>
        <v>0</v>
      </c>
      <c r="L31">
        <f t="shared" si="1"/>
        <v>0</v>
      </c>
    </row>
    <row r="32" spans="1:12" x14ac:dyDescent="0.25">
      <c r="A32">
        <v>1716</v>
      </c>
      <c r="B32" t="s">
        <v>68</v>
      </c>
      <c r="C32" t="s">
        <v>123</v>
      </c>
      <c r="D32" t="s">
        <v>12</v>
      </c>
      <c r="J32">
        <f t="shared" si="0"/>
        <v>0</v>
      </c>
      <c r="L32">
        <f t="shared" si="1"/>
        <v>0</v>
      </c>
    </row>
    <row r="33" spans="1:12" x14ac:dyDescent="0.25">
      <c r="A33">
        <v>1716</v>
      </c>
      <c r="B33" t="s">
        <v>67</v>
      </c>
      <c r="C33" t="s">
        <v>123</v>
      </c>
      <c r="D33" t="s">
        <v>12</v>
      </c>
      <c r="J33">
        <f t="shared" si="0"/>
        <v>0</v>
      </c>
      <c r="L33">
        <f t="shared" si="1"/>
        <v>0</v>
      </c>
    </row>
    <row r="34" spans="1:12" x14ac:dyDescent="0.25">
      <c r="A34">
        <v>1716</v>
      </c>
      <c r="B34" t="s">
        <v>22</v>
      </c>
      <c r="C34" t="s">
        <v>123</v>
      </c>
      <c r="D34" t="s">
        <v>12</v>
      </c>
      <c r="J34">
        <f t="shared" si="0"/>
        <v>0</v>
      </c>
      <c r="L34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Goods Sheet</vt:lpstr>
      <vt:lpstr>Africa</vt:lpstr>
      <vt:lpstr>Canaries</vt:lpstr>
      <vt:lpstr>Antigua</vt:lpstr>
      <vt:lpstr>Barbados</vt:lpstr>
      <vt:lpstr>Bermuda</vt:lpstr>
      <vt:lpstr>Carolina</vt:lpstr>
      <vt:lpstr>Jamaica</vt:lpstr>
      <vt:lpstr>Mountserat</vt:lpstr>
      <vt:lpstr>Nevis</vt:lpstr>
      <vt:lpstr>St Kitts</vt:lpstr>
      <vt:lpstr>NewEngland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2025-04-29T18:59:45Z</dcterms:modified>
</cp:coreProperties>
</file>