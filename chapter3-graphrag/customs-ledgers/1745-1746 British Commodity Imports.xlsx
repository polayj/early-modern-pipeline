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lks029_usask_ca/Documents/CommodityImports/"/>
    </mc:Choice>
  </mc:AlternateContent>
  <xr:revisionPtr revIDLastSave="419" documentId="8_{FC8E1ECB-D661-4480-A308-EFD4E7E2B320}" xr6:coauthVersionLast="47" xr6:coauthVersionMax="47" xr10:uidLastSave="{A36301DF-48EC-4F0E-A672-25B40EC170E7}"/>
  <bookViews>
    <workbookView xWindow="28680" yWindow="2280" windowWidth="29040" windowHeight="15840" xr2:uid="{DA50CDB8-E080-44E0-917E-86E1EE5F77DD}"/>
  </bookViews>
  <sheets>
    <sheet name="Master Goods Sheet" sheetId="1" r:id="rId1"/>
    <sheet name="Anguilla" sheetId="9" r:id="rId2"/>
    <sheet name="Antigua" sheetId="2" r:id="rId3"/>
    <sheet name="Barbados" sheetId="3" r:id="rId4"/>
    <sheet name="Bermuda" sheetId="4" r:id="rId5"/>
    <sheet name="Jamaica" sheetId="5" r:id="rId6"/>
    <sheet name="Mountserat" sheetId="6" r:id="rId7"/>
    <sheet name="Nevis" sheetId="7" r:id="rId8"/>
    <sheet name="St Kitts" sheetId="8" r:id="rId9"/>
    <sheet name="Tortola" sheetId="10" r:id="rId10"/>
    <sheet name="WestIndiesGeneral" sheetId="11" r:id="rId11"/>
  </sheets>
  <definedNames>
    <definedName name="_xlnm._FilterDatabase" localSheetId="3" hidden="1">Barbados!$A$1:$N$53</definedName>
    <definedName name="_xlnm._FilterDatabase" localSheetId="5" hidden="1">Jamaica!$A$1:$O$65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4" i="8" l="1"/>
  <c r="H83" i="7"/>
  <c r="H83" i="6"/>
  <c r="H90" i="5"/>
  <c r="H65" i="3"/>
  <c r="H23" i="2"/>
  <c r="H87" i="2"/>
  <c r="J8" i="11"/>
  <c r="L8" i="11" s="1"/>
  <c r="J42" i="8"/>
  <c r="L42" i="8" s="1"/>
  <c r="H22" i="7"/>
  <c r="H22" i="6"/>
  <c r="H24" i="5"/>
  <c r="L61" i="5"/>
  <c r="J61" i="5"/>
  <c r="J44" i="5"/>
  <c r="L44" i="5" s="1"/>
  <c r="J45" i="5"/>
  <c r="L45" i="5" s="1"/>
  <c r="J8" i="5"/>
  <c r="L8" i="5" s="1"/>
  <c r="L8" i="4"/>
  <c r="J8" i="4"/>
  <c r="H18" i="3"/>
  <c r="J47" i="2"/>
  <c r="L47" i="2" s="1"/>
  <c r="J44" i="2"/>
  <c r="L44" i="2" s="1"/>
  <c r="J122" i="5"/>
  <c r="L122" i="5" s="1"/>
  <c r="J76" i="5"/>
  <c r="L76" i="5" s="1"/>
  <c r="J82" i="3"/>
  <c r="L82" i="3" s="1"/>
  <c r="J119" i="2"/>
  <c r="L119" i="2" s="1"/>
  <c r="J55" i="11"/>
  <c r="L55" i="11" s="1"/>
  <c r="J11" i="11"/>
  <c r="L11" i="11" s="1"/>
  <c r="J57" i="5"/>
  <c r="L57" i="5" s="1"/>
  <c r="J9" i="5"/>
  <c r="L9" i="5" s="1"/>
  <c r="J15" i="4"/>
  <c r="L15" i="4" s="1"/>
  <c r="J17" i="4"/>
  <c r="L17" i="4" s="1"/>
  <c r="J13" i="4"/>
  <c r="L13" i="4" s="1"/>
  <c r="J10" i="4"/>
  <c r="L10" i="4" s="1"/>
  <c r="J6" i="4"/>
  <c r="L6" i="4" s="1"/>
  <c r="J22" i="3"/>
  <c r="L22" i="3" s="1"/>
  <c r="J29" i="2"/>
  <c r="L29" i="2" s="1"/>
  <c r="J8" i="2"/>
  <c r="L8" i="2" s="1"/>
  <c r="C23" i="1"/>
  <c r="C24" i="1"/>
  <c r="B23" i="1"/>
  <c r="B24" i="1"/>
  <c r="J129" i="11"/>
  <c r="L129" i="11" s="1"/>
  <c r="J128" i="11"/>
  <c r="L128" i="11" s="1"/>
  <c r="J127" i="11"/>
  <c r="L127" i="11" s="1"/>
  <c r="J126" i="11"/>
  <c r="L126" i="11" s="1"/>
  <c r="J125" i="11"/>
  <c r="L125" i="11" s="1"/>
  <c r="J124" i="11"/>
  <c r="L124" i="11" s="1"/>
  <c r="J123" i="11"/>
  <c r="L123" i="11" s="1"/>
  <c r="J122" i="11"/>
  <c r="L122" i="11" s="1"/>
  <c r="J121" i="11"/>
  <c r="L121" i="11" s="1"/>
  <c r="J120" i="11"/>
  <c r="L120" i="11" s="1"/>
  <c r="J119" i="11"/>
  <c r="L119" i="11" s="1"/>
  <c r="J118" i="11"/>
  <c r="L118" i="11" s="1"/>
  <c r="J117" i="11"/>
  <c r="L117" i="11" s="1"/>
  <c r="J116" i="11"/>
  <c r="L116" i="11" s="1"/>
  <c r="J115" i="11"/>
  <c r="L115" i="11" s="1"/>
  <c r="J114" i="11"/>
  <c r="L114" i="11" s="1"/>
  <c r="J113" i="11"/>
  <c r="L113" i="11" s="1"/>
  <c r="J112" i="11"/>
  <c r="L112" i="11" s="1"/>
  <c r="J111" i="11"/>
  <c r="L111" i="11" s="1"/>
  <c r="J110" i="11"/>
  <c r="L110" i="11" s="1"/>
  <c r="J109" i="11"/>
  <c r="L109" i="11" s="1"/>
  <c r="J108" i="11"/>
  <c r="L108" i="11" s="1"/>
  <c r="J107" i="11"/>
  <c r="L107" i="11" s="1"/>
  <c r="J106" i="11"/>
  <c r="L106" i="11" s="1"/>
  <c r="J105" i="11"/>
  <c r="L105" i="11" s="1"/>
  <c r="J104" i="11"/>
  <c r="L104" i="11" s="1"/>
  <c r="J103" i="11"/>
  <c r="L103" i="11" s="1"/>
  <c r="J102" i="11"/>
  <c r="L102" i="11" s="1"/>
  <c r="J101" i="11"/>
  <c r="L101" i="11" s="1"/>
  <c r="J100" i="11"/>
  <c r="L100" i="11" s="1"/>
  <c r="J99" i="11"/>
  <c r="L99" i="11" s="1"/>
  <c r="J98" i="11"/>
  <c r="L98" i="11" s="1"/>
  <c r="J97" i="11"/>
  <c r="L97" i="11" s="1"/>
  <c r="J96" i="11"/>
  <c r="L96" i="11" s="1"/>
  <c r="J95" i="11"/>
  <c r="L95" i="11" s="1"/>
  <c r="J94" i="11"/>
  <c r="L94" i="11" s="1"/>
  <c r="J93" i="11"/>
  <c r="L93" i="11" s="1"/>
  <c r="J92" i="11"/>
  <c r="L92" i="11" s="1"/>
  <c r="J91" i="11"/>
  <c r="L91" i="11" s="1"/>
  <c r="J90" i="11"/>
  <c r="L90" i="11" s="1"/>
  <c r="J89" i="11"/>
  <c r="L89" i="11" s="1"/>
  <c r="J88" i="11"/>
  <c r="L88" i="11" s="1"/>
  <c r="J87" i="11"/>
  <c r="L87" i="11" s="1"/>
  <c r="J86" i="11"/>
  <c r="L86" i="11" s="1"/>
  <c r="J85" i="11"/>
  <c r="L85" i="11" s="1"/>
  <c r="J84" i="11"/>
  <c r="L84" i="11" s="1"/>
  <c r="J83" i="11"/>
  <c r="L83" i="11" s="1"/>
  <c r="J82" i="11"/>
  <c r="L82" i="11" s="1"/>
  <c r="J81" i="11"/>
  <c r="L81" i="11" s="1"/>
  <c r="J80" i="11"/>
  <c r="L80" i="11" s="1"/>
  <c r="J79" i="11"/>
  <c r="L79" i="11" s="1"/>
  <c r="J78" i="11"/>
  <c r="L78" i="11" s="1"/>
  <c r="J77" i="11"/>
  <c r="L77" i="11" s="1"/>
  <c r="J76" i="11"/>
  <c r="L76" i="11" s="1"/>
  <c r="J75" i="11"/>
  <c r="L75" i="11" s="1"/>
  <c r="J74" i="11"/>
  <c r="L74" i="11" s="1"/>
  <c r="J73" i="11"/>
  <c r="L73" i="11" s="1"/>
  <c r="J72" i="11"/>
  <c r="L72" i="11" s="1"/>
  <c r="J71" i="11"/>
  <c r="L71" i="11" s="1"/>
  <c r="J70" i="11"/>
  <c r="L70" i="11" s="1"/>
  <c r="J69" i="11"/>
  <c r="L69" i="11" s="1"/>
  <c r="J68" i="11"/>
  <c r="L68" i="11" s="1"/>
  <c r="J67" i="11"/>
  <c r="L67" i="11" s="1"/>
  <c r="J66" i="11"/>
  <c r="L66" i="11" s="1"/>
  <c r="J65" i="11"/>
  <c r="L65" i="11" s="1"/>
  <c r="J64" i="11"/>
  <c r="L64" i="11" s="1"/>
  <c r="J63" i="11"/>
  <c r="L63" i="11" s="1"/>
  <c r="J62" i="11"/>
  <c r="L62" i="11" s="1"/>
  <c r="J61" i="11"/>
  <c r="L61" i="11" s="1"/>
  <c r="J60" i="11"/>
  <c r="L60" i="11" s="1"/>
  <c r="J59" i="11"/>
  <c r="L59" i="11" s="1"/>
  <c r="J58" i="11"/>
  <c r="L58" i="11" s="1"/>
  <c r="J57" i="11"/>
  <c r="L57" i="11" s="1"/>
  <c r="J56" i="11"/>
  <c r="L56" i="11" s="1"/>
  <c r="J54" i="11"/>
  <c r="L54" i="11" s="1"/>
  <c r="J53" i="11"/>
  <c r="L53" i="11" s="1"/>
  <c r="J52" i="11"/>
  <c r="L52" i="11" s="1"/>
  <c r="J51" i="11"/>
  <c r="L51" i="11" s="1"/>
  <c r="J50" i="11"/>
  <c r="L50" i="11" s="1"/>
  <c r="J49" i="11"/>
  <c r="L49" i="11" s="1"/>
  <c r="J48" i="11"/>
  <c r="L48" i="11" s="1"/>
  <c r="J47" i="11"/>
  <c r="L47" i="11" s="1"/>
  <c r="J46" i="11"/>
  <c r="L46" i="11" s="1"/>
  <c r="J45" i="11"/>
  <c r="L45" i="11" s="1"/>
  <c r="J44" i="11"/>
  <c r="L44" i="11" s="1"/>
  <c r="J43" i="11"/>
  <c r="L43" i="11" s="1"/>
  <c r="J42" i="11"/>
  <c r="L42" i="11" s="1"/>
  <c r="J41" i="11"/>
  <c r="L41" i="11" s="1"/>
  <c r="J40" i="11"/>
  <c r="L40" i="11" s="1"/>
  <c r="J39" i="11"/>
  <c r="L39" i="11" s="1"/>
  <c r="J38" i="11"/>
  <c r="L38" i="11" s="1"/>
  <c r="J37" i="11"/>
  <c r="L37" i="11" s="1"/>
  <c r="J36" i="11"/>
  <c r="L36" i="11" s="1"/>
  <c r="J35" i="11"/>
  <c r="L35" i="11" s="1"/>
  <c r="J34" i="11"/>
  <c r="L34" i="11" s="1"/>
  <c r="J33" i="11"/>
  <c r="L33" i="11" s="1"/>
  <c r="J32" i="11"/>
  <c r="L32" i="11" s="1"/>
  <c r="J31" i="11"/>
  <c r="L31" i="11" s="1"/>
  <c r="J30" i="11"/>
  <c r="L30" i="11" s="1"/>
  <c r="J29" i="11"/>
  <c r="L29" i="11" s="1"/>
  <c r="J28" i="11"/>
  <c r="L28" i="11" s="1"/>
  <c r="J27" i="11"/>
  <c r="L27" i="11" s="1"/>
  <c r="J26" i="11"/>
  <c r="L26" i="11" s="1"/>
  <c r="J25" i="11"/>
  <c r="L25" i="11" s="1"/>
  <c r="J24" i="11"/>
  <c r="L24" i="11" s="1"/>
  <c r="J23" i="11"/>
  <c r="L23" i="11" s="1"/>
  <c r="J22" i="11"/>
  <c r="L22" i="11" s="1"/>
  <c r="J21" i="11"/>
  <c r="L21" i="11" s="1"/>
  <c r="J20" i="11"/>
  <c r="L20" i="11" s="1"/>
  <c r="J19" i="11"/>
  <c r="L19" i="11" s="1"/>
  <c r="J18" i="11"/>
  <c r="L18" i="11" s="1"/>
  <c r="J17" i="11"/>
  <c r="L17" i="11" s="1"/>
  <c r="J16" i="11"/>
  <c r="L16" i="11" s="1"/>
  <c r="J15" i="11"/>
  <c r="L15" i="11" s="1"/>
  <c r="J14" i="11"/>
  <c r="L14" i="11" s="1"/>
  <c r="J13" i="11"/>
  <c r="L13" i="11" s="1"/>
  <c r="J12" i="11"/>
  <c r="L12" i="11" s="1"/>
  <c r="J10" i="11"/>
  <c r="L10" i="11" s="1"/>
  <c r="J9" i="11"/>
  <c r="L9" i="11" s="1"/>
  <c r="J7" i="11"/>
  <c r="L7" i="11" s="1"/>
  <c r="J6" i="11"/>
  <c r="L6" i="11" s="1"/>
  <c r="J5" i="11"/>
  <c r="L5" i="11" s="1"/>
  <c r="J4" i="11"/>
  <c r="L4" i="11" s="1"/>
  <c r="J3" i="11"/>
  <c r="L3" i="11" s="1"/>
  <c r="J2" i="11"/>
  <c r="L2" i="11" s="1"/>
  <c r="J126" i="10"/>
  <c r="L126" i="10" s="1"/>
  <c r="J125" i="10"/>
  <c r="L125" i="10" s="1"/>
  <c r="L124" i="10"/>
  <c r="J124" i="10"/>
  <c r="J123" i="10"/>
  <c r="L123" i="10" s="1"/>
  <c r="J122" i="10"/>
  <c r="L122" i="10" s="1"/>
  <c r="J121" i="10"/>
  <c r="L121" i="10" s="1"/>
  <c r="L120" i="10"/>
  <c r="J120" i="10"/>
  <c r="J119" i="10"/>
  <c r="L119" i="10" s="1"/>
  <c r="J118" i="10"/>
  <c r="L118" i="10" s="1"/>
  <c r="J117" i="10"/>
  <c r="L117" i="10" s="1"/>
  <c r="L116" i="10"/>
  <c r="J116" i="10"/>
  <c r="J115" i="10"/>
  <c r="L115" i="10" s="1"/>
  <c r="J114" i="10"/>
  <c r="L114" i="10" s="1"/>
  <c r="J113" i="10"/>
  <c r="L113" i="10" s="1"/>
  <c r="L112" i="10"/>
  <c r="J112" i="10"/>
  <c r="J111" i="10"/>
  <c r="L111" i="10" s="1"/>
  <c r="J110" i="10"/>
  <c r="L110" i="10" s="1"/>
  <c r="J109" i="10"/>
  <c r="L109" i="10" s="1"/>
  <c r="L108" i="10"/>
  <c r="J108" i="10"/>
  <c r="J107" i="10"/>
  <c r="L107" i="10" s="1"/>
  <c r="J106" i="10"/>
  <c r="L106" i="10" s="1"/>
  <c r="J105" i="10"/>
  <c r="L105" i="10" s="1"/>
  <c r="L104" i="10"/>
  <c r="J104" i="10"/>
  <c r="J103" i="10"/>
  <c r="L103" i="10" s="1"/>
  <c r="J102" i="10"/>
  <c r="L102" i="10" s="1"/>
  <c r="J101" i="10"/>
  <c r="L101" i="10" s="1"/>
  <c r="L100" i="10"/>
  <c r="J100" i="10"/>
  <c r="J99" i="10"/>
  <c r="L99" i="10" s="1"/>
  <c r="J98" i="10"/>
  <c r="L98" i="10" s="1"/>
  <c r="J97" i="10"/>
  <c r="L97" i="10" s="1"/>
  <c r="L96" i="10"/>
  <c r="J96" i="10"/>
  <c r="J95" i="10"/>
  <c r="L95" i="10" s="1"/>
  <c r="J94" i="10"/>
  <c r="L94" i="10" s="1"/>
  <c r="J93" i="10"/>
  <c r="L93" i="10" s="1"/>
  <c r="L92" i="10"/>
  <c r="J92" i="10"/>
  <c r="J91" i="10"/>
  <c r="L91" i="10" s="1"/>
  <c r="J90" i="10"/>
  <c r="L90" i="10" s="1"/>
  <c r="J89" i="10"/>
  <c r="L89" i="10" s="1"/>
  <c r="L88" i="10"/>
  <c r="J88" i="10"/>
  <c r="J87" i="10"/>
  <c r="L87" i="10" s="1"/>
  <c r="J86" i="10"/>
  <c r="L86" i="10" s="1"/>
  <c r="J85" i="10"/>
  <c r="L85" i="10" s="1"/>
  <c r="L84" i="10"/>
  <c r="J84" i="10"/>
  <c r="J83" i="10"/>
  <c r="L83" i="10" s="1"/>
  <c r="J82" i="10"/>
  <c r="L82" i="10" s="1"/>
  <c r="J81" i="10"/>
  <c r="L81" i="10" s="1"/>
  <c r="L80" i="10"/>
  <c r="J80" i="10"/>
  <c r="J79" i="10"/>
  <c r="L79" i="10" s="1"/>
  <c r="J78" i="10"/>
  <c r="L78" i="10" s="1"/>
  <c r="J77" i="10"/>
  <c r="L77" i="10" s="1"/>
  <c r="L76" i="10"/>
  <c r="J76" i="10"/>
  <c r="J75" i="10"/>
  <c r="L75" i="10" s="1"/>
  <c r="J74" i="10"/>
  <c r="L74" i="10" s="1"/>
  <c r="J73" i="10"/>
  <c r="L73" i="10" s="1"/>
  <c r="L72" i="10"/>
  <c r="J72" i="10"/>
  <c r="J71" i="10"/>
  <c r="L71" i="10" s="1"/>
  <c r="J70" i="10"/>
  <c r="L70" i="10" s="1"/>
  <c r="J69" i="10"/>
  <c r="L69" i="10" s="1"/>
  <c r="L68" i="10"/>
  <c r="J68" i="10"/>
  <c r="J67" i="10"/>
  <c r="L67" i="10" s="1"/>
  <c r="J66" i="10"/>
  <c r="L66" i="10" s="1"/>
  <c r="J65" i="10"/>
  <c r="L65" i="10" s="1"/>
  <c r="L64" i="10"/>
  <c r="J64" i="10"/>
  <c r="J63" i="10"/>
  <c r="L63" i="10" s="1"/>
  <c r="J62" i="10"/>
  <c r="L62" i="10" s="1"/>
  <c r="J61" i="10"/>
  <c r="L61" i="10" s="1"/>
  <c r="L60" i="10"/>
  <c r="J60" i="10"/>
  <c r="J59" i="10"/>
  <c r="L59" i="10" s="1"/>
  <c r="J58" i="10"/>
  <c r="L58" i="10" s="1"/>
  <c r="J57" i="10"/>
  <c r="L57" i="10" s="1"/>
  <c r="L56" i="10"/>
  <c r="J56" i="10"/>
  <c r="J55" i="10"/>
  <c r="L55" i="10" s="1"/>
  <c r="J54" i="10"/>
  <c r="L54" i="10" s="1"/>
  <c r="J53" i="10"/>
  <c r="L53" i="10" s="1"/>
  <c r="L52" i="10"/>
  <c r="J52" i="10"/>
  <c r="J51" i="10"/>
  <c r="L51" i="10" s="1"/>
  <c r="J50" i="10"/>
  <c r="L50" i="10" s="1"/>
  <c r="J49" i="10"/>
  <c r="L49" i="10" s="1"/>
  <c r="L48" i="10"/>
  <c r="J48" i="10"/>
  <c r="J47" i="10"/>
  <c r="L47" i="10" s="1"/>
  <c r="J46" i="10"/>
  <c r="L46" i="10" s="1"/>
  <c r="J45" i="10"/>
  <c r="L45" i="10" s="1"/>
  <c r="L44" i="10"/>
  <c r="J44" i="10"/>
  <c r="J43" i="10"/>
  <c r="L43" i="10" s="1"/>
  <c r="J42" i="10"/>
  <c r="L42" i="10" s="1"/>
  <c r="J41" i="10"/>
  <c r="L41" i="10" s="1"/>
  <c r="L40" i="10"/>
  <c r="J40" i="10"/>
  <c r="J39" i="10"/>
  <c r="L39" i="10" s="1"/>
  <c r="J38" i="10"/>
  <c r="L38" i="10" s="1"/>
  <c r="J37" i="10"/>
  <c r="L37" i="10" s="1"/>
  <c r="L36" i="10"/>
  <c r="J36" i="10"/>
  <c r="J35" i="10"/>
  <c r="L35" i="10" s="1"/>
  <c r="J34" i="10"/>
  <c r="L34" i="10" s="1"/>
  <c r="J33" i="10"/>
  <c r="L33" i="10" s="1"/>
  <c r="L32" i="10"/>
  <c r="J32" i="10"/>
  <c r="J31" i="10"/>
  <c r="L31" i="10" s="1"/>
  <c r="J30" i="10"/>
  <c r="L30" i="10" s="1"/>
  <c r="J29" i="10"/>
  <c r="L29" i="10" s="1"/>
  <c r="L28" i="10"/>
  <c r="J28" i="10"/>
  <c r="J27" i="10"/>
  <c r="L27" i="10" s="1"/>
  <c r="J26" i="10"/>
  <c r="L26" i="10" s="1"/>
  <c r="J25" i="10"/>
  <c r="L25" i="10" s="1"/>
  <c r="L24" i="10"/>
  <c r="J24" i="10"/>
  <c r="J23" i="10"/>
  <c r="L23" i="10" s="1"/>
  <c r="J22" i="10"/>
  <c r="L22" i="10" s="1"/>
  <c r="J21" i="10"/>
  <c r="L21" i="10" s="1"/>
  <c r="L20" i="10"/>
  <c r="J20" i="10"/>
  <c r="J19" i="10"/>
  <c r="L19" i="10" s="1"/>
  <c r="J18" i="10"/>
  <c r="L18" i="10" s="1"/>
  <c r="J17" i="10"/>
  <c r="L17" i="10" s="1"/>
  <c r="L16" i="10"/>
  <c r="J16" i="10"/>
  <c r="J15" i="10"/>
  <c r="L15" i="10" s="1"/>
  <c r="J14" i="10"/>
  <c r="L14" i="10" s="1"/>
  <c r="J13" i="10"/>
  <c r="L13" i="10" s="1"/>
  <c r="L12" i="10"/>
  <c r="J12" i="10"/>
  <c r="J11" i="10"/>
  <c r="L11" i="10" s="1"/>
  <c r="J10" i="10"/>
  <c r="L10" i="10" s="1"/>
  <c r="J9" i="10"/>
  <c r="L9" i="10" s="1"/>
  <c r="L8" i="10"/>
  <c r="J8" i="10"/>
  <c r="J7" i="10"/>
  <c r="L7" i="10" s="1"/>
  <c r="J6" i="10"/>
  <c r="L6" i="10" s="1"/>
  <c r="J5" i="10"/>
  <c r="L5" i="10" s="1"/>
  <c r="L4" i="10"/>
  <c r="J4" i="10"/>
  <c r="J3" i="10"/>
  <c r="L3" i="10" s="1"/>
  <c r="J2" i="10"/>
  <c r="L2" i="10" s="1"/>
  <c r="J127" i="8"/>
  <c r="L127" i="8" s="1"/>
  <c r="J126" i="8"/>
  <c r="L126" i="8" s="1"/>
  <c r="J125" i="8"/>
  <c r="L125" i="8" s="1"/>
  <c r="J124" i="8"/>
  <c r="L124" i="8" s="1"/>
  <c r="J123" i="8"/>
  <c r="L123" i="8" s="1"/>
  <c r="J122" i="8"/>
  <c r="L122" i="8" s="1"/>
  <c r="J121" i="8"/>
  <c r="L121" i="8" s="1"/>
  <c r="J120" i="8"/>
  <c r="L120" i="8" s="1"/>
  <c r="J119" i="8"/>
  <c r="L119" i="8" s="1"/>
  <c r="J118" i="8"/>
  <c r="L118" i="8" s="1"/>
  <c r="J117" i="8"/>
  <c r="L117" i="8" s="1"/>
  <c r="J116" i="8"/>
  <c r="L116" i="8" s="1"/>
  <c r="J115" i="8"/>
  <c r="L115" i="8" s="1"/>
  <c r="J114" i="8"/>
  <c r="L114" i="8" s="1"/>
  <c r="J113" i="8"/>
  <c r="L113" i="8" s="1"/>
  <c r="J112" i="8"/>
  <c r="L112" i="8" s="1"/>
  <c r="J111" i="8"/>
  <c r="L111" i="8" s="1"/>
  <c r="J110" i="8"/>
  <c r="L110" i="8" s="1"/>
  <c r="J109" i="8"/>
  <c r="L109" i="8" s="1"/>
  <c r="J108" i="8"/>
  <c r="L108" i="8" s="1"/>
  <c r="J107" i="8"/>
  <c r="L107" i="8" s="1"/>
  <c r="J106" i="8"/>
  <c r="L106" i="8" s="1"/>
  <c r="J105" i="8"/>
  <c r="L105" i="8" s="1"/>
  <c r="J104" i="8"/>
  <c r="L104" i="8" s="1"/>
  <c r="J103" i="8"/>
  <c r="L103" i="8" s="1"/>
  <c r="J102" i="8"/>
  <c r="L102" i="8" s="1"/>
  <c r="J101" i="8"/>
  <c r="L101" i="8" s="1"/>
  <c r="J100" i="8"/>
  <c r="L100" i="8" s="1"/>
  <c r="J99" i="8"/>
  <c r="L99" i="8" s="1"/>
  <c r="J98" i="8"/>
  <c r="L98" i="8" s="1"/>
  <c r="J97" i="8"/>
  <c r="L97" i="8" s="1"/>
  <c r="J96" i="8"/>
  <c r="L96" i="8" s="1"/>
  <c r="J95" i="8"/>
  <c r="L95" i="8" s="1"/>
  <c r="J94" i="8"/>
  <c r="L94" i="8" s="1"/>
  <c r="J93" i="8"/>
  <c r="L93" i="8" s="1"/>
  <c r="J92" i="8"/>
  <c r="L92" i="8" s="1"/>
  <c r="J91" i="8"/>
  <c r="L91" i="8" s="1"/>
  <c r="J90" i="8"/>
  <c r="L90" i="8" s="1"/>
  <c r="J89" i="8"/>
  <c r="L89" i="8" s="1"/>
  <c r="J88" i="8"/>
  <c r="L88" i="8" s="1"/>
  <c r="J87" i="8"/>
  <c r="L87" i="8" s="1"/>
  <c r="J86" i="8"/>
  <c r="L86" i="8" s="1"/>
  <c r="J85" i="8"/>
  <c r="L85" i="8" s="1"/>
  <c r="J84" i="8"/>
  <c r="L84" i="8" s="1"/>
  <c r="J83" i="8"/>
  <c r="L83" i="8" s="1"/>
  <c r="J82" i="8"/>
  <c r="L82" i="8" s="1"/>
  <c r="J81" i="8"/>
  <c r="L81" i="8" s="1"/>
  <c r="J80" i="8"/>
  <c r="L80" i="8" s="1"/>
  <c r="J79" i="8"/>
  <c r="L79" i="8" s="1"/>
  <c r="J78" i="8"/>
  <c r="L78" i="8" s="1"/>
  <c r="J77" i="8"/>
  <c r="L77" i="8" s="1"/>
  <c r="J76" i="8"/>
  <c r="L76" i="8" s="1"/>
  <c r="J75" i="8"/>
  <c r="L75" i="8" s="1"/>
  <c r="J74" i="8"/>
  <c r="L74" i="8" s="1"/>
  <c r="J73" i="8"/>
  <c r="L73" i="8" s="1"/>
  <c r="J72" i="8"/>
  <c r="L72" i="8" s="1"/>
  <c r="J71" i="8"/>
  <c r="L71" i="8" s="1"/>
  <c r="J70" i="8"/>
  <c r="L70" i="8" s="1"/>
  <c r="J69" i="8"/>
  <c r="L69" i="8" s="1"/>
  <c r="J68" i="8"/>
  <c r="L68" i="8" s="1"/>
  <c r="J67" i="8"/>
  <c r="L67" i="8" s="1"/>
  <c r="J66" i="8"/>
  <c r="L66" i="8" s="1"/>
  <c r="J65" i="8"/>
  <c r="L65" i="8" s="1"/>
  <c r="J64" i="8"/>
  <c r="L64" i="8" s="1"/>
  <c r="J63" i="8"/>
  <c r="L63" i="8" s="1"/>
  <c r="J62" i="8"/>
  <c r="L62" i="8" s="1"/>
  <c r="J61" i="8"/>
  <c r="L61" i="8" s="1"/>
  <c r="J60" i="8"/>
  <c r="L60" i="8" s="1"/>
  <c r="J59" i="8"/>
  <c r="L59" i="8" s="1"/>
  <c r="J58" i="8"/>
  <c r="L58" i="8" s="1"/>
  <c r="J57" i="8"/>
  <c r="L57" i="8" s="1"/>
  <c r="J56" i="8"/>
  <c r="L56" i="8" s="1"/>
  <c r="J55" i="8"/>
  <c r="L55" i="8" s="1"/>
  <c r="J54" i="8"/>
  <c r="L54" i="8" s="1"/>
  <c r="J53" i="8"/>
  <c r="L53" i="8" s="1"/>
  <c r="J52" i="8"/>
  <c r="L52" i="8" s="1"/>
  <c r="J51" i="8"/>
  <c r="L51" i="8" s="1"/>
  <c r="J50" i="8"/>
  <c r="L50" i="8" s="1"/>
  <c r="J49" i="8"/>
  <c r="L49" i="8" s="1"/>
  <c r="J48" i="8"/>
  <c r="L48" i="8" s="1"/>
  <c r="J47" i="8"/>
  <c r="L47" i="8" s="1"/>
  <c r="J46" i="8"/>
  <c r="L46" i="8" s="1"/>
  <c r="J45" i="8"/>
  <c r="L45" i="8" s="1"/>
  <c r="J44" i="8"/>
  <c r="L44" i="8" s="1"/>
  <c r="J43" i="8"/>
  <c r="L43" i="8" s="1"/>
  <c r="J41" i="8"/>
  <c r="L41" i="8" s="1"/>
  <c r="J40" i="8"/>
  <c r="L40" i="8" s="1"/>
  <c r="J39" i="8"/>
  <c r="L39" i="8" s="1"/>
  <c r="J38" i="8"/>
  <c r="L38" i="8" s="1"/>
  <c r="J37" i="8"/>
  <c r="L37" i="8" s="1"/>
  <c r="J36" i="8"/>
  <c r="L36" i="8" s="1"/>
  <c r="J35" i="8"/>
  <c r="L35" i="8" s="1"/>
  <c r="J34" i="8"/>
  <c r="L34" i="8" s="1"/>
  <c r="J33" i="8"/>
  <c r="L33" i="8" s="1"/>
  <c r="J32" i="8"/>
  <c r="L32" i="8" s="1"/>
  <c r="J31" i="8"/>
  <c r="L31" i="8" s="1"/>
  <c r="J30" i="8"/>
  <c r="L30" i="8" s="1"/>
  <c r="J29" i="8"/>
  <c r="L29" i="8" s="1"/>
  <c r="J28" i="8"/>
  <c r="L28" i="8" s="1"/>
  <c r="J27" i="8"/>
  <c r="L27" i="8" s="1"/>
  <c r="J26" i="8"/>
  <c r="L26" i="8" s="1"/>
  <c r="J25" i="8"/>
  <c r="L25" i="8" s="1"/>
  <c r="J24" i="8"/>
  <c r="L24" i="8" s="1"/>
  <c r="J23" i="8"/>
  <c r="L23" i="8" s="1"/>
  <c r="J22" i="8"/>
  <c r="L22" i="8" s="1"/>
  <c r="J21" i="8"/>
  <c r="L21" i="8" s="1"/>
  <c r="L20" i="8"/>
  <c r="J20" i="8"/>
  <c r="J19" i="8"/>
  <c r="L19" i="8" s="1"/>
  <c r="J18" i="8"/>
  <c r="L18" i="8" s="1"/>
  <c r="J17" i="8"/>
  <c r="L17" i="8" s="1"/>
  <c r="J16" i="8"/>
  <c r="L16" i="8" s="1"/>
  <c r="J15" i="8"/>
  <c r="L15" i="8" s="1"/>
  <c r="J14" i="8"/>
  <c r="L14" i="8" s="1"/>
  <c r="J13" i="8"/>
  <c r="L13" i="8" s="1"/>
  <c r="J12" i="8"/>
  <c r="L12" i="8" s="1"/>
  <c r="J11" i="8"/>
  <c r="L11" i="8" s="1"/>
  <c r="J10" i="8"/>
  <c r="L10" i="8" s="1"/>
  <c r="J9" i="8"/>
  <c r="L9" i="8" s="1"/>
  <c r="J8" i="8"/>
  <c r="L8" i="8" s="1"/>
  <c r="J7" i="8"/>
  <c r="L7" i="8" s="1"/>
  <c r="J6" i="8"/>
  <c r="L6" i="8" s="1"/>
  <c r="J5" i="8"/>
  <c r="L5" i="8" s="1"/>
  <c r="J4" i="8"/>
  <c r="L4" i="8" s="1"/>
  <c r="J3" i="8"/>
  <c r="L3" i="8" s="1"/>
  <c r="J2" i="8"/>
  <c r="L2" i="8" s="1"/>
  <c r="J126" i="7"/>
  <c r="L126" i="7" s="1"/>
  <c r="J125" i="7"/>
  <c r="L125" i="7" s="1"/>
  <c r="J124" i="7"/>
  <c r="L124" i="7" s="1"/>
  <c r="J123" i="7"/>
  <c r="L123" i="7" s="1"/>
  <c r="J122" i="7"/>
  <c r="L122" i="7" s="1"/>
  <c r="J121" i="7"/>
  <c r="L121" i="7" s="1"/>
  <c r="J120" i="7"/>
  <c r="L120" i="7" s="1"/>
  <c r="J119" i="7"/>
  <c r="L119" i="7" s="1"/>
  <c r="J118" i="7"/>
  <c r="L118" i="7" s="1"/>
  <c r="J117" i="7"/>
  <c r="L117" i="7" s="1"/>
  <c r="J116" i="7"/>
  <c r="L116" i="7" s="1"/>
  <c r="J115" i="7"/>
  <c r="L115" i="7" s="1"/>
  <c r="J114" i="7"/>
  <c r="L114" i="7" s="1"/>
  <c r="J113" i="7"/>
  <c r="L113" i="7" s="1"/>
  <c r="L112" i="7"/>
  <c r="J112" i="7"/>
  <c r="J111" i="7"/>
  <c r="L111" i="7" s="1"/>
  <c r="J110" i="7"/>
  <c r="L110" i="7" s="1"/>
  <c r="J109" i="7"/>
  <c r="L109" i="7" s="1"/>
  <c r="L108" i="7"/>
  <c r="J108" i="7"/>
  <c r="J107" i="7"/>
  <c r="L107" i="7" s="1"/>
  <c r="J106" i="7"/>
  <c r="L106" i="7" s="1"/>
  <c r="J105" i="7"/>
  <c r="L105" i="7" s="1"/>
  <c r="L104" i="7"/>
  <c r="J104" i="7"/>
  <c r="J103" i="7"/>
  <c r="L103" i="7" s="1"/>
  <c r="J102" i="7"/>
  <c r="L102" i="7" s="1"/>
  <c r="J101" i="7"/>
  <c r="L101" i="7" s="1"/>
  <c r="J100" i="7"/>
  <c r="L100" i="7" s="1"/>
  <c r="J99" i="7"/>
  <c r="L99" i="7" s="1"/>
  <c r="J98" i="7"/>
  <c r="L98" i="7" s="1"/>
  <c r="J97" i="7"/>
  <c r="L97" i="7" s="1"/>
  <c r="J96" i="7"/>
  <c r="L96" i="7" s="1"/>
  <c r="J95" i="7"/>
  <c r="L95" i="7" s="1"/>
  <c r="J94" i="7"/>
  <c r="L94" i="7" s="1"/>
  <c r="J93" i="7"/>
  <c r="L93" i="7" s="1"/>
  <c r="J92" i="7"/>
  <c r="L92" i="7" s="1"/>
  <c r="J91" i="7"/>
  <c r="L91" i="7" s="1"/>
  <c r="J90" i="7"/>
  <c r="L90" i="7" s="1"/>
  <c r="J89" i="7"/>
  <c r="L89" i="7" s="1"/>
  <c r="J88" i="7"/>
  <c r="L88" i="7" s="1"/>
  <c r="J87" i="7"/>
  <c r="L87" i="7" s="1"/>
  <c r="J86" i="7"/>
  <c r="L86" i="7" s="1"/>
  <c r="J85" i="7"/>
  <c r="L85" i="7" s="1"/>
  <c r="J84" i="7"/>
  <c r="L84" i="7" s="1"/>
  <c r="J83" i="7"/>
  <c r="L83" i="7" s="1"/>
  <c r="J82" i="7"/>
  <c r="L82" i="7" s="1"/>
  <c r="J81" i="7"/>
  <c r="L81" i="7" s="1"/>
  <c r="J80" i="7"/>
  <c r="L80" i="7" s="1"/>
  <c r="J79" i="7"/>
  <c r="L79" i="7" s="1"/>
  <c r="J78" i="7"/>
  <c r="L78" i="7" s="1"/>
  <c r="J77" i="7"/>
  <c r="L77" i="7" s="1"/>
  <c r="J76" i="7"/>
  <c r="L76" i="7" s="1"/>
  <c r="J75" i="7"/>
  <c r="L75" i="7" s="1"/>
  <c r="J74" i="7"/>
  <c r="L74" i="7" s="1"/>
  <c r="J73" i="7"/>
  <c r="L73" i="7" s="1"/>
  <c r="J72" i="7"/>
  <c r="L72" i="7" s="1"/>
  <c r="J71" i="7"/>
  <c r="L71" i="7" s="1"/>
  <c r="J70" i="7"/>
  <c r="L70" i="7" s="1"/>
  <c r="J69" i="7"/>
  <c r="L69" i="7" s="1"/>
  <c r="J68" i="7"/>
  <c r="L68" i="7" s="1"/>
  <c r="J67" i="7"/>
  <c r="L67" i="7" s="1"/>
  <c r="J66" i="7"/>
  <c r="L66" i="7" s="1"/>
  <c r="J65" i="7"/>
  <c r="L65" i="7" s="1"/>
  <c r="L64" i="7"/>
  <c r="J64" i="7"/>
  <c r="J63" i="7"/>
  <c r="L63" i="7" s="1"/>
  <c r="J62" i="7"/>
  <c r="L62" i="7" s="1"/>
  <c r="J61" i="7"/>
  <c r="L61" i="7" s="1"/>
  <c r="L60" i="7"/>
  <c r="J60" i="7"/>
  <c r="J59" i="7"/>
  <c r="L59" i="7" s="1"/>
  <c r="J58" i="7"/>
  <c r="L58" i="7" s="1"/>
  <c r="J57" i="7"/>
  <c r="L57" i="7" s="1"/>
  <c r="J56" i="7"/>
  <c r="L56" i="7" s="1"/>
  <c r="J55" i="7"/>
  <c r="L55" i="7" s="1"/>
  <c r="J54" i="7"/>
  <c r="L54" i="7" s="1"/>
  <c r="J53" i="7"/>
  <c r="L53" i="7" s="1"/>
  <c r="J52" i="7"/>
  <c r="L52" i="7" s="1"/>
  <c r="J51" i="7"/>
  <c r="L51" i="7" s="1"/>
  <c r="J50" i="7"/>
  <c r="L50" i="7" s="1"/>
  <c r="J49" i="7"/>
  <c r="L49" i="7" s="1"/>
  <c r="J48" i="7"/>
  <c r="L48" i="7" s="1"/>
  <c r="J47" i="7"/>
  <c r="L47" i="7" s="1"/>
  <c r="J46" i="7"/>
  <c r="L46" i="7" s="1"/>
  <c r="J45" i="7"/>
  <c r="L45" i="7" s="1"/>
  <c r="J44" i="7"/>
  <c r="L44" i="7" s="1"/>
  <c r="J43" i="7"/>
  <c r="L43" i="7" s="1"/>
  <c r="J42" i="7"/>
  <c r="L42" i="7" s="1"/>
  <c r="J41" i="7"/>
  <c r="L41" i="7" s="1"/>
  <c r="J40" i="7"/>
  <c r="L40" i="7" s="1"/>
  <c r="J39" i="7"/>
  <c r="L39" i="7" s="1"/>
  <c r="J38" i="7"/>
  <c r="L38" i="7" s="1"/>
  <c r="J37" i="7"/>
  <c r="L37" i="7" s="1"/>
  <c r="J36" i="7"/>
  <c r="L36" i="7" s="1"/>
  <c r="J35" i="7"/>
  <c r="L35" i="7" s="1"/>
  <c r="J34" i="7"/>
  <c r="L34" i="7" s="1"/>
  <c r="J33" i="7"/>
  <c r="L33" i="7" s="1"/>
  <c r="J32" i="7"/>
  <c r="L32" i="7" s="1"/>
  <c r="J31" i="7"/>
  <c r="L31" i="7" s="1"/>
  <c r="J30" i="7"/>
  <c r="L30" i="7" s="1"/>
  <c r="J29" i="7"/>
  <c r="L29" i="7" s="1"/>
  <c r="J28" i="7"/>
  <c r="L28" i="7" s="1"/>
  <c r="J27" i="7"/>
  <c r="L27" i="7" s="1"/>
  <c r="J26" i="7"/>
  <c r="L26" i="7" s="1"/>
  <c r="J25" i="7"/>
  <c r="L25" i="7" s="1"/>
  <c r="J24" i="7"/>
  <c r="L24" i="7" s="1"/>
  <c r="J23" i="7"/>
  <c r="L23" i="7" s="1"/>
  <c r="J22" i="7"/>
  <c r="L22" i="7" s="1"/>
  <c r="J21" i="7"/>
  <c r="L21" i="7" s="1"/>
  <c r="L20" i="7"/>
  <c r="J20" i="7"/>
  <c r="J19" i="7"/>
  <c r="L19" i="7" s="1"/>
  <c r="J18" i="7"/>
  <c r="L18" i="7" s="1"/>
  <c r="J17" i="7"/>
  <c r="L17" i="7" s="1"/>
  <c r="L16" i="7"/>
  <c r="J16" i="7"/>
  <c r="J15" i="7"/>
  <c r="L15" i="7" s="1"/>
  <c r="J14" i="7"/>
  <c r="L14" i="7" s="1"/>
  <c r="J13" i="7"/>
  <c r="L13" i="7" s="1"/>
  <c r="J12" i="7"/>
  <c r="L12" i="7" s="1"/>
  <c r="J11" i="7"/>
  <c r="L11" i="7" s="1"/>
  <c r="J10" i="7"/>
  <c r="L10" i="7" s="1"/>
  <c r="J9" i="7"/>
  <c r="L9" i="7" s="1"/>
  <c r="J8" i="7"/>
  <c r="L8" i="7" s="1"/>
  <c r="J7" i="7"/>
  <c r="L7" i="7" s="1"/>
  <c r="J6" i="7"/>
  <c r="L6" i="7" s="1"/>
  <c r="J5" i="7"/>
  <c r="L5" i="7" s="1"/>
  <c r="J4" i="7"/>
  <c r="L4" i="7" s="1"/>
  <c r="J3" i="7"/>
  <c r="L3" i="7" s="1"/>
  <c r="J2" i="7"/>
  <c r="L2" i="7" s="1"/>
  <c r="J126" i="6"/>
  <c r="L126" i="6" s="1"/>
  <c r="J125" i="6"/>
  <c r="L125" i="6" s="1"/>
  <c r="J124" i="6"/>
  <c r="L124" i="6" s="1"/>
  <c r="J123" i="6"/>
  <c r="L123" i="6" s="1"/>
  <c r="J122" i="6"/>
  <c r="L122" i="6" s="1"/>
  <c r="J121" i="6"/>
  <c r="L121" i="6" s="1"/>
  <c r="J120" i="6"/>
  <c r="L120" i="6" s="1"/>
  <c r="J119" i="6"/>
  <c r="L119" i="6" s="1"/>
  <c r="J118" i="6"/>
  <c r="L118" i="6" s="1"/>
  <c r="J117" i="6"/>
  <c r="L117" i="6" s="1"/>
  <c r="J116" i="6"/>
  <c r="L116" i="6" s="1"/>
  <c r="J115" i="6"/>
  <c r="L115" i="6" s="1"/>
  <c r="J114" i="6"/>
  <c r="L114" i="6" s="1"/>
  <c r="J113" i="6"/>
  <c r="L113" i="6" s="1"/>
  <c r="J112" i="6"/>
  <c r="L112" i="6" s="1"/>
  <c r="J111" i="6"/>
  <c r="L111" i="6" s="1"/>
  <c r="J110" i="6"/>
  <c r="L110" i="6" s="1"/>
  <c r="J109" i="6"/>
  <c r="L109" i="6" s="1"/>
  <c r="J108" i="6"/>
  <c r="L108" i="6" s="1"/>
  <c r="J107" i="6"/>
  <c r="L107" i="6" s="1"/>
  <c r="J106" i="6"/>
  <c r="L106" i="6" s="1"/>
  <c r="J105" i="6"/>
  <c r="L105" i="6" s="1"/>
  <c r="J104" i="6"/>
  <c r="L104" i="6" s="1"/>
  <c r="J103" i="6"/>
  <c r="L103" i="6" s="1"/>
  <c r="J102" i="6"/>
  <c r="L102" i="6" s="1"/>
  <c r="J101" i="6"/>
  <c r="L101" i="6" s="1"/>
  <c r="J100" i="6"/>
  <c r="L100" i="6" s="1"/>
  <c r="J99" i="6"/>
  <c r="L99" i="6" s="1"/>
  <c r="J98" i="6"/>
  <c r="L98" i="6" s="1"/>
  <c r="J97" i="6"/>
  <c r="L97" i="6" s="1"/>
  <c r="J96" i="6"/>
  <c r="L96" i="6" s="1"/>
  <c r="J95" i="6"/>
  <c r="L95" i="6" s="1"/>
  <c r="J94" i="6"/>
  <c r="L94" i="6" s="1"/>
  <c r="J93" i="6"/>
  <c r="L93" i="6" s="1"/>
  <c r="J92" i="6"/>
  <c r="L92" i="6" s="1"/>
  <c r="J91" i="6"/>
  <c r="L91" i="6" s="1"/>
  <c r="J90" i="6"/>
  <c r="L90" i="6" s="1"/>
  <c r="J89" i="6"/>
  <c r="L89" i="6" s="1"/>
  <c r="J88" i="6"/>
  <c r="L88" i="6" s="1"/>
  <c r="L87" i="6"/>
  <c r="J87" i="6"/>
  <c r="J86" i="6"/>
  <c r="L86" i="6" s="1"/>
  <c r="J85" i="6"/>
  <c r="L85" i="6" s="1"/>
  <c r="J84" i="6"/>
  <c r="L84" i="6" s="1"/>
  <c r="J83" i="6"/>
  <c r="L83" i="6" s="1"/>
  <c r="J82" i="6"/>
  <c r="L82" i="6" s="1"/>
  <c r="J81" i="6"/>
  <c r="L81" i="6" s="1"/>
  <c r="J80" i="6"/>
  <c r="L80" i="6" s="1"/>
  <c r="J79" i="6"/>
  <c r="L79" i="6" s="1"/>
  <c r="J78" i="6"/>
  <c r="L78" i="6" s="1"/>
  <c r="J77" i="6"/>
  <c r="L77" i="6" s="1"/>
  <c r="L76" i="6"/>
  <c r="J76" i="6"/>
  <c r="J75" i="6"/>
  <c r="L75" i="6" s="1"/>
  <c r="J74" i="6"/>
  <c r="L74" i="6" s="1"/>
  <c r="J73" i="6"/>
  <c r="L73" i="6" s="1"/>
  <c r="J72" i="6"/>
  <c r="L72" i="6" s="1"/>
  <c r="J71" i="6"/>
  <c r="L71" i="6" s="1"/>
  <c r="J70" i="6"/>
  <c r="L70" i="6" s="1"/>
  <c r="J69" i="6"/>
  <c r="L69" i="6" s="1"/>
  <c r="J68" i="6"/>
  <c r="L68" i="6" s="1"/>
  <c r="J67" i="6"/>
  <c r="L67" i="6" s="1"/>
  <c r="J66" i="6"/>
  <c r="L66" i="6" s="1"/>
  <c r="J65" i="6"/>
  <c r="L65" i="6" s="1"/>
  <c r="J64" i="6"/>
  <c r="L64" i="6" s="1"/>
  <c r="L63" i="6"/>
  <c r="J63" i="6"/>
  <c r="J62" i="6"/>
  <c r="L62" i="6" s="1"/>
  <c r="J61" i="6"/>
  <c r="L61" i="6" s="1"/>
  <c r="J60" i="6"/>
  <c r="L60" i="6" s="1"/>
  <c r="J59" i="6"/>
  <c r="L59" i="6" s="1"/>
  <c r="J58" i="6"/>
  <c r="L58" i="6" s="1"/>
  <c r="J57" i="6"/>
  <c r="L57" i="6" s="1"/>
  <c r="J56" i="6"/>
  <c r="L56" i="6" s="1"/>
  <c r="J55" i="6"/>
  <c r="L55" i="6" s="1"/>
  <c r="J54" i="6"/>
  <c r="L54" i="6" s="1"/>
  <c r="J53" i="6"/>
  <c r="L53" i="6" s="1"/>
  <c r="J52" i="6"/>
  <c r="L52" i="6" s="1"/>
  <c r="J51" i="6"/>
  <c r="L51" i="6" s="1"/>
  <c r="J50" i="6"/>
  <c r="L50" i="6" s="1"/>
  <c r="J49" i="6"/>
  <c r="L49" i="6" s="1"/>
  <c r="J48" i="6"/>
  <c r="L48" i="6" s="1"/>
  <c r="J47" i="6"/>
  <c r="L47" i="6" s="1"/>
  <c r="J46" i="6"/>
  <c r="L46" i="6" s="1"/>
  <c r="J45" i="6"/>
  <c r="L45" i="6" s="1"/>
  <c r="L44" i="6"/>
  <c r="J44" i="6"/>
  <c r="J43" i="6"/>
  <c r="L43" i="6" s="1"/>
  <c r="J42" i="6"/>
  <c r="L42" i="6" s="1"/>
  <c r="J41" i="6"/>
  <c r="L41" i="6" s="1"/>
  <c r="J40" i="6"/>
  <c r="L40" i="6" s="1"/>
  <c r="J39" i="6"/>
  <c r="L39" i="6" s="1"/>
  <c r="J38" i="6"/>
  <c r="L38" i="6" s="1"/>
  <c r="J37" i="6"/>
  <c r="L37" i="6" s="1"/>
  <c r="L36" i="6"/>
  <c r="J36" i="6"/>
  <c r="J35" i="6"/>
  <c r="L35" i="6" s="1"/>
  <c r="J34" i="6"/>
  <c r="L34" i="6" s="1"/>
  <c r="J33" i="6"/>
  <c r="L33" i="6" s="1"/>
  <c r="J32" i="6"/>
  <c r="L32" i="6" s="1"/>
  <c r="J31" i="6"/>
  <c r="L31" i="6" s="1"/>
  <c r="J30" i="6"/>
  <c r="L30" i="6" s="1"/>
  <c r="J29" i="6"/>
  <c r="L29" i="6" s="1"/>
  <c r="J28" i="6"/>
  <c r="L28" i="6" s="1"/>
  <c r="J27" i="6"/>
  <c r="L27" i="6" s="1"/>
  <c r="J26" i="6"/>
  <c r="L26" i="6" s="1"/>
  <c r="J25" i="6"/>
  <c r="L25" i="6" s="1"/>
  <c r="J24" i="6"/>
  <c r="L24" i="6" s="1"/>
  <c r="L23" i="6"/>
  <c r="J23" i="6"/>
  <c r="J22" i="6"/>
  <c r="L22" i="6" s="1"/>
  <c r="J21" i="6"/>
  <c r="L21" i="6" s="1"/>
  <c r="J20" i="6"/>
  <c r="L20" i="6" s="1"/>
  <c r="J19" i="6"/>
  <c r="L19" i="6" s="1"/>
  <c r="J18" i="6"/>
  <c r="L18" i="6" s="1"/>
  <c r="J17" i="6"/>
  <c r="L17" i="6" s="1"/>
  <c r="J16" i="6"/>
  <c r="L16" i="6" s="1"/>
  <c r="J15" i="6"/>
  <c r="L15" i="6" s="1"/>
  <c r="J14" i="6"/>
  <c r="L14" i="6" s="1"/>
  <c r="J13" i="6"/>
  <c r="L13" i="6" s="1"/>
  <c r="J12" i="6"/>
  <c r="L12" i="6" s="1"/>
  <c r="J11" i="6"/>
  <c r="L11" i="6" s="1"/>
  <c r="J10" i="6"/>
  <c r="L10" i="6" s="1"/>
  <c r="J9" i="6"/>
  <c r="L9" i="6" s="1"/>
  <c r="J8" i="6"/>
  <c r="L8" i="6" s="1"/>
  <c r="J7" i="6"/>
  <c r="L7" i="6" s="1"/>
  <c r="J6" i="6"/>
  <c r="L6" i="6" s="1"/>
  <c r="J5" i="6"/>
  <c r="L5" i="6" s="1"/>
  <c r="J4" i="6"/>
  <c r="L4" i="6" s="1"/>
  <c r="J3" i="6"/>
  <c r="L3" i="6" s="1"/>
  <c r="J2" i="6"/>
  <c r="L2" i="6" s="1"/>
  <c r="J131" i="2"/>
  <c r="L131" i="2" s="1"/>
  <c r="J130" i="2"/>
  <c r="L130" i="2" s="1"/>
  <c r="J129" i="2"/>
  <c r="L129" i="2" s="1"/>
  <c r="J128" i="2"/>
  <c r="L128" i="2" s="1"/>
  <c r="J127" i="2"/>
  <c r="L127" i="2" s="1"/>
  <c r="J126" i="2"/>
  <c r="L126" i="2" s="1"/>
  <c r="J125" i="2"/>
  <c r="L125" i="2" s="1"/>
  <c r="J124" i="2"/>
  <c r="L124" i="2" s="1"/>
  <c r="J123" i="2"/>
  <c r="L123" i="2" s="1"/>
  <c r="J122" i="2"/>
  <c r="L122" i="2" s="1"/>
  <c r="J121" i="2"/>
  <c r="L121" i="2" s="1"/>
  <c r="J120" i="2"/>
  <c r="L120" i="2" s="1"/>
  <c r="J118" i="2"/>
  <c r="L118" i="2" s="1"/>
  <c r="J117" i="2"/>
  <c r="L117" i="2" s="1"/>
  <c r="J116" i="2"/>
  <c r="L116" i="2" s="1"/>
  <c r="J115" i="2"/>
  <c r="L115" i="2" s="1"/>
  <c r="J114" i="2"/>
  <c r="L114" i="2" s="1"/>
  <c r="J113" i="2"/>
  <c r="L113" i="2" s="1"/>
  <c r="J112" i="2"/>
  <c r="L112" i="2" s="1"/>
  <c r="J111" i="2"/>
  <c r="L111" i="2" s="1"/>
  <c r="J110" i="2"/>
  <c r="L110" i="2" s="1"/>
  <c r="J109" i="2"/>
  <c r="L109" i="2" s="1"/>
  <c r="J108" i="2"/>
  <c r="L108" i="2" s="1"/>
  <c r="J107" i="2"/>
  <c r="L107" i="2" s="1"/>
  <c r="J106" i="2"/>
  <c r="L106" i="2" s="1"/>
  <c r="J105" i="2"/>
  <c r="L105" i="2" s="1"/>
  <c r="J104" i="2"/>
  <c r="L104" i="2" s="1"/>
  <c r="J103" i="2"/>
  <c r="L103" i="2" s="1"/>
  <c r="J102" i="2"/>
  <c r="L102" i="2" s="1"/>
  <c r="J101" i="2"/>
  <c r="L101" i="2" s="1"/>
  <c r="J100" i="2"/>
  <c r="L100" i="2" s="1"/>
  <c r="J99" i="2"/>
  <c r="L99" i="2" s="1"/>
  <c r="J98" i="2"/>
  <c r="L98" i="2" s="1"/>
  <c r="J97" i="2"/>
  <c r="L97" i="2" s="1"/>
  <c r="J96" i="2"/>
  <c r="L96" i="2" s="1"/>
  <c r="J95" i="2"/>
  <c r="L95" i="2" s="1"/>
  <c r="J94" i="2"/>
  <c r="L94" i="2" s="1"/>
  <c r="J93" i="2"/>
  <c r="L93" i="2" s="1"/>
  <c r="J92" i="2"/>
  <c r="L92" i="2" s="1"/>
  <c r="J91" i="2"/>
  <c r="L91" i="2" s="1"/>
  <c r="J90" i="2"/>
  <c r="L90" i="2" s="1"/>
  <c r="J89" i="2"/>
  <c r="L89" i="2" s="1"/>
  <c r="J88" i="2"/>
  <c r="L88" i="2" s="1"/>
  <c r="J87" i="2"/>
  <c r="L87" i="2" s="1"/>
  <c r="J86" i="2"/>
  <c r="L86" i="2" s="1"/>
  <c r="J85" i="2"/>
  <c r="L85" i="2" s="1"/>
  <c r="J84" i="2"/>
  <c r="L84" i="2" s="1"/>
  <c r="J83" i="2"/>
  <c r="L83" i="2" s="1"/>
  <c r="J82" i="2"/>
  <c r="L82" i="2" s="1"/>
  <c r="J81" i="2"/>
  <c r="L81" i="2" s="1"/>
  <c r="J80" i="2"/>
  <c r="L80" i="2" s="1"/>
  <c r="J79" i="2"/>
  <c r="L79" i="2" s="1"/>
  <c r="J78" i="2"/>
  <c r="L78" i="2" s="1"/>
  <c r="J77" i="2"/>
  <c r="L77" i="2" s="1"/>
  <c r="J76" i="2"/>
  <c r="L76" i="2" s="1"/>
  <c r="J75" i="2"/>
  <c r="L75" i="2" s="1"/>
  <c r="J74" i="2"/>
  <c r="L74" i="2" s="1"/>
  <c r="J73" i="2"/>
  <c r="L73" i="2" s="1"/>
  <c r="J72" i="2"/>
  <c r="L72" i="2" s="1"/>
  <c r="J71" i="2"/>
  <c r="L71" i="2" s="1"/>
  <c r="J70" i="2"/>
  <c r="L70" i="2" s="1"/>
  <c r="J69" i="2"/>
  <c r="L69" i="2" s="1"/>
  <c r="J68" i="2"/>
  <c r="L68" i="2" s="1"/>
  <c r="J67" i="2"/>
  <c r="L67" i="2" s="1"/>
  <c r="J66" i="2"/>
  <c r="L66" i="2" s="1"/>
  <c r="J65" i="2"/>
  <c r="L65" i="2" s="1"/>
  <c r="J64" i="2"/>
  <c r="L64" i="2" s="1"/>
  <c r="J63" i="2"/>
  <c r="L63" i="2" s="1"/>
  <c r="J62" i="2"/>
  <c r="L62" i="2" s="1"/>
  <c r="J61" i="2"/>
  <c r="L61" i="2" s="1"/>
  <c r="J60" i="2"/>
  <c r="L60" i="2" s="1"/>
  <c r="J59" i="2"/>
  <c r="L59" i="2" s="1"/>
  <c r="J58" i="2"/>
  <c r="L58" i="2" s="1"/>
  <c r="J57" i="2"/>
  <c r="L57" i="2" s="1"/>
  <c r="J56" i="2"/>
  <c r="L56" i="2" s="1"/>
  <c r="J55" i="2"/>
  <c r="L55" i="2" s="1"/>
  <c r="J54" i="2"/>
  <c r="L54" i="2" s="1"/>
  <c r="J53" i="2"/>
  <c r="L53" i="2" s="1"/>
  <c r="J52" i="2"/>
  <c r="L52" i="2" s="1"/>
  <c r="J51" i="2"/>
  <c r="L51" i="2" s="1"/>
  <c r="J50" i="2"/>
  <c r="L50" i="2" s="1"/>
  <c r="J49" i="2"/>
  <c r="L49" i="2" s="1"/>
  <c r="J48" i="2"/>
  <c r="L48" i="2" s="1"/>
  <c r="J46" i="2"/>
  <c r="L46" i="2" s="1"/>
  <c r="J45" i="2"/>
  <c r="L45" i="2" s="1"/>
  <c r="J43" i="2"/>
  <c r="L43" i="2" s="1"/>
  <c r="J42" i="2"/>
  <c r="L42" i="2" s="1"/>
  <c r="J41" i="2"/>
  <c r="L41" i="2" s="1"/>
  <c r="J40" i="2"/>
  <c r="L40" i="2" s="1"/>
  <c r="J39" i="2"/>
  <c r="L39" i="2" s="1"/>
  <c r="J38" i="2"/>
  <c r="L38" i="2" s="1"/>
  <c r="J37" i="2"/>
  <c r="L37" i="2" s="1"/>
  <c r="J36" i="2"/>
  <c r="L36" i="2" s="1"/>
  <c r="J35" i="2"/>
  <c r="L35" i="2" s="1"/>
  <c r="J34" i="2"/>
  <c r="L34" i="2" s="1"/>
  <c r="J33" i="2"/>
  <c r="L33" i="2" s="1"/>
  <c r="J32" i="2"/>
  <c r="L32" i="2" s="1"/>
  <c r="J31" i="2"/>
  <c r="L31" i="2" s="1"/>
  <c r="J30" i="2"/>
  <c r="L30" i="2" s="1"/>
  <c r="J28" i="2"/>
  <c r="L28" i="2" s="1"/>
  <c r="J27" i="2"/>
  <c r="L27" i="2" s="1"/>
  <c r="J26" i="2"/>
  <c r="L26" i="2" s="1"/>
  <c r="J25" i="2"/>
  <c r="L25" i="2" s="1"/>
  <c r="J24" i="2"/>
  <c r="L24" i="2" s="1"/>
  <c r="J23" i="2"/>
  <c r="L23" i="2" s="1"/>
  <c r="J22" i="2"/>
  <c r="L22" i="2" s="1"/>
  <c r="J21" i="2"/>
  <c r="L21" i="2" s="1"/>
  <c r="J20" i="2"/>
  <c r="L20" i="2" s="1"/>
  <c r="J19" i="2"/>
  <c r="L19" i="2" s="1"/>
  <c r="J18" i="2"/>
  <c r="L18" i="2" s="1"/>
  <c r="J17" i="2"/>
  <c r="L17" i="2" s="1"/>
  <c r="J16" i="2"/>
  <c r="L16" i="2" s="1"/>
  <c r="J15" i="2"/>
  <c r="L15" i="2" s="1"/>
  <c r="J14" i="2"/>
  <c r="L14" i="2" s="1"/>
  <c r="J13" i="2"/>
  <c r="L13" i="2" s="1"/>
  <c r="J12" i="2"/>
  <c r="L12" i="2" s="1"/>
  <c r="J11" i="2"/>
  <c r="L11" i="2" s="1"/>
  <c r="J10" i="2"/>
  <c r="L10" i="2" s="1"/>
  <c r="J9" i="2"/>
  <c r="L9" i="2" s="1"/>
  <c r="J7" i="2"/>
  <c r="L7" i="2" s="1"/>
  <c r="J6" i="2"/>
  <c r="L6" i="2" s="1"/>
  <c r="J5" i="2"/>
  <c r="L5" i="2" s="1"/>
  <c r="J4" i="2"/>
  <c r="L4" i="2" s="1"/>
  <c r="J3" i="2"/>
  <c r="L3" i="2" s="1"/>
  <c r="J2" i="2"/>
  <c r="L2" i="2" s="1"/>
  <c r="L6" i="3"/>
  <c r="L17" i="3"/>
  <c r="L28" i="3"/>
  <c r="L49" i="3"/>
  <c r="L50" i="3"/>
  <c r="L51" i="3"/>
  <c r="L60" i="3"/>
  <c r="L71" i="3"/>
  <c r="L72" i="3"/>
  <c r="L83" i="3"/>
  <c r="J3" i="3"/>
  <c r="L3" i="3" s="1"/>
  <c r="J4" i="3"/>
  <c r="L4" i="3" s="1"/>
  <c r="J5" i="3"/>
  <c r="L5" i="3" s="1"/>
  <c r="J6" i="3"/>
  <c r="J7" i="3"/>
  <c r="L7" i="3" s="1"/>
  <c r="J8" i="3"/>
  <c r="L8" i="3" s="1"/>
  <c r="J9" i="3"/>
  <c r="L9" i="3" s="1"/>
  <c r="J10" i="3"/>
  <c r="L10" i="3" s="1"/>
  <c r="J11" i="3"/>
  <c r="L11" i="3" s="1"/>
  <c r="J12" i="3"/>
  <c r="L12" i="3" s="1"/>
  <c r="J13" i="3"/>
  <c r="L13" i="3" s="1"/>
  <c r="J14" i="3"/>
  <c r="L14" i="3" s="1"/>
  <c r="J15" i="3"/>
  <c r="L15" i="3" s="1"/>
  <c r="J16" i="3"/>
  <c r="L16" i="3" s="1"/>
  <c r="J17" i="3"/>
  <c r="J18" i="3"/>
  <c r="L18" i="3" s="1"/>
  <c r="J19" i="3"/>
  <c r="L19" i="3" s="1"/>
  <c r="J20" i="3"/>
  <c r="L20" i="3" s="1"/>
  <c r="J21" i="3"/>
  <c r="L21" i="3" s="1"/>
  <c r="J23" i="3"/>
  <c r="L23" i="3" s="1"/>
  <c r="J24" i="3"/>
  <c r="L24" i="3" s="1"/>
  <c r="J25" i="3"/>
  <c r="L25" i="3" s="1"/>
  <c r="J26" i="3"/>
  <c r="L26" i="3" s="1"/>
  <c r="J27" i="3"/>
  <c r="L27" i="3" s="1"/>
  <c r="J28" i="3"/>
  <c r="J29" i="3"/>
  <c r="L29" i="3" s="1"/>
  <c r="J30" i="3"/>
  <c r="L30" i="3" s="1"/>
  <c r="J31" i="3"/>
  <c r="L31" i="3" s="1"/>
  <c r="J32" i="3"/>
  <c r="L32" i="3" s="1"/>
  <c r="J33" i="3"/>
  <c r="L33" i="3" s="1"/>
  <c r="J34" i="3"/>
  <c r="L34" i="3" s="1"/>
  <c r="J35" i="3"/>
  <c r="L35" i="3" s="1"/>
  <c r="J36" i="3"/>
  <c r="L36" i="3" s="1"/>
  <c r="J37" i="3"/>
  <c r="L37" i="3" s="1"/>
  <c r="J38" i="3"/>
  <c r="L38" i="3" s="1"/>
  <c r="J39" i="3"/>
  <c r="L39" i="3" s="1"/>
  <c r="J40" i="3"/>
  <c r="L40" i="3" s="1"/>
  <c r="J41" i="3"/>
  <c r="L41" i="3" s="1"/>
  <c r="J42" i="3"/>
  <c r="L42" i="3" s="1"/>
  <c r="J43" i="3"/>
  <c r="L43" i="3" s="1"/>
  <c r="J44" i="3"/>
  <c r="L44" i="3" s="1"/>
  <c r="J45" i="3"/>
  <c r="L45" i="3" s="1"/>
  <c r="J46" i="3"/>
  <c r="L46" i="3" s="1"/>
  <c r="J47" i="3"/>
  <c r="L47" i="3" s="1"/>
  <c r="J48" i="3"/>
  <c r="L48" i="3" s="1"/>
  <c r="J49" i="3"/>
  <c r="J50" i="3"/>
  <c r="J51" i="3"/>
  <c r="J52" i="3"/>
  <c r="L52" i="3" s="1"/>
  <c r="J53" i="3"/>
  <c r="L53" i="3" s="1"/>
  <c r="J54" i="3"/>
  <c r="L54" i="3" s="1"/>
  <c r="J55" i="3"/>
  <c r="L55" i="3" s="1"/>
  <c r="J56" i="3"/>
  <c r="L56" i="3" s="1"/>
  <c r="J57" i="3"/>
  <c r="L57" i="3" s="1"/>
  <c r="J58" i="3"/>
  <c r="L58" i="3" s="1"/>
  <c r="J59" i="3"/>
  <c r="L59" i="3" s="1"/>
  <c r="J60" i="3"/>
  <c r="J61" i="3"/>
  <c r="L61" i="3" s="1"/>
  <c r="J62" i="3"/>
  <c r="L62" i="3" s="1"/>
  <c r="J63" i="3"/>
  <c r="L63" i="3" s="1"/>
  <c r="J64" i="3"/>
  <c r="L64" i="3" s="1"/>
  <c r="J65" i="3"/>
  <c r="L65" i="3" s="1"/>
  <c r="J66" i="3"/>
  <c r="L66" i="3" s="1"/>
  <c r="J67" i="3"/>
  <c r="L67" i="3" s="1"/>
  <c r="J68" i="3"/>
  <c r="L68" i="3" s="1"/>
  <c r="J69" i="3"/>
  <c r="L69" i="3" s="1"/>
  <c r="J70" i="3"/>
  <c r="L70" i="3" s="1"/>
  <c r="J71" i="3"/>
  <c r="J72" i="3"/>
  <c r="J73" i="3"/>
  <c r="L73" i="3" s="1"/>
  <c r="J74" i="3"/>
  <c r="L74" i="3" s="1"/>
  <c r="J75" i="3"/>
  <c r="L75" i="3" s="1"/>
  <c r="J76" i="3"/>
  <c r="L76" i="3" s="1"/>
  <c r="J77" i="3"/>
  <c r="L77" i="3" s="1"/>
  <c r="J78" i="3"/>
  <c r="L78" i="3" s="1"/>
  <c r="J79" i="3"/>
  <c r="L79" i="3" s="1"/>
  <c r="J80" i="3"/>
  <c r="L80" i="3" s="1"/>
  <c r="J81" i="3"/>
  <c r="L81" i="3" s="1"/>
  <c r="J83" i="3"/>
  <c r="J84" i="3"/>
  <c r="L84" i="3" s="1"/>
  <c r="J85" i="3"/>
  <c r="L85" i="3" s="1"/>
  <c r="J86" i="3"/>
  <c r="L86" i="3" s="1"/>
  <c r="J87" i="3"/>
  <c r="L87" i="3" s="1"/>
  <c r="J88" i="3"/>
  <c r="L88" i="3" s="1"/>
  <c r="J89" i="3"/>
  <c r="L89" i="3" s="1"/>
  <c r="J90" i="3"/>
  <c r="L90" i="3" s="1"/>
  <c r="J91" i="3"/>
  <c r="L91" i="3" s="1"/>
  <c r="J92" i="3"/>
  <c r="L92" i="3" s="1"/>
  <c r="J93" i="3"/>
  <c r="L93" i="3" s="1"/>
  <c r="J94" i="3"/>
  <c r="L94" i="3" s="1"/>
  <c r="J95" i="3"/>
  <c r="L95" i="3" s="1"/>
  <c r="J96" i="3"/>
  <c r="L96" i="3" s="1"/>
  <c r="J97" i="3"/>
  <c r="L97" i="3" s="1"/>
  <c r="J98" i="3"/>
  <c r="L98" i="3" s="1"/>
  <c r="J99" i="3"/>
  <c r="L99" i="3" s="1"/>
  <c r="J3" i="4"/>
  <c r="L3" i="4" s="1"/>
  <c r="J4" i="4"/>
  <c r="L4" i="4" s="1"/>
  <c r="J5" i="4"/>
  <c r="L5" i="4" s="1"/>
  <c r="J7" i="4"/>
  <c r="L7" i="4" s="1"/>
  <c r="J9" i="4"/>
  <c r="L9" i="4" s="1"/>
  <c r="J11" i="4"/>
  <c r="L11" i="4" s="1"/>
  <c r="J12" i="4"/>
  <c r="L12" i="4" s="1"/>
  <c r="J14" i="4"/>
  <c r="L14" i="4" s="1"/>
  <c r="J16" i="4"/>
  <c r="L16" i="4" s="1"/>
  <c r="J18" i="4"/>
  <c r="L18" i="4" s="1"/>
  <c r="J19" i="4"/>
  <c r="L19" i="4" s="1"/>
  <c r="J20" i="4"/>
  <c r="L20" i="4" s="1"/>
  <c r="J21" i="4"/>
  <c r="L21" i="4" s="1"/>
  <c r="J22" i="4"/>
  <c r="L22" i="4" s="1"/>
  <c r="J23" i="4"/>
  <c r="L23" i="4" s="1"/>
  <c r="J24" i="4"/>
  <c r="L24" i="4" s="1"/>
  <c r="J25" i="4"/>
  <c r="L25" i="4" s="1"/>
  <c r="J26" i="4"/>
  <c r="L26" i="4" s="1"/>
  <c r="J27" i="4"/>
  <c r="L27" i="4" s="1"/>
  <c r="J28" i="4"/>
  <c r="L28" i="4" s="1"/>
  <c r="J29" i="4"/>
  <c r="L29" i="4" s="1"/>
  <c r="J3" i="5"/>
  <c r="L3" i="5" s="1"/>
  <c r="J4" i="5"/>
  <c r="L4" i="5" s="1"/>
  <c r="J5" i="5"/>
  <c r="L5" i="5" s="1"/>
  <c r="J6" i="5"/>
  <c r="L6" i="5" s="1"/>
  <c r="J7" i="5"/>
  <c r="L7" i="5" s="1"/>
  <c r="J10" i="5"/>
  <c r="L10" i="5" s="1"/>
  <c r="J11" i="5"/>
  <c r="L11" i="5" s="1"/>
  <c r="J12" i="5"/>
  <c r="L12" i="5" s="1"/>
  <c r="J13" i="5"/>
  <c r="L13" i="5" s="1"/>
  <c r="J14" i="5"/>
  <c r="L14" i="5" s="1"/>
  <c r="J15" i="5"/>
  <c r="L15" i="5" s="1"/>
  <c r="J16" i="5"/>
  <c r="L16" i="5" s="1"/>
  <c r="J17" i="5"/>
  <c r="L17" i="5" s="1"/>
  <c r="J18" i="5"/>
  <c r="L18" i="5" s="1"/>
  <c r="J19" i="5"/>
  <c r="L19" i="5" s="1"/>
  <c r="J20" i="5"/>
  <c r="L20" i="5" s="1"/>
  <c r="J21" i="5"/>
  <c r="L21" i="5" s="1"/>
  <c r="J22" i="5"/>
  <c r="L22" i="5" s="1"/>
  <c r="J23" i="5"/>
  <c r="L23" i="5" s="1"/>
  <c r="J24" i="5"/>
  <c r="L24" i="5" s="1"/>
  <c r="J25" i="5"/>
  <c r="L25" i="5" s="1"/>
  <c r="J26" i="5"/>
  <c r="L26" i="5" s="1"/>
  <c r="J27" i="5"/>
  <c r="L27" i="5" s="1"/>
  <c r="J28" i="5"/>
  <c r="L28" i="5" s="1"/>
  <c r="J29" i="5"/>
  <c r="L29" i="5" s="1"/>
  <c r="J30" i="5"/>
  <c r="L30" i="5" s="1"/>
  <c r="J31" i="5"/>
  <c r="L31" i="5" s="1"/>
  <c r="J32" i="5"/>
  <c r="L32" i="5" s="1"/>
  <c r="J33" i="5"/>
  <c r="L33" i="5" s="1"/>
  <c r="J34" i="5"/>
  <c r="L34" i="5" s="1"/>
  <c r="J35" i="5"/>
  <c r="L35" i="5" s="1"/>
  <c r="J36" i="5"/>
  <c r="L36" i="5" s="1"/>
  <c r="J37" i="5"/>
  <c r="L37" i="5" s="1"/>
  <c r="J38" i="5"/>
  <c r="L38" i="5" s="1"/>
  <c r="J39" i="5"/>
  <c r="L39" i="5" s="1"/>
  <c r="J40" i="5"/>
  <c r="L40" i="5" s="1"/>
  <c r="J41" i="5"/>
  <c r="L41" i="5" s="1"/>
  <c r="J42" i="5"/>
  <c r="L42" i="5" s="1"/>
  <c r="J43" i="5"/>
  <c r="L43" i="5" s="1"/>
  <c r="J46" i="5"/>
  <c r="L46" i="5" s="1"/>
  <c r="J47" i="5"/>
  <c r="L47" i="5" s="1"/>
  <c r="J48" i="5"/>
  <c r="L48" i="5" s="1"/>
  <c r="J49" i="5"/>
  <c r="L49" i="5" s="1"/>
  <c r="J50" i="5"/>
  <c r="L50" i="5" s="1"/>
  <c r="J51" i="5"/>
  <c r="L51" i="5" s="1"/>
  <c r="J52" i="5"/>
  <c r="L52" i="5" s="1"/>
  <c r="J53" i="5"/>
  <c r="L53" i="5" s="1"/>
  <c r="J54" i="5"/>
  <c r="L54" i="5" s="1"/>
  <c r="J55" i="5"/>
  <c r="L55" i="5" s="1"/>
  <c r="J56" i="5"/>
  <c r="L56" i="5" s="1"/>
  <c r="J58" i="5"/>
  <c r="L58" i="5" s="1"/>
  <c r="J59" i="5"/>
  <c r="L59" i="5" s="1"/>
  <c r="J60" i="5"/>
  <c r="L60" i="5" s="1"/>
  <c r="J62" i="5"/>
  <c r="L62" i="5" s="1"/>
  <c r="J63" i="5"/>
  <c r="L63" i="5" s="1"/>
  <c r="J64" i="5"/>
  <c r="L64" i="5" s="1"/>
  <c r="J65" i="5"/>
  <c r="L65" i="5" s="1"/>
  <c r="J66" i="5"/>
  <c r="L66" i="5" s="1"/>
  <c r="J67" i="5"/>
  <c r="L67" i="5" s="1"/>
  <c r="J68" i="5"/>
  <c r="L68" i="5" s="1"/>
  <c r="J69" i="5"/>
  <c r="L69" i="5" s="1"/>
  <c r="J70" i="5"/>
  <c r="L70" i="5" s="1"/>
  <c r="J71" i="5"/>
  <c r="L71" i="5" s="1"/>
  <c r="J72" i="5"/>
  <c r="L72" i="5" s="1"/>
  <c r="J73" i="5"/>
  <c r="L73" i="5" s="1"/>
  <c r="J74" i="5"/>
  <c r="L74" i="5" s="1"/>
  <c r="J75" i="5"/>
  <c r="L75" i="5" s="1"/>
  <c r="J77" i="5"/>
  <c r="L77" i="5" s="1"/>
  <c r="J78" i="5"/>
  <c r="L78" i="5" s="1"/>
  <c r="J79" i="5"/>
  <c r="L79" i="5" s="1"/>
  <c r="J80" i="5"/>
  <c r="L80" i="5" s="1"/>
  <c r="J81" i="5"/>
  <c r="L81" i="5" s="1"/>
  <c r="J82" i="5"/>
  <c r="L82" i="5" s="1"/>
  <c r="J83" i="5"/>
  <c r="L83" i="5" s="1"/>
  <c r="J84" i="5"/>
  <c r="L84" i="5" s="1"/>
  <c r="J85" i="5"/>
  <c r="L85" i="5" s="1"/>
  <c r="J86" i="5"/>
  <c r="L86" i="5" s="1"/>
  <c r="J87" i="5"/>
  <c r="L87" i="5" s="1"/>
  <c r="J88" i="5"/>
  <c r="L88" i="5" s="1"/>
  <c r="J89" i="5"/>
  <c r="L89" i="5" s="1"/>
  <c r="J90" i="5"/>
  <c r="L90" i="5" s="1"/>
  <c r="J91" i="5"/>
  <c r="L91" i="5" s="1"/>
  <c r="J92" i="5"/>
  <c r="L92" i="5" s="1"/>
  <c r="J93" i="5"/>
  <c r="L93" i="5" s="1"/>
  <c r="J94" i="5"/>
  <c r="L94" i="5" s="1"/>
  <c r="J95" i="5"/>
  <c r="L95" i="5" s="1"/>
  <c r="J96" i="5"/>
  <c r="L96" i="5" s="1"/>
  <c r="J97" i="5"/>
  <c r="L97" i="5" s="1"/>
  <c r="J98" i="5"/>
  <c r="L98" i="5" s="1"/>
  <c r="J99" i="5"/>
  <c r="L99" i="5" s="1"/>
  <c r="J100" i="5"/>
  <c r="L100" i="5" s="1"/>
  <c r="J101" i="5"/>
  <c r="L101" i="5" s="1"/>
  <c r="J102" i="5"/>
  <c r="L102" i="5" s="1"/>
  <c r="J103" i="5"/>
  <c r="L103" i="5" s="1"/>
  <c r="J104" i="5"/>
  <c r="L104" i="5" s="1"/>
  <c r="J105" i="5"/>
  <c r="L105" i="5" s="1"/>
  <c r="J106" i="5"/>
  <c r="L106" i="5" s="1"/>
  <c r="J107" i="5"/>
  <c r="L107" i="5" s="1"/>
  <c r="J108" i="5"/>
  <c r="L108" i="5" s="1"/>
  <c r="J109" i="5"/>
  <c r="L109" i="5" s="1"/>
  <c r="J110" i="5"/>
  <c r="L110" i="5" s="1"/>
  <c r="J111" i="5"/>
  <c r="L111" i="5" s="1"/>
  <c r="J112" i="5"/>
  <c r="L112" i="5" s="1"/>
  <c r="J113" i="5"/>
  <c r="L113" i="5" s="1"/>
  <c r="J114" i="5"/>
  <c r="L114" i="5" s="1"/>
  <c r="J115" i="5"/>
  <c r="L115" i="5" s="1"/>
  <c r="J116" i="5"/>
  <c r="L116" i="5" s="1"/>
  <c r="J117" i="5"/>
  <c r="L117" i="5" s="1"/>
  <c r="J118" i="5"/>
  <c r="L118" i="5" s="1"/>
  <c r="J119" i="5"/>
  <c r="L119" i="5" s="1"/>
  <c r="J120" i="5"/>
  <c r="L120" i="5" s="1"/>
  <c r="J121" i="5"/>
  <c r="L121" i="5" s="1"/>
  <c r="J123" i="5"/>
  <c r="L123" i="5" s="1"/>
  <c r="J124" i="5"/>
  <c r="L124" i="5" s="1"/>
  <c r="J125" i="5"/>
  <c r="L125" i="5" s="1"/>
  <c r="J126" i="5"/>
  <c r="L126" i="5" s="1"/>
  <c r="J127" i="5"/>
  <c r="L127" i="5" s="1"/>
  <c r="J128" i="5"/>
  <c r="L128" i="5" s="1"/>
  <c r="J129" i="5"/>
  <c r="L129" i="5" s="1"/>
  <c r="J130" i="5"/>
  <c r="L130" i="5" s="1"/>
  <c r="J131" i="5"/>
  <c r="L131" i="5" s="1"/>
  <c r="J132" i="5"/>
  <c r="L132" i="5" s="1"/>
  <c r="J133" i="5"/>
  <c r="L133" i="5" s="1"/>
  <c r="J134" i="5"/>
  <c r="L134" i="5" s="1"/>
  <c r="C5" i="1" l="1"/>
  <c r="C13" i="1"/>
  <c r="B14" i="1"/>
  <c r="C16" i="1"/>
  <c r="B25" i="1"/>
  <c r="B31" i="1"/>
  <c r="C25" i="1"/>
  <c r="B3" i="1"/>
  <c r="C15" i="1"/>
  <c r="B16" i="1"/>
  <c r="C4" i="1"/>
  <c r="C18" i="1"/>
  <c r="B27" i="1"/>
  <c r="B17" i="1"/>
  <c r="B10" i="1"/>
  <c r="B15" i="1"/>
  <c r="B9" i="1"/>
  <c r="C22" i="1"/>
  <c r="B11" i="1"/>
  <c r="B18" i="1"/>
  <c r="C26" i="1"/>
  <c r="C19" i="1"/>
  <c r="C20" i="1"/>
  <c r="B28" i="1"/>
  <c r="B4" i="1"/>
  <c r="B6" i="1"/>
  <c r="C2" i="1"/>
  <c r="C7" i="1"/>
  <c r="C21" i="1"/>
  <c r="B12" i="1"/>
  <c r="B20" i="1"/>
  <c r="C8" i="1"/>
  <c r="C27" i="1"/>
  <c r="C12" i="1"/>
  <c r="B19" i="1"/>
  <c r="B2" i="1"/>
  <c r="B21" i="1"/>
  <c r="C9" i="1"/>
  <c r="B5" i="1"/>
  <c r="B26" i="1"/>
  <c r="B13" i="1"/>
  <c r="B7" i="1"/>
  <c r="B22" i="1"/>
  <c r="B8" i="1"/>
  <c r="C14" i="1"/>
  <c r="C3" i="1"/>
  <c r="C28" i="1"/>
  <c r="C29" i="1"/>
  <c r="B29" i="1"/>
  <c r="C10" i="1"/>
  <c r="C17" i="1"/>
  <c r="C30" i="1"/>
  <c r="B30" i="1"/>
  <c r="C6" i="1"/>
  <c r="C11" i="1"/>
  <c r="C31" i="1"/>
  <c r="D24" i="1"/>
  <c r="D23" i="1"/>
  <c r="J2" i="5"/>
  <c r="L2" i="5" s="1"/>
  <c r="J2" i="4"/>
  <c r="L2" i="4" s="1"/>
  <c r="J2" i="3"/>
  <c r="L2" i="3" s="1"/>
  <c r="D13" i="1" l="1"/>
  <c r="D5" i="1"/>
  <c r="D14" i="1"/>
  <c r="D17" i="1"/>
  <c r="D10" i="1"/>
  <c r="D25" i="1"/>
  <c r="D31" i="1"/>
  <c r="D15" i="1"/>
  <c r="D16" i="1"/>
  <c r="D22" i="1"/>
  <c r="D27" i="1"/>
  <c r="D3" i="1"/>
  <c r="D4" i="1"/>
  <c r="D26" i="1"/>
  <c r="D18" i="1"/>
  <c r="D20" i="1"/>
  <c r="D6" i="1"/>
  <c r="D28" i="1"/>
  <c r="D9" i="1"/>
  <c r="D11" i="1"/>
  <c r="D2" i="1"/>
  <c r="D21" i="1"/>
  <c r="D7" i="1"/>
  <c r="D19" i="1"/>
  <c r="D8" i="1"/>
  <c r="D30" i="1"/>
  <c r="D12" i="1"/>
  <c r="D29" i="1"/>
</calcChain>
</file>

<file path=xl/sharedStrings.xml><?xml version="1.0" encoding="utf-8"?>
<sst xmlns="http://schemas.openxmlformats.org/spreadsheetml/2006/main" count="3491" uniqueCount="157">
  <si>
    <t>Item</t>
  </si>
  <si>
    <t>Total London</t>
  </si>
  <si>
    <t>Total Outports</t>
  </si>
  <si>
    <t>Total</t>
  </si>
  <si>
    <t>Annatto</t>
  </si>
  <si>
    <t>Bees Wax</t>
  </si>
  <si>
    <t>Brown Sugar</t>
  </si>
  <si>
    <t>Chocolate</t>
  </si>
  <si>
    <t>Cocoa Nuts</t>
  </si>
  <si>
    <t>Cotton</t>
  </si>
  <si>
    <t>Dry Ginger</t>
  </si>
  <si>
    <t>Elephant Teeth</t>
  </si>
  <si>
    <t>Indigo</t>
  </si>
  <si>
    <t>Lignum Vitae</t>
  </si>
  <si>
    <t>Lime Juice</t>
  </si>
  <si>
    <t>Molasses</t>
  </si>
  <si>
    <t>Pimento</t>
  </si>
  <si>
    <t>Rice</t>
  </si>
  <si>
    <t>Rum</t>
  </si>
  <si>
    <t>Shruff</t>
  </si>
  <si>
    <t>Tobacco</t>
  </si>
  <si>
    <t>Tortoise Shell</t>
  </si>
  <si>
    <t>White Sugar</t>
  </si>
  <si>
    <t>Loaf Sugar</t>
  </si>
  <si>
    <t>Sugar Loaf</t>
  </si>
  <si>
    <t>Muscavado Sugar</t>
  </si>
  <si>
    <t>Sasparilla</t>
  </si>
  <si>
    <t>Madera Wine</t>
  </si>
  <si>
    <t>ton</t>
  </si>
  <si>
    <t>hh</t>
  </si>
  <si>
    <t>quarter</t>
  </si>
  <si>
    <t>lb</t>
  </si>
  <si>
    <t>Total Pounds</t>
  </si>
  <si>
    <t>London</t>
  </si>
  <si>
    <t>Lemon Water</t>
  </si>
  <si>
    <t>Out Ports</t>
  </si>
  <si>
    <t>Aloes Epatica</t>
  </si>
  <si>
    <t>Cocheneal</t>
  </si>
  <si>
    <t>Chocolate Paste</t>
  </si>
  <si>
    <t>Green Ginger</t>
  </si>
  <si>
    <t>Cocoa Paste</t>
  </si>
  <si>
    <t>Logwood</t>
  </si>
  <si>
    <t>Oranges</t>
  </si>
  <si>
    <t>Barrel Staves</t>
  </si>
  <si>
    <t>Hemp</t>
  </si>
  <si>
    <t>Snuff</t>
  </si>
  <si>
    <t>Cortex Winteranus</t>
  </si>
  <si>
    <t>Pickles</t>
  </si>
  <si>
    <t>YEAR</t>
  </si>
  <si>
    <t>COMMODITY_NAME</t>
  </si>
  <si>
    <t>FROM_LOCATION</t>
  </si>
  <si>
    <t>TO_LOCATION</t>
  </si>
  <si>
    <t>WEIGHT</t>
  </si>
  <si>
    <t>Antigua</t>
  </si>
  <si>
    <t>Succads</t>
  </si>
  <si>
    <t>Almonds, Bitter</t>
  </si>
  <si>
    <t>Barbados</t>
  </si>
  <si>
    <t>Almonds, Sweet</t>
  </si>
  <si>
    <t>Anniseeds</t>
  </si>
  <si>
    <t>Brimstone</t>
  </si>
  <si>
    <t>Cassia Fistula</t>
  </si>
  <si>
    <t>Wood, Braziletto</t>
  </si>
  <si>
    <t>Wood, Fustick</t>
  </si>
  <si>
    <t>Wood, Logwood</t>
  </si>
  <si>
    <t>Wood, Redwood</t>
  </si>
  <si>
    <t>Wood, Sweetwood</t>
  </si>
  <si>
    <t>Bermudos Plat</t>
  </si>
  <si>
    <t>Bermuda</t>
  </si>
  <si>
    <t>Jamaica</t>
  </si>
  <si>
    <t>Bacon</t>
  </si>
  <si>
    <t>Wood, Nicaragua</t>
  </si>
  <si>
    <t>Tallow</t>
  </si>
  <si>
    <t>Mountserat</t>
  </si>
  <si>
    <t>Nevis</t>
  </si>
  <si>
    <t>StKitts</t>
  </si>
  <si>
    <t>Anguilla</t>
  </si>
  <si>
    <t>Bay Berries</t>
  </si>
  <si>
    <t>Coffee</t>
  </si>
  <si>
    <t>Cortex Peru</t>
  </si>
  <si>
    <t>Guinea Grains</t>
  </si>
  <si>
    <t>Indigo, Plantation</t>
  </si>
  <si>
    <t>Indigo, Spanish</t>
  </si>
  <si>
    <t>Jallop?</t>
  </si>
  <si>
    <t>Orchelia</t>
  </si>
  <si>
    <t>Saunders Yellow</t>
  </si>
  <si>
    <t>Smalts</t>
  </si>
  <si>
    <t>Tamerinds</t>
  </si>
  <si>
    <t>Wood, Ebony</t>
  </si>
  <si>
    <t>Wood, Iron</t>
  </si>
  <si>
    <t>Wood, Mahogany</t>
  </si>
  <si>
    <t>Turpentine</t>
  </si>
  <si>
    <t>Wood, Cam</t>
  </si>
  <si>
    <t>Barbados T…</t>
  </si>
  <si>
    <t>Old Pewter</t>
  </si>
  <si>
    <t>Tortola</t>
  </si>
  <si>
    <t>Tamarinds</t>
  </si>
  <si>
    <t>Cascarilla</t>
  </si>
  <si>
    <t>Hypococania</t>
  </si>
  <si>
    <t>Wood, Cocus</t>
  </si>
  <si>
    <t>Wood, Cocoa</t>
  </si>
  <si>
    <t>WestIndiesGeneral</t>
  </si>
  <si>
    <t>Balsam Natural</t>
  </si>
  <si>
    <t>Gum Seneca</t>
  </si>
  <si>
    <t>Gum Guiaci</t>
  </si>
  <si>
    <t>Beaver Skins</t>
  </si>
  <si>
    <t>Whalefins</t>
  </si>
  <si>
    <t>Potatoes</t>
  </si>
  <si>
    <t>Quicksilver</t>
  </si>
  <si>
    <t>19g</t>
  </si>
  <si>
    <t>Saffron</t>
  </si>
  <si>
    <t>30653.5g</t>
  </si>
  <si>
    <t>6t 1h 34g</t>
  </si>
  <si>
    <t>239.5bags</t>
  </si>
  <si>
    <t>34g</t>
  </si>
  <si>
    <t>8391g</t>
  </si>
  <si>
    <t>48t 3h 24g</t>
  </si>
  <si>
    <t>70.75bags</t>
  </si>
  <si>
    <t>Balsam Artificial</t>
  </si>
  <si>
    <t>23g</t>
  </si>
  <si>
    <t>199027g</t>
  </si>
  <si>
    <t>17t 46g</t>
  </si>
  <si>
    <t>Port</t>
  </si>
  <si>
    <t>5t 2h 42g</t>
  </si>
  <si>
    <t>Wood, Camwood</t>
  </si>
  <si>
    <t>Wood, Pidgeonwood</t>
  </si>
  <si>
    <t>29bags</t>
  </si>
  <si>
    <t>14210g</t>
  </si>
  <si>
    <t>11bags</t>
  </si>
  <si>
    <t>5g</t>
  </si>
  <si>
    <t>900g</t>
  </si>
  <si>
    <t>2h 14g</t>
  </si>
  <si>
    <t>7.5bags</t>
  </si>
  <si>
    <t>16g</t>
  </si>
  <si>
    <t>14703g</t>
  </si>
  <si>
    <t>46t 47g</t>
  </si>
  <si>
    <t>1t 3h 46g</t>
  </si>
  <si>
    <t>284bags+160lb</t>
  </si>
  <si>
    <t>Barbados Tarr</t>
  </si>
  <si>
    <t>Jollop</t>
  </si>
  <si>
    <t>220g</t>
  </si>
  <si>
    <t>17g</t>
  </si>
  <si>
    <t>12549g</t>
  </si>
  <si>
    <t>1t 3h 20g</t>
  </si>
  <si>
    <t>604bags</t>
  </si>
  <si>
    <t>694g</t>
  </si>
  <si>
    <t>12869g</t>
  </si>
  <si>
    <t>2t 2h 18g</t>
  </si>
  <si>
    <t>653.5bags</t>
  </si>
  <si>
    <t>89662g</t>
  </si>
  <si>
    <t>4t 1h</t>
  </si>
  <si>
    <t>851bags+25lb</t>
  </si>
  <si>
    <t>1762g</t>
  </si>
  <si>
    <t>93.25bags</t>
  </si>
  <si>
    <t>73g</t>
  </si>
  <si>
    <t>239bags</t>
  </si>
  <si>
    <t>3978g</t>
  </si>
  <si>
    <t>352.5bags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</si>
</sst>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34F2-F1DF-460D-957C-2DA5A774C49B}">
  <dimension ref="A1:D31"/>
  <sheetViews>
    <sheetView tabSelected="1" workbookViewId="0">
      <selection activeCell="B2" sqref="B2"/>
    </sheetView>
  </sheetViews>
  <sheetFormatPr defaultRowHeight="15" x14ac:dyDescent="0.25"/>
  <cols>
    <col min="1" max="1" width="17.140625" customWidth="1"/>
    <col min="2" max="2" width="21.85546875" customWidth="1"/>
    <col min="3" max="3" width="21" customWidth="1"/>
    <col min="4" max="4" width="20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f>SUMIFS(Antigua!$L:$L, Antigua!$B:$B, $A2, Antigua!$D:$D, "London") + SUMIFS(Barbados!$L:$L, Barbados!$B:$B, $A2, Barbados!$D:$D, "London") + SUMIFS(Bermuda!$L:$L, Bermuda!$B:$B, $A2, Bermuda!$D:$D, "London") + SUMIFS(Jamaica!$L:$L, Jamaica!$B:$B, $A2, Jamaica!$D:$D, "London") + SUMIFS(Mountserat!$L:$L, Mountserat!$B:$B, $A2, Mountserat!$D:$D, "London") + SUMIFS(Nevis!$L:$L, Nevis!$B:$B, $A2, Nevis!$D:$D, "London") + SUMIFS('St Kitts'!$L:$L, 'St Kitts'!$B:$B, $A2, 'St Kitts'!$D:$D, "London") + SUMIFS(WestIndiesGeneral!$L:$L, WestIndiesGeneral!$B:$B, $A2, WestIndiesGeneral!$D:$D, "London")</f>
        <v>6.0267857142857144E-2</v>
      </c>
      <c r="C2">
        <f>SUMIFS(Antigua!$L:$L, Antigua!$B:$B, $A2, Antigua!$D:$D, "Out Ports") + SUMIFS(Barbados!$L:$L, Barbados!$B:$B, $A2, Barbados!$D:$D, "Out Ports") + SUMIFS(Bermuda!$L:$L, Bermuda!$B:$B, $A2, Bermuda!$D:$D, "Out Ports") + SUMIFS(Jamaica!$L:$L, Jamaica!$B:$B, $A2, Jamaica!$D:$D, "Out Ports") + SUMIFS(Mountserat!$L:$L, Mountserat!$B:$B, $A2, Mountserat!$D:$D, "Out Ports") + SUMIFS(Nevis!$L:$L, Nevis!$B:$B, $A2, Nevis!$D:$D, "Out Ports") + SUMIFS('St Kitts'!$L:$L, 'St Kitts'!$B:$B, $A2, 'St Kitts'!$D:$D, "Out Ports") + SUMIFS(WestIndiesGeneral!$L:$L, WestIndiesGeneral!$B:$B, $A2, WestIndiesGeneral!$D:$D, "London")</f>
        <v>0</v>
      </c>
      <c r="D2">
        <f>B2+C2</f>
        <v>6.0267857142857144E-2</v>
      </c>
    </row>
    <row r="3" spans="1:4" x14ac:dyDescent="0.25">
      <c r="A3" t="s">
        <v>5</v>
      </c>
      <c r="B3">
        <f>SUMIFS(Antigua!$L:$L, Antigua!$B:$B, $A3, Antigua!$D:$D, "London") + SUMIFS(Barbados!$L:$L, Barbados!$B:$B, $A3, Barbados!$D:$D, "London") + SUMIFS(Bermuda!$L:$L, Bermuda!$B:$B, $A3, Bermuda!$D:$D, "London") + SUMIFS(Jamaica!$L:$L, Jamaica!$B:$B, $A3, Jamaica!$D:$D, "London") + SUMIFS(Mountserat!$L:$L, Mountserat!$B:$B, $A3, Mountserat!$D:$D, "London") + SUMIFS(Nevis!$L:$L, Nevis!$B:$B, $A3, Nevis!$D:$D, "London") + SUMIFS('St Kitts'!$L:$L, 'St Kitts'!$B:$B, $A3, 'St Kitts'!$D:$D, "London") + SUMIFS(WestIndiesGeneral!$L:$L, WestIndiesGeneral!$B:$B, $A3, WestIndiesGeneral!$D:$D, "London")</f>
        <v>1.6772321428571428</v>
      </c>
      <c r="C3">
        <f>SUMIFS(Antigua!$L:$L, Antigua!$B:$B, $A3, Antigua!$D:$D, "Out Ports") + SUMIFS(Barbados!$L:$L, Barbados!$B:$B, $A3, Barbados!$D:$D, "Out Ports") + SUMIFS(Bermuda!$L:$L, Bermuda!$B:$B, $A3, Bermuda!$D:$D, "Out Ports") + SUMIFS(Jamaica!$L:$L, Jamaica!$B:$B, $A3, Jamaica!$D:$D, "Out Ports") + SUMIFS(Mountserat!$L:$L, Mountserat!$B:$B, $A3, Mountserat!$D:$D, "Out Ports") + SUMIFS(Nevis!$L:$L, Nevis!$B:$B, $A3, Nevis!$D:$D, "Out Ports") + SUMIFS('St Kitts'!$L:$L, 'St Kitts'!$B:$B, $A3, 'St Kitts'!$D:$D, "Out Ports") + SUMIFS(WestIndiesGeneral!$L:$L, WestIndiesGeneral!$B:$B, $A3, WestIndiesGeneral!$D:$D, "London")</f>
        <v>0.121875</v>
      </c>
      <c r="D3">
        <f t="shared" ref="D3:D31" si="0">B3+C3</f>
        <v>1.7991071428571428</v>
      </c>
    </row>
    <row r="4" spans="1:4" x14ac:dyDescent="0.25">
      <c r="A4" t="s">
        <v>6</v>
      </c>
      <c r="B4">
        <f>SUMIFS(Antigua!$L:$L, Antigua!$B:$B, $A4, Antigua!$D:$D, "London") + SUMIFS(Barbados!$L:$L, Barbados!$B:$B, $A4, Barbados!$D:$D, "London") + SUMIFS(Bermuda!$L:$L, Bermuda!$B:$B, $A4, Bermuda!$D:$D, "London") + SUMIFS(Jamaica!$L:$L, Jamaica!$B:$B, $A4, Jamaica!$D:$D, "London") + SUMIFS(Mountserat!$L:$L, Mountserat!$B:$B, $A4, Mountserat!$D:$D, "London") + SUMIFS(Nevis!$L:$L, Nevis!$B:$B, $A4, Nevis!$D:$D, "London") + SUMIFS('St Kitts'!$L:$L, 'St Kitts'!$B:$B, $A4, 'St Kitts'!$D:$D, "London") + SUMIFS(WestIndiesGeneral!$L:$L, WestIndiesGeneral!$B:$B, $A4, WestIndiesGeneral!$D:$D, "London")</f>
        <v>24866.354464285716</v>
      </c>
      <c r="C4">
        <f>SUMIFS(Antigua!$L:$L, Antigua!$B:$B, $A4, Antigua!$D:$D, "Out Ports") + SUMIFS(Barbados!$L:$L, Barbados!$B:$B, $A4, Barbados!$D:$D, "Out Ports") + SUMIFS(Bermuda!$L:$L, Bermuda!$B:$B, $A4, Bermuda!$D:$D, "Out Ports") + SUMIFS(Jamaica!$L:$L, Jamaica!$B:$B, $A4, Jamaica!$D:$D, "Out Ports") + SUMIFS(Mountserat!$L:$L, Mountserat!$B:$B, $A4, Mountserat!$D:$D, "Out Ports") + SUMIFS(Nevis!$L:$L, Nevis!$B:$B, $A4, Nevis!$D:$D, "Out Ports") + SUMIFS('St Kitts'!$L:$L, 'St Kitts'!$B:$B, $A4, 'St Kitts'!$D:$D, "Out Ports") + SUMIFS(WestIndiesGeneral!$L:$L, WestIndiesGeneral!$B:$B, $A4, WestIndiesGeneral!$D:$D, "London")</f>
        <v>12523.351785714285</v>
      </c>
      <c r="D4">
        <f t="shared" si="0"/>
        <v>37389.706250000003</v>
      </c>
    </row>
    <row r="5" spans="1:4" x14ac:dyDescent="0.25">
      <c r="A5" t="s">
        <v>7</v>
      </c>
      <c r="B5">
        <f>SUMIFS(Antigua!$L:$L, Antigua!$B:$B, $A5, Antigua!$D:$D, "London") + SUMIFS(Barbados!$L:$L, Barbados!$B:$B, $A5, Barbados!$D:$D, "London") + SUMIFS(Bermuda!$L:$L, Bermuda!$B:$B, $A5, Bermuda!$D:$D, "London") + SUMIFS(Jamaica!$L:$L, Jamaica!$B:$B, $A5, Jamaica!$D:$D, "London") + SUMIFS(Mountserat!$L:$L, Mountserat!$B:$B, $A5, Mountserat!$D:$D, "London") + SUMIFS(Nevis!$L:$L, Nevis!$B:$B, $A5, Nevis!$D:$D, "London") + SUMIFS('St Kitts'!$L:$L, 'St Kitts'!$B:$B, $A5, 'St Kitts'!$D:$D, "London") + SUMIFS(WestIndiesGeneral!$L:$L, WestIndiesGeneral!$B:$B, $A5, WestIndiesGeneral!$D:$D, "London")</f>
        <v>0</v>
      </c>
      <c r="C5">
        <f>SUMIFS(Antigua!$L:$L, Antigua!$B:$B, $A5, Antigua!$D:$D, "Out Ports") + SUMIFS(Barbados!$L:$L, Barbados!$B:$B, $A5, Barbados!$D:$D, "Out Ports") + SUMIFS(Bermuda!$L:$L, Bermuda!$B:$B, $A5, Bermuda!$D:$D, "Out Ports") + SUMIFS(Jamaica!$L:$L, Jamaica!$B:$B, $A5, Jamaica!$D:$D, "Out Ports") + SUMIFS(Mountserat!$L:$L, Mountserat!$B:$B, $A5, Mountserat!$D:$D, "Out Ports") + SUMIFS(Nevis!$L:$L, Nevis!$B:$B, $A5, Nevis!$D:$D, "Out Ports") + SUMIFS('St Kitts'!$L:$L, 'St Kitts'!$B:$B, $A5, 'St Kitts'!$D:$D, "Out Ports") + SUMIFS(WestIndiesGeneral!$L:$L, WestIndiesGeneral!$B:$B, $A5, WestIndiesGeneral!$D:$D, "London")</f>
        <v>0</v>
      </c>
      <c r="D5">
        <f t="shared" si="0"/>
        <v>0</v>
      </c>
    </row>
    <row r="6" spans="1:4" x14ac:dyDescent="0.25">
      <c r="A6" t="s">
        <v>8</v>
      </c>
      <c r="B6">
        <f>SUMIFS(Antigua!$L:$L, Antigua!$B:$B, $A6, Antigua!$D:$D, "London") + SUMIFS(Barbados!$L:$L, Barbados!$B:$B, $A6, Barbados!$D:$D, "London") + SUMIFS(Bermuda!$L:$L, Bermuda!$B:$B, $A6, Bermuda!$D:$D, "London") + SUMIFS(Jamaica!$L:$L, Jamaica!$B:$B, $A6, Jamaica!$D:$D, "London") + SUMIFS(Mountserat!$L:$L, Mountserat!$B:$B, $A6, Mountserat!$D:$D, "London") + SUMIFS(Nevis!$L:$L, Nevis!$B:$B, $A6, Nevis!$D:$D, "London") + SUMIFS('St Kitts'!$L:$L, 'St Kitts'!$B:$B, $A6, 'St Kitts'!$D:$D, "London") + SUMIFS(WestIndiesGeneral!$L:$L, WestIndiesGeneral!$B:$B, $A6, WestIndiesGeneral!$D:$D, "London")</f>
        <v>6.6428571428571423</v>
      </c>
      <c r="C6">
        <f>SUMIFS(Antigua!$L:$L, Antigua!$B:$B, $A6, Antigua!$D:$D, "Out Ports") + SUMIFS(Barbados!$L:$L, Barbados!$B:$B, $A6, Barbados!$D:$D, "Out Ports") + SUMIFS(Bermuda!$L:$L, Bermuda!$B:$B, $A6, Bermuda!$D:$D, "Out Ports") + SUMIFS(Jamaica!$L:$L, Jamaica!$B:$B, $A6, Jamaica!$D:$D, "Out Ports") + SUMIFS(Mountserat!$L:$L, Mountserat!$B:$B, $A6, Mountserat!$D:$D, "Out Ports") + SUMIFS(Nevis!$L:$L, Nevis!$B:$B, $A6, Nevis!$D:$D, "Out Ports") + SUMIFS('St Kitts'!$L:$L, 'St Kitts'!$B:$B, $A6, 'St Kitts'!$D:$D, "Out Ports") + SUMIFS(WestIndiesGeneral!$L:$L, WestIndiesGeneral!$B:$B, $A6, WestIndiesGeneral!$D:$D, "London")</f>
        <v>0</v>
      </c>
      <c r="D6">
        <f t="shared" si="0"/>
        <v>6.6428571428571423</v>
      </c>
    </row>
    <row r="7" spans="1:4" x14ac:dyDescent="0.25">
      <c r="A7" t="s">
        <v>9</v>
      </c>
      <c r="B7">
        <f>SUMIFS(Antigua!$L:$L, Antigua!$B:$B, $A7, Antigua!$D:$D, "London") + SUMIFS(Barbados!$L:$L, Barbados!$B:$B, $A7, Barbados!$D:$D, "London") + SUMIFS(Bermuda!$L:$L, Bermuda!$B:$B, $A7, Bermuda!$D:$D, "London") + SUMIFS(Jamaica!$L:$L, Jamaica!$B:$B, $A7, Jamaica!$D:$D, "London") + SUMIFS(Mountserat!$L:$L, Mountserat!$B:$B, $A7, Mountserat!$D:$D, "London") + SUMIFS(Nevis!$L:$L, Nevis!$B:$B, $A7, Nevis!$D:$D, "London") + SUMIFS('St Kitts'!$L:$L, 'St Kitts'!$B:$B, $A7, 'St Kitts'!$D:$D, "London") + SUMIFS(WestIndiesGeneral!$L:$L, WestIndiesGeneral!$B:$B, $A7, WestIndiesGeneral!$D:$D, "London")</f>
        <v>31.941964285714288</v>
      </c>
      <c r="C7">
        <f>SUMIFS(Antigua!$L:$L, Antigua!$B:$B, $A7, Antigua!$D:$D, "Out Ports") + SUMIFS(Barbados!$L:$L, Barbados!$B:$B, $A7, Barbados!$D:$D, "Out Ports") + SUMIFS(Bermuda!$L:$L, Bermuda!$B:$B, $A7, Bermuda!$D:$D, "Out Ports") + SUMIFS(Jamaica!$L:$L, Jamaica!$B:$B, $A7, Jamaica!$D:$D, "Out Ports") + SUMIFS(Mountserat!$L:$L, Mountserat!$B:$B, $A7, Mountserat!$D:$D, "Out Ports") + SUMIFS(Nevis!$L:$L, Nevis!$B:$B, $A7, Nevis!$D:$D, "Out Ports") + SUMIFS('St Kitts'!$L:$L, 'St Kitts'!$B:$B, $A7, 'St Kitts'!$D:$D, "Out Ports") + SUMIFS(WestIndiesGeneral!$L:$L, WestIndiesGeneral!$B:$B, $A7, WestIndiesGeneral!$D:$D, "London")</f>
        <v>249.40848214285714</v>
      </c>
      <c r="D7">
        <f t="shared" si="0"/>
        <v>281.35044642857144</v>
      </c>
    </row>
    <row r="8" spans="1:4" x14ac:dyDescent="0.25">
      <c r="A8" t="s">
        <v>10</v>
      </c>
      <c r="B8">
        <f>SUMIFS(Antigua!$L:$L, Antigua!$B:$B, $A8, Antigua!$D:$D, "London") + SUMIFS(Barbados!$L:$L, Barbados!$B:$B, $A8, Barbados!$D:$D, "London") + SUMIFS(Bermuda!$L:$L, Bermuda!$B:$B, $A8, Bermuda!$D:$D, "London") + SUMIFS(Jamaica!$L:$L, Jamaica!$B:$B, $A8, Jamaica!$D:$D, "London") + SUMIFS(Mountserat!$L:$L, Mountserat!$B:$B, $A8, Mountserat!$D:$D, "London") + SUMIFS(Nevis!$L:$L, Nevis!$B:$B, $A8, Nevis!$D:$D, "London") + SUMIFS('St Kitts'!$L:$L, 'St Kitts'!$B:$B, $A8, 'St Kitts'!$D:$D, "London") + SUMIFS(WestIndiesGeneral!$L:$L, WestIndiesGeneral!$B:$B, $A8, WestIndiesGeneral!$D:$D, "London")</f>
        <v>168.29866071428572</v>
      </c>
      <c r="C8">
        <f>SUMIFS(Antigua!$L:$L, Antigua!$B:$B, $A8, Antigua!$D:$D, "Out Ports") + SUMIFS(Barbados!$L:$L, Barbados!$B:$B, $A8, Barbados!$D:$D, "Out Ports") + SUMIFS(Bermuda!$L:$L, Bermuda!$B:$B, $A8, Bermuda!$D:$D, "Out Ports") + SUMIFS(Jamaica!$L:$L, Jamaica!$B:$B, $A8, Jamaica!$D:$D, "Out Ports") + SUMIFS(Mountserat!$L:$L, Mountserat!$B:$B, $A8, Mountserat!$D:$D, "Out Ports") + SUMIFS(Nevis!$L:$L, Nevis!$B:$B, $A8, Nevis!$D:$D, "Out Ports") + SUMIFS('St Kitts'!$L:$L, 'St Kitts'!$B:$B, $A8, 'St Kitts'!$D:$D, "Out Ports") + SUMIFS(WestIndiesGeneral!$L:$L, WestIndiesGeneral!$B:$B, $A8, WestIndiesGeneral!$D:$D, "London")</f>
        <v>56.087500000000006</v>
      </c>
      <c r="D8">
        <f t="shared" si="0"/>
        <v>224.38616071428572</v>
      </c>
    </row>
    <row r="9" spans="1:4" x14ac:dyDescent="0.25">
      <c r="A9" t="s">
        <v>11</v>
      </c>
      <c r="B9">
        <f>SUMIFS(Antigua!$L:$L, Antigua!$B:$B, $A9, Antigua!$D:$D, "London") + SUMIFS(Barbados!$L:$L, Barbados!$B:$B, $A9, Barbados!$D:$D, "London") + SUMIFS(Bermuda!$L:$L, Bermuda!$B:$B, $A9, Bermuda!$D:$D, "London") + SUMIFS(Jamaica!$L:$L, Jamaica!$B:$B, $A9, Jamaica!$D:$D, "London") + SUMIFS(Mountserat!$L:$L, Mountserat!$B:$B, $A9, Mountserat!$D:$D, "London") + SUMIFS(Nevis!$L:$L, Nevis!$B:$B, $A9, Nevis!$D:$D, "London") + SUMIFS('St Kitts'!$L:$L, 'St Kitts'!$B:$B, $A9, 'St Kitts'!$D:$D, "London") + SUMIFS(WestIndiesGeneral!$L:$L, WestIndiesGeneral!$B:$B, $A9, WestIndiesGeneral!$D:$D, "London")</f>
        <v>27.314732142857142</v>
      </c>
      <c r="C9">
        <f>SUMIFS(Antigua!$L:$L, Antigua!$B:$B, $A9, Antigua!$D:$D, "Out Ports") + SUMIFS(Barbados!$L:$L, Barbados!$B:$B, $A9, Barbados!$D:$D, "Out Ports") + SUMIFS(Bermuda!$L:$L, Bermuda!$B:$B, $A9, Bermuda!$D:$D, "Out Ports") + SUMIFS(Jamaica!$L:$L, Jamaica!$B:$B, $A9, Jamaica!$D:$D, "Out Ports") + SUMIFS(Mountserat!$L:$L, Mountserat!$B:$B, $A9, Mountserat!$D:$D, "Out Ports") + SUMIFS(Nevis!$L:$L, Nevis!$B:$B, $A9, Nevis!$D:$D, "Out Ports") + SUMIFS('St Kitts'!$L:$L, 'St Kitts'!$B:$B, $A9, 'St Kitts'!$D:$D, "Out Ports") + SUMIFS(WestIndiesGeneral!$L:$L, WestIndiesGeneral!$B:$B, $A9, WestIndiesGeneral!$D:$D, "London")</f>
        <v>25.900892857142857</v>
      </c>
      <c r="D9">
        <f t="shared" si="0"/>
        <v>53.215625000000003</v>
      </c>
    </row>
    <row r="10" spans="1:4" x14ac:dyDescent="0.25">
      <c r="A10" t="s">
        <v>12</v>
      </c>
      <c r="B10">
        <f>SUMIFS(Antigua!$L:$L, Antigua!$B:$B, $A10, Antigua!$D:$D, "London") + SUMIFS(Barbados!$L:$L, Barbados!$B:$B, $A10, Barbados!$D:$D, "London") + SUMIFS(Bermuda!$L:$L, Bermuda!$B:$B, $A10, Bermuda!$D:$D, "London") + SUMIFS(Jamaica!$L:$L, Jamaica!$B:$B, $A10, Jamaica!$D:$D, "London") + SUMIFS(Mountserat!$L:$L, Mountserat!$B:$B, $A10, Mountserat!$D:$D, "London") + SUMIFS(Nevis!$L:$L, Nevis!$B:$B, $A10, Nevis!$D:$D, "London") + SUMIFS('St Kitts'!$L:$L, 'St Kitts'!$B:$B, $A10, 'St Kitts'!$D:$D, "London") + SUMIFS(WestIndiesGeneral!$L:$L, WestIndiesGeneral!$B:$B, $A10, WestIndiesGeneral!$D:$D, "London")</f>
        <v>39.716964285714283</v>
      </c>
      <c r="C10">
        <f>SUMIFS(Antigua!$L:$L, Antigua!$B:$B, $A10, Antigua!$D:$D, "Out Ports") + SUMIFS(Barbados!$L:$L, Barbados!$B:$B, $A10, Barbados!$D:$D, "Out Ports") + SUMIFS(Bermuda!$L:$L, Bermuda!$B:$B, $A10, Bermuda!$D:$D, "Out Ports") + SUMIFS(Jamaica!$L:$L, Jamaica!$B:$B, $A10, Jamaica!$D:$D, "Out Ports") + SUMIFS(Mountserat!$L:$L, Mountserat!$B:$B, $A10, Mountserat!$D:$D, "Out Ports") + SUMIFS(Nevis!$L:$L, Nevis!$B:$B, $A10, Nevis!$D:$D, "Out Ports") + SUMIFS('St Kitts'!$L:$L, 'St Kitts'!$B:$B, $A10, 'St Kitts'!$D:$D, "Out Ports") + SUMIFS(WestIndiesGeneral!$L:$L, WestIndiesGeneral!$B:$B, $A10, WestIndiesGeneral!$D:$D, "London")</f>
        <v>17.085267857142856</v>
      </c>
      <c r="D10">
        <f t="shared" si="0"/>
        <v>56.802232142857136</v>
      </c>
    </row>
    <row r="11" spans="1:4" x14ac:dyDescent="0.25">
      <c r="A11" t="s">
        <v>13</v>
      </c>
      <c r="B11">
        <f>SUMIFS(Antigua!$L:$L, Antigua!$B:$B, $A11, Antigua!$D:$D, "London") + SUMIFS(Barbados!$L:$L, Barbados!$B:$B, $A11, Barbados!$D:$D, "London") + SUMIFS(Bermuda!$L:$L, Bermuda!$B:$B, $A11, Bermuda!$D:$D, "London") + SUMIFS(Jamaica!$L:$L, Jamaica!$B:$B, $A11, Jamaica!$D:$D, "London") + SUMIFS(Mountserat!$L:$L, Mountserat!$B:$B, $A11, Mountserat!$D:$D, "London") + SUMIFS(Nevis!$L:$L, Nevis!$B:$B, $A11, Nevis!$D:$D, "London") + SUMIFS('St Kitts'!$L:$L, 'St Kitts'!$B:$B, $A11, 'St Kitts'!$D:$D, "London") + SUMIFS(WestIndiesGeneral!$L:$L, WestIndiesGeneral!$B:$B, $A11, WestIndiesGeneral!$D:$D, "London")</f>
        <v>226.91249999999997</v>
      </c>
      <c r="C11">
        <f>SUMIFS(Antigua!$L:$L, Antigua!$B:$B, $A11, Antigua!$D:$D, "Out Ports") + SUMIFS(Barbados!$L:$L, Barbados!$B:$B, $A11, Barbados!$D:$D, "Out Ports") + SUMIFS(Bermuda!$L:$L, Bermuda!$B:$B, $A11, Bermuda!$D:$D, "Out Ports") + SUMIFS(Jamaica!$L:$L, Jamaica!$B:$B, $A11, Jamaica!$D:$D, "Out Ports") + SUMIFS(Mountserat!$L:$L, Mountserat!$B:$B, $A11, Mountserat!$D:$D, "Out Ports") + SUMIFS(Nevis!$L:$L, Nevis!$B:$B, $A11, Nevis!$D:$D, "Out Ports") + SUMIFS('St Kitts'!$L:$L, 'St Kitts'!$B:$B, $A11, 'St Kitts'!$D:$D, "Out Ports") + SUMIFS(WestIndiesGeneral!$L:$L, WestIndiesGeneral!$B:$B, $A11, WestIndiesGeneral!$D:$D, "London")</f>
        <v>431.95312499999994</v>
      </c>
      <c r="D11">
        <f t="shared" si="0"/>
        <v>658.86562499999991</v>
      </c>
    </row>
    <row r="12" spans="1:4" x14ac:dyDescent="0.25">
      <c r="A12" t="s">
        <v>14</v>
      </c>
      <c r="B12">
        <f>SUMIFS(Antigua!$L:$L, Antigua!$B:$B, $A12, Antigua!$D:$D, "London") + SUMIFS(Barbados!$L:$L, Barbados!$B:$B, $A12, Barbados!$D:$D, "London") + SUMIFS(Bermuda!$L:$L, Bermuda!$B:$B, $A12, Bermuda!$D:$D, "London") + SUMIFS(Jamaica!$L:$L, Jamaica!$B:$B, $A12, Jamaica!$D:$D, "London") + SUMIFS(Mountserat!$L:$L, Mountserat!$B:$B, $A12, Mountserat!$D:$D, "London") + SUMIFS(Nevis!$L:$L, Nevis!$B:$B, $A12, Nevis!$D:$D, "London") + SUMIFS('St Kitts'!$L:$L, 'St Kitts'!$B:$B, $A12, 'St Kitts'!$D:$D, "London") + SUMIFS(WestIndiesGeneral!$L:$L, WestIndiesGeneral!$B:$B, $A12, WestIndiesGeneral!$D:$D, "London")</f>
        <v>0</v>
      </c>
      <c r="C12">
        <f>SUMIFS(Antigua!$L:$L, Antigua!$B:$B, $A12, Antigua!$D:$D, "Out Ports") + SUMIFS(Barbados!$L:$L, Barbados!$B:$B, $A12, Barbados!$D:$D, "Out Ports") + SUMIFS(Bermuda!$L:$L, Bermuda!$B:$B, $A12, Bermuda!$D:$D, "Out Ports") + SUMIFS(Jamaica!$L:$L, Jamaica!$B:$B, $A12, Jamaica!$D:$D, "Out Ports") + SUMIFS(Mountserat!$L:$L, Mountserat!$B:$B, $A12, Mountserat!$D:$D, "Out Ports") + SUMIFS(Nevis!$L:$L, Nevis!$B:$B, $A12, Nevis!$D:$D, "Out Ports") + SUMIFS('St Kitts'!$L:$L, 'St Kitts'!$B:$B, $A12, 'St Kitts'!$D:$D, "Out Ports") + SUMIFS(WestIndiesGeneral!$L:$L, WestIndiesGeneral!$B:$B, $A12, WestIndiesGeneral!$D:$D, "London")</f>
        <v>3.0991071428571431</v>
      </c>
      <c r="D12">
        <f t="shared" si="0"/>
        <v>3.0991071428571431</v>
      </c>
    </row>
    <row r="13" spans="1:4" x14ac:dyDescent="0.25">
      <c r="A13" t="s">
        <v>15</v>
      </c>
      <c r="B13">
        <f>SUMIFS(Antigua!$L:$L, Antigua!$B:$B, $A13, Antigua!$D:$D, "London") + SUMIFS(Barbados!$L:$L, Barbados!$B:$B, $A13, Barbados!$D:$D, "London") + SUMIFS(Bermuda!$L:$L, Bermuda!$B:$B, $A13, Bermuda!$D:$D, "London") + SUMIFS(Jamaica!$L:$L, Jamaica!$B:$B, $A13, Jamaica!$D:$D, "London") + SUMIFS(Mountserat!$L:$L, Mountserat!$B:$B, $A13, Mountserat!$D:$D, "London") + SUMIFS(Nevis!$L:$L, Nevis!$B:$B, $A13, Nevis!$D:$D, "London") + SUMIFS('St Kitts'!$L:$L, 'St Kitts'!$B:$B, $A13, 'St Kitts'!$D:$D, "London") + SUMIFS(WestIndiesGeneral!$L:$L, WestIndiesGeneral!$B:$B, $A13, WestIndiesGeneral!$D:$D, "London")</f>
        <v>0.8526785714285714</v>
      </c>
      <c r="C13">
        <f>SUMIFS(Antigua!$L:$L, Antigua!$B:$B, $A13, Antigua!$D:$D, "Out Ports") + SUMIFS(Barbados!$L:$L, Barbados!$B:$B, $A13, Barbados!$D:$D, "Out Ports") + SUMIFS(Bermuda!$L:$L, Bermuda!$B:$B, $A13, Bermuda!$D:$D, "Out Ports") + SUMIFS(Jamaica!$L:$L, Jamaica!$B:$B, $A13, Jamaica!$D:$D, "Out Ports") + SUMIFS(Mountserat!$L:$L, Mountserat!$B:$B, $A13, Mountserat!$D:$D, "Out Ports") + SUMIFS(Nevis!$L:$L, Nevis!$B:$B, $A13, Nevis!$D:$D, "Out Ports") + SUMIFS('St Kitts'!$L:$L, 'St Kitts'!$B:$B, $A13, 'St Kitts'!$D:$D, "Out Ports") + SUMIFS(WestIndiesGeneral!$L:$L, WestIndiesGeneral!$B:$B, $A13, WestIndiesGeneral!$D:$D, "London")</f>
        <v>0</v>
      </c>
      <c r="D13">
        <f t="shared" si="0"/>
        <v>0.8526785714285714</v>
      </c>
    </row>
    <row r="14" spans="1:4" x14ac:dyDescent="0.25">
      <c r="A14" t="s">
        <v>16</v>
      </c>
      <c r="B14">
        <f>SUMIFS(Antigua!$L:$L, Antigua!$B:$B, $A14, Antigua!$D:$D, "London") + SUMIFS(Barbados!$L:$L, Barbados!$B:$B, $A14, Barbados!$D:$D, "London") + SUMIFS(Bermuda!$L:$L, Bermuda!$B:$B, $A14, Bermuda!$D:$D, "London") + SUMIFS(Jamaica!$L:$L, Jamaica!$B:$B, $A14, Jamaica!$D:$D, "London") + SUMIFS(Mountserat!$L:$L, Mountserat!$B:$B, $A14, Mountserat!$D:$D, "London") + SUMIFS(Nevis!$L:$L, Nevis!$B:$B, $A14, Nevis!$D:$D, "London") + SUMIFS('St Kitts'!$L:$L, 'St Kitts'!$B:$B, $A14, 'St Kitts'!$D:$D, "London") + SUMIFS(WestIndiesGeneral!$L:$L, WestIndiesGeneral!$B:$B, $A14, WestIndiesGeneral!$D:$D, "London")</f>
        <v>85.840178571428567</v>
      </c>
      <c r="C14">
        <f>SUMIFS(Antigua!$L:$L, Antigua!$B:$B, $A14, Antigua!$D:$D, "Out Ports") + SUMIFS(Barbados!$L:$L, Barbados!$B:$B, $A14, Barbados!$D:$D, "Out Ports") + SUMIFS(Bermuda!$L:$L, Bermuda!$B:$B, $A14, Bermuda!$D:$D, "Out Ports") + SUMIFS(Jamaica!$L:$L, Jamaica!$B:$B, $A14, Jamaica!$D:$D, "Out Ports") + SUMIFS(Mountserat!$L:$L, Mountserat!$B:$B, $A14, Mountserat!$D:$D, "Out Ports") + SUMIFS(Nevis!$L:$L, Nevis!$B:$B, $A14, Nevis!$D:$D, "Out Ports") + SUMIFS('St Kitts'!$L:$L, 'St Kitts'!$B:$B, $A14, 'St Kitts'!$D:$D, "Out Ports") + SUMIFS(WestIndiesGeneral!$L:$L, WestIndiesGeneral!$B:$B, $A14, WestIndiesGeneral!$D:$D, "London")</f>
        <v>120.60267857142857</v>
      </c>
      <c r="D14">
        <f t="shared" si="0"/>
        <v>206.44285714285712</v>
      </c>
    </row>
    <row r="15" spans="1:4" x14ac:dyDescent="0.25">
      <c r="A15" t="s">
        <v>17</v>
      </c>
      <c r="B15">
        <f>SUMIFS(Antigua!$L:$L, Antigua!$B:$B, $A15, Antigua!$D:$D, "London") + SUMIFS(Barbados!$L:$L, Barbados!$B:$B, $A15, Barbados!$D:$D, "London") + SUMIFS(Bermuda!$L:$L, Bermuda!$B:$B, $A15, Bermuda!$D:$D, "London") + SUMIFS(Jamaica!$L:$L, Jamaica!$B:$B, $A15, Jamaica!$D:$D, "London") + SUMIFS(Mountserat!$L:$L, Mountserat!$B:$B, $A15, Mountserat!$D:$D, "London") + SUMIFS(Nevis!$L:$L, Nevis!$B:$B, $A15, Nevis!$D:$D, "London") + SUMIFS('St Kitts'!$L:$L, 'St Kitts'!$B:$B, $A15, 'St Kitts'!$D:$D, "London") + SUMIFS(WestIndiesGeneral!$L:$L, WestIndiesGeneral!$B:$B, $A15, WestIndiesGeneral!$D:$D, "London")</f>
        <v>1.9</v>
      </c>
      <c r="C15">
        <f>SUMIFS(Antigua!$L:$L, Antigua!$B:$B, $A15, Antigua!$D:$D, "Out Ports") + SUMIFS(Barbados!$L:$L, Barbados!$B:$B, $A15, Barbados!$D:$D, "Out Ports") + SUMIFS(Bermuda!$L:$L, Bermuda!$B:$B, $A15, Bermuda!$D:$D, "Out Ports") + SUMIFS(Jamaica!$L:$L, Jamaica!$B:$B, $A15, Jamaica!$D:$D, "Out Ports") + SUMIFS(Mountserat!$L:$L, Mountserat!$B:$B, $A15, Mountserat!$D:$D, "Out Ports") + SUMIFS(Nevis!$L:$L, Nevis!$B:$B, $A15, Nevis!$D:$D, "Out Ports") + SUMIFS('St Kitts'!$L:$L, 'St Kitts'!$B:$B, $A15, 'St Kitts'!$D:$D, "Out Ports") + SUMIFS(WestIndiesGeneral!$L:$L, WestIndiesGeneral!$B:$B, $A15, WestIndiesGeneral!$D:$D, "London")</f>
        <v>0</v>
      </c>
      <c r="D15">
        <f t="shared" si="0"/>
        <v>1.9</v>
      </c>
    </row>
    <row r="16" spans="1:4" x14ac:dyDescent="0.25">
      <c r="A16" t="s">
        <v>18</v>
      </c>
      <c r="B16">
        <f>SUMIFS(Antigua!$L:$L, Antigua!$B:$B, $A16, Antigua!$D:$D, "London") + SUMIFS(Barbados!$L:$L, Barbados!$B:$B, $A16, Barbados!$D:$D, "London") + SUMIFS(Bermuda!$L:$L, Bermuda!$B:$B, $A16, Bermuda!$D:$D, "London") + SUMIFS(Jamaica!$L:$L, Jamaica!$B:$B, $A16, Jamaica!$D:$D, "London") + SUMIFS(Mountserat!$L:$L, Mountserat!$B:$B, $A16, Mountserat!$D:$D, "London") + SUMIFS(Nevis!$L:$L, Nevis!$B:$B, $A16, Nevis!$D:$D, "London") + SUMIFS('St Kitts'!$L:$L, 'St Kitts'!$B:$B, $A16, 'St Kitts'!$D:$D, "London") + SUMIFS(WestIndiesGeneral!$L:$L, WestIndiesGeneral!$B:$B, $A16, WestIndiesGeneral!$D:$D, "London")</f>
        <v>1196.2205357142859</v>
      </c>
      <c r="C16">
        <f>SUMIFS(Antigua!$L:$L, Antigua!$B:$B, $A16, Antigua!$D:$D, "Out Ports") + SUMIFS(Barbados!$L:$L, Barbados!$B:$B, $A16, Barbados!$D:$D, "Out Ports") + SUMIFS(Bermuda!$L:$L, Bermuda!$B:$B, $A16, Bermuda!$D:$D, "Out Ports") + SUMIFS(Jamaica!$L:$L, Jamaica!$B:$B, $A16, Jamaica!$D:$D, "Out Ports") + SUMIFS(Mountserat!$L:$L, Mountserat!$B:$B, $A16, Mountserat!$D:$D, "Out Ports") + SUMIFS(Nevis!$L:$L, Nevis!$B:$B, $A16, Nevis!$D:$D, "Out Ports") + SUMIFS('St Kitts'!$L:$L, 'St Kitts'!$B:$B, $A16, 'St Kitts'!$D:$D, "Out Ports") + SUMIFS(WestIndiesGeneral!$L:$L, WestIndiesGeneral!$B:$B, $A16, WestIndiesGeneral!$D:$D, "London")</f>
        <v>539.83928571428578</v>
      </c>
      <c r="D16">
        <f t="shared" si="0"/>
        <v>1736.0598214285717</v>
      </c>
    </row>
    <row r="17" spans="1:4" x14ac:dyDescent="0.25">
      <c r="A17" t="s">
        <v>19</v>
      </c>
      <c r="B17">
        <f>SUMIFS(Antigua!$L:$L, Antigua!$B:$B, $A17, Antigua!$D:$D, "London") + SUMIFS(Barbados!$L:$L, Barbados!$B:$B, $A17, Barbados!$D:$D, "London") + SUMIFS(Bermuda!$L:$L, Bermuda!$B:$B, $A17, Bermuda!$D:$D, "London") + SUMIFS(Jamaica!$L:$L, Jamaica!$B:$B, $A17, Jamaica!$D:$D, "London") + SUMIFS(Mountserat!$L:$L, Mountserat!$B:$B, $A17, Mountserat!$D:$D, "London") + SUMIFS(Nevis!$L:$L, Nevis!$B:$B, $A17, Nevis!$D:$D, "London") + SUMIFS('St Kitts'!$L:$L, 'St Kitts'!$B:$B, $A17, 'St Kitts'!$D:$D, "London") + SUMIFS(WestIndiesGeneral!$L:$L, WestIndiesGeneral!$B:$B, $A17, WestIndiesGeneral!$D:$D, "London")</f>
        <v>0</v>
      </c>
      <c r="C17">
        <f>SUMIFS(Antigua!$L:$L, Antigua!$B:$B, $A17, Antigua!$D:$D, "Out Ports") + SUMIFS(Barbados!$L:$L, Barbados!$B:$B, $A17, Barbados!$D:$D, "Out Ports") + SUMIFS(Bermuda!$L:$L, Bermuda!$B:$B, $A17, Bermuda!$D:$D, "Out Ports") + SUMIFS(Jamaica!$L:$L, Jamaica!$B:$B, $A17, Jamaica!$D:$D, "Out Ports") + SUMIFS(Mountserat!$L:$L, Mountserat!$B:$B, $A17, Mountserat!$D:$D, "Out Ports") + SUMIFS(Nevis!$L:$L, Nevis!$B:$B, $A17, Nevis!$D:$D, "Out Ports") + SUMIFS('St Kitts'!$L:$L, 'St Kitts'!$B:$B, $A17, 'St Kitts'!$D:$D, "Out Ports") + SUMIFS(WestIndiesGeneral!$L:$L, WestIndiesGeneral!$B:$B, $A17, WestIndiesGeneral!$D:$D, "London")</f>
        <v>2.7995535714285715</v>
      </c>
      <c r="D17">
        <f t="shared" si="0"/>
        <v>2.7995535714285715</v>
      </c>
    </row>
    <row r="18" spans="1:4" x14ac:dyDescent="0.25">
      <c r="A18" t="s">
        <v>54</v>
      </c>
      <c r="B18">
        <f>SUMIFS(Antigua!$L:$L, Antigua!$B:$B, $A18, Antigua!$D:$D, "London") + SUMIFS(Barbados!$L:$L, Barbados!$B:$B, $A18, Barbados!$D:$D, "London") + SUMIFS(Bermuda!$L:$L, Bermuda!$B:$B, $A18, Bermuda!$D:$D, "London") + SUMIFS(Jamaica!$L:$L, Jamaica!$B:$B, $A18, Jamaica!$D:$D, "London") + SUMIFS(Mountserat!$L:$L, Mountserat!$B:$B, $A18, Mountserat!$D:$D, "London") + SUMIFS(Nevis!$L:$L, Nevis!$B:$B, $A18, Nevis!$D:$D, "London") + SUMIFS('St Kitts'!$L:$L, 'St Kitts'!$B:$B, $A18, 'St Kitts'!$D:$D, "London") + SUMIFS(WestIndiesGeneral!$L:$L, WestIndiesGeneral!$B:$B, $A18, WestIndiesGeneral!$D:$D, "London")</f>
        <v>1.66875</v>
      </c>
      <c r="C18">
        <f>SUMIFS(Antigua!$L:$L, Antigua!$B:$B, $A18, Antigua!$D:$D, "Out Ports") + SUMIFS(Barbados!$L:$L, Barbados!$B:$B, $A18, Barbados!$D:$D, "Out Ports") + SUMIFS(Bermuda!$L:$L, Bermuda!$B:$B, $A18, Bermuda!$D:$D, "Out Ports") + SUMIFS(Jamaica!$L:$L, Jamaica!$B:$B, $A18, Jamaica!$D:$D, "Out Ports") + SUMIFS(Mountserat!$L:$L, Mountserat!$B:$B, $A18, Mountserat!$D:$D, "Out Ports") + SUMIFS(Nevis!$L:$L, Nevis!$B:$B, $A18, Nevis!$D:$D, "Out Ports") + SUMIFS('St Kitts'!$L:$L, 'St Kitts'!$B:$B, $A18, 'St Kitts'!$D:$D, "Out Ports") + SUMIFS(WestIndiesGeneral!$L:$L, WestIndiesGeneral!$B:$B, $A18, WestIndiesGeneral!$D:$D, "London")</f>
        <v>0.11294642857142857</v>
      </c>
      <c r="D18">
        <f t="shared" si="0"/>
        <v>1.7816964285714285</v>
      </c>
    </row>
    <row r="19" spans="1:4" x14ac:dyDescent="0.25">
      <c r="A19" t="s">
        <v>20</v>
      </c>
      <c r="B19">
        <f>SUMIFS(Antigua!$L:$L, Antigua!$B:$B, $A19, Antigua!$D:$D, "London") + SUMIFS(Barbados!$L:$L, Barbados!$B:$B, $A19, Barbados!$D:$D, "London") + SUMIFS(Bermuda!$L:$L, Bermuda!$B:$B, $A19, Bermuda!$D:$D, "London") + SUMIFS(Jamaica!$L:$L, Jamaica!$B:$B, $A19, Jamaica!$D:$D, "London") + SUMIFS(Mountserat!$L:$L, Mountserat!$B:$B, $A19, Mountserat!$D:$D, "London") + SUMIFS(Nevis!$L:$L, Nevis!$B:$B, $A19, Nevis!$D:$D, "London") + SUMIFS('St Kitts'!$L:$L, 'St Kitts'!$B:$B, $A19, 'St Kitts'!$D:$D, "London") + SUMIFS(WestIndiesGeneral!$L:$L, WestIndiesGeneral!$B:$B, $A19, WestIndiesGeneral!$D:$D, "London")</f>
        <v>0</v>
      </c>
      <c r="C19">
        <f>SUMIFS(Antigua!$L:$L, Antigua!$B:$B, $A19, Antigua!$D:$D, "Out Ports") + SUMIFS(Barbados!$L:$L, Barbados!$B:$B, $A19, Barbados!$D:$D, "Out Ports") + SUMIFS(Bermuda!$L:$L, Bermuda!$B:$B, $A19, Bermuda!$D:$D, "Out Ports") + SUMIFS(Jamaica!$L:$L, Jamaica!$B:$B, $A19, Jamaica!$D:$D, "Out Ports") + SUMIFS(Mountserat!$L:$L, Mountserat!$B:$B, $A19, Mountserat!$D:$D, "Out Ports") + SUMIFS(Nevis!$L:$L, Nevis!$B:$B, $A19, Nevis!$D:$D, "Out Ports") + SUMIFS('St Kitts'!$L:$L, 'St Kitts'!$B:$B, $A19, 'St Kitts'!$D:$D, "Out Ports") + SUMIFS(WestIndiesGeneral!$L:$L, WestIndiesGeneral!$B:$B, $A19, WestIndiesGeneral!$D:$D, "London")</f>
        <v>0</v>
      </c>
      <c r="D19">
        <f t="shared" si="0"/>
        <v>0</v>
      </c>
    </row>
    <row r="20" spans="1:4" x14ac:dyDescent="0.25">
      <c r="A20" t="s">
        <v>21</v>
      </c>
      <c r="B20">
        <f>SUMIFS(Antigua!$L:$L, Antigua!$B:$B, $A20, Antigua!$D:$D, "London") + SUMIFS(Barbados!$L:$L, Barbados!$B:$B, $A20, Barbados!$D:$D, "London") + SUMIFS(Bermuda!$L:$L, Bermuda!$B:$B, $A20, Bermuda!$D:$D, "London") + SUMIFS(Jamaica!$L:$L, Jamaica!$B:$B, $A20, Jamaica!$D:$D, "London") + SUMIFS(Mountserat!$L:$L, Mountserat!$B:$B, $A20, Mountserat!$D:$D, "London") + SUMIFS(Nevis!$L:$L, Nevis!$B:$B, $A20, Nevis!$D:$D, "London") + SUMIFS('St Kitts'!$L:$L, 'St Kitts'!$B:$B, $A20, 'St Kitts'!$D:$D, "London") + SUMIFS(WestIndiesGeneral!$L:$L, WestIndiesGeneral!$B:$B, $A20, WestIndiesGeneral!$D:$D, "London")</f>
        <v>1.0843749999999999</v>
      </c>
      <c r="C20">
        <f>SUMIFS(Antigua!$L:$L, Antigua!$B:$B, $A20, Antigua!$D:$D, "Out Ports") + SUMIFS(Barbados!$L:$L, Barbados!$B:$B, $A20, Barbados!$D:$D, "Out Ports") + SUMIFS(Bermuda!$L:$L, Bermuda!$B:$B, $A20, Bermuda!$D:$D, "Out Ports") + SUMIFS(Jamaica!$L:$L, Jamaica!$B:$B, $A20, Jamaica!$D:$D, "Out Ports") + SUMIFS(Mountserat!$L:$L, Mountserat!$B:$B, $A20, Mountserat!$D:$D, "Out Ports") + SUMIFS(Nevis!$L:$L, Nevis!$B:$B, $A20, Nevis!$D:$D, "Out Ports") + SUMIFS('St Kitts'!$L:$L, 'St Kitts'!$B:$B, $A20, 'St Kitts'!$D:$D, "Out Ports") + SUMIFS(WestIndiesGeneral!$L:$L, WestIndiesGeneral!$B:$B, $A20, WestIndiesGeneral!$D:$D, "London")</f>
        <v>0.31160714285714286</v>
      </c>
      <c r="D20">
        <f t="shared" si="0"/>
        <v>1.3959821428571426</v>
      </c>
    </row>
    <row r="21" spans="1:4" x14ac:dyDescent="0.25">
      <c r="A21" t="s">
        <v>22</v>
      </c>
      <c r="B21">
        <f>SUMIFS(Antigua!$L:$L, Antigua!$B:$B, $A21, Antigua!$D:$D, "London") + SUMIFS(Barbados!$L:$L, Barbados!$B:$B, $A21, Barbados!$D:$D, "London") + SUMIFS(Bermuda!$L:$L, Bermuda!$B:$B, $A21, Bermuda!$D:$D, "London") + SUMIFS(Jamaica!$L:$L, Jamaica!$B:$B, $A21, Jamaica!$D:$D, "London") + SUMIFS(Mountserat!$L:$L, Mountserat!$B:$B, $A21, Mountserat!$D:$D, "London") + SUMIFS(Nevis!$L:$L, Nevis!$B:$B, $A21, Nevis!$D:$D, "London") + SUMIFS('St Kitts'!$L:$L, 'St Kitts'!$B:$B, $A21, 'St Kitts'!$D:$D, "London") + SUMIFS(WestIndiesGeneral!$L:$L, WestIndiesGeneral!$B:$B, $A21, WestIndiesGeneral!$D:$D, "London")</f>
        <v>0</v>
      </c>
      <c r="C21">
        <f>SUMIFS(Antigua!$L:$L, Antigua!$B:$B, $A21, Antigua!$D:$D, "Out Ports") + SUMIFS(Barbados!$L:$L, Barbados!$B:$B, $A21, Barbados!$D:$D, "Out Ports") + SUMIFS(Bermuda!$L:$L, Bermuda!$B:$B, $A21, Bermuda!$D:$D, "Out Ports") + SUMIFS(Jamaica!$L:$L, Jamaica!$B:$B, $A21, Jamaica!$D:$D, "Out Ports") + SUMIFS(Mountserat!$L:$L, Mountserat!$B:$B, $A21, Mountserat!$D:$D, "Out Ports") + SUMIFS(Nevis!$L:$L, Nevis!$B:$B, $A21, Nevis!$D:$D, "Out Ports") + SUMIFS('St Kitts'!$L:$L, 'St Kitts'!$B:$B, $A21, 'St Kitts'!$D:$D, "Out Ports") + SUMIFS(WestIndiesGeneral!$L:$L, WestIndiesGeneral!$B:$B, $A21, WestIndiesGeneral!$D:$D, "London")</f>
        <v>0</v>
      </c>
      <c r="D21">
        <f t="shared" si="0"/>
        <v>0</v>
      </c>
    </row>
    <row r="22" spans="1:4" x14ac:dyDescent="0.25">
      <c r="A22" t="s">
        <v>23</v>
      </c>
      <c r="B22">
        <f>SUMIFS(Antigua!$L:$L, Antigua!$B:$B, $A22, Antigua!$D:$D, "London") + SUMIFS(Barbados!$L:$L, Barbados!$B:$B, $A22, Barbados!$D:$D, "London") + SUMIFS(Bermuda!$L:$L, Bermuda!$B:$B, $A22, Bermuda!$D:$D, "London") + SUMIFS(Jamaica!$L:$L, Jamaica!$B:$B, $A22, Jamaica!$D:$D, "London") + SUMIFS(Mountserat!$L:$L, Mountserat!$B:$B, $A22, Mountserat!$D:$D, "London") + SUMIFS(Nevis!$L:$L, Nevis!$B:$B, $A22, Nevis!$D:$D, "London") + SUMIFS('St Kitts'!$L:$L, 'St Kitts'!$B:$B, $A22, 'St Kitts'!$D:$D, "London") + SUMIFS(WestIndiesGeneral!$L:$L, WestIndiesGeneral!$B:$B, $A22, WestIndiesGeneral!$D:$D, "London")</f>
        <v>0</v>
      </c>
      <c r="C22">
        <f>SUMIFS(Antigua!$L:$L, Antigua!$B:$B, $A22, Antigua!$D:$D, "Out Ports") + SUMIFS(Barbados!$L:$L, Barbados!$B:$B, $A22, Barbados!$D:$D, "Out Ports") + SUMIFS(Bermuda!$L:$L, Bermuda!$B:$B, $A22, Bermuda!$D:$D, "Out Ports") + SUMIFS(Jamaica!$L:$L, Jamaica!$B:$B, $A22, Jamaica!$D:$D, "Out Ports") + SUMIFS(Mountserat!$L:$L, Mountserat!$B:$B, $A22, Mountserat!$D:$D, "Out Ports") + SUMIFS(Nevis!$L:$L, Nevis!$B:$B, $A22, Nevis!$D:$D, "Out Ports") + SUMIFS('St Kitts'!$L:$L, 'St Kitts'!$B:$B, $A22, 'St Kitts'!$D:$D, "Out Ports") + SUMIFS(WestIndiesGeneral!$L:$L, WestIndiesGeneral!$B:$B, $A22, WestIndiesGeneral!$D:$D, "London")</f>
        <v>0</v>
      </c>
      <c r="D22">
        <f t="shared" si="0"/>
        <v>0</v>
      </c>
    </row>
    <row r="23" spans="1:4" x14ac:dyDescent="0.25">
      <c r="A23" t="s">
        <v>24</v>
      </c>
      <c r="B23">
        <f>SUMIFS(Antigua!$L:$L, Antigua!$B:$B, $A23, Antigua!$D:$D, "London") + SUMIFS(Barbados!$L:$L, Barbados!$B:$B, $A23, Barbados!$D:$D, "London") + SUMIFS(Bermuda!$L:$L, Bermuda!$B:$B, $A23, Bermuda!$D:$D, "London") + SUMIFS(Jamaica!$L:$L, Jamaica!$B:$B, $A23, Jamaica!$D:$D, "London") + SUMIFS(Mountserat!$L:$L, Mountserat!$B:$B, $A23, Mountserat!$D:$D, "London") + SUMIFS(Nevis!$L:$L, Nevis!$B:$B, $A23, Nevis!$D:$D, "London") + SUMIFS('St Kitts'!$L:$L, 'St Kitts'!$B:$B, $A23, 'St Kitts'!$D:$D, "London") + SUMIFS(WestIndiesGeneral!$L:$L, WestIndiesGeneral!$B:$B, $A23, WestIndiesGeneral!$D:$D, "London")</f>
        <v>0</v>
      </c>
      <c r="C23">
        <f>SUMIFS(Antigua!$L:$L, Antigua!$B:$B, $A23, Antigua!$D:$D, "Out Ports") + SUMIFS(Barbados!$L:$L, Barbados!$B:$B, $A23, Barbados!$D:$D, "Out Ports") + SUMIFS(Bermuda!$L:$L, Bermuda!$B:$B, $A23, Bermuda!$D:$D, "Out Ports") + SUMIFS(Jamaica!$L:$L, Jamaica!$B:$B, $A23, Jamaica!$D:$D, "Out Ports") + SUMIFS(Mountserat!$L:$L, Mountserat!$B:$B, $A23, Mountserat!$D:$D, "Out Ports") + SUMIFS(Nevis!$L:$L, Nevis!$B:$B, $A23, Nevis!$D:$D, "Out Ports") + SUMIFS('St Kitts'!$L:$L, 'St Kitts'!$B:$B, $A23, 'St Kitts'!$D:$D, "Out Ports") + SUMIFS(WestIndiesGeneral!$L:$L, WestIndiesGeneral!$B:$B, $A23, WestIndiesGeneral!$D:$D, "London")</f>
        <v>0</v>
      </c>
      <c r="D23">
        <f t="shared" si="0"/>
        <v>0</v>
      </c>
    </row>
    <row r="24" spans="1:4" x14ac:dyDescent="0.25">
      <c r="A24" t="s">
        <v>25</v>
      </c>
      <c r="B24">
        <f>SUMIFS(Antigua!$L:$L, Antigua!$B:$B, $A24, Antigua!$D:$D, "London") + SUMIFS(Barbados!$L:$L, Barbados!$B:$B, $A24, Barbados!$D:$D, "London") + SUMIFS(Bermuda!$L:$L, Bermuda!$B:$B, $A24, Bermuda!$D:$D, "London") + SUMIFS(Jamaica!$L:$L, Jamaica!$B:$B, $A24, Jamaica!$D:$D, "London") + SUMIFS(Mountserat!$L:$L, Mountserat!$B:$B, $A24, Mountserat!$D:$D, "London") + SUMIFS(Nevis!$L:$L, Nevis!$B:$B, $A24, Nevis!$D:$D, "London") + SUMIFS('St Kitts'!$L:$L, 'St Kitts'!$B:$B, $A24, 'St Kitts'!$D:$D, "London") + SUMIFS(WestIndiesGeneral!$L:$L, WestIndiesGeneral!$B:$B, $A24, WestIndiesGeneral!$D:$D, "London")</f>
        <v>0</v>
      </c>
      <c r="C24">
        <f>SUMIFS(Antigua!$L:$L, Antigua!$B:$B, $A24, Antigua!$D:$D, "Out Ports") + SUMIFS(Barbados!$L:$L, Barbados!$B:$B, $A24, Barbados!$D:$D, "Out Ports") + SUMIFS(Bermuda!$L:$L, Bermuda!$B:$B, $A24, Bermuda!$D:$D, "Out Ports") + SUMIFS(Jamaica!$L:$L, Jamaica!$B:$B, $A24, Jamaica!$D:$D, "Out Ports") + SUMIFS(Mountserat!$L:$L, Mountserat!$B:$B, $A24, Mountserat!$D:$D, "Out Ports") + SUMIFS(Nevis!$L:$L, Nevis!$B:$B, $A24, Nevis!$D:$D, "Out Ports") + SUMIFS('St Kitts'!$L:$L, 'St Kitts'!$B:$B, $A24, 'St Kitts'!$D:$D, "Out Ports") + SUMIFS(WestIndiesGeneral!$L:$L, WestIndiesGeneral!$B:$B, $A24, WestIndiesGeneral!$D:$D, "London")</f>
        <v>0</v>
      </c>
      <c r="D24">
        <f t="shared" si="0"/>
        <v>0</v>
      </c>
    </row>
    <row r="25" spans="1:4" x14ac:dyDescent="0.25">
      <c r="A25" t="s">
        <v>26</v>
      </c>
      <c r="B25">
        <f>SUMIFS(Antigua!$L:$L, Antigua!$B:$B, $A25, Antigua!$D:$D, "London") + SUMIFS(Barbados!$L:$L, Barbados!$B:$B, $A25, Barbados!$D:$D, "London") + SUMIFS(Bermuda!$L:$L, Bermuda!$B:$B, $A25, Bermuda!$D:$D, "London") + SUMIFS(Jamaica!$L:$L, Jamaica!$B:$B, $A25, Jamaica!$D:$D, "London") + SUMIFS(Mountserat!$L:$L, Mountserat!$B:$B, $A25, Mountserat!$D:$D, "London") + SUMIFS(Nevis!$L:$L, Nevis!$B:$B, $A25, Nevis!$D:$D, "London") + SUMIFS('St Kitts'!$L:$L, 'St Kitts'!$B:$B, $A25, 'St Kitts'!$D:$D, "London") + SUMIFS(WestIndiesGeneral!$L:$L, WestIndiesGeneral!$B:$B, $A25, WestIndiesGeneral!$D:$D, "London")</f>
        <v>1.2642857142857142</v>
      </c>
      <c r="C25">
        <f>SUMIFS(Antigua!$L:$L, Antigua!$B:$B, $A25, Antigua!$D:$D, "Out Ports") + SUMIFS(Barbados!$L:$L, Barbados!$B:$B, $A25, Barbados!$D:$D, "Out Ports") + SUMIFS(Bermuda!$L:$L, Bermuda!$B:$B, $A25, Bermuda!$D:$D, "Out Ports") + SUMIFS(Jamaica!$L:$L, Jamaica!$B:$B, $A25, Jamaica!$D:$D, "Out Ports") + SUMIFS(Mountserat!$L:$L, Mountserat!$B:$B, $A25, Mountserat!$D:$D, "Out Ports") + SUMIFS(Nevis!$L:$L, Nevis!$B:$B, $A25, Nevis!$D:$D, "Out Ports") + SUMIFS('St Kitts'!$L:$L, 'St Kitts'!$B:$B, $A25, 'St Kitts'!$D:$D, "Out Ports") + SUMIFS(WestIndiesGeneral!$L:$L, WestIndiesGeneral!$B:$B, $A25, WestIndiesGeneral!$D:$D, "London")</f>
        <v>1.0821428571428571</v>
      </c>
      <c r="D25">
        <f t="shared" si="0"/>
        <v>2.3464285714285715</v>
      </c>
    </row>
    <row r="26" spans="1:4" x14ac:dyDescent="0.25">
      <c r="A26" t="s">
        <v>27</v>
      </c>
      <c r="B26">
        <f>SUMIFS(Antigua!$L:$L, Antigua!$B:$B, $A26, Antigua!$D:$D, "London") + SUMIFS(Barbados!$L:$L, Barbados!$B:$B, $A26, Barbados!$D:$D, "London") + SUMIFS(Bermuda!$L:$L, Bermuda!$B:$B, $A26, Bermuda!$D:$D, "London") + SUMIFS(Jamaica!$L:$L, Jamaica!$B:$B, $A26, Jamaica!$D:$D, "London") + SUMIFS(Mountserat!$L:$L, Mountserat!$B:$B, $A26, Mountserat!$D:$D, "London") + SUMIFS(Nevis!$L:$L, Nevis!$B:$B, $A26, Nevis!$D:$D, "London") + SUMIFS('St Kitts'!$L:$L, 'St Kitts'!$B:$B, $A26, 'St Kitts'!$D:$D, "London") + SUMIFS(WestIndiesGeneral!$L:$L, WestIndiesGeneral!$B:$B, $A26, WestIndiesGeneral!$D:$D, "London")</f>
        <v>134.15937499999998</v>
      </c>
      <c r="C26">
        <f>SUMIFS(Antigua!$L:$L, Antigua!$B:$B, $A26, Antigua!$D:$D, "Out Ports") + SUMIFS(Barbados!$L:$L, Barbados!$B:$B, $A26, Barbados!$D:$D, "Out Ports") + SUMIFS(Bermuda!$L:$L, Bermuda!$B:$B, $A26, Bermuda!$D:$D, "Out Ports") + SUMIFS(Jamaica!$L:$L, Jamaica!$B:$B, $A26, Jamaica!$D:$D, "Out Ports") + SUMIFS(Mountserat!$L:$L, Mountserat!$B:$B, $A26, Mountserat!$D:$D, "Out Ports") + SUMIFS(Nevis!$L:$L, Nevis!$B:$B, $A26, Nevis!$D:$D, "Out Ports") + SUMIFS('St Kitts'!$L:$L, 'St Kitts'!$B:$B, $A26, 'St Kitts'!$D:$D, "Out Ports") + SUMIFS(WestIndiesGeneral!$L:$L, WestIndiesGeneral!$B:$B, $A26, WestIndiesGeneral!$D:$D, "London")</f>
        <v>9.8104910714285722</v>
      </c>
      <c r="D26">
        <f t="shared" si="0"/>
        <v>143.96986607142856</v>
      </c>
    </row>
    <row r="27" spans="1:4" x14ac:dyDescent="0.25">
      <c r="A27" t="s">
        <v>61</v>
      </c>
      <c r="B27">
        <f>SUMIFS(Antigua!$L:$L, Antigua!$B:$B, $A27, Antigua!$D:$D, "London") + SUMIFS(Barbados!$L:$L, Barbados!$B:$B, $A27, Barbados!$D:$D, "London") + SUMIFS(Bermuda!$L:$L, Bermuda!$B:$B, $A27, Bermuda!$D:$D, "London") + SUMIFS(Jamaica!$L:$L, Jamaica!$B:$B, $A27, Jamaica!$D:$D, "London") + SUMIFS(Mountserat!$L:$L, Mountserat!$B:$B, $A27, Mountserat!$D:$D, "London") + SUMIFS(Nevis!$L:$L, Nevis!$B:$B, $A27, Nevis!$D:$D, "London") + SUMIFS('St Kitts'!$L:$L, 'St Kitts'!$B:$B, $A27, 'St Kitts'!$D:$D, "London") + SUMIFS(WestIndiesGeneral!$L:$L, WestIndiesGeneral!$B:$B, $A27, WestIndiesGeneral!$D:$D, "London")</f>
        <v>0</v>
      </c>
      <c r="C27">
        <f>SUMIFS(Antigua!$L:$L, Antigua!$B:$B, $A27, Antigua!$D:$D, "Out Ports") + SUMIFS(Barbados!$L:$L, Barbados!$B:$B, $A27, Barbados!$D:$D, "Out Ports") + SUMIFS(Bermuda!$L:$L, Bermuda!$B:$B, $A27, Bermuda!$D:$D, "Out Ports") + SUMIFS(Jamaica!$L:$L, Jamaica!$B:$B, $A27, Jamaica!$D:$D, "Out Ports") + SUMIFS(Mountserat!$L:$L, Mountserat!$B:$B, $A27, Mountserat!$D:$D, "Out Ports") + SUMIFS(Nevis!$L:$L, Nevis!$B:$B, $A27, Nevis!$D:$D, "Out Ports") + SUMIFS('St Kitts'!$L:$L, 'St Kitts'!$B:$B, $A27, 'St Kitts'!$D:$D, "Out Ports") + SUMIFS(WestIndiesGeneral!$L:$L, WestIndiesGeneral!$B:$B, $A27, WestIndiesGeneral!$D:$D, "London")</f>
        <v>0</v>
      </c>
      <c r="D27">
        <f t="shared" si="0"/>
        <v>0</v>
      </c>
    </row>
    <row r="28" spans="1:4" x14ac:dyDescent="0.25">
      <c r="A28" t="s">
        <v>62</v>
      </c>
      <c r="B28">
        <f>SUMIFS(Antigua!$L:$L, Antigua!$B:$B, $A28, Antigua!$D:$D, "London") + SUMIFS(Barbados!$L:$L, Barbados!$B:$B, $A28, Barbados!$D:$D, "London") + SUMIFS(Bermuda!$L:$L, Bermuda!$B:$B, $A28, Bermuda!$D:$D, "London") + SUMIFS(Jamaica!$L:$L, Jamaica!$B:$B, $A28, Jamaica!$D:$D, "London") + SUMIFS(Mountserat!$L:$L, Mountserat!$B:$B, $A28, Mountserat!$D:$D, "London") + SUMIFS(Nevis!$L:$L, Nevis!$B:$B, $A28, Nevis!$D:$D, "London") + SUMIFS('St Kitts'!$L:$L, 'St Kitts'!$B:$B, $A28, 'St Kitts'!$D:$D, "London") + SUMIFS(WestIndiesGeneral!$L:$L, WestIndiesGeneral!$B:$B, $A28, WestIndiesGeneral!$D:$D, "London")</f>
        <v>223.65267857142857</v>
      </c>
      <c r="C28">
        <f>SUMIFS(Antigua!$L:$L, Antigua!$B:$B, $A28, Antigua!$D:$D, "Out Ports") + SUMIFS(Barbados!$L:$L, Barbados!$B:$B, $A28, Barbados!$D:$D, "Out Ports") + SUMIFS(Bermuda!$L:$L, Bermuda!$B:$B, $A28, Bermuda!$D:$D, "Out Ports") + SUMIFS(Jamaica!$L:$L, Jamaica!$B:$B, $A28, Jamaica!$D:$D, "Out Ports") + SUMIFS(Mountserat!$L:$L, Mountserat!$B:$B, $A28, Mountserat!$D:$D, "Out Ports") + SUMIFS(Nevis!$L:$L, Nevis!$B:$B, $A28, Nevis!$D:$D, "Out Ports") + SUMIFS('St Kitts'!$L:$L, 'St Kitts'!$B:$B, $A28, 'St Kitts'!$D:$D, "Out Ports") + SUMIFS(WestIndiesGeneral!$L:$L, WestIndiesGeneral!$B:$B, $A28, WestIndiesGeneral!$D:$D, "London")</f>
        <v>197.15535714285716</v>
      </c>
      <c r="D28">
        <f t="shared" si="0"/>
        <v>420.80803571428572</v>
      </c>
    </row>
    <row r="29" spans="1:4" x14ac:dyDescent="0.25">
      <c r="A29" t="s">
        <v>63</v>
      </c>
      <c r="B29">
        <f>SUMIFS(Antigua!$L:$L, Antigua!$B:$B, $A29, Antigua!$D:$D, "London") + SUMIFS(Barbados!$L:$L, Barbados!$B:$B, $A29, Barbados!$D:$D, "London") + SUMIFS(Bermuda!$L:$L, Bermuda!$B:$B, $A29, Bermuda!$D:$D, "London") + SUMIFS(Jamaica!$L:$L, Jamaica!$B:$B, $A29, Jamaica!$D:$D, "London") + SUMIFS(Mountserat!$L:$L, Mountserat!$B:$B, $A29, Mountserat!$D:$D, "London") + SUMIFS(Nevis!$L:$L, Nevis!$B:$B, $A29, Nevis!$D:$D, "London") + SUMIFS('St Kitts'!$L:$L, 'St Kitts'!$B:$B, $A29, 'St Kitts'!$D:$D, "London") + SUMIFS(WestIndiesGeneral!$L:$L, WestIndiesGeneral!$B:$B, $A29, WestIndiesGeneral!$D:$D, "London")</f>
        <v>45.5</v>
      </c>
      <c r="C29">
        <f>SUMIFS(Antigua!$L:$L, Antigua!$B:$B, $A29, Antigua!$D:$D, "Out Ports") + SUMIFS(Barbados!$L:$L, Barbados!$B:$B, $A29, Barbados!$D:$D, "Out Ports") + SUMIFS(Bermuda!$L:$L, Bermuda!$B:$B, $A29, Bermuda!$D:$D, "Out Ports") + SUMIFS(Jamaica!$L:$L, Jamaica!$B:$B, $A29, Jamaica!$D:$D, "Out Ports") + SUMIFS(Mountserat!$L:$L, Mountserat!$B:$B, $A29, Mountserat!$D:$D, "Out Ports") + SUMIFS(Nevis!$L:$L, Nevis!$B:$B, $A29, Nevis!$D:$D, "Out Ports") + SUMIFS('St Kitts'!$L:$L, 'St Kitts'!$B:$B, $A29, 'St Kitts'!$D:$D, "Out Ports") + SUMIFS(WestIndiesGeneral!$L:$L, WestIndiesGeneral!$B:$B, $A29, WestIndiesGeneral!$D:$D, "London")</f>
        <v>54.169196428571432</v>
      </c>
      <c r="D29">
        <f t="shared" si="0"/>
        <v>99.669196428571439</v>
      </c>
    </row>
    <row r="30" spans="1:4" x14ac:dyDescent="0.25">
      <c r="A30" t="s">
        <v>64</v>
      </c>
      <c r="B30">
        <f>SUMIFS(Antigua!$L:$L, Antigua!$B:$B, $A30, Antigua!$D:$D, "London") + SUMIFS(Barbados!$L:$L, Barbados!$B:$B, $A30, Barbados!$D:$D, "London") + SUMIFS(Bermuda!$L:$L, Bermuda!$B:$B, $A30, Bermuda!$D:$D, "London") + SUMIFS(Jamaica!$L:$L, Jamaica!$B:$B, $A30, Jamaica!$D:$D, "London") + SUMIFS(Mountserat!$L:$L, Mountserat!$B:$B, $A30, Mountserat!$D:$D, "London") + SUMIFS(Nevis!$L:$L, Nevis!$B:$B, $A30, Nevis!$D:$D, "London") + SUMIFS('St Kitts'!$L:$L, 'St Kitts'!$B:$B, $A30, 'St Kitts'!$D:$D, "London") + SUMIFS(WestIndiesGeneral!$L:$L, WestIndiesGeneral!$B:$B, $A30, WestIndiesGeneral!$D:$D, "London")</f>
        <v>21.3125</v>
      </c>
      <c r="C30">
        <f>SUMIFS(Antigua!$L:$L, Antigua!$B:$B, $A30, Antigua!$D:$D, "Out Ports") + SUMIFS(Barbados!$L:$L, Barbados!$B:$B, $A30, Barbados!$D:$D, "Out Ports") + SUMIFS(Bermuda!$L:$L, Bermuda!$B:$B, $A30, Bermuda!$D:$D, "Out Ports") + SUMIFS(Jamaica!$L:$L, Jamaica!$B:$B, $A30, Jamaica!$D:$D, "Out Ports") + SUMIFS(Mountserat!$L:$L, Mountserat!$B:$B, $A30, Mountserat!$D:$D, "Out Ports") + SUMIFS(Nevis!$L:$L, Nevis!$B:$B, $A30, Nevis!$D:$D, "Out Ports") + SUMIFS('St Kitts'!$L:$L, 'St Kitts'!$B:$B, $A30, 'St Kitts'!$D:$D, "Out Ports") + SUMIFS(WestIndiesGeneral!$L:$L, WestIndiesGeneral!$B:$B, $A30, WestIndiesGeneral!$D:$D, "London")</f>
        <v>18.251785714285713</v>
      </c>
      <c r="D30">
        <f t="shared" si="0"/>
        <v>39.564285714285717</v>
      </c>
    </row>
    <row r="31" spans="1:4" x14ac:dyDescent="0.25">
      <c r="A31" t="s">
        <v>65</v>
      </c>
      <c r="B31">
        <f>SUMIFS(Antigua!$L:$L, Antigua!$B:$B, $A31, Antigua!$D:$D, "London") + SUMIFS(Barbados!$L:$L, Barbados!$B:$B, $A31, Barbados!$D:$D, "London") + SUMIFS(Bermuda!$L:$L, Bermuda!$B:$B, $A31, Bermuda!$D:$D, "London") + SUMIFS(Jamaica!$L:$L, Jamaica!$B:$B, $A31, Jamaica!$D:$D, "London") + SUMIFS(Mountserat!$L:$L, Mountserat!$B:$B, $A31, Mountserat!$D:$D, "London") + SUMIFS(Nevis!$L:$L, Nevis!$B:$B, $A31, Nevis!$D:$D, "London") + SUMIFS('St Kitts'!$L:$L, 'St Kitts'!$B:$B, $A31, 'St Kitts'!$D:$D, "London") + SUMIFS(WestIndiesGeneral!$L:$L, WestIndiesGeneral!$B:$B, $A31, WestIndiesGeneral!$D:$D, "London")</f>
        <v>0</v>
      </c>
      <c r="C31">
        <f>SUMIFS(Antigua!$L:$L, Antigua!$B:$B, $A31, Antigua!$D:$D, "Out Ports") + SUMIFS(Barbados!$L:$L, Barbados!$B:$B, $A31, Barbados!$D:$D, "Out Ports") + SUMIFS(Bermuda!$L:$L, Bermuda!$B:$B, $A31, Bermuda!$D:$D, "Out Ports") + SUMIFS(Jamaica!$L:$L, Jamaica!$B:$B, $A31, Jamaica!$D:$D, "Out Ports") + SUMIFS(Mountserat!$L:$L, Mountserat!$B:$B, $A31, Mountserat!$D:$D, "Out Ports") + SUMIFS(Nevis!$L:$L, Nevis!$B:$B, $A31, Nevis!$D:$D, "Out Ports") + SUMIFS('St Kitts'!$L:$L, 'St Kitts'!$B:$B, $A31, 'St Kitts'!$D:$D, "Out Ports") + SUMIFS(WestIndiesGeneral!$L:$L, WestIndiesGeneral!$B:$B, $A31, WestIndiesGeneral!$D:$D, "London")</f>
        <v>0</v>
      </c>
      <c r="D31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63DC-F16F-4A70-B138-C92491A2691B}">
  <dimension ref="A1:L88"/>
  <sheetViews>
    <sheetView workbookViewId="0">
      <selection activeCell="A2" sqref="A2"/>
    </sheetView>
  </sheetViews>
  <sheetFormatPr defaultRowHeight="15" x14ac:dyDescent="0.25"/>
  <cols>
    <col min="2" max="2" width="18.85546875" customWidth="1"/>
    <col min="3" max="3" width="17.140625" customWidth="1"/>
    <col min="4" max="4" width="14.7109375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B2" t="s">
        <v>55</v>
      </c>
      <c r="C2" t="s">
        <v>75</v>
      </c>
      <c r="D2" t="s">
        <v>33</v>
      </c>
    </row>
    <row r="3" spans="1:12" x14ac:dyDescent="0.25">
      <c r="B3" t="s">
        <v>57</v>
      </c>
      <c r="C3" t="s">
        <v>75</v>
      </c>
      <c r="D3" t="s">
        <v>33</v>
      </c>
    </row>
    <row r="4" spans="1:12" x14ac:dyDescent="0.25">
      <c r="B4" t="s">
        <v>36</v>
      </c>
      <c r="C4" t="s">
        <v>75</v>
      </c>
      <c r="D4" t="s">
        <v>33</v>
      </c>
    </row>
    <row r="5" spans="1:12" x14ac:dyDescent="0.25">
      <c r="B5" t="s">
        <v>4</v>
      </c>
      <c r="C5" t="s">
        <v>75</v>
      </c>
      <c r="D5" t="s">
        <v>33</v>
      </c>
    </row>
    <row r="6" spans="1:12" x14ac:dyDescent="0.25">
      <c r="B6" t="s">
        <v>58</v>
      </c>
      <c r="C6" t="s">
        <v>75</v>
      </c>
      <c r="D6" t="s">
        <v>33</v>
      </c>
    </row>
    <row r="7" spans="1:12" x14ac:dyDescent="0.25">
      <c r="B7" t="s">
        <v>69</v>
      </c>
      <c r="C7" t="s">
        <v>75</v>
      </c>
      <c r="D7" t="s">
        <v>33</v>
      </c>
    </row>
    <row r="8" spans="1:12" x14ac:dyDescent="0.25">
      <c r="B8" t="s">
        <v>43</v>
      </c>
      <c r="C8" t="s">
        <v>75</v>
      </c>
      <c r="D8" t="s">
        <v>33</v>
      </c>
    </row>
    <row r="9" spans="1:12" x14ac:dyDescent="0.25">
      <c r="B9" t="s">
        <v>76</v>
      </c>
      <c r="C9" t="s">
        <v>75</v>
      </c>
      <c r="D9" t="s">
        <v>33</v>
      </c>
    </row>
    <row r="10" spans="1:12" x14ac:dyDescent="0.25">
      <c r="B10" t="s">
        <v>5</v>
      </c>
      <c r="C10" t="s">
        <v>75</v>
      </c>
      <c r="D10" t="s">
        <v>33</v>
      </c>
    </row>
    <row r="11" spans="1:12" x14ac:dyDescent="0.25">
      <c r="B11" t="s">
        <v>59</v>
      </c>
      <c r="C11" t="s">
        <v>75</v>
      </c>
      <c r="D11" t="s">
        <v>33</v>
      </c>
    </row>
    <row r="12" spans="1:12" x14ac:dyDescent="0.25">
      <c r="B12" t="s">
        <v>6</v>
      </c>
      <c r="C12" t="s">
        <v>75</v>
      </c>
      <c r="D12" t="s">
        <v>33</v>
      </c>
    </row>
    <row r="13" spans="1:12" x14ac:dyDescent="0.25">
      <c r="B13" t="s">
        <v>60</v>
      </c>
      <c r="C13" t="s">
        <v>75</v>
      </c>
      <c r="D13" t="s">
        <v>33</v>
      </c>
    </row>
    <row r="14" spans="1:12" x14ac:dyDescent="0.25">
      <c r="B14" t="s">
        <v>38</v>
      </c>
      <c r="C14" t="s">
        <v>75</v>
      </c>
      <c r="D14" t="s">
        <v>33</v>
      </c>
    </row>
    <row r="15" spans="1:12" x14ac:dyDescent="0.25">
      <c r="B15" t="s">
        <v>37</v>
      </c>
      <c r="C15" t="s">
        <v>75</v>
      </c>
      <c r="D15" t="s">
        <v>33</v>
      </c>
    </row>
    <row r="16" spans="1:12" x14ac:dyDescent="0.25">
      <c r="B16" t="s">
        <v>8</v>
      </c>
      <c r="C16" t="s">
        <v>75</v>
      </c>
      <c r="D16" t="s">
        <v>33</v>
      </c>
    </row>
    <row r="17" spans="2:4" x14ac:dyDescent="0.25">
      <c r="B17" t="s">
        <v>40</v>
      </c>
      <c r="C17" t="s">
        <v>75</v>
      </c>
      <c r="D17" t="s">
        <v>33</v>
      </c>
    </row>
    <row r="18" spans="2:4" x14ac:dyDescent="0.25">
      <c r="B18" t="s">
        <v>77</v>
      </c>
      <c r="C18" t="s">
        <v>75</v>
      </c>
      <c r="D18" t="s">
        <v>33</v>
      </c>
    </row>
    <row r="19" spans="2:4" x14ac:dyDescent="0.25">
      <c r="B19" t="s">
        <v>78</v>
      </c>
      <c r="C19" t="s">
        <v>75</v>
      </c>
      <c r="D19" t="s">
        <v>33</v>
      </c>
    </row>
    <row r="20" spans="2:4" x14ac:dyDescent="0.25">
      <c r="B20" t="s">
        <v>46</v>
      </c>
      <c r="C20" t="s">
        <v>75</v>
      </c>
      <c r="D20" t="s">
        <v>33</v>
      </c>
    </row>
    <row r="21" spans="2:4" x14ac:dyDescent="0.25">
      <c r="B21" t="s">
        <v>9</v>
      </c>
      <c r="C21" t="s">
        <v>75</v>
      </c>
      <c r="D21" t="s">
        <v>33</v>
      </c>
    </row>
    <row r="22" spans="2:4" x14ac:dyDescent="0.25">
      <c r="B22" t="s">
        <v>10</v>
      </c>
      <c r="C22" t="s">
        <v>75</v>
      </c>
      <c r="D22" t="s">
        <v>33</v>
      </c>
    </row>
    <row r="23" spans="2:4" x14ac:dyDescent="0.25">
      <c r="B23" t="s">
        <v>11</v>
      </c>
      <c r="C23" t="s">
        <v>75</v>
      </c>
      <c r="D23" t="s">
        <v>33</v>
      </c>
    </row>
    <row r="24" spans="2:4" x14ac:dyDescent="0.25">
      <c r="B24" t="s">
        <v>39</v>
      </c>
      <c r="C24" t="s">
        <v>75</v>
      </c>
      <c r="D24" t="s">
        <v>33</v>
      </c>
    </row>
    <row r="25" spans="2:4" x14ac:dyDescent="0.25">
      <c r="B25" t="s">
        <v>79</v>
      </c>
      <c r="C25" t="s">
        <v>75</v>
      </c>
      <c r="D25" t="s">
        <v>33</v>
      </c>
    </row>
    <row r="26" spans="2:4" x14ac:dyDescent="0.25">
      <c r="B26" t="s">
        <v>103</v>
      </c>
      <c r="C26" t="s">
        <v>75</v>
      </c>
      <c r="D26" t="s">
        <v>33</v>
      </c>
    </row>
    <row r="27" spans="2:4" x14ac:dyDescent="0.25">
      <c r="B27" t="s">
        <v>44</v>
      </c>
      <c r="C27" t="s">
        <v>75</v>
      </c>
      <c r="D27" t="s">
        <v>33</v>
      </c>
    </row>
    <row r="28" spans="2:4" x14ac:dyDescent="0.25">
      <c r="B28" t="s">
        <v>80</v>
      </c>
      <c r="C28" t="s">
        <v>75</v>
      </c>
      <c r="D28" t="s">
        <v>33</v>
      </c>
    </row>
    <row r="29" spans="2:4" x14ac:dyDescent="0.25">
      <c r="B29" t="s">
        <v>81</v>
      </c>
      <c r="C29" t="s">
        <v>75</v>
      </c>
      <c r="D29" t="s">
        <v>33</v>
      </c>
    </row>
    <row r="30" spans="2:4" x14ac:dyDescent="0.25">
      <c r="B30" t="s">
        <v>82</v>
      </c>
      <c r="C30" t="s">
        <v>75</v>
      </c>
      <c r="D30" t="s">
        <v>33</v>
      </c>
    </row>
    <row r="31" spans="2:4" x14ac:dyDescent="0.25">
      <c r="B31" t="s">
        <v>34</v>
      </c>
      <c r="C31" t="s">
        <v>75</v>
      </c>
      <c r="D31" t="s">
        <v>33</v>
      </c>
    </row>
    <row r="32" spans="2:4" x14ac:dyDescent="0.25">
      <c r="B32" t="s">
        <v>13</v>
      </c>
      <c r="C32" t="s">
        <v>75</v>
      </c>
      <c r="D32" t="s">
        <v>33</v>
      </c>
    </row>
    <row r="33" spans="2:4" x14ac:dyDescent="0.25">
      <c r="B33" t="s">
        <v>14</v>
      </c>
      <c r="C33" t="s">
        <v>75</v>
      </c>
      <c r="D33" t="s">
        <v>33</v>
      </c>
    </row>
    <row r="34" spans="2:4" x14ac:dyDescent="0.25">
      <c r="B34" t="s">
        <v>23</v>
      </c>
      <c r="C34" t="s">
        <v>75</v>
      </c>
      <c r="D34" t="s">
        <v>33</v>
      </c>
    </row>
    <row r="35" spans="2:4" x14ac:dyDescent="0.25">
      <c r="B35" t="s">
        <v>27</v>
      </c>
      <c r="C35" t="s">
        <v>75</v>
      </c>
      <c r="D35" t="s">
        <v>33</v>
      </c>
    </row>
    <row r="36" spans="2:4" x14ac:dyDescent="0.25">
      <c r="B36" t="s">
        <v>15</v>
      </c>
      <c r="C36" t="s">
        <v>75</v>
      </c>
      <c r="D36" t="s">
        <v>33</v>
      </c>
    </row>
    <row r="37" spans="2:4" x14ac:dyDescent="0.25">
      <c r="B37" t="s">
        <v>42</v>
      </c>
      <c r="C37" t="s">
        <v>75</v>
      </c>
      <c r="D37" t="s">
        <v>33</v>
      </c>
    </row>
    <row r="38" spans="2:4" x14ac:dyDescent="0.25">
      <c r="B38" t="s">
        <v>83</v>
      </c>
      <c r="C38" t="s">
        <v>75</v>
      </c>
      <c r="D38" t="s">
        <v>33</v>
      </c>
    </row>
    <row r="39" spans="2:4" x14ac:dyDescent="0.25">
      <c r="B39" t="s">
        <v>47</v>
      </c>
      <c r="C39" t="s">
        <v>75</v>
      </c>
      <c r="D39" t="s">
        <v>33</v>
      </c>
    </row>
    <row r="40" spans="2:4" x14ac:dyDescent="0.25">
      <c r="B40" t="s">
        <v>16</v>
      </c>
      <c r="C40" t="s">
        <v>75</v>
      </c>
      <c r="D40" t="s">
        <v>33</v>
      </c>
    </row>
    <row r="41" spans="2:4" x14ac:dyDescent="0.25">
      <c r="B41" t="s">
        <v>17</v>
      </c>
      <c r="C41" t="s">
        <v>75</v>
      </c>
      <c r="D41" t="s">
        <v>33</v>
      </c>
    </row>
    <row r="42" spans="2:4" x14ac:dyDescent="0.25">
      <c r="B42" t="s">
        <v>18</v>
      </c>
      <c r="C42" t="s">
        <v>75</v>
      </c>
      <c r="D42" t="s">
        <v>33</v>
      </c>
    </row>
    <row r="43" spans="2:4" x14ac:dyDescent="0.25">
      <c r="B43" t="s">
        <v>26</v>
      </c>
      <c r="C43" t="s">
        <v>75</v>
      </c>
      <c r="D43" t="s">
        <v>33</v>
      </c>
    </row>
    <row r="44" spans="2:4" x14ac:dyDescent="0.25">
      <c r="B44" t="s">
        <v>84</v>
      </c>
      <c r="C44" t="s">
        <v>75</v>
      </c>
      <c r="D44" t="s">
        <v>33</v>
      </c>
    </row>
    <row r="45" spans="2:4" x14ac:dyDescent="0.25">
      <c r="B45" t="s">
        <v>19</v>
      </c>
      <c r="C45" t="s">
        <v>75</v>
      </c>
      <c r="D45" t="s">
        <v>33</v>
      </c>
    </row>
    <row r="46" spans="2:4" x14ac:dyDescent="0.25">
      <c r="B46" t="s">
        <v>45</v>
      </c>
      <c r="C46" t="s">
        <v>75</v>
      </c>
      <c r="D46" t="s">
        <v>33</v>
      </c>
    </row>
    <row r="47" spans="2:4" x14ac:dyDescent="0.25">
      <c r="B47" t="s">
        <v>85</v>
      </c>
      <c r="C47" t="s">
        <v>75</v>
      </c>
      <c r="D47" t="s">
        <v>33</v>
      </c>
    </row>
    <row r="48" spans="2:4" x14ac:dyDescent="0.25">
      <c r="B48" t="s">
        <v>54</v>
      </c>
      <c r="C48" t="s">
        <v>75</v>
      </c>
      <c r="D48" t="s">
        <v>33</v>
      </c>
    </row>
    <row r="49" spans="2:4" x14ac:dyDescent="0.25">
      <c r="B49" t="s">
        <v>86</v>
      </c>
      <c r="C49" t="s">
        <v>75</v>
      </c>
      <c r="D49" t="s">
        <v>33</v>
      </c>
    </row>
    <row r="50" spans="2:4" x14ac:dyDescent="0.25">
      <c r="B50" t="s">
        <v>20</v>
      </c>
      <c r="C50" t="s">
        <v>75</v>
      </c>
      <c r="D50" t="s">
        <v>33</v>
      </c>
    </row>
    <row r="51" spans="2:4" x14ac:dyDescent="0.25">
      <c r="B51" t="s">
        <v>21</v>
      </c>
      <c r="C51" t="s">
        <v>75</v>
      </c>
      <c r="D51" t="s">
        <v>33</v>
      </c>
    </row>
    <row r="52" spans="2:4" x14ac:dyDescent="0.25">
      <c r="B52" t="s">
        <v>22</v>
      </c>
      <c r="C52" t="s">
        <v>75</v>
      </c>
      <c r="D52" t="s">
        <v>33</v>
      </c>
    </row>
    <row r="53" spans="2:4" x14ac:dyDescent="0.25">
      <c r="B53" t="s">
        <v>61</v>
      </c>
      <c r="C53" t="s">
        <v>75</v>
      </c>
      <c r="D53" t="s">
        <v>33</v>
      </c>
    </row>
    <row r="54" spans="2:4" x14ac:dyDescent="0.25">
      <c r="B54" t="s">
        <v>87</v>
      </c>
      <c r="C54" t="s">
        <v>75</v>
      </c>
      <c r="D54" t="s">
        <v>33</v>
      </c>
    </row>
    <row r="55" spans="2:4" x14ac:dyDescent="0.25">
      <c r="B55" t="s">
        <v>62</v>
      </c>
      <c r="C55" t="s">
        <v>75</v>
      </c>
      <c r="D55" t="s">
        <v>33</v>
      </c>
    </row>
    <row r="56" spans="2:4" x14ac:dyDescent="0.25">
      <c r="B56" t="s">
        <v>88</v>
      </c>
      <c r="C56" t="s">
        <v>75</v>
      </c>
      <c r="D56" t="s">
        <v>33</v>
      </c>
    </row>
    <row r="57" spans="2:4" x14ac:dyDescent="0.25">
      <c r="B57" t="s">
        <v>63</v>
      </c>
      <c r="C57" t="s">
        <v>75</v>
      </c>
      <c r="D57" t="s">
        <v>33</v>
      </c>
    </row>
    <row r="58" spans="2:4" x14ac:dyDescent="0.25">
      <c r="B58" t="s">
        <v>89</v>
      </c>
      <c r="C58" t="s">
        <v>75</v>
      </c>
      <c r="D58" t="s">
        <v>33</v>
      </c>
    </row>
    <row r="59" spans="2:4" x14ac:dyDescent="0.25">
      <c r="B59" t="s">
        <v>70</v>
      </c>
      <c r="C59" t="s">
        <v>75</v>
      </c>
      <c r="D59" t="s">
        <v>33</v>
      </c>
    </row>
    <row r="60" spans="2:4" x14ac:dyDescent="0.25">
      <c r="B60" t="s">
        <v>64</v>
      </c>
      <c r="C60" t="s">
        <v>75</v>
      </c>
      <c r="D60" t="s">
        <v>33</v>
      </c>
    </row>
    <row r="61" spans="2:4" x14ac:dyDescent="0.25">
      <c r="B61" t="s">
        <v>65</v>
      </c>
      <c r="C61" t="s">
        <v>75</v>
      </c>
      <c r="D61" t="s">
        <v>33</v>
      </c>
    </row>
    <row r="62" spans="2:4" x14ac:dyDescent="0.25">
      <c r="B62" t="s">
        <v>4</v>
      </c>
      <c r="C62" t="s">
        <v>75</v>
      </c>
      <c r="D62" t="s">
        <v>35</v>
      </c>
    </row>
    <row r="63" spans="2:4" x14ac:dyDescent="0.25">
      <c r="B63" t="s">
        <v>6</v>
      </c>
      <c r="C63" t="s">
        <v>75</v>
      </c>
      <c r="D63" t="s">
        <v>35</v>
      </c>
    </row>
    <row r="64" spans="2:4" x14ac:dyDescent="0.25">
      <c r="B64" t="s">
        <v>60</v>
      </c>
      <c r="C64" t="s">
        <v>75</v>
      </c>
      <c r="D64" t="s">
        <v>35</v>
      </c>
    </row>
    <row r="65" spans="2:4" x14ac:dyDescent="0.25">
      <c r="B65" t="s">
        <v>7</v>
      </c>
      <c r="C65" t="s">
        <v>75</v>
      </c>
      <c r="D65" t="s">
        <v>35</v>
      </c>
    </row>
    <row r="66" spans="2:4" x14ac:dyDescent="0.25">
      <c r="B66" t="s">
        <v>8</v>
      </c>
      <c r="C66" t="s">
        <v>75</v>
      </c>
      <c r="D66" t="s">
        <v>35</v>
      </c>
    </row>
    <row r="67" spans="2:4" x14ac:dyDescent="0.25">
      <c r="B67" t="s">
        <v>9</v>
      </c>
      <c r="C67" t="s">
        <v>75</v>
      </c>
      <c r="D67" t="s">
        <v>35</v>
      </c>
    </row>
    <row r="68" spans="2:4" x14ac:dyDescent="0.25">
      <c r="B68" t="s">
        <v>10</v>
      </c>
      <c r="C68" t="s">
        <v>75</v>
      </c>
      <c r="D68" t="s">
        <v>35</v>
      </c>
    </row>
    <row r="69" spans="2:4" x14ac:dyDescent="0.25">
      <c r="B69" t="s">
        <v>11</v>
      </c>
      <c r="C69" t="s">
        <v>75</v>
      </c>
      <c r="D69" t="s">
        <v>35</v>
      </c>
    </row>
    <row r="70" spans="2:4" x14ac:dyDescent="0.25">
      <c r="B70" t="s">
        <v>12</v>
      </c>
      <c r="C70" t="s">
        <v>75</v>
      </c>
      <c r="D70" t="s">
        <v>35</v>
      </c>
    </row>
    <row r="71" spans="2:4" x14ac:dyDescent="0.25">
      <c r="B71" t="s">
        <v>13</v>
      </c>
      <c r="C71" t="s">
        <v>75</v>
      </c>
      <c r="D71" t="s">
        <v>35</v>
      </c>
    </row>
    <row r="72" spans="2:4" x14ac:dyDescent="0.25">
      <c r="B72" t="s">
        <v>14</v>
      </c>
      <c r="C72" t="s">
        <v>75</v>
      </c>
      <c r="D72" t="s">
        <v>35</v>
      </c>
    </row>
    <row r="73" spans="2:4" x14ac:dyDescent="0.25">
      <c r="B73" t="s">
        <v>27</v>
      </c>
      <c r="C73" t="s">
        <v>75</v>
      </c>
      <c r="D73" t="s">
        <v>35</v>
      </c>
    </row>
    <row r="74" spans="2:4" x14ac:dyDescent="0.25">
      <c r="B74" t="s">
        <v>15</v>
      </c>
      <c r="C74" t="s">
        <v>75</v>
      </c>
      <c r="D74" t="s">
        <v>35</v>
      </c>
    </row>
    <row r="75" spans="2:4" x14ac:dyDescent="0.25">
      <c r="B75" t="s">
        <v>16</v>
      </c>
      <c r="C75" t="s">
        <v>75</v>
      </c>
      <c r="D75" t="s">
        <v>35</v>
      </c>
    </row>
    <row r="76" spans="2:4" x14ac:dyDescent="0.25">
      <c r="B76" t="s">
        <v>17</v>
      </c>
      <c r="C76" t="s">
        <v>75</v>
      </c>
      <c r="D76" t="s">
        <v>35</v>
      </c>
    </row>
    <row r="77" spans="2:4" x14ac:dyDescent="0.25">
      <c r="B77" t="s">
        <v>18</v>
      </c>
      <c r="C77" t="s">
        <v>75</v>
      </c>
      <c r="D77" t="s">
        <v>35</v>
      </c>
    </row>
    <row r="78" spans="2:4" x14ac:dyDescent="0.25">
      <c r="B78" t="s">
        <v>19</v>
      </c>
      <c r="C78" t="s">
        <v>75</v>
      </c>
      <c r="D78" t="s">
        <v>35</v>
      </c>
    </row>
    <row r="79" spans="2:4" x14ac:dyDescent="0.25">
      <c r="B79" t="s">
        <v>45</v>
      </c>
      <c r="C79" t="s">
        <v>75</v>
      </c>
      <c r="D79" t="s">
        <v>35</v>
      </c>
    </row>
    <row r="80" spans="2:4" x14ac:dyDescent="0.25">
      <c r="B80" t="s">
        <v>54</v>
      </c>
      <c r="C80" t="s">
        <v>75</v>
      </c>
      <c r="D80" t="s">
        <v>35</v>
      </c>
    </row>
    <row r="81" spans="2:4" x14ac:dyDescent="0.25">
      <c r="B81" t="s">
        <v>71</v>
      </c>
      <c r="C81" t="s">
        <v>75</v>
      </c>
      <c r="D81" t="s">
        <v>35</v>
      </c>
    </row>
    <row r="82" spans="2:4" x14ac:dyDescent="0.25">
      <c r="B82" t="s">
        <v>21</v>
      </c>
      <c r="C82" t="s">
        <v>75</v>
      </c>
      <c r="D82" t="s">
        <v>35</v>
      </c>
    </row>
    <row r="83" spans="2:4" x14ac:dyDescent="0.25">
      <c r="B83" t="s">
        <v>22</v>
      </c>
      <c r="C83" t="s">
        <v>75</v>
      </c>
      <c r="D83" t="s">
        <v>35</v>
      </c>
    </row>
    <row r="84" spans="2:4" x14ac:dyDescent="0.25">
      <c r="B84" t="s">
        <v>61</v>
      </c>
      <c r="C84" t="s">
        <v>75</v>
      </c>
      <c r="D84" t="s">
        <v>35</v>
      </c>
    </row>
    <row r="85" spans="2:4" x14ac:dyDescent="0.25">
      <c r="B85" t="s">
        <v>62</v>
      </c>
      <c r="C85" t="s">
        <v>75</v>
      </c>
      <c r="D85" t="s">
        <v>35</v>
      </c>
    </row>
    <row r="86" spans="2:4" x14ac:dyDescent="0.25">
      <c r="B86" t="s">
        <v>63</v>
      </c>
      <c r="C86" t="s">
        <v>75</v>
      </c>
      <c r="D86" t="s">
        <v>35</v>
      </c>
    </row>
    <row r="87" spans="2:4" x14ac:dyDescent="0.25">
      <c r="B87" t="s">
        <v>70</v>
      </c>
      <c r="C87" t="s">
        <v>75</v>
      </c>
      <c r="D87" t="s">
        <v>35</v>
      </c>
    </row>
    <row r="88" spans="2:4" x14ac:dyDescent="0.25">
      <c r="B88" t="s">
        <v>64</v>
      </c>
      <c r="C88" t="s">
        <v>75</v>
      </c>
      <c r="D88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3741A-C4CD-4212-8E63-66DBAEEBDB55}">
  <dimension ref="A1:O131"/>
  <sheetViews>
    <sheetView topLeftCell="A109" workbookViewId="0">
      <selection activeCell="H110" sqref="H110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1746</v>
      </c>
      <c r="B2" t="s">
        <v>55</v>
      </c>
      <c r="C2" t="s">
        <v>53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1746</v>
      </c>
      <c r="B3" t="s">
        <v>57</v>
      </c>
      <c r="C3" t="s">
        <v>53</v>
      </c>
      <c r="D3" t="s">
        <v>33</v>
      </c>
      <c r="J3">
        <f t="shared" ref="J3:J70" si="0">(E3*2240)+(F3*112)+(G3*28)+H3</f>
        <v>0</v>
      </c>
      <c r="L3">
        <f t="shared" ref="L3:L70" si="1">J3/2240</f>
        <v>0</v>
      </c>
    </row>
    <row r="4" spans="1:15" x14ac:dyDescent="0.25">
      <c r="A4">
        <v>1746</v>
      </c>
      <c r="B4" t="s">
        <v>36</v>
      </c>
      <c r="C4" t="s">
        <v>53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1746</v>
      </c>
      <c r="B5" t="s">
        <v>4</v>
      </c>
      <c r="C5" t="s">
        <v>53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1746</v>
      </c>
      <c r="B6" t="s">
        <v>58</v>
      </c>
      <c r="C6" t="s">
        <v>53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1746</v>
      </c>
      <c r="B7" t="s">
        <v>69</v>
      </c>
      <c r="C7" t="s">
        <v>53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1746</v>
      </c>
      <c r="B8" t="s">
        <v>101</v>
      </c>
      <c r="C8" t="s">
        <v>53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1746</v>
      </c>
      <c r="B9" t="s">
        <v>43</v>
      </c>
      <c r="C9" t="s">
        <v>53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1746</v>
      </c>
      <c r="B10" t="s">
        <v>76</v>
      </c>
      <c r="C10" t="s">
        <v>53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1746</v>
      </c>
      <c r="B11" t="s">
        <v>5</v>
      </c>
      <c r="C11" t="s">
        <v>53</v>
      </c>
      <c r="D11" t="s">
        <v>33</v>
      </c>
      <c r="F11">
        <v>33</v>
      </c>
      <c r="G11">
        <v>2</v>
      </c>
      <c r="H11">
        <v>5</v>
      </c>
      <c r="J11">
        <f t="shared" si="0"/>
        <v>3757</v>
      </c>
      <c r="L11">
        <f t="shared" si="1"/>
        <v>1.6772321428571428</v>
      </c>
    </row>
    <row r="12" spans="1:15" x14ac:dyDescent="0.25">
      <c r="A12">
        <v>1746</v>
      </c>
      <c r="B12" t="s">
        <v>59</v>
      </c>
      <c r="C12" t="s">
        <v>53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A13">
        <v>1746</v>
      </c>
      <c r="B13" t="s">
        <v>6</v>
      </c>
      <c r="C13" t="s">
        <v>53</v>
      </c>
      <c r="D13" t="s">
        <v>33</v>
      </c>
      <c r="F13">
        <v>112652</v>
      </c>
      <c r="G13">
        <v>2</v>
      </c>
      <c r="J13">
        <f t="shared" si="0"/>
        <v>12617080</v>
      </c>
      <c r="L13">
        <f t="shared" si="1"/>
        <v>5632.625</v>
      </c>
    </row>
    <row r="14" spans="1:15" x14ac:dyDescent="0.25">
      <c r="A14">
        <v>1746</v>
      </c>
      <c r="B14" t="s">
        <v>96</v>
      </c>
      <c r="C14" t="s">
        <v>53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1746</v>
      </c>
      <c r="B15" t="s">
        <v>60</v>
      </c>
      <c r="C15" t="s">
        <v>53</v>
      </c>
      <c r="D15" t="s">
        <v>33</v>
      </c>
      <c r="H15">
        <v>514</v>
      </c>
      <c r="J15">
        <f t="shared" si="0"/>
        <v>514</v>
      </c>
      <c r="L15">
        <f t="shared" si="1"/>
        <v>0.2294642857142857</v>
      </c>
    </row>
    <row r="16" spans="1:15" x14ac:dyDescent="0.25">
      <c r="A16">
        <v>1746</v>
      </c>
      <c r="B16" t="s">
        <v>7</v>
      </c>
      <c r="C16" t="s">
        <v>53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1746</v>
      </c>
      <c r="B17" t="s">
        <v>37</v>
      </c>
      <c r="C17" t="s">
        <v>53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1746</v>
      </c>
      <c r="B18" t="s">
        <v>8</v>
      </c>
      <c r="C18" t="s">
        <v>53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1746</v>
      </c>
      <c r="B19" t="s">
        <v>40</v>
      </c>
      <c r="C19" t="s">
        <v>53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1746</v>
      </c>
      <c r="B20" t="s">
        <v>77</v>
      </c>
      <c r="C20" t="s">
        <v>53</v>
      </c>
      <c r="D20" t="s">
        <v>33</v>
      </c>
      <c r="F20">
        <v>1</v>
      </c>
      <c r="G20">
        <v>2</v>
      </c>
      <c r="J20">
        <f t="shared" si="0"/>
        <v>168</v>
      </c>
      <c r="L20">
        <f t="shared" si="1"/>
        <v>7.4999999999999997E-2</v>
      </c>
    </row>
    <row r="21" spans="1:12" x14ac:dyDescent="0.25">
      <c r="A21">
        <v>1746</v>
      </c>
      <c r="B21" t="s">
        <v>78</v>
      </c>
      <c r="C21" t="s">
        <v>53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1746</v>
      </c>
      <c r="B22" t="s">
        <v>46</v>
      </c>
      <c r="C22" t="s">
        <v>53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1746</v>
      </c>
      <c r="B23" t="s">
        <v>9</v>
      </c>
      <c r="C23" t="s">
        <v>53</v>
      </c>
      <c r="D23" t="s">
        <v>33</v>
      </c>
      <c r="H23">
        <f>239.5*200</f>
        <v>47900</v>
      </c>
      <c r="I23" t="s">
        <v>112</v>
      </c>
      <c r="J23">
        <f t="shared" si="0"/>
        <v>47900</v>
      </c>
      <c r="L23">
        <f t="shared" si="1"/>
        <v>21.383928571428573</v>
      </c>
    </row>
    <row r="24" spans="1:12" x14ac:dyDescent="0.25">
      <c r="A24">
        <v>1746</v>
      </c>
      <c r="B24" t="s">
        <v>10</v>
      </c>
      <c r="C24" t="s">
        <v>53</v>
      </c>
      <c r="D24" t="s">
        <v>33</v>
      </c>
      <c r="F24">
        <v>26</v>
      </c>
      <c r="G24">
        <v>3</v>
      </c>
      <c r="H24">
        <v>17</v>
      </c>
      <c r="J24">
        <f t="shared" si="0"/>
        <v>3013</v>
      </c>
      <c r="L24">
        <f t="shared" si="1"/>
        <v>1.3450892857142858</v>
      </c>
    </row>
    <row r="25" spans="1:12" x14ac:dyDescent="0.25">
      <c r="A25">
        <v>1746</v>
      </c>
      <c r="B25" t="s">
        <v>11</v>
      </c>
      <c r="C25" t="s">
        <v>53</v>
      </c>
      <c r="D25" t="s">
        <v>33</v>
      </c>
      <c r="F25">
        <v>38</v>
      </c>
      <c r="G25">
        <v>3</v>
      </c>
      <c r="H25">
        <v>5</v>
      </c>
      <c r="J25">
        <f t="shared" si="0"/>
        <v>4345</v>
      </c>
      <c r="L25">
        <f t="shared" si="1"/>
        <v>1.9397321428571428</v>
      </c>
    </row>
    <row r="26" spans="1:12" x14ac:dyDescent="0.25">
      <c r="A26">
        <v>1746</v>
      </c>
      <c r="B26" t="s">
        <v>39</v>
      </c>
      <c r="C26" t="s">
        <v>53</v>
      </c>
      <c r="D26" t="s">
        <v>33</v>
      </c>
      <c r="H26">
        <v>59</v>
      </c>
      <c r="J26">
        <f t="shared" si="0"/>
        <v>59</v>
      </c>
      <c r="L26">
        <f t="shared" si="1"/>
        <v>2.6339285714285714E-2</v>
      </c>
    </row>
    <row r="27" spans="1:12" x14ac:dyDescent="0.25">
      <c r="A27">
        <v>1746</v>
      </c>
      <c r="B27" t="s">
        <v>79</v>
      </c>
      <c r="C27" t="s">
        <v>53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1746</v>
      </c>
      <c r="B28" t="s">
        <v>103</v>
      </c>
      <c r="C28" t="s">
        <v>53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1746</v>
      </c>
      <c r="B29" t="s">
        <v>102</v>
      </c>
      <c r="C29" t="s">
        <v>53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1746</v>
      </c>
      <c r="B30" t="s">
        <v>44</v>
      </c>
      <c r="C30" t="s">
        <v>53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1746</v>
      </c>
      <c r="B31" t="s">
        <v>97</v>
      </c>
      <c r="C31" t="s">
        <v>53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1746</v>
      </c>
      <c r="B32" t="s">
        <v>12</v>
      </c>
      <c r="C32" t="s">
        <v>53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1746</v>
      </c>
      <c r="B33" t="s">
        <v>82</v>
      </c>
      <c r="C33" t="s">
        <v>53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1746</v>
      </c>
      <c r="B34" t="s">
        <v>34</v>
      </c>
      <c r="C34" t="s">
        <v>53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1746</v>
      </c>
      <c r="B35" t="s">
        <v>13</v>
      </c>
      <c r="C35" t="s">
        <v>53</v>
      </c>
      <c r="D35" t="s">
        <v>33</v>
      </c>
      <c r="E35">
        <v>39</v>
      </c>
      <c r="J35">
        <f t="shared" si="0"/>
        <v>87360</v>
      </c>
      <c r="L35">
        <f t="shared" si="1"/>
        <v>39</v>
      </c>
    </row>
    <row r="36" spans="1:12" x14ac:dyDescent="0.25">
      <c r="A36">
        <v>1746</v>
      </c>
      <c r="B36" t="s">
        <v>14</v>
      </c>
      <c r="C36" t="s">
        <v>53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1746</v>
      </c>
      <c r="B37" t="s">
        <v>23</v>
      </c>
      <c r="C37" t="s">
        <v>53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1746</v>
      </c>
      <c r="B38" t="s">
        <v>27</v>
      </c>
      <c r="C38" t="s">
        <v>53</v>
      </c>
      <c r="D38" t="s">
        <v>33</v>
      </c>
      <c r="H38">
        <v>16094</v>
      </c>
      <c r="I38" t="s">
        <v>111</v>
      </c>
      <c r="J38">
        <f t="shared" si="0"/>
        <v>16094</v>
      </c>
      <c r="L38">
        <f t="shared" si="1"/>
        <v>7.1848214285714285</v>
      </c>
    </row>
    <row r="39" spans="1:12" x14ac:dyDescent="0.25">
      <c r="A39">
        <v>1746</v>
      </c>
      <c r="B39" t="s">
        <v>15</v>
      </c>
      <c r="C39" t="s">
        <v>53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1746</v>
      </c>
      <c r="B40" t="s">
        <v>42</v>
      </c>
      <c r="C40" t="s">
        <v>53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1746</v>
      </c>
      <c r="B41" t="s">
        <v>83</v>
      </c>
      <c r="C41" t="s">
        <v>53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1746</v>
      </c>
      <c r="B42" t="s">
        <v>47</v>
      </c>
      <c r="C42" t="s">
        <v>53</v>
      </c>
      <c r="D42" t="s">
        <v>33</v>
      </c>
      <c r="H42">
        <v>190</v>
      </c>
      <c r="I42" t="s">
        <v>108</v>
      </c>
      <c r="J42">
        <f t="shared" si="0"/>
        <v>190</v>
      </c>
      <c r="L42">
        <f t="shared" si="1"/>
        <v>8.4821428571428575E-2</v>
      </c>
    </row>
    <row r="43" spans="1:12" x14ac:dyDescent="0.25">
      <c r="A43">
        <v>1746</v>
      </c>
      <c r="B43" t="s">
        <v>16</v>
      </c>
      <c r="C43" t="s">
        <v>53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1746</v>
      </c>
      <c r="B44" t="s">
        <v>107</v>
      </c>
      <c r="C44" t="s">
        <v>53</v>
      </c>
      <c r="D44" t="s">
        <v>33</v>
      </c>
      <c r="H44">
        <v>2304</v>
      </c>
      <c r="J44">
        <f t="shared" si="0"/>
        <v>2304</v>
      </c>
      <c r="L44">
        <f t="shared" si="1"/>
        <v>1.0285714285714285</v>
      </c>
    </row>
    <row r="45" spans="1:12" x14ac:dyDescent="0.25">
      <c r="A45">
        <v>1746</v>
      </c>
      <c r="B45" t="s">
        <v>17</v>
      </c>
      <c r="C45" t="s">
        <v>53</v>
      </c>
      <c r="D45" t="s">
        <v>33</v>
      </c>
      <c r="F45">
        <v>38</v>
      </c>
      <c r="J45">
        <f t="shared" si="0"/>
        <v>4256</v>
      </c>
      <c r="L45">
        <f t="shared" si="1"/>
        <v>1.9</v>
      </c>
    </row>
    <row r="46" spans="1:12" x14ac:dyDescent="0.25">
      <c r="A46">
        <v>1746</v>
      </c>
      <c r="B46" t="s">
        <v>18</v>
      </c>
      <c r="C46" t="s">
        <v>53</v>
      </c>
      <c r="D46" t="s">
        <v>33</v>
      </c>
      <c r="H46">
        <v>306614</v>
      </c>
      <c r="I46" t="s">
        <v>110</v>
      </c>
      <c r="J46">
        <f t="shared" si="0"/>
        <v>306614</v>
      </c>
      <c r="L46">
        <f t="shared" si="1"/>
        <v>136.88124999999999</v>
      </c>
    </row>
    <row r="47" spans="1:12" x14ac:dyDescent="0.25">
      <c r="A47">
        <v>1746</v>
      </c>
      <c r="B47" t="s">
        <v>109</v>
      </c>
      <c r="C47" t="s">
        <v>53</v>
      </c>
      <c r="D47" t="s">
        <v>33</v>
      </c>
      <c r="H47">
        <v>171</v>
      </c>
      <c r="J47">
        <f t="shared" si="0"/>
        <v>171</v>
      </c>
      <c r="L47">
        <f t="shared" si="1"/>
        <v>7.6339285714285721E-2</v>
      </c>
    </row>
    <row r="48" spans="1:12" x14ac:dyDescent="0.25">
      <c r="A48">
        <v>1746</v>
      </c>
      <c r="B48" t="s">
        <v>26</v>
      </c>
      <c r="C48" t="s">
        <v>53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1746</v>
      </c>
      <c r="B49" t="s">
        <v>84</v>
      </c>
      <c r="C49" t="s">
        <v>53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1746</v>
      </c>
      <c r="B50" t="s">
        <v>19</v>
      </c>
      <c r="C50" t="s">
        <v>53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1746</v>
      </c>
      <c r="B51" t="s">
        <v>45</v>
      </c>
      <c r="C51" t="s">
        <v>53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1746</v>
      </c>
      <c r="B52" t="s">
        <v>85</v>
      </c>
      <c r="C52" t="s">
        <v>53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1746</v>
      </c>
      <c r="B53" t="s">
        <v>54</v>
      </c>
      <c r="C53" t="s">
        <v>53</v>
      </c>
      <c r="D53" t="s">
        <v>33</v>
      </c>
      <c r="H53">
        <v>425</v>
      </c>
      <c r="J53">
        <f t="shared" si="0"/>
        <v>425</v>
      </c>
      <c r="L53">
        <f t="shared" si="1"/>
        <v>0.18973214285714285</v>
      </c>
    </row>
    <row r="54" spans="1:12" x14ac:dyDescent="0.25">
      <c r="A54">
        <v>1746</v>
      </c>
      <c r="B54" t="s">
        <v>95</v>
      </c>
      <c r="C54" t="s">
        <v>53</v>
      </c>
      <c r="D54" t="s">
        <v>33</v>
      </c>
      <c r="H54">
        <v>201</v>
      </c>
      <c r="J54">
        <f t="shared" si="0"/>
        <v>201</v>
      </c>
      <c r="L54">
        <f t="shared" si="1"/>
        <v>8.9732142857142858E-2</v>
      </c>
    </row>
    <row r="55" spans="1:12" x14ac:dyDescent="0.25">
      <c r="A55">
        <v>1746</v>
      </c>
      <c r="B55" t="s">
        <v>20</v>
      </c>
      <c r="C55" t="s">
        <v>53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1746</v>
      </c>
      <c r="B56" t="s">
        <v>21</v>
      </c>
      <c r="C56" t="s">
        <v>53</v>
      </c>
      <c r="D56" t="s">
        <v>33</v>
      </c>
      <c r="H56">
        <v>105</v>
      </c>
      <c r="J56">
        <f t="shared" si="0"/>
        <v>105</v>
      </c>
      <c r="L56">
        <f t="shared" si="1"/>
        <v>4.6875E-2</v>
      </c>
    </row>
    <row r="57" spans="1:12" x14ac:dyDescent="0.25">
      <c r="A57">
        <v>1746</v>
      </c>
      <c r="B57" t="s">
        <v>22</v>
      </c>
      <c r="C57" t="s">
        <v>53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1746</v>
      </c>
      <c r="B58" t="s">
        <v>61</v>
      </c>
      <c r="C58" t="s">
        <v>53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1746</v>
      </c>
      <c r="B59" t="s">
        <v>99</v>
      </c>
      <c r="C59" t="s">
        <v>53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1746</v>
      </c>
      <c r="B60" t="s">
        <v>87</v>
      </c>
      <c r="C60" t="s">
        <v>53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1746</v>
      </c>
      <c r="B61" t="s">
        <v>62</v>
      </c>
      <c r="C61" t="s">
        <v>53</v>
      </c>
      <c r="D61" t="s">
        <v>33</v>
      </c>
      <c r="E61">
        <v>26</v>
      </c>
      <c r="F61">
        <v>3</v>
      </c>
      <c r="J61">
        <f t="shared" si="0"/>
        <v>58576</v>
      </c>
      <c r="L61">
        <f t="shared" si="1"/>
        <v>26.15</v>
      </c>
    </row>
    <row r="62" spans="1:12" x14ac:dyDescent="0.25">
      <c r="A62">
        <v>1746</v>
      </c>
      <c r="B62" t="s">
        <v>88</v>
      </c>
      <c r="C62" t="s">
        <v>53</v>
      </c>
      <c r="D62" t="s">
        <v>33</v>
      </c>
      <c r="E62">
        <v>4</v>
      </c>
      <c r="J62">
        <f t="shared" si="0"/>
        <v>8960</v>
      </c>
      <c r="L62">
        <f t="shared" si="1"/>
        <v>4</v>
      </c>
    </row>
    <row r="63" spans="1:12" x14ac:dyDescent="0.25">
      <c r="A63">
        <v>1746</v>
      </c>
      <c r="B63" t="s">
        <v>63</v>
      </c>
      <c r="C63" t="s">
        <v>53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1746</v>
      </c>
      <c r="B64" t="s">
        <v>89</v>
      </c>
      <c r="C64" t="s">
        <v>53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1746</v>
      </c>
      <c r="B65" t="s">
        <v>70</v>
      </c>
      <c r="C65" t="s">
        <v>53</v>
      </c>
      <c r="D65" t="s">
        <v>33</v>
      </c>
      <c r="E65">
        <v>14</v>
      </c>
      <c r="F65">
        <v>13</v>
      </c>
      <c r="J65">
        <f t="shared" si="0"/>
        <v>32816</v>
      </c>
      <c r="L65">
        <f t="shared" si="1"/>
        <v>14.65</v>
      </c>
    </row>
    <row r="66" spans="1:12" x14ac:dyDescent="0.25">
      <c r="A66">
        <v>1746</v>
      </c>
      <c r="B66" t="s">
        <v>64</v>
      </c>
      <c r="C66" t="s">
        <v>53</v>
      </c>
      <c r="D66" t="s">
        <v>33</v>
      </c>
      <c r="E66">
        <v>21</v>
      </c>
      <c r="F66">
        <v>6</v>
      </c>
      <c r="G66">
        <v>1</v>
      </c>
      <c r="J66">
        <f t="shared" si="0"/>
        <v>47740</v>
      </c>
      <c r="L66">
        <f t="shared" si="1"/>
        <v>21.3125</v>
      </c>
    </row>
    <row r="67" spans="1:12" x14ac:dyDescent="0.25">
      <c r="A67">
        <v>1746</v>
      </c>
      <c r="B67" t="s">
        <v>65</v>
      </c>
      <c r="C67" t="s">
        <v>53</v>
      </c>
      <c r="D67" t="s">
        <v>33</v>
      </c>
      <c r="J67">
        <f t="shared" si="0"/>
        <v>0</v>
      </c>
      <c r="L67">
        <f t="shared" si="1"/>
        <v>0</v>
      </c>
    </row>
    <row r="68" spans="1:12" x14ac:dyDescent="0.25">
      <c r="A68">
        <v>1746</v>
      </c>
      <c r="B68" t="s">
        <v>55</v>
      </c>
      <c r="C68" t="s">
        <v>53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1746</v>
      </c>
      <c r="B69" t="s">
        <v>57</v>
      </c>
      <c r="C69" t="s">
        <v>53</v>
      </c>
      <c r="D69" t="s">
        <v>35</v>
      </c>
      <c r="J69">
        <f t="shared" si="0"/>
        <v>0</v>
      </c>
      <c r="L69">
        <f t="shared" si="1"/>
        <v>0</v>
      </c>
    </row>
    <row r="70" spans="1:12" x14ac:dyDescent="0.25">
      <c r="A70">
        <v>1746</v>
      </c>
      <c r="B70" t="s">
        <v>36</v>
      </c>
      <c r="C70" t="s">
        <v>53</v>
      </c>
      <c r="D70" t="s">
        <v>35</v>
      </c>
      <c r="J70">
        <f t="shared" si="0"/>
        <v>0</v>
      </c>
      <c r="L70">
        <f t="shared" si="1"/>
        <v>0</v>
      </c>
    </row>
    <row r="71" spans="1:12" x14ac:dyDescent="0.25">
      <c r="A71">
        <v>1746</v>
      </c>
      <c r="B71" t="s">
        <v>4</v>
      </c>
      <c r="C71" t="s">
        <v>53</v>
      </c>
      <c r="D71" t="s">
        <v>35</v>
      </c>
      <c r="J71">
        <f t="shared" ref="J71:J131" si="2">(E71*2240)+(F71*112)+(G71*28)+H71</f>
        <v>0</v>
      </c>
      <c r="L71">
        <f t="shared" ref="L71:L131" si="3">J71/2240</f>
        <v>0</v>
      </c>
    </row>
    <row r="72" spans="1:12" x14ac:dyDescent="0.25">
      <c r="A72">
        <v>1746</v>
      </c>
      <c r="B72" t="s">
        <v>58</v>
      </c>
      <c r="C72" t="s">
        <v>53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1746</v>
      </c>
      <c r="B73" t="s">
        <v>69</v>
      </c>
      <c r="C73" t="s">
        <v>53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1746</v>
      </c>
      <c r="B74" t="s">
        <v>43</v>
      </c>
      <c r="C74" t="s">
        <v>53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1746</v>
      </c>
      <c r="B75" t="s">
        <v>76</v>
      </c>
      <c r="C75" t="s">
        <v>53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1746</v>
      </c>
      <c r="B76" t="s">
        <v>5</v>
      </c>
      <c r="C76" t="s">
        <v>53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1746</v>
      </c>
      <c r="B77" t="s">
        <v>59</v>
      </c>
      <c r="C77" t="s">
        <v>53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1746</v>
      </c>
      <c r="B78" t="s">
        <v>6</v>
      </c>
      <c r="C78" t="s">
        <v>53</v>
      </c>
      <c r="D78" t="s">
        <v>35</v>
      </c>
      <c r="F78">
        <v>31115</v>
      </c>
      <c r="G78">
        <v>2</v>
      </c>
      <c r="H78">
        <v>24</v>
      </c>
      <c r="J78">
        <f t="shared" si="2"/>
        <v>3484960</v>
      </c>
      <c r="L78">
        <f t="shared" si="3"/>
        <v>1555.7857142857142</v>
      </c>
    </row>
    <row r="79" spans="1:12" x14ac:dyDescent="0.25">
      <c r="A79">
        <v>1746</v>
      </c>
      <c r="B79" t="s">
        <v>60</v>
      </c>
      <c r="C79" t="s">
        <v>53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1746</v>
      </c>
      <c r="B80" t="s">
        <v>7</v>
      </c>
      <c r="C80" t="s">
        <v>53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1746</v>
      </c>
      <c r="B81" t="s">
        <v>37</v>
      </c>
      <c r="C81" t="s">
        <v>53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1746</v>
      </c>
      <c r="B82" t="s">
        <v>8</v>
      </c>
      <c r="C82" t="s">
        <v>53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1746</v>
      </c>
      <c r="B83" t="s">
        <v>40</v>
      </c>
      <c r="C83" t="s">
        <v>53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1746</v>
      </c>
      <c r="B84" t="s">
        <v>77</v>
      </c>
      <c r="C84" t="s">
        <v>53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1746</v>
      </c>
      <c r="B85" t="s">
        <v>78</v>
      </c>
      <c r="C85" t="s">
        <v>53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1746</v>
      </c>
      <c r="B86" t="s">
        <v>46</v>
      </c>
      <c r="C86" t="s">
        <v>53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1746</v>
      </c>
      <c r="B87" t="s">
        <v>9</v>
      </c>
      <c r="C87" t="s">
        <v>53</v>
      </c>
      <c r="D87" t="s">
        <v>35</v>
      </c>
      <c r="H87">
        <f>604*200</f>
        <v>120800</v>
      </c>
      <c r="I87" t="s">
        <v>143</v>
      </c>
      <c r="J87">
        <f t="shared" si="2"/>
        <v>120800</v>
      </c>
      <c r="L87">
        <f t="shared" si="3"/>
        <v>53.928571428571431</v>
      </c>
    </row>
    <row r="88" spans="1:12" x14ac:dyDescent="0.25">
      <c r="A88">
        <v>1746</v>
      </c>
      <c r="B88" t="s">
        <v>10</v>
      </c>
      <c r="C88" t="s">
        <v>53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1746</v>
      </c>
      <c r="B89" t="s">
        <v>11</v>
      </c>
      <c r="C89" t="s">
        <v>53</v>
      </c>
      <c r="D89" t="s">
        <v>35</v>
      </c>
      <c r="F89">
        <v>6</v>
      </c>
      <c r="J89">
        <f t="shared" si="2"/>
        <v>672</v>
      </c>
      <c r="L89">
        <f t="shared" si="3"/>
        <v>0.3</v>
      </c>
    </row>
    <row r="90" spans="1:12" x14ac:dyDescent="0.25">
      <c r="A90">
        <v>1746</v>
      </c>
      <c r="B90" t="s">
        <v>39</v>
      </c>
      <c r="C90" t="s">
        <v>53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1746</v>
      </c>
      <c r="B91" t="s">
        <v>79</v>
      </c>
      <c r="C91" t="s">
        <v>53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1746</v>
      </c>
      <c r="B92" t="s">
        <v>103</v>
      </c>
      <c r="C92" t="s">
        <v>53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1746</v>
      </c>
      <c r="B93" t="s">
        <v>44</v>
      </c>
      <c r="C93" t="s">
        <v>53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1746</v>
      </c>
      <c r="B94" t="s">
        <v>97</v>
      </c>
      <c r="C94" t="s">
        <v>53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1746</v>
      </c>
      <c r="B95" t="s">
        <v>12</v>
      </c>
      <c r="C95" t="s">
        <v>53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1746</v>
      </c>
      <c r="B96" t="s">
        <v>82</v>
      </c>
      <c r="C96" t="s">
        <v>53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1746</v>
      </c>
      <c r="B97" t="s">
        <v>34</v>
      </c>
      <c r="C97" t="s">
        <v>53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1746</v>
      </c>
      <c r="B98" t="s">
        <v>13</v>
      </c>
      <c r="C98" t="s">
        <v>53</v>
      </c>
      <c r="D98" t="s">
        <v>35</v>
      </c>
      <c r="E98">
        <v>20</v>
      </c>
      <c r="F98">
        <v>15</v>
      </c>
      <c r="G98">
        <v>2</v>
      </c>
      <c r="J98">
        <f t="shared" si="2"/>
        <v>46536</v>
      </c>
      <c r="L98">
        <f t="shared" si="3"/>
        <v>20.774999999999999</v>
      </c>
    </row>
    <row r="99" spans="1:12" x14ac:dyDescent="0.25">
      <c r="A99">
        <v>1746</v>
      </c>
      <c r="B99" t="s">
        <v>14</v>
      </c>
      <c r="C99" t="s">
        <v>53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1746</v>
      </c>
      <c r="B100" t="s">
        <v>23</v>
      </c>
      <c r="C100" t="s">
        <v>53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1746</v>
      </c>
      <c r="B101" t="s">
        <v>27</v>
      </c>
      <c r="C101" t="s">
        <v>53</v>
      </c>
      <c r="D101" t="s">
        <v>35</v>
      </c>
      <c r="H101">
        <v>4611</v>
      </c>
      <c r="I101" t="s">
        <v>142</v>
      </c>
      <c r="J101">
        <f t="shared" si="2"/>
        <v>4611</v>
      </c>
      <c r="L101">
        <f t="shared" si="3"/>
        <v>2.0584821428571427</v>
      </c>
    </row>
    <row r="102" spans="1:12" x14ac:dyDescent="0.25">
      <c r="A102">
        <v>1746</v>
      </c>
      <c r="B102" t="s">
        <v>15</v>
      </c>
      <c r="C102" t="s">
        <v>53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1746</v>
      </c>
      <c r="B103" t="s">
        <v>93</v>
      </c>
      <c r="C103" t="s">
        <v>53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1746</v>
      </c>
      <c r="B104" t="s">
        <v>42</v>
      </c>
      <c r="C104" t="s">
        <v>53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1746</v>
      </c>
      <c r="B105" t="s">
        <v>83</v>
      </c>
      <c r="C105" t="s">
        <v>53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1746</v>
      </c>
      <c r="B106" t="s">
        <v>47</v>
      </c>
      <c r="C106" t="s">
        <v>53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1746</v>
      </c>
      <c r="B107" t="s">
        <v>16</v>
      </c>
      <c r="C107" t="s">
        <v>53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1746</v>
      </c>
      <c r="B108" t="s">
        <v>17</v>
      </c>
      <c r="C108" t="s">
        <v>53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1746</v>
      </c>
      <c r="B109" t="s">
        <v>18</v>
      </c>
      <c r="C109" t="s">
        <v>53</v>
      </c>
      <c r="D109" t="s">
        <v>35</v>
      </c>
      <c r="H109">
        <v>125522</v>
      </c>
      <c r="I109" t="s">
        <v>141</v>
      </c>
      <c r="J109">
        <f t="shared" si="2"/>
        <v>125522</v>
      </c>
      <c r="L109">
        <f t="shared" si="3"/>
        <v>56.036607142857143</v>
      </c>
    </row>
    <row r="110" spans="1:12" x14ac:dyDescent="0.25">
      <c r="A110">
        <v>1746</v>
      </c>
      <c r="B110" t="s">
        <v>26</v>
      </c>
      <c r="C110" t="s">
        <v>53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1746</v>
      </c>
      <c r="B111" t="s">
        <v>84</v>
      </c>
      <c r="C111" t="s">
        <v>53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1746</v>
      </c>
      <c r="B112" t="s">
        <v>19</v>
      </c>
      <c r="C112" t="s">
        <v>53</v>
      </c>
      <c r="D112" t="s">
        <v>35</v>
      </c>
      <c r="F112">
        <v>38</v>
      </c>
      <c r="H112">
        <v>19</v>
      </c>
      <c r="J112">
        <f t="shared" si="2"/>
        <v>4275</v>
      </c>
      <c r="L112">
        <f t="shared" si="3"/>
        <v>1.9084821428571428</v>
      </c>
    </row>
    <row r="113" spans="1:12" x14ac:dyDescent="0.25">
      <c r="A113">
        <v>1746</v>
      </c>
      <c r="B113" t="s">
        <v>45</v>
      </c>
      <c r="C113" t="s">
        <v>53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1746</v>
      </c>
      <c r="B114" t="s">
        <v>85</v>
      </c>
      <c r="C114" t="s">
        <v>53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1746</v>
      </c>
      <c r="B115" t="s">
        <v>54</v>
      </c>
      <c r="C115" t="s">
        <v>53</v>
      </c>
      <c r="D115" t="s">
        <v>35</v>
      </c>
      <c r="H115">
        <v>10</v>
      </c>
      <c r="J115">
        <f t="shared" si="2"/>
        <v>10</v>
      </c>
      <c r="L115">
        <f t="shared" si="3"/>
        <v>4.464285714285714E-3</v>
      </c>
    </row>
    <row r="116" spans="1:12" x14ac:dyDescent="0.25">
      <c r="A116">
        <v>1746</v>
      </c>
      <c r="B116" t="s">
        <v>95</v>
      </c>
      <c r="C116" t="s">
        <v>53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1746</v>
      </c>
      <c r="B117" t="s">
        <v>20</v>
      </c>
      <c r="C117" t="s">
        <v>53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1746</v>
      </c>
      <c r="B118" t="s">
        <v>21</v>
      </c>
      <c r="C118" t="s">
        <v>53</v>
      </c>
      <c r="D118" t="s">
        <v>35</v>
      </c>
      <c r="H118">
        <v>7</v>
      </c>
      <c r="J118">
        <f t="shared" si="2"/>
        <v>7</v>
      </c>
      <c r="L118">
        <f t="shared" si="3"/>
        <v>3.1250000000000002E-3</v>
      </c>
    </row>
    <row r="119" spans="1:12" x14ac:dyDescent="0.25">
      <c r="A119">
        <v>1746</v>
      </c>
      <c r="B119" t="s">
        <v>105</v>
      </c>
      <c r="C119" t="s">
        <v>53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1746</v>
      </c>
      <c r="B120" t="s">
        <v>22</v>
      </c>
      <c r="C120" t="s">
        <v>53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1746</v>
      </c>
      <c r="B121" t="s">
        <v>61</v>
      </c>
      <c r="C121" t="s">
        <v>53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1746</v>
      </c>
      <c r="B122" t="s">
        <v>91</v>
      </c>
      <c r="C122" t="s">
        <v>53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1746</v>
      </c>
      <c r="B123" t="s">
        <v>98</v>
      </c>
      <c r="C123" t="s">
        <v>53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1746</v>
      </c>
      <c r="B124" t="s">
        <v>87</v>
      </c>
      <c r="C124" t="s">
        <v>53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1746</v>
      </c>
      <c r="B125" t="s">
        <v>62</v>
      </c>
      <c r="C125" t="s">
        <v>53</v>
      </c>
      <c r="D125" t="s">
        <v>35</v>
      </c>
      <c r="E125">
        <v>16</v>
      </c>
      <c r="F125">
        <v>5</v>
      </c>
      <c r="G125">
        <v>1</v>
      </c>
      <c r="H125">
        <v>20</v>
      </c>
      <c r="J125">
        <f t="shared" si="2"/>
        <v>36448</v>
      </c>
      <c r="L125">
        <f t="shared" si="3"/>
        <v>16.271428571428572</v>
      </c>
    </row>
    <row r="126" spans="1:12" x14ac:dyDescent="0.25">
      <c r="A126">
        <v>1746</v>
      </c>
      <c r="B126" t="s">
        <v>88</v>
      </c>
      <c r="C126" t="s">
        <v>53</v>
      </c>
      <c r="D126" t="s">
        <v>35</v>
      </c>
      <c r="E126">
        <v>3</v>
      </c>
      <c r="F126">
        <v>16</v>
      </c>
      <c r="G126">
        <v>2</v>
      </c>
      <c r="H126">
        <v>11</v>
      </c>
      <c r="J126">
        <f t="shared" si="2"/>
        <v>8579</v>
      </c>
      <c r="L126">
        <f t="shared" si="3"/>
        <v>3.8299107142857145</v>
      </c>
    </row>
    <row r="127" spans="1:12" x14ac:dyDescent="0.25">
      <c r="A127">
        <v>1746</v>
      </c>
      <c r="B127" t="s">
        <v>63</v>
      </c>
      <c r="C127" t="s">
        <v>53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1746</v>
      </c>
      <c r="B128" t="s">
        <v>89</v>
      </c>
      <c r="C128" t="s">
        <v>53</v>
      </c>
      <c r="D128" t="s">
        <v>35</v>
      </c>
      <c r="H128">
        <v>62</v>
      </c>
      <c r="J128">
        <f t="shared" si="2"/>
        <v>62</v>
      </c>
      <c r="L128">
        <f t="shared" si="3"/>
        <v>2.7678571428571427E-2</v>
      </c>
    </row>
    <row r="129" spans="1:12" x14ac:dyDescent="0.25">
      <c r="A129">
        <v>1746</v>
      </c>
      <c r="B129" t="s">
        <v>70</v>
      </c>
      <c r="C129" t="s">
        <v>53</v>
      </c>
      <c r="D129" t="s">
        <v>35</v>
      </c>
      <c r="J129">
        <f t="shared" si="2"/>
        <v>0</v>
      </c>
      <c r="L129">
        <f t="shared" si="3"/>
        <v>0</v>
      </c>
    </row>
    <row r="130" spans="1:12" x14ac:dyDescent="0.25">
      <c r="A130">
        <v>1746</v>
      </c>
      <c r="B130" t="s">
        <v>64</v>
      </c>
      <c r="C130" t="s">
        <v>53</v>
      </c>
      <c r="D130" t="s">
        <v>35</v>
      </c>
      <c r="J130">
        <f t="shared" si="2"/>
        <v>0</v>
      </c>
      <c r="L130">
        <f t="shared" si="3"/>
        <v>0</v>
      </c>
    </row>
    <row r="131" spans="1:12" x14ac:dyDescent="0.25">
      <c r="A131">
        <v>1746</v>
      </c>
      <c r="B131" t="s">
        <v>65</v>
      </c>
      <c r="C131" t="s">
        <v>53</v>
      </c>
      <c r="D131" t="s">
        <v>35</v>
      </c>
      <c r="J131">
        <f t="shared" si="2"/>
        <v>0</v>
      </c>
      <c r="L131">
        <f t="shared" si="3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EB8C4-5365-4995-8CB0-F02A292F01C2}">
  <dimension ref="A1:L99"/>
  <sheetViews>
    <sheetView workbookViewId="0">
      <selection activeCell="H85" sqref="H85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1746</v>
      </c>
      <c r="B2" t="s">
        <v>55</v>
      </c>
      <c r="C2" t="s">
        <v>56</v>
      </c>
      <c r="D2" t="s">
        <v>33</v>
      </c>
      <c r="J2">
        <f t="shared" ref="J2:J66" si="0">(E2*2240)+(F2*112)+(G2*28)+H2</f>
        <v>0</v>
      </c>
      <c r="L2">
        <f t="shared" ref="L2:L66" si="1">J2/2240</f>
        <v>0</v>
      </c>
    </row>
    <row r="3" spans="1:12" x14ac:dyDescent="0.25">
      <c r="A3">
        <v>1746</v>
      </c>
      <c r="B3" t="s">
        <v>57</v>
      </c>
      <c r="C3" t="s">
        <v>56</v>
      </c>
      <c r="D3" t="s">
        <v>33</v>
      </c>
      <c r="G3">
        <v>1</v>
      </c>
      <c r="H3">
        <v>11</v>
      </c>
      <c r="J3">
        <f t="shared" si="0"/>
        <v>39</v>
      </c>
      <c r="L3">
        <f t="shared" si="1"/>
        <v>1.7410714285714286E-2</v>
      </c>
    </row>
    <row r="4" spans="1:12" x14ac:dyDescent="0.25">
      <c r="A4">
        <v>1746</v>
      </c>
      <c r="B4" t="s">
        <v>36</v>
      </c>
      <c r="C4" t="s">
        <v>56</v>
      </c>
      <c r="D4" t="s">
        <v>33</v>
      </c>
      <c r="H4">
        <v>8549</v>
      </c>
      <c r="J4">
        <f t="shared" si="0"/>
        <v>8549</v>
      </c>
      <c r="L4">
        <f t="shared" si="1"/>
        <v>3.8165178571428573</v>
      </c>
    </row>
    <row r="5" spans="1:12" x14ac:dyDescent="0.25">
      <c r="A5">
        <v>1746</v>
      </c>
      <c r="B5" t="s">
        <v>4</v>
      </c>
      <c r="C5" t="s">
        <v>56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1746</v>
      </c>
      <c r="B6" t="s">
        <v>58</v>
      </c>
      <c r="C6" t="s">
        <v>56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1746</v>
      </c>
      <c r="B7" t="s">
        <v>92</v>
      </c>
      <c r="C7" t="s">
        <v>56</v>
      </c>
      <c r="D7" t="s">
        <v>33</v>
      </c>
      <c r="H7">
        <v>581</v>
      </c>
      <c r="J7">
        <f t="shared" si="0"/>
        <v>581</v>
      </c>
      <c r="L7">
        <f t="shared" si="1"/>
        <v>0.25937500000000002</v>
      </c>
    </row>
    <row r="8" spans="1:12" x14ac:dyDescent="0.25">
      <c r="A8">
        <v>1746</v>
      </c>
      <c r="B8" t="s">
        <v>43</v>
      </c>
      <c r="C8" t="s">
        <v>56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1746</v>
      </c>
      <c r="B9" t="s">
        <v>5</v>
      </c>
      <c r="C9" t="s">
        <v>56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1746</v>
      </c>
      <c r="B10" t="s">
        <v>59</v>
      </c>
      <c r="C10" t="s">
        <v>56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1746</v>
      </c>
      <c r="B11" t="s">
        <v>6</v>
      </c>
      <c r="C11" t="s">
        <v>56</v>
      </c>
      <c r="D11" t="s">
        <v>33</v>
      </c>
      <c r="F11">
        <v>90142</v>
      </c>
      <c r="G11">
        <v>2</v>
      </c>
      <c r="J11">
        <f t="shared" si="0"/>
        <v>10095960</v>
      </c>
      <c r="L11">
        <f t="shared" si="1"/>
        <v>4507.125</v>
      </c>
    </row>
    <row r="12" spans="1:12" x14ac:dyDescent="0.25">
      <c r="A12">
        <v>1746</v>
      </c>
      <c r="B12" t="s">
        <v>60</v>
      </c>
      <c r="C12" t="s">
        <v>56</v>
      </c>
      <c r="D12" t="s">
        <v>33</v>
      </c>
      <c r="H12">
        <v>176</v>
      </c>
      <c r="J12">
        <f t="shared" si="0"/>
        <v>176</v>
      </c>
      <c r="L12">
        <f t="shared" si="1"/>
        <v>7.857142857142857E-2</v>
      </c>
    </row>
    <row r="13" spans="1:12" x14ac:dyDescent="0.25">
      <c r="A13">
        <v>1746</v>
      </c>
      <c r="B13" t="s">
        <v>7</v>
      </c>
      <c r="C13" t="s">
        <v>56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1746</v>
      </c>
      <c r="B14" t="s">
        <v>37</v>
      </c>
      <c r="C14" t="s">
        <v>56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1746</v>
      </c>
      <c r="B15" t="s">
        <v>8</v>
      </c>
      <c r="C15" t="s">
        <v>56</v>
      </c>
      <c r="D15" t="s">
        <v>33</v>
      </c>
      <c r="F15">
        <v>12</v>
      </c>
      <c r="G15">
        <v>2</v>
      </c>
      <c r="H15">
        <v>14</v>
      </c>
      <c r="J15">
        <f t="shared" si="0"/>
        <v>1414</v>
      </c>
      <c r="L15">
        <f t="shared" si="1"/>
        <v>0.63124999999999998</v>
      </c>
    </row>
    <row r="16" spans="1:12" x14ac:dyDescent="0.25">
      <c r="A16">
        <v>1746</v>
      </c>
      <c r="B16" t="s">
        <v>40</v>
      </c>
      <c r="C16" t="s">
        <v>56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1746</v>
      </c>
      <c r="B17" t="s">
        <v>78</v>
      </c>
      <c r="C17" t="s">
        <v>56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1746</v>
      </c>
      <c r="B18" t="s">
        <v>9</v>
      </c>
      <c r="C18" t="s">
        <v>56</v>
      </c>
      <c r="D18" t="s">
        <v>33</v>
      </c>
      <c r="H18">
        <f>70.75*200</f>
        <v>14150</v>
      </c>
      <c r="I18" t="s">
        <v>116</v>
      </c>
      <c r="J18">
        <f t="shared" si="0"/>
        <v>14150</v>
      </c>
      <c r="L18">
        <f t="shared" si="1"/>
        <v>6.3169642857142856</v>
      </c>
    </row>
    <row r="19" spans="1:12" x14ac:dyDescent="0.25">
      <c r="A19">
        <v>1746</v>
      </c>
      <c r="B19" t="s">
        <v>10</v>
      </c>
      <c r="C19" t="s">
        <v>56</v>
      </c>
      <c r="D19" t="s">
        <v>33</v>
      </c>
      <c r="F19">
        <v>3022</v>
      </c>
      <c r="G19">
        <v>1</v>
      </c>
      <c r="H19">
        <v>12</v>
      </c>
      <c r="J19">
        <f t="shared" si="0"/>
        <v>338504</v>
      </c>
      <c r="L19">
        <f t="shared" si="1"/>
        <v>151.11785714285713</v>
      </c>
    </row>
    <row r="20" spans="1:12" x14ac:dyDescent="0.25">
      <c r="A20">
        <v>1746</v>
      </c>
      <c r="B20" t="s">
        <v>11</v>
      </c>
      <c r="C20" t="s">
        <v>56</v>
      </c>
      <c r="D20" t="s">
        <v>33</v>
      </c>
      <c r="F20">
        <v>390</v>
      </c>
      <c r="G20">
        <v>1</v>
      </c>
      <c r="J20">
        <f t="shared" si="0"/>
        <v>43708</v>
      </c>
      <c r="L20">
        <f t="shared" si="1"/>
        <v>19.512499999999999</v>
      </c>
    </row>
    <row r="21" spans="1:12" x14ac:dyDescent="0.25">
      <c r="A21">
        <v>1746</v>
      </c>
      <c r="B21" t="s">
        <v>39</v>
      </c>
      <c r="C21" t="s">
        <v>56</v>
      </c>
      <c r="D21" t="s">
        <v>33</v>
      </c>
      <c r="H21">
        <v>149</v>
      </c>
      <c r="J21">
        <f t="shared" si="0"/>
        <v>149</v>
      </c>
      <c r="L21">
        <f t="shared" si="1"/>
        <v>6.6517857142857142E-2</v>
      </c>
    </row>
    <row r="22" spans="1:12" x14ac:dyDescent="0.25">
      <c r="A22">
        <v>1746</v>
      </c>
      <c r="B22" t="s">
        <v>102</v>
      </c>
      <c r="C22" t="s">
        <v>56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1746</v>
      </c>
      <c r="B23" t="s">
        <v>44</v>
      </c>
      <c r="C23" t="s">
        <v>56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1746</v>
      </c>
      <c r="B24" t="s">
        <v>12</v>
      </c>
      <c r="C24" t="s">
        <v>56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1746</v>
      </c>
      <c r="B25" t="s">
        <v>34</v>
      </c>
      <c r="C25" t="s">
        <v>56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1746</v>
      </c>
      <c r="B26" t="s">
        <v>13</v>
      </c>
      <c r="C26" t="s">
        <v>56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1746</v>
      </c>
      <c r="B27" t="s">
        <v>14</v>
      </c>
      <c r="C27" t="s">
        <v>56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1746</v>
      </c>
      <c r="B28" t="s">
        <v>23</v>
      </c>
      <c r="C28" t="s">
        <v>56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1746</v>
      </c>
      <c r="B29" t="s">
        <v>27</v>
      </c>
      <c r="C29" t="s">
        <v>56</v>
      </c>
      <c r="D29" t="s">
        <v>33</v>
      </c>
      <c r="H29">
        <v>123121.5</v>
      </c>
      <c r="I29" t="s">
        <v>115</v>
      </c>
      <c r="J29">
        <f t="shared" si="0"/>
        <v>123121.5</v>
      </c>
      <c r="L29">
        <f t="shared" si="1"/>
        <v>54.964955357142856</v>
      </c>
    </row>
    <row r="30" spans="1:12" x14ac:dyDescent="0.25">
      <c r="A30">
        <v>1746</v>
      </c>
      <c r="B30" t="s">
        <v>15</v>
      </c>
      <c r="C30" t="s">
        <v>56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1746</v>
      </c>
      <c r="B31" t="s">
        <v>42</v>
      </c>
      <c r="C31" t="s">
        <v>56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1746</v>
      </c>
      <c r="B32" t="s">
        <v>47</v>
      </c>
      <c r="C32" t="s">
        <v>56</v>
      </c>
      <c r="D32" t="s">
        <v>33</v>
      </c>
      <c r="H32">
        <v>340</v>
      </c>
      <c r="I32" t="s">
        <v>113</v>
      </c>
      <c r="J32">
        <f t="shared" si="0"/>
        <v>340</v>
      </c>
      <c r="L32">
        <f t="shared" si="1"/>
        <v>0.15178571428571427</v>
      </c>
    </row>
    <row r="33" spans="1:12" x14ac:dyDescent="0.25">
      <c r="A33">
        <v>1746</v>
      </c>
      <c r="B33" t="s">
        <v>16</v>
      </c>
      <c r="C33" t="s">
        <v>56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1746</v>
      </c>
      <c r="B34" t="s">
        <v>17</v>
      </c>
      <c r="C34" t="s">
        <v>56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1746</v>
      </c>
      <c r="B35" t="s">
        <v>18</v>
      </c>
      <c r="C35" t="s">
        <v>56</v>
      </c>
      <c r="D35" t="s">
        <v>33</v>
      </c>
      <c r="H35">
        <v>83931.5</v>
      </c>
      <c r="I35" t="s">
        <v>114</v>
      </c>
      <c r="J35">
        <f t="shared" si="0"/>
        <v>83931.5</v>
      </c>
      <c r="L35">
        <f t="shared" si="1"/>
        <v>37.46941964285714</v>
      </c>
    </row>
    <row r="36" spans="1:12" x14ac:dyDescent="0.25">
      <c r="A36">
        <v>1746</v>
      </c>
      <c r="B36" t="s">
        <v>26</v>
      </c>
      <c r="C36" t="s">
        <v>56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1746</v>
      </c>
      <c r="B37" t="s">
        <v>19</v>
      </c>
      <c r="C37" t="s">
        <v>56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1746</v>
      </c>
      <c r="B38" t="s">
        <v>45</v>
      </c>
      <c r="C38" t="s">
        <v>56</v>
      </c>
      <c r="D38" t="s">
        <v>33</v>
      </c>
      <c r="H38">
        <v>5</v>
      </c>
      <c r="J38">
        <f t="shared" si="0"/>
        <v>5</v>
      </c>
      <c r="L38">
        <f t="shared" si="1"/>
        <v>2.232142857142857E-3</v>
      </c>
    </row>
    <row r="39" spans="1:12" x14ac:dyDescent="0.25">
      <c r="A39">
        <v>1746</v>
      </c>
      <c r="B39" t="s">
        <v>54</v>
      </c>
      <c r="C39" t="s">
        <v>56</v>
      </c>
      <c r="D39" t="s">
        <v>33</v>
      </c>
      <c r="H39">
        <v>2068</v>
      </c>
      <c r="J39">
        <f t="shared" si="0"/>
        <v>2068</v>
      </c>
      <c r="L39">
        <f t="shared" si="1"/>
        <v>0.92321428571428577</v>
      </c>
    </row>
    <row r="40" spans="1:12" x14ac:dyDescent="0.25">
      <c r="A40">
        <v>1746</v>
      </c>
      <c r="B40" t="s">
        <v>95</v>
      </c>
      <c r="C40" t="s">
        <v>56</v>
      </c>
      <c r="D40" t="s">
        <v>33</v>
      </c>
      <c r="H40">
        <v>3579</v>
      </c>
      <c r="J40">
        <f t="shared" si="0"/>
        <v>3579</v>
      </c>
      <c r="L40">
        <f t="shared" si="1"/>
        <v>1.5977678571428571</v>
      </c>
    </row>
    <row r="41" spans="1:12" x14ac:dyDescent="0.25">
      <c r="A41">
        <v>1746</v>
      </c>
      <c r="B41" t="s">
        <v>20</v>
      </c>
      <c r="C41" t="s">
        <v>56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1746</v>
      </c>
      <c r="B42" t="s">
        <v>21</v>
      </c>
      <c r="C42" t="s">
        <v>56</v>
      </c>
      <c r="D42" t="s">
        <v>33</v>
      </c>
      <c r="H42">
        <v>23</v>
      </c>
      <c r="J42">
        <f t="shared" si="0"/>
        <v>23</v>
      </c>
      <c r="L42">
        <f t="shared" si="1"/>
        <v>1.0267857142857143E-2</v>
      </c>
    </row>
    <row r="43" spans="1:12" x14ac:dyDescent="0.25">
      <c r="A43">
        <v>1746</v>
      </c>
      <c r="B43" t="s">
        <v>22</v>
      </c>
      <c r="C43" t="s">
        <v>56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1746</v>
      </c>
      <c r="B44" t="s">
        <v>61</v>
      </c>
      <c r="C44" t="s">
        <v>56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1746</v>
      </c>
      <c r="B45" t="s">
        <v>62</v>
      </c>
      <c r="C45" t="s">
        <v>56</v>
      </c>
      <c r="D45" t="s">
        <v>33</v>
      </c>
      <c r="E45">
        <v>14</v>
      </c>
      <c r="J45">
        <f t="shared" si="0"/>
        <v>31360</v>
      </c>
      <c r="L45">
        <f t="shared" si="1"/>
        <v>14</v>
      </c>
    </row>
    <row r="46" spans="1:12" x14ac:dyDescent="0.25">
      <c r="A46">
        <v>1746</v>
      </c>
      <c r="B46" t="s">
        <v>63</v>
      </c>
      <c r="C46" t="s">
        <v>56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1746</v>
      </c>
      <c r="B47" t="s">
        <v>70</v>
      </c>
      <c r="C47" t="s">
        <v>56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1746</v>
      </c>
      <c r="B48" t="s">
        <v>64</v>
      </c>
      <c r="C48" t="s">
        <v>56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1746</v>
      </c>
      <c r="B49" t="s">
        <v>65</v>
      </c>
      <c r="C49" t="s">
        <v>56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1746</v>
      </c>
      <c r="B50" t="s">
        <v>55</v>
      </c>
      <c r="C50" t="s">
        <v>56</v>
      </c>
      <c r="D50" t="s">
        <v>35</v>
      </c>
      <c r="J50">
        <f t="shared" si="0"/>
        <v>0</v>
      </c>
      <c r="L50">
        <f t="shared" si="1"/>
        <v>0</v>
      </c>
    </row>
    <row r="51" spans="1:12" x14ac:dyDescent="0.25">
      <c r="A51">
        <v>1746</v>
      </c>
      <c r="B51" t="s">
        <v>57</v>
      </c>
      <c r="C51" t="s">
        <v>56</v>
      </c>
      <c r="D51" t="s">
        <v>35</v>
      </c>
      <c r="J51">
        <f t="shared" si="0"/>
        <v>0</v>
      </c>
      <c r="L51">
        <f t="shared" si="1"/>
        <v>0</v>
      </c>
    </row>
    <row r="52" spans="1:12" x14ac:dyDescent="0.25">
      <c r="A52">
        <v>1746</v>
      </c>
      <c r="B52" t="s">
        <v>36</v>
      </c>
      <c r="C52" t="s">
        <v>56</v>
      </c>
      <c r="D52" t="s">
        <v>35</v>
      </c>
      <c r="H52">
        <v>249</v>
      </c>
      <c r="J52">
        <f t="shared" si="0"/>
        <v>249</v>
      </c>
      <c r="L52">
        <f t="shared" si="1"/>
        <v>0.11116071428571428</v>
      </c>
    </row>
    <row r="53" spans="1:12" x14ac:dyDescent="0.25">
      <c r="A53">
        <v>1746</v>
      </c>
      <c r="B53" t="s">
        <v>4</v>
      </c>
      <c r="C53" t="s">
        <v>56</v>
      </c>
      <c r="D53" t="s">
        <v>35</v>
      </c>
      <c r="J53">
        <f t="shared" si="0"/>
        <v>0</v>
      </c>
      <c r="L53">
        <f t="shared" si="1"/>
        <v>0</v>
      </c>
    </row>
    <row r="54" spans="1:12" x14ac:dyDescent="0.25">
      <c r="A54">
        <v>1746</v>
      </c>
      <c r="B54" t="s">
        <v>58</v>
      </c>
      <c r="C54" t="s">
        <v>56</v>
      </c>
      <c r="D54" t="s">
        <v>35</v>
      </c>
      <c r="J54">
        <f t="shared" si="0"/>
        <v>0</v>
      </c>
      <c r="L54">
        <f t="shared" si="1"/>
        <v>0</v>
      </c>
    </row>
    <row r="55" spans="1:12" x14ac:dyDescent="0.25">
      <c r="A55">
        <v>1746</v>
      </c>
      <c r="B55" t="s">
        <v>92</v>
      </c>
      <c r="C55" t="s">
        <v>56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1746</v>
      </c>
      <c r="B56" t="s">
        <v>43</v>
      </c>
      <c r="C56" t="s">
        <v>56</v>
      </c>
      <c r="D56" t="s">
        <v>35</v>
      </c>
      <c r="J56">
        <f t="shared" si="0"/>
        <v>0</v>
      </c>
      <c r="L56">
        <f t="shared" si="1"/>
        <v>0</v>
      </c>
    </row>
    <row r="57" spans="1:12" x14ac:dyDescent="0.25">
      <c r="A57">
        <v>1746</v>
      </c>
      <c r="B57" t="s">
        <v>5</v>
      </c>
      <c r="C57" t="s">
        <v>56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1746</v>
      </c>
      <c r="B58" t="s">
        <v>59</v>
      </c>
      <c r="C58" t="s">
        <v>56</v>
      </c>
      <c r="D58" t="s">
        <v>35</v>
      </c>
      <c r="J58">
        <f t="shared" si="0"/>
        <v>0</v>
      </c>
      <c r="L58">
        <f t="shared" si="1"/>
        <v>0</v>
      </c>
    </row>
    <row r="59" spans="1:12" x14ac:dyDescent="0.25">
      <c r="A59">
        <v>1746</v>
      </c>
      <c r="B59" t="s">
        <v>6</v>
      </c>
      <c r="C59" t="s">
        <v>56</v>
      </c>
      <c r="D59" t="s">
        <v>35</v>
      </c>
      <c r="F59">
        <v>50783</v>
      </c>
      <c r="G59">
        <v>3</v>
      </c>
      <c r="H59">
        <v>21</v>
      </c>
      <c r="J59">
        <f t="shared" si="0"/>
        <v>5687801</v>
      </c>
      <c r="L59">
        <f t="shared" si="1"/>
        <v>2539.1968750000001</v>
      </c>
    </row>
    <row r="60" spans="1:12" x14ac:dyDescent="0.25">
      <c r="A60">
        <v>1746</v>
      </c>
      <c r="B60" t="s">
        <v>60</v>
      </c>
      <c r="C60" t="s">
        <v>56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1746</v>
      </c>
      <c r="B61" t="s">
        <v>38</v>
      </c>
      <c r="C61" t="s">
        <v>56</v>
      </c>
      <c r="D61" t="s">
        <v>35</v>
      </c>
      <c r="J61">
        <f t="shared" si="0"/>
        <v>0</v>
      </c>
      <c r="L61">
        <f t="shared" si="1"/>
        <v>0</v>
      </c>
    </row>
    <row r="62" spans="1:12" x14ac:dyDescent="0.25">
      <c r="A62">
        <v>1746</v>
      </c>
      <c r="B62" t="s">
        <v>37</v>
      </c>
      <c r="C62" t="s">
        <v>56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1746</v>
      </c>
      <c r="B63" t="s">
        <v>8</v>
      </c>
      <c r="C63" t="s">
        <v>56</v>
      </c>
      <c r="D63" t="s">
        <v>35</v>
      </c>
      <c r="J63">
        <f t="shared" si="0"/>
        <v>0</v>
      </c>
      <c r="L63">
        <f t="shared" si="1"/>
        <v>0</v>
      </c>
    </row>
    <row r="64" spans="1:12" x14ac:dyDescent="0.25">
      <c r="A64">
        <v>1746</v>
      </c>
      <c r="B64" t="s">
        <v>40</v>
      </c>
      <c r="C64" t="s">
        <v>56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1746</v>
      </c>
      <c r="B65" t="s">
        <v>9</v>
      </c>
      <c r="C65" t="s">
        <v>56</v>
      </c>
      <c r="D65" t="s">
        <v>35</v>
      </c>
      <c r="H65">
        <f>653.5*200</f>
        <v>130700</v>
      </c>
      <c r="I65" t="s">
        <v>147</v>
      </c>
      <c r="J65">
        <f t="shared" si="0"/>
        <v>130700</v>
      </c>
      <c r="L65">
        <f t="shared" si="1"/>
        <v>58.348214285714285</v>
      </c>
    </row>
    <row r="66" spans="1:12" x14ac:dyDescent="0.25">
      <c r="A66">
        <v>1746</v>
      </c>
      <c r="B66" t="s">
        <v>10</v>
      </c>
      <c r="C66" t="s">
        <v>56</v>
      </c>
      <c r="D66" t="s">
        <v>35</v>
      </c>
      <c r="F66">
        <v>621</v>
      </c>
      <c r="J66">
        <f t="shared" si="0"/>
        <v>69552</v>
      </c>
      <c r="L66">
        <f t="shared" si="1"/>
        <v>31.05</v>
      </c>
    </row>
    <row r="67" spans="1:12" x14ac:dyDescent="0.25">
      <c r="A67">
        <v>1746</v>
      </c>
      <c r="B67" t="s">
        <v>11</v>
      </c>
      <c r="C67" t="s">
        <v>56</v>
      </c>
      <c r="D67" t="s">
        <v>35</v>
      </c>
      <c r="F67">
        <v>147</v>
      </c>
      <c r="H67">
        <v>6</v>
      </c>
      <c r="J67">
        <f t="shared" ref="J67:J99" si="2">(E67*2240)+(F67*112)+(G67*28)+H67</f>
        <v>16470</v>
      </c>
      <c r="L67">
        <f t="shared" ref="L67:L99" si="3">J67/2240</f>
        <v>7.3526785714285712</v>
      </c>
    </row>
    <row r="68" spans="1:12" x14ac:dyDescent="0.25">
      <c r="A68">
        <v>1746</v>
      </c>
      <c r="B68" t="s">
        <v>39</v>
      </c>
      <c r="C68" t="s">
        <v>56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1746</v>
      </c>
      <c r="B69" t="s">
        <v>79</v>
      </c>
      <c r="C69" t="s">
        <v>56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1746</v>
      </c>
      <c r="B70" t="s">
        <v>44</v>
      </c>
      <c r="C70" t="s">
        <v>56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1746</v>
      </c>
      <c r="B71" t="s">
        <v>12</v>
      </c>
      <c r="C71" t="s">
        <v>56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1746</v>
      </c>
      <c r="B72" t="s">
        <v>34</v>
      </c>
      <c r="C72" t="s">
        <v>56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1746</v>
      </c>
      <c r="B73" t="s">
        <v>13</v>
      </c>
      <c r="C73" t="s">
        <v>56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1746</v>
      </c>
      <c r="B74" t="s">
        <v>14</v>
      </c>
      <c r="C74" t="s">
        <v>56</v>
      </c>
      <c r="D74" t="s">
        <v>35</v>
      </c>
      <c r="H74">
        <v>6942</v>
      </c>
      <c r="I74" t="s">
        <v>144</v>
      </c>
      <c r="J74">
        <f t="shared" si="2"/>
        <v>6942</v>
      </c>
      <c r="L74">
        <f t="shared" si="3"/>
        <v>3.0991071428571431</v>
      </c>
    </row>
    <row r="75" spans="1:12" x14ac:dyDescent="0.25">
      <c r="A75">
        <v>1746</v>
      </c>
      <c r="B75" t="s">
        <v>23</v>
      </c>
      <c r="C75" t="s">
        <v>56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1746</v>
      </c>
      <c r="B76" t="s">
        <v>27</v>
      </c>
      <c r="C76" t="s">
        <v>56</v>
      </c>
      <c r="D76" t="s">
        <v>35</v>
      </c>
      <c r="H76">
        <v>6481.5</v>
      </c>
      <c r="I76" t="s">
        <v>146</v>
      </c>
      <c r="J76">
        <f t="shared" si="2"/>
        <v>6481.5</v>
      </c>
      <c r="L76">
        <f t="shared" si="3"/>
        <v>2.8935267857142857</v>
      </c>
    </row>
    <row r="77" spans="1:12" x14ac:dyDescent="0.25">
      <c r="A77">
        <v>1746</v>
      </c>
      <c r="B77" t="s">
        <v>15</v>
      </c>
      <c r="C77" t="s">
        <v>56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1746</v>
      </c>
      <c r="B78" t="s">
        <v>93</v>
      </c>
      <c r="C78" t="s">
        <v>56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1746</v>
      </c>
      <c r="B79" t="s">
        <v>42</v>
      </c>
      <c r="C79" t="s">
        <v>56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1746</v>
      </c>
      <c r="B80" t="s">
        <v>47</v>
      </c>
      <c r="C80" t="s">
        <v>56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1746</v>
      </c>
      <c r="B81" t="s">
        <v>16</v>
      </c>
      <c r="C81" t="s">
        <v>56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1746</v>
      </c>
      <c r="B82" t="s">
        <v>106</v>
      </c>
      <c r="C82" t="s">
        <v>56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1746</v>
      </c>
      <c r="B83" t="s">
        <v>17</v>
      </c>
      <c r="C83" t="s">
        <v>56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1746</v>
      </c>
      <c r="B84" t="s">
        <v>18</v>
      </c>
      <c r="C84" t="s">
        <v>56</v>
      </c>
      <c r="D84" t="s">
        <v>35</v>
      </c>
      <c r="H84">
        <v>128723</v>
      </c>
      <c r="I84" t="s">
        <v>145</v>
      </c>
      <c r="J84">
        <f t="shared" si="2"/>
        <v>128723</v>
      </c>
      <c r="L84">
        <f t="shared" si="3"/>
        <v>57.465625000000003</v>
      </c>
    </row>
    <row r="85" spans="1:12" x14ac:dyDescent="0.25">
      <c r="A85">
        <v>1746</v>
      </c>
      <c r="B85" t="s">
        <v>26</v>
      </c>
      <c r="C85" t="s">
        <v>56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1746</v>
      </c>
      <c r="B86" t="s">
        <v>19</v>
      </c>
      <c r="C86" t="s">
        <v>56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1746</v>
      </c>
      <c r="B87" t="s">
        <v>45</v>
      </c>
      <c r="C87" t="s">
        <v>56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1746</v>
      </c>
      <c r="B88" t="s">
        <v>54</v>
      </c>
      <c r="C88" t="s">
        <v>56</v>
      </c>
      <c r="D88" t="s">
        <v>35</v>
      </c>
      <c r="H88">
        <v>123</v>
      </c>
      <c r="J88">
        <f t="shared" si="2"/>
        <v>123</v>
      </c>
      <c r="L88">
        <f t="shared" si="3"/>
        <v>5.4910714285714285E-2</v>
      </c>
    </row>
    <row r="89" spans="1:12" x14ac:dyDescent="0.25">
      <c r="A89">
        <v>1746</v>
      </c>
      <c r="B89" t="s">
        <v>95</v>
      </c>
      <c r="C89" t="s">
        <v>56</v>
      </c>
      <c r="D89" t="s">
        <v>35</v>
      </c>
      <c r="H89">
        <v>1913</v>
      </c>
      <c r="J89">
        <f t="shared" si="2"/>
        <v>1913</v>
      </c>
      <c r="L89">
        <f t="shared" si="3"/>
        <v>0.85401785714285716</v>
      </c>
    </row>
    <row r="90" spans="1:12" x14ac:dyDescent="0.25">
      <c r="A90">
        <v>1746</v>
      </c>
      <c r="B90" t="s">
        <v>20</v>
      </c>
      <c r="C90" t="s">
        <v>56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1746</v>
      </c>
      <c r="B91" t="s">
        <v>21</v>
      </c>
      <c r="C91" t="s">
        <v>56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1746</v>
      </c>
      <c r="B92" t="s">
        <v>22</v>
      </c>
      <c r="C92" t="s">
        <v>56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1746</v>
      </c>
      <c r="B93" t="s">
        <v>61</v>
      </c>
      <c r="C93" t="s">
        <v>56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1746</v>
      </c>
      <c r="B94" t="s">
        <v>62</v>
      </c>
      <c r="C94" t="s">
        <v>56</v>
      </c>
      <c r="D94" t="s">
        <v>35</v>
      </c>
      <c r="E94">
        <v>3</v>
      </c>
      <c r="F94">
        <v>19</v>
      </c>
      <c r="G94">
        <v>2</v>
      </c>
      <c r="H94">
        <v>6</v>
      </c>
      <c r="J94">
        <f t="shared" si="2"/>
        <v>8910</v>
      </c>
      <c r="L94">
        <f t="shared" si="3"/>
        <v>3.9776785714285716</v>
      </c>
    </row>
    <row r="95" spans="1:12" x14ac:dyDescent="0.25">
      <c r="A95">
        <v>1746</v>
      </c>
      <c r="B95" t="s">
        <v>63</v>
      </c>
      <c r="C95" t="s">
        <v>56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1746</v>
      </c>
      <c r="B96" t="s">
        <v>89</v>
      </c>
      <c r="C96" t="s">
        <v>56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1746</v>
      </c>
      <c r="B97" t="s">
        <v>70</v>
      </c>
      <c r="C97" t="s">
        <v>56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1746</v>
      </c>
      <c r="B98" t="s">
        <v>64</v>
      </c>
      <c r="C98" t="s">
        <v>56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1746</v>
      </c>
      <c r="B99" t="s">
        <v>65</v>
      </c>
      <c r="C99" t="s">
        <v>56</v>
      </c>
      <c r="D99" t="s">
        <v>35</v>
      </c>
      <c r="J99">
        <f t="shared" si="2"/>
        <v>0</v>
      </c>
      <c r="L99">
        <f t="shared" si="3"/>
        <v>0</v>
      </c>
    </row>
  </sheetData>
  <autoFilter ref="A1:N53" xr:uid="{AAD1F908-12B8-4B3A-A65D-184CD229ACD4}">
    <sortState xmlns:xlrd2="http://schemas.microsoft.com/office/spreadsheetml/2017/richdata2" ref="A2:N53">
      <sortCondition ref="B1:B53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32DCE-EE6D-47FD-92B8-104BB2E94424}">
  <dimension ref="A1:L29"/>
  <sheetViews>
    <sheetView workbookViewId="0">
      <selection activeCell="H18" sqref="H18"/>
    </sheetView>
  </sheetViews>
  <sheetFormatPr defaultRowHeight="15" x14ac:dyDescent="0.25"/>
  <cols>
    <col min="2" max="3" width="17.140625" customWidth="1"/>
    <col min="4" max="4" width="13.5703125" customWidth="1"/>
    <col min="7" max="7" width="12.42578125" customWidth="1"/>
    <col min="8" max="8" width="13.85546875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1746</v>
      </c>
      <c r="B2" t="s">
        <v>66</v>
      </c>
      <c r="C2" t="s">
        <v>67</v>
      </c>
      <c r="D2" t="s">
        <v>33</v>
      </c>
      <c r="J2">
        <f t="shared" ref="J2:J29" si="0">(E2*2240)+(F2*112)+(G2*28)+H2</f>
        <v>0</v>
      </c>
      <c r="L2">
        <f t="shared" ref="L2:L29" si="1">J2/2240</f>
        <v>0</v>
      </c>
    </row>
    <row r="3" spans="1:12" x14ac:dyDescent="0.25">
      <c r="A3">
        <v>1746</v>
      </c>
      <c r="B3" t="s">
        <v>6</v>
      </c>
      <c r="C3" t="s">
        <v>67</v>
      </c>
      <c r="D3" t="s">
        <v>33</v>
      </c>
      <c r="E3" s="1"/>
      <c r="I3" s="1"/>
      <c r="J3">
        <f t="shared" si="0"/>
        <v>0</v>
      </c>
      <c r="K3" s="1"/>
      <c r="L3">
        <f t="shared" si="1"/>
        <v>0</v>
      </c>
    </row>
    <row r="4" spans="1:12" x14ac:dyDescent="0.25">
      <c r="A4">
        <v>1746</v>
      </c>
      <c r="B4" t="s">
        <v>8</v>
      </c>
      <c r="C4" t="s">
        <v>67</v>
      </c>
      <c r="D4" t="s">
        <v>33</v>
      </c>
      <c r="E4" s="1"/>
      <c r="F4" s="1"/>
      <c r="G4" s="1"/>
      <c r="I4" s="1"/>
      <c r="J4">
        <f t="shared" si="0"/>
        <v>0</v>
      </c>
      <c r="K4" s="1"/>
      <c r="L4">
        <f t="shared" si="1"/>
        <v>0</v>
      </c>
    </row>
    <row r="5" spans="1:12" x14ac:dyDescent="0.25">
      <c r="A5">
        <v>1746</v>
      </c>
      <c r="B5" t="s">
        <v>9</v>
      </c>
      <c r="C5" t="s">
        <v>67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1746</v>
      </c>
      <c r="B6" t="s">
        <v>11</v>
      </c>
      <c r="C6" t="s">
        <v>67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1746</v>
      </c>
      <c r="B7" t="s">
        <v>12</v>
      </c>
      <c r="C7" t="s">
        <v>67</v>
      </c>
      <c r="D7" t="s">
        <v>33</v>
      </c>
      <c r="H7">
        <v>500</v>
      </c>
      <c r="J7">
        <f t="shared" si="0"/>
        <v>500</v>
      </c>
      <c r="L7">
        <f t="shared" si="1"/>
        <v>0.22321428571428573</v>
      </c>
    </row>
    <row r="8" spans="1:12" x14ac:dyDescent="0.25">
      <c r="A8">
        <v>1746</v>
      </c>
      <c r="B8" t="s">
        <v>13</v>
      </c>
      <c r="C8" t="s">
        <v>67</v>
      </c>
      <c r="D8" t="s">
        <v>33</v>
      </c>
      <c r="E8">
        <v>12</v>
      </c>
      <c r="F8">
        <v>16</v>
      </c>
      <c r="J8">
        <f t="shared" si="0"/>
        <v>28672</v>
      </c>
      <c r="L8">
        <f t="shared" si="1"/>
        <v>12.8</v>
      </c>
    </row>
    <row r="9" spans="1:12" x14ac:dyDescent="0.25">
      <c r="A9">
        <v>1746</v>
      </c>
      <c r="B9" t="s">
        <v>27</v>
      </c>
      <c r="C9" t="s">
        <v>67</v>
      </c>
      <c r="D9" t="s">
        <v>33</v>
      </c>
      <c r="J9">
        <f t="shared" si="0"/>
        <v>0</v>
      </c>
      <c r="K9" s="1"/>
      <c r="L9">
        <f t="shared" si="1"/>
        <v>0</v>
      </c>
    </row>
    <row r="10" spans="1:12" x14ac:dyDescent="0.25">
      <c r="A10">
        <v>1746</v>
      </c>
      <c r="B10" t="s">
        <v>15</v>
      </c>
      <c r="C10" t="s">
        <v>67</v>
      </c>
      <c r="D10" t="s">
        <v>33</v>
      </c>
      <c r="J10">
        <f t="shared" si="0"/>
        <v>0</v>
      </c>
      <c r="K10" s="1"/>
      <c r="L10">
        <f t="shared" si="1"/>
        <v>0</v>
      </c>
    </row>
    <row r="11" spans="1:12" x14ac:dyDescent="0.25">
      <c r="A11">
        <v>1746</v>
      </c>
      <c r="B11" t="s">
        <v>17</v>
      </c>
      <c r="C11" t="s">
        <v>67</v>
      </c>
      <c r="D11" t="s">
        <v>33</v>
      </c>
      <c r="J11">
        <f t="shared" si="0"/>
        <v>0</v>
      </c>
      <c r="K11" s="1"/>
      <c r="L11">
        <f t="shared" si="1"/>
        <v>0</v>
      </c>
    </row>
    <row r="12" spans="1:12" x14ac:dyDescent="0.25">
      <c r="A12">
        <v>1746</v>
      </c>
      <c r="B12" t="s">
        <v>18</v>
      </c>
      <c r="C12" t="s">
        <v>67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1746</v>
      </c>
      <c r="B13" t="s">
        <v>19</v>
      </c>
      <c r="C13" t="s">
        <v>67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1746</v>
      </c>
      <c r="B14" t="s">
        <v>21</v>
      </c>
      <c r="C14" t="s">
        <v>67</v>
      </c>
      <c r="D14" t="s">
        <v>33</v>
      </c>
      <c r="H14">
        <v>116</v>
      </c>
      <c r="J14">
        <f t="shared" si="0"/>
        <v>116</v>
      </c>
      <c r="L14">
        <f t="shared" si="1"/>
        <v>5.1785714285714289E-2</v>
      </c>
    </row>
    <row r="15" spans="1:12" x14ac:dyDescent="0.25">
      <c r="A15">
        <v>1746</v>
      </c>
      <c r="B15" t="s">
        <v>90</v>
      </c>
      <c r="C15" t="s">
        <v>67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1746</v>
      </c>
      <c r="B16" t="s">
        <v>61</v>
      </c>
      <c r="C16" t="s">
        <v>67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1746</v>
      </c>
      <c r="B17" t="s">
        <v>62</v>
      </c>
      <c r="C17" t="s">
        <v>67</v>
      </c>
      <c r="D17" t="s">
        <v>33</v>
      </c>
      <c r="F17">
        <v>11</v>
      </c>
      <c r="J17">
        <f t="shared" si="0"/>
        <v>1232</v>
      </c>
      <c r="L17">
        <f t="shared" si="1"/>
        <v>0.55000000000000004</v>
      </c>
    </row>
    <row r="18" spans="1:12" x14ac:dyDescent="0.25">
      <c r="A18">
        <v>1746</v>
      </c>
      <c r="B18" t="s">
        <v>63</v>
      </c>
      <c r="C18" t="s">
        <v>67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1746</v>
      </c>
      <c r="B19" t="s">
        <v>6</v>
      </c>
      <c r="C19" t="s">
        <v>67</v>
      </c>
      <c r="D19" t="s">
        <v>35</v>
      </c>
      <c r="J19">
        <f t="shared" si="0"/>
        <v>0</v>
      </c>
      <c r="L19">
        <f t="shared" si="1"/>
        <v>0</v>
      </c>
    </row>
    <row r="20" spans="1:12" x14ac:dyDescent="0.25">
      <c r="A20">
        <v>1746</v>
      </c>
      <c r="B20" t="s">
        <v>12</v>
      </c>
      <c r="C20" t="s">
        <v>67</v>
      </c>
      <c r="D20" t="s">
        <v>35</v>
      </c>
      <c r="J20">
        <f t="shared" si="0"/>
        <v>0</v>
      </c>
      <c r="L20">
        <f t="shared" si="1"/>
        <v>0</v>
      </c>
    </row>
    <row r="21" spans="1:12" x14ac:dyDescent="0.25">
      <c r="A21">
        <v>1746</v>
      </c>
      <c r="B21" t="s">
        <v>41</v>
      </c>
      <c r="C21" t="s">
        <v>67</v>
      </c>
      <c r="D21" t="s">
        <v>35</v>
      </c>
      <c r="J21">
        <f t="shared" si="0"/>
        <v>0</v>
      </c>
      <c r="L21">
        <f t="shared" si="1"/>
        <v>0</v>
      </c>
    </row>
    <row r="22" spans="1:12" x14ac:dyDescent="0.25">
      <c r="A22">
        <v>1746</v>
      </c>
      <c r="B22" t="s">
        <v>27</v>
      </c>
      <c r="C22" t="s">
        <v>67</v>
      </c>
      <c r="D22" t="s">
        <v>35</v>
      </c>
      <c r="J22">
        <f t="shared" si="0"/>
        <v>0</v>
      </c>
      <c r="L22">
        <f t="shared" si="1"/>
        <v>0</v>
      </c>
    </row>
    <row r="23" spans="1:12" x14ac:dyDescent="0.25">
      <c r="A23">
        <v>1746</v>
      </c>
      <c r="B23" t="s">
        <v>17</v>
      </c>
      <c r="C23" t="s">
        <v>67</v>
      </c>
      <c r="D23" t="s">
        <v>35</v>
      </c>
      <c r="J23">
        <f t="shared" si="0"/>
        <v>0</v>
      </c>
      <c r="L23">
        <f t="shared" si="1"/>
        <v>0</v>
      </c>
    </row>
    <row r="24" spans="1:12" x14ac:dyDescent="0.25">
      <c r="A24">
        <v>1746</v>
      </c>
      <c r="B24" t="s">
        <v>19</v>
      </c>
      <c r="C24" t="s">
        <v>67</v>
      </c>
      <c r="D24" t="s">
        <v>35</v>
      </c>
      <c r="J24">
        <f t="shared" si="0"/>
        <v>0</v>
      </c>
      <c r="L24">
        <f t="shared" si="1"/>
        <v>0</v>
      </c>
    </row>
    <row r="25" spans="1:12" x14ac:dyDescent="0.25">
      <c r="A25">
        <v>1746</v>
      </c>
      <c r="B25" t="s">
        <v>54</v>
      </c>
      <c r="C25" t="s">
        <v>67</v>
      </c>
      <c r="D25" t="s">
        <v>35</v>
      </c>
      <c r="J25">
        <f t="shared" si="0"/>
        <v>0</v>
      </c>
      <c r="L25">
        <f t="shared" si="1"/>
        <v>0</v>
      </c>
    </row>
    <row r="26" spans="1:12" x14ac:dyDescent="0.25">
      <c r="A26">
        <v>1746</v>
      </c>
      <c r="B26" t="s">
        <v>9</v>
      </c>
      <c r="C26" t="s">
        <v>67</v>
      </c>
      <c r="D26" t="s">
        <v>35</v>
      </c>
      <c r="J26">
        <f t="shared" si="0"/>
        <v>0</v>
      </c>
      <c r="L26">
        <f t="shared" si="1"/>
        <v>0</v>
      </c>
    </row>
    <row r="27" spans="1:12" x14ac:dyDescent="0.25">
      <c r="A27">
        <v>1746</v>
      </c>
      <c r="B27" t="s">
        <v>8</v>
      </c>
      <c r="C27" t="s">
        <v>67</v>
      </c>
      <c r="D27" t="s">
        <v>35</v>
      </c>
      <c r="J27">
        <f t="shared" si="0"/>
        <v>0</v>
      </c>
      <c r="L27">
        <f t="shared" si="1"/>
        <v>0</v>
      </c>
    </row>
    <row r="28" spans="1:12" x14ac:dyDescent="0.25">
      <c r="A28">
        <v>1746</v>
      </c>
      <c r="B28" t="s">
        <v>61</v>
      </c>
      <c r="C28" t="s">
        <v>67</v>
      </c>
      <c r="D28" t="s">
        <v>35</v>
      </c>
      <c r="J28">
        <f t="shared" si="0"/>
        <v>0</v>
      </c>
      <c r="L28">
        <f t="shared" si="1"/>
        <v>0</v>
      </c>
    </row>
    <row r="29" spans="1:12" x14ac:dyDescent="0.25">
      <c r="A29">
        <v>1746</v>
      </c>
      <c r="B29" t="s">
        <v>63</v>
      </c>
      <c r="C29" t="s">
        <v>67</v>
      </c>
      <c r="D29" t="s">
        <v>35</v>
      </c>
      <c r="J29">
        <f t="shared" si="0"/>
        <v>0</v>
      </c>
      <c r="L29">
        <f t="shared" si="1"/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30DD-B439-4D0D-A79E-805D40D33689}">
  <dimension ref="A1:L134"/>
  <sheetViews>
    <sheetView topLeftCell="A97" zoomScaleNormal="100" workbookViewId="0">
      <selection activeCell="H113" sqref="H113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1746</v>
      </c>
      <c r="B2" t="s">
        <v>55</v>
      </c>
      <c r="C2" t="s">
        <v>68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1746</v>
      </c>
      <c r="B3" t="s">
        <v>57</v>
      </c>
      <c r="C3" t="s">
        <v>68</v>
      </c>
      <c r="D3" t="s">
        <v>33</v>
      </c>
      <c r="J3">
        <f t="shared" ref="J3:J72" si="0">(E3*2240)+(F3*112)+(G3*28)+H3</f>
        <v>0</v>
      </c>
      <c r="L3">
        <f t="shared" ref="L3:L72" si="1">J3/2240</f>
        <v>0</v>
      </c>
    </row>
    <row r="4" spans="1:12" x14ac:dyDescent="0.25">
      <c r="A4">
        <v>1746</v>
      </c>
      <c r="B4" t="s">
        <v>36</v>
      </c>
      <c r="C4" t="s">
        <v>68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1746</v>
      </c>
      <c r="B5" t="s">
        <v>4</v>
      </c>
      <c r="C5" t="s">
        <v>68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1746</v>
      </c>
      <c r="B6" t="s">
        <v>58</v>
      </c>
      <c r="C6" t="s">
        <v>68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1746</v>
      </c>
      <c r="B7" t="s">
        <v>69</v>
      </c>
      <c r="C7" t="s">
        <v>68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1746</v>
      </c>
      <c r="B8" t="s">
        <v>117</v>
      </c>
      <c r="C8" t="s">
        <v>68</v>
      </c>
      <c r="D8" t="s">
        <v>33</v>
      </c>
      <c r="H8">
        <v>23</v>
      </c>
      <c r="J8">
        <f t="shared" si="0"/>
        <v>23</v>
      </c>
      <c r="L8">
        <f t="shared" si="1"/>
        <v>1.0267857142857143E-2</v>
      </c>
    </row>
    <row r="9" spans="1:12" x14ac:dyDescent="0.25">
      <c r="A9">
        <v>1746</v>
      </c>
      <c r="B9" t="s">
        <v>101</v>
      </c>
      <c r="C9" t="s">
        <v>68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1746</v>
      </c>
      <c r="B10" t="s">
        <v>43</v>
      </c>
      <c r="C10" t="s">
        <v>68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1746</v>
      </c>
      <c r="B11" t="s">
        <v>76</v>
      </c>
      <c r="C11" t="s">
        <v>68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A12">
        <v>1746</v>
      </c>
      <c r="B12" t="s">
        <v>5</v>
      </c>
      <c r="C12" t="s">
        <v>68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1746</v>
      </c>
      <c r="B13" t="s">
        <v>59</v>
      </c>
      <c r="C13" t="s">
        <v>68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1746</v>
      </c>
      <c r="B14" t="s">
        <v>6</v>
      </c>
      <c r="C14" t="s">
        <v>68</v>
      </c>
      <c r="D14" t="s">
        <v>33</v>
      </c>
      <c r="F14">
        <v>111716</v>
      </c>
      <c r="H14">
        <v>4</v>
      </c>
      <c r="J14">
        <f t="shared" si="0"/>
        <v>12512196</v>
      </c>
      <c r="L14">
        <f t="shared" si="1"/>
        <v>5585.8017857142859</v>
      </c>
    </row>
    <row r="15" spans="1:12" x14ac:dyDescent="0.25">
      <c r="A15">
        <v>1746</v>
      </c>
      <c r="B15" t="s">
        <v>96</v>
      </c>
      <c r="C15" t="s">
        <v>68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1746</v>
      </c>
      <c r="B16" t="s">
        <v>60</v>
      </c>
      <c r="C16" t="s">
        <v>68</v>
      </c>
      <c r="D16" t="s">
        <v>33</v>
      </c>
      <c r="H16">
        <v>200</v>
      </c>
      <c r="J16">
        <f t="shared" si="0"/>
        <v>200</v>
      </c>
      <c r="L16">
        <f t="shared" si="1"/>
        <v>8.9285714285714288E-2</v>
      </c>
    </row>
    <row r="17" spans="1:12" x14ac:dyDescent="0.25">
      <c r="A17">
        <v>1746</v>
      </c>
      <c r="B17" t="s">
        <v>7</v>
      </c>
      <c r="C17" t="s">
        <v>68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1746</v>
      </c>
      <c r="B18" t="s">
        <v>37</v>
      </c>
      <c r="C18" t="s">
        <v>68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1746</v>
      </c>
      <c r="B19" t="s">
        <v>8</v>
      </c>
      <c r="C19" t="s">
        <v>68</v>
      </c>
      <c r="D19" t="s">
        <v>33</v>
      </c>
      <c r="F19">
        <v>89</v>
      </c>
      <c r="G19">
        <v>3</v>
      </c>
      <c r="H19">
        <v>14</v>
      </c>
      <c r="J19">
        <f t="shared" si="0"/>
        <v>10066</v>
      </c>
      <c r="L19">
        <f t="shared" si="1"/>
        <v>4.4937500000000004</v>
      </c>
    </row>
    <row r="20" spans="1:12" x14ac:dyDescent="0.25">
      <c r="A20">
        <v>1746</v>
      </c>
      <c r="B20" t="s">
        <v>40</v>
      </c>
      <c r="C20" t="s">
        <v>68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1746</v>
      </c>
      <c r="B21" t="s">
        <v>77</v>
      </c>
      <c r="C21" t="s">
        <v>68</v>
      </c>
      <c r="D21" t="s">
        <v>33</v>
      </c>
      <c r="F21">
        <v>60</v>
      </c>
      <c r="J21">
        <f t="shared" si="0"/>
        <v>6720</v>
      </c>
      <c r="L21">
        <f t="shared" si="1"/>
        <v>3</v>
      </c>
    </row>
    <row r="22" spans="1:12" x14ac:dyDescent="0.25">
      <c r="A22">
        <v>1746</v>
      </c>
      <c r="B22" t="s">
        <v>78</v>
      </c>
      <c r="C22" t="s">
        <v>68</v>
      </c>
      <c r="D22" t="s">
        <v>33</v>
      </c>
      <c r="H22">
        <v>6624</v>
      </c>
      <c r="J22">
        <f t="shared" si="0"/>
        <v>6624</v>
      </c>
      <c r="L22">
        <f t="shared" si="1"/>
        <v>2.9571428571428573</v>
      </c>
    </row>
    <row r="23" spans="1:12" x14ac:dyDescent="0.25">
      <c r="A23">
        <v>1746</v>
      </c>
      <c r="B23" t="s">
        <v>46</v>
      </c>
      <c r="C23" t="s">
        <v>68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1746</v>
      </c>
      <c r="B24" t="s">
        <v>9</v>
      </c>
      <c r="C24" t="s">
        <v>68</v>
      </c>
      <c r="D24" t="s">
        <v>33</v>
      </c>
      <c r="H24">
        <f>29*200</f>
        <v>5800</v>
      </c>
      <c r="I24" t="s">
        <v>125</v>
      </c>
      <c r="J24">
        <f t="shared" si="0"/>
        <v>5800</v>
      </c>
      <c r="L24">
        <f t="shared" si="1"/>
        <v>2.5892857142857144</v>
      </c>
    </row>
    <row r="25" spans="1:12" x14ac:dyDescent="0.25">
      <c r="A25">
        <v>1746</v>
      </c>
      <c r="B25" t="s">
        <v>10</v>
      </c>
      <c r="C25" t="s">
        <v>68</v>
      </c>
      <c r="D25" t="s">
        <v>33</v>
      </c>
      <c r="F25">
        <v>316</v>
      </c>
      <c r="G25">
        <v>2</v>
      </c>
      <c r="H25">
        <v>24</v>
      </c>
      <c r="J25">
        <f t="shared" si="0"/>
        <v>35472</v>
      </c>
      <c r="L25">
        <f t="shared" si="1"/>
        <v>15.835714285714285</v>
      </c>
    </row>
    <row r="26" spans="1:12" x14ac:dyDescent="0.25">
      <c r="A26">
        <v>1746</v>
      </c>
      <c r="B26" t="s">
        <v>11</v>
      </c>
      <c r="C26" t="s">
        <v>68</v>
      </c>
      <c r="D26" t="s">
        <v>33</v>
      </c>
      <c r="F26">
        <v>117</v>
      </c>
      <c r="G26">
        <v>1</v>
      </c>
      <c r="J26">
        <f t="shared" si="0"/>
        <v>13132</v>
      </c>
      <c r="L26">
        <f t="shared" si="1"/>
        <v>5.8624999999999998</v>
      </c>
    </row>
    <row r="27" spans="1:12" x14ac:dyDescent="0.25">
      <c r="A27">
        <v>1746</v>
      </c>
      <c r="B27" t="s">
        <v>39</v>
      </c>
      <c r="C27" t="s">
        <v>68</v>
      </c>
      <c r="D27" t="s">
        <v>33</v>
      </c>
      <c r="H27">
        <v>279</v>
      </c>
      <c r="J27">
        <f t="shared" si="0"/>
        <v>279</v>
      </c>
      <c r="L27">
        <f t="shared" si="1"/>
        <v>0.12455357142857143</v>
      </c>
    </row>
    <row r="28" spans="1:12" x14ac:dyDescent="0.25">
      <c r="A28">
        <v>1746</v>
      </c>
      <c r="B28" t="s">
        <v>79</v>
      </c>
      <c r="C28" t="s">
        <v>68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1746</v>
      </c>
      <c r="B29" t="s">
        <v>103</v>
      </c>
      <c r="C29" t="s">
        <v>68</v>
      </c>
      <c r="D29" t="s">
        <v>33</v>
      </c>
      <c r="H29">
        <v>804</v>
      </c>
      <c r="J29">
        <f t="shared" si="0"/>
        <v>804</v>
      </c>
      <c r="L29">
        <f t="shared" si="1"/>
        <v>0.35892857142857143</v>
      </c>
    </row>
    <row r="30" spans="1:12" x14ac:dyDescent="0.25">
      <c r="A30">
        <v>1746</v>
      </c>
      <c r="B30" t="s">
        <v>44</v>
      </c>
      <c r="C30" t="s">
        <v>68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1746</v>
      </c>
      <c r="B31" t="s">
        <v>97</v>
      </c>
      <c r="C31" t="s">
        <v>68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1746</v>
      </c>
      <c r="B32" t="s">
        <v>12</v>
      </c>
      <c r="C32" t="s">
        <v>68</v>
      </c>
      <c r="D32" t="s">
        <v>33</v>
      </c>
      <c r="H32">
        <v>86292</v>
      </c>
      <c r="J32">
        <f t="shared" si="0"/>
        <v>86292</v>
      </c>
      <c r="L32">
        <f t="shared" si="1"/>
        <v>38.523214285714289</v>
      </c>
    </row>
    <row r="33" spans="1:12" x14ac:dyDescent="0.25">
      <c r="A33">
        <v>1746</v>
      </c>
      <c r="B33" t="s">
        <v>82</v>
      </c>
      <c r="C33" t="s">
        <v>68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1746</v>
      </c>
      <c r="B34" t="s">
        <v>34</v>
      </c>
      <c r="C34" t="s">
        <v>68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1746</v>
      </c>
      <c r="B35" t="s">
        <v>13</v>
      </c>
      <c r="C35" t="s">
        <v>68</v>
      </c>
      <c r="D35" t="s">
        <v>33</v>
      </c>
      <c r="E35">
        <v>114</v>
      </c>
      <c r="F35">
        <v>7</v>
      </c>
      <c r="J35">
        <f t="shared" si="0"/>
        <v>256144</v>
      </c>
      <c r="L35">
        <f t="shared" si="1"/>
        <v>114.35</v>
      </c>
    </row>
    <row r="36" spans="1:12" x14ac:dyDescent="0.25">
      <c r="A36">
        <v>1746</v>
      </c>
      <c r="B36" t="s">
        <v>14</v>
      </c>
      <c r="C36" t="s">
        <v>68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1746</v>
      </c>
      <c r="B37" t="s">
        <v>23</v>
      </c>
      <c r="C37" t="s">
        <v>68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1746</v>
      </c>
      <c r="B38" t="s">
        <v>27</v>
      </c>
      <c r="C38" t="s">
        <v>68</v>
      </c>
      <c r="D38" t="s">
        <v>33</v>
      </c>
      <c r="H38">
        <v>43311</v>
      </c>
      <c r="I38" t="s">
        <v>120</v>
      </c>
      <c r="J38">
        <f t="shared" si="0"/>
        <v>43311</v>
      </c>
      <c r="L38">
        <f t="shared" si="1"/>
        <v>19.335267857142856</v>
      </c>
    </row>
    <row r="39" spans="1:12" x14ac:dyDescent="0.25">
      <c r="A39">
        <v>1746</v>
      </c>
      <c r="B39" t="s">
        <v>15</v>
      </c>
      <c r="C39" t="s">
        <v>68</v>
      </c>
      <c r="D39" t="s">
        <v>33</v>
      </c>
      <c r="F39">
        <v>17</v>
      </c>
      <c r="H39">
        <v>6</v>
      </c>
      <c r="J39">
        <f t="shared" si="0"/>
        <v>1910</v>
      </c>
      <c r="L39">
        <f t="shared" si="1"/>
        <v>0.8526785714285714</v>
      </c>
    </row>
    <row r="40" spans="1:12" x14ac:dyDescent="0.25">
      <c r="A40">
        <v>1746</v>
      </c>
      <c r="B40" t="s">
        <v>42</v>
      </c>
      <c r="C40" t="s">
        <v>68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1746</v>
      </c>
      <c r="B41" t="s">
        <v>83</v>
      </c>
      <c r="C41" t="s">
        <v>68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1746</v>
      </c>
      <c r="B42" t="s">
        <v>47</v>
      </c>
      <c r="C42" t="s">
        <v>68</v>
      </c>
      <c r="D42" t="s">
        <v>33</v>
      </c>
      <c r="H42">
        <v>230</v>
      </c>
      <c r="I42" t="s">
        <v>118</v>
      </c>
      <c r="J42">
        <f t="shared" si="0"/>
        <v>230</v>
      </c>
      <c r="L42">
        <f t="shared" si="1"/>
        <v>0.10267857142857142</v>
      </c>
    </row>
    <row r="43" spans="1:12" x14ac:dyDescent="0.25">
      <c r="A43">
        <v>1746</v>
      </c>
      <c r="B43" t="s">
        <v>16</v>
      </c>
      <c r="C43" t="s">
        <v>68</v>
      </c>
      <c r="D43" t="s">
        <v>33</v>
      </c>
      <c r="H43">
        <v>189582</v>
      </c>
      <c r="J43">
        <f t="shared" si="0"/>
        <v>189582</v>
      </c>
      <c r="L43">
        <f t="shared" si="1"/>
        <v>84.634821428571428</v>
      </c>
    </row>
    <row r="44" spans="1:12" x14ac:dyDescent="0.25">
      <c r="A44">
        <v>1746</v>
      </c>
      <c r="B44" t="s">
        <v>121</v>
      </c>
      <c r="C44" t="s">
        <v>68</v>
      </c>
      <c r="D44" t="s">
        <v>33</v>
      </c>
      <c r="H44">
        <v>14283.5</v>
      </c>
      <c r="I44" t="s">
        <v>122</v>
      </c>
      <c r="J44">
        <f t="shared" si="0"/>
        <v>14283.5</v>
      </c>
      <c r="L44">
        <f t="shared" si="1"/>
        <v>6.3765625000000004</v>
      </c>
    </row>
    <row r="45" spans="1:12" x14ac:dyDescent="0.25">
      <c r="A45">
        <v>1746</v>
      </c>
      <c r="B45" t="s">
        <v>106</v>
      </c>
      <c r="C45" t="s">
        <v>68</v>
      </c>
      <c r="D45" t="s">
        <v>33</v>
      </c>
      <c r="G45">
        <v>2</v>
      </c>
      <c r="J45">
        <f t="shared" ref="J45" si="2">(E45*2240)+(F45*112)+(G45*28)+H45</f>
        <v>56</v>
      </c>
      <c r="L45">
        <f t="shared" ref="L45" si="3">J45/2240</f>
        <v>2.5000000000000001E-2</v>
      </c>
    </row>
    <row r="46" spans="1:12" x14ac:dyDescent="0.25">
      <c r="A46">
        <v>1746</v>
      </c>
      <c r="B46" t="s">
        <v>17</v>
      </c>
      <c r="C46" t="s">
        <v>68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1746</v>
      </c>
      <c r="B47" t="s">
        <v>18</v>
      </c>
      <c r="C47" t="s">
        <v>68</v>
      </c>
      <c r="D47" t="s">
        <v>33</v>
      </c>
      <c r="H47">
        <v>1990781.5</v>
      </c>
      <c r="I47" t="s">
        <v>119</v>
      </c>
      <c r="J47">
        <f t="shared" si="0"/>
        <v>1990781.5</v>
      </c>
      <c r="L47">
        <f t="shared" si="1"/>
        <v>888.74174107142858</v>
      </c>
    </row>
    <row r="48" spans="1:12" x14ac:dyDescent="0.25">
      <c r="A48">
        <v>1746</v>
      </c>
      <c r="B48" t="s">
        <v>26</v>
      </c>
      <c r="C48" t="s">
        <v>68</v>
      </c>
      <c r="D48" t="s">
        <v>33</v>
      </c>
      <c r="H48">
        <v>408</v>
      </c>
      <c r="J48">
        <f t="shared" si="0"/>
        <v>408</v>
      </c>
      <c r="L48">
        <f t="shared" si="1"/>
        <v>0.18214285714285713</v>
      </c>
    </row>
    <row r="49" spans="1:12" x14ac:dyDescent="0.25">
      <c r="A49">
        <v>1746</v>
      </c>
      <c r="B49" t="s">
        <v>84</v>
      </c>
      <c r="C49" t="s">
        <v>68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1746</v>
      </c>
      <c r="B50" t="s">
        <v>19</v>
      </c>
      <c r="C50" t="s">
        <v>68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1746</v>
      </c>
      <c r="B51" t="s">
        <v>45</v>
      </c>
      <c r="C51" t="s">
        <v>68</v>
      </c>
      <c r="D51" t="s">
        <v>33</v>
      </c>
      <c r="H51">
        <v>3716</v>
      </c>
      <c r="J51">
        <f t="shared" si="0"/>
        <v>3716</v>
      </c>
      <c r="L51">
        <f t="shared" si="1"/>
        <v>1.6589285714285715</v>
      </c>
    </row>
    <row r="52" spans="1:12" x14ac:dyDescent="0.25">
      <c r="A52">
        <v>1746</v>
      </c>
      <c r="B52" t="s">
        <v>85</v>
      </c>
      <c r="C52" t="s">
        <v>68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1746</v>
      </c>
      <c r="B53" t="s">
        <v>54</v>
      </c>
      <c r="C53" t="s">
        <v>68</v>
      </c>
      <c r="D53" t="s">
        <v>33</v>
      </c>
      <c r="H53">
        <v>627</v>
      </c>
      <c r="J53">
        <f t="shared" si="0"/>
        <v>627</v>
      </c>
      <c r="L53">
        <f t="shared" si="1"/>
        <v>0.27991071428571429</v>
      </c>
    </row>
    <row r="54" spans="1:12" x14ac:dyDescent="0.25">
      <c r="A54">
        <v>1746</v>
      </c>
      <c r="B54" t="s">
        <v>95</v>
      </c>
      <c r="C54" t="s">
        <v>68</v>
      </c>
      <c r="D54" t="s">
        <v>33</v>
      </c>
      <c r="H54">
        <v>553</v>
      </c>
      <c r="J54">
        <f t="shared" si="0"/>
        <v>553</v>
      </c>
      <c r="L54">
        <f t="shared" si="1"/>
        <v>0.24687500000000001</v>
      </c>
    </row>
    <row r="55" spans="1:12" x14ac:dyDescent="0.25">
      <c r="A55">
        <v>1746</v>
      </c>
      <c r="B55" t="s">
        <v>20</v>
      </c>
      <c r="C55" t="s">
        <v>68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1746</v>
      </c>
      <c r="B56" t="s">
        <v>21</v>
      </c>
      <c r="C56" t="s">
        <v>68</v>
      </c>
      <c r="D56" t="s">
        <v>33</v>
      </c>
      <c r="H56">
        <v>2165</v>
      </c>
      <c r="J56">
        <f t="shared" si="0"/>
        <v>2165</v>
      </c>
      <c r="L56">
        <f t="shared" si="1"/>
        <v>0.9665178571428571</v>
      </c>
    </row>
    <row r="57" spans="1:12" x14ac:dyDescent="0.25">
      <c r="A57">
        <v>1746</v>
      </c>
      <c r="B57" t="s">
        <v>90</v>
      </c>
      <c r="C57" t="s">
        <v>68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1746</v>
      </c>
      <c r="B58" t="s">
        <v>22</v>
      </c>
      <c r="C58" t="s">
        <v>68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1746</v>
      </c>
      <c r="B59" t="s">
        <v>61</v>
      </c>
      <c r="C59" t="s">
        <v>68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1746</v>
      </c>
      <c r="B60" t="s">
        <v>123</v>
      </c>
      <c r="C60" t="s">
        <v>68</v>
      </c>
      <c r="D60" t="s">
        <v>33</v>
      </c>
      <c r="E60">
        <v>20</v>
      </c>
      <c r="J60">
        <f t="shared" si="0"/>
        <v>44800</v>
      </c>
      <c r="L60">
        <f t="shared" si="1"/>
        <v>20</v>
      </c>
    </row>
    <row r="61" spans="1:12" x14ac:dyDescent="0.25">
      <c r="A61">
        <v>1746</v>
      </c>
      <c r="B61" t="s">
        <v>98</v>
      </c>
      <c r="C61" t="s">
        <v>68</v>
      </c>
      <c r="D61" t="s">
        <v>33</v>
      </c>
      <c r="E61">
        <v>8</v>
      </c>
      <c r="F61">
        <v>18</v>
      </c>
      <c r="H61">
        <v>6</v>
      </c>
      <c r="J61">
        <f t="shared" si="0"/>
        <v>19942</v>
      </c>
      <c r="L61">
        <f t="shared" si="1"/>
        <v>8.9026785714285719</v>
      </c>
    </row>
    <row r="62" spans="1:12" x14ac:dyDescent="0.25">
      <c r="A62">
        <v>1746</v>
      </c>
      <c r="B62" t="s">
        <v>87</v>
      </c>
      <c r="C62" t="s">
        <v>68</v>
      </c>
      <c r="D62" t="s">
        <v>33</v>
      </c>
      <c r="E62">
        <v>65</v>
      </c>
      <c r="F62">
        <v>10</v>
      </c>
      <c r="J62">
        <f t="shared" si="0"/>
        <v>146720</v>
      </c>
      <c r="L62">
        <f t="shared" si="1"/>
        <v>65.5</v>
      </c>
    </row>
    <row r="63" spans="1:12" x14ac:dyDescent="0.25">
      <c r="A63">
        <v>1746</v>
      </c>
      <c r="B63" t="s">
        <v>62</v>
      </c>
      <c r="C63" t="s">
        <v>68</v>
      </c>
      <c r="D63" t="s">
        <v>33</v>
      </c>
      <c r="E63">
        <v>151</v>
      </c>
      <c r="J63">
        <f t="shared" si="0"/>
        <v>338240</v>
      </c>
      <c r="L63">
        <f t="shared" si="1"/>
        <v>151</v>
      </c>
    </row>
    <row r="64" spans="1:12" x14ac:dyDescent="0.25">
      <c r="A64">
        <v>1746</v>
      </c>
      <c r="B64" t="s">
        <v>88</v>
      </c>
      <c r="C64" t="s">
        <v>68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1746</v>
      </c>
      <c r="B65" t="s">
        <v>63</v>
      </c>
      <c r="C65" t="s">
        <v>68</v>
      </c>
      <c r="D65" t="s">
        <v>33</v>
      </c>
      <c r="E65">
        <v>45</v>
      </c>
      <c r="F65">
        <v>10</v>
      </c>
      <c r="J65">
        <f t="shared" si="0"/>
        <v>101920</v>
      </c>
      <c r="L65">
        <f t="shared" si="1"/>
        <v>45.5</v>
      </c>
    </row>
    <row r="66" spans="1:12" x14ac:dyDescent="0.25">
      <c r="A66">
        <v>1746</v>
      </c>
      <c r="B66" t="s">
        <v>89</v>
      </c>
      <c r="C66" t="s">
        <v>68</v>
      </c>
      <c r="D66" t="s">
        <v>33</v>
      </c>
      <c r="E66">
        <v>139</v>
      </c>
      <c r="G66">
        <v>4707</v>
      </c>
      <c r="J66">
        <f t="shared" si="0"/>
        <v>443156</v>
      </c>
      <c r="L66">
        <f t="shared" si="1"/>
        <v>197.83750000000001</v>
      </c>
    </row>
    <row r="67" spans="1:12" x14ac:dyDescent="0.25">
      <c r="A67">
        <v>1746</v>
      </c>
      <c r="B67" t="s">
        <v>70</v>
      </c>
      <c r="C67" t="s">
        <v>68</v>
      </c>
      <c r="D67" t="s">
        <v>33</v>
      </c>
      <c r="E67">
        <v>2</v>
      </c>
      <c r="F67">
        <v>10</v>
      </c>
      <c r="J67">
        <f t="shared" si="0"/>
        <v>5600</v>
      </c>
      <c r="L67">
        <f t="shared" si="1"/>
        <v>2.5</v>
      </c>
    </row>
    <row r="68" spans="1:12" x14ac:dyDescent="0.25">
      <c r="A68">
        <v>1746</v>
      </c>
      <c r="B68" t="s">
        <v>64</v>
      </c>
      <c r="C68" t="s">
        <v>68</v>
      </c>
      <c r="D68" t="s">
        <v>33</v>
      </c>
      <c r="J68">
        <f t="shared" si="0"/>
        <v>0</v>
      </c>
      <c r="L68">
        <f t="shared" si="1"/>
        <v>0</v>
      </c>
    </row>
    <row r="69" spans="1:12" x14ac:dyDescent="0.25">
      <c r="A69">
        <v>1746</v>
      </c>
      <c r="B69" t="s">
        <v>124</v>
      </c>
      <c r="C69" t="s">
        <v>68</v>
      </c>
      <c r="D69" t="s">
        <v>33</v>
      </c>
      <c r="E69">
        <v>5</v>
      </c>
      <c r="J69">
        <f t="shared" si="0"/>
        <v>11200</v>
      </c>
      <c r="L69">
        <f t="shared" si="1"/>
        <v>5</v>
      </c>
    </row>
    <row r="70" spans="1:12" x14ac:dyDescent="0.25">
      <c r="A70">
        <v>1746</v>
      </c>
      <c r="B70" t="s">
        <v>55</v>
      </c>
      <c r="C70" t="s">
        <v>68</v>
      </c>
      <c r="D70" t="s">
        <v>35</v>
      </c>
      <c r="J70">
        <f t="shared" si="0"/>
        <v>0</v>
      </c>
      <c r="L70">
        <f t="shared" si="1"/>
        <v>0</v>
      </c>
    </row>
    <row r="71" spans="1:12" x14ac:dyDescent="0.25">
      <c r="A71">
        <v>1746</v>
      </c>
      <c r="B71" t="s">
        <v>57</v>
      </c>
      <c r="C71" t="s">
        <v>68</v>
      </c>
      <c r="D71" t="s">
        <v>35</v>
      </c>
      <c r="J71">
        <f t="shared" si="0"/>
        <v>0</v>
      </c>
      <c r="L71">
        <f t="shared" si="1"/>
        <v>0</v>
      </c>
    </row>
    <row r="72" spans="1:12" x14ac:dyDescent="0.25">
      <c r="A72">
        <v>1746</v>
      </c>
      <c r="B72" t="s">
        <v>36</v>
      </c>
      <c r="C72" t="s">
        <v>68</v>
      </c>
      <c r="D72" t="s">
        <v>35</v>
      </c>
      <c r="H72">
        <v>900</v>
      </c>
      <c r="J72">
        <f t="shared" si="0"/>
        <v>900</v>
      </c>
      <c r="L72">
        <f t="shared" si="1"/>
        <v>0.4017857142857143</v>
      </c>
    </row>
    <row r="73" spans="1:12" x14ac:dyDescent="0.25">
      <c r="A73">
        <v>1746</v>
      </c>
      <c r="B73" t="s">
        <v>4</v>
      </c>
      <c r="C73" t="s">
        <v>68</v>
      </c>
      <c r="D73" t="s">
        <v>35</v>
      </c>
      <c r="J73">
        <f t="shared" ref="J73:J134" si="4">(E73*2240)+(F73*112)+(G73*28)+H73</f>
        <v>0</v>
      </c>
      <c r="L73">
        <f t="shared" ref="L73:L134" si="5">J73/2240</f>
        <v>0</v>
      </c>
    </row>
    <row r="74" spans="1:12" x14ac:dyDescent="0.25">
      <c r="A74">
        <v>1746</v>
      </c>
      <c r="B74" t="s">
        <v>58</v>
      </c>
      <c r="C74" t="s">
        <v>68</v>
      </c>
      <c r="D74" t="s">
        <v>35</v>
      </c>
      <c r="J74">
        <f t="shared" si="4"/>
        <v>0</v>
      </c>
      <c r="L74">
        <f t="shared" si="5"/>
        <v>0</v>
      </c>
    </row>
    <row r="75" spans="1:12" x14ac:dyDescent="0.25">
      <c r="A75">
        <v>1746</v>
      </c>
      <c r="B75" t="s">
        <v>69</v>
      </c>
      <c r="C75" t="s">
        <v>68</v>
      </c>
      <c r="D75" t="s">
        <v>35</v>
      </c>
      <c r="J75">
        <f t="shared" si="4"/>
        <v>0</v>
      </c>
      <c r="L75">
        <f t="shared" si="5"/>
        <v>0</v>
      </c>
    </row>
    <row r="76" spans="1:12" x14ac:dyDescent="0.25">
      <c r="A76">
        <v>1746</v>
      </c>
      <c r="B76" t="s">
        <v>101</v>
      </c>
      <c r="C76" t="s">
        <v>68</v>
      </c>
      <c r="D76" t="s">
        <v>35</v>
      </c>
      <c r="J76">
        <f t="shared" si="4"/>
        <v>0</v>
      </c>
      <c r="L76">
        <f t="shared" si="5"/>
        <v>0</v>
      </c>
    </row>
    <row r="77" spans="1:12" x14ac:dyDescent="0.25">
      <c r="A77">
        <v>1746</v>
      </c>
      <c r="B77" t="s">
        <v>43</v>
      </c>
      <c r="C77" t="s">
        <v>68</v>
      </c>
      <c r="D77" t="s">
        <v>35</v>
      </c>
      <c r="J77">
        <f t="shared" si="4"/>
        <v>0</v>
      </c>
      <c r="L77">
        <f t="shared" si="5"/>
        <v>0</v>
      </c>
    </row>
    <row r="78" spans="1:12" x14ac:dyDescent="0.25">
      <c r="A78">
        <v>1746</v>
      </c>
      <c r="B78" t="s">
        <v>76</v>
      </c>
      <c r="C78" t="s">
        <v>68</v>
      </c>
      <c r="D78" t="s">
        <v>35</v>
      </c>
      <c r="J78">
        <f t="shared" si="4"/>
        <v>0</v>
      </c>
      <c r="L78">
        <f t="shared" si="5"/>
        <v>0</v>
      </c>
    </row>
    <row r="79" spans="1:12" x14ac:dyDescent="0.25">
      <c r="A79">
        <v>1746</v>
      </c>
      <c r="B79" t="s">
        <v>5</v>
      </c>
      <c r="C79" t="s">
        <v>68</v>
      </c>
      <c r="D79" t="s">
        <v>35</v>
      </c>
      <c r="F79">
        <v>2</v>
      </c>
      <c r="G79">
        <v>1</v>
      </c>
      <c r="H79">
        <v>21</v>
      </c>
      <c r="J79">
        <f t="shared" si="4"/>
        <v>273</v>
      </c>
      <c r="L79">
        <f t="shared" si="5"/>
        <v>0.121875</v>
      </c>
    </row>
    <row r="80" spans="1:12" x14ac:dyDescent="0.25">
      <c r="A80">
        <v>1746</v>
      </c>
      <c r="B80" t="s">
        <v>59</v>
      </c>
      <c r="C80" t="s">
        <v>68</v>
      </c>
      <c r="D80" t="s">
        <v>35</v>
      </c>
      <c r="J80">
        <f t="shared" si="4"/>
        <v>0</v>
      </c>
      <c r="L80">
        <f t="shared" si="5"/>
        <v>0</v>
      </c>
    </row>
    <row r="81" spans="1:12" x14ac:dyDescent="0.25">
      <c r="A81">
        <v>1746</v>
      </c>
      <c r="B81" t="s">
        <v>6</v>
      </c>
      <c r="C81" t="s">
        <v>68</v>
      </c>
      <c r="D81" t="s">
        <v>35</v>
      </c>
      <c r="F81">
        <v>128003</v>
      </c>
      <c r="G81">
        <v>2</v>
      </c>
      <c r="H81">
        <v>11</v>
      </c>
      <c r="J81">
        <f t="shared" si="4"/>
        <v>14336403</v>
      </c>
      <c r="L81">
        <f t="shared" si="5"/>
        <v>6400.1799107142861</v>
      </c>
    </row>
    <row r="82" spans="1:12" x14ac:dyDescent="0.25">
      <c r="A82">
        <v>1746</v>
      </c>
      <c r="B82" t="s">
        <v>60</v>
      </c>
      <c r="C82" t="s">
        <v>68</v>
      </c>
      <c r="D82" t="s">
        <v>35</v>
      </c>
      <c r="J82">
        <f t="shared" si="4"/>
        <v>0</v>
      </c>
      <c r="L82">
        <f t="shared" si="5"/>
        <v>0</v>
      </c>
    </row>
    <row r="83" spans="1:12" x14ac:dyDescent="0.25">
      <c r="A83">
        <v>1746</v>
      </c>
      <c r="B83" t="s">
        <v>38</v>
      </c>
      <c r="C83" t="s">
        <v>68</v>
      </c>
      <c r="D83" t="s">
        <v>35</v>
      </c>
      <c r="J83">
        <f t="shared" si="4"/>
        <v>0</v>
      </c>
      <c r="L83">
        <f t="shared" si="5"/>
        <v>0</v>
      </c>
    </row>
    <row r="84" spans="1:12" x14ac:dyDescent="0.25">
      <c r="A84">
        <v>1746</v>
      </c>
      <c r="B84" t="s">
        <v>37</v>
      </c>
      <c r="C84" t="s">
        <v>68</v>
      </c>
      <c r="D84" t="s">
        <v>35</v>
      </c>
      <c r="J84">
        <f t="shared" si="4"/>
        <v>0</v>
      </c>
      <c r="L84">
        <f t="shared" si="5"/>
        <v>0</v>
      </c>
    </row>
    <row r="85" spans="1:12" x14ac:dyDescent="0.25">
      <c r="A85">
        <v>1746</v>
      </c>
      <c r="B85" t="s">
        <v>8</v>
      </c>
      <c r="C85" t="s">
        <v>68</v>
      </c>
      <c r="D85" t="s">
        <v>35</v>
      </c>
      <c r="J85">
        <f t="shared" si="4"/>
        <v>0</v>
      </c>
      <c r="L85">
        <f t="shared" si="5"/>
        <v>0</v>
      </c>
    </row>
    <row r="86" spans="1:12" x14ac:dyDescent="0.25">
      <c r="A86">
        <v>1746</v>
      </c>
      <c r="B86" t="s">
        <v>40</v>
      </c>
      <c r="C86" t="s">
        <v>68</v>
      </c>
      <c r="D86" t="s">
        <v>35</v>
      </c>
      <c r="J86">
        <f t="shared" si="4"/>
        <v>0</v>
      </c>
      <c r="L86">
        <f t="shared" si="5"/>
        <v>0</v>
      </c>
    </row>
    <row r="87" spans="1:12" x14ac:dyDescent="0.25">
      <c r="A87">
        <v>1746</v>
      </c>
      <c r="B87" t="s">
        <v>77</v>
      </c>
      <c r="C87" t="s">
        <v>68</v>
      </c>
      <c r="D87" t="s">
        <v>35</v>
      </c>
      <c r="J87">
        <f t="shared" si="4"/>
        <v>0</v>
      </c>
      <c r="L87">
        <f t="shared" si="5"/>
        <v>0</v>
      </c>
    </row>
    <row r="88" spans="1:12" x14ac:dyDescent="0.25">
      <c r="A88">
        <v>1746</v>
      </c>
      <c r="B88" t="s">
        <v>78</v>
      </c>
      <c r="C88" t="s">
        <v>68</v>
      </c>
      <c r="D88" t="s">
        <v>35</v>
      </c>
      <c r="J88">
        <f t="shared" si="4"/>
        <v>0</v>
      </c>
      <c r="L88">
        <f t="shared" si="5"/>
        <v>0</v>
      </c>
    </row>
    <row r="89" spans="1:12" x14ac:dyDescent="0.25">
      <c r="A89">
        <v>1746</v>
      </c>
      <c r="B89" t="s">
        <v>46</v>
      </c>
      <c r="C89" t="s">
        <v>68</v>
      </c>
      <c r="D89" t="s">
        <v>35</v>
      </c>
      <c r="J89">
        <f t="shared" si="4"/>
        <v>0</v>
      </c>
      <c r="L89">
        <f t="shared" si="5"/>
        <v>0</v>
      </c>
    </row>
    <row r="90" spans="1:12" x14ac:dyDescent="0.25">
      <c r="A90">
        <v>1746</v>
      </c>
      <c r="B90" t="s">
        <v>9</v>
      </c>
      <c r="C90" t="s">
        <v>68</v>
      </c>
      <c r="D90" t="s">
        <v>35</v>
      </c>
      <c r="H90">
        <f>851*200+25</f>
        <v>170225</v>
      </c>
      <c r="I90" t="s">
        <v>150</v>
      </c>
      <c r="J90">
        <f t="shared" si="4"/>
        <v>170225</v>
      </c>
      <c r="L90">
        <f t="shared" si="5"/>
        <v>75.993303571428569</v>
      </c>
    </row>
    <row r="91" spans="1:12" x14ac:dyDescent="0.25">
      <c r="A91">
        <v>1746</v>
      </c>
      <c r="B91" t="s">
        <v>10</v>
      </c>
      <c r="C91" t="s">
        <v>68</v>
      </c>
      <c r="D91" t="s">
        <v>35</v>
      </c>
      <c r="F91">
        <v>500</v>
      </c>
      <c r="G91">
        <v>3</v>
      </c>
      <c r="J91">
        <f t="shared" si="4"/>
        <v>56084</v>
      </c>
      <c r="L91">
        <f t="shared" si="5"/>
        <v>25.037500000000001</v>
      </c>
    </row>
    <row r="92" spans="1:12" x14ac:dyDescent="0.25">
      <c r="A92">
        <v>1746</v>
      </c>
      <c r="B92" t="s">
        <v>11</v>
      </c>
      <c r="C92" t="s">
        <v>68</v>
      </c>
      <c r="D92" t="s">
        <v>35</v>
      </c>
      <c r="F92">
        <v>356</v>
      </c>
      <c r="G92">
        <v>1</v>
      </c>
      <c r="H92">
        <v>24</v>
      </c>
      <c r="J92">
        <f t="shared" si="4"/>
        <v>39924</v>
      </c>
      <c r="L92">
        <f t="shared" si="5"/>
        <v>17.823214285714286</v>
      </c>
    </row>
    <row r="93" spans="1:12" x14ac:dyDescent="0.25">
      <c r="A93">
        <v>1746</v>
      </c>
      <c r="B93" t="s">
        <v>39</v>
      </c>
      <c r="C93" t="s">
        <v>68</v>
      </c>
      <c r="D93" t="s">
        <v>35</v>
      </c>
      <c r="J93">
        <f t="shared" si="4"/>
        <v>0</v>
      </c>
      <c r="L93">
        <f t="shared" si="5"/>
        <v>0</v>
      </c>
    </row>
    <row r="94" spans="1:12" x14ac:dyDescent="0.25">
      <c r="A94">
        <v>1746</v>
      </c>
      <c r="B94" t="s">
        <v>79</v>
      </c>
      <c r="C94" t="s">
        <v>68</v>
      </c>
      <c r="D94" t="s">
        <v>35</v>
      </c>
      <c r="J94">
        <f t="shared" si="4"/>
        <v>0</v>
      </c>
      <c r="L94">
        <f t="shared" si="5"/>
        <v>0</v>
      </c>
    </row>
    <row r="95" spans="1:12" x14ac:dyDescent="0.25">
      <c r="A95">
        <v>1746</v>
      </c>
      <c r="B95" t="s">
        <v>103</v>
      </c>
      <c r="C95" t="s">
        <v>68</v>
      </c>
      <c r="D95" t="s">
        <v>35</v>
      </c>
      <c r="J95">
        <f t="shared" si="4"/>
        <v>0</v>
      </c>
      <c r="L95">
        <f t="shared" si="5"/>
        <v>0</v>
      </c>
    </row>
    <row r="96" spans="1:12" x14ac:dyDescent="0.25">
      <c r="A96">
        <v>1746</v>
      </c>
      <c r="B96" t="s">
        <v>44</v>
      </c>
      <c r="C96" t="s">
        <v>68</v>
      </c>
      <c r="D96" t="s">
        <v>35</v>
      </c>
      <c r="J96">
        <f t="shared" si="4"/>
        <v>0</v>
      </c>
      <c r="L96">
        <f t="shared" si="5"/>
        <v>0</v>
      </c>
    </row>
    <row r="97" spans="1:12" x14ac:dyDescent="0.25">
      <c r="A97">
        <v>1746</v>
      </c>
      <c r="B97" t="s">
        <v>97</v>
      </c>
      <c r="C97" t="s">
        <v>68</v>
      </c>
      <c r="D97" t="s">
        <v>35</v>
      </c>
      <c r="J97">
        <f t="shared" si="4"/>
        <v>0</v>
      </c>
      <c r="L97">
        <f t="shared" si="5"/>
        <v>0</v>
      </c>
    </row>
    <row r="98" spans="1:12" x14ac:dyDescent="0.25">
      <c r="A98">
        <v>1746</v>
      </c>
      <c r="B98" t="s">
        <v>12</v>
      </c>
      <c r="C98" t="s">
        <v>68</v>
      </c>
      <c r="D98" t="s">
        <v>35</v>
      </c>
      <c r="H98">
        <v>36836</v>
      </c>
      <c r="J98">
        <f t="shared" si="4"/>
        <v>36836</v>
      </c>
      <c r="L98">
        <f t="shared" si="5"/>
        <v>16.444642857142856</v>
      </c>
    </row>
    <row r="99" spans="1:12" x14ac:dyDescent="0.25">
      <c r="A99">
        <v>1746</v>
      </c>
      <c r="B99" t="s">
        <v>82</v>
      </c>
      <c r="C99" t="s">
        <v>68</v>
      </c>
      <c r="D99" t="s">
        <v>35</v>
      </c>
      <c r="J99">
        <f t="shared" si="4"/>
        <v>0</v>
      </c>
      <c r="L99">
        <f t="shared" si="5"/>
        <v>0</v>
      </c>
    </row>
    <row r="100" spans="1:12" x14ac:dyDescent="0.25">
      <c r="A100">
        <v>1746</v>
      </c>
      <c r="B100" t="s">
        <v>34</v>
      </c>
      <c r="C100" t="s">
        <v>68</v>
      </c>
      <c r="D100" t="s">
        <v>35</v>
      </c>
      <c r="J100">
        <f t="shared" si="4"/>
        <v>0</v>
      </c>
      <c r="L100">
        <f t="shared" si="5"/>
        <v>0</v>
      </c>
    </row>
    <row r="101" spans="1:12" x14ac:dyDescent="0.25">
      <c r="A101">
        <v>1746</v>
      </c>
      <c r="B101" t="s">
        <v>13</v>
      </c>
      <c r="C101" t="s">
        <v>68</v>
      </c>
      <c r="D101" t="s">
        <v>35</v>
      </c>
      <c r="E101">
        <v>403</v>
      </c>
      <c r="F101">
        <v>4</v>
      </c>
      <c r="G101">
        <v>2</v>
      </c>
      <c r="H101">
        <v>16</v>
      </c>
      <c r="J101">
        <f t="shared" si="4"/>
        <v>903240</v>
      </c>
      <c r="L101">
        <f t="shared" si="5"/>
        <v>403.23214285714283</v>
      </c>
    </row>
    <row r="102" spans="1:12" x14ac:dyDescent="0.25">
      <c r="A102">
        <v>1746</v>
      </c>
      <c r="B102" t="s">
        <v>14</v>
      </c>
      <c r="C102" t="s">
        <v>68</v>
      </c>
      <c r="D102" t="s">
        <v>35</v>
      </c>
      <c r="J102">
        <f t="shared" si="4"/>
        <v>0</v>
      </c>
      <c r="L102">
        <f t="shared" si="5"/>
        <v>0</v>
      </c>
    </row>
    <row r="103" spans="1:12" x14ac:dyDescent="0.25">
      <c r="A103">
        <v>1746</v>
      </c>
      <c r="B103" t="s">
        <v>23</v>
      </c>
      <c r="C103" t="s">
        <v>68</v>
      </c>
      <c r="D103" t="s">
        <v>35</v>
      </c>
      <c r="J103">
        <f t="shared" si="4"/>
        <v>0</v>
      </c>
      <c r="L103">
        <f t="shared" si="5"/>
        <v>0</v>
      </c>
    </row>
    <row r="104" spans="1:12" x14ac:dyDescent="0.25">
      <c r="A104">
        <v>1746</v>
      </c>
      <c r="B104" t="s">
        <v>27</v>
      </c>
      <c r="C104" t="s">
        <v>68</v>
      </c>
      <c r="D104" t="s">
        <v>35</v>
      </c>
      <c r="H104">
        <v>10713</v>
      </c>
      <c r="I104" t="s">
        <v>149</v>
      </c>
      <c r="J104">
        <f t="shared" si="4"/>
        <v>10713</v>
      </c>
      <c r="L104">
        <f t="shared" si="5"/>
        <v>4.7825892857142858</v>
      </c>
    </row>
    <row r="105" spans="1:12" x14ac:dyDescent="0.25">
      <c r="A105">
        <v>1746</v>
      </c>
      <c r="B105" t="s">
        <v>15</v>
      </c>
      <c r="C105" t="s">
        <v>68</v>
      </c>
      <c r="D105" t="s">
        <v>35</v>
      </c>
      <c r="J105">
        <f t="shared" si="4"/>
        <v>0</v>
      </c>
      <c r="L105">
        <f t="shared" si="5"/>
        <v>0</v>
      </c>
    </row>
    <row r="106" spans="1:12" x14ac:dyDescent="0.25">
      <c r="A106">
        <v>1746</v>
      </c>
      <c r="B106" t="s">
        <v>93</v>
      </c>
      <c r="C106" t="s">
        <v>68</v>
      </c>
      <c r="D106" t="s">
        <v>35</v>
      </c>
      <c r="J106">
        <f t="shared" si="4"/>
        <v>0</v>
      </c>
      <c r="L106">
        <f t="shared" si="5"/>
        <v>0</v>
      </c>
    </row>
    <row r="107" spans="1:12" x14ac:dyDescent="0.25">
      <c r="A107">
        <v>1746</v>
      </c>
      <c r="B107" t="s">
        <v>42</v>
      </c>
      <c r="C107" t="s">
        <v>68</v>
      </c>
      <c r="D107" t="s">
        <v>35</v>
      </c>
      <c r="J107">
        <f t="shared" si="4"/>
        <v>0</v>
      </c>
      <c r="L107">
        <f t="shared" si="5"/>
        <v>0</v>
      </c>
    </row>
    <row r="108" spans="1:12" x14ac:dyDescent="0.25">
      <c r="A108">
        <v>1746</v>
      </c>
      <c r="B108" t="s">
        <v>83</v>
      </c>
      <c r="C108" t="s">
        <v>68</v>
      </c>
      <c r="D108" t="s">
        <v>35</v>
      </c>
      <c r="J108">
        <f t="shared" si="4"/>
        <v>0</v>
      </c>
      <c r="L108">
        <f t="shared" si="5"/>
        <v>0</v>
      </c>
    </row>
    <row r="109" spans="1:12" x14ac:dyDescent="0.25">
      <c r="A109">
        <v>1746</v>
      </c>
      <c r="B109" t="s">
        <v>47</v>
      </c>
      <c r="C109" t="s">
        <v>68</v>
      </c>
      <c r="D109" t="s">
        <v>35</v>
      </c>
      <c r="J109">
        <f t="shared" si="4"/>
        <v>0</v>
      </c>
      <c r="L109">
        <f t="shared" si="5"/>
        <v>0</v>
      </c>
    </row>
    <row r="110" spans="1:12" x14ac:dyDescent="0.25">
      <c r="A110">
        <v>1746</v>
      </c>
      <c r="B110" t="s">
        <v>16</v>
      </c>
      <c r="C110" t="s">
        <v>68</v>
      </c>
      <c r="D110" t="s">
        <v>35</v>
      </c>
      <c r="H110">
        <v>267450</v>
      </c>
      <c r="J110">
        <f t="shared" si="4"/>
        <v>267450</v>
      </c>
      <c r="L110">
        <f t="shared" si="5"/>
        <v>119.39732142857143</v>
      </c>
    </row>
    <row r="111" spans="1:12" x14ac:dyDescent="0.25">
      <c r="A111">
        <v>1746</v>
      </c>
      <c r="B111" t="s">
        <v>17</v>
      </c>
      <c r="C111" t="s">
        <v>68</v>
      </c>
      <c r="D111" t="s">
        <v>35</v>
      </c>
      <c r="J111">
        <f t="shared" si="4"/>
        <v>0</v>
      </c>
      <c r="L111">
        <f t="shared" si="5"/>
        <v>0</v>
      </c>
    </row>
    <row r="112" spans="1:12" x14ac:dyDescent="0.25">
      <c r="A112">
        <v>1746</v>
      </c>
      <c r="B112" t="s">
        <v>18</v>
      </c>
      <c r="C112" t="s">
        <v>68</v>
      </c>
      <c r="D112" t="s">
        <v>35</v>
      </c>
      <c r="H112">
        <v>896850.5</v>
      </c>
      <c r="I112" t="s">
        <v>148</v>
      </c>
      <c r="J112">
        <f t="shared" si="4"/>
        <v>896850.5</v>
      </c>
      <c r="L112">
        <f t="shared" si="5"/>
        <v>400.37968749999999</v>
      </c>
    </row>
    <row r="113" spans="1:12" x14ac:dyDescent="0.25">
      <c r="A113">
        <v>1746</v>
      </c>
      <c r="B113" t="s">
        <v>26</v>
      </c>
      <c r="C113" t="s">
        <v>68</v>
      </c>
      <c r="D113" t="s">
        <v>35</v>
      </c>
      <c r="J113">
        <f t="shared" si="4"/>
        <v>0</v>
      </c>
      <c r="L113">
        <f t="shared" si="5"/>
        <v>0</v>
      </c>
    </row>
    <row r="114" spans="1:12" x14ac:dyDescent="0.25">
      <c r="A114">
        <v>1746</v>
      </c>
      <c r="B114" t="s">
        <v>84</v>
      </c>
      <c r="C114" t="s">
        <v>68</v>
      </c>
      <c r="D114" t="s">
        <v>35</v>
      </c>
      <c r="J114">
        <f t="shared" si="4"/>
        <v>0</v>
      </c>
      <c r="L114">
        <f t="shared" si="5"/>
        <v>0</v>
      </c>
    </row>
    <row r="115" spans="1:12" x14ac:dyDescent="0.25">
      <c r="A115">
        <v>1746</v>
      </c>
      <c r="B115" t="s">
        <v>19</v>
      </c>
      <c r="C115" t="s">
        <v>68</v>
      </c>
      <c r="D115" t="s">
        <v>35</v>
      </c>
      <c r="F115">
        <v>14</v>
      </c>
      <c r="G115">
        <v>3</v>
      </c>
      <c r="H115">
        <v>25</v>
      </c>
      <c r="J115">
        <f t="shared" si="4"/>
        <v>1677</v>
      </c>
      <c r="L115">
        <f t="shared" si="5"/>
        <v>0.74866071428571423</v>
      </c>
    </row>
    <row r="116" spans="1:12" x14ac:dyDescent="0.25">
      <c r="A116">
        <v>1746</v>
      </c>
      <c r="B116" t="s">
        <v>45</v>
      </c>
      <c r="C116" t="s">
        <v>68</v>
      </c>
      <c r="D116" t="s">
        <v>35</v>
      </c>
      <c r="J116">
        <f t="shared" si="4"/>
        <v>0</v>
      </c>
      <c r="L116">
        <f t="shared" si="5"/>
        <v>0</v>
      </c>
    </row>
    <row r="117" spans="1:12" x14ac:dyDescent="0.25">
      <c r="A117">
        <v>1746</v>
      </c>
      <c r="B117" t="s">
        <v>85</v>
      </c>
      <c r="C117" t="s">
        <v>68</v>
      </c>
      <c r="D117" t="s">
        <v>35</v>
      </c>
      <c r="J117">
        <f t="shared" si="4"/>
        <v>0</v>
      </c>
      <c r="L117">
        <f t="shared" si="5"/>
        <v>0</v>
      </c>
    </row>
    <row r="118" spans="1:12" x14ac:dyDescent="0.25">
      <c r="A118">
        <v>1746</v>
      </c>
      <c r="B118" t="s">
        <v>54</v>
      </c>
      <c r="C118" t="s">
        <v>68</v>
      </c>
      <c r="D118" t="s">
        <v>35</v>
      </c>
      <c r="H118">
        <v>70</v>
      </c>
      <c r="J118">
        <f t="shared" si="4"/>
        <v>70</v>
      </c>
      <c r="L118">
        <f t="shared" si="5"/>
        <v>3.125E-2</v>
      </c>
    </row>
    <row r="119" spans="1:12" x14ac:dyDescent="0.25">
      <c r="A119">
        <v>1746</v>
      </c>
      <c r="B119" t="s">
        <v>95</v>
      </c>
      <c r="C119" t="s">
        <v>68</v>
      </c>
      <c r="D119" t="s">
        <v>35</v>
      </c>
      <c r="H119">
        <v>54</v>
      </c>
      <c r="J119">
        <f t="shared" si="4"/>
        <v>54</v>
      </c>
      <c r="L119">
        <f t="shared" si="5"/>
        <v>2.4107142857142858E-2</v>
      </c>
    </row>
    <row r="120" spans="1:12" x14ac:dyDescent="0.25">
      <c r="A120">
        <v>1746</v>
      </c>
      <c r="B120" t="s">
        <v>20</v>
      </c>
      <c r="C120" t="s">
        <v>68</v>
      </c>
      <c r="D120" t="s">
        <v>35</v>
      </c>
      <c r="J120">
        <f t="shared" si="4"/>
        <v>0</v>
      </c>
      <c r="L120">
        <f t="shared" si="5"/>
        <v>0</v>
      </c>
    </row>
    <row r="121" spans="1:12" x14ac:dyDescent="0.25">
      <c r="A121">
        <v>1746</v>
      </c>
      <c r="B121" t="s">
        <v>21</v>
      </c>
      <c r="C121" t="s">
        <v>68</v>
      </c>
      <c r="D121" t="s">
        <v>35</v>
      </c>
      <c r="H121">
        <v>684</v>
      </c>
      <c r="J121">
        <f t="shared" si="4"/>
        <v>684</v>
      </c>
      <c r="L121">
        <f t="shared" si="5"/>
        <v>0.30535714285714288</v>
      </c>
    </row>
    <row r="122" spans="1:12" x14ac:dyDescent="0.25">
      <c r="A122">
        <v>1746</v>
      </c>
      <c r="B122" t="s">
        <v>90</v>
      </c>
      <c r="C122" t="s">
        <v>68</v>
      </c>
      <c r="D122" t="s">
        <v>35</v>
      </c>
      <c r="J122">
        <f t="shared" si="4"/>
        <v>0</v>
      </c>
      <c r="L122">
        <f t="shared" si="5"/>
        <v>0</v>
      </c>
    </row>
    <row r="123" spans="1:12" x14ac:dyDescent="0.25">
      <c r="A123">
        <v>1746</v>
      </c>
      <c r="B123" t="s">
        <v>22</v>
      </c>
      <c r="C123" t="s">
        <v>68</v>
      </c>
      <c r="D123" t="s">
        <v>35</v>
      </c>
      <c r="J123">
        <f t="shared" si="4"/>
        <v>0</v>
      </c>
      <c r="L123">
        <f t="shared" si="5"/>
        <v>0</v>
      </c>
    </row>
    <row r="124" spans="1:12" x14ac:dyDescent="0.25">
      <c r="A124">
        <v>1746</v>
      </c>
      <c r="B124" t="s">
        <v>61</v>
      </c>
      <c r="C124" t="s">
        <v>68</v>
      </c>
      <c r="D124" t="s">
        <v>35</v>
      </c>
      <c r="J124">
        <f t="shared" si="4"/>
        <v>0</v>
      </c>
      <c r="L124">
        <f t="shared" si="5"/>
        <v>0</v>
      </c>
    </row>
    <row r="125" spans="1:12" x14ac:dyDescent="0.25">
      <c r="A125">
        <v>1746</v>
      </c>
      <c r="B125" t="s">
        <v>123</v>
      </c>
      <c r="C125" t="s">
        <v>68</v>
      </c>
      <c r="D125" t="s">
        <v>35</v>
      </c>
      <c r="E125">
        <v>22</v>
      </c>
      <c r="F125">
        <v>5</v>
      </c>
      <c r="J125">
        <f t="shared" si="4"/>
        <v>49840</v>
      </c>
      <c r="L125">
        <f t="shared" si="5"/>
        <v>22.25</v>
      </c>
    </row>
    <row r="126" spans="1:12" x14ac:dyDescent="0.25">
      <c r="A126">
        <v>1746</v>
      </c>
      <c r="B126" t="s">
        <v>98</v>
      </c>
      <c r="C126" t="s">
        <v>68</v>
      </c>
      <c r="D126" t="s">
        <v>35</v>
      </c>
      <c r="J126">
        <f t="shared" si="4"/>
        <v>0</v>
      </c>
      <c r="L126">
        <f t="shared" si="5"/>
        <v>0</v>
      </c>
    </row>
    <row r="127" spans="1:12" x14ac:dyDescent="0.25">
      <c r="A127">
        <v>1746</v>
      </c>
      <c r="B127" t="s">
        <v>87</v>
      </c>
      <c r="C127" t="s">
        <v>68</v>
      </c>
      <c r="D127" t="s">
        <v>35</v>
      </c>
      <c r="E127">
        <v>24</v>
      </c>
      <c r="F127">
        <v>17</v>
      </c>
      <c r="G127">
        <v>2</v>
      </c>
      <c r="H127">
        <v>7</v>
      </c>
      <c r="J127">
        <f t="shared" si="4"/>
        <v>55727</v>
      </c>
      <c r="L127">
        <f t="shared" si="5"/>
        <v>24.878125000000001</v>
      </c>
    </row>
    <row r="128" spans="1:12" x14ac:dyDescent="0.25">
      <c r="A128">
        <v>1746</v>
      </c>
      <c r="B128" t="s">
        <v>62</v>
      </c>
      <c r="C128" t="s">
        <v>68</v>
      </c>
      <c r="D128" t="s">
        <v>35</v>
      </c>
      <c r="E128">
        <v>168</v>
      </c>
      <c r="F128">
        <v>7</v>
      </c>
      <c r="H128">
        <v>7</v>
      </c>
      <c r="J128">
        <f t="shared" si="4"/>
        <v>377111</v>
      </c>
      <c r="L128">
        <f t="shared" si="5"/>
        <v>168.35312500000001</v>
      </c>
    </row>
    <row r="129" spans="1:12" x14ac:dyDescent="0.25">
      <c r="A129">
        <v>1746</v>
      </c>
      <c r="B129" t="s">
        <v>88</v>
      </c>
      <c r="C129" t="s">
        <v>68</v>
      </c>
      <c r="D129" t="s">
        <v>35</v>
      </c>
      <c r="J129">
        <f t="shared" si="4"/>
        <v>0</v>
      </c>
      <c r="L129">
        <f t="shared" si="5"/>
        <v>0</v>
      </c>
    </row>
    <row r="130" spans="1:12" x14ac:dyDescent="0.25">
      <c r="A130">
        <v>1746</v>
      </c>
      <c r="B130" t="s">
        <v>63</v>
      </c>
      <c r="C130" t="s">
        <v>68</v>
      </c>
      <c r="D130" t="s">
        <v>35</v>
      </c>
      <c r="E130">
        <v>54</v>
      </c>
      <c r="F130">
        <v>3</v>
      </c>
      <c r="G130">
        <v>1</v>
      </c>
      <c r="H130">
        <v>15</v>
      </c>
      <c r="J130">
        <f t="shared" si="4"/>
        <v>121339</v>
      </c>
      <c r="L130">
        <f t="shared" si="5"/>
        <v>54.169196428571432</v>
      </c>
    </row>
    <row r="131" spans="1:12" x14ac:dyDescent="0.25">
      <c r="A131">
        <v>1746</v>
      </c>
      <c r="B131" t="s">
        <v>89</v>
      </c>
      <c r="C131" t="s">
        <v>68</v>
      </c>
      <c r="D131" t="s">
        <v>35</v>
      </c>
      <c r="E131">
        <v>209</v>
      </c>
      <c r="F131">
        <v>10</v>
      </c>
      <c r="J131">
        <f t="shared" si="4"/>
        <v>469280</v>
      </c>
      <c r="L131">
        <f t="shared" si="5"/>
        <v>209.5</v>
      </c>
    </row>
    <row r="132" spans="1:12" x14ac:dyDescent="0.25">
      <c r="A132">
        <v>1746</v>
      </c>
      <c r="B132" t="s">
        <v>70</v>
      </c>
      <c r="C132" t="s">
        <v>68</v>
      </c>
      <c r="D132" t="s">
        <v>35</v>
      </c>
      <c r="E132">
        <v>5</v>
      </c>
      <c r="J132">
        <f t="shared" si="4"/>
        <v>11200</v>
      </c>
      <c r="L132">
        <f t="shared" si="5"/>
        <v>5</v>
      </c>
    </row>
    <row r="133" spans="1:12" x14ac:dyDescent="0.25">
      <c r="A133">
        <v>1746</v>
      </c>
      <c r="B133" t="s">
        <v>64</v>
      </c>
      <c r="C133" t="s">
        <v>68</v>
      </c>
      <c r="D133" t="s">
        <v>35</v>
      </c>
      <c r="E133">
        <v>18</v>
      </c>
      <c r="F133">
        <v>5</v>
      </c>
      <c r="H133">
        <v>4</v>
      </c>
      <c r="J133">
        <f t="shared" si="4"/>
        <v>40884</v>
      </c>
      <c r="L133">
        <f t="shared" si="5"/>
        <v>18.251785714285713</v>
      </c>
    </row>
    <row r="134" spans="1:12" x14ac:dyDescent="0.25">
      <c r="A134">
        <v>1746</v>
      </c>
      <c r="B134" t="s">
        <v>65</v>
      </c>
      <c r="C134" t="s">
        <v>68</v>
      </c>
      <c r="D134" t="s">
        <v>35</v>
      </c>
      <c r="J134">
        <f t="shared" si="4"/>
        <v>0</v>
      </c>
      <c r="L134">
        <f t="shared" si="5"/>
        <v>0</v>
      </c>
    </row>
  </sheetData>
  <autoFilter ref="A1:O65" xr:uid="{8C2F7725-5A61-4A1B-A740-CC887BCB0E68}">
    <sortState xmlns:xlrd2="http://schemas.microsoft.com/office/spreadsheetml/2017/richdata2" ref="A2:O65">
      <sortCondition ref="B1:B65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3998-4536-4659-A938-5514675D65BA}">
  <dimension ref="A1:O126"/>
  <sheetViews>
    <sheetView topLeftCell="A94" workbookViewId="0">
      <selection activeCell="H106" sqref="H106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1746</v>
      </c>
      <c r="B2" t="s">
        <v>55</v>
      </c>
      <c r="C2" t="s">
        <v>72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1746</v>
      </c>
      <c r="B3" t="s">
        <v>57</v>
      </c>
      <c r="C3" t="s">
        <v>72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A4">
        <v>1746</v>
      </c>
      <c r="B4" t="s">
        <v>36</v>
      </c>
      <c r="C4" t="s">
        <v>72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1746</v>
      </c>
      <c r="B5" t="s">
        <v>4</v>
      </c>
      <c r="C5" t="s">
        <v>72</v>
      </c>
      <c r="D5" t="s">
        <v>33</v>
      </c>
      <c r="H5">
        <v>135</v>
      </c>
      <c r="J5">
        <f t="shared" si="0"/>
        <v>135</v>
      </c>
      <c r="L5">
        <f t="shared" si="1"/>
        <v>6.0267857142857144E-2</v>
      </c>
    </row>
    <row r="6" spans="1:15" x14ac:dyDescent="0.25">
      <c r="A6">
        <v>1746</v>
      </c>
      <c r="B6" t="s">
        <v>58</v>
      </c>
      <c r="C6" t="s">
        <v>72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1746</v>
      </c>
      <c r="B7" t="s">
        <v>69</v>
      </c>
      <c r="C7" t="s">
        <v>72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1746</v>
      </c>
      <c r="B8" t="s">
        <v>43</v>
      </c>
      <c r="C8" t="s">
        <v>72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1746</v>
      </c>
      <c r="B9" t="s">
        <v>76</v>
      </c>
      <c r="C9" t="s">
        <v>72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1746</v>
      </c>
      <c r="B10" t="s">
        <v>5</v>
      </c>
      <c r="C10" t="s">
        <v>72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1746</v>
      </c>
      <c r="B11" t="s">
        <v>59</v>
      </c>
      <c r="C11" t="s">
        <v>72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1746</v>
      </c>
      <c r="B12" t="s">
        <v>6</v>
      </c>
      <c r="C12" t="s">
        <v>72</v>
      </c>
      <c r="D12" t="s">
        <v>33</v>
      </c>
      <c r="F12">
        <v>22540</v>
      </c>
      <c r="G12">
        <v>3</v>
      </c>
      <c r="J12">
        <f t="shared" si="0"/>
        <v>2524564</v>
      </c>
      <c r="L12">
        <f t="shared" si="1"/>
        <v>1127.0374999999999</v>
      </c>
    </row>
    <row r="13" spans="1:15" x14ac:dyDescent="0.25">
      <c r="A13">
        <v>1746</v>
      </c>
      <c r="B13" t="s">
        <v>96</v>
      </c>
      <c r="C13" t="s">
        <v>72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1746</v>
      </c>
      <c r="B14" t="s">
        <v>60</v>
      </c>
      <c r="C14" t="s">
        <v>72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1746</v>
      </c>
      <c r="B15" t="s">
        <v>7</v>
      </c>
      <c r="C15" t="s">
        <v>72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1746</v>
      </c>
      <c r="B16" t="s">
        <v>37</v>
      </c>
      <c r="C16" t="s">
        <v>72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1746</v>
      </c>
      <c r="B17" t="s">
        <v>8</v>
      </c>
      <c r="C17" t="s">
        <v>72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1746</v>
      </c>
      <c r="B18" t="s">
        <v>40</v>
      </c>
      <c r="C18" t="s">
        <v>72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1746</v>
      </c>
      <c r="B19" t="s">
        <v>77</v>
      </c>
      <c r="C19" t="s">
        <v>72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1746</v>
      </c>
      <c r="B20" t="s">
        <v>78</v>
      </c>
      <c r="C20" t="s">
        <v>72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1746</v>
      </c>
      <c r="B21" t="s">
        <v>46</v>
      </c>
      <c r="C21" t="s">
        <v>72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1746</v>
      </c>
      <c r="B22" t="s">
        <v>9</v>
      </c>
      <c r="C22" t="s">
        <v>72</v>
      </c>
      <c r="D22" t="s">
        <v>33</v>
      </c>
      <c r="H22">
        <f>11*200</f>
        <v>2200</v>
      </c>
      <c r="I22" t="s">
        <v>127</v>
      </c>
      <c r="J22">
        <f t="shared" si="0"/>
        <v>2200</v>
      </c>
      <c r="L22">
        <f t="shared" si="1"/>
        <v>0.9821428571428571</v>
      </c>
    </row>
    <row r="23" spans="1:12" x14ac:dyDescent="0.25">
      <c r="A23">
        <v>1746</v>
      </c>
      <c r="B23" t="s">
        <v>10</v>
      </c>
      <c r="C23" t="s">
        <v>72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1746</v>
      </c>
      <c r="B24" t="s">
        <v>11</v>
      </c>
      <c r="C24" t="s">
        <v>72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1746</v>
      </c>
      <c r="B25" t="s">
        <v>39</v>
      </c>
      <c r="C25" t="s">
        <v>72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1746</v>
      </c>
      <c r="B26" t="s">
        <v>79</v>
      </c>
      <c r="C26" t="s">
        <v>72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1746</v>
      </c>
      <c r="B27" t="s">
        <v>103</v>
      </c>
      <c r="C27" t="s">
        <v>72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1746</v>
      </c>
      <c r="B28" t="s">
        <v>44</v>
      </c>
      <c r="C28" t="s">
        <v>72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1746</v>
      </c>
      <c r="B29" t="s">
        <v>97</v>
      </c>
      <c r="C29" t="s">
        <v>72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1746</v>
      </c>
      <c r="B30" t="s">
        <v>12</v>
      </c>
      <c r="C30" t="s">
        <v>72</v>
      </c>
      <c r="D30" t="s">
        <v>33</v>
      </c>
      <c r="H30">
        <v>224</v>
      </c>
      <c r="J30">
        <f t="shared" si="0"/>
        <v>224</v>
      </c>
      <c r="L30">
        <f t="shared" si="1"/>
        <v>0.1</v>
      </c>
    </row>
    <row r="31" spans="1:12" x14ac:dyDescent="0.25">
      <c r="A31">
        <v>1746</v>
      </c>
      <c r="B31" t="s">
        <v>82</v>
      </c>
      <c r="C31" t="s">
        <v>72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1746</v>
      </c>
      <c r="B32" t="s">
        <v>34</v>
      </c>
      <c r="C32" t="s">
        <v>72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1746</v>
      </c>
      <c r="B33" t="s">
        <v>13</v>
      </c>
      <c r="C33" t="s">
        <v>72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1746</v>
      </c>
      <c r="B34" t="s">
        <v>14</v>
      </c>
      <c r="C34" t="s">
        <v>72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1746</v>
      </c>
      <c r="B35" t="s">
        <v>23</v>
      </c>
      <c r="C35" t="s">
        <v>72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1746</v>
      </c>
      <c r="B36" t="s">
        <v>27</v>
      </c>
      <c r="C36" t="s">
        <v>72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1746</v>
      </c>
      <c r="B37" t="s">
        <v>15</v>
      </c>
      <c r="C37" t="s">
        <v>72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1746</v>
      </c>
      <c r="B38" t="s">
        <v>42</v>
      </c>
      <c r="C38" t="s">
        <v>72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1746</v>
      </c>
      <c r="B39" t="s">
        <v>83</v>
      </c>
      <c r="C39" t="s">
        <v>72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1746</v>
      </c>
      <c r="B40" t="s">
        <v>47</v>
      </c>
      <c r="C40" t="s">
        <v>72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1746</v>
      </c>
      <c r="B41" t="s">
        <v>16</v>
      </c>
      <c r="C41" t="s">
        <v>72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1746</v>
      </c>
      <c r="B42" t="s">
        <v>17</v>
      </c>
      <c r="C42" t="s">
        <v>72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1746</v>
      </c>
      <c r="B43" t="s">
        <v>18</v>
      </c>
      <c r="C43" t="s">
        <v>72</v>
      </c>
      <c r="D43" t="s">
        <v>33</v>
      </c>
      <c r="H43">
        <v>142136.5</v>
      </c>
      <c r="I43" t="s">
        <v>126</v>
      </c>
      <c r="J43">
        <f t="shared" si="0"/>
        <v>142136.5</v>
      </c>
      <c r="L43">
        <f t="shared" si="1"/>
        <v>63.45379464285714</v>
      </c>
    </row>
    <row r="44" spans="1:12" x14ac:dyDescent="0.25">
      <c r="A44">
        <v>1746</v>
      </c>
      <c r="B44" t="s">
        <v>26</v>
      </c>
      <c r="C44" t="s">
        <v>72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1746</v>
      </c>
      <c r="B45" t="s">
        <v>84</v>
      </c>
      <c r="C45" t="s">
        <v>72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1746</v>
      </c>
      <c r="B46" t="s">
        <v>19</v>
      </c>
      <c r="C46" t="s">
        <v>72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1746</v>
      </c>
      <c r="B47" t="s">
        <v>45</v>
      </c>
      <c r="C47" t="s">
        <v>72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1746</v>
      </c>
      <c r="B48" t="s">
        <v>85</v>
      </c>
      <c r="C48" t="s">
        <v>72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1746</v>
      </c>
      <c r="B49" t="s">
        <v>54</v>
      </c>
      <c r="C49" t="s">
        <v>72</v>
      </c>
      <c r="D49" t="s">
        <v>33</v>
      </c>
      <c r="H49">
        <v>108</v>
      </c>
      <c r="J49">
        <f t="shared" si="0"/>
        <v>108</v>
      </c>
      <c r="L49">
        <f t="shared" si="1"/>
        <v>4.8214285714285716E-2</v>
      </c>
    </row>
    <row r="50" spans="1:12" x14ac:dyDescent="0.25">
      <c r="A50">
        <v>1746</v>
      </c>
      <c r="B50" t="s">
        <v>95</v>
      </c>
      <c r="C50" t="s">
        <v>72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1746</v>
      </c>
      <c r="B51" t="s">
        <v>20</v>
      </c>
      <c r="C51" t="s">
        <v>72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1746</v>
      </c>
      <c r="B52" t="s">
        <v>21</v>
      </c>
      <c r="C52" t="s">
        <v>72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1746</v>
      </c>
      <c r="B53" t="s">
        <v>22</v>
      </c>
      <c r="C53" t="s">
        <v>72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1746</v>
      </c>
      <c r="B54" t="s">
        <v>61</v>
      </c>
      <c r="C54" t="s">
        <v>72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1746</v>
      </c>
      <c r="B55" t="s">
        <v>99</v>
      </c>
      <c r="C55" t="s">
        <v>72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1746</v>
      </c>
      <c r="B56" t="s">
        <v>87</v>
      </c>
      <c r="C56" t="s">
        <v>72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1746</v>
      </c>
      <c r="B57" t="s">
        <v>62</v>
      </c>
      <c r="C57" t="s">
        <v>72</v>
      </c>
      <c r="D57" t="s">
        <v>33</v>
      </c>
      <c r="F57">
        <v>1</v>
      </c>
      <c r="G57">
        <v>1</v>
      </c>
      <c r="H57">
        <v>20</v>
      </c>
      <c r="J57">
        <f t="shared" si="0"/>
        <v>160</v>
      </c>
      <c r="L57">
        <f t="shared" si="1"/>
        <v>7.1428571428571425E-2</v>
      </c>
    </row>
    <row r="58" spans="1:12" x14ac:dyDescent="0.25">
      <c r="A58">
        <v>1746</v>
      </c>
      <c r="B58" t="s">
        <v>88</v>
      </c>
      <c r="C58" t="s">
        <v>72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1746</v>
      </c>
      <c r="B59" t="s">
        <v>63</v>
      </c>
      <c r="C59" t="s">
        <v>72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1746</v>
      </c>
      <c r="B60" t="s">
        <v>89</v>
      </c>
      <c r="C60" t="s">
        <v>72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1746</v>
      </c>
      <c r="B61" t="s">
        <v>70</v>
      </c>
      <c r="C61" t="s">
        <v>72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1746</v>
      </c>
      <c r="B62" t="s">
        <v>64</v>
      </c>
      <c r="C62" t="s">
        <v>72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1746</v>
      </c>
      <c r="B63" t="s">
        <v>65</v>
      </c>
      <c r="C63" t="s">
        <v>72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1746</v>
      </c>
      <c r="B64" t="s">
        <v>55</v>
      </c>
      <c r="C64" t="s">
        <v>72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1746</v>
      </c>
      <c r="B65" t="s">
        <v>57</v>
      </c>
      <c r="C65" t="s">
        <v>72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1746</v>
      </c>
      <c r="B66" t="s">
        <v>36</v>
      </c>
      <c r="C66" t="s">
        <v>72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1746</v>
      </c>
      <c r="B67" t="s">
        <v>4</v>
      </c>
      <c r="C67" t="s">
        <v>72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1:12" x14ac:dyDescent="0.25">
      <c r="A68">
        <v>1746</v>
      </c>
      <c r="B68" t="s">
        <v>58</v>
      </c>
      <c r="C68" t="s">
        <v>72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1746</v>
      </c>
      <c r="B69" t="s">
        <v>69</v>
      </c>
      <c r="C69" t="s">
        <v>72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1746</v>
      </c>
      <c r="B70" t="s">
        <v>43</v>
      </c>
      <c r="C70" t="s">
        <v>72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1746</v>
      </c>
      <c r="B71" t="s">
        <v>76</v>
      </c>
      <c r="C71" t="s">
        <v>72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1746</v>
      </c>
      <c r="B72" t="s">
        <v>5</v>
      </c>
      <c r="C72" t="s">
        <v>72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1746</v>
      </c>
      <c r="B73" t="s">
        <v>59</v>
      </c>
      <c r="C73" t="s">
        <v>72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1746</v>
      </c>
      <c r="B74" t="s">
        <v>6</v>
      </c>
      <c r="C74" t="s">
        <v>72</v>
      </c>
      <c r="D74" t="s">
        <v>35</v>
      </c>
      <c r="F74">
        <v>11038</v>
      </c>
      <c r="G74">
        <v>2</v>
      </c>
      <c r="H74">
        <v>19</v>
      </c>
      <c r="J74">
        <f t="shared" si="2"/>
        <v>1236331</v>
      </c>
      <c r="L74">
        <f t="shared" si="3"/>
        <v>551.93348214285709</v>
      </c>
    </row>
    <row r="75" spans="1:12" x14ac:dyDescent="0.25">
      <c r="A75">
        <v>1746</v>
      </c>
      <c r="B75" t="s">
        <v>60</v>
      </c>
      <c r="C75" t="s">
        <v>72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1746</v>
      </c>
      <c r="B76" t="s">
        <v>7</v>
      </c>
      <c r="C76" t="s">
        <v>72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1746</v>
      </c>
      <c r="B77" t="s">
        <v>37</v>
      </c>
      <c r="C77" t="s">
        <v>72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1746</v>
      </c>
      <c r="B78" t="s">
        <v>8</v>
      </c>
      <c r="C78" t="s">
        <v>72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1746</v>
      </c>
      <c r="B79" t="s">
        <v>40</v>
      </c>
      <c r="C79" t="s">
        <v>72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1746</v>
      </c>
      <c r="B80" t="s">
        <v>77</v>
      </c>
      <c r="C80" t="s">
        <v>72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1746</v>
      </c>
      <c r="B81" t="s">
        <v>78</v>
      </c>
      <c r="C81" t="s">
        <v>72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1746</v>
      </c>
      <c r="B82" t="s">
        <v>46</v>
      </c>
      <c r="C82" t="s">
        <v>72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1746</v>
      </c>
      <c r="B83" t="s">
        <v>9</v>
      </c>
      <c r="C83" t="s">
        <v>72</v>
      </c>
      <c r="D83" t="s">
        <v>35</v>
      </c>
      <c r="H83">
        <f>93.25*200</f>
        <v>18650</v>
      </c>
      <c r="I83" t="s">
        <v>152</v>
      </c>
      <c r="J83">
        <f t="shared" si="2"/>
        <v>18650</v>
      </c>
      <c r="L83">
        <f t="shared" si="3"/>
        <v>8.3258928571428577</v>
      </c>
    </row>
    <row r="84" spans="1:12" x14ac:dyDescent="0.25">
      <c r="A84">
        <v>1746</v>
      </c>
      <c r="B84" t="s">
        <v>10</v>
      </c>
      <c r="C84" t="s">
        <v>72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1746</v>
      </c>
      <c r="B85" t="s">
        <v>11</v>
      </c>
      <c r="C85" t="s">
        <v>72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1746</v>
      </c>
      <c r="B86" t="s">
        <v>39</v>
      </c>
      <c r="C86" t="s">
        <v>72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1746</v>
      </c>
      <c r="B87" t="s">
        <v>79</v>
      </c>
      <c r="C87" t="s">
        <v>72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1746</v>
      </c>
      <c r="B88" t="s">
        <v>103</v>
      </c>
      <c r="C88" t="s">
        <v>72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1746</v>
      </c>
      <c r="B89" t="s">
        <v>44</v>
      </c>
      <c r="C89" t="s">
        <v>72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1746</v>
      </c>
      <c r="B90" t="s">
        <v>97</v>
      </c>
      <c r="C90" t="s">
        <v>72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1746</v>
      </c>
      <c r="B91" t="s">
        <v>12</v>
      </c>
      <c r="C91" t="s">
        <v>72</v>
      </c>
      <c r="D91" t="s">
        <v>35</v>
      </c>
      <c r="H91">
        <v>985</v>
      </c>
      <c r="J91">
        <f t="shared" si="2"/>
        <v>985</v>
      </c>
      <c r="L91">
        <f t="shared" si="3"/>
        <v>0.43973214285714285</v>
      </c>
    </row>
    <row r="92" spans="1:12" x14ac:dyDescent="0.25">
      <c r="A92">
        <v>1746</v>
      </c>
      <c r="B92" t="s">
        <v>82</v>
      </c>
      <c r="C92" t="s">
        <v>72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1746</v>
      </c>
      <c r="B93" t="s">
        <v>34</v>
      </c>
      <c r="C93" t="s">
        <v>72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1746</v>
      </c>
      <c r="B94" t="s">
        <v>13</v>
      </c>
      <c r="C94" t="s">
        <v>72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1746</v>
      </c>
      <c r="B95" t="s">
        <v>14</v>
      </c>
      <c r="C95" t="s">
        <v>72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1746</v>
      </c>
      <c r="B96" t="s">
        <v>23</v>
      </c>
      <c r="C96" t="s">
        <v>72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1746</v>
      </c>
      <c r="B97" t="s">
        <v>27</v>
      </c>
      <c r="C97" t="s">
        <v>72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1746</v>
      </c>
      <c r="B98" t="s">
        <v>15</v>
      </c>
      <c r="C98" t="s">
        <v>72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1746</v>
      </c>
      <c r="B99" t="s">
        <v>93</v>
      </c>
      <c r="C99" t="s">
        <v>72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1746</v>
      </c>
      <c r="B100" t="s">
        <v>42</v>
      </c>
      <c r="C100" t="s">
        <v>72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1746</v>
      </c>
      <c r="B101" t="s">
        <v>83</v>
      </c>
      <c r="C101" t="s">
        <v>72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1746</v>
      </c>
      <c r="B102" t="s">
        <v>47</v>
      </c>
      <c r="C102" t="s">
        <v>72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1746</v>
      </c>
      <c r="B103" t="s">
        <v>16</v>
      </c>
      <c r="C103" t="s">
        <v>72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1746</v>
      </c>
      <c r="B104" t="s">
        <v>17</v>
      </c>
      <c r="C104" t="s">
        <v>72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1746</v>
      </c>
      <c r="B105" t="s">
        <v>18</v>
      </c>
      <c r="C105" t="s">
        <v>72</v>
      </c>
      <c r="D105" t="s">
        <v>35</v>
      </c>
      <c r="H105">
        <v>17624.5</v>
      </c>
      <c r="I105" t="s">
        <v>151</v>
      </c>
      <c r="J105">
        <f t="shared" si="2"/>
        <v>17624.5</v>
      </c>
      <c r="L105">
        <f t="shared" si="3"/>
        <v>7.8680803571428575</v>
      </c>
    </row>
    <row r="106" spans="1:12" x14ac:dyDescent="0.25">
      <c r="A106">
        <v>1746</v>
      </c>
      <c r="B106" t="s">
        <v>26</v>
      </c>
      <c r="C106" t="s">
        <v>72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1746</v>
      </c>
      <c r="B107" t="s">
        <v>84</v>
      </c>
      <c r="C107" t="s">
        <v>72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1746</v>
      </c>
      <c r="B108" t="s">
        <v>19</v>
      </c>
      <c r="C108" t="s">
        <v>72</v>
      </c>
      <c r="D108" t="s">
        <v>35</v>
      </c>
      <c r="F108">
        <v>2</v>
      </c>
      <c r="G108">
        <v>3</v>
      </c>
      <c r="H108">
        <v>11</v>
      </c>
      <c r="J108">
        <f t="shared" si="2"/>
        <v>319</v>
      </c>
      <c r="L108">
        <f t="shared" si="3"/>
        <v>0.14241071428571428</v>
      </c>
    </row>
    <row r="109" spans="1:12" x14ac:dyDescent="0.25">
      <c r="A109">
        <v>1746</v>
      </c>
      <c r="B109" t="s">
        <v>45</v>
      </c>
      <c r="C109" t="s">
        <v>72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1746</v>
      </c>
      <c r="B110" t="s">
        <v>85</v>
      </c>
      <c r="C110" t="s">
        <v>72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1746</v>
      </c>
      <c r="B111" t="s">
        <v>54</v>
      </c>
      <c r="C111" t="s">
        <v>72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1746</v>
      </c>
      <c r="B112" t="s">
        <v>95</v>
      </c>
      <c r="C112" t="s">
        <v>72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1746</v>
      </c>
      <c r="B113" t="s">
        <v>20</v>
      </c>
      <c r="C113" t="s">
        <v>72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1746</v>
      </c>
      <c r="B114" t="s">
        <v>21</v>
      </c>
      <c r="C114" t="s">
        <v>72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1746</v>
      </c>
      <c r="B115" t="s">
        <v>22</v>
      </c>
      <c r="C115" t="s">
        <v>72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1746</v>
      </c>
      <c r="B116" t="s">
        <v>61</v>
      </c>
      <c r="C116" t="s">
        <v>72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1746</v>
      </c>
      <c r="B117" t="s">
        <v>91</v>
      </c>
      <c r="C117" t="s">
        <v>72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1746</v>
      </c>
      <c r="B118" t="s">
        <v>98</v>
      </c>
      <c r="C118" t="s">
        <v>72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1746</v>
      </c>
      <c r="B119" t="s">
        <v>87</v>
      </c>
      <c r="C119" t="s">
        <v>72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1746</v>
      </c>
      <c r="B120" t="s">
        <v>62</v>
      </c>
      <c r="C120" t="s">
        <v>72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1746</v>
      </c>
      <c r="B121" t="s">
        <v>88</v>
      </c>
      <c r="C121" t="s">
        <v>72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1746</v>
      </c>
      <c r="B122" t="s">
        <v>63</v>
      </c>
      <c r="C122" t="s">
        <v>72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1746</v>
      </c>
      <c r="B123" t="s">
        <v>89</v>
      </c>
      <c r="C123" t="s">
        <v>72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1746</v>
      </c>
      <c r="B124" t="s">
        <v>70</v>
      </c>
      <c r="C124" t="s">
        <v>72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1746</v>
      </c>
      <c r="B125" t="s">
        <v>64</v>
      </c>
      <c r="C125" t="s">
        <v>72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1746</v>
      </c>
      <c r="B126" t="s">
        <v>65</v>
      </c>
      <c r="C126" t="s">
        <v>72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8D41-F260-45DD-BAFF-5C983F846926}">
  <dimension ref="A1:O126"/>
  <sheetViews>
    <sheetView topLeftCell="A73" workbookViewId="0">
      <selection activeCell="H84" sqref="H84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1746</v>
      </c>
      <c r="B2" t="s">
        <v>55</v>
      </c>
      <c r="C2" t="s">
        <v>73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1746</v>
      </c>
      <c r="B3" t="s">
        <v>57</v>
      </c>
      <c r="C3" t="s">
        <v>73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A4">
        <v>1746</v>
      </c>
      <c r="B4" t="s">
        <v>36</v>
      </c>
      <c r="C4" t="s">
        <v>73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1746</v>
      </c>
      <c r="B5" t="s">
        <v>4</v>
      </c>
      <c r="C5" t="s">
        <v>73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1746</v>
      </c>
      <c r="B6" t="s">
        <v>58</v>
      </c>
      <c r="C6" t="s">
        <v>73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1746</v>
      </c>
      <c r="B7" t="s">
        <v>69</v>
      </c>
      <c r="C7" t="s">
        <v>73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1746</v>
      </c>
      <c r="B8" t="s">
        <v>43</v>
      </c>
      <c r="C8" t="s">
        <v>73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1746</v>
      </c>
      <c r="B9" t="s">
        <v>76</v>
      </c>
      <c r="C9" t="s">
        <v>73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1746</v>
      </c>
      <c r="B10" t="s">
        <v>5</v>
      </c>
      <c r="C10" t="s">
        <v>73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1746</v>
      </c>
      <c r="B11" t="s">
        <v>59</v>
      </c>
      <c r="C11" t="s">
        <v>73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1746</v>
      </c>
      <c r="B12" t="s">
        <v>6</v>
      </c>
      <c r="C12" t="s">
        <v>73</v>
      </c>
      <c r="D12" t="s">
        <v>33</v>
      </c>
      <c r="F12">
        <v>30919</v>
      </c>
      <c r="H12">
        <v>6</v>
      </c>
      <c r="J12">
        <f t="shared" si="0"/>
        <v>3462934</v>
      </c>
      <c r="L12">
        <f t="shared" si="1"/>
        <v>1545.9526785714286</v>
      </c>
    </row>
    <row r="13" spans="1:15" x14ac:dyDescent="0.25">
      <c r="A13">
        <v>1746</v>
      </c>
      <c r="B13" t="s">
        <v>96</v>
      </c>
      <c r="C13" t="s">
        <v>73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1746</v>
      </c>
      <c r="B14" t="s">
        <v>60</v>
      </c>
      <c r="C14" t="s">
        <v>73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1746</v>
      </c>
      <c r="B15" t="s">
        <v>7</v>
      </c>
      <c r="C15" t="s">
        <v>73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1746</v>
      </c>
      <c r="B16" t="s">
        <v>37</v>
      </c>
      <c r="C16" t="s">
        <v>73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1746</v>
      </c>
      <c r="B17" t="s">
        <v>8</v>
      </c>
      <c r="C17" t="s">
        <v>73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1746</v>
      </c>
      <c r="B18" t="s">
        <v>40</v>
      </c>
      <c r="C18" t="s">
        <v>73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1746</v>
      </c>
      <c r="B19" t="s">
        <v>77</v>
      </c>
      <c r="C19" t="s">
        <v>73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1746</v>
      </c>
      <c r="B20" t="s">
        <v>78</v>
      </c>
      <c r="C20" t="s">
        <v>73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1746</v>
      </c>
      <c r="B21" t="s">
        <v>46</v>
      </c>
      <c r="C21" t="s">
        <v>73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1746</v>
      </c>
      <c r="B22" t="s">
        <v>9</v>
      </c>
      <c r="C22" t="s">
        <v>73</v>
      </c>
      <c r="D22" t="s">
        <v>33</v>
      </c>
      <c r="H22">
        <f>7.5*200</f>
        <v>1500</v>
      </c>
      <c r="I22" t="s">
        <v>131</v>
      </c>
      <c r="J22">
        <f t="shared" si="0"/>
        <v>1500</v>
      </c>
      <c r="L22">
        <f t="shared" si="1"/>
        <v>0.6696428571428571</v>
      </c>
    </row>
    <row r="23" spans="1:12" x14ac:dyDescent="0.25">
      <c r="A23">
        <v>1746</v>
      </c>
      <c r="B23" t="s">
        <v>10</v>
      </c>
      <c r="C23" t="s">
        <v>73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1746</v>
      </c>
      <c r="B24" t="s">
        <v>11</v>
      </c>
      <c r="C24" t="s">
        <v>73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1746</v>
      </c>
      <c r="B25" t="s">
        <v>39</v>
      </c>
      <c r="C25" t="s">
        <v>73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1746</v>
      </c>
      <c r="B26" t="s">
        <v>79</v>
      </c>
      <c r="C26" t="s">
        <v>73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1746</v>
      </c>
      <c r="B27" t="s">
        <v>103</v>
      </c>
      <c r="C27" t="s">
        <v>73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1746</v>
      </c>
      <c r="B28" t="s">
        <v>44</v>
      </c>
      <c r="C28" t="s">
        <v>73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1746</v>
      </c>
      <c r="B29" t="s">
        <v>97</v>
      </c>
      <c r="C29" t="s">
        <v>73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1746</v>
      </c>
      <c r="B30" t="s">
        <v>12</v>
      </c>
      <c r="C30" t="s">
        <v>73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1746</v>
      </c>
      <c r="B31" t="s">
        <v>82</v>
      </c>
      <c r="C31" t="s">
        <v>73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1746</v>
      </c>
      <c r="B32" t="s">
        <v>34</v>
      </c>
      <c r="C32" t="s">
        <v>73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1746</v>
      </c>
      <c r="B33" t="s">
        <v>13</v>
      </c>
      <c r="C33" t="s">
        <v>73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1746</v>
      </c>
      <c r="B34" t="s">
        <v>14</v>
      </c>
      <c r="C34" t="s">
        <v>73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1746</v>
      </c>
      <c r="B35" t="s">
        <v>23</v>
      </c>
      <c r="C35" t="s">
        <v>73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1746</v>
      </c>
      <c r="B36" t="s">
        <v>27</v>
      </c>
      <c r="C36" t="s">
        <v>73</v>
      </c>
      <c r="D36" t="s">
        <v>33</v>
      </c>
      <c r="H36">
        <v>1400.5</v>
      </c>
      <c r="I36" t="s">
        <v>130</v>
      </c>
      <c r="J36">
        <f t="shared" si="0"/>
        <v>1400.5</v>
      </c>
      <c r="L36">
        <f t="shared" si="1"/>
        <v>0.62522321428571426</v>
      </c>
    </row>
    <row r="37" spans="1:12" x14ac:dyDescent="0.25">
      <c r="A37">
        <v>1746</v>
      </c>
      <c r="B37" t="s">
        <v>15</v>
      </c>
      <c r="C37" t="s">
        <v>73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1746</v>
      </c>
      <c r="B38" t="s">
        <v>42</v>
      </c>
      <c r="C38" t="s">
        <v>73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1746</v>
      </c>
      <c r="B39" t="s">
        <v>83</v>
      </c>
      <c r="C39" t="s">
        <v>73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1746</v>
      </c>
      <c r="B40" t="s">
        <v>47</v>
      </c>
      <c r="C40" t="s">
        <v>73</v>
      </c>
      <c r="D40" t="s">
        <v>33</v>
      </c>
      <c r="H40">
        <v>50</v>
      </c>
      <c r="I40" t="s">
        <v>128</v>
      </c>
      <c r="J40">
        <f t="shared" si="0"/>
        <v>50</v>
      </c>
      <c r="L40">
        <f t="shared" si="1"/>
        <v>2.2321428571428572E-2</v>
      </c>
    </row>
    <row r="41" spans="1:12" x14ac:dyDescent="0.25">
      <c r="A41">
        <v>1746</v>
      </c>
      <c r="B41" t="s">
        <v>16</v>
      </c>
      <c r="C41" t="s">
        <v>73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1746</v>
      </c>
      <c r="B42" t="s">
        <v>17</v>
      </c>
      <c r="C42" t="s">
        <v>73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1746</v>
      </c>
      <c r="B43" t="s">
        <v>18</v>
      </c>
      <c r="C43" t="s">
        <v>73</v>
      </c>
      <c r="D43" t="s">
        <v>33</v>
      </c>
      <c r="H43">
        <v>9002.5</v>
      </c>
      <c r="I43" t="s">
        <v>129</v>
      </c>
      <c r="J43">
        <f t="shared" si="0"/>
        <v>9002.5</v>
      </c>
      <c r="L43">
        <f t="shared" si="1"/>
        <v>4.0189732142857144</v>
      </c>
    </row>
    <row r="44" spans="1:12" x14ac:dyDescent="0.25">
      <c r="A44">
        <v>1746</v>
      </c>
      <c r="B44" t="s">
        <v>26</v>
      </c>
      <c r="C44" t="s">
        <v>73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1746</v>
      </c>
      <c r="B45" t="s">
        <v>84</v>
      </c>
      <c r="C45" t="s">
        <v>73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1746</v>
      </c>
      <c r="B46" t="s">
        <v>19</v>
      </c>
      <c r="C46" t="s">
        <v>73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1746</v>
      </c>
      <c r="B47" t="s">
        <v>45</v>
      </c>
      <c r="C47" t="s">
        <v>73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1746</v>
      </c>
      <c r="B48" t="s">
        <v>85</v>
      </c>
      <c r="C48" t="s">
        <v>73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1746</v>
      </c>
      <c r="B49" t="s">
        <v>54</v>
      </c>
      <c r="C49" t="s">
        <v>73</v>
      </c>
      <c r="D49" t="s">
        <v>33</v>
      </c>
      <c r="H49">
        <v>66</v>
      </c>
      <c r="J49">
        <f t="shared" si="0"/>
        <v>66</v>
      </c>
      <c r="L49">
        <f t="shared" si="1"/>
        <v>2.9464285714285714E-2</v>
      </c>
    </row>
    <row r="50" spans="1:12" x14ac:dyDescent="0.25">
      <c r="A50">
        <v>1746</v>
      </c>
      <c r="B50" t="s">
        <v>95</v>
      </c>
      <c r="C50" t="s">
        <v>73</v>
      </c>
      <c r="D50" t="s">
        <v>33</v>
      </c>
      <c r="H50">
        <v>10</v>
      </c>
      <c r="J50">
        <f t="shared" si="0"/>
        <v>10</v>
      </c>
      <c r="L50">
        <f t="shared" si="1"/>
        <v>4.464285714285714E-3</v>
      </c>
    </row>
    <row r="51" spans="1:12" x14ac:dyDescent="0.25">
      <c r="A51">
        <v>1746</v>
      </c>
      <c r="B51" t="s">
        <v>20</v>
      </c>
      <c r="C51" t="s">
        <v>73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1746</v>
      </c>
      <c r="B52" t="s">
        <v>21</v>
      </c>
      <c r="C52" t="s">
        <v>73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1746</v>
      </c>
      <c r="B53" t="s">
        <v>22</v>
      </c>
      <c r="C53" t="s">
        <v>73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1746</v>
      </c>
      <c r="B54" t="s">
        <v>61</v>
      </c>
      <c r="C54" t="s">
        <v>73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1746</v>
      </c>
      <c r="B55" t="s">
        <v>99</v>
      </c>
      <c r="C55" t="s">
        <v>73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1746</v>
      </c>
      <c r="B56" t="s">
        <v>87</v>
      </c>
      <c r="C56" t="s">
        <v>73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1746</v>
      </c>
      <c r="B57" t="s">
        <v>62</v>
      </c>
      <c r="C57" t="s">
        <v>73</v>
      </c>
      <c r="D57" t="s">
        <v>33</v>
      </c>
      <c r="E57">
        <v>1</v>
      </c>
      <c r="J57">
        <f t="shared" si="0"/>
        <v>2240</v>
      </c>
      <c r="L57">
        <f t="shared" si="1"/>
        <v>1</v>
      </c>
    </row>
    <row r="58" spans="1:12" x14ac:dyDescent="0.25">
      <c r="A58">
        <v>1746</v>
      </c>
      <c r="B58" t="s">
        <v>88</v>
      </c>
      <c r="C58" t="s">
        <v>73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1746</v>
      </c>
      <c r="B59" t="s">
        <v>63</v>
      </c>
      <c r="C59" t="s">
        <v>73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1746</v>
      </c>
      <c r="B60" t="s">
        <v>89</v>
      </c>
      <c r="C60" t="s">
        <v>73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1746</v>
      </c>
      <c r="B61" t="s">
        <v>70</v>
      </c>
      <c r="C61" t="s">
        <v>73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1746</v>
      </c>
      <c r="B62" t="s">
        <v>64</v>
      </c>
      <c r="C62" t="s">
        <v>73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1746</v>
      </c>
      <c r="B63" t="s">
        <v>65</v>
      </c>
      <c r="C63" t="s">
        <v>73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1746</v>
      </c>
      <c r="B64" t="s">
        <v>55</v>
      </c>
      <c r="C64" t="s">
        <v>73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1746</v>
      </c>
      <c r="B65" t="s">
        <v>57</v>
      </c>
      <c r="C65" t="s">
        <v>73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1746</v>
      </c>
      <c r="B66" t="s">
        <v>36</v>
      </c>
      <c r="C66" t="s">
        <v>73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1746</v>
      </c>
      <c r="B67" t="s">
        <v>4</v>
      </c>
      <c r="C67" t="s">
        <v>73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1:12" x14ac:dyDescent="0.25">
      <c r="A68">
        <v>1746</v>
      </c>
      <c r="B68" t="s">
        <v>58</v>
      </c>
      <c r="C68" t="s">
        <v>73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1746</v>
      </c>
      <c r="B69" t="s">
        <v>69</v>
      </c>
      <c r="C69" t="s">
        <v>73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1746</v>
      </c>
      <c r="B70" t="s">
        <v>43</v>
      </c>
      <c r="C70" t="s">
        <v>73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1746</v>
      </c>
      <c r="B71" t="s">
        <v>76</v>
      </c>
      <c r="C71" t="s">
        <v>73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1746</v>
      </c>
      <c r="B72" t="s">
        <v>5</v>
      </c>
      <c r="C72" t="s">
        <v>73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1746</v>
      </c>
      <c r="B73" t="s">
        <v>59</v>
      </c>
      <c r="C73" t="s">
        <v>73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1746</v>
      </c>
      <c r="B74" t="s">
        <v>6</v>
      </c>
      <c r="C74" t="s">
        <v>73</v>
      </c>
      <c r="D74" t="s">
        <v>35</v>
      </c>
      <c r="F74">
        <v>5201</v>
      </c>
      <c r="G74">
        <v>3</v>
      </c>
      <c r="H74">
        <v>13</v>
      </c>
      <c r="J74">
        <f t="shared" si="2"/>
        <v>582609</v>
      </c>
      <c r="L74">
        <f t="shared" si="3"/>
        <v>260.09330357142858</v>
      </c>
    </row>
    <row r="75" spans="1:12" x14ac:dyDescent="0.25">
      <c r="A75">
        <v>1746</v>
      </c>
      <c r="B75" t="s">
        <v>60</v>
      </c>
      <c r="C75" t="s">
        <v>73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1746</v>
      </c>
      <c r="B76" t="s">
        <v>7</v>
      </c>
      <c r="C76" t="s">
        <v>73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1746</v>
      </c>
      <c r="B77" t="s">
        <v>37</v>
      </c>
      <c r="C77" t="s">
        <v>73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1746</v>
      </c>
      <c r="B78" t="s">
        <v>8</v>
      </c>
      <c r="C78" t="s">
        <v>73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1746</v>
      </c>
      <c r="B79" t="s">
        <v>40</v>
      </c>
      <c r="C79" t="s">
        <v>73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1746</v>
      </c>
      <c r="B80" t="s">
        <v>77</v>
      </c>
      <c r="C80" t="s">
        <v>73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1746</v>
      </c>
      <c r="B81" t="s">
        <v>78</v>
      </c>
      <c r="C81" t="s">
        <v>73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1746</v>
      </c>
      <c r="B82" t="s">
        <v>46</v>
      </c>
      <c r="C82" t="s">
        <v>73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1746</v>
      </c>
      <c r="B83" t="s">
        <v>9</v>
      </c>
      <c r="C83" t="s">
        <v>73</v>
      </c>
      <c r="D83" t="s">
        <v>35</v>
      </c>
      <c r="H83">
        <f>239*200</f>
        <v>47800</v>
      </c>
      <c r="I83" t="s">
        <v>154</v>
      </c>
      <c r="J83">
        <f t="shared" si="2"/>
        <v>47800</v>
      </c>
      <c r="L83">
        <f t="shared" si="3"/>
        <v>21.339285714285715</v>
      </c>
    </row>
    <row r="84" spans="1:12" x14ac:dyDescent="0.25">
      <c r="A84">
        <v>1746</v>
      </c>
      <c r="B84" t="s">
        <v>10</v>
      </c>
      <c r="C84" t="s">
        <v>73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1746</v>
      </c>
      <c r="B85" t="s">
        <v>11</v>
      </c>
      <c r="C85" t="s">
        <v>73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1746</v>
      </c>
      <c r="B86" t="s">
        <v>39</v>
      </c>
      <c r="C86" t="s">
        <v>73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1746</v>
      </c>
      <c r="B87" t="s">
        <v>79</v>
      </c>
      <c r="C87" t="s">
        <v>73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1746</v>
      </c>
      <c r="B88" t="s">
        <v>103</v>
      </c>
      <c r="C88" t="s">
        <v>73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1746</v>
      </c>
      <c r="B89" t="s">
        <v>44</v>
      </c>
      <c r="C89" t="s">
        <v>73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1746</v>
      </c>
      <c r="B90" t="s">
        <v>97</v>
      </c>
      <c r="C90" t="s">
        <v>73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1746</v>
      </c>
      <c r="B91" t="s">
        <v>12</v>
      </c>
      <c r="C91" t="s">
        <v>73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1746</v>
      </c>
      <c r="B92" t="s">
        <v>82</v>
      </c>
      <c r="C92" t="s">
        <v>73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1746</v>
      </c>
      <c r="B93" t="s">
        <v>34</v>
      </c>
      <c r="C93" t="s">
        <v>73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1746</v>
      </c>
      <c r="B94" t="s">
        <v>13</v>
      </c>
      <c r="C94" t="s">
        <v>73</v>
      </c>
      <c r="D94" t="s">
        <v>35</v>
      </c>
      <c r="E94">
        <v>5</v>
      </c>
      <c r="F94">
        <v>17</v>
      </c>
      <c r="G94">
        <v>3</v>
      </c>
      <c r="H94">
        <v>19</v>
      </c>
      <c r="J94">
        <f t="shared" si="2"/>
        <v>13207</v>
      </c>
      <c r="L94">
        <f t="shared" si="3"/>
        <v>5.8959821428571431</v>
      </c>
    </row>
    <row r="95" spans="1:12" x14ac:dyDescent="0.25">
      <c r="A95">
        <v>1746</v>
      </c>
      <c r="B95" t="s">
        <v>14</v>
      </c>
      <c r="C95" t="s">
        <v>73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1746</v>
      </c>
      <c r="B96" t="s">
        <v>23</v>
      </c>
      <c r="C96" t="s">
        <v>73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1746</v>
      </c>
      <c r="B97" t="s">
        <v>27</v>
      </c>
      <c r="C97" t="s">
        <v>73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1746</v>
      </c>
      <c r="B98" t="s">
        <v>15</v>
      </c>
      <c r="C98" t="s">
        <v>73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1746</v>
      </c>
      <c r="B99" t="s">
        <v>93</v>
      </c>
      <c r="C99" t="s">
        <v>73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1746</v>
      </c>
      <c r="B100" t="s">
        <v>42</v>
      </c>
      <c r="C100" t="s">
        <v>73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1746</v>
      </c>
      <c r="B101" t="s">
        <v>83</v>
      </c>
      <c r="C101" t="s">
        <v>73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1746</v>
      </c>
      <c r="B102" t="s">
        <v>47</v>
      </c>
      <c r="C102" t="s">
        <v>73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1746</v>
      </c>
      <c r="B103" t="s">
        <v>16</v>
      </c>
      <c r="C103" t="s">
        <v>73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1746</v>
      </c>
      <c r="B104" t="s">
        <v>17</v>
      </c>
      <c r="C104" t="s">
        <v>73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1746</v>
      </c>
      <c r="B105" t="s">
        <v>18</v>
      </c>
      <c r="C105" t="s">
        <v>73</v>
      </c>
      <c r="D105" t="s">
        <v>35</v>
      </c>
      <c r="H105">
        <v>730</v>
      </c>
      <c r="I105" t="s">
        <v>153</v>
      </c>
      <c r="J105">
        <f t="shared" si="2"/>
        <v>730</v>
      </c>
      <c r="L105">
        <f t="shared" si="3"/>
        <v>0.32589285714285715</v>
      </c>
    </row>
    <row r="106" spans="1:12" x14ac:dyDescent="0.25">
      <c r="A106">
        <v>1746</v>
      </c>
      <c r="B106" t="s">
        <v>26</v>
      </c>
      <c r="C106" t="s">
        <v>73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1746</v>
      </c>
      <c r="B107" t="s">
        <v>84</v>
      </c>
      <c r="C107" t="s">
        <v>73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1746</v>
      </c>
      <c r="B108" t="s">
        <v>19</v>
      </c>
      <c r="C108" t="s">
        <v>73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1746</v>
      </c>
      <c r="B109" t="s">
        <v>45</v>
      </c>
      <c r="C109" t="s">
        <v>73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1746</v>
      </c>
      <c r="B110" t="s">
        <v>85</v>
      </c>
      <c r="C110" t="s">
        <v>73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1746</v>
      </c>
      <c r="B111" t="s">
        <v>54</v>
      </c>
      <c r="C111" t="s">
        <v>73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1746</v>
      </c>
      <c r="B112" t="s">
        <v>95</v>
      </c>
      <c r="C112" t="s">
        <v>73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1746</v>
      </c>
      <c r="B113" t="s">
        <v>20</v>
      </c>
      <c r="C113" t="s">
        <v>73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1746</v>
      </c>
      <c r="B114" t="s">
        <v>21</v>
      </c>
      <c r="C114" t="s">
        <v>73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1746</v>
      </c>
      <c r="B115" t="s">
        <v>22</v>
      </c>
      <c r="C115" t="s">
        <v>73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1746</v>
      </c>
      <c r="B116" t="s">
        <v>61</v>
      </c>
      <c r="C116" t="s">
        <v>73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1746</v>
      </c>
      <c r="B117" t="s">
        <v>91</v>
      </c>
      <c r="C117" t="s">
        <v>73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1746</v>
      </c>
      <c r="B118" t="s">
        <v>98</v>
      </c>
      <c r="C118" t="s">
        <v>73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1746</v>
      </c>
      <c r="B119" t="s">
        <v>87</v>
      </c>
      <c r="C119" t="s">
        <v>73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1746</v>
      </c>
      <c r="B120" t="s">
        <v>62</v>
      </c>
      <c r="C120" t="s">
        <v>73</v>
      </c>
      <c r="D120" t="s">
        <v>35</v>
      </c>
      <c r="E120">
        <v>5</v>
      </c>
      <c r="F120">
        <v>12</v>
      </c>
      <c r="G120">
        <v>2</v>
      </c>
      <c r="H120">
        <v>25</v>
      </c>
      <c r="J120">
        <f t="shared" si="2"/>
        <v>12625</v>
      </c>
      <c r="L120">
        <f t="shared" si="3"/>
        <v>5.6361607142857144</v>
      </c>
    </row>
    <row r="121" spans="1:12" x14ac:dyDescent="0.25">
      <c r="A121">
        <v>1746</v>
      </c>
      <c r="B121" t="s">
        <v>88</v>
      </c>
      <c r="C121" t="s">
        <v>73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1746</v>
      </c>
      <c r="B122" t="s">
        <v>63</v>
      </c>
      <c r="C122" t="s">
        <v>73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1746</v>
      </c>
      <c r="B123" t="s">
        <v>89</v>
      </c>
      <c r="C123" t="s">
        <v>73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1746</v>
      </c>
      <c r="B124" t="s">
        <v>70</v>
      </c>
      <c r="C124" t="s">
        <v>73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1746</v>
      </c>
      <c r="B125" t="s">
        <v>64</v>
      </c>
      <c r="C125" t="s">
        <v>73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1746</v>
      </c>
      <c r="B126" t="s">
        <v>65</v>
      </c>
      <c r="C126" t="s">
        <v>73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988A-EF5D-4D8D-966B-955CB5EB687E}">
  <dimension ref="A1:O127"/>
  <sheetViews>
    <sheetView topLeftCell="A97" workbookViewId="0">
      <selection activeCell="H107" sqref="H107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1746</v>
      </c>
      <c r="B2" t="s">
        <v>55</v>
      </c>
      <c r="C2" t="s">
        <v>74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1746</v>
      </c>
      <c r="B3" t="s">
        <v>57</v>
      </c>
      <c r="C3" t="s">
        <v>74</v>
      </c>
      <c r="D3" t="s">
        <v>33</v>
      </c>
      <c r="J3">
        <f t="shared" ref="J3:J67" si="0">(E3*2240)+(F3*112)+(G3*28)+H3</f>
        <v>0</v>
      </c>
      <c r="L3">
        <f t="shared" ref="L3:L67" si="1">J3/2240</f>
        <v>0</v>
      </c>
    </row>
    <row r="4" spans="1:15" x14ac:dyDescent="0.25">
      <c r="A4">
        <v>1746</v>
      </c>
      <c r="B4" t="s">
        <v>36</v>
      </c>
      <c r="C4" t="s">
        <v>74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1746</v>
      </c>
      <c r="B5" t="s">
        <v>4</v>
      </c>
      <c r="C5" t="s">
        <v>74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1746</v>
      </c>
      <c r="B6" t="s">
        <v>58</v>
      </c>
      <c r="C6" t="s">
        <v>74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1746</v>
      </c>
      <c r="B7" t="s">
        <v>69</v>
      </c>
      <c r="C7" t="s">
        <v>74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1746</v>
      </c>
      <c r="B8" t="s">
        <v>43</v>
      </c>
      <c r="C8" t="s">
        <v>74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1746</v>
      </c>
      <c r="B9" t="s">
        <v>76</v>
      </c>
      <c r="C9" t="s">
        <v>74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1746</v>
      </c>
      <c r="B10" t="s">
        <v>5</v>
      </c>
      <c r="C10" t="s">
        <v>74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1746</v>
      </c>
      <c r="B11" t="s">
        <v>59</v>
      </c>
      <c r="C11" t="s">
        <v>74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1746</v>
      </c>
      <c r="B12" t="s">
        <v>6</v>
      </c>
      <c r="C12" t="s">
        <v>74</v>
      </c>
      <c r="D12" t="s">
        <v>33</v>
      </c>
      <c r="F12">
        <v>128576</v>
      </c>
      <c r="G12">
        <v>1</v>
      </c>
      <c r="J12">
        <f t="shared" si="0"/>
        <v>14400540</v>
      </c>
      <c r="L12">
        <f t="shared" si="1"/>
        <v>6428.8125</v>
      </c>
    </row>
    <row r="13" spans="1:15" x14ac:dyDescent="0.25">
      <c r="A13">
        <v>1746</v>
      </c>
      <c r="B13" t="s">
        <v>96</v>
      </c>
      <c r="C13" t="s">
        <v>74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1746</v>
      </c>
      <c r="B14" t="s">
        <v>60</v>
      </c>
      <c r="C14" t="s">
        <v>74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1746</v>
      </c>
      <c r="B15" t="s">
        <v>7</v>
      </c>
      <c r="C15" t="s">
        <v>74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1746</v>
      </c>
      <c r="B16" t="s">
        <v>37</v>
      </c>
      <c r="C16" t="s">
        <v>74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1746</v>
      </c>
      <c r="B17" t="s">
        <v>8</v>
      </c>
      <c r="C17" t="s">
        <v>74</v>
      </c>
      <c r="D17" t="s">
        <v>33</v>
      </c>
      <c r="F17">
        <v>30</v>
      </c>
      <c r="G17">
        <v>1</v>
      </c>
      <c r="H17">
        <v>12</v>
      </c>
      <c r="J17">
        <f t="shared" si="0"/>
        <v>3400</v>
      </c>
      <c r="L17">
        <f t="shared" si="1"/>
        <v>1.5178571428571428</v>
      </c>
    </row>
    <row r="18" spans="1:12" x14ac:dyDescent="0.25">
      <c r="A18">
        <v>1746</v>
      </c>
      <c r="B18" t="s">
        <v>40</v>
      </c>
      <c r="C18" t="s">
        <v>74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1746</v>
      </c>
      <c r="B19" t="s">
        <v>77</v>
      </c>
      <c r="C19" t="s">
        <v>74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1746</v>
      </c>
      <c r="B20" t="s">
        <v>78</v>
      </c>
      <c r="C20" t="s">
        <v>74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1746</v>
      </c>
      <c r="B21" t="s">
        <v>46</v>
      </c>
      <c r="C21" t="s">
        <v>74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1746</v>
      </c>
      <c r="B22" t="s">
        <v>9</v>
      </c>
      <c r="C22" t="s">
        <v>74</v>
      </c>
      <c r="D22" t="s">
        <v>33</v>
      </c>
      <c r="I22" t="s">
        <v>136</v>
      </c>
      <c r="J22">
        <f t="shared" si="0"/>
        <v>0</v>
      </c>
      <c r="L22">
        <f t="shared" si="1"/>
        <v>0</v>
      </c>
    </row>
    <row r="23" spans="1:12" x14ac:dyDescent="0.25">
      <c r="A23">
        <v>1746</v>
      </c>
      <c r="B23" t="s">
        <v>10</v>
      </c>
      <c r="C23" t="s">
        <v>74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1746</v>
      </c>
      <c r="B24" t="s">
        <v>11</v>
      </c>
      <c r="C24" t="s">
        <v>74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1746</v>
      </c>
      <c r="B25" t="s">
        <v>39</v>
      </c>
      <c r="C25" t="s">
        <v>74</v>
      </c>
      <c r="D25" t="s">
        <v>33</v>
      </c>
      <c r="H25">
        <v>31</v>
      </c>
      <c r="J25">
        <f t="shared" si="0"/>
        <v>31</v>
      </c>
      <c r="L25">
        <f t="shared" si="1"/>
        <v>1.3839285714285714E-2</v>
      </c>
    </row>
    <row r="26" spans="1:12" x14ac:dyDescent="0.25">
      <c r="A26">
        <v>1746</v>
      </c>
      <c r="B26" t="s">
        <v>79</v>
      </c>
      <c r="C26" t="s">
        <v>74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1746</v>
      </c>
      <c r="B27" t="s">
        <v>103</v>
      </c>
      <c r="C27" t="s">
        <v>74</v>
      </c>
      <c r="D27" t="s">
        <v>33</v>
      </c>
      <c r="H27">
        <v>15</v>
      </c>
      <c r="J27">
        <f t="shared" si="0"/>
        <v>15</v>
      </c>
      <c r="L27">
        <f t="shared" si="1"/>
        <v>6.6964285714285711E-3</v>
      </c>
    </row>
    <row r="28" spans="1:12" x14ac:dyDescent="0.25">
      <c r="A28">
        <v>1746</v>
      </c>
      <c r="B28" t="s">
        <v>44</v>
      </c>
      <c r="C28" t="s">
        <v>74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1746</v>
      </c>
      <c r="B29" t="s">
        <v>97</v>
      </c>
      <c r="C29" t="s">
        <v>74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1746</v>
      </c>
      <c r="B30" t="s">
        <v>12</v>
      </c>
      <c r="C30" t="s">
        <v>74</v>
      </c>
      <c r="D30" t="s">
        <v>33</v>
      </c>
      <c r="H30">
        <v>1500</v>
      </c>
      <c r="J30">
        <f t="shared" si="0"/>
        <v>1500</v>
      </c>
      <c r="L30">
        <f t="shared" si="1"/>
        <v>0.6696428571428571</v>
      </c>
    </row>
    <row r="31" spans="1:12" x14ac:dyDescent="0.25">
      <c r="A31">
        <v>1746</v>
      </c>
      <c r="B31" t="s">
        <v>82</v>
      </c>
      <c r="C31" t="s">
        <v>74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1746</v>
      </c>
      <c r="B32" t="s">
        <v>34</v>
      </c>
      <c r="C32" t="s">
        <v>74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1746</v>
      </c>
      <c r="B33" t="s">
        <v>13</v>
      </c>
      <c r="C33" t="s">
        <v>74</v>
      </c>
      <c r="D33" t="s">
        <v>33</v>
      </c>
      <c r="E33">
        <v>60</v>
      </c>
      <c r="F33">
        <v>15</v>
      </c>
      <c r="G33">
        <v>1</v>
      </c>
      <c r="J33">
        <f t="shared" si="0"/>
        <v>136108</v>
      </c>
      <c r="L33">
        <f t="shared" si="1"/>
        <v>60.762500000000003</v>
      </c>
    </row>
    <row r="34" spans="1:12" x14ac:dyDescent="0.25">
      <c r="A34">
        <v>1746</v>
      </c>
      <c r="B34" t="s">
        <v>14</v>
      </c>
      <c r="C34" t="s">
        <v>74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1746</v>
      </c>
      <c r="B35" t="s">
        <v>23</v>
      </c>
      <c r="C35" t="s">
        <v>74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1746</v>
      </c>
      <c r="B36" t="s">
        <v>27</v>
      </c>
      <c r="C36" t="s">
        <v>74</v>
      </c>
      <c r="D36" t="s">
        <v>33</v>
      </c>
      <c r="H36">
        <v>116420</v>
      </c>
      <c r="I36" t="s">
        <v>134</v>
      </c>
      <c r="J36">
        <f t="shared" si="0"/>
        <v>116420</v>
      </c>
      <c r="L36">
        <f t="shared" si="1"/>
        <v>51.973214285714285</v>
      </c>
    </row>
    <row r="37" spans="1:12" x14ac:dyDescent="0.25">
      <c r="A37">
        <v>1746</v>
      </c>
      <c r="B37" t="s">
        <v>15</v>
      </c>
      <c r="C37" t="s">
        <v>74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1746</v>
      </c>
      <c r="B38" t="s">
        <v>42</v>
      </c>
      <c r="C38" t="s">
        <v>74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1746</v>
      </c>
      <c r="B39" t="s">
        <v>83</v>
      </c>
      <c r="C39" t="s">
        <v>74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1746</v>
      </c>
      <c r="B40" t="s">
        <v>47</v>
      </c>
      <c r="C40" t="s">
        <v>74</v>
      </c>
      <c r="D40" t="s">
        <v>33</v>
      </c>
      <c r="H40">
        <v>160</v>
      </c>
      <c r="I40" t="s">
        <v>132</v>
      </c>
      <c r="J40">
        <f t="shared" si="0"/>
        <v>160</v>
      </c>
      <c r="L40">
        <f t="shared" si="1"/>
        <v>7.1428571428571425E-2</v>
      </c>
    </row>
    <row r="41" spans="1:12" x14ac:dyDescent="0.25">
      <c r="A41">
        <v>1746</v>
      </c>
      <c r="B41" t="s">
        <v>16</v>
      </c>
      <c r="C41" t="s">
        <v>74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1746</v>
      </c>
      <c r="B42" t="s">
        <v>121</v>
      </c>
      <c r="C42" t="s">
        <v>74</v>
      </c>
      <c r="D42" t="s">
        <v>33</v>
      </c>
      <c r="H42">
        <v>4871.5</v>
      </c>
      <c r="I42" t="s">
        <v>135</v>
      </c>
      <c r="J42">
        <f t="shared" si="0"/>
        <v>4871.5</v>
      </c>
      <c r="L42">
        <f t="shared" si="1"/>
        <v>2.1747767857142857</v>
      </c>
    </row>
    <row r="43" spans="1:12" x14ac:dyDescent="0.25">
      <c r="A43">
        <v>1746</v>
      </c>
      <c r="B43" t="s">
        <v>17</v>
      </c>
      <c r="C43" t="s">
        <v>74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1746</v>
      </c>
      <c r="B44" t="s">
        <v>18</v>
      </c>
      <c r="C44" t="s">
        <v>74</v>
      </c>
      <c r="D44" t="s">
        <v>33</v>
      </c>
      <c r="H44">
        <v>147068</v>
      </c>
      <c r="I44" t="s">
        <v>133</v>
      </c>
      <c r="J44">
        <f t="shared" si="0"/>
        <v>147068</v>
      </c>
      <c r="L44">
        <f t="shared" si="1"/>
        <v>65.655357142857142</v>
      </c>
    </row>
    <row r="45" spans="1:12" x14ac:dyDescent="0.25">
      <c r="A45">
        <v>1746</v>
      </c>
      <c r="B45" t="s">
        <v>26</v>
      </c>
      <c r="C45" t="s">
        <v>74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1746</v>
      </c>
      <c r="B46" t="s">
        <v>84</v>
      </c>
      <c r="C46" t="s">
        <v>74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1746</v>
      </c>
      <c r="B47" t="s">
        <v>19</v>
      </c>
      <c r="C47" t="s">
        <v>74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1746</v>
      </c>
      <c r="B48" t="s">
        <v>45</v>
      </c>
      <c r="C48" t="s">
        <v>74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1746</v>
      </c>
      <c r="B49" t="s">
        <v>85</v>
      </c>
      <c r="C49" t="s">
        <v>74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1746</v>
      </c>
      <c r="B50" t="s">
        <v>54</v>
      </c>
      <c r="C50" t="s">
        <v>74</v>
      </c>
      <c r="D50" t="s">
        <v>33</v>
      </c>
      <c r="H50">
        <v>394</v>
      </c>
      <c r="J50">
        <f t="shared" si="0"/>
        <v>394</v>
      </c>
      <c r="L50">
        <f t="shared" si="1"/>
        <v>0.17589285714285716</v>
      </c>
    </row>
    <row r="51" spans="1:12" x14ac:dyDescent="0.25">
      <c r="A51">
        <v>1746</v>
      </c>
      <c r="B51" t="s">
        <v>95</v>
      </c>
      <c r="C51" t="s">
        <v>74</v>
      </c>
      <c r="D51" t="s">
        <v>33</v>
      </c>
      <c r="H51">
        <v>458</v>
      </c>
      <c r="J51">
        <f t="shared" si="0"/>
        <v>458</v>
      </c>
      <c r="L51">
        <f t="shared" si="1"/>
        <v>0.20446428571428571</v>
      </c>
    </row>
    <row r="52" spans="1:12" x14ac:dyDescent="0.25">
      <c r="A52">
        <v>1746</v>
      </c>
      <c r="B52" t="s">
        <v>20</v>
      </c>
      <c r="C52" t="s">
        <v>74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1746</v>
      </c>
      <c r="B53" t="s">
        <v>21</v>
      </c>
      <c r="C53" t="s">
        <v>74</v>
      </c>
      <c r="D53" t="s">
        <v>33</v>
      </c>
      <c r="H53">
        <v>13</v>
      </c>
      <c r="J53">
        <f t="shared" si="0"/>
        <v>13</v>
      </c>
      <c r="L53">
        <f t="shared" si="1"/>
        <v>5.8035714285714288E-3</v>
      </c>
    </row>
    <row r="54" spans="1:12" x14ac:dyDescent="0.25">
      <c r="A54">
        <v>1746</v>
      </c>
      <c r="B54" t="s">
        <v>22</v>
      </c>
      <c r="C54" t="s">
        <v>74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1746</v>
      </c>
      <c r="B55" t="s">
        <v>61</v>
      </c>
      <c r="C55" t="s">
        <v>74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1746</v>
      </c>
      <c r="B56" t="s">
        <v>99</v>
      </c>
      <c r="C56" t="s">
        <v>74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1746</v>
      </c>
      <c r="B57" t="s">
        <v>87</v>
      </c>
      <c r="C57" t="s">
        <v>74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1746</v>
      </c>
      <c r="B58" t="s">
        <v>62</v>
      </c>
      <c r="C58" t="s">
        <v>74</v>
      </c>
      <c r="D58" t="s">
        <v>33</v>
      </c>
      <c r="E58">
        <v>30</v>
      </c>
      <c r="F58">
        <v>17</v>
      </c>
      <c r="G58">
        <v>2</v>
      </c>
      <c r="H58">
        <v>14</v>
      </c>
      <c r="J58">
        <f t="shared" si="0"/>
        <v>69174</v>
      </c>
      <c r="L58">
        <f t="shared" si="1"/>
        <v>30.881250000000001</v>
      </c>
    </row>
    <row r="59" spans="1:12" x14ac:dyDescent="0.25">
      <c r="A59">
        <v>1746</v>
      </c>
      <c r="B59" t="s">
        <v>88</v>
      </c>
      <c r="C59" t="s">
        <v>74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1746</v>
      </c>
      <c r="B60" t="s">
        <v>63</v>
      </c>
      <c r="C60" t="s">
        <v>74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1746</v>
      </c>
      <c r="B61" t="s">
        <v>89</v>
      </c>
      <c r="C61" t="s">
        <v>74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1746</v>
      </c>
      <c r="B62" t="s">
        <v>70</v>
      </c>
      <c r="C62" t="s">
        <v>74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1746</v>
      </c>
      <c r="B63" t="s">
        <v>64</v>
      </c>
      <c r="C63" t="s">
        <v>74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1746</v>
      </c>
      <c r="B64" t="s">
        <v>65</v>
      </c>
      <c r="C64" t="s">
        <v>74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1746</v>
      </c>
      <c r="B65" t="s">
        <v>55</v>
      </c>
      <c r="C65" t="s">
        <v>74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1746</v>
      </c>
      <c r="B66" t="s">
        <v>57</v>
      </c>
      <c r="C66" t="s">
        <v>74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1746</v>
      </c>
      <c r="B67" t="s">
        <v>36</v>
      </c>
      <c r="C67" t="s">
        <v>74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1746</v>
      </c>
      <c r="B68" t="s">
        <v>4</v>
      </c>
      <c r="C68" t="s">
        <v>74</v>
      </c>
      <c r="D68" t="s">
        <v>35</v>
      </c>
      <c r="J68">
        <f t="shared" ref="J68:J127" si="2">(E68*2240)+(F68*112)+(G68*28)+H68</f>
        <v>0</v>
      </c>
      <c r="L68">
        <f t="shared" ref="L68:L127" si="3">J68/2240</f>
        <v>0</v>
      </c>
    </row>
    <row r="69" spans="1:12" x14ac:dyDescent="0.25">
      <c r="A69">
        <v>1746</v>
      </c>
      <c r="B69" t="s">
        <v>58</v>
      </c>
      <c r="C69" t="s">
        <v>74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1746</v>
      </c>
      <c r="B70" t="s">
        <v>69</v>
      </c>
      <c r="C70" t="s">
        <v>74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1746</v>
      </c>
      <c r="B71" t="s">
        <v>43</v>
      </c>
      <c r="C71" t="s">
        <v>74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1746</v>
      </c>
      <c r="B72" t="s">
        <v>76</v>
      </c>
      <c r="C72" t="s">
        <v>74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1746</v>
      </c>
      <c r="B73" t="s">
        <v>5</v>
      </c>
      <c r="C73" t="s">
        <v>74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1746</v>
      </c>
      <c r="B74" t="s">
        <v>59</v>
      </c>
      <c r="C74" t="s">
        <v>74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1746</v>
      </c>
      <c r="B75" t="s">
        <v>6</v>
      </c>
      <c r="C75" t="s">
        <v>74</v>
      </c>
      <c r="D75" t="s">
        <v>35</v>
      </c>
      <c r="F75">
        <v>23543</v>
      </c>
      <c r="G75">
        <v>1</v>
      </c>
      <c r="J75">
        <f t="shared" si="2"/>
        <v>2636844</v>
      </c>
      <c r="L75">
        <f t="shared" si="3"/>
        <v>1177.1624999999999</v>
      </c>
    </row>
    <row r="76" spans="1:12" x14ac:dyDescent="0.25">
      <c r="A76">
        <v>1746</v>
      </c>
      <c r="B76" t="s">
        <v>60</v>
      </c>
      <c r="C76" t="s">
        <v>74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1746</v>
      </c>
      <c r="B77" t="s">
        <v>7</v>
      </c>
      <c r="C77" t="s">
        <v>74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1746</v>
      </c>
      <c r="B78" t="s">
        <v>37</v>
      </c>
      <c r="C78" t="s">
        <v>74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1746</v>
      </c>
      <c r="B79" t="s">
        <v>8</v>
      </c>
      <c r="C79" t="s">
        <v>74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1746</v>
      </c>
      <c r="B80" t="s">
        <v>40</v>
      </c>
      <c r="C80" t="s">
        <v>74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1746</v>
      </c>
      <c r="B81" t="s">
        <v>77</v>
      </c>
      <c r="C81" t="s">
        <v>74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1746</v>
      </c>
      <c r="B82" t="s">
        <v>78</v>
      </c>
      <c r="C82" t="s">
        <v>74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1746</v>
      </c>
      <c r="B83" t="s">
        <v>46</v>
      </c>
      <c r="C83" t="s">
        <v>74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1746</v>
      </c>
      <c r="B84" t="s">
        <v>9</v>
      </c>
      <c r="C84" t="s">
        <v>74</v>
      </c>
      <c r="D84" t="s">
        <v>35</v>
      </c>
      <c r="H84">
        <f>352.5*200</f>
        <v>70500</v>
      </c>
      <c r="I84" t="s">
        <v>156</v>
      </c>
      <c r="J84">
        <f t="shared" si="2"/>
        <v>70500</v>
      </c>
      <c r="L84">
        <f t="shared" si="3"/>
        <v>31.473214285714285</v>
      </c>
    </row>
    <row r="85" spans="1:12" x14ac:dyDescent="0.25">
      <c r="A85">
        <v>1746</v>
      </c>
      <c r="B85" t="s">
        <v>10</v>
      </c>
      <c r="C85" t="s">
        <v>74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1746</v>
      </c>
      <c r="B86" t="s">
        <v>11</v>
      </c>
      <c r="C86" t="s">
        <v>74</v>
      </c>
      <c r="D86" t="s">
        <v>35</v>
      </c>
      <c r="F86">
        <v>8</v>
      </c>
      <c r="G86">
        <v>2</v>
      </c>
      <c r="J86">
        <f t="shared" si="2"/>
        <v>952</v>
      </c>
      <c r="L86">
        <f t="shared" si="3"/>
        <v>0.42499999999999999</v>
      </c>
    </row>
    <row r="87" spans="1:12" x14ac:dyDescent="0.25">
      <c r="A87">
        <v>1746</v>
      </c>
      <c r="B87" t="s">
        <v>39</v>
      </c>
      <c r="C87" t="s">
        <v>74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1746</v>
      </c>
      <c r="B88" t="s">
        <v>79</v>
      </c>
      <c r="C88" t="s">
        <v>74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1746</v>
      </c>
      <c r="B89" t="s">
        <v>103</v>
      </c>
      <c r="C89" t="s">
        <v>74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1746</v>
      </c>
      <c r="B90" t="s">
        <v>44</v>
      </c>
      <c r="C90" t="s">
        <v>74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1746</v>
      </c>
      <c r="B91" t="s">
        <v>97</v>
      </c>
      <c r="C91" t="s">
        <v>74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1746</v>
      </c>
      <c r="B92" t="s">
        <v>12</v>
      </c>
      <c r="C92" t="s">
        <v>74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1746</v>
      </c>
      <c r="B93" t="s">
        <v>82</v>
      </c>
      <c r="C93" t="s">
        <v>74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1746</v>
      </c>
      <c r="B94" t="s">
        <v>34</v>
      </c>
      <c r="C94" t="s">
        <v>74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1746</v>
      </c>
      <c r="B95" t="s">
        <v>13</v>
      </c>
      <c r="C95" t="s">
        <v>74</v>
      </c>
      <c r="D95" t="s">
        <v>35</v>
      </c>
      <c r="E95">
        <v>2</v>
      </c>
      <c r="F95">
        <v>1</v>
      </c>
      <c r="J95">
        <f t="shared" si="2"/>
        <v>4592</v>
      </c>
      <c r="L95">
        <f t="shared" si="3"/>
        <v>2.0499999999999998</v>
      </c>
    </row>
    <row r="96" spans="1:12" x14ac:dyDescent="0.25">
      <c r="A96">
        <v>1746</v>
      </c>
      <c r="B96" t="s">
        <v>14</v>
      </c>
      <c r="C96" t="s">
        <v>74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1746</v>
      </c>
      <c r="B97" t="s">
        <v>23</v>
      </c>
      <c r="C97" t="s">
        <v>74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1746</v>
      </c>
      <c r="B98" t="s">
        <v>27</v>
      </c>
      <c r="C98" t="s">
        <v>74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1746</v>
      </c>
      <c r="B99" t="s">
        <v>15</v>
      </c>
      <c r="C99" t="s">
        <v>74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1746</v>
      </c>
      <c r="B100" t="s">
        <v>93</v>
      </c>
      <c r="C100" t="s">
        <v>74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1746</v>
      </c>
      <c r="B101" t="s">
        <v>42</v>
      </c>
      <c r="C101" t="s">
        <v>74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1746</v>
      </c>
      <c r="B102" t="s">
        <v>83</v>
      </c>
      <c r="C102" t="s">
        <v>74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1746</v>
      </c>
      <c r="B103" t="s">
        <v>47</v>
      </c>
      <c r="C103" t="s">
        <v>74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1746</v>
      </c>
      <c r="B104" t="s">
        <v>16</v>
      </c>
      <c r="C104" t="s">
        <v>74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1746</v>
      </c>
      <c r="B105" t="s">
        <v>17</v>
      </c>
      <c r="C105" t="s">
        <v>74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1746</v>
      </c>
      <c r="B106" t="s">
        <v>18</v>
      </c>
      <c r="C106" t="s">
        <v>74</v>
      </c>
      <c r="D106" t="s">
        <v>35</v>
      </c>
      <c r="H106">
        <v>39790</v>
      </c>
      <c r="I106" t="s">
        <v>155</v>
      </c>
      <c r="J106">
        <f t="shared" si="2"/>
        <v>39790</v>
      </c>
      <c r="L106">
        <f t="shared" si="3"/>
        <v>17.763392857142858</v>
      </c>
    </row>
    <row r="107" spans="1:12" x14ac:dyDescent="0.25">
      <c r="A107">
        <v>1746</v>
      </c>
      <c r="B107" t="s">
        <v>26</v>
      </c>
      <c r="C107" t="s">
        <v>74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1746</v>
      </c>
      <c r="B108" t="s">
        <v>84</v>
      </c>
      <c r="C108" t="s">
        <v>74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1746</v>
      </c>
      <c r="B109" t="s">
        <v>19</v>
      </c>
      <c r="C109" t="s">
        <v>74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1746</v>
      </c>
      <c r="B110" t="s">
        <v>45</v>
      </c>
      <c r="C110" t="s">
        <v>74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1746</v>
      </c>
      <c r="B111" t="s">
        <v>85</v>
      </c>
      <c r="C111" t="s">
        <v>74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1746</v>
      </c>
      <c r="B112" t="s">
        <v>54</v>
      </c>
      <c r="C112" t="s">
        <v>74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1746</v>
      </c>
      <c r="B113" t="s">
        <v>95</v>
      </c>
      <c r="C113" t="s">
        <v>74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1746</v>
      </c>
      <c r="B114" t="s">
        <v>20</v>
      </c>
      <c r="C114" t="s">
        <v>74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1746</v>
      </c>
      <c r="B115" t="s">
        <v>21</v>
      </c>
      <c r="C115" t="s">
        <v>74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1746</v>
      </c>
      <c r="B116" t="s">
        <v>22</v>
      </c>
      <c r="C116" t="s">
        <v>74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1746</v>
      </c>
      <c r="B117" t="s">
        <v>61</v>
      </c>
      <c r="C117" t="s">
        <v>74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1746</v>
      </c>
      <c r="B118" t="s">
        <v>91</v>
      </c>
      <c r="C118" t="s">
        <v>74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1746</v>
      </c>
      <c r="B119" t="s">
        <v>98</v>
      </c>
      <c r="C119" t="s">
        <v>74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1746</v>
      </c>
      <c r="B120" t="s">
        <v>87</v>
      </c>
      <c r="C120" t="s">
        <v>74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1746</v>
      </c>
      <c r="B121" t="s">
        <v>62</v>
      </c>
      <c r="C121" t="s">
        <v>74</v>
      </c>
      <c r="D121" t="s">
        <v>35</v>
      </c>
      <c r="E121">
        <v>2</v>
      </c>
      <c r="F121">
        <v>18</v>
      </c>
      <c r="G121">
        <v>1</v>
      </c>
      <c r="H121">
        <v>10</v>
      </c>
      <c r="J121">
        <f t="shared" si="2"/>
        <v>6534</v>
      </c>
      <c r="L121">
        <f t="shared" si="3"/>
        <v>2.9169642857142857</v>
      </c>
    </row>
    <row r="122" spans="1:12" x14ac:dyDescent="0.25">
      <c r="A122">
        <v>1746</v>
      </c>
      <c r="B122" t="s">
        <v>88</v>
      </c>
      <c r="C122" t="s">
        <v>74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1746</v>
      </c>
      <c r="B123" t="s">
        <v>63</v>
      </c>
      <c r="C123" t="s">
        <v>74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1746</v>
      </c>
      <c r="B124" t="s">
        <v>89</v>
      </c>
      <c r="C124" t="s">
        <v>74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1746</v>
      </c>
      <c r="B125" t="s">
        <v>70</v>
      </c>
      <c r="C125" t="s">
        <v>74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1746</v>
      </c>
      <c r="B126" t="s">
        <v>64</v>
      </c>
      <c r="C126" t="s">
        <v>74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1746</v>
      </c>
      <c r="B127" t="s">
        <v>65</v>
      </c>
      <c r="C127" t="s">
        <v>74</v>
      </c>
      <c r="D127" t="s">
        <v>35</v>
      </c>
      <c r="J127">
        <f t="shared" si="2"/>
        <v>0</v>
      </c>
      <c r="L127">
        <f t="shared" si="3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F944-0B45-405A-9B1E-A7700FAB2F9A}">
  <dimension ref="A1:O126"/>
  <sheetViews>
    <sheetView workbookViewId="0">
      <selection activeCell="A2" sqref="A2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B2" t="s">
        <v>55</v>
      </c>
      <c r="C2" t="s">
        <v>94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B3" t="s">
        <v>57</v>
      </c>
      <c r="C3" t="s">
        <v>94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B4" t="s">
        <v>36</v>
      </c>
      <c r="C4" t="s">
        <v>94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B5" t="s">
        <v>4</v>
      </c>
      <c r="C5" t="s">
        <v>94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B6" t="s">
        <v>58</v>
      </c>
      <c r="C6" t="s">
        <v>94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B7" t="s">
        <v>69</v>
      </c>
      <c r="C7" t="s">
        <v>94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B8" t="s">
        <v>43</v>
      </c>
      <c r="C8" t="s">
        <v>94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B9" t="s">
        <v>76</v>
      </c>
      <c r="C9" t="s">
        <v>94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B10" t="s">
        <v>5</v>
      </c>
      <c r="C10" t="s">
        <v>94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B11" t="s">
        <v>59</v>
      </c>
      <c r="C11" t="s">
        <v>94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B12" t="s">
        <v>6</v>
      </c>
      <c r="C12" t="s">
        <v>94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B13" t="s">
        <v>96</v>
      </c>
      <c r="C13" t="s">
        <v>94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B14" t="s">
        <v>60</v>
      </c>
      <c r="C14" t="s">
        <v>94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B15" t="s">
        <v>7</v>
      </c>
      <c r="C15" t="s">
        <v>94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B16" t="s">
        <v>37</v>
      </c>
      <c r="C16" t="s">
        <v>94</v>
      </c>
      <c r="D16" t="s">
        <v>33</v>
      </c>
      <c r="J16">
        <f t="shared" si="0"/>
        <v>0</v>
      </c>
      <c r="L16">
        <f t="shared" si="1"/>
        <v>0</v>
      </c>
    </row>
    <row r="17" spans="2:12" x14ac:dyDescent="0.25">
      <c r="B17" t="s">
        <v>8</v>
      </c>
      <c r="C17" t="s">
        <v>94</v>
      </c>
      <c r="D17" t="s">
        <v>33</v>
      </c>
      <c r="J17">
        <f t="shared" si="0"/>
        <v>0</v>
      </c>
      <c r="L17">
        <f t="shared" si="1"/>
        <v>0</v>
      </c>
    </row>
    <row r="18" spans="2:12" x14ac:dyDescent="0.25">
      <c r="B18" t="s">
        <v>40</v>
      </c>
      <c r="C18" t="s">
        <v>94</v>
      </c>
      <c r="D18" t="s">
        <v>33</v>
      </c>
      <c r="J18">
        <f t="shared" si="0"/>
        <v>0</v>
      </c>
      <c r="L18">
        <f t="shared" si="1"/>
        <v>0</v>
      </c>
    </row>
    <row r="19" spans="2:12" x14ac:dyDescent="0.25">
      <c r="B19" t="s">
        <v>77</v>
      </c>
      <c r="C19" t="s">
        <v>94</v>
      </c>
      <c r="D19" t="s">
        <v>33</v>
      </c>
      <c r="J19">
        <f t="shared" si="0"/>
        <v>0</v>
      </c>
      <c r="L19">
        <f t="shared" si="1"/>
        <v>0</v>
      </c>
    </row>
    <row r="20" spans="2:12" x14ac:dyDescent="0.25">
      <c r="B20" t="s">
        <v>78</v>
      </c>
      <c r="C20" t="s">
        <v>94</v>
      </c>
      <c r="D20" t="s">
        <v>33</v>
      </c>
      <c r="J20">
        <f t="shared" si="0"/>
        <v>0</v>
      </c>
      <c r="L20">
        <f t="shared" si="1"/>
        <v>0</v>
      </c>
    </row>
    <row r="21" spans="2:12" x14ac:dyDescent="0.25">
      <c r="B21" t="s">
        <v>46</v>
      </c>
      <c r="C21" t="s">
        <v>94</v>
      </c>
      <c r="D21" t="s">
        <v>33</v>
      </c>
      <c r="J21">
        <f t="shared" si="0"/>
        <v>0</v>
      </c>
      <c r="L21">
        <f t="shared" si="1"/>
        <v>0</v>
      </c>
    </row>
    <row r="22" spans="2:12" x14ac:dyDescent="0.25">
      <c r="B22" t="s">
        <v>9</v>
      </c>
      <c r="C22" t="s">
        <v>94</v>
      </c>
      <c r="D22" t="s">
        <v>33</v>
      </c>
      <c r="J22">
        <f t="shared" si="0"/>
        <v>0</v>
      </c>
      <c r="L22">
        <f t="shared" si="1"/>
        <v>0</v>
      </c>
    </row>
    <row r="23" spans="2:12" x14ac:dyDescent="0.25">
      <c r="B23" t="s">
        <v>10</v>
      </c>
      <c r="C23" t="s">
        <v>94</v>
      </c>
      <c r="D23" t="s">
        <v>33</v>
      </c>
      <c r="J23">
        <f t="shared" si="0"/>
        <v>0</v>
      </c>
      <c r="L23">
        <f t="shared" si="1"/>
        <v>0</v>
      </c>
    </row>
    <row r="24" spans="2:12" x14ac:dyDescent="0.25">
      <c r="B24" t="s">
        <v>11</v>
      </c>
      <c r="C24" t="s">
        <v>94</v>
      </c>
      <c r="D24" t="s">
        <v>33</v>
      </c>
      <c r="J24">
        <f t="shared" si="0"/>
        <v>0</v>
      </c>
      <c r="L24">
        <f t="shared" si="1"/>
        <v>0</v>
      </c>
    </row>
    <row r="25" spans="2:12" x14ac:dyDescent="0.25">
      <c r="B25" t="s">
        <v>39</v>
      </c>
      <c r="C25" t="s">
        <v>94</v>
      </c>
      <c r="D25" t="s">
        <v>33</v>
      </c>
      <c r="J25">
        <f t="shared" si="0"/>
        <v>0</v>
      </c>
      <c r="L25">
        <f t="shared" si="1"/>
        <v>0</v>
      </c>
    </row>
    <row r="26" spans="2:12" x14ac:dyDescent="0.25">
      <c r="B26" t="s">
        <v>79</v>
      </c>
      <c r="C26" t="s">
        <v>94</v>
      </c>
      <c r="D26" t="s">
        <v>33</v>
      </c>
      <c r="J26">
        <f t="shared" si="0"/>
        <v>0</v>
      </c>
      <c r="L26">
        <f t="shared" si="1"/>
        <v>0</v>
      </c>
    </row>
    <row r="27" spans="2:12" x14ac:dyDescent="0.25">
      <c r="B27" t="s">
        <v>103</v>
      </c>
      <c r="C27" t="s">
        <v>94</v>
      </c>
      <c r="D27" t="s">
        <v>33</v>
      </c>
      <c r="J27">
        <f t="shared" si="0"/>
        <v>0</v>
      </c>
      <c r="L27">
        <f t="shared" si="1"/>
        <v>0</v>
      </c>
    </row>
    <row r="28" spans="2:12" x14ac:dyDescent="0.25">
      <c r="B28" t="s">
        <v>44</v>
      </c>
      <c r="C28" t="s">
        <v>94</v>
      </c>
      <c r="D28" t="s">
        <v>33</v>
      </c>
      <c r="J28">
        <f t="shared" si="0"/>
        <v>0</v>
      </c>
      <c r="L28">
        <f t="shared" si="1"/>
        <v>0</v>
      </c>
    </row>
    <row r="29" spans="2:12" x14ac:dyDescent="0.25">
      <c r="B29" t="s">
        <v>97</v>
      </c>
      <c r="C29" t="s">
        <v>94</v>
      </c>
      <c r="D29" t="s">
        <v>33</v>
      </c>
      <c r="J29">
        <f t="shared" si="0"/>
        <v>0</v>
      </c>
      <c r="L29">
        <f t="shared" si="1"/>
        <v>0</v>
      </c>
    </row>
    <row r="30" spans="2:12" x14ac:dyDescent="0.25">
      <c r="B30" t="s">
        <v>12</v>
      </c>
      <c r="C30" t="s">
        <v>94</v>
      </c>
      <c r="D30" t="s">
        <v>33</v>
      </c>
      <c r="J30">
        <f t="shared" si="0"/>
        <v>0</v>
      </c>
      <c r="L30">
        <f t="shared" si="1"/>
        <v>0</v>
      </c>
    </row>
    <row r="31" spans="2:12" x14ac:dyDescent="0.25">
      <c r="B31" t="s">
        <v>82</v>
      </c>
      <c r="C31" t="s">
        <v>94</v>
      </c>
      <c r="D31" t="s">
        <v>33</v>
      </c>
      <c r="J31">
        <f t="shared" si="0"/>
        <v>0</v>
      </c>
      <c r="L31">
        <f t="shared" si="1"/>
        <v>0</v>
      </c>
    </row>
    <row r="32" spans="2:12" x14ac:dyDescent="0.25">
      <c r="B32" t="s">
        <v>34</v>
      </c>
      <c r="C32" t="s">
        <v>94</v>
      </c>
      <c r="D32" t="s">
        <v>33</v>
      </c>
      <c r="J32">
        <f t="shared" si="0"/>
        <v>0</v>
      </c>
      <c r="L32">
        <f t="shared" si="1"/>
        <v>0</v>
      </c>
    </row>
    <row r="33" spans="2:12" x14ac:dyDescent="0.25">
      <c r="B33" t="s">
        <v>13</v>
      </c>
      <c r="C33" t="s">
        <v>94</v>
      </c>
      <c r="D33" t="s">
        <v>33</v>
      </c>
      <c r="J33">
        <f t="shared" si="0"/>
        <v>0</v>
      </c>
      <c r="L33">
        <f t="shared" si="1"/>
        <v>0</v>
      </c>
    </row>
    <row r="34" spans="2:12" x14ac:dyDescent="0.25">
      <c r="B34" t="s">
        <v>14</v>
      </c>
      <c r="C34" t="s">
        <v>94</v>
      </c>
      <c r="D34" t="s">
        <v>33</v>
      </c>
      <c r="J34">
        <f t="shared" si="0"/>
        <v>0</v>
      </c>
      <c r="L34">
        <f t="shared" si="1"/>
        <v>0</v>
      </c>
    </row>
    <row r="35" spans="2:12" x14ac:dyDescent="0.25">
      <c r="B35" t="s">
        <v>23</v>
      </c>
      <c r="C35" t="s">
        <v>94</v>
      </c>
      <c r="D35" t="s">
        <v>33</v>
      </c>
      <c r="J35">
        <f t="shared" si="0"/>
        <v>0</v>
      </c>
      <c r="L35">
        <f t="shared" si="1"/>
        <v>0</v>
      </c>
    </row>
    <row r="36" spans="2:12" x14ac:dyDescent="0.25">
      <c r="B36" t="s">
        <v>27</v>
      </c>
      <c r="C36" t="s">
        <v>94</v>
      </c>
      <c r="D36" t="s">
        <v>33</v>
      </c>
      <c r="J36">
        <f t="shared" si="0"/>
        <v>0</v>
      </c>
      <c r="L36">
        <f t="shared" si="1"/>
        <v>0</v>
      </c>
    </row>
    <row r="37" spans="2:12" x14ac:dyDescent="0.25">
      <c r="B37" t="s">
        <v>15</v>
      </c>
      <c r="C37" t="s">
        <v>94</v>
      </c>
      <c r="D37" t="s">
        <v>33</v>
      </c>
      <c r="J37">
        <f t="shared" si="0"/>
        <v>0</v>
      </c>
      <c r="L37">
        <f t="shared" si="1"/>
        <v>0</v>
      </c>
    </row>
    <row r="38" spans="2:12" x14ac:dyDescent="0.25">
      <c r="B38" t="s">
        <v>42</v>
      </c>
      <c r="C38" t="s">
        <v>94</v>
      </c>
      <c r="D38" t="s">
        <v>33</v>
      </c>
      <c r="J38">
        <f t="shared" si="0"/>
        <v>0</v>
      </c>
      <c r="L38">
        <f t="shared" si="1"/>
        <v>0</v>
      </c>
    </row>
    <row r="39" spans="2:12" x14ac:dyDescent="0.25">
      <c r="B39" t="s">
        <v>83</v>
      </c>
      <c r="C39" t="s">
        <v>94</v>
      </c>
      <c r="D39" t="s">
        <v>33</v>
      </c>
      <c r="J39">
        <f t="shared" si="0"/>
        <v>0</v>
      </c>
      <c r="L39">
        <f t="shared" si="1"/>
        <v>0</v>
      </c>
    </row>
    <row r="40" spans="2:12" x14ac:dyDescent="0.25">
      <c r="B40" t="s">
        <v>47</v>
      </c>
      <c r="C40" t="s">
        <v>94</v>
      </c>
      <c r="D40" t="s">
        <v>33</v>
      </c>
      <c r="J40">
        <f t="shared" si="0"/>
        <v>0</v>
      </c>
      <c r="L40">
        <f t="shared" si="1"/>
        <v>0</v>
      </c>
    </row>
    <row r="41" spans="2:12" x14ac:dyDescent="0.25">
      <c r="B41" t="s">
        <v>16</v>
      </c>
      <c r="C41" t="s">
        <v>94</v>
      </c>
      <c r="D41" t="s">
        <v>33</v>
      </c>
      <c r="J41">
        <f t="shared" si="0"/>
        <v>0</v>
      </c>
      <c r="L41">
        <f t="shared" si="1"/>
        <v>0</v>
      </c>
    </row>
    <row r="42" spans="2:12" x14ac:dyDescent="0.25">
      <c r="B42" t="s">
        <v>17</v>
      </c>
      <c r="C42" t="s">
        <v>94</v>
      </c>
      <c r="D42" t="s">
        <v>33</v>
      </c>
      <c r="J42">
        <f t="shared" si="0"/>
        <v>0</v>
      </c>
      <c r="L42">
        <f t="shared" si="1"/>
        <v>0</v>
      </c>
    </row>
    <row r="43" spans="2:12" x14ac:dyDescent="0.25">
      <c r="B43" t="s">
        <v>18</v>
      </c>
      <c r="C43" t="s">
        <v>94</v>
      </c>
      <c r="D43" t="s">
        <v>33</v>
      </c>
      <c r="J43">
        <f t="shared" si="0"/>
        <v>0</v>
      </c>
      <c r="L43">
        <f t="shared" si="1"/>
        <v>0</v>
      </c>
    </row>
    <row r="44" spans="2:12" x14ac:dyDescent="0.25">
      <c r="B44" t="s">
        <v>26</v>
      </c>
      <c r="C44" t="s">
        <v>94</v>
      </c>
      <c r="D44" t="s">
        <v>33</v>
      </c>
      <c r="J44">
        <f t="shared" si="0"/>
        <v>0</v>
      </c>
      <c r="L44">
        <f t="shared" si="1"/>
        <v>0</v>
      </c>
    </row>
    <row r="45" spans="2:12" x14ac:dyDescent="0.25">
      <c r="B45" t="s">
        <v>84</v>
      </c>
      <c r="C45" t="s">
        <v>94</v>
      </c>
      <c r="D45" t="s">
        <v>33</v>
      </c>
      <c r="J45">
        <f t="shared" si="0"/>
        <v>0</v>
      </c>
      <c r="L45">
        <f t="shared" si="1"/>
        <v>0</v>
      </c>
    </row>
    <row r="46" spans="2:12" x14ac:dyDescent="0.25">
      <c r="B46" t="s">
        <v>19</v>
      </c>
      <c r="C46" t="s">
        <v>94</v>
      </c>
      <c r="D46" t="s">
        <v>33</v>
      </c>
      <c r="J46">
        <f t="shared" si="0"/>
        <v>0</v>
      </c>
      <c r="L46">
        <f t="shared" si="1"/>
        <v>0</v>
      </c>
    </row>
    <row r="47" spans="2:12" x14ac:dyDescent="0.25">
      <c r="B47" t="s">
        <v>45</v>
      </c>
      <c r="C47" t="s">
        <v>94</v>
      </c>
      <c r="D47" t="s">
        <v>33</v>
      </c>
      <c r="J47">
        <f t="shared" si="0"/>
        <v>0</v>
      </c>
      <c r="L47">
        <f t="shared" si="1"/>
        <v>0</v>
      </c>
    </row>
    <row r="48" spans="2:12" x14ac:dyDescent="0.25">
      <c r="B48" t="s">
        <v>85</v>
      </c>
      <c r="C48" t="s">
        <v>94</v>
      </c>
      <c r="D48" t="s">
        <v>33</v>
      </c>
      <c r="J48">
        <f t="shared" si="0"/>
        <v>0</v>
      </c>
      <c r="L48">
        <f t="shared" si="1"/>
        <v>0</v>
      </c>
    </row>
    <row r="49" spans="2:12" x14ac:dyDescent="0.25">
      <c r="B49" t="s">
        <v>54</v>
      </c>
      <c r="C49" t="s">
        <v>94</v>
      </c>
      <c r="D49" t="s">
        <v>33</v>
      </c>
      <c r="J49">
        <f t="shared" si="0"/>
        <v>0</v>
      </c>
      <c r="L49">
        <f t="shared" si="1"/>
        <v>0</v>
      </c>
    </row>
    <row r="50" spans="2:12" x14ac:dyDescent="0.25">
      <c r="B50" t="s">
        <v>95</v>
      </c>
      <c r="C50" t="s">
        <v>94</v>
      </c>
      <c r="D50" t="s">
        <v>33</v>
      </c>
      <c r="J50">
        <f t="shared" si="0"/>
        <v>0</v>
      </c>
      <c r="L50">
        <f t="shared" si="1"/>
        <v>0</v>
      </c>
    </row>
    <row r="51" spans="2:12" x14ac:dyDescent="0.25">
      <c r="B51" t="s">
        <v>20</v>
      </c>
      <c r="C51" t="s">
        <v>94</v>
      </c>
      <c r="D51" t="s">
        <v>33</v>
      </c>
      <c r="J51">
        <f t="shared" si="0"/>
        <v>0</v>
      </c>
      <c r="L51">
        <f t="shared" si="1"/>
        <v>0</v>
      </c>
    </row>
    <row r="52" spans="2:12" x14ac:dyDescent="0.25">
      <c r="B52" t="s">
        <v>21</v>
      </c>
      <c r="C52" t="s">
        <v>94</v>
      </c>
      <c r="D52" t="s">
        <v>33</v>
      </c>
      <c r="J52">
        <f t="shared" si="0"/>
        <v>0</v>
      </c>
      <c r="L52">
        <f t="shared" si="1"/>
        <v>0</v>
      </c>
    </row>
    <row r="53" spans="2:12" x14ac:dyDescent="0.25">
      <c r="B53" t="s">
        <v>22</v>
      </c>
      <c r="C53" t="s">
        <v>94</v>
      </c>
      <c r="D53" t="s">
        <v>33</v>
      </c>
      <c r="J53">
        <f t="shared" si="0"/>
        <v>0</v>
      </c>
      <c r="L53">
        <f t="shared" si="1"/>
        <v>0</v>
      </c>
    </row>
    <row r="54" spans="2:12" x14ac:dyDescent="0.25">
      <c r="B54" t="s">
        <v>61</v>
      </c>
      <c r="C54" t="s">
        <v>94</v>
      </c>
      <c r="D54" t="s">
        <v>33</v>
      </c>
      <c r="J54">
        <f t="shared" si="0"/>
        <v>0</v>
      </c>
      <c r="L54">
        <f t="shared" si="1"/>
        <v>0</v>
      </c>
    </row>
    <row r="55" spans="2:12" x14ac:dyDescent="0.25">
      <c r="B55" t="s">
        <v>99</v>
      </c>
      <c r="C55" t="s">
        <v>94</v>
      </c>
      <c r="D55" t="s">
        <v>33</v>
      </c>
      <c r="J55">
        <f t="shared" si="0"/>
        <v>0</v>
      </c>
      <c r="L55">
        <f t="shared" si="1"/>
        <v>0</v>
      </c>
    </row>
    <row r="56" spans="2:12" x14ac:dyDescent="0.25">
      <c r="B56" t="s">
        <v>87</v>
      </c>
      <c r="C56" t="s">
        <v>94</v>
      </c>
      <c r="D56" t="s">
        <v>33</v>
      </c>
      <c r="J56">
        <f t="shared" si="0"/>
        <v>0</v>
      </c>
      <c r="L56">
        <f t="shared" si="1"/>
        <v>0</v>
      </c>
    </row>
    <row r="57" spans="2:12" x14ac:dyDescent="0.25">
      <c r="B57" t="s">
        <v>62</v>
      </c>
      <c r="C57" t="s">
        <v>94</v>
      </c>
      <c r="D57" t="s">
        <v>33</v>
      </c>
      <c r="J57">
        <f t="shared" si="0"/>
        <v>0</v>
      </c>
      <c r="L57">
        <f t="shared" si="1"/>
        <v>0</v>
      </c>
    </row>
    <row r="58" spans="2:12" x14ac:dyDescent="0.25">
      <c r="B58" t="s">
        <v>88</v>
      </c>
      <c r="C58" t="s">
        <v>94</v>
      </c>
      <c r="D58" t="s">
        <v>33</v>
      </c>
      <c r="J58">
        <f t="shared" si="0"/>
        <v>0</v>
      </c>
      <c r="L58">
        <f t="shared" si="1"/>
        <v>0</v>
      </c>
    </row>
    <row r="59" spans="2:12" x14ac:dyDescent="0.25">
      <c r="B59" t="s">
        <v>63</v>
      </c>
      <c r="C59" t="s">
        <v>94</v>
      </c>
      <c r="D59" t="s">
        <v>33</v>
      </c>
      <c r="J59">
        <f t="shared" si="0"/>
        <v>0</v>
      </c>
      <c r="L59">
        <f t="shared" si="1"/>
        <v>0</v>
      </c>
    </row>
    <row r="60" spans="2:12" x14ac:dyDescent="0.25">
      <c r="B60" t="s">
        <v>89</v>
      </c>
      <c r="C60" t="s">
        <v>94</v>
      </c>
      <c r="D60" t="s">
        <v>33</v>
      </c>
      <c r="J60">
        <f t="shared" si="0"/>
        <v>0</v>
      </c>
      <c r="L60">
        <f t="shared" si="1"/>
        <v>0</v>
      </c>
    </row>
    <row r="61" spans="2:12" x14ac:dyDescent="0.25">
      <c r="B61" t="s">
        <v>70</v>
      </c>
      <c r="C61" t="s">
        <v>94</v>
      </c>
      <c r="D61" t="s">
        <v>33</v>
      </c>
      <c r="J61">
        <f t="shared" si="0"/>
        <v>0</v>
      </c>
      <c r="L61">
        <f t="shared" si="1"/>
        <v>0</v>
      </c>
    </row>
    <row r="62" spans="2:12" x14ac:dyDescent="0.25">
      <c r="B62" t="s">
        <v>64</v>
      </c>
      <c r="C62" t="s">
        <v>94</v>
      </c>
      <c r="D62" t="s">
        <v>33</v>
      </c>
      <c r="J62">
        <f t="shared" si="0"/>
        <v>0</v>
      </c>
      <c r="L62">
        <f t="shared" si="1"/>
        <v>0</v>
      </c>
    </row>
    <row r="63" spans="2:12" x14ac:dyDescent="0.25">
      <c r="B63" t="s">
        <v>65</v>
      </c>
      <c r="C63" t="s">
        <v>94</v>
      </c>
      <c r="D63" t="s">
        <v>33</v>
      </c>
      <c r="J63">
        <f t="shared" si="0"/>
        <v>0</v>
      </c>
      <c r="L63">
        <f t="shared" si="1"/>
        <v>0</v>
      </c>
    </row>
    <row r="64" spans="2:12" x14ac:dyDescent="0.25">
      <c r="B64" t="s">
        <v>55</v>
      </c>
      <c r="C64" t="s">
        <v>94</v>
      </c>
      <c r="D64" t="s">
        <v>35</v>
      </c>
      <c r="J64">
        <f t="shared" si="0"/>
        <v>0</v>
      </c>
      <c r="L64">
        <f t="shared" si="1"/>
        <v>0</v>
      </c>
    </row>
    <row r="65" spans="2:12" x14ac:dyDescent="0.25">
      <c r="B65" t="s">
        <v>57</v>
      </c>
      <c r="C65" t="s">
        <v>94</v>
      </c>
      <c r="D65" t="s">
        <v>35</v>
      </c>
      <c r="J65">
        <f t="shared" si="0"/>
        <v>0</v>
      </c>
      <c r="L65">
        <f t="shared" si="1"/>
        <v>0</v>
      </c>
    </row>
    <row r="66" spans="2:12" x14ac:dyDescent="0.25">
      <c r="B66" t="s">
        <v>36</v>
      </c>
      <c r="C66" t="s">
        <v>94</v>
      </c>
      <c r="D66" t="s">
        <v>35</v>
      </c>
      <c r="J66">
        <f t="shared" si="0"/>
        <v>0</v>
      </c>
      <c r="L66">
        <f t="shared" si="1"/>
        <v>0</v>
      </c>
    </row>
    <row r="67" spans="2:12" x14ac:dyDescent="0.25">
      <c r="B67" t="s">
        <v>4</v>
      </c>
      <c r="C67" t="s">
        <v>94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2:12" x14ac:dyDescent="0.25">
      <c r="B68" t="s">
        <v>58</v>
      </c>
      <c r="C68" t="s">
        <v>94</v>
      </c>
      <c r="D68" t="s">
        <v>35</v>
      </c>
      <c r="J68">
        <f t="shared" si="2"/>
        <v>0</v>
      </c>
      <c r="L68">
        <f t="shared" si="3"/>
        <v>0</v>
      </c>
    </row>
    <row r="69" spans="2:12" x14ac:dyDescent="0.25">
      <c r="B69" t="s">
        <v>69</v>
      </c>
      <c r="C69" t="s">
        <v>94</v>
      </c>
      <c r="D69" t="s">
        <v>35</v>
      </c>
      <c r="J69">
        <f t="shared" si="2"/>
        <v>0</v>
      </c>
      <c r="L69">
        <f t="shared" si="3"/>
        <v>0</v>
      </c>
    </row>
    <row r="70" spans="2:12" x14ac:dyDescent="0.25">
      <c r="B70" t="s">
        <v>43</v>
      </c>
      <c r="C70" t="s">
        <v>94</v>
      </c>
      <c r="D70" t="s">
        <v>35</v>
      </c>
      <c r="J70">
        <f t="shared" si="2"/>
        <v>0</v>
      </c>
      <c r="L70">
        <f t="shared" si="3"/>
        <v>0</v>
      </c>
    </row>
    <row r="71" spans="2:12" x14ac:dyDescent="0.25">
      <c r="B71" t="s">
        <v>76</v>
      </c>
      <c r="C71" t="s">
        <v>94</v>
      </c>
      <c r="D71" t="s">
        <v>35</v>
      </c>
      <c r="J71">
        <f t="shared" si="2"/>
        <v>0</v>
      </c>
      <c r="L71">
        <f t="shared" si="3"/>
        <v>0</v>
      </c>
    </row>
    <row r="72" spans="2:12" x14ac:dyDescent="0.25">
      <c r="B72" t="s">
        <v>5</v>
      </c>
      <c r="C72" t="s">
        <v>94</v>
      </c>
      <c r="D72" t="s">
        <v>35</v>
      </c>
      <c r="J72">
        <f t="shared" si="2"/>
        <v>0</v>
      </c>
      <c r="L72">
        <f t="shared" si="3"/>
        <v>0</v>
      </c>
    </row>
    <row r="73" spans="2:12" x14ac:dyDescent="0.25">
      <c r="B73" t="s">
        <v>59</v>
      </c>
      <c r="C73" t="s">
        <v>94</v>
      </c>
      <c r="D73" t="s">
        <v>35</v>
      </c>
      <c r="J73">
        <f t="shared" si="2"/>
        <v>0</v>
      </c>
      <c r="L73">
        <f t="shared" si="3"/>
        <v>0</v>
      </c>
    </row>
    <row r="74" spans="2:12" x14ac:dyDescent="0.25">
      <c r="B74" t="s">
        <v>6</v>
      </c>
      <c r="C74" t="s">
        <v>94</v>
      </c>
      <c r="D74" t="s">
        <v>35</v>
      </c>
      <c r="J74">
        <f t="shared" si="2"/>
        <v>0</v>
      </c>
      <c r="L74">
        <f t="shared" si="3"/>
        <v>0</v>
      </c>
    </row>
    <row r="75" spans="2:12" x14ac:dyDescent="0.25">
      <c r="B75" t="s">
        <v>60</v>
      </c>
      <c r="C75" t="s">
        <v>94</v>
      </c>
      <c r="D75" t="s">
        <v>35</v>
      </c>
      <c r="J75">
        <f t="shared" si="2"/>
        <v>0</v>
      </c>
      <c r="L75">
        <f t="shared" si="3"/>
        <v>0</v>
      </c>
    </row>
    <row r="76" spans="2:12" x14ac:dyDescent="0.25">
      <c r="B76" t="s">
        <v>7</v>
      </c>
      <c r="C76" t="s">
        <v>94</v>
      </c>
      <c r="D76" t="s">
        <v>35</v>
      </c>
      <c r="J76">
        <f t="shared" si="2"/>
        <v>0</v>
      </c>
      <c r="L76">
        <f t="shared" si="3"/>
        <v>0</v>
      </c>
    </row>
    <row r="77" spans="2:12" x14ac:dyDescent="0.25">
      <c r="B77" t="s">
        <v>37</v>
      </c>
      <c r="C77" t="s">
        <v>94</v>
      </c>
      <c r="D77" t="s">
        <v>35</v>
      </c>
      <c r="J77">
        <f t="shared" si="2"/>
        <v>0</v>
      </c>
      <c r="L77">
        <f t="shared" si="3"/>
        <v>0</v>
      </c>
    </row>
    <row r="78" spans="2:12" x14ac:dyDescent="0.25">
      <c r="B78" t="s">
        <v>8</v>
      </c>
      <c r="C78" t="s">
        <v>94</v>
      </c>
      <c r="D78" t="s">
        <v>35</v>
      </c>
      <c r="J78">
        <f t="shared" si="2"/>
        <v>0</v>
      </c>
      <c r="L78">
        <f t="shared" si="3"/>
        <v>0</v>
      </c>
    </row>
    <row r="79" spans="2:12" x14ac:dyDescent="0.25">
      <c r="B79" t="s">
        <v>40</v>
      </c>
      <c r="C79" t="s">
        <v>94</v>
      </c>
      <c r="D79" t="s">
        <v>35</v>
      </c>
      <c r="J79">
        <f t="shared" si="2"/>
        <v>0</v>
      </c>
      <c r="L79">
        <f t="shared" si="3"/>
        <v>0</v>
      </c>
    </row>
    <row r="80" spans="2:12" x14ac:dyDescent="0.25">
      <c r="B80" t="s">
        <v>77</v>
      </c>
      <c r="C80" t="s">
        <v>94</v>
      </c>
      <c r="D80" t="s">
        <v>35</v>
      </c>
      <c r="J80">
        <f t="shared" si="2"/>
        <v>0</v>
      </c>
      <c r="L80">
        <f t="shared" si="3"/>
        <v>0</v>
      </c>
    </row>
    <row r="81" spans="2:12" x14ac:dyDescent="0.25">
      <c r="B81" t="s">
        <v>78</v>
      </c>
      <c r="C81" t="s">
        <v>94</v>
      </c>
      <c r="D81" t="s">
        <v>35</v>
      </c>
      <c r="J81">
        <f t="shared" si="2"/>
        <v>0</v>
      </c>
      <c r="L81">
        <f t="shared" si="3"/>
        <v>0</v>
      </c>
    </row>
    <row r="82" spans="2:12" x14ac:dyDescent="0.25">
      <c r="B82" t="s">
        <v>46</v>
      </c>
      <c r="C82" t="s">
        <v>94</v>
      </c>
      <c r="D82" t="s">
        <v>35</v>
      </c>
      <c r="J82">
        <f t="shared" si="2"/>
        <v>0</v>
      </c>
      <c r="L82">
        <f t="shared" si="3"/>
        <v>0</v>
      </c>
    </row>
    <row r="83" spans="2:12" x14ac:dyDescent="0.25">
      <c r="B83" t="s">
        <v>9</v>
      </c>
      <c r="C83" t="s">
        <v>94</v>
      </c>
      <c r="D83" t="s">
        <v>35</v>
      </c>
      <c r="J83">
        <f t="shared" si="2"/>
        <v>0</v>
      </c>
      <c r="L83">
        <f t="shared" si="3"/>
        <v>0</v>
      </c>
    </row>
    <row r="84" spans="2:12" x14ac:dyDescent="0.25">
      <c r="B84" t="s">
        <v>10</v>
      </c>
      <c r="C84" t="s">
        <v>94</v>
      </c>
      <c r="D84" t="s">
        <v>35</v>
      </c>
      <c r="J84">
        <f t="shared" si="2"/>
        <v>0</v>
      </c>
      <c r="L84">
        <f t="shared" si="3"/>
        <v>0</v>
      </c>
    </row>
    <row r="85" spans="2:12" x14ac:dyDescent="0.25">
      <c r="B85" t="s">
        <v>11</v>
      </c>
      <c r="C85" t="s">
        <v>94</v>
      </c>
      <c r="D85" t="s">
        <v>35</v>
      </c>
      <c r="J85">
        <f t="shared" si="2"/>
        <v>0</v>
      </c>
      <c r="L85">
        <f t="shared" si="3"/>
        <v>0</v>
      </c>
    </row>
    <row r="86" spans="2:12" x14ac:dyDescent="0.25">
      <c r="B86" t="s">
        <v>39</v>
      </c>
      <c r="C86" t="s">
        <v>94</v>
      </c>
      <c r="D86" t="s">
        <v>35</v>
      </c>
      <c r="J86">
        <f t="shared" si="2"/>
        <v>0</v>
      </c>
      <c r="L86">
        <f t="shared" si="3"/>
        <v>0</v>
      </c>
    </row>
    <row r="87" spans="2:12" x14ac:dyDescent="0.25">
      <c r="B87" t="s">
        <v>79</v>
      </c>
      <c r="C87" t="s">
        <v>94</v>
      </c>
      <c r="D87" t="s">
        <v>35</v>
      </c>
      <c r="J87">
        <f t="shared" si="2"/>
        <v>0</v>
      </c>
      <c r="L87">
        <f t="shared" si="3"/>
        <v>0</v>
      </c>
    </row>
    <row r="88" spans="2:12" x14ac:dyDescent="0.25">
      <c r="B88" t="s">
        <v>103</v>
      </c>
      <c r="C88" t="s">
        <v>94</v>
      </c>
      <c r="D88" t="s">
        <v>35</v>
      </c>
      <c r="J88">
        <f t="shared" si="2"/>
        <v>0</v>
      </c>
      <c r="L88">
        <f t="shared" si="3"/>
        <v>0</v>
      </c>
    </row>
    <row r="89" spans="2:12" x14ac:dyDescent="0.25">
      <c r="B89" t="s">
        <v>44</v>
      </c>
      <c r="C89" t="s">
        <v>94</v>
      </c>
      <c r="D89" t="s">
        <v>35</v>
      </c>
      <c r="J89">
        <f t="shared" si="2"/>
        <v>0</v>
      </c>
      <c r="L89">
        <f t="shared" si="3"/>
        <v>0</v>
      </c>
    </row>
    <row r="90" spans="2:12" x14ac:dyDescent="0.25">
      <c r="B90" t="s">
        <v>97</v>
      </c>
      <c r="C90" t="s">
        <v>94</v>
      </c>
      <c r="D90" t="s">
        <v>35</v>
      </c>
      <c r="J90">
        <f t="shared" si="2"/>
        <v>0</v>
      </c>
      <c r="L90">
        <f t="shared" si="3"/>
        <v>0</v>
      </c>
    </row>
    <row r="91" spans="2:12" x14ac:dyDescent="0.25">
      <c r="B91" t="s">
        <v>12</v>
      </c>
      <c r="C91" t="s">
        <v>94</v>
      </c>
      <c r="D91" t="s">
        <v>35</v>
      </c>
      <c r="J91">
        <f t="shared" si="2"/>
        <v>0</v>
      </c>
      <c r="L91">
        <f t="shared" si="3"/>
        <v>0</v>
      </c>
    </row>
    <row r="92" spans="2:12" x14ac:dyDescent="0.25">
      <c r="B92" t="s">
        <v>82</v>
      </c>
      <c r="C92" t="s">
        <v>94</v>
      </c>
      <c r="D92" t="s">
        <v>35</v>
      </c>
      <c r="J92">
        <f t="shared" si="2"/>
        <v>0</v>
      </c>
      <c r="L92">
        <f t="shared" si="3"/>
        <v>0</v>
      </c>
    </row>
    <row r="93" spans="2:12" x14ac:dyDescent="0.25">
      <c r="B93" t="s">
        <v>34</v>
      </c>
      <c r="C93" t="s">
        <v>94</v>
      </c>
      <c r="D93" t="s">
        <v>35</v>
      </c>
      <c r="J93">
        <f t="shared" si="2"/>
        <v>0</v>
      </c>
      <c r="L93">
        <f t="shared" si="3"/>
        <v>0</v>
      </c>
    </row>
    <row r="94" spans="2:12" x14ac:dyDescent="0.25">
      <c r="B94" t="s">
        <v>13</v>
      </c>
      <c r="C94" t="s">
        <v>94</v>
      </c>
      <c r="D94" t="s">
        <v>35</v>
      </c>
      <c r="J94">
        <f t="shared" si="2"/>
        <v>0</v>
      </c>
      <c r="L94">
        <f t="shared" si="3"/>
        <v>0</v>
      </c>
    </row>
    <row r="95" spans="2:12" x14ac:dyDescent="0.25">
      <c r="B95" t="s">
        <v>14</v>
      </c>
      <c r="C95" t="s">
        <v>94</v>
      </c>
      <c r="D95" t="s">
        <v>35</v>
      </c>
      <c r="J95">
        <f t="shared" si="2"/>
        <v>0</v>
      </c>
      <c r="L95">
        <f t="shared" si="3"/>
        <v>0</v>
      </c>
    </row>
    <row r="96" spans="2:12" x14ac:dyDescent="0.25">
      <c r="B96" t="s">
        <v>23</v>
      </c>
      <c r="C96" t="s">
        <v>94</v>
      </c>
      <c r="D96" t="s">
        <v>35</v>
      </c>
      <c r="J96">
        <f t="shared" si="2"/>
        <v>0</v>
      </c>
      <c r="L96">
        <f t="shared" si="3"/>
        <v>0</v>
      </c>
    </row>
    <row r="97" spans="2:12" x14ac:dyDescent="0.25">
      <c r="B97" t="s">
        <v>27</v>
      </c>
      <c r="C97" t="s">
        <v>94</v>
      </c>
      <c r="D97" t="s">
        <v>35</v>
      </c>
      <c r="J97">
        <f t="shared" si="2"/>
        <v>0</v>
      </c>
      <c r="L97">
        <f t="shared" si="3"/>
        <v>0</v>
      </c>
    </row>
    <row r="98" spans="2:12" x14ac:dyDescent="0.25">
      <c r="B98" t="s">
        <v>15</v>
      </c>
      <c r="C98" t="s">
        <v>94</v>
      </c>
      <c r="D98" t="s">
        <v>35</v>
      </c>
      <c r="J98">
        <f t="shared" si="2"/>
        <v>0</v>
      </c>
      <c r="L98">
        <f t="shared" si="3"/>
        <v>0</v>
      </c>
    </row>
    <row r="99" spans="2:12" x14ac:dyDescent="0.25">
      <c r="B99" t="s">
        <v>93</v>
      </c>
      <c r="C99" t="s">
        <v>94</v>
      </c>
      <c r="D99" t="s">
        <v>35</v>
      </c>
      <c r="J99">
        <f t="shared" si="2"/>
        <v>0</v>
      </c>
      <c r="L99">
        <f t="shared" si="3"/>
        <v>0</v>
      </c>
    </row>
    <row r="100" spans="2:12" x14ac:dyDescent="0.25">
      <c r="B100" t="s">
        <v>42</v>
      </c>
      <c r="C100" t="s">
        <v>94</v>
      </c>
      <c r="D100" t="s">
        <v>35</v>
      </c>
      <c r="J100">
        <f t="shared" si="2"/>
        <v>0</v>
      </c>
      <c r="L100">
        <f t="shared" si="3"/>
        <v>0</v>
      </c>
    </row>
    <row r="101" spans="2:12" x14ac:dyDescent="0.25">
      <c r="B101" t="s">
        <v>83</v>
      </c>
      <c r="C101" t="s">
        <v>94</v>
      </c>
      <c r="D101" t="s">
        <v>35</v>
      </c>
      <c r="J101">
        <f t="shared" si="2"/>
        <v>0</v>
      </c>
      <c r="L101">
        <f t="shared" si="3"/>
        <v>0</v>
      </c>
    </row>
    <row r="102" spans="2:12" x14ac:dyDescent="0.25">
      <c r="B102" t="s">
        <v>47</v>
      </c>
      <c r="C102" t="s">
        <v>94</v>
      </c>
      <c r="D102" t="s">
        <v>35</v>
      </c>
      <c r="J102">
        <f t="shared" si="2"/>
        <v>0</v>
      </c>
      <c r="L102">
        <f t="shared" si="3"/>
        <v>0</v>
      </c>
    </row>
    <row r="103" spans="2:12" x14ac:dyDescent="0.25">
      <c r="B103" t="s">
        <v>16</v>
      </c>
      <c r="C103" t="s">
        <v>94</v>
      </c>
      <c r="D103" t="s">
        <v>35</v>
      </c>
      <c r="J103">
        <f t="shared" si="2"/>
        <v>0</v>
      </c>
      <c r="L103">
        <f t="shared" si="3"/>
        <v>0</v>
      </c>
    </row>
    <row r="104" spans="2:12" x14ac:dyDescent="0.25">
      <c r="B104" t="s">
        <v>17</v>
      </c>
      <c r="C104" t="s">
        <v>94</v>
      </c>
      <c r="D104" t="s">
        <v>35</v>
      </c>
      <c r="J104">
        <f t="shared" si="2"/>
        <v>0</v>
      </c>
      <c r="L104">
        <f t="shared" si="3"/>
        <v>0</v>
      </c>
    </row>
    <row r="105" spans="2:12" x14ac:dyDescent="0.25">
      <c r="B105" t="s">
        <v>18</v>
      </c>
      <c r="C105" t="s">
        <v>94</v>
      </c>
      <c r="D105" t="s">
        <v>35</v>
      </c>
      <c r="J105">
        <f t="shared" si="2"/>
        <v>0</v>
      </c>
      <c r="L105">
        <f t="shared" si="3"/>
        <v>0</v>
      </c>
    </row>
    <row r="106" spans="2:12" x14ac:dyDescent="0.25">
      <c r="B106" t="s">
        <v>26</v>
      </c>
      <c r="C106" t="s">
        <v>94</v>
      </c>
      <c r="D106" t="s">
        <v>35</v>
      </c>
      <c r="J106">
        <f t="shared" si="2"/>
        <v>0</v>
      </c>
      <c r="L106">
        <f t="shared" si="3"/>
        <v>0</v>
      </c>
    </row>
    <row r="107" spans="2:12" x14ac:dyDescent="0.25">
      <c r="B107" t="s">
        <v>84</v>
      </c>
      <c r="C107" t="s">
        <v>94</v>
      </c>
      <c r="D107" t="s">
        <v>35</v>
      </c>
      <c r="J107">
        <f t="shared" si="2"/>
        <v>0</v>
      </c>
      <c r="L107">
        <f t="shared" si="3"/>
        <v>0</v>
      </c>
    </row>
    <row r="108" spans="2:12" x14ac:dyDescent="0.25">
      <c r="B108" t="s">
        <v>19</v>
      </c>
      <c r="C108" t="s">
        <v>94</v>
      </c>
      <c r="D108" t="s">
        <v>35</v>
      </c>
      <c r="J108">
        <f t="shared" si="2"/>
        <v>0</v>
      </c>
      <c r="L108">
        <f t="shared" si="3"/>
        <v>0</v>
      </c>
    </row>
    <row r="109" spans="2:12" x14ac:dyDescent="0.25">
      <c r="B109" t="s">
        <v>45</v>
      </c>
      <c r="C109" t="s">
        <v>94</v>
      </c>
      <c r="D109" t="s">
        <v>35</v>
      </c>
      <c r="J109">
        <f t="shared" si="2"/>
        <v>0</v>
      </c>
      <c r="L109">
        <f t="shared" si="3"/>
        <v>0</v>
      </c>
    </row>
    <row r="110" spans="2:12" x14ac:dyDescent="0.25">
      <c r="B110" t="s">
        <v>85</v>
      </c>
      <c r="C110" t="s">
        <v>94</v>
      </c>
      <c r="D110" t="s">
        <v>35</v>
      </c>
      <c r="J110">
        <f t="shared" si="2"/>
        <v>0</v>
      </c>
      <c r="L110">
        <f t="shared" si="3"/>
        <v>0</v>
      </c>
    </row>
    <row r="111" spans="2:12" x14ac:dyDescent="0.25">
      <c r="B111" t="s">
        <v>54</v>
      </c>
      <c r="C111" t="s">
        <v>94</v>
      </c>
      <c r="D111" t="s">
        <v>35</v>
      </c>
      <c r="J111">
        <f t="shared" si="2"/>
        <v>0</v>
      </c>
      <c r="L111">
        <f t="shared" si="3"/>
        <v>0</v>
      </c>
    </row>
    <row r="112" spans="2:12" x14ac:dyDescent="0.25">
      <c r="B112" t="s">
        <v>95</v>
      </c>
      <c r="C112" t="s">
        <v>94</v>
      </c>
      <c r="D112" t="s">
        <v>35</v>
      </c>
      <c r="J112">
        <f t="shared" si="2"/>
        <v>0</v>
      </c>
      <c r="L112">
        <f t="shared" si="3"/>
        <v>0</v>
      </c>
    </row>
    <row r="113" spans="2:12" x14ac:dyDescent="0.25">
      <c r="B113" t="s">
        <v>20</v>
      </c>
      <c r="C113" t="s">
        <v>94</v>
      </c>
      <c r="D113" t="s">
        <v>35</v>
      </c>
      <c r="J113">
        <f t="shared" si="2"/>
        <v>0</v>
      </c>
      <c r="L113">
        <f t="shared" si="3"/>
        <v>0</v>
      </c>
    </row>
    <row r="114" spans="2:12" x14ac:dyDescent="0.25">
      <c r="B114" t="s">
        <v>21</v>
      </c>
      <c r="C114" t="s">
        <v>94</v>
      </c>
      <c r="D114" t="s">
        <v>35</v>
      </c>
      <c r="J114">
        <f t="shared" si="2"/>
        <v>0</v>
      </c>
      <c r="L114">
        <f t="shared" si="3"/>
        <v>0</v>
      </c>
    </row>
    <row r="115" spans="2:12" x14ac:dyDescent="0.25">
      <c r="B115" t="s">
        <v>22</v>
      </c>
      <c r="C115" t="s">
        <v>94</v>
      </c>
      <c r="D115" t="s">
        <v>35</v>
      </c>
      <c r="J115">
        <f t="shared" si="2"/>
        <v>0</v>
      </c>
      <c r="L115">
        <f t="shared" si="3"/>
        <v>0</v>
      </c>
    </row>
    <row r="116" spans="2:12" x14ac:dyDescent="0.25">
      <c r="B116" t="s">
        <v>61</v>
      </c>
      <c r="C116" t="s">
        <v>94</v>
      </c>
      <c r="D116" t="s">
        <v>35</v>
      </c>
      <c r="J116">
        <f t="shared" si="2"/>
        <v>0</v>
      </c>
      <c r="L116">
        <f t="shared" si="3"/>
        <v>0</v>
      </c>
    </row>
    <row r="117" spans="2:12" x14ac:dyDescent="0.25">
      <c r="B117" t="s">
        <v>91</v>
      </c>
      <c r="C117" t="s">
        <v>94</v>
      </c>
      <c r="D117" t="s">
        <v>35</v>
      </c>
      <c r="J117">
        <f t="shared" si="2"/>
        <v>0</v>
      </c>
      <c r="L117">
        <f t="shared" si="3"/>
        <v>0</v>
      </c>
    </row>
    <row r="118" spans="2:12" x14ac:dyDescent="0.25">
      <c r="B118" t="s">
        <v>98</v>
      </c>
      <c r="C118" t="s">
        <v>94</v>
      </c>
      <c r="D118" t="s">
        <v>35</v>
      </c>
      <c r="J118">
        <f t="shared" si="2"/>
        <v>0</v>
      </c>
      <c r="L118">
        <f t="shared" si="3"/>
        <v>0</v>
      </c>
    </row>
    <row r="119" spans="2:12" x14ac:dyDescent="0.25">
      <c r="B119" t="s">
        <v>87</v>
      </c>
      <c r="C119" t="s">
        <v>94</v>
      </c>
      <c r="D119" t="s">
        <v>35</v>
      </c>
      <c r="J119">
        <f t="shared" si="2"/>
        <v>0</v>
      </c>
      <c r="L119">
        <f t="shared" si="3"/>
        <v>0</v>
      </c>
    </row>
    <row r="120" spans="2:12" x14ac:dyDescent="0.25">
      <c r="B120" t="s">
        <v>62</v>
      </c>
      <c r="C120" t="s">
        <v>94</v>
      </c>
      <c r="D120" t="s">
        <v>35</v>
      </c>
      <c r="J120">
        <f t="shared" si="2"/>
        <v>0</v>
      </c>
      <c r="L120">
        <f t="shared" si="3"/>
        <v>0</v>
      </c>
    </row>
    <row r="121" spans="2:12" x14ac:dyDescent="0.25">
      <c r="B121" t="s">
        <v>88</v>
      </c>
      <c r="C121" t="s">
        <v>94</v>
      </c>
      <c r="D121" t="s">
        <v>35</v>
      </c>
      <c r="J121">
        <f t="shared" si="2"/>
        <v>0</v>
      </c>
      <c r="L121">
        <f t="shared" si="3"/>
        <v>0</v>
      </c>
    </row>
    <row r="122" spans="2:12" x14ac:dyDescent="0.25">
      <c r="B122" t="s">
        <v>63</v>
      </c>
      <c r="C122" t="s">
        <v>94</v>
      </c>
      <c r="D122" t="s">
        <v>35</v>
      </c>
      <c r="J122">
        <f t="shared" si="2"/>
        <v>0</v>
      </c>
      <c r="L122">
        <f t="shared" si="3"/>
        <v>0</v>
      </c>
    </row>
    <row r="123" spans="2:12" x14ac:dyDescent="0.25">
      <c r="B123" t="s">
        <v>89</v>
      </c>
      <c r="C123" t="s">
        <v>94</v>
      </c>
      <c r="D123" t="s">
        <v>35</v>
      </c>
      <c r="J123">
        <f t="shared" si="2"/>
        <v>0</v>
      </c>
      <c r="L123">
        <f t="shared" si="3"/>
        <v>0</v>
      </c>
    </row>
    <row r="124" spans="2:12" x14ac:dyDescent="0.25">
      <c r="B124" t="s">
        <v>70</v>
      </c>
      <c r="C124" t="s">
        <v>94</v>
      </c>
      <c r="D124" t="s">
        <v>35</v>
      </c>
      <c r="J124">
        <f t="shared" si="2"/>
        <v>0</v>
      </c>
      <c r="L124">
        <f t="shared" si="3"/>
        <v>0</v>
      </c>
    </row>
    <row r="125" spans="2:12" x14ac:dyDescent="0.25">
      <c r="B125" t="s">
        <v>64</v>
      </c>
      <c r="C125" t="s">
        <v>94</v>
      </c>
      <c r="D125" t="s">
        <v>35</v>
      </c>
      <c r="J125">
        <f t="shared" si="2"/>
        <v>0</v>
      </c>
      <c r="L125">
        <f t="shared" si="3"/>
        <v>0</v>
      </c>
    </row>
    <row r="126" spans="2:12" x14ac:dyDescent="0.25">
      <c r="B126" t="s">
        <v>65</v>
      </c>
      <c r="C126" t="s">
        <v>94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87E2B-81A7-4097-B5FB-FAEFC7BAC741}">
  <dimension ref="A1:O129"/>
  <sheetViews>
    <sheetView topLeftCell="A44" workbookViewId="0">
      <selection activeCell="H39" sqref="H39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1746</v>
      </c>
      <c r="B2" t="s">
        <v>55</v>
      </c>
      <c r="C2" t="s">
        <v>100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1746</v>
      </c>
      <c r="B3" t="s">
        <v>57</v>
      </c>
      <c r="C3" t="s">
        <v>100</v>
      </c>
      <c r="D3" t="s">
        <v>33</v>
      </c>
      <c r="J3">
        <f t="shared" ref="J3:J69" si="0">(E3*2240)+(F3*112)+(G3*28)+H3</f>
        <v>0</v>
      </c>
      <c r="L3">
        <f t="shared" ref="L3:L69" si="1">J3/2240</f>
        <v>0</v>
      </c>
    </row>
    <row r="4" spans="1:15" x14ac:dyDescent="0.25">
      <c r="A4">
        <v>1746</v>
      </c>
      <c r="B4" t="s">
        <v>36</v>
      </c>
      <c r="C4" t="s">
        <v>100</v>
      </c>
      <c r="D4" t="s">
        <v>33</v>
      </c>
      <c r="H4">
        <v>2218</v>
      </c>
      <c r="J4">
        <f t="shared" si="0"/>
        <v>2218</v>
      </c>
      <c r="L4">
        <f t="shared" si="1"/>
        <v>0.99017857142857146</v>
      </c>
    </row>
    <row r="5" spans="1:15" x14ac:dyDescent="0.25">
      <c r="A5">
        <v>1746</v>
      </c>
      <c r="B5" t="s">
        <v>4</v>
      </c>
      <c r="C5" t="s">
        <v>100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1746</v>
      </c>
      <c r="B6" t="s">
        <v>58</v>
      </c>
      <c r="C6" t="s">
        <v>100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1746</v>
      </c>
      <c r="B7" t="s">
        <v>69</v>
      </c>
      <c r="C7" t="s">
        <v>100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1746</v>
      </c>
      <c r="B8" t="s">
        <v>137</v>
      </c>
      <c r="C8" t="s">
        <v>100</v>
      </c>
      <c r="D8" t="s">
        <v>33</v>
      </c>
      <c r="H8">
        <v>500</v>
      </c>
      <c r="J8">
        <f t="shared" si="0"/>
        <v>500</v>
      </c>
      <c r="L8">
        <f t="shared" si="1"/>
        <v>0.22321428571428573</v>
      </c>
    </row>
    <row r="9" spans="1:15" x14ac:dyDescent="0.25">
      <c r="A9">
        <v>1746</v>
      </c>
      <c r="B9" t="s">
        <v>43</v>
      </c>
      <c r="C9" t="s">
        <v>100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1746</v>
      </c>
      <c r="B10" t="s">
        <v>76</v>
      </c>
      <c r="C10" t="s">
        <v>100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1746</v>
      </c>
      <c r="B11" t="s">
        <v>104</v>
      </c>
      <c r="C11" t="s">
        <v>100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1746</v>
      </c>
      <c r="B12" t="s">
        <v>5</v>
      </c>
      <c r="C12" t="s">
        <v>100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A13">
        <v>1746</v>
      </c>
      <c r="B13" t="s">
        <v>59</v>
      </c>
      <c r="C13" t="s">
        <v>100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1746</v>
      </c>
      <c r="B14" t="s">
        <v>6</v>
      </c>
      <c r="C14" t="s">
        <v>100</v>
      </c>
      <c r="D14" t="s">
        <v>33</v>
      </c>
      <c r="F14">
        <v>780</v>
      </c>
      <c r="J14">
        <f t="shared" si="0"/>
        <v>87360</v>
      </c>
      <c r="L14">
        <f t="shared" si="1"/>
        <v>39</v>
      </c>
    </row>
    <row r="15" spans="1:15" x14ac:dyDescent="0.25">
      <c r="A15">
        <v>1746</v>
      </c>
      <c r="B15" t="s">
        <v>96</v>
      </c>
      <c r="C15" t="s">
        <v>100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1746</v>
      </c>
      <c r="B16" t="s">
        <v>60</v>
      </c>
      <c r="C16" t="s">
        <v>100</v>
      </c>
      <c r="D16" t="s">
        <v>33</v>
      </c>
      <c r="H16">
        <v>136</v>
      </c>
      <c r="J16">
        <f t="shared" si="0"/>
        <v>136</v>
      </c>
      <c r="L16">
        <f t="shared" si="1"/>
        <v>6.0714285714285714E-2</v>
      </c>
    </row>
    <row r="17" spans="1:12" x14ac:dyDescent="0.25">
      <c r="A17">
        <v>1746</v>
      </c>
      <c r="B17" t="s">
        <v>7</v>
      </c>
      <c r="C17" t="s">
        <v>100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1746</v>
      </c>
      <c r="B18" t="s">
        <v>37</v>
      </c>
      <c r="C18" t="s">
        <v>100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1746</v>
      </c>
      <c r="B19" t="s">
        <v>8</v>
      </c>
      <c r="C19" t="s">
        <v>100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1746</v>
      </c>
      <c r="B20" t="s">
        <v>40</v>
      </c>
      <c r="C20" t="s">
        <v>100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1746</v>
      </c>
      <c r="B21" t="s">
        <v>77</v>
      </c>
      <c r="C21" t="s">
        <v>100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1746</v>
      </c>
      <c r="B22" t="s">
        <v>78</v>
      </c>
      <c r="C22" t="s">
        <v>100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1746</v>
      </c>
      <c r="B23" t="s">
        <v>46</v>
      </c>
      <c r="C23" t="s">
        <v>100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1746</v>
      </c>
      <c r="B24" t="s">
        <v>9</v>
      </c>
      <c r="C24" t="s">
        <v>100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1746</v>
      </c>
      <c r="B25" t="s">
        <v>10</v>
      </c>
      <c r="C25" t="s">
        <v>100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1746</v>
      </c>
      <c r="B26" t="s">
        <v>11</v>
      </c>
      <c r="C26" t="s">
        <v>100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1746</v>
      </c>
      <c r="B27" t="s">
        <v>39</v>
      </c>
      <c r="C27" t="s">
        <v>100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1746</v>
      </c>
      <c r="B28" t="s">
        <v>79</v>
      </c>
      <c r="C28" t="s">
        <v>100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1746</v>
      </c>
      <c r="B29" t="s">
        <v>103</v>
      </c>
      <c r="C29" t="s">
        <v>100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1746</v>
      </c>
      <c r="B30" t="s">
        <v>44</v>
      </c>
      <c r="C30" t="s">
        <v>100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1746</v>
      </c>
      <c r="B31" t="s">
        <v>97</v>
      </c>
      <c r="C31" t="s">
        <v>100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1746</v>
      </c>
      <c r="B32" t="s">
        <v>12</v>
      </c>
      <c r="C32" t="s">
        <v>100</v>
      </c>
      <c r="D32" t="s">
        <v>33</v>
      </c>
      <c r="H32">
        <v>450</v>
      </c>
      <c r="J32">
        <f t="shared" si="0"/>
        <v>450</v>
      </c>
      <c r="L32">
        <f t="shared" si="1"/>
        <v>0.20089285714285715</v>
      </c>
    </row>
    <row r="33" spans="1:12" x14ac:dyDescent="0.25">
      <c r="A33">
        <v>1746</v>
      </c>
      <c r="B33" t="s">
        <v>138</v>
      </c>
      <c r="C33" t="s">
        <v>100</v>
      </c>
      <c r="D33" t="s">
        <v>33</v>
      </c>
      <c r="H33">
        <v>1780</v>
      </c>
      <c r="J33">
        <f t="shared" si="0"/>
        <v>1780</v>
      </c>
      <c r="L33">
        <f t="shared" si="1"/>
        <v>0.7946428571428571</v>
      </c>
    </row>
    <row r="34" spans="1:12" x14ac:dyDescent="0.25">
      <c r="A34">
        <v>1746</v>
      </c>
      <c r="B34" t="s">
        <v>34</v>
      </c>
      <c r="C34" t="s">
        <v>100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1746</v>
      </c>
      <c r="B35" t="s">
        <v>13</v>
      </c>
      <c r="C35" t="s">
        <v>100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1746</v>
      </c>
      <c r="B36" t="s">
        <v>14</v>
      </c>
      <c r="C36" t="s">
        <v>100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1746</v>
      </c>
      <c r="B37" t="s">
        <v>23</v>
      </c>
      <c r="C37" t="s">
        <v>100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1746</v>
      </c>
      <c r="B38" t="s">
        <v>27</v>
      </c>
      <c r="C38" t="s">
        <v>100</v>
      </c>
      <c r="D38" t="s">
        <v>33</v>
      </c>
      <c r="H38">
        <v>170</v>
      </c>
      <c r="I38" t="s">
        <v>140</v>
      </c>
      <c r="J38">
        <f t="shared" si="0"/>
        <v>170</v>
      </c>
      <c r="L38">
        <f t="shared" si="1"/>
        <v>7.5892857142857137E-2</v>
      </c>
    </row>
    <row r="39" spans="1:12" x14ac:dyDescent="0.25">
      <c r="A39">
        <v>1746</v>
      </c>
      <c r="B39" t="s">
        <v>15</v>
      </c>
      <c r="C39" t="s">
        <v>100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1746</v>
      </c>
      <c r="B40" t="s">
        <v>42</v>
      </c>
      <c r="C40" t="s">
        <v>100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1746</v>
      </c>
      <c r="B41" t="s">
        <v>83</v>
      </c>
      <c r="C41" t="s">
        <v>100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1746</v>
      </c>
      <c r="B42" t="s">
        <v>47</v>
      </c>
      <c r="C42" t="s">
        <v>100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1746</v>
      </c>
      <c r="B43" t="s">
        <v>16</v>
      </c>
      <c r="C43" t="s">
        <v>100</v>
      </c>
      <c r="D43" t="s">
        <v>33</v>
      </c>
      <c r="H43">
        <v>2700</v>
      </c>
      <c r="J43">
        <f t="shared" si="0"/>
        <v>2700</v>
      </c>
      <c r="L43">
        <f t="shared" si="1"/>
        <v>1.2053571428571428</v>
      </c>
    </row>
    <row r="44" spans="1:12" x14ac:dyDescent="0.25">
      <c r="A44">
        <v>1746</v>
      </c>
      <c r="B44" t="s">
        <v>17</v>
      </c>
      <c r="C44" t="s">
        <v>100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1746</v>
      </c>
      <c r="B45" t="s">
        <v>18</v>
      </c>
      <c r="C45" t="s">
        <v>100</v>
      </c>
      <c r="D45" t="s">
        <v>33</v>
      </c>
      <c r="I45" t="s">
        <v>139</v>
      </c>
      <c r="J45">
        <f t="shared" si="0"/>
        <v>0</v>
      </c>
      <c r="L45">
        <f t="shared" si="1"/>
        <v>0</v>
      </c>
    </row>
    <row r="46" spans="1:12" x14ac:dyDescent="0.25">
      <c r="A46">
        <v>1746</v>
      </c>
      <c r="B46" t="s">
        <v>26</v>
      </c>
      <c r="C46" t="s">
        <v>100</v>
      </c>
      <c r="D46" t="s">
        <v>33</v>
      </c>
      <c r="H46">
        <v>2424</v>
      </c>
      <c r="J46">
        <f t="shared" si="0"/>
        <v>2424</v>
      </c>
      <c r="L46">
        <f t="shared" si="1"/>
        <v>1.0821428571428571</v>
      </c>
    </row>
    <row r="47" spans="1:12" x14ac:dyDescent="0.25">
      <c r="A47">
        <v>1746</v>
      </c>
      <c r="B47" t="s">
        <v>84</v>
      </c>
      <c r="C47" t="s">
        <v>100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1746</v>
      </c>
      <c r="B48" t="s">
        <v>19</v>
      </c>
      <c r="C48" t="s">
        <v>100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1746</v>
      </c>
      <c r="B49" t="s">
        <v>45</v>
      </c>
      <c r="C49" t="s">
        <v>100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1746</v>
      </c>
      <c r="B50" t="s">
        <v>85</v>
      </c>
      <c r="C50" t="s">
        <v>100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1746</v>
      </c>
      <c r="B51" t="s">
        <v>54</v>
      </c>
      <c r="C51" t="s">
        <v>100</v>
      </c>
      <c r="D51" t="s">
        <v>33</v>
      </c>
      <c r="H51">
        <v>50</v>
      </c>
      <c r="J51">
        <f t="shared" si="0"/>
        <v>50</v>
      </c>
      <c r="L51">
        <f t="shared" si="1"/>
        <v>2.2321428571428572E-2</v>
      </c>
    </row>
    <row r="52" spans="1:12" x14ac:dyDescent="0.25">
      <c r="A52">
        <v>1746</v>
      </c>
      <c r="B52" t="s">
        <v>95</v>
      </c>
      <c r="C52" t="s">
        <v>100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1746</v>
      </c>
      <c r="B53" t="s">
        <v>20</v>
      </c>
      <c r="C53" t="s">
        <v>100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1746</v>
      </c>
      <c r="B54" t="s">
        <v>21</v>
      </c>
      <c r="C54" t="s">
        <v>100</v>
      </c>
      <c r="D54" t="s">
        <v>33</v>
      </c>
      <c r="H54">
        <v>7</v>
      </c>
      <c r="J54">
        <f t="shared" si="0"/>
        <v>7</v>
      </c>
      <c r="L54">
        <f t="shared" si="1"/>
        <v>3.1250000000000002E-3</v>
      </c>
    </row>
    <row r="55" spans="1:12" x14ac:dyDescent="0.25">
      <c r="A55">
        <v>1746</v>
      </c>
      <c r="B55" t="s">
        <v>90</v>
      </c>
      <c r="C55" t="s">
        <v>100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1746</v>
      </c>
      <c r="B56" t="s">
        <v>22</v>
      </c>
      <c r="C56" t="s">
        <v>100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1746</v>
      </c>
      <c r="B57" t="s">
        <v>61</v>
      </c>
      <c r="C57" t="s">
        <v>100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1746</v>
      </c>
      <c r="B58" t="s">
        <v>98</v>
      </c>
      <c r="C58" t="s">
        <v>100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1746</v>
      </c>
      <c r="B59" t="s">
        <v>87</v>
      </c>
      <c r="C59" t="s">
        <v>100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1746</v>
      </c>
      <c r="B60" t="s">
        <v>62</v>
      </c>
      <c r="C60" t="s">
        <v>100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1746</v>
      </c>
      <c r="B61" t="s">
        <v>88</v>
      </c>
      <c r="C61" t="s">
        <v>100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1746</v>
      </c>
      <c r="B62" t="s">
        <v>63</v>
      </c>
      <c r="C62" t="s">
        <v>100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1746</v>
      </c>
      <c r="B63" t="s">
        <v>89</v>
      </c>
      <c r="C63" t="s">
        <v>100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1746</v>
      </c>
      <c r="B64" t="s">
        <v>70</v>
      </c>
      <c r="C64" t="s">
        <v>100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1746</v>
      </c>
      <c r="B65" t="s">
        <v>64</v>
      </c>
      <c r="C65" t="s">
        <v>100</v>
      </c>
      <c r="D65" t="s">
        <v>33</v>
      </c>
      <c r="J65">
        <f t="shared" si="0"/>
        <v>0</v>
      </c>
      <c r="L65">
        <f t="shared" si="1"/>
        <v>0</v>
      </c>
    </row>
    <row r="66" spans="1:12" x14ac:dyDescent="0.25">
      <c r="A66">
        <v>1746</v>
      </c>
      <c r="B66" t="s">
        <v>65</v>
      </c>
      <c r="C66" t="s">
        <v>100</v>
      </c>
      <c r="D66" t="s">
        <v>33</v>
      </c>
      <c r="J66">
        <f t="shared" si="0"/>
        <v>0</v>
      </c>
      <c r="L66">
        <f t="shared" si="1"/>
        <v>0</v>
      </c>
    </row>
    <row r="67" spans="1:12" x14ac:dyDescent="0.25">
      <c r="A67">
        <v>1746</v>
      </c>
      <c r="B67" t="s">
        <v>55</v>
      </c>
      <c r="C67" t="s">
        <v>100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1746</v>
      </c>
      <c r="B68" t="s">
        <v>57</v>
      </c>
      <c r="C68" t="s">
        <v>100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1746</v>
      </c>
      <c r="B69" t="s">
        <v>36</v>
      </c>
      <c r="C69" t="s">
        <v>100</v>
      </c>
      <c r="D69" t="s">
        <v>35</v>
      </c>
      <c r="J69">
        <f t="shared" si="0"/>
        <v>0</v>
      </c>
      <c r="L69">
        <f t="shared" si="1"/>
        <v>0</v>
      </c>
    </row>
    <row r="70" spans="1:12" x14ac:dyDescent="0.25">
      <c r="A70">
        <v>1746</v>
      </c>
      <c r="B70" t="s">
        <v>4</v>
      </c>
      <c r="C70" t="s">
        <v>100</v>
      </c>
      <c r="D70" t="s">
        <v>35</v>
      </c>
      <c r="J70">
        <f t="shared" ref="J70:J129" si="2">(E70*2240)+(F70*112)+(G70*28)+H70</f>
        <v>0</v>
      </c>
      <c r="L70">
        <f t="shared" ref="L70:L129" si="3">J70/2240</f>
        <v>0</v>
      </c>
    </row>
    <row r="71" spans="1:12" x14ac:dyDescent="0.25">
      <c r="A71">
        <v>1746</v>
      </c>
      <c r="B71" t="s">
        <v>58</v>
      </c>
      <c r="C71" t="s">
        <v>100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1746</v>
      </c>
      <c r="B72" t="s">
        <v>69</v>
      </c>
      <c r="C72" t="s">
        <v>100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1746</v>
      </c>
      <c r="B73" t="s">
        <v>43</v>
      </c>
      <c r="C73" t="s">
        <v>100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1746</v>
      </c>
      <c r="B74" t="s">
        <v>76</v>
      </c>
      <c r="C74" t="s">
        <v>100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1746</v>
      </c>
      <c r="B75" t="s">
        <v>5</v>
      </c>
      <c r="C75" t="s">
        <v>100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1746</v>
      </c>
      <c r="B76" t="s">
        <v>59</v>
      </c>
      <c r="C76" t="s">
        <v>100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1746</v>
      </c>
      <c r="B77" t="s">
        <v>6</v>
      </c>
      <c r="C77" t="s">
        <v>100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1746</v>
      </c>
      <c r="B78" t="s">
        <v>60</v>
      </c>
      <c r="C78" t="s">
        <v>100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1746</v>
      </c>
      <c r="B79" t="s">
        <v>7</v>
      </c>
      <c r="C79" t="s">
        <v>100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1746</v>
      </c>
      <c r="B80" t="s">
        <v>37</v>
      </c>
      <c r="C80" t="s">
        <v>100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1746</v>
      </c>
      <c r="B81" t="s">
        <v>8</v>
      </c>
      <c r="C81" t="s">
        <v>100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1746</v>
      </c>
      <c r="B82" t="s">
        <v>40</v>
      </c>
      <c r="C82" t="s">
        <v>100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1746</v>
      </c>
      <c r="B83" t="s">
        <v>77</v>
      </c>
      <c r="C83" t="s">
        <v>100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1746</v>
      </c>
      <c r="B84" t="s">
        <v>78</v>
      </c>
      <c r="C84" t="s">
        <v>100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1746</v>
      </c>
      <c r="B85" t="s">
        <v>46</v>
      </c>
      <c r="C85" t="s">
        <v>100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1746</v>
      </c>
      <c r="B86" t="s">
        <v>9</v>
      </c>
      <c r="C86" t="s">
        <v>100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1746</v>
      </c>
      <c r="B87" t="s">
        <v>10</v>
      </c>
      <c r="C87" t="s">
        <v>100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1746</v>
      </c>
      <c r="B88" t="s">
        <v>11</v>
      </c>
      <c r="C88" t="s">
        <v>100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1746</v>
      </c>
      <c r="B89" t="s">
        <v>39</v>
      </c>
      <c r="C89" t="s">
        <v>100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1746</v>
      </c>
      <c r="B90" t="s">
        <v>79</v>
      </c>
      <c r="C90" t="s">
        <v>100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1746</v>
      </c>
      <c r="B91" t="s">
        <v>103</v>
      </c>
      <c r="C91" t="s">
        <v>100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1746</v>
      </c>
      <c r="B92" t="s">
        <v>44</v>
      </c>
      <c r="C92" t="s">
        <v>100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1746</v>
      </c>
      <c r="B93" t="s">
        <v>97</v>
      </c>
      <c r="C93" t="s">
        <v>100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1746</v>
      </c>
      <c r="B94" t="s">
        <v>12</v>
      </c>
      <c r="C94" t="s">
        <v>100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1746</v>
      </c>
      <c r="B95" t="s">
        <v>82</v>
      </c>
      <c r="C95" t="s">
        <v>100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1746</v>
      </c>
      <c r="B96" t="s">
        <v>34</v>
      </c>
      <c r="C96" t="s">
        <v>100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1746</v>
      </c>
      <c r="B97" t="s">
        <v>13</v>
      </c>
      <c r="C97" t="s">
        <v>100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1746</v>
      </c>
      <c r="B98" t="s">
        <v>14</v>
      </c>
      <c r="C98" t="s">
        <v>100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1746</v>
      </c>
      <c r="B99" t="s">
        <v>23</v>
      </c>
      <c r="C99" t="s">
        <v>100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1746</v>
      </c>
      <c r="B100" t="s">
        <v>27</v>
      </c>
      <c r="C100" t="s">
        <v>100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1746</v>
      </c>
      <c r="B101" t="s">
        <v>15</v>
      </c>
      <c r="C101" t="s">
        <v>100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1746</v>
      </c>
      <c r="B102" t="s">
        <v>93</v>
      </c>
      <c r="C102" t="s">
        <v>100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1746</v>
      </c>
      <c r="B103" t="s">
        <v>42</v>
      </c>
      <c r="C103" t="s">
        <v>100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1746</v>
      </c>
      <c r="B104" t="s">
        <v>83</v>
      </c>
      <c r="C104" t="s">
        <v>100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1746</v>
      </c>
      <c r="B105" t="s">
        <v>47</v>
      </c>
      <c r="C105" t="s">
        <v>100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1746</v>
      </c>
      <c r="B106" t="s">
        <v>16</v>
      </c>
      <c r="C106" t="s">
        <v>100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1746</v>
      </c>
      <c r="B107" t="s">
        <v>17</v>
      </c>
      <c r="C107" t="s">
        <v>100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1746</v>
      </c>
      <c r="B108" t="s">
        <v>18</v>
      </c>
      <c r="C108" t="s">
        <v>100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1746</v>
      </c>
      <c r="B109" t="s">
        <v>26</v>
      </c>
      <c r="C109" t="s">
        <v>100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1746</v>
      </c>
      <c r="B110" t="s">
        <v>84</v>
      </c>
      <c r="C110" t="s">
        <v>100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1746</v>
      </c>
      <c r="B111" t="s">
        <v>19</v>
      </c>
      <c r="C111" t="s">
        <v>100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1746</v>
      </c>
      <c r="B112" t="s">
        <v>45</v>
      </c>
      <c r="C112" t="s">
        <v>100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1746</v>
      </c>
      <c r="B113" t="s">
        <v>85</v>
      </c>
      <c r="C113" t="s">
        <v>100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1746</v>
      </c>
      <c r="B114" t="s">
        <v>54</v>
      </c>
      <c r="C114" t="s">
        <v>100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1746</v>
      </c>
      <c r="B115" t="s">
        <v>95</v>
      </c>
      <c r="C115" t="s">
        <v>100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1746</v>
      </c>
      <c r="B116" t="s">
        <v>20</v>
      </c>
      <c r="C116" t="s">
        <v>100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1746</v>
      </c>
      <c r="B117" t="s">
        <v>21</v>
      </c>
      <c r="C117" t="s">
        <v>100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1746</v>
      </c>
      <c r="B118" t="s">
        <v>22</v>
      </c>
      <c r="C118" t="s">
        <v>100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1746</v>
      </c>
      <c r="B119" t="s">
        <v>61</v>
      </c>
      <c r="C119" t="s">
        <v>100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1746</v>
      </c>
      <c r="B120" t="s">
        <v>91</v>
      </c>
      <c r="C120" t="s">
        <v>100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1746</v>
      </c>
      <c r="B121" t="s">
        <v>98</v>
      </c>
      <c r="C121" t="s">
        <v>100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1746</v>
      </c>
      <c r="B122" t="s">
        <v>87</v>
      </c>
      <c r="C122" t="s">
        <v>100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1746</v>
      </c>
      <c r="B123" t="s">
        <v>62</v>
      </c>
      <c r="C123" t="s">
        <v>100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1746</v>
      </c>
      <c r="B124" t="s">
        <v>88</v>
      </c>
      <c r="C124" t="s">
        <v>100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1746</v>
      </c>
      <c r="B125" t="s">
        <v>63</v>
      </c>
      <c r="C125" t="s">
        <v>100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1746</v>
      </c>
      <c r="B126" t="s">
        <v>89</v>
      </c>
      <c r="C126" t="s">
        <v>100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1746</v>
      </c>
      <c r="B127" t="s">
        <v>70</v>
      </c>
      <c r="C127" t="s">
        <v>100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1746</v>
      </c>
      <c r="B128" t="s">
        <v>64</v>
      </c>
      <c r="C128" t="s">
        <v>100</v>
      </c>
      <c r="D128" t="s">
        <v>35</v>
      </c>
      <c r="J128">
        <f t="shared" si="2"/>
        <v>0</v>
      </c>
      <c r="L128">
        <f t="shared" si="3"/>
        <v>0</v>
      </c>
    </row>
    <row r="129" spans="1:12" x14ac:dyDescent="0.25">
      <c r="A129">
        <v>1746</v>
      </c>
      <c r="B129" t="s">
        <v>65</v>
      </c>
      <c r="C129" t="s">
        <v>100</v>
      </c>
      <c r="D129" t="s">
        <v>35</v>
      </c>
      <c r="J129">
        <f t="shared" si="2"/>
        <v>0</v>
      </c>
      <c r="L129">
        <f t="shared" si="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Master Goods Sheet</vt:lpstr>
      <vt:lpstr>Anguilla</vt:lpstr>
      <vt:lpstr>Antigua</vt:lpstr>
      <vt:lpstr>Barbados</vt:lpstr>
      <vt:lpstr>Bermuda</vt:lpstr>
      <vt:lpstr>Jamaica</vt:lpstr>
      <vt:lpstr>Mountserat</vt:lpstr>
      <vt:lpstr>Nevis</vt:lpstr>
      <vt:lpstr>St Kitts</vt:lpstr>
      <vt:lpstr>Tortola</vt:lpstr>
      <vt:lpstr>WestIndiesGeneral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Polay, Jacob</dc:creator>
  <cp:lastModifiedBy>Polay, Jacob</cp:lastModifiedBy>
  <dcterms:created xsi:type="dcterms:W3CDTF">2024-12-05T00:07:08Z</dcterms:created>
  <dcterms:modified xsi:type="dcterms:W3CDTF">2025-04-30T20:14:06Z</dcterms:modified>
</cp:coreProperties>
</file>