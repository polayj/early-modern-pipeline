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506" documentId="8_{00CDCB54-A185-4CD4-BC4F-614539ED6B32}" xr6:coauthVersionLast="47" xr6:coauthVersionMax="47" xr10:uidLastSave="{8B87B755-A933-4541-8DC5-B502C4E35540}"/>
  <bookViews>
    <workbookView xWindow="-120" yWindow="-12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  <sheet name="WestIndiesGeneral" sheetId="11" r:id="rId11"/>
  </sheets>
  <definedNames>
    <definedName name="_xlnm._FilterDatabase" localSheetId="3" hidden="1">Barbados!$A$1:$N$53</definedName>
    <definedName name="_xlnm._FilterDatabase" localSheetId="5" hidden="1">Jamaica!$A$1:$O$59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4" l="1"/>
  <c r="B2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  <c r="B3" i="1"/>
  <c r="B4" i="1"/>
  <c r="B5" i="1"/>
  <c r="B6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L71" i="8"/>
  <c r="J71" i="8"/>
  <c r="L63" i="7"/>
  <c r="J63" i="7"/>
  <c r="J72" i="7"/>
  <c r="L72" i="7" s="1"/>
  <c r="J52" i="7"/>
  <c r="L52" i="7" s="1"/>
  <c r="L61" i="6"/>
  <c r="J61" i="6"/>
  <c r="J70" i="11"/>
  <c r="L70" i="11" s="1"/>
  <c r="J69" i="11"/>
  <c r="L69" i="11" s="1"/>
  <c r="J68" i="11"/>
  <c r="L68" i="11" s="1"/>
  <c r="L67" i="11"/>
  <c r="J67" i="11"/>
  <c r="L66" i="11"/>
  <c r="J66" i="11"/>
  <c r="J65" i="11"/>
  <c r="L65" i="11" s="1"/>
  <c r="L64" i="11"/>
  <c r="J64" i="11"/>
  <c r="J63" i="11"/>
  <c r="L63" i="11" s="1"/>
  <c r="J62" i="11"/>
  <c r="L62" i="11" s="1"/>
  <c r="J61" i="11"/>
  <c r="L61" i="11" s="1"/>
  <c r="J60" i="11"/>
  <c r="L60" i="11" s="1"/>
  <c r="J59" i="11"/>
  <c r="L59" i="11" s="1"/>
  <c r="L58" i="11"/>
  <c r="J58" i="11"/>
  <c r="J57" i="11"/>
  <c r="L57" i="11" s="1"/>
  <c r="L56" i="11"/>
  <c r="J56" i="11"/>
  <c r="J55" i="11"/>
  <c r="L55" i="11" s="1"/>
  <c r="J54" i="11"/>
  <c r="L54" i="11" s="1"/>
  <c r="J53" i="11"/>
  <c r="L53" i="11" s="1"/>
  <c r="J52" i="11"/>
  <c r="L52" i="11" s="1"/>
  <c r="L51" i="11"/>
  <c r="J51" i="11"/>
  <c r="L50" i="11"/>
  <c r="J50" i="11"/>
  <c r="J49" i="11"/>
  <c r="L49" i="11" s="1"/>
  <c r="L48" i="11"/>
  <c r="J48" i="11"/>
  <c r="L47" i="11"/>
  <c r="J47" i="11"/>
  <c r="J46" i="11"/>
  <c r="L46" i="11" s="1"/>
  <c r="J45" i="11"/>
  <c r="L45" i="11" s="1"/>
  <c r="J44" i="11"/>
  <c r="L44" i="11" s="1"/>
  <c r="L43" i="11"/>
  <c r="J43" i="11"/>
  <c r="L42" i="11"/>
  <c r="J42" i="11"/>
  <c r="J41" i="11"/>
  <c r="L41" i="11" s="1"/>
  <c r="L40" i="11"/>
  <c r="J40" i="11"/>
  <c r="L39" i="11"/>
  <c r="J39" i="11"/>
  <c r="J38" i="11"/>
  <c r="L38" i="11" s="1"/>
  <c r="J37" i="11"/>
  <c r="L37" i="11" s="1"/>
  <c r="J36" i="11"/>
  <c r="L36" i="11" s="1"/>
  <c r="L35" i="11"/>
  <c r="J35" i="11"/>
  <c r="L34" i="11"/>
  <c r="J34" i="11"/>
  <c r="J33" i="11"/>
  <c r="L33" i="11" s="1"/>
  <c r="L32" i="11"/>
  <c r="J32" i="11"/>
  <c r="L31" i="11"/>
  <c r="J31" i="11"/>
  <c r="J30" i="11"/>
  <c r="L30" i="11" s="1"/>
  <c r="J29" i="11"/>
  <c r="L29" i="11" s="1"/>
  <c r="J28" i="11"/>
  <c r="L28" i="11" s="1"/>
  <c r="L27" i="11"/>
  <c r="J27" i="11"/>
  <c r="L26" i="11"/>
  <c r="J26" i="11"/>
  <c r="J25" i="11"/>
  <c r="L25" i="11" s="1"/>
  <c r="L24" i="11"/>
  <c r="J24" i="11"/>
  <c r="L23" i="11"/>
  <c r="J23" i="11"/>
  <c r="J22" i="11"/>
  <c r="L22" i="11" s="1"/>
  <c r="J21" i="11"/>
  <c r="L21" i="11" s="1"/>
  <c r="J20" i="11"/>
  <c r="L20" i="11" s="1"/>
  <c r="L19" i="11"/>
  <c r="J19" i="11"/>
  <c r="L18" i="11"/>
  <c r="J18" i="11"/>
  <c r="J17" i="11"/>
  <c r="L17" i="11" s="1"/>
  <c r="L16" i="11"/>
  <c r="J16" i="11"/>
  <c r="L15" i="11"/>
  <c r="J15" i="11"/>
  <c r="L14" i="11"/>
  <c r="J14" i="11"/>
  <c r="J13" i="11"/>
  <c r="L13" i="11" s="1"/>
  <c r="J12" i="11"/>
  <c r="L12" i="11" s="1"/>
  <c r="J11" i="11"/>
  <c r="L11" i="11" s="1"/>
  <c r="L10" i="11"/>
  <c r="J10" i="11"/>
  <c r="J9" i="11"/>
  <c r="L9" i="11" s="1"/>
  <c r="L8" i="11"/>
  <c r="J8" i="11"/>
  <c r="L7" i="11"/>
  <c r="J7" i="11"/>
  <c r="L6" i="11"/>
  <c r="J6" i="11"/>
  <c r="J5" i="11"/>
  <c r="L5" i="11" s="1"/>
  <c r="J4" i="11"/>
  <c r="L4" i="11" s="1"/>
  <c r="L3" i="11"/>
  <c r="J3" i="11"/>
  <c r="L2" i="11"/>
  <c r="J2" i="11"/>
  <c r="J22" i="7"/>
  <c r="L22" i="7" s="1"/>
  <c r="L22" i="3"/>
  <c r="J22" i="3"/>
  <c r="L32" i="2"/>
  <c r="J32" i="2"/>
  <c r="J30" i="2"/>
  <c r="L30" i="2" s="1"/>
  <c r="J6" i="2"/>
  <c r="L6" i="2" s="1"/>
  <c r="J3" i="2"/>
  <c r="L3" i="2" s="1"/>
  <c r="J4" i="2"/>
  <c r="L4" i="2" s="1"/>
  <c r="J5" i="2"/>
  <c r="L5" i="2" s="1"/>
  <c r="J7" i="2"/>
  <c r="L7" i="2" s="1"/>
  <c r="J8" i="2"/>
  <c r="L8" i="2" s="1"/>
  <c r="J9" i="2"/>
  <c r="L9" i="2" s="1"/>
  <c r="J10" i="2"/>
  <c r="L10" i="2" s="1"/>
  <c r="J11" i="2"/>
  <c r="L11" i="2" s="1"/>
  <c r="J12" i="2"/>
  <c r="L12" i="2" s="1"/>
  <c r="J13" i="2"/>
  <c r="L13" i="2" s="1"/>
  <c r="J14" i="2"/>
  <c r="L14" i="2" s="1"/>
  <c r="J15" i="2"/>
  <c r="L15" i="2" s="1"/>
  <c r="J16" i="2"/>
  <c r="L16" i="2" s="1"/>
  <c r="J17" i="2"/>
  <c r="L17" i="2" s="1"/>
  <c r="J18" i="2"/>
  <c r="L18" i="2" s="1"/>
  <c r="J19" i="2"/>
  <c r="L19" i="2" s="1"/>
  <c r="J20" i="2"/>
  <c r="L20" i="2" s="1"/>
  <c r="J21" i="2"/>
  <c r="L21" i="2" s="1"/>
  <c r="J22" i="2"/>
  <c r="L22" i="2" s="1"/>
  <c r="J23" i="2"/>
  <c r="L23" i="2" s="1"/>
  <c r="J24" i="2"/>
  <c r="L24" i="2" s="1"/>
  <c r="J25" i="2"/>
  <c r="L25" i="2" s="1"/>
  <c r="J26" i="2"/>
  <c r="L26" i="2" s="1"/>
  <c r="J27" i="2"/>
  <c r="L27" i="2" s="1"/>
  <c r="J28" i="2"/>
  <c r="L28" i="2" s="1"/>
  <c r="J29" i="2"/>
  <c r="L29" i="2" s="1"/>
  <c r="J31" i="2"/>
  <c r="L31" i="2" s="1"/>
  <c r="J33" i="2"/>
  <c r="L33" i="2" s="1"/>
  <c r="J34" i="2"/>
  <c r="L34" i="2" s="1"/>
  <c r="J35" i="2"/>
  <c r="L35" i="2" s="1"/>
  <c r="J36" i="2"/>
  <c r="L36" i="2" s="1"/>
  <c r="J37" i="2"/>
  <c r="L37" i="2" s="1"/>
  <c r="J38" i="2"/>
  <c r="L38" i="2" s="1"/>
  <c r="J39" i="2"/>
  <c r="L39" i="2" s="1"/>
  <c r="J40" i="2"/>
  <c r="L40" i="2" s="1"/>
  <c r="J41" i="2"/>
  <c r="L41" i="2" s="1"/>
  <c r="J42" i="2"/>
  <c r="L42" i="2" s="1"/>
  <c r="J43" i="2"/>
  <c r="L43" i="2" s="1"/>
  <c r="J44" i="2"/>
  <c r="L44" i="2" s="1"/>
  <c r="J45" i="2"/>
  <c r="L45" i="2" s="1"/>
  <c r="J46" i="2"/>
  <c r="L46" i="2" s="1"/>
  <c r="J47" i="2"/>
  <c r="L47" i="2" s="1"/>
  <c r="J48" i="2"/>
  <c r="L48" i="2" s="1"/>
  <c r="J49" i="2"/>
  <c r="L49" i="2" s="1"/>
  <c r="J50" i="2"/>
  <c r="L50" i="2" s="1"/>
  <c r="J51" i="2"/>
  <c r="L51" i="2" s="1"/>
  <c r="J52" i="2"/>
  <c r="L52" i="2" s="1"/>
  <c r="J53" i="2"/>
  <c r="L53" i="2" s="1"/>
  <c r="J54" i="2"/>
  <c r="L54" i="2" s="1"/>
  <c r="J55" i="2"/>
  <c r="L55" i="2" s="1"/>
  <c r="J56" i="2"/>
  <c r="L56" i="2" s="1"/>
  <c r="J57" i="2"/>
  <c r="L57" i="2" s="1"/>
  <c r="J58" i="2"/>
  <c r="L58" i="2" s="1"/>
  <c r="J59" i="2"/>
  <c r="L59" i="2" s="1"/>
  <c r="J60" i="2"/>
  <c r="L60" i="2" s="1"/>
  <c r="J61" i="2"/>
  <c r="L61" i="2" s="1"/>
  <c r="J62" i="2"/>
  <c r="L62" i="2" s="1"/>
  <c r="L3" i="3"/>
  <c r="L5" i="3"/>
  <c r="L6" i="3"/>
  <c r="L14" i="3"/>
  <c r="L21" i="3"/>
  <c r="L23" i="3"/>
  <c r="L31" i="3"/>
  <c r="L36" i="3"/>
  <c r="L40" i="3"/>
  <c r="L47" i="3"/>
  <c r="L53" i="3"/>
  <c r="L54" i="3"/>
  <c r="L55" i="3"/>
  <c r="L56" i="3"/>
  <c r="L61" i="3"/>
  <c r="L63" i="3"/>
  <c r="L68" i="3"/>
  <c r="L69" i="3"/>
  <c r="L70" i="3"/>
  <c r="L72" i="3"/>
  <c r="L79" i="3"/>
  <c r="L84" i="3"/>
  <c r="L85" i="3"/>
  <c r="L86" i="3"/>
  <c r="L93" i="3"/>
  <c r="L95" i="3"/>
  <c r="J3" i="3"/>
  <c r="J4" i="3"/>
  <c r="L4" i="3" s="1"/>
  <c r="J5" i="3"/>
  <c r="J6" i="3"/>
  <c r="J7" i="3"/>
  <c r="L7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J15" i="3"/>
  <c r="L15" i="3" s="1"/>
  <c r="J16" i="3"/>
  <c r="L16" i="3" s="1"/>
  <c r="J17" i="3"/>
  <c r="L17" i="3" s="1"/>
  <c r="J18" i="3"/>
  <c r="L18" i="3" s="1"/>
  <c r="J19" i="3"/>
  <c r="L19" i="3" s="1"/>
  <c r="J20" i="3"/>
  <c r="L20" i="3" s="1"/>
  <c r="J21" i="3"/>
  <c r="J23" i="3"/>
  <c r="J24" i="3"/>
  <c r="L24" i="3" s="1"/>
  <c r="J25" i="3"/>
  <c r="L25" i="3" s="1"/>
  <c r="J26" i="3"/>
  <c r="L26" i="3" s="1"/>
  <c r="J27" i="3"/>
  <c r="L27" i="3" s="1"/>
  <c r="J28" i="3"/>
  <c r="L28" i="3" s="1"/>
  <c r="J29" i="3"/>
  <c r="L29" i="3" s="1"/>
  <c r="J30" i="3"/>
  <c r="L30" i="3" s="1"/>
  <c r="J31" i="3"/>
  <c r="J32" i="3"/>
  <c r="L32" i="3" s="1"/>
  <c r="J33" i="3"/>
  <c r="L33" i="3" s="1"/>
  <c r="J34" i="3"/>
  <c r="L34" i="3" s="1"/>
  <c r="J35" i="3"/>
  <c r="L35" i="3" s="1"/>
  <c r="J36" i="3"/>
  <c r="J37" i="3"/>
  <c r="L37" i="3" s="1"/>
  <c r="J38" i="3"/>
  <c r="L38" i="3" s="1"/>
  <c r="J39" i="3"/>
  <c r="L39" i="3" s="1"/>
  <c r="J40" i="3"/>
  <c r="J41" i="3"/>
  <c r="L41" i="3" s="1"/>
  <c r="J42" i="3"/>
  <c r="L42" i="3" s="1"/>
  <c r="J43" i="3"/>
  <c r="L43" i="3" s="1"/>
  <c r="J44" i="3"/>
  <c r="L44" i="3" s="1"/>
  <c r="J45" i="3"/>
  <c r="L45" i="3" s="1"/>
  <c r="J46" i="3"/>
  <c r="L46" i="3" s="1"/>
  <c r="J47" i="3"/>
  <c r="J48" i="3"/>
  <c r="L48" i="3" s="1"/>
  <c r="J49" i="3"/>
  <c r="L49" i="3" s="1"/>
  <c r="J50" i="3"/>
  <c r="L50" i="3" s="1"/>
  <c r="J51" i="3"/>
  <c r="L51" i="3" s="1"/>
  <c r="J52" i="3"/>
  <c r="L52" i="3" s="1"/>
  <c r="J53" i="3"/>
  <c r="J54" i="3"/>
  <c r="J55" i="3"/>
  <c r="J56" i="3"/>
  <c r="J57" i="3"/>
  <c r="L57" i="3" s="1"/>
  <c r="J58" i="3"/>
  <c r="L58" i="3" s="1"/>
  <c r="J59" i="3"/>
  <c r="L59" i="3" s="1"/>
  <c r="J60" i="3"/>
  <c r="L60" i="3" s="1"/>
  <c r="J61" i="3"/>
  <c r="J62" i="3"/>
  <c r="L62" i="3" s="1"/>
  <c r="J63" i="3"/>
  <c r="J64" i="3"/>
  <c r="L64" i="3" s="1"/>
  <c r="J65" i="3"/>
  <c r="L65" i="3" s="1"/>
  <c r="J66" i="3"/>
  <c r="L66" i="3" s="1"/>
  <c r="J67" i="3"/>
  <c r="L67" i="3" s="1"/>
  <c r="J68" i="3"/>
  <c r="J69" i="3"/>
  <c r="J70" i="3"/>
  <c r="J71" i="3"/>
  <c r="L71" i="3" s="1"/>
  <c r="J72" i="3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J80" i="3"/>
  <c r="L80" i="3" s="1"/>
  <c r="J81" i="3"/>
  <c r="L81" i="3" s="1"/>
  <c r="J82" i="3"/>
  <c r="L82" i="3" s="1"/>
  <c r="J83" i="3"/>
  <c r="L83" i="3" s="1"/>
  <c r="J84" i="3"/>
  <c r="J85" i="3"/>
  <c r="J86" i="3"/>
  <c r="J87" i="3"/>
  <c r="L87" i="3" s="1"/>
  <c r="J88" i="3"/>
  <c r="L88" i="3" s="1"/>
  <c r="J89" i="3"/>
  <c r="L89" i="3" s="1"/>
  <c r="J90" i="3"/>
  <c r="L90" i="3" s="1"/>
  <c r="J91" i="3"/>
  <c r="L91" i="3" s="1"/>
  <c r="J92" i="3"/>
  <c r="L92" i="3" s="1"/>
  <c r="J93" i="3"/>
  <c r="J94" i="3"/>
  <c r="L94" i="3" s="1"/>
  <c r="J95" i="3"/>
  <c r="J96" i="3"/>
  <c r="L96" i="3" s="1"/>
  <c r="J97" i="3"/>
  <c r="L97" i="3" s="1"/>
  <c r="J98" i="3"/>
  <c r="L98" i="3" s="1"/>
  <c r="L3" i="4"/>
  <c r="L4" i="4"/>
  <c r="L7" i="4"/>
  <c r="L9" i="4"/>
  <c r="L10" i="4"/>
  <c r="L11" i="4"/>
  <c r="L13" i="4"/>
  <c r="L15" i="4"/>
  <c r="L16" i="4"/>
  <c r="L17" i="4"/>
  <c r="L18" i="4"/>
  <c r="L19" i="4"/>
  <c r="L20" i="4"/>
  <c r="L21" i="4"/>
  <c r="L22" i="4"/>
  <c r="L23" i="4"/>
  <c r="J3" i="4"/>
  <c r="J4" i="4"/>
  <c r="J5" i="4"/>
  <c r="L5" i="4" s="1"/>
  <c r="B7" i="1" s="1"/>
  <c r="J6" i="4"/>
  <c r="L6" i="4" s="1"/>
  <c r="J7" i="4"/>
  <c r="J8" i="4"/>
  <c r="L8" i="4" s="1"/>
  <c r="J9" i="4"/>
  <c r="J10" i="4"/>
  <c r="J11" i="4"/>
  <c r="J12" i="4"/>
  <c r="L12" i="4" s="1"/>
  <c r="J13" i="4"/>
  <c r="J14" i="4"/>
  <c r="L14" i="4" s="1"/>
  <c r="J15" i="4"/>
  <c r="J16" i="4"/>
  <c r="J17" i="4"/>
  <c r="J18" i="4"/>
  <c r="J19" i="4"/>
  <c r="J20" i="4"/>
  <c r="J21" i="4"/>
  <c r="J22" i="4"/>
  <c r="J23" i="4"/>
  <c r="L3" i="5"/>
  <c r="L4" i="5"/>
  <c r="L5" i="5"/>
  <c r="L6" i="5"/>
  <c r="L7" i="5"/>
  <c r="L8" i="5"/>
  <c r="L9" i="5"/>
  <c r="L10" i="5"/>
  <c r="L11" i="5"/>
  <c r="L12" i="5"/>
  <c r="L13" i="5"/>
  <c r="L14" i="5"/>
  <c r="L17" i="5"/>
  <c r="L18" i="5"/>
  <c r="L19" i="5"/>
  <c r="L20" i="5"/>
  <c r="L21" i="5"/>
  <c r="L25" i="5"/>
  <c r="L26" i="5"/>
  <c r="L27" i="5"/>
  <c r="L28" i="5"/>
  <c r="L30" i="5"/>
  <c r="L31" i="5"/>
  <c r="L32" i="5"/>
  <c r="L35" i="5"/>
  <c r="L37" i="5"/>
  <c r="L38" i="5"/>
  <c r="L39" i="5"/>
  <c r="L40" i="5"/>
  <c r="L42" i="5"/>
  <c r="L44" i="5"/>
  <c r="L45" i="5"/>
  <c r="L46" i="5"/>
  <c r="L47" i="5"/>
  <c r="L48" i="5"/>
  <c r="L49" i="5"/>
  <c r="L51" i="5"/>
  <c r="L55" i="5"/>
  <c r="L58" i="5"/>
  <c r="L60" i="5"/>
  <c r="L62" i="5"/>
  <c r="L63" i="5"/>
  <c r="L64" i="5"/>
  <c r="L65" i="5"/>
  <c r="L66" i="5"/>
  <c r="L68" i="5"/>
  <c r="L69" i="5"/>
  <c r="L70" i="5"/>
  <c r="L71" i="5"/>
  <c r="L72" i="5"/>
  <c r="L73" i="5"/>
  <c r="L74" i="5"/>
  <c r="L75" i="5"/>
  <c r="L78" i="5"/>
  <c r="L79" i="5"/>
  <c r="L80" i="5"/>
  <c r="L81" i="5"/>
  <c r="L82" i="5"/>
  <c r="L86" i="5"/>
  <c r="L88" i="5"/>
  <c r="L89" i="5"/>
  <c r="L90" i="5"/>
  <c r="L91" i="5"/>
  <c r="L92" i="5"/>
  <c r="L93" i="5"/>
  <c r="L94" i="5"/>
  <c r="L95" i="5"/>
  <c r="L96" i="5"/>
  <c r="L98" i="5"/>
  <c r="L99" i="5"/>
  <c r="L100" i="5"/>
  <c r="L101" i="5"/>
  <c r="L102" i="5"/>
  <c r="L106" i="5"/>
  <c r="L107" i="5"/>
  <c r="L108" i="5"/>
  <c r="L109" i="5"/>
  <c r="L110" i="5"/>
  <c r="L111" i="5"/>
  <c r="L113" i="5"/>
  <c r="L116" i="5"/>
  <c r="L117" i="5"/>
  <c r="L118" i="5"/>
  <c r="L119" i="5"/>
  <c r="L121" i="5"/>
  <c r="L123" i="5"/>
  <c r="L125" i="5"/>
  <c r="L126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L15" i="5" s="1"/>
  <c r="J16" i="5"/>
  <c r="L16" i="5" s="1"/>
  <c r="J17" i="5"/>
  <c r="J18" i="5"/>
  <c r="J19" i="5"/>
  <c r="J20" i="5"/>
  <c r="J21" i="5"/>
  <c r="J22" i="5"/>
  <c r="L22" i="5" s="1"/>
  <c r="J23" i="5"/>
  <c r="L23" i="5" s="1"/>
  <c r="J24" i="5"/>
  <c r="L24" i="5" s="1"/>
  <c r="J25" i="5"/>
  <c r="J26" i="5"/>
  <c r="J27" i="5"/>
  <c r="J28" i="5"/>
  <c r="J29" i="5"/>
  <c r="L29" i="5" s="1"/>
  <c r="J30" i="5"/>
  <c r="J31" i="5"/>
  <c r="J32" i="5"/>
  <c r="J33" i="5"/>
  <c r="L33" i="5" s="1"/>
  <c r="J34" i="5"/>
  <c r="L34" i="5" s="1"/>
  <c r="J35" i="5"/>
  <c r="J36" i="5"/>
  <c r="L36" i="5" s="1"/>
  <c r="J37" i="5"/>
  <c r="J38" i="5"/>
  <c r="J39" i="5"/>
  <c r="J40" i="5"/>
  <c r="J41" i="5"/>
  <c r="L41" i="5" s="1"/>
  <c r="J42" i="5"/>
  <c r="J43" i="5"/>
  <c r="L43" i="5" s="1"/>
  <c r="J44" i="5"/>
  <c r="J45" i="5"/>
  <c r="J46" i="5"/>
  <c r="J47" i="5"/>
  <c r="J48" i="5"/>
  <c r="J49" i="5"/>
  <c r="J50" i="5"/>
  <c r="L50" i="5" s="1"/>
  <c r="J51" i="5"/>
  <c r="J52" i="5"/>
  <c r="L52" i="5" s="1"/>
  <c r="J53" i="5"/>
  <c r="L53" i="5" s="1"/>
  <c r="J54" i="5"/>
  <c r="L54" i="5" s="1"/>
  <c r="J55" i="5"/>
  <c r="J56" i="5"/>
  <c r="L56" i="5" s="1"/>
  <c r="J57" i="5"/>
  <c r="L57" i="5" s="1"/>
  <c r="J58" i="5"/>
  <c r="J59" i="5"/>
  <c r="L59" i="5" s="1"/>
  <c r="J60" i="5"/>
  <c r="J61" i="5"/>
  <c r="L61" i="5" s="1"/>
  <c r="J62" i="5"/>
  <c r="J63" i="5"/>
  <c r="J64" i="5"/>
  <c r="J65" i="5"/>
  <c r="J66" i="5"/>
  <c r="J67" i="5"/>
  <c r="L67" i="5" s="1"/>
  <c r="J68" i="5"/>
  <c r="J69" i="5"/>
  <c r="J70" i="5"/>
  <c r="J71" i="5"/>
  <c r="J72" i="5"/>
  <c r="J73" i="5"/>
  <c r="J74" i="5"/>
  <c r="J75" i="5"/>
  <c r="J76" i="5"/>
  <c r="L76" i="5" s="1"/>
  <c r="J77" i="5"/>
  <c r="L77" i="5" s="1"/>
  <c r="J78" i="5"/>
  <c r="J79" i="5"/>
  <c r="J80" i="5"/>
  <c r="J81" i="5"/>
  <c r="J82" i="5"/>
  <c r="J83" i="5"/>
  <c r="L83" i="5" s="1"/>
  <c r="J84" i="5"/>
  <c r="L84" i="5" s="1"/>
  <c r="J85" i="5"/>
  <c r="L85" i="5" s="1"/>
  <c r="J86" i="5"/>
  <c r="J87" i="5"/>
  <c r="L87" i="5" s="1"/>
  <c r="J88" i="5"/>
  <c r="J89" i="5"/>
  <c r="J90" i="5"/>
  <c r="J91" i="5"/>
  <c r="J92" i="5"/>
  <c r="J93" i="5"/>
  <c r="J94" i="5"/>
  <c r="J95" i="5"/>
  <c r="J96" i="5"/>
  <c r="J97" i="5"/>
  <c r="L97" i="5" s="1"/>
  <c r="J98" i="5"/>
  <c r="J99" i="5"/>
  <c r="J100" i="5"/>
  <c r="J101" i="5"/>
  <c r="J102" i="5"/>
  <c r="J103" i="5"/>
  <c r="L103" i="5" s="1"/>
  <c r="J104" i="5"/>
  <c r="L104" i="5" s="1"/>
  <c r="J105" i="5"/>
  <c r="L105" i="5" s="1"/>
  <c r="J106" i="5"/>
  <c r="J107" i="5"/>
  <c r="J108" i="5"/>
  <c r="J109" i="5"/>
  <c r="J110" i="5"/>
  <c r="J111" i="5"/>
  <c r="J112" i="5"/>
  <c r="L112" i="5" s="1"/>
  <c r="J113" i="5"/>
  <c r="J114" i="5"/>
  <c r="L114" i="5" s="1"/>
  <c r="J115" i="5"/>
  <c r="L115" i="5" s="1"/>
  <c r="J116" i="5"/>
  <c r="J117" i="5"/>
  <c r="J118" i="5"/>
  <c r="J119" i="5"/>
  <c r="J120" i="5"/>
  <c r="L120" i="5" s="1"/>
  <c r="J121" i="5"/>
  <c r="J122" i="5"/>
  <c r="L122" i="5" s="1"/>
  <c r="J123" i="5"/>
  <c r="J124" i="5"/>
  <c r="L124" i="5" s="1"/>
  <c r="J125" i="5"/>
  <c r="J126" i="5"/>
  <c r="L12" i="6"/>
  <c r="L13" i="6"/>
  <c r="L14" i="6"/>
  <c r="L15" i="6"/>
  <c r="L16" i="6"/>
  <c r="L17" i="6"/>
  <c r="L29" i="6"/>
  <c r="L31" i="6"/>
  <c r="L32" i="6"/>
  <c r="L34" i="6"/>
  <c r="L36" i="6"/>
  <c r="L38" i="6"/>
  <c r="L45" i="6"/>
  <c r="L46" i="6"/>
  <c r="L48" i="6"/>
  <c r="L49" i="6"/>
  <c r="L52" i="6"/>
  <c r="L54" i="6"/>
  <c r="L58" i="6"/>
  <c r="L66" i="6"/>
  <c r="J3" i="6"/>
  <c r="L3" i="6" s="1"/>
  <c r="J4" i="6"/>
  <c r="L4" i="6" s="1"/>
  <c r="J5" i="6"/>
  <c r="L5" i="6" s="1"/>
  <c r="J6" i="6"/>
  <c r="L6" i="6" s="1"/>
  <c r="J7" i="6"/>
  <c r="L7" i="6" s="1"/>
  <c r="J8" i="6"/>
  <c r="L8" i="6" s="1"/>
  <c r="J9" i="6"/>
  <c r="L9" i="6" s="1"/>
  <c r="J10" i="6"/>
  <c r="L10" i="6" s="1"/>
  <c r="J11" i="6"/>
  <c r="L11" i="6" s="1"/>
  <c r="J12" i="6"/>
  <c r="J13" i="6"/>
  <c r="J14" i="6"/>
  <c r="J15" i="6"/>
  <c r="J16" i="6"/>
  <c r="J17" i="6"/>
  <c r="J18" i="6"/>
  <c r="L18" i="6" s="1"/>
  <c r="J19" i="6"/>
  <c r="L19" i="6" s="1"/>
  <c r="J20" i="6"/>
  <c r="L20" i="6" s="1"/>
  <c r="J21" i="6"/>
  <c r="L21" i="6" s="1"/>
  <c r="J22" i="6"/>
  <c r="L22" i="6" s="1"/>
  <c r="J23" i="6"/>
  <c r="L23" i="6" s="1"/>
  <c r="J24" i="6"/>
  <c r="L24" i="6" s="1"/>
  <c r="J25" i="6"/>
  <c r="L25" i="6" s="1"/>
  <c r="J26" i="6"/>
  <c r="L26" i="6" s="1"/>
  <c r="J27" i="6"/>
  <c r="L27" i="6" s="1"/>
  <c r="J28" i="6"/>
  <c r="L28" i="6" s="1"/>
  <c r="J29" i="6"/>
  <c r="J30" i="6"/>
  <c r="L30" i="6" s="1"/>
  <c r="J31" i="6"/>
  <c r="J32" i="6"/>
  <c r="J33" i="6"/>
  <c r="L33" i="6" s="1"/>
  <c r="J34" i="6"/>
  <c r="J35" i="6"/>
  <c r="L35" i="6" s="1"/>
  <c r="J36" i="6"/>
  <c r="J37" i="6"/>
  <c r="L37" i="6" s="1"/>
  <c r="J38" i="6"/>
  <c r="J39" i="6"/>
  <c r="L39" i="6" s="1"/>
  <c r="J40" i="6"/>
  <c r="L40" i="6" s="1"/>
  <c r="J41" i="6"/>
  <c r="L41" i="6" s="1"/>
  <c r="J42" i="6"/>
  <c r="L42" i="6" s="1"/>
  <c r="J43" i="6"/>
  <c r="L43" i="6" s="1"/>
  <c r="J44" i="6"/>
  <c r="L44" i="6" s="1"/>
  <c r="J45" i="6"/>
  <c r="J46" i="6"/>
  <c r="J47" i="6"/>
  <c r="L47" i="6" s="1"/>
  <c r="J48" i="6"/>
  <c r="J49" i="6"/>
  <c r="J50" i="6"/>
  <c r="L50" i="6" s="1"/>
  <c r="J51" i="6"/>
  <c r="L51" i="6" s="1"/>
  <c r="J52" i="6"/>
  <c r="J53" i="6"/>
  <c r="L53" i="6" s="1"/>
  <c r="J54" i="6"/>
  <c r="J55" i="6"/>
  <c r="L55" i="6" s="1"/>
  <c r="J56" i="6"/>
  <c r="L56" i="6" s="1"/>
  <c r="J57" i="6"/>
  <c r="L57" i="6" s="1"/>
  <c r="J58" i="6"/>
  <c r="J59" i="6"/>
  <c r="L59" i="6" s="1"/>
  <c r="J60" i="6"/>
  <c r="L60" i="6" s="1"/>
  <c r="J62" i="6"/>
  <c r="L62" i="6" s="1"/>
  <c r="J63" i="6"/>
  <c r="L63" i="6" s="1"/>
  <c r="J64" i="6"/>
  <c r="L64" i="6" s="1"/>
  <c r="J65" i="6"/>
  <c r="L65" i="6" s="1"/>
  <c r="J66" i="6"/>
  <c r="J67" i="6"/>
  <c r="L67" i="6" s="1"/>
  <c r="J68" i="6"/>
  <c r="L68" i="6" s="1"/>
  <c r="J69" i="6"/>
  <c r="L69" i="6" s="1"/>
  <c r="L24" i="7"/>
  <c r="L40" i="7"/>
  <c r="J3" i="7"/>
  <c r="L3" i="7" s="1"/>
  <c r="J4" i="7"/>
  <c r="L4" i="7" s="1"/>
  <c r="J5" i="7"/>
  <c r="L5" i="7" s="1"/>
  <c r="J6" i="7"/>
  <c r="L6" i="7" s="1"/>
  <c r="J7" i="7"/>
  <c r="L7" i="7" s="1"/>
  <c r="J8" i="7"/>
  <c r="L8" i="7" s="1"/>
  <c r="J9" i="7"/>
  <c r="L9" i="7" s="1"/>
  <c r="J10" i="7"/>
  <c r="L10" i="7" s="1"/>
  <c r="J11" i="7"/>
  <c r="L11" i="7" s="1"/>
  <c r="J12" i="7"/>
  <c r="L12" i="7" s="1"/>
  <c r="J13" i="7"/>
  <c r="L13" i="7" s="1"/>
  <c r="J14" i="7"/>
  <c r="L14" i="7" s="1"/>
  <c r="J15" i="7"/>
  <c r="L15" i="7" s="1"/>
  <c r="J16" i="7"/>
  <c r="L16" i="7" s="1"/>
  <c r="J17" i="7"/>
  <c r="L17" i="7" s="1"/>
  <c r="J18" i="7"/>
  <c r="L18" i="7" s="1"/>
  <c r="J19" i="7"/>
  <c r="L19" i="7" s="1"/>
  <c r="J20" i="7"/>
  <c r="L20" i="7" s="1"/>
  <c r="J21" i="7"/>
  <c r="L21" i="7" s="1"/>
  <c r="J23" i="7"/>
  <c r="L23" i="7" s="1"/>
  <c r="J24" i="7"/>
  <c r="J25" i="7"/>
  <c r="L25" i="7" s="1"/>
  <c r="J26" i="7"/>
  <c r="L26" i="7" s="1"/>
  <c r="J27" i="7"/>
  <c r="L27" i="7" s="1"/>
  <c r="J28" i="7"/>
  <c r="L28" i="7" s="1"/>
  <c r="J29" i="7"/>
  <c r="L29" i="7" s="1"/>
  <c r="J30" i="7"/>
  <c r="L30" i="7" s="1"/>
  <c r="J31" i="7"/>
  <c r="L31" i="7" s="1"/>
  <c r="J32" i="7"/>
  <c r="L32" i="7" s="1"/>
  <c r="J33" i="7"/>
  <c r="L33" i="7" s="1"/>
  <c r="J34" i="7"/>
  <c r="L34" i="7" s="1"/>
  <c r="J35" i="7"/>
  <c r="L35" i="7" s="1"/>
  <c r="J36" i="7"/>
  <c r="L36" i="7" s="1"/>
  <c r="J37" i="7"/>
  <c r="L37" i="7" s="1"/>
  <c r="J38" i="7"/>
  <c r="L38" i="7" s="1"/>
  <c r="J39" i="7"/>
  <c r="L39" i="7" s="1"/>
  <c r="J40" i="7"/>
  <c r="J41" i="7"/>
  <c r="L41" i="7" s="1"/>
  <c r="J42" i="7"/>
  <c r="L42" i="7" s="1"/>
  <c r="J43" i="7"/>
  <c r="L43" i="7" s="1"/>
  <c r="J44" i="7"/>
  <c r="L44" i="7" s="1"/>
  <c r="J45" i="7"/>
  <c r="L45" i="7" s="1"/>
  <c r="J46" i="7"/>
  <c r="L46" i="7" s="1"/>
  <c r="J47" i="7"/>
  <c r="L47" i="7" s="1"/>
  <c r="J48" i="7"/>
  <c r="L48" i="7" s="1"/>
  <c r="J49" i="7"/>
  <c r="L49" i="7" s="1"/>
  <c r="J50" i="7"/>
  <c r="L50" i="7" s="1"/>
  <c r="J51" i="7"/>
  <c r="L51" i="7" s="1"/>
  <c r="J53" i="7"/>
  <c r="L53" i="7" s="1"/>
  <c r="J54" i="7"/>
  <c r="L54" i="7" s="1"/>
  <c r="J55" i="7"/>
  <c r="L55" i="7" s="1"/>
  <c r="J56" i="7"/>
  <c r="L56" i="7" s="1"/>
  <c r="J57" i="7"/>
  <c r="L57" i="7" s="1"/>
  <c r="J58" i="7"/>
  <c r="L58" i="7" s="1"/>
  <c r="J59" i="7"/>
  <c r="L59" i="7" s="1"/>
  <c r="J60" i="7"/>
  <c r="L60" i="7" s="1"/>
  <c r="J61" i="7"/>
  <c r="L61" i="7" s="1"/>
  <c r="J62" i="7"/>
  <c r="L62" i="7" s="1"/>
  <c r="J64" i="7"/>
  <c r="L64" i="7" s="1"/>
  <c r="J65" i="7"/>
  <c r="L65" i="7" s="1"/>
  <c r="J66" i="7"/>
  <c r="L66" i="7" s="1"/>
  <c r="J67" i="7"/>
  <c r="L67" i="7" s="1"/>
  <c r="J68" i="7"/>
  <c r="L68" i="7" s="1"/>
  <c r="J69" i="7"/>
  <c r="L69" i="7" s="1"/>
  <c r="J70" i="7"/>
  <c r="L70" i="7" s="1"/>
  <c r="J71" i="7"/>
  <c r="L71" i="7" s="1"/>
  <c r="L3" i="8"/>
  <c r="L4" i="8"/>
  <c r="L5" i="8"/>
  <c r="L6" i="8"/>
  <c r="L7" i="8"/>
  <c r="L8" i="8"/>
  <c r="L10" i="8"/>
  <c r="L12" i="8"/>
  <c r="L13" i="8"/>
  <c r="L14" i="8"/>
  <c r="L15" i="8"/>
  <c r="L16" i="8"/>
  <c r="L17" i="8"/>
  <c r="L18" i="8"/>
  <c r="L20" i="8"/>
  <c r="L21" i="8"/>
  <c r="L22" i="8"/>
  <c r="L23" i="8"/>
  <c r="L24" i="8"/>
  <c r="L25" i="8"/>
  <c r="L27" i="8"/>
  <c r="L28" i="8"/>
  <c r="L30" i="8"/>
  <c r="L31" i="8"/>
  <c r="L32" i="8"/>
  <c r="L34" i="8"/>
  <c r="L35" i="8"/>
  <c r="L37" i="8"/>
  <c r="L39" i="8"/>
  <c r="L40" i="8"/>
  <c r="L41" i="8"/>
  <c r="L42" i="8"/>
  <c r="L43" i="8"/>
  <c r="L47" i="8"/>
  <c r="L48" i="8"/>
  <c r="L50" i="8"/>
  <c r="L52" i="8"/>
  <c r="L53" i="8"/>
  <c r="L55" i="8"/>
  <c r="L59" i="8"/>
  <c r="L60" i="8"/>
  <c r="L61" i="8"/>
  <c r="L62" i="8"/>
  <c r="L64" i="8"/>
  <c r="L66" i="8"/>
  <c r="L67" i="8"/>
  <c r="L68" i="8"/>
  <c r="L69" i="8"/>
  <c r="L70" i="8"/>
  <c r="J3" i="8"/>
  <c r="J4" i="8"/>
  <c r="J5" i="8"/>
  <c r="J6" i="8"/>
  <c r="J7" i="8"/>
  <c r="J8" i="8"/>
  <c r="J9" i="8"/>
  <c r="L9" i="8" s="1"/>
  <c r="J10" i="8"/>
  <c r="J11" i="8"/>
  <c r="L11" i="8" s="1"/>
  <c r="J12" i="8"/>
  <c r="J13" i="8"/>
  <c r="J14" i="8"/>
  <c r="J15" i="8"/>
  <c r="J16" i="8"/>
  <c r="J17" i="8"/>
  <c r="J18" i="8"/>
  <c r="J19" i="8"/>
  <c r="L19" i="8" s="1"/>
  <c r="J20" i="8"/>
  <c r="J21" i="8"/>
  <c r="J22" i="8"/>
  <c r="J23" i="8"/>
  <c r="J24" i="8"/>
  <c r="J25" i="8"/>
  <c r="J26" i="8"/>
  <c r="L26" i="8" s="1"/>
  <c r="J27" i="8"/>
  <c r="J28" i="8"/>
  <c r="J29" i="8"/>
  <c r="L29" i="8" s="1"/>
  <c r="J30" i="8"/>
  <c r="J31" i="8"/>
  <c r="J32" i="8"/>
  <c r="J33" i="8"/>
  <c r="L33" i="8" s="1"/>
  <c r="J34" i="8"/>
  <c r="J35" i="8"/>
  <c r="J36" i="8"/>
  <c r="L36" i="8" s="1"/>
  <c r="J37" i="8"/>
  <c r="J38" i="8"/>
  <c r="L38" i="8" s="1"/>
  <c r="J39" i="8"/>
  <c r="J40" i="8"/>
  <c r="J41" i="8"/>
  <c r="J42" i="8"/>
  <c r="J43" i="8"/>
  <c r="J44" i="8"/>
  <c r="L44" i="8" s="1"/>
  <c r="J45" i="8"/>
  <c r="L45" i="8" s="1"/>
  <c r="J46" i="8"/>
  <c r="L46" i="8" s="1"/>
  <c r="J47" i="8"/>
  <c r="J48" i="8"/>
  <c r="J49" i="8"/>
  <c r="L49" i="8" s="1"/>
  <c r="J50" i="8"/>
  <c r="J51" i="8"/>
  <c r="L51" i="8" s="1"/>
  <c r="J52" i="8"/>
  <c r="J53" i="8"/>
  <c r="J54" i="8"/>
  <c r="L54" i="8" s="1"/>
  <c r="J55" i="8"/>
  <c r="J56" i="8"/>
  <c r="L56" i="8" s="1"/>
  <c r="J57" i="8"/>
  <c r="L57" i="8" s="1"/>
  <c r="J58" i="8"/>
  <c r="L58" i="8" s="1"/>
  <c r="J59" i="8"/>
  <c r="J60" i="8"/>
  <c r="J61" i="8"/>
  <c r="J62" i="8"/>
  <c r="J63" i="8"/>
  <c r="L63" i="8" s="1"/>
  <c r="J64" i="8"/>
  <c r="J65" i="8"/>
  <c r="L65" i="8" s="1"/>
  <c r="J66" i="8"/>
  <c r="J67" i="8"/>
  <c r="J68" i="8"/>
  <c r="J69" i="8"/>
  <c r="J70" i="8"/>
  <c r="J70" i="10"/>
  <c r="L70" i="10" s="1"/>
  <c r="J69" i="10"/>
  <c r="L69" i="10" s="1"/>
  <c r="J68" i="10"/>
  <c r="L68" i="10" s="1"/>
  <c r="J67" i="10"/>
  <c r="L67" i="10" s="1"/>
  <c r="J66" i="10"/>
  <c r="L66" i="10" s="1"/>
  <c r="J65" i="10"/>
  <c r="L65" i="10" s="1"/>
  <c r="J64" i="10"/>
  <c r="L64" i="10" s="1"/>
  <c r="J63" i="10"/>
  <c r="L63" i="10" s="1"/>
  <c r="J62" i="10"/>
  <c r="L62" i="10" s="1"/>
  <c r="J61" i="10"/>
  <c r="L61" i="10" s="1"/>
  <c r="J60" i="10"/>
  <c r="L60" i="10" s="1"/>
  <c r="J59" i="10"/>
  <c r="L59" i="10" s="1"/>
  <c r="J58" i="10"/>
  <c r="L58" i="10" s="1"/>
  <c r="J57" i="10"/>
  <c r="L57" i="10" s="1"/>
  <c r="J56" i="10"/>
  <c r="L56" i="10" s="1"/>
  <c r="J55" i="10"/>
  <c r="L55" i="10" s="1"/>
  <c r="J54" i="10"/>
  <c r="L54" i="10" s="1"/>
  <c r="J53" i="10"/>
  <c r="L53" i="10" s="1"/>
  <c r="J52" i="10"/>
  <c r="L52" i="10" s="1"/>
  <c r="L51" i="10"/>
  <c r="J51" i="10"/>
  <c r="J50" i="10"/>
  <c r="L50" i="10" s="1"/>
  <c r="J49" i="10"/>
  <c r="L49" i="10" s="1"/>
  <c r="J48" i="10"/>
  <c r="L48" i="10" s="1"/>
  <c r="J47" i="10"/>
  <c r="L47" i="10" s="1"/>
  <c r="J46" i="10"/>
  <c r="L46" i="10" s="1"/>
  <c r="J45" i="10"/>
  <c r="L45" i="10" s="1"/>
  <c r="J44" i="10"/>
  <c r="L44" i="10" s="1"/>
  <c r="J43" i="10"/>
  <c r="L43" i="10" s="1"/>
  <c r="J42" i="10"/>
  <c r="L42" i="10" s="1"/>
  <c r="J41" i="10"/>
  <c r="L41" i="10" s="1"/>
  <c r="J40" i="10"/>
  <c r="L40" i="10" s="1"/>
  <c r="J39" i="10"/>
  <c r="L39" i="10" s="1"/>
  <c r="J38" i="10"/>
  <c r="L38" i="10" s="1"/>
  <c r="J37" i="10"/>
  <c r="L37" i="10" s="1"/>
  <c r="J36" i="10"/>
  <c r="L36" i="10" s="1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J28" i="10"/>
  <c r="L28" i="10" s="1"/>
  <c r="J27" i="10"/>
  <c r="L27" i="10" s="1"/>
  <c r="J26" i="10"/>
  <c r="L26" i="10" s="1"/>
  <c r="J25" i="10"/>
  <c r="L25" i="10" s="1"/>
  <c r="J24" i="10"/>
  <c r="L24" i="10" s="1"/>
  <c r="J23" i="10"/>
  <c r="L23" i="10" s="1"/>
  <c r="J22" i="10"/>
  <c r="L22" i="10" s="1"/>
  <c r="J21" i="10"/>
  <c r="L21" i="10" s="1"/>
  <c r="J20" i="10"/>
  <c r="L20" i="10" s="1"/>
  <c r="L19" i="10"/>
  <c r="J19" i="10"/>
  <c r="J18" i="10"/>
  <c r="L18" i="10" s="1"/>
  <c r="J17" i="10"/>
  <c r="L17" i="10" s="1"/>
  <c r="J16" i="10"/>
  <c r="L16" i="10" s="1"/>
  <c r="J15" i="10"/>
  <c r="L15" i="10" s="1"/>
  <c r="J14" i="10"/>
  <c r="L14" i="10" s="1"/>
  <c r="J13" i="10"/>
  <c r="L13" i="10" s="1"/>
  <c r="J12" i="10"/>
  <c r="L12" i="10" s="1"/>
  <c r="J11" i="10"/>
  <c r="L11" i="10" s="1"/>
  <c r="J10" i="10"/>
  <c r="L10" i="10" s="1"/>
  <c r="J9" i="10"/>
  <c r="L9" i="10" s="1"/>
  <c r="J8" i="10"/>
  <c r="L8" i="10" s="1"/>
  <c r="J7" i="10"/>
  <c r="L7" i="10" s="1"/>
  <c r="J6" i="10"/>
  <c r="L6" i="10" s="1"/>
  <c r="J5" i="10"/>
  <c r="L5" i="10" s="1"/>
  <c r="J4" i="10"/>
  <c r="L4" i="10" s="1"/>
  <c r="J3" i="10"/>
  <c r="L3" i="10" s="1"/>
  <c r="J2" i="10"/>
  <c r="L2" i="10" s="1"/>
  <c r="D24" i="1" l="1"/>
  <c r="D23" i="1"/>
  <c r="J2" i="8"/>
  <c r="L2" i="8" s="1"/>
  <c r="J2" i="7"/>
  <c r="L2" i="7" s="1"/>
  <c r="D14" i="1"/>
  <c r="J2" i="6"/>
  <c r="L2" i="6" s="1"/>
  <c r="D31" i="1"/>
  <c r="J2" i="5"/>
  <c r="L2" i="5" s="1"/>
  <c r="D29" i="1"/>
  <c r="D27" i="1"/>
  <c r="J2" i="4"/>
  <c r="L2" i="4" s="1"/>
  <c r="D25" i="1"/>
  <c r="D22" i="1"/>
  <c r="J2" i="3"/>
  <c r="L2" i="3" s="1"/>
  <c r="D30" i="1"/>
  <c r="D28" i="1"/>
  <c r="D21" i="1"/>
  <c r="J2" i="2"/>
  <c r="L2" i="2" s="1"/>
  <c r="D20" i="1" l="1"/>
  <c r="D19" i="1"/>
  <c r="D12" i="1"/>
  <c r="D5" i="1"/>
  <c r="D2" i="1"/>
  <c r="D4" i="1"/>
  <c r="D15" i="1"/>
  <c r="D3" i="1"/>
  <c r="D8" i="1"/>
  <c r="D11" i="1"/>
  <c r="D16" i="1"/>
  <c r="D17" i="1"/>
  <c r="D18" i="1"/>
  <c r="D13" i="1"/>
  <c r="D26" i="1"/>
  <c r="D6" i="1"/>
  <c r="D7" i="1"/>
  <c r="D9" i="1"/>
  <c r="D10" i="1"/>
</calcChain>
</file>

<file path=xl/sharedStrings.xml><?xml version="1.0" encoding="utf-8"?>
<sst xmlns="http://schemas.openxmlformats.org/spreadsheetml/2006/main" count="2380" uniqueCount="138">
  <si>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</si>
  <si>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</si>
  <si>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</si>
  <si>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</si>
  <si>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</si>
  <si>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</si>
  <si>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</si>
  <si>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</si>
  <si>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</si>
  <si>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</si>
  <si>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</si>
  <si>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</si>
  <si>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</si>
  <si>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</si>
  <si>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</si>
  <si>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</si>
  <si>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</si>
  <si>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</si>
  <si>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</si>
  <si>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</si>
  <si>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</si>
  <si>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</si>
  <si>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</si>
  <si>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</si>
  <si>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</si>
  <si>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</si>
  <si>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</si>
  <si>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</si>
  <si>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</si>
  <si>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</si>
  <si>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</si>
  <si>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</si>
  <si>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</si>
  <si>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</si>
  <si>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</si>
  <si>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</si>
  <si>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Fustic</t>
  </si>
  <si>
    <t>Cocoa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</si>
  <si>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</si>
  <si>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</si>
  <si>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</si>
  <si>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</si>
  <si>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</si>
  <si>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</si>
  <si>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</si>
  <si>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</si>
  <si>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</si>
  <si>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</si>
  <si>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</si>
  <si>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</si>
  <si>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</si>
  <si>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</si>
  <si>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</si>
  <si>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</si>
  <si>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</si>
  <si>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</si>
  <si>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</si>
  <si>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</si>
  <si>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</si>
  <si>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</si>
  <si>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</si>
  <si>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</si>
  <si>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</si>
  <si>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</si>
  <si>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</si>
  <si>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</si>
  <si>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</si>
  <si>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</si>
  <si>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</si>
  <si>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</si>
  <si>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</si>
  <si>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</si>
  <si>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Sarsparila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</si>
  <si>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</si>
  <si>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</si>
  <si>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</si>
  <si>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</si>
  <si>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</si>
  <si>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</si>
  <si>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</si>
  <si>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</si>
  <si>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</si>
  <si>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</si>
  <si>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Gum Guiacum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</si>
  <si>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</si>
  <si>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</si>
  <si>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</si>
  <si>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</si>
  <si>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</si>
  <si>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</si>
  <si>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</si>
  <si>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</si>
  <si>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</si>
  <si>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</si>
  <si>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Train Oyl</t>
  </si>
  <si>
    <t>Turpentine</t>
  </si>
  <si>
    <t>Wood, Cam</t>
  </si>
  <si>
    <t>Barbados T…</t>
  </si>
  <si>
    <t>Old Pewter</t>
  </si>
  <si>
    <t>Copper Ore</t>
  </si>
  <si>
    <t>Port</t>
  </si>
  <si>
    <t>Tortola</t>
  </si>
  <si>
    <t>Tamarinds</t>
  </si>
  <si>
    <t>Cascarilla</t>
  </si>
  <si>
    <t>Hypococania</t>
  </si>
  <si>
    <t>Wood, Cocus</t>
  </si>
  <si>
    <t>8t 4g</t>
  </si>
  <si>
    <t>1562g</t>
  </si>
  <si>
    <t>32t 2h 54g</t>
  </si>
  <si>
    <t>2608g</t>
  </si>
  <si>
    <t>6627g</t>
  </si>
  <si>
    <t>1bag + 224lb</t>
  </si>
  <si>
    <t>13t 1h 57g</t>
  </si>
  <si>
    <t>3761g</t>
  </si>
  <si>
    <t>2426g</t>
  </si>
  <si>
    <t>Wood, Cocoa</t>
  </si>
  <si>
    <t>41g</t>
  </si>
  <si>
    <t>39g</t>
  </si>
  <si>
    <t>Gum Guiaci</t>
  </si>
  <si>
    <t>2t 1h 31g</t>
  </si>
  <si>
    <t>80g</t>
  </si>
  <si>
    <t>1h 1g</t>
  </si>
  <si>
    <t>211.5g</t>
  </si>
  <si>
    <t>2g</t>
  </si>
  <si>
    <t>1t 36g</t>
  </si>
  <si>
    <t>754.75g</t>
  </si>
  <si>
    <t>2h 23g</t>
  </si>
  <si>
    <t>1112g</t>
  </si>
  <si>
    <t>1177.5g</t>
  </si>
  <si>
    <t>1t 3h 47.75g</t>
  </si>
  <si>
    <t>3380g</t>
  </si>
  <si>
    <t>2571.5g</t>
  </si>
  <si>
    <t>9g</t>
  </si>
  <si>
    <t>1h 54g</t>
  </si>
  <si>
    <t>60g</t>
  </si>
  <si>
    <t>259g</t>
  </si>
  <si>
    <t>204g</t>
  </si>
  <si>
    <t>WestIndiesGeneral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</si>
</sst>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B3" sqref="B3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 + SUMIFS(WestIndiesGeneral!$L:$L, WestIndiesGeneral!$B:$B, $A2, WestIndiesGeneral!$D:$D, "London")</f>
        <v>4.4642857142857144E-2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SUMIFS(WestIndiesGeneral!$L:$L, WestIndiesGeneral!$B:$B, $A2, WestIndiesGeneral!$D:$D, "Out Ports")</f>
        <v>2.6785714285714286E-3</v>
      </c>
      <c r="D2">
        <f>B2+C2</f>
        <v>4.732142857142857E-2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 + SUMIFS(WestIndiesGeneral!$L:$L, WestIndiesGeneral!$B:$B, $A3, WestIndiesGeneral!$D:$D, "London")</f>
        <v>1.2500000000000001E-2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SUMIFS(WestIndiesGeneral!$L:$L, WestIndiesGeneral!$B:$B, $A3, WestIndiesGeneral!$D:$D, "Out Ports")</f>
        <v>0.31562499999999999</v>
      </c>
      <c r="D3">
        <f t="shared" ref="D3:D31" si="0">B3+C3</f>
        <v>0.328125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 + SUMIFS(WestIndiesGeneral!$L:$L, WestIndiesGeneral!$B:$B, $A4, WestIndiesGeneral!$D:$D, "London")</f>
        <v>18920.246875000001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SUMIFS(WestIndiesGeneral!$L:$L, WestIndiesGeneral!$B:$B, $A4, WestIndiesGeneral!$D:$D, "Out Ports")</f>
        <v>6487.3450892857136</v>
      </c>
      <c r="D4">
        <f t="shared" si="0"/>
        <v>25407.591964285715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 + SUMIFS(WestIndiesGeneral!$L:$L, WestIndiesGeneral!$B:$B, $A5, WestIndiesGeneral!$D:$D, "London")</f>
        <v>3.3482142857142856E-2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SUMIFS(WestIndiesGeneral!$L:$L, WestIndiesGeneral!$B:$B, $A5, WestIndiesGeneral!$D:$D, "Out Ports")</f>
        <v>6.6964285714285711E-3</v>
      </c>
      <c r="D5">
        <f t="shared" si="0"/>
        <v>4.0178571428571425E-2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 + SUMIFS(WestIndiesGeneral!$L:$L, WestIndiesGeneral!$B:$B, $A6, WestIndiesGeneral!$D:$D, "London")</f>
        <v>12.489285714285714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SUMIFS(WestIndiesGeneral!$L:$L, WestIndiesGeneral!$B:$B, $A6, WestIndiesGeneral!$D:$D, "Out Ports")</f>
        <v>1.5620535714285715</v>
      </c>
      <c r="D6">
        <f t="shared" si="0"/>
        <v>14.051339285714285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 + SUMIFS(WestIndiesGeneral!$L:$L, WestIndiesGeneral!$B:$B, $A7, WestIndiesGeneral!$D:$D, "London")</f>
        <v>381.0683035714286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SUMIFS(WestIndiesGeneral!$L:$L, WestIndiesGeneral!$B:$B, $A7, WestIndiesGeneral!$D:$D, "Out Ports")</f>
        <v>364.43883928571432</v>
      </c>
      <c r="D7">
        <f t="shared" si="0"/>
        <v>745.50714285714298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 + SUMIFS(WestIndiesGeneral!$L:$L, WestIndiesGeneral!$B:$B, $A8, WestIndiesGeneral!$D:$D, "London")</f>
        <v>304.56517857142853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SUMIFS(WestIndiesGeneral!$L:$L, WestIndiesGeneral!$B:$B, $A8, WestIndiesGeneral!$D:$D, "Out Ports")</f>
        <v>68.22901785714285</v>
      </c>
      <c r="D8">
        <f t="shared" si="0"/>
        <v>372.79419642857135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 + SUMIFS(WestIndiesGeneral!$L:$L, WestIndiesGeneral!$B:$B, $A9, WestIndiesGeneral!$D:$D, "London")</f>
        <v>27.702678571428574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SUMIFS(WestIndiesGeneral!$L:$L, WestIndiesGeneral!$B:$B, $A9, WestIndiesGeneral!$D:$D, "Out Ports")</f>
        <v>28.172767857142855</v>
      </c>
      <c r="D9">
        <f t="shared" si="0"/>
        <v>55.875446428571429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 + SUMIFS(WestIndiesGeneral!$L:$L, WestIndiesGeneral!$B:$B, $A10, WestIndiesGeneral!$D:$D, "London")</f>
        <v>63.317857142857136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SUMIFS(WestIndiesGeneral!$L:$L, WestIndiesGeneral!$B:$B, $A10, WestIndiesGeneral!$D:$D, "Out Ports")</f>
        <v>18.597767857142859</v>
      </c>
      <c r="D10">
        <f t="shared" si="0"/>
        <v>81.915624999999991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 + SUMIFS(WestIndiesGeneral!$L:$L, WestIndiesGeneral!$B:$B, $A11, WestIndiesGeneral!$D:$D, "London")</f>
        <v>48.482589285714283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SUMIFS(WestIndiesGeneral!$L:$L, WestIndiesGeneral!$B:$B, $A11, WestIndiesGeneral!$D:$D, "Out Ports")</f>
        <v>15.816071428571428</v>
      </c>
      <c r="D11">
        <f t="shared" si="0"/>
        <v>64.298660714285717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 + SUMIFS(WestIndiesGeneral!$L:$L, WestIndiesGeneral!$B:$B, $A12, WestIndiesGeneral!$D:$D, "London")</f>
        <v>28.623214285714287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SUMIFS(WestIndiesGeneral!$L:$L, WestIndiesGeneral!$B:$B, $A12, WestIndiesGeneral!$D:$D, "Out Ports")</f>
        <v>20.326562500000001</v>
      </c>
      <c r="D12">
        <f t="shared" si="0"/>
        <v>48.949776785714292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 + SUMIFS(WestIndiesGeneral!$L:$L, WestIndiesGeneral!$B:$B, $A13, WestIndiesGeneral!$D:$D, "London")</f>
        <v>106.10624999999999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SUMIFS(WestIndiesGeneral!$L:$L, WestIndiesGeneral!$B:$B, $A13, WestIndiesGeneral!$D:$D, "Out Ports")</f>
        <v>34.618303571428569</v>
      </c>
      <c r="D13">
        <f t="shared" si="0"/>
        <v>140.72455357142854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 + SUMIFS(WestIndiesGeneral!$L:$L, WestIndiesGeneral!$B:$B, $A14, WestIndiesGeneral!$D:$D, "London")</f>
        <v>95.345982142857153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SUMIFS(WestIndiesGeneral!$L:$L, WestIndiesGeneral!$B:$B, $A14, WestIndiesGeneral!$D:$D, "Out Ports")</f>
        <v>32.108482142857142</v>
      </c>
      <c r="D14">
        <f t="shared" si="0"/>
        <v>127.45446428571429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 + SUMIFS(WestIndiesGeneral!$L:$L, WestIndiesGeneral!$B:$B, $A15, WestIndiesGeneral!$D:$D, "London")</f>
        <v>18.940625000000001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SUMIFS(WestIndiesGeneral!$L:$L, WestIndiesGeneral!$B:$B, $A15, WestIndiesGeneral!$D:$D, "Out Ports")</f>
        <v>15.855803571428574</v>
      </c>
      <c r="D15">
        <f t="shared" si="0"/>
        <v>34.796428571428578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 + SUMIFS(WestIndiesGeneral!$L:$L, WestIndiesGeneral!$B:$B, $A16, WestIndiesGeneral!$D:$D, "London")</f>
        <v>48.885044642857139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SUMIFS(WestIndiesGeneral!$L:$L, WestIndiesGeneral!$B:$B, $A16, WestIndiesGeneral!$D:$D, "Out Ports")</f>
        <v>22.178571428571431</v>
      </c>
      <c r="D16">
        <f t="shared" si="0"/>
        <v>71.063616071428569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 + SUMIFS(WestIndiesGeneral!$L:$L, WestIndiesGeneral!$B:$B, $A17, WestIndiesGeneral!$D:$D, "London")</f>
        <v>5.5477678571428575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SUMIFS(WestIndiesGeneral!$L:$L, WestIndiesGeneral!$B:$B, $A17, WestIndiesGeneral!$D:$D, "Out Ports")</f>
        <v>1.153125</v>
      </c>
      <c r="D17">
        <f t="shared" si="0"/>
        <v>6.7008928571428577</v>
      </c>
    </row>
    <row r="18" spans="1:4" x14ac:dyDescent="0.25">
      <c r="A18" t="s">
        <v>56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 + SUMIFS(WestIndiesGeneral!$L:$L, WestIndiesGeneral!$B:$B, $A18, WestIndiesGeneral!$D:$D, "London")</f>
        <v>1.3553571428571427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SUMIFS(WestIndiesGeneral!$L:$L, WestIndiesGeneral!$B:$B, $A18, WestIndiesGeneral!$D:$D, "Out Ports")</f>
        <v>0.32633928571428572</v>
      </c>
      <c r="D18">
        <f t="shared" si="0"/>
        <v>1.6816964285714284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 + SUMIFS(WestIndiesGeneral!$L:$L, WestIndiesGeneral!$B:$B, $A19, WestIndiesGeneral!$D:$D, "London")</f>
        <v>0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SUMIFS(WestIndiesGeneral!$L:$L, WestIndiesGeneral!$B:$B, $A19, WestIndiesGeneral!$D:$D, "Out Ports")</f>
        <v>0</v>
      </c>
      <c r="D19">
        <f t="shared" si="0"/>
        <v>0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 + SUMIFS(WestIndiesGeneral!$L:$L, WestIndiesGeneral!$B:$B, $A20, WestIndiesGeneral!$D:$D, "London")</f>
        <v>1.9098214285714286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SUMIFS(WestIndiesGeneral!$L:$L, WestIndiesGeneral!$B:$B, $A20, WestIndiesGeneral!$D:$D, "Out Ports")</f>
        <v>1.078125</v>
      </c>
      <c r="D20">
        <f t="shared" si="0"/>
        <v>2.9879464285714286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 + SUMIFS(WestIndiesGeneral!$L:$L, WestIndiesGeneral!$B:$B, $A21, WestIndiesGeneral!$D:$D, "London")</f>
        <v>9.9343749999999993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SUMIFS(WestIndiesGeneral!$L:$L, WestIndiesGeneral!$B:$B, $A21, WestIndiesGeneral!$D:$D, "Out Ports")</f>
        <v>0.46026785714285717</v>
      </c>
      <c r="D21">
        <f t="shared" si="0"/>
        <v>10.394642857142857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 + SUMIFS(WestIndiesGeneral!$L:$L, WestIndiesGeneral!$B:$B, $A22, WestIndiesGeneral!$D:$D,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SUMIFS(WestIndiesGeneral!$L:$L, WestIndiesGeneral!$B:$B, $A22, WestIndiesGeneral!$D:$D, "Out Ports")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 + SUMIFS(WestIndiesGeneral!$L:$L, WestIndiesGeneral!$B:$B, $A23, WestIndiesGeneral!$D:$D,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SUMIFS(WestIndiesGeneral!$L:$L, WestIndiesGeneral!$B:$B, $A23, WestIndiesGeneral!$D:$D, "Out Ports")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 + SUMIFS(WestIndiesGeneral!$L:$L, WestIndiesGeneral!$B:$B, $A24, WestIndiesGeneral!$D:$D,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SUMIFS(WestIndiesGeneral!$L:$L, WestIndiesGeneral!$B:$B, $A24, WestIndiesGeneral!$D:$D, "Out Ports")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 + SUMIFS(WestIndiesGeneral!$L:$L, WestIndiesGeneral!$B:$B, $A25, WestIndiesGeneral!$D:$D, "London")</f>
        <v>38.544196428571432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SUMIFS(WestIndiesGeneral!$L:$L, WestIndiesGeneral!$B:$B, $A25, WestIndiesGeneral!$D:$D, "Out Ports")</f>
        <v>12.055803571428571</v>
      </c>
      <c r="D25">
        <f t="shared" si="0"/>
        <v>50.6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 + SUMIFS(WestIndiesGeneral!$L:$L, WestIndiesGeneral!$B:$B, $A26, WestIndiesGeneral!$D:$D, "London")</f>
        <v>63.953571428571429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SUMIFS(WestIndiesGeneral!$L:$L, WestIndiesGeneral!$B:$B, $A26, WestIndiesGeneral!$D:$D, "Out Ports")</f>
        <v>4.6962053571428566</v>
      </c>
      <c r="D26">
        <f t="shared" si="0"/>
        <v>68.64977678571428</v>
      </c>
    </row>
    <row r="27" spans="1:4" x14ac:dyDescent="0.25">
      <c r="A27" t="s">
        <v>63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 + SUMIFS(WestIndiesGeneral!$L:$L, WestIndiesGeneral!$B:$B, $A27, WestIndiesGeneral!$D:$D, "London")</f>
        <v>42.087500000000006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SUMIFS(WestIndiesGeneral!$L:$L, WestIndiesGeneral!$B:$B, $A27, WestIndiesGeneral!$D:$D, "Out Ports")</f>
        <v>0</v>
      </c>
      <c r="D27">
        <f t="shared" si="0"/>
        <v>42.087500000000006</v>
      </c>
    </row>
    <row r="28" spans="1:4" x14ac:dyDescent="0.25">
      <c r="A28" t="s">
        <v>64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 + SUMIFS(WestIndiesGeneral!$L:$L, WestIndiesGeneral!$B:$B, $A28, WestIndiesGeneral!$D:$D, "London")</f>
        <v>607.58080357142853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SUMIFS(WestIndiesGeneral!$L:$L, WestIndiesGeneral!$B:$B, $A28, WestIndiesGeneral!$D:$D, "Out Ports")</f>
        <v>593.47812499999998</v>
      </c>
      <c r="D28">
        <f t="shared" si="0"/>
        <v>1201.0589285714286</v>
      </c>
    </row>
    <row r="29" spans="1:4" x14ac:dyDescent="0.25">
      <c r="A29" t="s">
        <v>65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 + SUMIFS(WestIndiesGeneral!$L:$L, WestIndiesGeneral!$B:$B, $A29, WestIndiesGeneral!$D:$D, "London")</f>
        <v>1046.5276785714286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SUMIFS(WestIndiesGeneral!$L:$L, WestIndiesGeneral!$B:$B, $A29, WestIndiesGeneral!$D:$D, "Out Ports")</f>
        <v>658.41473214285713</v>
      </c>
      <c r="D29">
        <f t="shared" si="0"/>
        <v>1704.9424107142859</v>
      </c>
    </row>
    <row r="30" spans="1:4" x14ac:dyDescent="0.25">
      <c r="A30" t="s">
        <v>66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 + SUMIFS(WestIndiesGeneral!$L:$L, WestIndiesGeneral!$B:$B, $A30, WestIndiesGeneral!$D:$D, "London")</f>
        <v>54.949999999999996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SUMIFS(WestIndiesGeneral!$L:$L, WestIndiesGeneral!$B:$B, $A30, WestIndiesGeneral!$D:$D, "Out Ports")</f>
        <v>9.7379464285714281</v>
      </c>
      <c r="D30">
        <f t="shared" si="0"/>
        <v>64.687946428571422</v>
      </c>
    </row>
    <row r="31" spans="1:4" x14ac:dyDescent="0.25">
      <c r="A31" t="s">
        <v>67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 + SUMIFS(WestIndiesGeneral!$L:$L, WestIndiesGeneral!$B:$B, $A31, WestIndiesGeneral!$D:$D, "London")</f>
        <v>0.9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SUMIFS(WestIndiesGeneral!$L:$L, WestIndiesGeneral!$B:$B, $A31, WestIndiesGeneral!$D:$D, "Out Ports")</f>
        <v>0.125</v>
      </c>
      <c r="D31">
        <f t="shared" si="0"/>
        <v>1.0249999999999999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A2" sqref="A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B2" t="s">
        <v>57</v>
      </c>
      <c r="C2" t="s">
        <v>78</v>
      </c>
      <c r="D2" t="s">
        <v>33</v>
      </c>
    </row>
    <row r="3" spans="1:12" x14ac:dyDescent="0.25">
      <c r="B3" t="s">
        <v>59</v>
      </c>
      <c r="C3" t="s">
        <v>78</v>
      </c>
      <c r="D3" t="s">
        <v>33</v>
      </c>
    </row>
    <row r="4" spans="1:12" x14ac:dyDescent="0.25">
      <c r="B4" t="s">
        <v>38</v>
      </c>
      <c r="C4" t="s">
        <v>78</v>
      </c>
      <c r="D4" t="s">
        <v>33</v>
      </c>
    </row>
    <row r="5" spans="1:12" x14ac:dyDescent="0.25">
      <c r="B5" t="s">
        <v>4</v>
      </c>
      <c r="C5" t="s">
        <v>78</v>
      </c>
      <c r="D5" t="s">
        <v>33</v>
      </c>
    </row>
    <row r="6" spans="1:12" x14ac:dyDescent="0.25">
      <c r="B6" t="s">
        <v>60</v>
      </c>
      <c r="C6" t="s">
        <v>78</v>
      </c>
      <c r="D6" t="s">
        <v>33</v>
      </c>
    </row>
    <row r="7" spans="1:12" x14ac:dyDescent="0.25">
      <c r="B7" t="s">
        <v>71</v>
      </c>
      <c r="C7" t="s">
        <v>78</v>
      </c>
      <c r="D7" t="s">
        <v>33</v>
      </c>
    </row>
    <row r="8" spans="1:12" x14ac:dyDescent="0.25">
      <c r="B8" t="s">
        <v>45</v>
      </c>
      <c r="C8" t="s">
        <v>78</v>
      </c>
      <c r="D8" t="s">
        <v>33</v>
      </c>
    </row>
    <row r="9" spans="1:12" x14ac:dyDescent="0.25">
      <c r="B9" t="s">
        <v>79</v>
      </c>
      <c r="C9" t="s">
        <v>78</v>
      </c>
      <c r="D9" t="s">
        <v>33</v>
      </c>
    </row>
    <row r="10" spans="1:12" x14ac:dyDescent="0.25">
      <c r="B10" t="s">
        <v>5</v>
      </c>
      <c r="C10" t="s">
        <v>78</v>
      </c>
      <c r="D10" t="s">
        <v>33</v>
      </c>
    </row>
    <row r="11" spans="1:12" x14ac:dyDescent="0.25">
      <c r="B11" t="s">
        <v>61</v>
      </c>
      <c r="C11" t="s">
        <v>78</v>
      </c>
      <c r="D11" t="s">
        <v>33</v>
      </c>
    </row>
    <row r="12" spans="1:12" x14ac:dyDescent="0.25">
      <c r="B12" t="s">
        <v>6</v>
      </c>
      <c r="C12" t="s">
        <v>78</v>
      </c>
      <c r="D12" t="s">
        <v>33</v>
      </c>
    </row>
    <row r="13" spans="1:12" x14ac:dyDescent="0.25">
      <c r="B13" t="s">
        <v>62</v>
      </c>
      <c r="C13" t="s">
        <v>78</v>
      </c>
      <c r="D13" t="s">
        <v>33</v>
      </c>
    </row>
    <row r="14" spans="1:12" x14ac:dyDescent="0.25">
      <c r="B14" t="s">
        <v>40</v>
      </c>
      <c r="C14" t="s">
        <v>78</v>
      </c>
      <c r="D14" t="s">
        <v>33</v>
      </c>
    </row>
    <row r="15" spans="1:12" x14ac:dyDescent="0.25">
      <c r="B15" t="s">
        <v>39</v>
      </c>
      <c r="C15" t="s">
        <v>78</v>
      </c>
      <c r="D15" t="s">
        <v>33</v>
      </c>
    </row>
    <row r="16" spans="1:12" x14ac:dyDescent="0.25">
      <c r="B16" t="s">
        <v>8</v>
      </c>
      <c r="C16" t="s">
        <v>78</v>
      </c>
      <c r="D16" t="s">
        <v>33</v>
      </c>
    </row>
    <row r="17" spans="2:4" x14ac:dyDescent="0.25">
      <c r="B17" t="s">
        <v>42</v>
      </c>
      <c r="C17" t="s">
        <v>78</v>
      </c>
      <c r="D17" t="s">
        <v>33</v>
      </c>
    </row>
    <row r="18" spans="2:4" x14ac:dyDescent="0.25">
      <c r="B18" t="s">
        <v>80</v>
      </c>
      <c r="C18" t="s">
        <v>78</v>
      </c>
      <c r="D18" t="s">
        <v>33</v>
      </c>
    </row>
    <row r="19" spans="2:4" x14ac:dyDescent="0.25">
      <c r="B19" t="s">
        <v>81</v>
      </c>
      <c r="C19" t="s">
        <v>78</v>
      </c>
      <c r="D19" t="s">
        <v>33</v>
      </c>
    </row>
    <row r="20" spans="2:4" x14ac:dyDescent="0.25">
      <c r="B20" t="s">
        <v>48</v>
      </c>
      <c r="C20" t="s">
        <v>78</v>
      </c>
      <c r="D20" t="s">
        <v>33</v>
      </c>
    </row>
    <row r="21" spans="2:4" x14ac:dyDescent="0.25">
      <c r="B21" t="s">
        <v>9</v>
      </c>
      <c r="C21" t="s">
        <v>78</v>
      </c>
      <c r="D21" t="s">
        <v>33</v>
      </c>
    </row>
    <row r="22" spans="2:4" x14ac:dyDescent="0.25">
      <c r="B22" t="s">
        <v>10</v>
      </c>
      <c r="C22" t="s">
        <v>78</v>
      </c>
      <c r="D22" t="s">
        <v>33</v>
      </c>
    </row>
    <row r="23" spans="2:4" x14ac:dyDescent="0.25">
      <c r="B23" t="s">
        <v>11</v>
      </c>
      <c r="C23" t="s">
        <v>78</v>
      </c>
      <c r="D23" t="s">
        <v>33</v>
      </c>
    </row>
    <row r="24" spans="2:4" x14ac:dyDescent="0.25">
      <c r="B24" t="s">
        <v>41</v>
      </c>
      <c r="C24" t="s">
        <v>78</v>
      </c>
      <c r="D24" t="s">
        <v>33</v>
      </c>
    </row>
    <row r="25" spans="2:4" x14ac:dyDescent="0.25">
      <c r="B25" t="s">
        <v>82</v>
      </c>
      <c r="C25" t="s">
        <v>78</v>
      </c>
      <c r="D25" t="s">
        <v>33</v>
      </c>
    </row>
    <row r="26" spans="2:4" x14ac:dyDescent="0.25">
      <c r="B26" t="s">
        <v>83</v>
      </c>
      <c r="C26" t="s">
        <v>78</v>
      </c>
      <c r="D26" t="s">
        <v>33</v>
      </c>
    </row>
    <row r="27" spans="2:4" x14ac:dyDescent="0.25">
      <c r="B27" t="s">
        <v>46</v>
      </c>
      <c r="C27" t="s">
        <v>78</v>
      </c>
      <c r="D27" t="s">
        <v>33</v>
      </c>
    </row>
    <row r="28" spans="2:4" x14ac:dyDescent="0.25">
      <c r="B28" t="s">
        <v>84</v>
      </c>
      <c r="C28" t="s">
        <v>78</v>
      </c>
      <c r="D28" t="s">
        <v>33</v>
      </c>
    </row>
    <row r="29" spans="2:4" x14ac:dyDescent="0.25">
      <c r="B29" t="s">
        <v>85</v>
      </c>
      <c r="C29" t="s">
        <v>78</v>
      </c>
      <c r="D29" t="s">
        <v>33</v>
      </c>
    </row>
    <row r="30" spans="2:4" x14ac:dyDescent="0.25">
      <c r="B30" t="s">
        <v>86</v>
      </c>
      <c r="C30" t="s">
        <v>78</v>
      </c>
      <c r="D30" t="s">
        <v>33</v>
      </c>
    </row>
    <row r="31" spans="2:4" x14ac:dyDescent="0.25">
      <c r="B31" t="s">
        <v>34</v>
      </c>
      <c r="C31" t="s">
        <v>78</v>
      </c>
      <c r="D31" t="s">
        <v>33</v>
      </c>
    </row>
    <row r="32" spans="2:4" x14ac:dyDescent="0.25">
      <c r="B32" t="s">
        <v>13</v>
      </c>
      <c r="C32" t="s">
        <v>78</v>
      </c>
      <c r="D32" t="s">
        <v>33</v>
      </c>
    </row>
    <row r="33" spans="2:4" x14ac:dyDescent="0.25">
      <c r="B33" t="s">
        <v>14</v>
      </c>
      <c r="C33" t="s">
        <v>78</v>
      </c>
      <c r="D33" t="s">
        <v>33</v>
      </c>
    </row>
    <row r="34" spans="2:4" x14ac:dyDescent="0.25">
      <c r="B34" t="s">
        <v>23</v>
      </c>
      <c r="C34" t="s">
        <v>78</v>
      </c>
      <c r="D34" t="s">
        <v>33</v>
      </c>
    </row>
    <row r="35" spans="2:4" x14ac:dyDescent="0.25">
      <c r="B35" t="s">
        <v>27</v>
      </c>
      <c r="C35" t="s">
        <v>78</v>
      </c>
      <c r="D35" t="s">
        <v>33</v>
      </c>
    </row>
    <row r="36" spans="2:4" x14ac:dyDescent="0.25">
      <c r="B36" t="s">
        <v>15</v>
      </c>
      <c r="C36" t="s">
        <v>78</v>
      </c>
      <c r="D36" t="s">
        <v>33</v>
      </c>
    </row>
    <row r="37" spans="2:4" x14ac:dyDescent="0.25">
      <c r="B37" t="s">
        <v>44</v>
      </c>
      <c r="C37" t="s">
        <v>78</v>
      </c>
      <c r="D37" t="s">
        <v>33</v>
      </c>
    </row>
    <row r="38" spans="2:4" x14ac:dyDescent="0.25">
      <c r="B38" t="s">
        <v>87</v>
      </c>
      <c r="C38" t="s">
        <v>78</v>
      </c>
      <c r="D38" t="s">
        <v>33</v>
      </c>
    </row>
    <row r="39" spans="2:4" x14ac:dyDescent="0.25">
      <c r="B39" t="s">
        <v>49</v>
      </c>
      <c r="C39" t="s">
        <v>78</v>
      </c>
      <c r="D39" t="s">
        <v>33</v>
      </c>
    </row>
    <row r="40" spans="2:4" x14ac:dyDescent="0.25">
      <c r="B40" t="s">
        <v>16</v>
      </c>
      <c r="C40" t="s">
        <v>78</v>
      </c>
      <c r="D40" t="s">
        <v>33</v>
      </c>
    </row>
    <row r="41" spans="2:4" x14ac:dyDescent="0.25">
      <c r="B41" t="s">
        <v>17</v>
      </c>
      <c r="C41" t="s">
        <v>78</v>
      </c>
      <c r="D41" t="s">
        <v>33</v>
      </c>
    </row>
    <row r="42" spans="2:4" x14ac:dyDescent="0.25">
      <c r="B42" t="s">
        <v>18</v>
      </c>
      <c r="C42" t="s">
        <v>78</v>
      </c>
      <c r="D42" t="s">
        <v>33</v>
      </c>
    </row>
    <row r="43" spans="2:4" x14ac:dyDescent="0.25">
      <c r="B43" t="s">
        <v>26</v>
      </c>
      <c r="C43" t="s">
        <v>78</v>
      </c>
      <c r="D43" t="s">
        <v>33</v>
      </c>
    </row>
    <row r="44" spans="2:4" x14ac:dyDescent="0.25">
      <c r="B44" t="s">
        <v>88</v>
      </c>
      <c r="C44" t="s">
        <v>78</v>
      </c>
      <c r="D44" t="s">
        <v>33</v>
      </c>
    </row>
    <row r="45" spans="2:4" x14ac:dyDescent="0.25">
      <c r="B45" t="s">
        <v>19</v>
      </c>
      <c r="C45" t="s">
        <v>78</v>
      </c>
      <c r="D45" t="s">
        <v>33</v>
      </c>
    </row>
    <row r="46" spans="2:4" x14ac:dyDescent="0.25">
      <c r="B46" t="s">
        <v>47</v>
      </c>
      <c r="C46" t="s">
        <v>78</v>
      </c>
      <c r="D46" t="s">
        <v>33</v>
      </c>
    </row>
    <row r="47" spans="2:4" x14ac:dyDescent="0.25">
      <c r="B47" t="s">
        <v>89</v>
      </c>
      <c r="C47" t="s">
        <v>78</v>
      </c>
      <c r="D47" t="s">
        <v>33</v>
      </c>
    </row>
    <row r="48" spans="2:4" x14ac:dyDescent="0.25">
      <c r="B48" t="s">
        <v>56</v>
      </c>
      <c r="C48" t="s">
        <v>78</v>
      </c>
      <c r="D48" t="s">
        <v>33</v>
      </c>
    </row>
    <row r="49" spans="2:4" x14ac:dyDescent="0.25">
      <c r="B49" t="s">
        <v>90</v>
      </c>
      <c r="C49" t="s">
        <v>78</v>
      </c>
      <c r="D49" t="s">
        <v>33</v>
      </c>
    </row>
    <row r="50" spans="2:4" x14ac:dyDescent="0.25">
      <c r="B50" t="s">
        <v>20</v>
      </c>
      <c r="C50" t="s">
        <v>78</v>
      </c>
      <c r="D50" t="s">
        <v>33</v>
      </c>
    </row>
    <row r="51" spans="2:4" x14ac:dyDescent="0.25">
      <c r="B51" t="s">
        <v>21</v>
      </c>
      <c r="C51" t="s">
        <v>78</v>
      </c>
      <c r="D51" t="s">
        <v>33</v>
      </c>
    </row>
    <row r="52" spans="2:4" x14ac:dyDescent="0.25">
      <c r="B52" t="s">
        <v>22</v>
      </c>
      <c r="C52" t="s">
        <v>78</v>
      </c>
      <c r="D52" t="s">
        <v>33</v>
      </c>
    </row>
    <row r="53" spans="2:4" x14ac:dyDescent="0.25">
      <c r="B53" t="s">
        <v>63</v>
      </c>
      <c r="C53" t="s">
        <v>78</v>
      </c>
      <c r="D53" t="s">
        <v>33</v>
      </c>
    </row>
    <row r="54" spans="2:4" x14ac:dyDescent="0.25">
      <c r="B54" t="s">
        <v>91</v>
      </c>
      <c r="C54" t="s">
        <v>78</v>
      </c>
      <c r="D54" t="s">
        <v>33</v>
      </c>
    </row>
    <row r="55" spans="2:4" x14ac:dyDescent="0.25">
      <c r="B55" t="s">
        <v>64</v>
      </c>
      <c r="C55" t="s">
        <v>78</v>
      </c>
      <c r="D55" t="s">
        <v>33</v>
      </c>
    </row>
    <row r="56" spans="2:4" x14ac:dyDescent="0.25">
      <c r="B56" t="s">
        <v>92</v>
      </c>
      <c r="C56" t="s">
        <v>78</v>
      </c>
      <c r="D56" t="s">
        <v>33</v>
      </c>
    </row>
    <row r="57" spans="2:4" x14ac:dyDescent="0.25">
      <c r="B57" t="s">
        <v>65</v>
      </c>
      <c r="C57" t="s">
        <v>78</v>
      </c>
      <c r="D57" t="s">
        <v>33</v>
      </c>
    </row>
    <row r="58" spans="2:4" x14ac:dyDescent="0.25">
      <c r="B58" t="s">
        <v>93</v>
      </c>
      <c r="C58" t="s">
        <v>78</v>
      </c>
      <c r="D58" t="s">
        <v>33</v>
      </c>
    </row>
    <row r="59" spans="2:4" x14ac:dyDescent="0.25">
      <c r="B59" t="s">
        <v>73</v>
      </c>
      <c r="C59" t="s">
        <v>78</v>
      </c>
      <c r="D59" t="s">
        <v>33</v>
      </c>
    </row>
    <row r="60" spans="2:4" x14ac:dyDescent="0.25">
      <c r="B60" t="s">
        <v>66</v>
      </c>
      <c r="C60" t="s">
        <v>78</v>
      </c>
      <c r="D60" t="s">
        <v>33</v>
      </c>
    </row>
    <row r="61" spans="2:4" x14ac:dyDescent="0.25">
      <c r="B61" t="s">
        <v>67</v>
      </c>
      <c r="C61" t="s">
        <v>78</v>
      </c>
      <c r="D61" t="s">
        <v>33</v>
      </c>
    </row>
    <row r="62" spans="2:4" x14ac:dyDescent="0.25">
      <c r="B62" t="s">
        <v>4</v>
      </c>
      <c r="C62" t="s">
        <v>78</v>
      </c>
      <c r="D62" t="s">
        <v>35</v>
      </c>
    </row>
    <row r="63" spans="2:4" x14ac:dyDescent="0.25">
      <c r="B63" t="s">
        <v>6</v>
      </c>
      <c r="C63" t="s">
        <v>78</v>
      </c>
      <c r="D63" t="s">
        <v>35</v>
      </c>
    </row>
    <row r="64" spans="2:4" x14ac:dyDescent="0.25">
      <c r="B64" t="s">
        <v>62</v>
      </c>
      <c r="C64" t="s">
        <v>78</v>
      </c>
      <c r="D64" t="s">
        <v>35</v>
      </c>
    </row>
    <row r="65" spans="2:4" x14ac:dyDescent="0.25">
      <c r="B65" t="s">
        <v>7</v>
      </c>
      <c r="C65" t="s">
        <v>78</v>
      </c>
      <c r="D65" t="s">
        <v>35</v>
      </c>
    </row>
    <row r="66" spans="2:4" x14ac:dyDescent="0.25">
      <c r="B66" t="s">
        <v>8</v>
      </c>
      <c r="C66" t="s">
        <v>78</v>
      </c>
      <c r="D66" t="s">
        <v>35</v>
      </c>
    </row>
    <row r="67" spans="2:4" x14ac:dyDescent="0.25">
      <c r="B67" t="s">
        <v>9</v>
      </c>
      <c r="C67" t="s">
        <v>78</v>
      </c>
      <c r="D67" t="s">
        <v>35</v>
      </c>
    </row>
    <row r="68" spans="2:4" x14ac:dyDescent="0.25">
      <c r="B68" t="s">
        <v>10</v>
      </c>
      <c r="C68" t="s">
        <v>78</v>
      </c>
      <c r="D68" t="s">
        <v>35</v>
      </c>
    </row>
    <row r="69" spans="2:4" x14ac:dyDescent="0.25">
      <c r="B69" t="s">
        <v>11</v>
      </c>
      <c r="C69" t="s">
        <v>78</v>
      </c>
      <c r="D69" t="s">
        <v>35</v>
      </c>
    </row>
    <row r="70" spans="2:4" x14ac:dyDescent="0.25">
      <c r="B70" t="s">
        <v>12</v>
      </c>
      <c r="C70" t="s">
        <v>78</v>
      </c>
      <c r="D70" t="s">
        <v>35</v>
      </c>
    </row>
    <row r="71" spans="2:4" x14ac:dyDescent="0.25">
      <c r="B71" t="s">
        <v>13</v>
      </c>
      <c r="C71" t="s">
        <v>78</v>
      </c>
      <c r="D71" t="s">
        <v>35</v>
      </c>
    </row>
    <row r="72" spans="2:4" x14ac:dyDescent="0.25">
      <c r="B72" t="s">
        <v>14</v>
      </c>
      <c r="C72" t="s">
        <v>78</v>
      </c>
      <c r="D72" t="s">
        <v>35</v>
      </c>
    </row>
    <row r="73" spans="2:4" x14ac:dyDescent="0.25">
      <c r="B73" t="s">
        <v>27</v>
      </c>
      <c r="C73" t="s">
        <v>78</v>
      </c>
      <c r="D73" t="s">
        <v>35</v>
      </c>
    </row>
    <row r="74" spans="2:4" x14ac:dyDescent="0.25">
      <c r="B74" t="s">
        <v>15</v>
      </c>
      <c r="C74" t="s">
        <v>78</v>
      </c>
      <c r="D74" t="s">
        <v>35</v>
      </c>
    </row>
    <row r="75" spans="2:4" x14ac:dyDescent="0.25">
      <c r="B75" t="s">
        <v>16</v>
      </c>
      <c r="C75" t="s">
        <v>78</v>
      </c>
      <c r="D75" t="s">
        <v>35</v>
      </c>
    </row>
    <row r="76" spans="2:4" x14ac:dyDescent="0.25">
      <c r="B76" t="s">
        <v>17</v>
      </c>
      <c r="C76" t="s">
        <v>78</v>
      </c>
      <c r="D76" t="s">
        <v>35</v>
      </c>
    </row>
    <row r="77" spans="2:4" x14ac:dyDescent="0.25">
      <c r="B77" t="s">
        <v>18</v>
      </c>
      <c r="C77" t="s">
        <v>78</v>
      </c>
      <c r="D77" t="s">
        <v>35</v>
      </c>
    </row>
    <row r="78" spans="2:4" x14ac:dyDescent="0.25">
      <c r="B78" t="s">
        <v>19</v>
      </c>
      <c r="C78" t="s">
        <v>78</v>
      </c>
      <c r="D78" t="s">
        <v>35</v>
      </c>
    </row>
    <row r="79" spans="2:4" x14ac:dyDescent="0.25">
      <c r="B79" t="s">
        <v>47</v>
      </c>
      <c r="C79" t="s">
        <v>78</v>
      </c>
      <c r="D79" t="s">
        <v>35</v>
      </c>
    </row>
    <row r="80" spans="2:4" x14ac:dyDescent="0.25">
      <c r="B80" t="s">
        <v>56</v>
      </c>
      <c r="C80" t="s">
        <v>78</v>
      </c>
      <c r="D80" t="s">
        <v>35</v>
      </c>
    </row>
    <row r="81" spans="2:4" x14ac:dyDescent="0.25">
      <c r="B81" t="s">
        <v>74</v>
      </c>
      <c r="C81" t="s">
        <v>78</v>
      </c>
      <c r="D81" t="s">
        <v>35</v>
      </c>
    </row>
    <row r="82" spans="2:4" x14ac:dyDescent="0.25">
      <c r="B82" t="s">
        <v>21</v>
      </c>
      <c r="C82" t="s">
        <v>78</v>
      </c>
      <c r="D82" t="s">
        <v>35</v>
      </c>
    </row>
    <row r="83" spans="2:4" x14ac:dyDescent="0.25">
      <c r="B83" t="s">
        <v>22</v>
      </c>
      <c r="C83" t="s">
        <v>78</v>
      </c>
      <c r="D83" t="s">
        <v>35</v>
      </c>
    </row>
    <row r="84" spans="2:4" x14ac:dyDescent="0.25">
      <c r="B84" t="s">
        <v>63</v>
      </c>
      <c r="C84" t="s">
        <v>78</v>
      </c>
      <c r="D84" t="s">
        <v>35</v>
      </c>
    </row>
    <row r="85" spans="2:4" x14ac:dyDescent="0.25">
      <c r="B85" t="s">
        <v>64</v>
      </c>
      <c r="C85" t="s">
        <v>78</v>
      </c>
      <c r="D85" t="s">
        <v>35</v>
      </c>
    </row>
    <row r="86" spans="2:4" x14ac:dyDescent="0.25">
      <c r="B86" t="s">
        <v>65</v>
      </c>
      <c r="C86" t="s">
        <v>78</v>
      </c>
      <c r="D86" t="s">
        <v>35</v>
      </c>
    </row>
    <row r="87" spans="2:4" x14ac:dyDescent="0.25">
      <c r="B87" t="s">
        <v>73</v>
      </c>
      <c r="C87" t="s">
        <v>78</v>
      </c>
      <c r="D87" t="s">
        <v>35</v>
      </c>
    </row>
    <row r="88" spans="2:4" x14ac:dyDescent="0.25">
      <c r="B88" t="s">
        <v>66</v>
      </c>
      <c r="C88" t="s">
        <v>78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62"/>
  <sheetViews>
    <sheetView zoomScaleNormal="100" workbookViewId="0">
      <selection activeCell="H52" sqref="H52"/>
    </sheetView>
  </sheetViews>
  <sheetFormatPr defaultRowHeight="15" x14ac:dyDescent="0.25"/>
  <cols>
    <col min="1" max="1" width="10.85546875" customWidth="1"/>
    <col min="2" max="3" width="17.5703125" customWidth="1"/>
    <col min="4" max="4" width="11.28515625" customWidth="1"/>
    <col min="5" max="5" width="11.7109375" customWidth="1"/>
    <col min="6" max="6" width="11.85546875" customWidth="1"/>
    <col min="7" max="7" width="11.140625" customWidth="1"/>
    <col min="8" max="9" width="18.42578125" customWidth="1"/>
  </cols>
  <sheetData>
    <row r="1" spans="1:15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  <c r="O1" s="1"/>
    </row>
    <row r="2" spans="1:15" x14ac:dyDescent="0.25">
      <c r="A2">
        <v>1714</v>
      </c>
      <c r="B2" t="s">
        <v>38</v>
      </c>
      <c r="C2" t="s">
        <v>55</v>
      </c>
      <c r="D2" t="s">
        <v>33</v>
      </c>
      <c r="H2">
        <v>820</v>
      </c>
      <c r="J2">
        <f t="shared" ref="J2:J62" si="0">(E2*2240)+(F2*112)+(G2*28)+H2</f>
        <v>820</v>
      </c>
      <c r="L2">
        <f t="shared" ref="L2:L62" si="1">J2/2240</f>
        <v>0.36607142857142855</v>
      </c>
    </row>
    <row r="3" spans="1:15" x14ac:dyDescent="0.25">
      <c r="A3">
        <v>1714</v>
      </c>
      <c r="B3" t="s">
        <v>4</v>
      </c>
      <c r="C3" t="s">
        <v>55</v>
      </c>
      <c r="D3" t="s">
        <v>33</v>
      </c>
      <c r="J3">
        <f t="shared" si="0"/>
        <v>0</v>
      </c>
      <c r="L3">
        <f t="shared" si="1"/>
        <v>0</v>
      </c>
    </row>
    <row r="4" spans="1:15" x14ac:dyDescent="0.25">
      <c r="A4">
        <v>1714</v>
      </c>
      <c r="B4" t="s">
        <v>5</v>
      </c>
      <c r="C4" t="s">
        <v>55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1714</v>
      </c>
      <c r="B5" t="s">
        <v>6</v>
      </c>
      <c r="C5" t="s">
        <v>55</v>
      </c>
      <c r="D5" t="s">
        <v>33</v>
      </c>
      <c r="F5">
        <v>65748</v>
      </c>
      <c r="G5">
        <v>3</v>
      </c>
      <c r="H5">
        <v>19</v>
      </c>
      <c r="J5">
        <f t="shared" si="0"/>
        <v>7363879</v>
      </c>
      <c r="L5">
        <f t="shared" si="1"/>
        <v>3287.4459821428572</v>
      </c>
    </row>
    <row r="6" spans="1:15" x14ac:dyDescent="0.25">
      <c r="A6">
        <v>1714</v>
      </c>
      <c r="B6" t="s">
        <v>62</v>
      </c>
      <c r="C6" t="s">
        <v>55</v>
      </c>
      <c r="D6" t="s">
        <v>33</v>
      </c>
      <c r="H6">
        <v>47</v>
      </c>
      <c r="J6">
        <f t="shared" si="0"/>
        <v>47</v>
      </c>
      <c r="L6">
        <f t="shared" si="1"/>
        <v>2.0982142857142855E-2</v>
      </c>
    </row>
    <row r="7" spans="1:15" x14ac:dyDescent="0.25">
      <c r="A7">
        <v>1714</v>
      </c>
      <c r="B7" t="s">
        <v>7</v>
      </c>
      <c r="C7" t="s">
        <v>55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1714</v>
      </c>
      <c r="B8" t="s">
        <v>8</v>
      </c>
      <c r="C8" t="s">
        <v>55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1714</v>
      </c>
      <c r="B9" t="s">
        <v>48</v>
      </c>
      <c r="C9" t="s">
        <v>55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1714</v>
      </c>
      <c r="B10" t="s">
        <v>9</v>
      </c>
      <c r="C10" t="s">
        <v>55</v>
      </c>
      <c r="D10" t="s">
        <v>33</v>
      </c>
      <c r="H10">
        <v>120577</v>
      </c>
      <c r="J10">
        <f t="shared" si="0"/>
        <v>120577</v>
      </c>
      <c r="L10">
        <f t="shared" si="1"/>
        <v>53.829017857142858</v>
      </c>
    </row>
    <row r="11" spans="1:15" x14ac:dyDescent="0.25">
      <c r="A11">
        <v>1714</v>
      </c>
      <c r="B11" t="s">
        <v>10</v>
      </c>
      <c r="C11" t="s">
        <v>55</v>
      </c>
      <c r="D11" t="s">
        <v>33</v>
      </c>
      <c r="F11">
        <v>533</v>
      </c>
      <c r="H11">
        <v>21</v>
      </c>
      <c r="J11">
        <f t="shared" si="0"/>
        <v>59717</v>
      </c>
      <c r="L11">
        <f t="shared" si="1"/>
        <v>26.659375000000001</v>
      </c>
    </row>
    <row r="12" spans="1:15" x14ac:dyDescent="0.25">
      <c r="A12">
        <v>1714</v>
      </c>
      <c r="B12" t="s">
        <v>11</v>
      </c>
      <c r="C12" t="s">
        <v>55</v>
      </c>
      <c r="D12" t="s">
        <v>33</v>
      </c>
      <c r="F12">
        <v>113</v>
      </c>
      <c r="H12">
        <v>5</v>
      </c>
      <c r="J12">
        <f t="shared" si="0"/>
        <v>12661</v>
      </c>
      <c r="L12">
        <f t="shared" si="1"/>
        <v>5.6522321428571427</v>
      </c>
    </row>
    <row r="13" spans="1:15" x14ac:dyDescent="0.25">
      <c r="A13">
        <v>1714</v>
      </c>
      <c r="B13" t="s">
        <v>41</v>
      </c>
      <c r="C13" t="s">
        <v>55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1714</v>
      </c>
      <c r="B14" t="s">
        <v>12</v>
      </c>
      <c r="C14" t="s">
        <v>55</v>
      </c>
      <c r="D14" t="s">
        <v>33</v>
      </c>
      <c r="H14">
        <v>1070</v>
      </c>
      <c r="J14">
        <f t="shared" si="0"/>
        <v>1070</v>
      </c>
      <c r="L14">
        <f t="shared" si="1"/>
        <v>0.47767857142857145</v>
      </c>
    </row>
    <row r="15" spans="1:15" x14ac:dyDescent="0.25">
      <c r="A15">
        <v>1714</v>
      </c>
      <c r="B15" t="s">
        <v>34</v>
      </c>
      <c r="C15" t="s">
        <v>55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1714</v>
      </c>
      <c r="B16" t="s">
        <v>13</v>
      </c>
      <c r="C16" t="s">
        <v>55</v>
      </c>
      <c r="D16" t="s">
        <v>33</v>
      </c>
      <c r="E16">
        <v>5</v>
      </c>
      <c r="F16">
        <v>19</v>
      </c>
      <c r="G16">
        <v>3</v>
      </c>
      <c r="J16">
        <f t="shared" si="0"/>
        <v>13412</v>
      </c>
      <c r="L16">
        <f t="shared" si="1"/>
        <v>5.9874999999999998</v>
      </c>
    </row>
    <row r="17" spans="1:12" x14ac:dyDescent="0.25">
      <c r="A17">
        <v>1714</v>
      </c>
      <c r="B17" t="s">
        <v>14</v>
      </c>
      <c r="C17" t="s">
        <v>55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1714</v>
      </c>
      <c r="B18" t="s">
        <v>27</v>
      </c>
      <c r="C18" t="s">
        <v>55</v>
      </c>
      <c r="D18" t="s">
        <v>33</v>
      </c>
      <c r="H18">
        <v>20205</v>
      </c>
      <c r="I18" t="s">
        <v>106</v>
      </c>
      <c r="J18">
        <f t="shared" si="0"/>
        <v>20205</v>
      </c>
      <c r="L18">
        <f t="shared" si="1"/>
        <v>9.0200892857142865</v>
      </c>
    </row>
    <row r="19" spans="1:12" x14ac:dyDescent="0.25">
      <c r="A19">
        <v>1714</v>
      </c>
      <c r="B19" t="s">
        <v>15</v>
      </c>
      <c r="C19" t="s">
        <v>55</v>
      </c>
      <c r="D19" t="s">
        <v>33</v>
      </c>
      <c r="F19">
        <v>68</v>
      </c>
      <c r="G19">
        <v>1</v>
      </c>
      <c r="J19">
        <f t="shared" si="0"/>
        <v>7644</v>
      </c>
      <c r="L19">
        <f t="shared" si="1"/>
        <v>3.4125000000000001</v>
      </c>
    </row>
    <row r="20" spans="1:12" x14ac:dyDescent="0.25">
      <c r="A20">
        <v>1714</v>
      </c>
      <c r="B20" t="s">
        <v>49</v>
      </c>
      <c r="C20" t="s">
        <v>55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1714</v>
      </c>
      <c r="B21" t="s">
        <v>17</v>
      </c>
      <c r="C21" t="s">
        <v>55</v>
      </c>
      <c r="D21" t="s">
        <v>33</v>
      </c>
      <c r="F21">
        <v>3</v>
      </c>
      <c r="G21">
        <v>1</v>
      </c>
      <c r="J21">
        <f t="shared" si="0"/>
        <v>364</v>
      </c>
      <c r="L21">
        <f t="shared" si="1"/>
        <v>0.16250000000000001</v>
      </c>
    </row>
    <row r="22" spans="1:12" x14ac:dyDescent="0.25">
      <c r="A22">
        <v>1714</v>
      </c>
      <c r="B22" t="s">
        <v>18</v>
      </c>
      <c r="C22" t="s">
        <v>55</v>
      </c>
      <c r="D22" t="s">
        <v>33</v>
      </c>
      <c r="H22">
        <v>15624</v>
      </c>
      <c r="I22" t="s">
        <v>107</v>
      </c>
      <c r="J22">
        <f t="shared" si="0"/>
        <v>15624</v>
      </c>
      <c r="L22">
        <f t="shared" si="1"/>
        <v>6.9749999999999996</v>
      </c>
    </row>
    <row r="23" spans="1:12" x14ac:dyDescent="0.25">
      <c r="A23">
        <v>1714</v>
      </c>
      <c r="B23" t="s">
        <v>19</v>
      </c>
      <c r="C23" t="s">
        <v>55</v>
      </c>
      <c r="D23" t="s">
        <v>33</v>
      </c>
      <c r="F23">
        <v>34</v>
      </c>
      <c r="H23">
        <v>26</v>
      </c>
      <c r="J23">
        <f t="shared" si="0"/>
        <v>3834</v>
      </c>
      <c r="L23">
        <f t="shared" si="1"/>
        <v>1.7116071428571429</v>
      </c>
    </row>
    <row r="24" spans="1:12" x14ac:dyDescent="0.25">
      <c r="A24">
        <v>1714</v>
      </c>
      <c r="B24" t="s">
        <v>56</v>
      </c>
      <c r="C24" t="s">
        <v>55</v>
      </c>
      <c r="D24" t="s">
        <v>33</v>
      </c>
      <c r="H24">
        <v>674</v>
      </c>
      <c r="J24">
        <f t="shared" si="0"/>
        <v>674</v>
      </c>
      <c r="L24">
        <f t="shared" si="1"/>
        <v>0.30089285714285713</v>
      </c>
    </row>
    <row r="25" spans="1:12" x14ac:dyDescent="0.25">
      <c r="A25">
        <v>1714</v>
      </c>
      <c r="B25" t="s">
        <v>102</v>
      </c>
      <c r="C25" t="s">
        <v>55</v>
      </c>
      <c r="D25" t="s">
        <v>33</v>
      </c>
      <c r="H25">
        <v>8</v>
      </c>
      <c r="J25">
        <f t="shared" si="0"/>
        <v>8</v>
      </c>
      <c r="L25">
        <f t="shared" si="1"/>
        <v>3.5714285714285713E-3</v>
      </c>
    </row>
    <row r="26" spans="1:12" x14ac:dyDescent="0.25">
      <c r="A26">
        <v>1714</v>
      </c>
      <c r="B26" t="s">
        <v>20</v>
      </c>
      <c r="C26" t="s">
        <v>55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1714</v>
      </c>
      <c r="B27" t="s">
        <v>21</v>
      </c>
      <c r="C27" t="s">
        <v>55</v>
      </c>
      <c r="D27" t="s">
        <v>33</v>
      </c>
      <c r="H27">
        <v>25</v>
      </c>
      <c r="J27">
        <f t="shared" si="0"/>
        <v>25</v>
      </c>
      <c r="L27">
        <f t="shared" si="1"/>
        <v>1.1160714285714286E-2</v>
      </c>
    </row>
    <row r="28" spans="1:12" x14ac:dyDescent="0.25">
      <c r="A28">
        <v>1714</v>
      </c>
      <c r="B28" t="s">
        <v>94</v>
      </c>
      <c r="C28" t="s">
        <v>55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1714</v>
      </c>
      <c r="B29" t="s">
        <v>22</v>
      </c>
      <c r="C29" t="s">
        <v>55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1714</v>
      </c>
      <c r="B30" t="s">
        <v>63</v>
      </c>
      <c r="C30" t="s">
        <v>55</v>
      </c>
      <c r="D30" t="s">
        <v>33</v>
      </c>
      <c r="E30">
        <v>5</v>
      </c>
      <c r="F30">
        <v>10</v>
      </c>
      <c r="G30">
        <v>2</v>
      </c>
      <c r="J30">
        <f t="shared" si="0"/>
        <v>12376</v>
      </c>
      <c r="L30">
        <f t="shared" si="1"/>
        <v>5.5250000000000004</v>
      </c>
    </row>
    <row r="31" spans="1:12" x14ac:dyDescent="0.25">
      <c r="A31">
        <v>1714</v>
      </c>
      <c r="B31" t="s">
        <v>64</v>
      </c>
      <c r="C31" t="s">
        <v>55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1714</v>
      </c>
      <c r="B32" t="s">
        <v>65</v>
      </c>
      <c r="C32" t="s">
        <v>55</v>
      </c>
      <c r="D32" t="s">
        <v>33</v>
      </c>
      <c r="E32">
        <v>10</v>
      </c>
      <c r="J32">
        <f t="shared" si="0"/>
        <v>22400</v>
      </c>
      <c r="L32">
        <f t="shared" si="1"/>
        <v>10</v>
      </c>
    </row>
    <row r="33" spans="1:12" x14ac:dyDescent="0.25">
      <c r="A33">
        <v>1714</v>
      </c>
      <c r="B33" t="s">
        <v>93</v>
      </c>
      <c r="C33" t="s">
        <v>55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1714</v>
      </c>
      <c r="B34" t="s">
        <v>66</v>
      </c>
      <c r="C34" t="s">
        <v>55</v>
      </c>
      <c r="D34" t="s">
        <v>33</v>
      </c>
      <c r="E34">
        <v>1</v>
      </c>
      <c r="F34">
        <v>4</v>
      </c>
      <c r="G34">
        <v>3</v>
      </c>
      <c r="J34">
        <f t="shared" si="0"/>
        <v>2772</v>
      </c>
      <c r="L34">
        <f t="shared" si="1"/>
        <v>1.2375</v>
      </c>
    </row>
    <row r="35" spans="1:12" x14ac:dyDescent="0.25">
      <c r="A35">
        <v>1714</v>
      </c>
      <c r="B35" t="s">
        <v>5</v>
      </c>
      <c r="C35" t="s">
        <v>55</v>
      </c>
      <c r="D35" t="s">
        <v>35</v>
      </c>
      <c r="J35">
        <f t="shared" si="0"/>
        <v>0</v>
      </c>
      <c r="L35">
        <f t="shared" si="1"/>
        <v>0</v>
      </c>
    </row>
    <row r="36" spans="1:12" x14ac:dyDescent="0.25">
      <c r="A36">
        <v>1714</v>
      </c>
      <c r="B36" t="s">
        <v>6</v>
      </c>
      <c r="C36" t="s">
        <v>55</v>
      </c>
      <c r="D36" t="s">
        <v>35</v>
      </c>
      <c r="F36">
        <v>21609</v>
      </c>
      <c r="G36">
        <v>1</v>
      </c>
      <c r="J36">
        <f t="shared" si="0"/>
        <v>2420236</v>
      </c>
      <c r="L36">
        <f t="shared" si="1"/>
        <v>1080.4625000000001</v>
      </c>
    </row>
    <row r="37" spans="1:12" x14ac:dyDescent="0.25">
      <c r="A37">
        <v>1714</v>
      </c>
      <c r="B37" t="s">
        <v>37</v>
      </c>
      <c r="C37" t="s">
        <v>55</v>
      </c>
      <c r="D37" t="s">
        <v>35</v>
      </c>
      <c r="J37">
        <f t="shared" si="0"/>
        <v>0</v>
      </c>
      <c r="L37">
        <f t="shared" si="1"/>
        <v>0</v>
      </c>
    </row>
    <row r="38" spans="1:12" x14ac:dyDescent="0.25">
      <c r="A38">
        <v>1714</v>
      </c>
      <c r="B38" t="s">
        <v>8</v>
      </c>
      <c r="C38" t="s">
        <v>55</v>
      </c>
      <c r="D38" t="s">
        <v>35</v>
      </c>
      <c r="F38">
        <v>31</v>
      </c>
      <c r="H38">
        <v>27</v>
      </c>
      <c r="J38">
        <f t="shared" si="0"/>
        <v>3499</v>
      </c>
      <c r="L38">
        <f t="shared" si="1"/>
        <v>1.5620535714285715</v>
      </c>
    </row>
    <row r="39" spans="1:12" x14ac:dyDescent="0.25">
      <c r="A39">
        <v>1714</v>
      </c>
      <c r="B39" t="s">
        <v>9</v>
      </c>
      <c r="C39" t="s">
        <v>55</v>
      </c>
      <c r="D39" t="s">
        <v>35</v>
      </c>
      <c r="H39">
        <v>156327</v>
      </c>
      <c r="J39">
        <f t="shared" si="0"/>
        <v>156327</v>
      </c>
      <c r="L39">
        <f t="shared" si="1"/>
        <v>69.788839285714289</v>
      </c>
    </row>
    <row r="40" spans="1:12" x14ac:dyDescent="0.25">
      <c r="A40">
        <v>1714</v>
      </c>
      <c r="B40" t="s">
        <v>10</v>
      </c>
      <c r="C40" t="s">
        <v>55</v>
      </c>
      <c r="D40" t="s">
        <v>35</v>
      </c>
      <c r="F40">
        <v>89</v>
      </c>
      <c r="G40">
        <v>3</v>
      </c>
      <c r="H40">
        <v>26</v>
      </c>
      <c r="J40">
        <f t="shared" si="0"/>
        <v>10078</v>
      </c>
      <c r="L40">
        <f t="shared" si="1"/>
        <v>4.4991071428571425</v>
      </c>
    </row>
    <row r="41" spans="1:12" x14ac:dyDescent="0.25">
      <c r="A41">
        <v>1714</v>
      </c>
      <c r="B41" t="s">
        <v>11</v>
      </c>
      <c r="C41" t="s">
        <v>55</v>
      </c>
      <c r="D41" t="s">
        <v>35</v>
      </c>
      <c r="F41">
        <v>23</v>
      </c>
      <c r="G41">
        <v>2</v>
      </c>
      <c r="H41">
        <v>13</v>
      </c>
      <c r="J41">
        <f t="shared" si="0"/>
        <v>2645</v>
      </c>
      <c r="L41">
        <f t="shared" si="1"/>
        <v>1.1808035714285714</v>
      </c>
    </row>
    <row r="42" spans="1:12" x14ac:dyDescent="0.25">
      <c r="A42">
        <v>1714</v>
      </c>
      <c r="B42" t="s">
        <v>36</v>
      </c>
      <c r="C42" t="s">
        <v>55</v>
      </c>
      <c r="D42" t="s">
        <v>35</v>
      </c>
      <c r="J42">
        <f t="shared" si="0"/>
        <v>0</v>
      </c>
      <c r="L42">
        <f t="shared" si="1"/>
        <v>0</v>
      </c>
    </row>
    <row r="43" spans="1:12" x14ac:dyDescent="0.25">
      <c r="A43">
        <v>1714</v>
      </c>
      <c r="B43" t="s">
        <v>41</v>
      </c>
      <c r="C43" t="s">
        <v>55</v>
      </c>
      <c r="D43" t="s">
        <v>35</v>
      </c>
      <c r="J43">
        <f t="shared" si="0"/>
        <v>0</v>
      </c>
      <c r="L43">
        <f t="shared" si="1"/>
        <v>0</v>
      </c>
    </row>
    <row r="44" spans="1:12" x14ac:dyDescent="0.25">
      <c r="A44">
        <v>1714</v>
      </c>
      <c r="B44" t="s">
        <v>12</v>
      </c>
      <c r="C44" t="s">
        <v>55</v>
      </c>
      <c r="D44" t="s">
        <v>35</v>
      </c>
      <c r="H44">
        <v>536</v>
      </c>
      <c r="J44">
        <f t="shared" si="0"/>
        <v>536</v>
      </c>
      <c r="L44">
        <f t="shared" si="1"/>
        <v>0.2392857142857143</v>
      </c>
    </row>
    <row r="45" spans="1:12" x14ac:dyDescent="0.25">
      <c r="A45">
        <v>1714</v>
      </c>
      <c r="B45" t="s">
        <v>13</v>
      </c>
      <c r="C45" t="s">
        <v>55</v>
      </c>
      <c r="D45" t="s">
        <v>35</v>
      </c>
      <c r="F45">
        <v>148</v>
      </c>
      <c r="H45">
        <v>11</v>
      </c>
      <c r="J45">
        <f t="shared" si="0"/>
        <v>16587</v>
      </c>
      <c r="L45">
        <f t="shared" si="1"/>
        <v>7.4049107142857142</v>
      </c>
    </row>
    <row r="46" spans="1:12" x14ac:dyDescent="0.25">
      <c r="A46">
        <v>1714</v>
      </c>
      <c r="B46" t="s">
        <v>14</v>
      </c>
      <c r="C46" t="s">
        <v>55</v>
      </c>
      <c r="D46" t="s">
        <v>35</v>
      </c>
      <c r="J46">
        <f t="shared" si="0"/>
        <v>0</v>
      </c>
      <c r="L46">
        <f t="shared" si="1"/>
        <v>0</v>
      </c>
    </row>
    <row r="47" spans="1:12" x14ac:dyDescent="0.25">
      <c r="A47">
        <v>1714</v>
      </c>
      <c r="B47" t="s">
        <v>27</v>
      </c>
      <c r="C47" t="s">
        <v>55</v>
      </c>
      <c r="D47" t="s">
        <v>35</v>
      </c>
      <c r="H47">
        <v>2880.5</v>
      </c>
      <c r="I47" t="s">
        <v>124</v>
      </c>
      <c r="J47">
        <f t="shared" si="0"/>
        <v>2880.5</v>
      </c>
      <c r="L47">
        <f t="shared" si="1"/>
        <v>1.2859375</v>
      </c>
    </row>
    <row r="48" spans="1:12" x14ac:dyDescent="0.25">
      <c r="A48">
        <v>1714</v>
      </c>
      <c r="B48" t="s">
        <v>15</v>
      </c>
      <c r="C48" t="s">
        <v>55</v>
      </c>
      <c r="D48" t="s">
        <v>35</v>
      </c>
      <c r="F48">
        <v>438</v>
      </c>
      <c r="H48">
        <v>16</v>
      </c>
      <c r="J48">
        <f t="shared" si="0"/>
        <v>49072</v>
      </c>
      <c r="L48">
        <f t="shared" si="1"/>
        <v>21.907142857142858</v>
      </c>
    </row>
    <row r="49" spans="1:12" x14ac:dyDescent="0.25">
      <c r="A49">
        <v>1714</v>
      </c>
      <c r="B49" t="s">
        <v>49</v>
      </c>
      <c r="C49" t="s">
        <v>55</v>
      </c>
      <c r="D49" t="s">
        <v>35</v>
      </c>
      <c r="J49">
        <f t="shared" si="0"/>
        <v>0</v>
      </c>
      <c r="L49">
        <f t="shared" si="1"/>
        <v>0</v>
      </c>
    </row>
    <row r="50" spans="1:12" x14ac:dyDescent="0.25">
      <c r="A50">
        <v>1714</v>
      </c>
      <c r="B50" t="s">
        <v>17</v>
      </c>
      <c r="C50" t="s">
        <v>55</v>
      </c>
      <c r="D50" t="s">
        <v>35</v>
      </c>
      <c r="F50">
        <v>10</v>
      </c>
      <c r="H50">
        <v>16</v>
      </c>
      <c r="J50">
        <f t="shared" si="0"/>
        <v>1136</v>
      </c>
      <c r="L50">
        <f t="shared" si="1"/>
        <v>0.50714285714285712</v>
      </c>
    </row>
    <row r="51" spans="1:12" x14ac:dyDescent="0.25">
      <c r="A51">
        <v>1714</v>
      </c>
      <c r="B51" t="s">
        <v>18</v>
      </c>
      <c r="C51" t="s">
        <v>55</v>
      </c>
      <c r="D51" t="s">
        <v>35</v>
      </c>
      <c r="H51">
        <v>7549.5</v>
      </c>
      <c r="I51" t="s">
        <v>125</v>
      </c>
      <c r="J51">
        <f t="shared" si="0"/>
        <v>7549.5</v>
      </c>
      <c r="L51">
        <f t="shared" si="1"/>
        <v>3.3703124999999998</v>
      </c>
    </row>
    <row r="52" spans="1:12" x14ac:dyDescent="0.25">
      <c r="A52">
        <v>1714</v>
      </c>
      <c r="B52" t="s">
        <v>19</v>
      </c>
      <c r="C52" t="s">
        <v>55</v>
      </c>
      <c r="D52" t="s">
        <v>35</v>
      </c>
      <c r="F52">
        <v>14</v>
      </c>
      <c r="H52">
        <v>12</v>
      </c>
      <c r="J52">
        <f t="shared" si="0"/>
        <v>1580</v>
      </c>
      <c r="L52">
        <f t="shared" si="1"/>
        <v>0.7053571428571429</v>
      </c>
    </row>
    <row r="53" spans="1:12" x14ac:dyDescent="0.25">
      <c r="A53">
        <v>1714</v>
      </c>
      <c r="B53" t="s">
        <v>56</v>
      </c>
      <c r="C53" t="s">
        <v>55</v>
      </c>
      <c r="D53" t="s">
        <v>35</v>
      </c>
      <c r="H53">
        <v>74</v>
      </c>
      <c r="J53">
        <f t="shared" si="0"/>
        <v>74</v>
      </c>
      <c r="L53">
        <f t="shared" si="1"/>
        <v>3.3035714285714286E-2</v>
      </c>
    </row>
    <row r="54" spans="1:12" x14ac:dyDescent="0.25">
      <c r="A54">
        <v>1714</v>
      </c>
      <c r="B54" t="s">
        <v>102</v>
      </c>
      <c r="C54" t="s">
        <v>55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1714</v>
      </c>
      <c r="B55" t="s">
        <v>20</v>
      </c>
      <c r="C55" t="s">
        <v>55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1714</v>
      </c>
      <c r="B56" t="s">
        <v>21</v>
      </c>
      <c r="C56" t="s">
        <v>55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1714</v>
      </c>
      <c r="B57" t="s">
        <v>95</v>
      </c>
      <c r="C57" t="s">
        <v>55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1714</v>
      </c>
      <c r="B58" t="s">
        <v>22</v>
      </c>
      <c r="C58" t="s">
        <v>55</v>
      </c>
      <c r="D58" t="s">
        <v>35</v>
      </c>
      <c r="G58">
        <v>1</v>
      </c>
      <c r="H58">
        <v>8</v>
      </c>
      <c r="J58">
        <f t="shared" si="0"/>
        <v>36</v>
      </c>
      <c r="L58">
        <f t="shared" si="1"/>
        <v>1.607142857142857E-2</v>
      </c>
    </row>
    <row r="59" spans="1:12" x14ac:dyDescent="0.25">
      <c r="A59">
        <v>1714</v>
      </c>
      <c r="B59" t="s">
        <v>63</v>
      </c>
      <c r="C59" t="s">
        <v>55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1714</v>
      </c>
      <c r="B60" t="s">
        <v>96</v>
      </c>
      <c r="C60" t="s">
        <v>55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1714</v>
      </c>
      <c r="B61" t="s">
        <v>64</v>
      </c>
      <c r="C61" t="s">
        <v>55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1714</v>
      </c>
      <c r="B62" t="s">
        <v>65</v>
      </c>
      <c r="C62" t="s">
        <v>55</v>
      </c>
      <c r="D62" t="s">
        <v>35</v>
      </c>
      <c r="F62">
        <v>49</v>
      </c>
      <c r="G62">
        <v>3</v>
      </c>
      <c r="H62">
        <v>17</v>
      </c>
      <c r="J62">
        <f t="shared" si="0"/>
        <v>5589</v>
      </c>
      <c r="L62">
        <f t="shared" si="1"/>
        <v>2.4950892857142857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98"/>
  <sheetViews>
    <sheetView workbookViewId="0">
      <selection activeCell="H84" sqref="H84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1714</v>
      </c>
      <c r="B2" t="s">
        <v>57</v>
      </c>
      <c r="C2" t="s">
        <v>58</v>
      </c>
      <c r="D2" t="s">
        <v>33</v>
      </c>
      <c r="J2">
        <f t="shared" ref="J2:J66" si="0">(E2*2240)+(F2*112)+(G2*28)+H2</f>
        <v>0</v>
      </c>
      <c r="L2">
        <f t="shared" ref="L2:L66" si="1">J2/2240</f>
        <v>0</v>
      </c>
    </row>
    <row r="3" spans="1:12" x14ac:dyDescent="0.25">
      <c r="A3">
        <v>1714</v>
      </c>
      <c r="B3" t="s">
        <v>59</v>
      </c>
      <c r="C3" t="s">
        <v>58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1714</v>
      </c>
      <c r="B4" t="s">
        <v>38</v>
      </c>
      <c r="C4" t="s">
        <v>58</v>
      </c>
      <c r="D4" t="s">
        <v>33</v>
      </c>
      <c r="H4">
        <v>26900</v>
      </c>
      <c r="J4">
        <f t="shared" si="0"/>
        <v>26900</v>
      </c>
      <c r="L4">
        <f t="shared" si="1"/>
        <v>12.008928571428571</v>
      </c>
    </row>
    <row r="5" spans="1:12" x14ac:dyDescent="0.25">
      <c r="A5">
        <v>1714</v>
      </c>
      <c r="B5" t="s">
        <v>4</v>
      </c>
      <c r="C5" t="s">
        <v>58</v>
      </c>
      <c r="D5" t="s">
        <v>33</v>
      </c>
      <c r="H5">
        <v>100</v>
      </c>
      <c r="J5">
        <f t="shared" si="0"/>
        <v>100</v>
      </c>
      <c r="L5">
        <f t="shared" si="1"/>
        <v>4.4642857142857144E-2</v>
      </c>
    </row>
    <row r="6" spans="1:12" x14ac:dyDescent="0.25">
      <c r="A6">
        <v>1714</v>
      </c>
      <c r="B6" t="s">
        <v>60</v>
      </c>
      <c r="C6" t="s">
        <v>58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1714</v>
      </c>
      <c r="B7" t="s">
        <v>97</v>
      </c>
      <c r="C7" t="s">
        <v>58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1714</v>
      </c>
      <c r="B8" t="s">
        <v>45</v>
      </c>
      <c r="C8" t="s">
        <v>58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1714</v>
      </c>
      <c r="B9" t="s">
        <v>5</v>
      </c>
      <c r="C9" t="s">
        <v>58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1714</v>
      </c>
      <c r="B10" t="s">
        <v>61</v>
      </c>
      <c r="C10" t="s">
        <v>58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1714</v>
      </c>
      <c r="B11" t="s">
        <v>6</v>
      </c>
      <c r="C11" t="s">
        <v>58</v>
      </c>
      <c r="D11" t="s">
        <v>33</v>
      </c>
      <c r="F11">
        <v>161954</v>
      </c>
      <c r="G11">
        <v>2</v>
      </c>
      <c r="H11">
        <v>9</v>
      </c>
      <c r="J11">
        <f t="shared" si="0"/>
        <v>18138913</v>
      </c>
      <c r="L11">
        <f t="shared" si="1"/>
        <v>8097.7290178571429</v>
      </c>
    </row>
    <row r="12" spans="1:12" x14ac:dyDescent="0.25">
      <c r="A12">
        <v>1714</v>
      </c>
      <c r="B12" t="s">
        <v>62</v>
      </c>
      <c r="C12" t="s">
        <v>58</v>
      </c>
      <c r="D12" t="s">
        <v>33</v>
      </c>
      <c r="H12">
        <v>1738</v>
      </c>
      <c r="J12">
        <f t="shared" si="0"/>
        <v>1738</v>
      </c>
      <c r="L12">
        <f t="shared" si="1"/>
        <v>0.77589285714285716</v>
      </c>
    </row>
    <row r="13" spans="1:12" x14ac:dyDescent="0.25">
      <c r="A13">
        <v>1714</v>
      </c>
      <c r="B13" t="s">
        <v>7</v>
      </c>
      <c r="C13" t="s">
        <v>58</v>
      </c>
      <c r="D13" t="s">
        <v>33</v>
      </c>
      <c r="H13">
        <v>39</v>
      </c>
      <c r="J13">
        <f t="shared" si="0"/>
        <v>39</v>
      </c>
      <c r="L13">
        <f t="shared" si="1"/>
        <v>1.7410714285714286E-2</v>
      </c>
    </row>
    <row r="14" spans="1:12" x14ac:dyDescent="0.25">
      <c r="A14">
        <v>1714</v>
      </c>
      <c r="B14" t="s">
        <v>39</v>
      </c>
      <c r="C14" t="s">
        <v>58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1714</v>
      </c>
      <c r="B15" t="s">
        <v>8</v>
      </c>
      <c r="C15" t="s">
        <v>58</v>
      </c>
      <c r="D15" t="s">
        <v>33</v>
      </c>
      <c r="F15">
        <v>249</v>
      </c>
      <c r="G15">
        <v>3</v>
      </c>
      <c r="H15">
        <v>4</v>
      </c>
      <c r="J15">
        <f t="shared" si="0"/>
        <v>27976</v>
      </c>
      <c r="L15">
        <f t="shared" si="1"/>
        <v>12.489285714285714</v>
      </c>
    </row>
    <row r="16" spans="1:12" x14ac:dyDescent="0.25">
      <c r="A16">
        <v>1714</v>
      </c>
      <c r="B16" t="s">
        <v>42</v>
      </c>
      <c r="C16" t="s">
        <v>58</v>
      </c>
      <c r="D16" t="s">
        <v>33</v>
      </c>
      <c r="H16">
        <v>62</v>
      </c>
      <c r="J16">
        <f t="shared" si="0"/>
        <v>62</v>
      </c>
      <c r="L16">
        <f t="shared" si="1"/>
        <v>2.7678571428571427E-2</v>
      </c>
    </row>
    <row r="17" spans="1:12" x14ac:dyDescent="0.25">
      <c r="A17">
        <v>1714</v>
      </c>
      <c r="B17" t="s">
        <v>81</v>
      </c>
      <c r="C17" t="s">
        <v>58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1714</v>
      </c>
      <c r="B18" t="s">
        <v>9</v>
      </c>
      <c r="C18" t="s">
        <v>58</v>
      </c>
      <c r="D18" t="s">
        <v>33</v>
      </c>
      <c r="H18">
        <v>115532</v>
      </c>
      <c r="J18">
        <f t="shared" si="0"/>
        <v>115532</v>
      </c>
      <c r="L18">
        <f t="shared" si="1"/>
        <v>51.576785714285712</v>
      </c>
    </row>
    <row r="19" spans="1:12" x14ac:dyDescent="0.25">
      <c r="A19">
        <v>1714</v>
      </c>
      <c r="B19" t="s">
        <v>10</v>
      </c>
      <c r="C19" t="s">
        <v>58</v>
      </c>
      <c r="D19" t="s">
        <v>33</v>
      </c>
      <c r="F19">
        <v>2107</v>
      </c>
      <c r="G19">
        <v>1</v>
      </c>
      <c r="H19">
        <v>24</v>
      </c>
      <c r="J19">
        <f t="shared" si="0"/>
        <v>236036</v>
      </c>
      <c r="L19">
        <f t="shared" si="1"/>
        <v>105.37321428571428</v>
      </c>
    </row>
    <row r="20" spans="1:12" x14ac:dyDescent="0.25">
      <c r="A20">
        <v>1714</v>
      </c>
      <c r="B20" t="s">
        <v>11</v>
      </c>
      <c r="C20" t="s">
        <v>58</v>
      </c>
      <c r="D20" t="s">
        <v>33</v>
      </c>
      <c r="F20">
        <v>127</v>
      </c>
      <c r="G20">
        <v>1</v>
      </c>
      <c r="J20">
        <f t="shared" si="0"/>
        <v>14252</v>
      </c>
      <c r="L20">
        <f t="shared" si="1"/>
        <v>6.3624999999999998</v>
      </c>
    </row>
    <row r="21" spans="1:12" x14ac:dyDescent="0.25">
      <c r="A21">
        <v>1714</v>
      </c>
      <c r="B21" t="s">
        <v>41</v>
      </c>
      <c r="C21" t="s">
        <v>58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1714</v>
      </c>
      <c r="B22" t="s">
        <v>82</v>
      </c>
      <c r="C22" t="s">
        <v>58</v>
      </c>
      <c r="D22" t="s">
        <v>33</v>
      </c>
      <c r="H22">
        <v>1029</v>
      </c>
      <c r="J22">
        <f t="shared" si="0"/>
        <v>1029</v>
      </c>
      <c r="L22">
        <f t="shared" si="1"/>
        <v>0.45937499999999998</v>
      </c>
    </row>
    <row r="23" spans="1:12" x14ac:dyDescent="0.25">
      <c r="A23">
        <v>1714</v>
      </c>
      <c r="B23" t="s">
        <v>46</v>
      </c>
      <c r="C23" t="s">
        <v>58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1714</v>
      </c>
      <c r="B24" t="s">
        <v>12</v>
      </c>
      <c r="C24" t="s">
        <v>58</v>
      </c>
      <c r="D24" t="s">
        <v>33</v>
      </c>
      <c r="H24">
        <v>7005</v>
      </c>
      <c r="J24">
        <f t="shared" si="0"/>
        <v>7005</v>
      </c>
      <c r="L24">
        <f t="shared" si="1"/>
        <v>3.1272321428571428</v>
      </c>
    </row>
    <row r="25" spans="1:12" x14ac:dyDescent="0.25">
      <c r="A25">
        <v>1714</v>
      </c>
      <c r="B25" t="s">
        <v>34</v>
      </c>
      <c r="C25" t="s">
        <v>58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1714</v>
      </c>
      <c r="B26" t="s">
        <v>13</v>
      </c>
      <c r="C26" t="s">
        <v>58</v>
      </c>
      <c r="D26" t="s">
        <v>33</v>
      </c>
      <c r="F26">
        <v>15</v>
      </c>
      <c r="G26">
        <v>3</v>
      </c>
      <c r="J26">
        <f t="shared" si="0"/>
        <v>1764</v>
      </c>
      <c r="L26">
        <f t="shared" si="1"/>
        <v>0.78749999999999998</v>
      </c>
    </row>
    <row r="27" spans="1:12" x14ac:dyDescent="0.25">
      <c r="A27">
        <v>1714</v>
      </c>
      <c r="B27" t="s">
        <v>14</v>
      </c>
      <c r="C27" t="s">
        <v>58</v>
      </c>
      <c r="D27" t="s">
        <v>33</v>
      </c>
      <c r="H27">
        <v>26086.5</v>
      </c>
      <c r="I27" t="s">
        <v>109</v>
      </c>
      <c r="J27">
        <f t="shared" si="0"/>
        <v>26086.5</v>
      </c>
      <c r="L27">
        <f t="shared" si="1"/>
        <v>11.645758928571428</v>
      </c>
    </row>
    <row r="28" spans="1:12" x14ac:dyDescent="0.25">
      <c r="A28">
        <v>1714</v>
      </c>
      <c r="B28" t="s">
        <v>23</v>
      </c>
      <c r="C28" t="s">
        <v>58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1714</v>
      </c>
      <c r="B29" t="s">
        <v>27</v>
      </c>
      <c r="C29" t="s">
        <v>58</v>
      </c>
      <c r="D29" t="s">
        <v>33</v>
      </c>
      <c r="H29">
        <v>82461</v>
      </c>
      <c r="I29" t="s">
        <v>108</v>
      </c>
      <c r="J29">
        <f t="shared" si="0"/>
        <v>82461</v>
      </c>
      <c r="L29">
        <f t="shared" si="1"/>
        <v>36.812946428571429</v>
      </c>
    </row>
    <row r="30" spans="1:12" x14ac:dyDescent="0.25">
      <c r="A30">
        <v>1714</v>
      </c>
      <c r="B30" t="s">
        <v>15</v>
      </c>
      <c r="C30" t="s">
        <v>58</v>
      </c>
      <c r="D30" t="s">
        <v>33</v>
      </c>
      <c r="F30">
        <v>748</v>
      </c>
      <c r="G30">
        <v>2</v>
      </c>
      <c r="J30">
        <f t="shared" si="0"/>
        <v>83832</v>
      </c>
      <c r="L30">
        <f t="shared" si="1"/>
        <v>37.424999999999997</v>
      </c>
    </row>
    <row r="31" spans="1:12" x14ac:dyDescent="0.25">
      <c r="A31">
        <v>1714</v>
      </c>
      <c r="B31" t="s">
        <v>44</v>
      </c>
      <c r="C31" t="s">
        <v>58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1714</v>
      </c>
      <c r="B32" t="s">
        <v>49</v>
      </c>
      <c r="C32" t="s">
        <v>58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1714</v>
      </c>
      <c r="B33" t="s">
        <v>16</v>
      </c>
      <c r="C33" t="s">
        <v>58</v>
      </c>
      <c r="D33" t="s">
        <v>33</v>
      </c>
      <c r="H33">
        <v>172</v>
      </c>
      <c r="J33">
        <f t="shared" si="0"/>
        <v>172</v>
      </c>
      <c r="L33">
        <f t="shared" si="1"/>
        <v>7.678571428571429E-2</v>
      </c>
    </row>
    <row r="34" spans="1:12" x14ac:dyDescent="0.25">
      <c r="A34">
        <v>1714</v>
      </c>
      <c r="B34" t="s">
        <v>17</v>
      </c>
      <c r="C34" t="s">
        <v>58</v>
      </c>
      <c r="D34" t="s">
        <v>33</v>
      </c>
      <c r="F34">
        <v>323</v>
      </c>
      <c r="G34">
        <v>1</v>
      </c>
      <c r="H34">
        <v>7</v>
      </c>
      <c r="J34">
        <f t="shared" si="0"/>
        <v>36211</v>
      </c>
      <c r="L34">
        <f t="shared" si="1"/>
        <v>16.165624999999999</v>
      </c>
    </row>
    <row r="35" spans="1:12" x14ac:dyDescent="0.25">
      <c r="A35">
        <v>1714</v>
      </c>
      <c r="B35" t="s">
        <v>18</v>
      </c>
      <c r="C35" t="s">
        <v>58</v>
      </c>
      <c r="D35" t="s">
        <v>33</v>
      </c>
      <c r="H35">
        <v>66287</v>
      </c>
      <c r="I35" t="s">
        <v>110</v>
      </c>
      <c r="J35">
        <f t="shared" si="0"/>
        <v>66287</v>
      </c>
      <c r="L35">
        <f t="shared" si="1"/>
        <v>29.592410714285716</v>
      </c>
    </row>
    <row r="36" spans="1:12" x14ac:dyDescent="0.25">
      <c r="A36">
        <v>1714</v>
      </c>
      <c r="B36" t="s">
        <v>26</v>
      </c>
      <c r="C36" t="s">
        <v>58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1714</v>
      </c>
      <c r="B37" t="s">
        <v>19</v>
      </c>
      <c r="C37" t="s">
        <v>58</v>
      </c>
      <c r="D37" t="s">
        <v>33</v>
      </c>
      <c r="F37">
        <v>39</v>
      </c>
      <c r="G37">
        <v>1</v>
      </c>
      <c r="H37">
        <v>27</v>
      </c>
      <c r="J37">
        <f t="shared" si="0"/>
        <v>4423</v>
      </c>
      <c r="L37">
        <f t="shared" si="1"/>
        <v>1.9745535714285714</v>
      </c>
    </row>
    <row r="38" spans="1:12" x14ac:dyDescent="0.25">
      <c r="A38">
        <v>1714</v>
      </c>
      <c r="B38" t="s">
        <v>47</v>
      </c>
      <c r="C38" t="s">
        <v>58</v>
      </c>
      <c r="D38" t="s">
        <v>33</v>
      </c>
      <c r="H38">
        <v>2387</v>
      </c>
      <c r="J38">
        <f t="shared" si="0"/>
        <v>2387</v>
      </c>
      <c r="L38">
        <f t="shared" si="1"/>
        <v>1.065625</v>
      </c>
    </row>
    <row r="39" spans="1:12" x14ac:dyDescent="0.25">
      <c r="A39">
        <v>1714</v>
      </c>
      <c r="B39" t="s">
        <v>56</v>
      </c>
      <c r="C39" t="s">
        <v>58</v>
      </c>
      <c r="D39" t="s">
        <v>33</v>
      </c>
      <c r="H39">
        <v>1732</v>
      </c>
      <c r="J39">
        <f t="shared" si="0"/>
        <v>1732</v>
      </c>
      <c r="L39">
        <f t="shared" si="1"/>
        <v>0.77321428571428574</v>
      </c>
    </row>
    <row r="40" spans="1:12" x14ac:dyDescent="0.25">
      <c r="A40">
        <v>1714</v>
      </c>
      <c r="B40" t="s">
        <v>102</v>
      </c>
      <c r="C40" t="s">
        <v>58</v>
      </c>
      <c r="D40" t="s">
        <v>33</v>
      </c>
      <c r="H40">
        <v>931</v>
      </c>
      <c r="J40">
        <f t="shared" si="0"/>
        <v>931</v>
      </c>
      <c r="L40">
        <f t="shared" si="1"/>
        <v>0.41562500000000002</v>
      </c>
    </row>
    <row r="41" spans="1:12" x14ac:dyDescent="0.25">
      <c r="A41">
        <v>1714</v>
      </c>
      <c r="B41" t="s">
        <v>20</v>
      </c>
      <c r="C41" t="s">
        <v>58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1714</v>
      </c>
      <c r="B42" t="s">
        <v>21</v>
      </c>
      <c r="C42" t="s">
        <v>58</v>
      </c>
      <c r="D42" t="s">
        <v>33</v>
      </c>
      <c r="H42">
        <v>99</v>
      </c>
      <c r="J42">
        <f t="shared" si="0"/>
        <v>99</v>
      </c>
      <c r="L42">
        <f t="shared" si="1"/>
        <v>4.4196428571428574E-2</v>
      </c>
    </row>
    <row r="43" spans="1:12" x14ac:dyDescent="0.25">
      <c r="A43">
        <v>1714</v>
      </c>
      <c r="B43" t="s">
        <v>22</v>
      </c>
      <c r="C43" t="s">
        <v>58</v>
      </c>
      <c r="D43" t="s">
        <v>33</v>
      </c>
      <c r="F43">
        <v>192</v>
      </c>
      <c r="J43">
        <f t="shared" si="0"/>
        <v>21504</v>
      </c>
      <c r="L43">
        <f t="shared" si="1"/>
        <v>9.6</v>
      </c>
    </row>
    <row r="44" spans="1:12" x14ac:dyDescent="0.25">
      <c r="A44">
        <v>1714</v>
      </c>
      <c r="B44" t="s">
        <v>63</v>
      </c>
      <c r="C44" t="s">
        <v>58</v>
      </c>
      <c r="D44" t="s">
        <v>33</v>
      </c>
      <c r="E44">
        <v>1</v>
      </c>
      <c r="F44">
        <v>1</v>
      </c>
      <c r="G44">
        <v>1</v>
      </c>
      <c r="J44">
        <f t="shared" si="0"/>
        <v>2380</v>
      </c>
      <c r="L44">
        <f t="shared" si="1"/>
        <v>1.0625</v>
      </c>
    </row>
    <row r="45" spans="1:12" x14ac:dyDescent="0.25">
      <c r="A45">
        <v>1714</v>
      </c>
      <c r="B45" t="s">
        <v>64</v>
      </c>
      <c r="C45" t="s">
        <v>58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1714</v>
      </c>
      <c r="B46" t="s">
        <v>65</v>
      </c>
      <c r="C46" t="s">
        <v>58</v>
      </c>
      <c r="D46" t="s">
        <v>33</v>
      </c>
      <c r="E46">
        <v>30</v>
      </c>
      <c r="F46">
        <v>6</v>
      </c>
      <c r="H46">
        <v>12</v>
      </c>
      <c r="J46">
        <f t="shared" si="0"/>
        <v>67884</v>
      </c>
      <c r="L46">
        <f t="shared" si="1"/>
        <v>30.305357142857144</v>
      </c>
    </row>
    <row r="47" spans="1:12" x14ac:dyDescent="0.25">
      <c r="A47">
        <v>1714</v>
      </c>
      <c r="B47" t="s">
        <v>73</v>
      </c>
      <c r="C47" t="s">
        <v>58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1714</v>
      </c>
      <c r="B48" t="s">
        <v>66</v>
      </c>
      <c r="C48" t="s">
        <v>58</v>
      </c>
      <c r="D48" t="s">
        <v>33</v>
      </c>
      <c r="E48">
        <v>50</v>
      </c>
      <c r="F48">
        <v>12</v>
      </c>
      <c r="G48">
        <v>1</v>
      </c>
      <c r="J48">
        <f t="shared" si="0"/>
        <v>113372</v>
      </c>
      <c r="L48">
        <f t="shared" si="1"/>
        <v>50.612499999999997</v>
      </c>
    </row>
    <row r="49" spans="1:12" x14ac:dyDescent="0.25">
      <c r="A49">
        <v>1714</v>
      </c>
      <c r="B49" t="s">
        <v>67</v>
      </c>
      <c r="C49" t="s">
        <v>58</v>
      </c>
      <c r="D49" t="s">
        <v>33</v>
      </c>
      <c r="F49">
        <v>17</v>
      </c>
      <c r="G49">
        <v>2</v>
      </c>
      <c r="J49">
        <f t="shared" si="0"/>
        <v>1960</v>
      </c>
      <c r="L49">
        <f t="shared" si="1"/>
        <v>0.875</v>
      </c>
    </row>
    <row r="50" spans="1:12" x14ac:dyDescent="0.25">
      <c r="A50">
        <v>1714</v>
      </c>
      <c r="B50" t="s">
        <v>57</v>
      </c>
      <c r="C50" t="s">
        <v>58</v>
      </c>
      <c r="D50" t="s">
        <v>35</v>
      </c>
      <c r="J50">
        <f t="shared" si="0"/>
        <v>0</v>
      </c>
      <c r="L50">
        <f t="shared" si="1"/>
        <v>0</v>
      </c>
    </row>
    <row r="51" spans="1:12" x14ac:dyDescent="0.25">
      <c r="A51">
        <v>1714</v>
      </c>
      <c r="B51" t="s">
        <v>59</v>
      </c>
      <c r="C51" t="s">
        <v>58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1714</v>
      </c>
      <c r="B52" t="s">
        <v>38</v>
      </c>
      <c r="C52" t="s">
        <v>58</v>
      </c>
      <c r="D52" t="s">
        <v>35</v>
      </c>
      <c r="H52">
        <v>758</v>
      </c>
      <c r="J52">
        <f t="shared" si="0"/>
        <v>758</v>
      </c>
      <c r="L52">
        <f t="shared" si="1"/>
        <v>0.33839285714285716</v>
      </c>
    </row>
    <row r="53" spans="1:12" x14ac:dyDescent="0.25">
      <c r="A53">
        <v>1714</v>
      </c>
      <c r="B53" t="s">
        <v>4</v>
      </c>
      <c r="C53" t="s">
        <v>58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1714</v>
      </c>
      <c r="B54" t="s">
        <v>60</v>
      </c>
      <c r="C54" t="s">
        <v>58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1714</v>
      </c>
      <c r="B55" t="s">
        <v>97</v>
      </c>
      <c r="C55" t="s">
        <v>58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1714</v>
      </c>
      <c r="B56" t="s">
        <v>45</v>
      </c>
      <c r="C56" t="s">
        <v>58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1714</v>
      </c>
      <c r="B57" t="s">
        <v>5</v>
      </c>
      <c r="C57" t="s">
        <v>58</v>
      </c>
      <c r="D57" t="s">
        <v>35</v>
      </c>
      <c r="F57">
        <v>6</v>
      </c>
      <c r="G57">
        <v>1</v>
      </c>
      <c r="H57">
        <v>7</v>
      </c>
      <c r="J57">
        <f t="shared" si="0"/>
        <v>707</v>
      </c>
      <c r="L57">
        <f t="shared" si="1"/>
        <v>0.31562499999999999</v>
      </c>
    </row>
    <row r="58" spans="1:12" x14ac:dyDescent="0.25">
      <c r="A58">
        <v>1714</v>
      </c>
      <c r="B58" t="s">
        <v>61</v>
      </c>
      <c r="C58" t="s">
        <v>58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1714</v>
      </c>
      <c r="B59" t="s">
        <v>6</v>
      </c>
      <c r="C59" t="s">
        <v>58</v>
      </c>
      <c r="D59" t="s">
        <v>35</v>
      </c>
      <c r="F59">
        <v>41777</v>
      </c>
      <c r="G59">
        <v>2</v>
      </c>
      <c r="H59">
        <v>21</v>
      </c>
      <c r="J59">
        <f t="shared" si="0"/>
        <v>4679101</v>
      </c>
      <c r="L59">
        <f t="shared" si="1"/>
        <v>2088.8843750000001</v>
      </c>
    </row>
    <row r="60" spans="1:12" x14ac:dyDescent="0.25">
      <c r="A60">
        <v>1714</v>
      </c>
      <c r="B60" t="s">
        <v>62</v>
      </c>
      <c r="C60" t="s">
        <v>58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1714</v>
      </c>
      <c r="B61" t="s">
        <v>40</v>
      </c>
      <c r="C61" t="s">
        <v>58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1714</v>
      </c>
      <c r="B62" t="s">
        <v>39</v>
      </c>
      <c r="C62" t="s">
        <v>58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1714</v>
      </c>
      <c r="B63" t="s">
        <v>8</v>
      </c>
      <c r="C63" t="s">
        <v>58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1714</v>
      </c>
      <c r="B64" t="s">
        <v>42</v>
      </c>
      <c r="C64" t="s">
        <v>58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1714</v>
      </c>
      <c r="B65" t="s">
        <v>9</v>
      </c>
      <c r="C65" t="s">
        <v>58</v>
      </c>
      <c r="D65" t="s">
        <v>35</v>
      </c>
      <c r="H65">
        <v>269445</v>
      </c>
      <c r="J65">
        <f t="shared" si="0"/>
        <v>269445</v>
      </c>
      <c r="L65">
        <f t="shared" si="1"/>
        <v>120.28794642857143</v>
      </c>
    </row>
    <row r="66" spans="1:12" x14ac:dyDescent="0.25">
      <c r="A66">
        <v>1714</v>
      </c>
      <c r="B66" t="s">
        <v>10</v>
      </c>
      <c r="C66" t="s">
        <v>58</v>
      </c>
      <c r="D66" t="s">
        <v>35</v>
      </c>
      <c r="F66">
        <v>89</v>
      </c>
      <c r="G66">
        <v>3</v>
      </c>
      <c r="H66">
        <v>12</v>
      </c>
      <c r="J66">
        <f t="shared" si="0"/>
        <v>10064</v>
      </c>
      <c r="L66">
        <f t="shared" si="1"/>
        <v>4.4928571428571429</v>
      </c>
    </row>
    <row r="67" spans="1:12" x14ac:dyDescent="0.25">
      <c r="A67">
        <v>1714</v>
      </c>
      <c r="B67" t="s">
        <v>11</v>
      </c>
      <c r="C67" t="s">
        <v>58</v>
      </c>
      <c r="D67" t="s">
        <v>35</v>
      </c>
      <c r="F67">
        <v>245</v>
      </c>
      <c r="G67">
        <v>2</v>
      </c>
      <c r="H67">
        <v>22</v>
      </c>
      <c r="J67">
        <f t="shared" ref="J67:J98" si="2">(E67*2240)+(F67*112)+(G67*28)+H67</f>
        <v>27518</v>
      </c>
      <c r="L67">
        <f t="shared" ref="L67:L98" si="3">J67/2240</f>
        <v>12.284821428571428</v>
      </c>
    </row>
    <row r="68" spans="1:12" x14ac:dyDescent="0.25">
      <c r="A68">
        <v>1714</v>
      </c>
      <c r="B68" t="s">
        <v>41</v>
      </c>
      <c r="C68" t="s">
        <v>58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1714</v>
      </c>
      <c r="B69" t="s">
        <v>82</v>
      </c>
      <c r="C69" t="s">
        <v>58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1714</v>
      </c>
      <c r="B70" t="s">
        <v>46</v>
      </c>
      <c r="C70" t="s">
        <v>58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1714</v>
      </c>
      <c r="B71" t="s">
        <v>12</v>
      </c>
      <c r="C71" t="s">
        <v>58</v>
      </c>
      <c r="D71" t="s">
        <v>35</v>
      </c>
      <c r="H71">
        <v>140</v>
      </c>
      <c r="J71">
        <f t="shared" si="2"/>
        <v>140</v>
      </c>
      <c r="L71">
        <f t="shared" si="3"/>
        <v>6.25E-2</v>
      </c>
    </row>
    <row r="72" spans="1:12" x14ac:dyDescent="0.25">
      <c r="A72">
        <v>1714</v>
      </c>
      <c r="B72" t="s">
        <v>34</v>
      </c>
      <c r="C72" t="s">
        <v>58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1714</v>
      </c>
      <c r="B73" t="s">
        <v>13</v>
      </c>
      <c r="C73" t="s">
        <v>58</v>
      </c>
      <c r="D73" t="s">
        <v>35</v>
      </c>
      <c r="F73">
        <v>43</v>
      </c>
      <c r="G73">
        <v>2</v>
      </c>
      <c r="H73">
        <v>19</v>
      </c>
      <c r="J73">
        <f t="shared" si="2"/>
        <v>4891</v>
      </c>
      <c r="L73">
        <f t="shared" si="3"/>
        <v>2.1834821428571427</v>
      </c>
    </row>
    <row r="74" spans="1:12" x14ac:dyDescent="0.25">
      <c r="A74">
        <v>1714</v>
      </c>
      <c r="B74" t="s">
        <v>14</v>
      </c>
      <c r="C74" t="s">
        <v>58</v>
      </c>
      <c r="D74" t="s">
        <v>35</v>
      </c>
      <c r="H74">
        <v>11123</v>
      </c>
      <c r="I74" t="s">
        <v>127</v>
      </c>
      <c r="J74">
        <f t="shared" si="2"/>
        <v>11123</v>
      </c>
      <c r="L74">
        <f t="shared" si="3"/>
        <v>4.9656250000000002</v>
      </c>
    </row>
    <row r="75" spans="1:12" x14ac:dyDescent="0.25">
      <c r="A75">
        <v>1714</v>
      </c>
      <c r="B75" t="s">
        <v>23</v>
      </c>
      <c r="C75" t="s">
        <v>58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1714</v>
      </c>
      <c r="B76" t="s">
        <v>27</v>
      </c>
      <c r="C76" t="s">
        <v>58</v>
      </c>
      <c r="D76" t="s">
        <v>35</v>
      </c>
      <c r="H76">
        <v>1490</v>
      </c>
      <c r="I76" t="s">
        <v>126</v>
      </c>
      <c r="J76">
        <f t="shared" si="2"/>
        <v>1490</v>
      </c>
      <c r="L76">
        <f t="shared" si="3"/>
        <v>0.6651785714285714</v>
      </c>
    </row>
    <row r="77" spans="1:12" x14ac:dyDescent="0.25">
      <c r="A77">
        <v>1714</v>
      </c>
      <c r="B77" t="s">
        <v>15</v>
      </c>
      <c r="C77" t="s">
        <v>58</v>
      </c>
      <c r="D77" t="s">
        <v>35</v>
      </c>
      <c r="F77">
        <v>40</v>
      </c>
      <c r="G77">
        <v>2</v>
      </c>
      <c r="H77">
        <v>27</v>
      </c>
      <c r="J77">
        <f t="shared" si="2"/>
        <v>4563</v>
      </c>
      <c r="L77">
        <f t="shared" si="3"/>
        <v>2.0370535714285714</v>
      </c>
    </row>
    <row r="78" spans="1:12" x14ac:dyDescent="0.25">
      <c r="A78">
        <v>1714</v>
      </c>
      <c r="B78" t="s">
        <v>98</v>
      </c>
      <c r="C78" t="s">
        <v>58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1714</v>
      </c>
      <c r="B79" t="s">
        <v>44</v>
      </c>
      <c r="C79" t="s">
        <v>58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1714</v>
      </c>
      <c r="B80" t="s">
        <v>49</v>
      </c>
      <c r="C80" t="s">
        <v>58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1714</v>
      </c>
      <c r="B81" t="s">
        <v>16</v>
      </c>
      <c r="C81" t="s">
        <v>58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1714</v>
      </c>
      <c r="B82" t="s">
        <v>17</v>
      </c>
      <c r="C82" t="s">
        <v>58</v>
      </c>
      <c r="D82" t="s">
        <v>35</v>
      </c>
      <c r="F82">
        <v>254</v>
      </c>
      <c r="G82">
        <v>2</v>
      </c>
      <c r="H82">
        <v>25</v>
      </c>
      <c r="J82">
        <f t="shared" si="2"/>
        <v>28529</v>
      </c>
      <c r="L82">
        <f t="shared" si="3"/>
        <v>12.736160714285715</v>
      </c>
    </row>
    <row r="83" spans="1:12" x14ac:dyDescent="0.25">
      <c r="A83">
        <v>1714</v>
      </c>
      <c r="B83" t="s">
        <v>18</v>
      </c>
      <c r="C83" t="s">
        <v>58</v>
      </c>
      <c r="D83" t="s">
        <v>35</v>
      </c>
      <c r="H83">
        <v>11778</v>
      </c>
      <c r="I83" t="s">
        <v>128</v>
      </c>
      <c r="J83">
        <f t="shared" si="2"/>
        <v>11778</v>
      </c>
      <c r="L83">
        <f t="shared" si="3"/>
        <v>5.2580357142857146</v>
      </c>
    </row>
    <row r="84" spans="1:12" x14ac:dyDescent="0.25">
      <c r="A84">
        <v>1714</v>
      </c>
      <c r="B84" t="s">
        <v>26</v>
      </c>
      <c r="C84" t="s">
        <v>58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1714</v>
      </c>
      <c r="B85" t="s">
        <v>19</v>
      </c>
      <c r="C85" t="s">
        <v>58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1714</v>
      </c>
      <c r="B86" t="s">
        <v>47</v>
      </c>
      <c r="C86" t="s">
        <v>58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1714</v>
      </c>
      <c r="B87" t="s">
        <v>56</v>
      </c>
      <c r="C87" t="s">
        <v>58</v>
      </c>
      <c r="D87" t="s">
        <v>35</v>
      </c>
      <c r="H87">
        <v>120</v>
      </c>
      <c r="J87">
        <f t="shared" si="2"/>
        <v>120</v>
      </c>
      <c r="L87">
        <f t="shared" si="3"/>
        <v>5.3571428571428568E-2</v>
      </c>
    </row>
    <row r="88" spans="1:12" x14ac:dyDescent="0.25">
      <c r="A88">
        <v>1714</v>
      </c>
      <c r="B88" t="s">
        <v>102</v>
      </c>
      <c r="C88" t="s">
        <v>58</v>
      </c>
      <c r="D88" t="s">
        <v>35</v>
      </c>
      <c r="H88">
        <v>3</v>
      </c>
      <c r="J88">
        <f t="shared" si="2"/>
        <v>3</v>
      </c>
      <c r="L88">
        <f t="shared" si="3"/>
        <v>1.3392857142857143E-3</v>
      </c>
    </row>
    <row r="89" spans="1:12" x14ac:dyDescent="0.25">
      <c r="A89">
        <v>1714</v>
      </c>
      <c r="B89" t="s">
        <v>20</v>
      </c>
      <c r="C89" t="s">
        <v>58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1714</v>
      </c>
      <c r="B90" t="s">
        <v>21</v>
      </c>
      <c r="C90" t="s">
        <v>58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1714</v>
      </c>
      <c r="B91" t="s">
        <v>22</v>
      </c>
      <c r="C91" t="s">
        <v>58</v>
      </c>
      <c r="D91" t="s">
        <v>35</v>
      </c>
      <c r="F91">
        <v>5</v>
      </c>
      <c r="G91">
        <v>3</v>
      </c>
      <c r="H91">
        <v>8</v>
      </c>
      <c r="J91">
        <f t="shared" si="2"/>
        <v>652</v>
      </c>
      <c r="L91">
        <f t="shared" si="3"/>
        <v>0.29107142857142859</v>
      </c>
    </row>
    <row r="92" spans="1:12" x14ac:dyDescent="0.25">
      <c r="A92">
        <v>1714</v>
      </c>
      <c r="B92" t="s">
        <v>63</v>
      </c>
      <c r="C92" t="s">
        <v>58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1714</v>
      </c>
      <c r="B93" t="s">
        <v>64</v>
      </c>
      <c r="C93" t="s">
        <v>58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1714</v>
      </c>
      <c r="B94" t="s">
        <v>65</v>
      </c>
      <c r="C94" t="s">
        <v>58</v>
      </c>
      <c r="D94" t="s">
        <v>35</v>
      </c>
      <c r="E94">
        <v>113</v>
      </c>
      <c r="F94">
        <v>16</v>
      </c>
      <c r="G94">
        <v>2</v>
      </c>
      <c r="H94">
        <v>13</v>
      </c>
      <c r="J94">
        <f t="shared" si="2"/>
        <v>254981</v>
      </c>
      <c r="L94">
        <f t="shared" si="3"/>
        <v>113.83080357142858</v>
      </c>
    </row>
    <row r="95" spans="1:12" x14ac:dyDescent="0.25">
      <c r="A95">
        <v>1714</v>
      </c>
      <c r="B95" t="s">
        <v>93</v>
      </c>
      <c r="C95" t="s">
        <v>58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1714</v>
      </c>
      <c r="B96" t="s">
        <v>73</v>
      </c>
      <c r="C96" t="s">
        <v>58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1714</v>
      </c>
      <c r="B97" t="s">
        <v>66</v>
      </c>
      <c r="C97" t="s">
        <v>58</v>
      </c>
      <c r="D97" t="s">
        <v>35</v>
      </c>
      <c r="E97">
        <v>8</v>
      </c>
      <c r="F97">
        <v>5</v>
      </c>
      <c r="G97">
        <v>3</v>
      </c>
      <c r="H97">
        <v>18</v>
      </c>
      <c r="J97">
        <f t="shared" si="2"/>
        <v>18582</v>
      </c>
      <c r="L97">
        <f t="shared" si="3"/>
        <v>8.2955357142857142</v>
      </c>
    </row>
    <row r="98" spans="1:12" x14ac:dyDescent="0.25">
      <c r="A98">
        <v>1714</v>
      </c>
      <c r="B98" t="s">
        <v>67</v>
      </c>
      <c r="C98" t="s">
        <v>58</v>
      </c>
      <c r="D98" t="s">
        <v>35</v>
      </c>
      <c r="J98">
        <f t="shared" si="2"/>
        <v>0</v>
      </c>
      <c r="L98">
        <f t="shared" si="3"/>
        <v>0</v>
      </c>
    </row>
  </sheetData>
  <autoFilter ref="A1:N53" xr:uid="{AAD1F908-12B8-4B3A-A65D-184CD229ACD4}">
    <sortState xmlns:xlrd2="http://schemas.microsoft.com/office/spreadsheetml/2017/richdata2" ref="A2:N53">
      <sortCondition ref="B1:B5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23"/>
  <sheetViews>
    <sheetView workbookViewId="0">
      <selection activeCell="H6" sqref="H6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1714</v>
      </c>
      <c r="B2" t="s">
        <v>68</v>
      </c>
      <c r="C2" t="s">
        <v>69</v>
      </c>
      <c r="D2" t="s">
        <v>33</v>
      </c>
      <c r="J2">
        <f t="shared" ref="J2:J23" si="0">(E2*2240)+(F2*112)+(G2*28)+H2</f>
        <v>0</v>
      </c>
      <c r="L2">
        <f t="shared" ref="L2:L23" si="1">J2/2240</f>
        <v>0</v>
      </c>
    </row>
    <row r="3" spans="1:12" x14ac:dyDescent="0.25">
      <c r="A3">
        <v>1714</v>
      </c>
      <c r="B3" t="s">
        <v>6</v>
      </c>
      <c r="C3" t="s">
        <v>69</v>
      </c>
      <c r="D3" t="s">
        <v>33</v>
      </c>
      <c r="E3" s="1"/>
      <c r="F3">
        <v>916</v>
      </c>
      <c r="I3" s="1"/>
      <c r="J3">
        <f t="shared" si="0"/>
        <v>102592</v>
      </c>
      <c r="K3" s="1"/>
      <c r="L3">
        <f t="shared" si="1"/>
        <v>45.8</v>
      </c>
    </row>
    <row r="4" spans="1:12" x14ac:dyDescent="0.25">
      <c r="A4">
        <v>1714</v>
      </c>
      <c r="B4" t="s">
        <v>8</v>
      </c>
      <c r="C4" t="s">
        <v>69</v>
      </c>
      <c r="D4" t="s">
        <v>33</v>
      </c>
      <c r="E4" s="1"/>
      <c r="F4" s="1"/>
      <c r="G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A5">
        <v>1714</v>
      </c>
      <c r="B5" t="s">
        <v>9</v>
      </c>
      <c r="C5" t="s">
        <v>69</v>
      </c>
      <c r="D5" t="s">
        <v>33</v>
      </c>
      <c r="H5">
        <f>1*200+224</f>
        <v>424</v>
      </c>
      <c r="I5" t="s">
        <v>111</v>
      </c>
      <c r="J5">
        <f t="shared" si="0"/>
        <v>424</v>
      </c>
      <c r="L5">
        <f t="shared" si="1"/>
        <v>0.18928571428571428</v>
      </c>
    </row>
    <row r="6" spans="1:12" x14ac:dyDescent="0.25">
      <c r="A6">
        <v>1714</v>
      </c>
      <c r="B6" t="s">
        <v>12</v>
      </c>
      <c r="C6" t="s">
        <v>69</v>
      </c>
      <c r="D6" t="s">
        <v>33</v>
      </c>
      <c r="H6">
        <v>7354</v>
      </c>
      <c r="J6">
        <f t="shared" si="0"/>
        <v>7354</v>
      </c>
      <c r="L6">
        <f t="shared" si="1"/>
        <v>3.2830357142857145</v>
      </c>
    </row>
    <row r="7" spans="1:12" x14ac:dyDescent="0.25">
      <c r="A7">
        <v>1714</v>
      </c>
      <c r="B7" t="s">
        <v>27</v>
      </c>
      <c r="C7" t="s">
        <v>69</v>
      </c>
      <c r="D7" t="s">
        <v>33</v>
      </c>
      <c r="J7">
        <f t="shared" si="0"/>
        <v>0</v>
      </c>
      <c r="K7" s="1"/>
      <c r="L7">
        <f t="shared" si="1"/>
        <v>0</v>
      </c>
    </row>
    <row r="8" spans="1:12" x14ac:dyDescent="0.25">
      <c r="A8">
        <v>1714</v>
      </c>
      <c r="B8" t="s">
        <v>17</v>
      </c>
      <c r="C8" t="s">
        <v>69</v>
      </c>
      <c r="D8" t="s">
        <v>33</v>
      </c>
      <c r="F8">
        <v>46</v>
      </c>
      <c r="G8">
        <v>2</v>
      </c>
      <c r="J8">
        <f t="shared" si="0"/>
        <v>5208</v>
      </c>
      <c r="K8" s="1"/>
      <c r="L8">
        <f t="shared" si="1"/>
        <v>2.3250000000000002</v>
      </c>
    </row>
    <row r="9" spans="1:12" x14ac:dyDescent="0.25">
      <c r="A9">
        <v>1714</v>
      </c>
      <c r="B9" t="s">
        <v>18</v>
      </c>
      <c r="C9" t="s">
        <v>69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1714</v>
      </c>
      <c r="B10" t="s">
        <v>21</v>
      </c>
      <c r="C10" t="s">
        <v>69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1714</v>
      </c>
      <c r="B11" t="s">
        <v>63</v>
      </c>
      <c r="C11" t="s">
        <v>69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1714</v>
      </c>
      <c r="B12" t="s">
        <v>65</v>
      </c>
      <c r="C12" t="s">
        <v>69</v>
      </c>
      <c r="D12" t="s">
        <v>33</v>
      </c>
      <c r="E12">
        <v>5</v>
      </c>
      <c r="F12">
        <v>18</v>
      </c>
      <c r="G12">
        <v>1</v>
      </c>
      <c r="H12">
        <v>14</v>
      </c>
      <c r="J12">
        <f t="shared" si="0"/>
        <v>13258</v>
      </c>
      <c r="L12">
        <f t="shared" si="1"/>
        <v>5.9187500000000002</v>
      </c>
    </row>
    <row r="13" spans="1:12" x14ac:dyDescent="0.25">
      <c r="A13">
        <v>1714</v>
      </c>
      <c r="B13" t="s">
        <v>6</v>
      </c>
      <c r="C13" t="s">
        <v>69</v>
      </c>
      <c r="D13" t="s">
        <v>35</v>
      </c>
      <c r="J13">
        <f t="shared" si="0"/>
        <v>0</v>
      </c>
      <c r="L13">
        <f t="shared" si="1"/>
        <v>0</v>
      </c>
    </row>
    <row r="14" spans="1:12" x14ac:dyDescent="0.25">
      <c r="A14">
        <v>1714</v>
      </c>
      <c r="B14" t="s">
        <v>12</v>
      </c>
      <c r="C14" t="s">
        <v>69</v>
      </c>
      <c r="D14" t="s">
        <v>35</v>
      </c>
      <c r="H14">
        <v>298</v>
      </c>
      <c r="J14">
        <f t="shared" si="0"/>
        <v>298</v>
      </c>
      <c r="L14">
        <f t="shared" si="1"/>
        <v>0.13303571428571428</v>
      </c>
    </row>
    <row r="15" spans="1:12" x14ac:dyDescent="0.25">
      <c r="A15">
        <v>1714</v>
      </c>
      <c r="B15" t="s">
        <v>43</v>
      </c>
      <c r="C15" t="s">
        <v>69</v>
      </c>
      <c r="D15" t="s">
        <v>35</v>
      </c>
      <c r="J15">
        <f t="shared" si="0"/>
        <v>0</v>
      </c>
      <c r="L15">
        <f t="shared" si="1"/>
        <v>0</v>
      </c>
    </row>
    <row r="16" spans="1:12" x14ac:dyDescent="0.25">
      <c r="A16">
        <v>1714</v>
      </c>
      <c r="B16" t="s">
        <v>27</v>
      </c>
      <c r="C16" t="s">
        <v>69</v>
      </c>
      <c r="D16" t="s">
        <v>35</v>
      </c>
      <c r="J16">
        <f t="shared" si="0"/>
        <v>0</v>
      </c>
      <c r="L16">
        <f t="shared" si="1"/>
        <v>0</v>
      </c>
    </row>
    <row r="17" spans="1:12" x14ac:dyDescent="0.25">
      <c r="A17">
        <v>1714</v>
      </c>
      <c r="B17" t="s">
        <v>17</v>
      </c>
      <c r="C17" t="s">
        <v>69</v>
      </c>
      <c r="D17" t="s">
        <v>35</v>
      </c>
      <c r="J17">
        <f t="shared" si="0"/>
        <v>0</v>
      </c>
      <c r="L17">
        <f t="shared" si="1"/>
        <v>0</v>
      </c>
    </row>
    <row r="18" spans="1:12" x14ac:dyDescent="0.25">
      <c r="A18">
        <v>1714</v>
      </c>
      <c r="B18" t="s">
        <v>19</v>
      </c>
      <c r="C18" t="s">
        <v>69</v>
      </c>
      <c r="D18" t="s">
        <v>35</v>
      </c>
      <c r="J18">
        <f t="shared" si="0"/>
        <v>0</v>
      </c>
      <c r="L18">
        <f t="shared" si="1"/>
        <v>0</v>
      </c>
    </row>
    <row r="19" spans="1:12" x14ac:dyDescent="0.25">
      <c r="A19">
        <v>1714</v>
      </c>
      <c r="B19" t="s">
        <v>56</v>
      </c>
      <c r="C19" t="s">
        <v>69</v>
      </c>
      <c r="D19" t="s">
        <v>35</v>
      </c>
      <c r="J19">
        <f t="shared" si="0"/>
        <v>0</v>
      </c>
      <c r="L19">
        <f t="shared" si="1"/>
        <v>0</v>
      </c>
    </row>
    <row r="20" spans="1:12" x14ac:dyDescent="0.25">
      <c r="A20">
        <v>1714</v>
      </c>
      <c r="B20" t="s">
        <v>9</v>
      </c>
      <c r="C20" t="s">
        <v>69</v>
      </c>
      <c r="D20" t="s">
        <v>35</v>
      </c>
      <c r="J20">
        <f t="shared" si="0"/>
        <v>0</v>
      </c>
      <c r="L20">
        <f t="shared" si="1"/>
        <v>0</v>
      </c>
    </row>
    <row r="21" spans="1:12" x14ac:dyDescent="0.25">
      <c r="A21">
        <v>1714</v>
      </c>
      <c r="B21" t="s">
        <v>8</v>
      </c>
      <c r="C21" t="s">
        <v>69</v>
      </c>
      <c r="D21" t="s">
        <v>35</v>
      </c>
      <c r="J21">
        <f t="shared" si="0"/>
        <v>0</v>
      </c>
      <c r="L21">
        <f t="shared" si="1"/>
        <v>0</v>
      </c>
    </row>
    <row r="22" spans="1:12" x14ac:dyDescent="0.25">
      <c r="A22">
        <v>1714</v>
      </c>
      <c r="B22" t="s">
        <v>63</v>
      </c>
      <c r="C22" t="s">
        <v>69</v>
      </c>
      <c r="D22" t="s">
        <v>35</v>
      </c>
      <c r="J22">
        <f t="shared" si="0"/>
        <v>0</v>
      </c>
      <c r="L22">
        <f t="shared" si="1"/>
        <v>0</v>
      </c>
    </row>
    <row r="23" spans="1:12" x14ac:dyDescent="0.25">
      <c r="A23">
        <v>1714</v>
      </c>
      <c r="B23" t="s">
        <v>65</v>
      </c>
      <c r="C23" t="s">
        <v>69</v>
      </c>
      <c r="D23" t="s">
        <v>35</v>
      </c>
      <c r="J23">
        <f t="shared" si="0"/>
        <v>0</v>
      </c>
      <c r="L23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26"/>
  <sheetViews>
    <sheetView topLeftCell="A112" zoomScaleNormal="100" workbookViewId="0">
      <selection activeCell="H25" sqref="H25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1714</v>
      </c>
      <c r="B2" t="s">
        <v>57</v>
      </c>
      <c r="C2" t="s">
        <v>70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1714</v>
      </c>
      <c r="B3" t="s">
        <v>59</v>
      </c>
      <c r="C3" t="s">
        <v>70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2" x14ac:dyDescent="0.25">
      <c r="A4">
        <v>1714</v>
      </c>
      <c r="B4" t="s">
        <v>38</v>
      </c>
      <c r="C4" t="s">
        <v>70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1714</v>
      </c>
      <c r="B5" t="s">
        <v>4</v>
      </c>
      <c r="C5" t="s">
        <v>70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1714</v>
      </c>
      <c r="B6" t="s">
        <v>60</v>
      </c>
      <c r="C6" t="s">
        <v>70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1714</v>
      </c>
      <c r="B7" t="s">
        <v>71</v>
      </c>
      <c r="C7" t="s">
        <v>70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1714</v>
      </c>
      <c r="B8" t="s">
        <v>45</v>
      </c>
      <c r="C8" t="s">
        <v>70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1714</v>
      </c>
      <c r="B9" t="s">
        <v>79</v>
      </c>
      <c r="C9" t="s">
        <v>70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1714</v>
      </c>
      <c r="B10" t="s">
        <v>5</v>
      </c>
      <c r="C10" t="s">
        <v>70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1714</v>
      </c>
      <c r="B11" t="s">
        <v>61</v>
      </c>
      <c r="C11" t="s">
        <v>70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1714</v>
      </c>
      <c r="B12" t="s">
        <v>6</v>
      </c>
      <c r="C12" t="s">
        <v>70</v>
      </c>
      <c r="D12" t="s">
        <v>33</v>
      </c>
      <c r="F12">
        <v>91231</v>
      </c>
      <c r="H12">
        <v>11</v>
      </c>
      <c r="J12">
        <f t="shared" si="0"/>
        <v>10217883</v>
      </c>
      <c r="L12">
        <f t="shared" si="1"/>
        <v>4561.5549107142861</v>
      </c>
    </row>
    <row r="13" spans="1:12" x14ac:dyDescent="0.25">
      <c r="A13">
        <v>1714</v>
      </c>
      <c r="B13" t="s">
        <v>103</v>
      </c>
      <c r="C13" t="s">
        <v>70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1714</v>
      </c>
      <c r="B14" t="s">
        <v>62</v>
      </c>
      <c r="C14" t="s">
        <v>70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1714</v>
      </c>
      <c r="B15" t="s">
        <v>7</v>
      </c>
      <c r="C15" t="s">
        <v>70</v>
      </c>
      <c r="D15" t="s">
        <v>33</v>
      </c>
      <c r="H15">
        <v>36</v>
      </c>
      <c r="J15">
        <f t="shared" si="0"/>
        <v>36</v>
      </c>
      <c r="L15">
        <f t="shared" si="1"/>
        <v>1.607142857142857E-2</v>
      </c>
    </row>
    <row r="16" spans="1:12" x14ac:dyDescent="0.25">
      <c r="A16">
        <v>1714</v>
      </c>
      <c r="B16" t="s">
        <v>39</v>
      </c>
      <c r="C16" t="s">
        <v>70</v>
      </c>
      <c r="D16" t="s">
        <v>33</v>
      </c>
      <c r="H16">
        <v>270</v>
      </c>
      <c r="J16">
        <f t="shared" si="0"/>
        <v>270</v>
      </c>
      <c r="L16">
        <f t="shared" si="1"/>
        <v>0.12053571428571429</v>
      </c>
    </row>
    <row r="17" spans="1:12" x14ac:dyDescent="0.25">
      <c r="A17">
        <v>1714</v>
      </c>
      <c r="B17" t="s">
        <v>8</v>
      </c>
      <c r="C17" t="s">
        <v>70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1714</v>
      </c>
      <c r="B18" t="s">
        <v>42</v>
      </c>
      <c r="C18" t="s">
        <v>70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1714</v>
      </c>
      <c r="B19" t="s">
        <v>80</v>
      </c>
      <c r="C19" t="s">
        <v>70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1714</v>
      </c>
      <c r="B20" t="s">
        <v>81</v>
      </c>
      <c r="C20" t="s">
        <v>70</v>
      </c>
      <c r="D20" t="s">
        <v>33</v>
      </c>
      <c r="H20">
        <v>581</v>
      </c>
      <c r="J20">
        <f t="shared" si="0"/>
        <v>581</v>
      </c>
      <c r="L20">
        <f t="shared" si="1"/>
        <v>0.25937500000000002</v>
      </c>
    </row>
    <row r="21" spans="1:12" x14ac:dyDescent="0.25">
      <c r="A21">
        <v>1714</v>
      </c>
      <c r="B21" t="s">
        <v>48</v>
      </c>
      <c r="C21" t="s">
        <v>70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1714</v>
      </c>
      <c r="B22" t="s">
        <v>9</v>
      </c>
      <c r="C22" t="s">
        <v>70</v>
      </c>
      <c r="D22" t="s">
        <v>33</v>
      </c>
      <c r="H22">
        <v>554096</v>
      </c>
      <c r="J22">
        <f t="shared" si="0"/>
        <v>554096</v>
      </c>
      <c r="L22">
        <f t="shared" si="1"/>
        <v>247.36428571428573</v>
      </c>
    </row>
    <row r="23" spans="1:12" x14ac:dyDescent="0.25">
      <c r="A23">
        <v>1714</v>
      </c>
      <c r="B23" t="s">
        <v>10</v>
      </c>
      <c r="C23" t="s">
        <v>70</v>
      </c>
      <c r="D23" t="s">
        <v>33</v>
      </c>
      <c r="F23">
        <v>3437</v>
      </c>
      <c r="G23">
        <v>2</v>
      </c>
      <c r="H23">
        <v>17</v>
      </c>
      <c r="J23">
        <f t="shared" si="0"/>
        <v>385017</v>
      </c>
      <c r="L23">
        <f t="shared" si="1"/>
        <v>171.88258928571429</v>
      </c>
    </row>
    <row r="24" spans="1:12" x14ac:dyDescent="0.25">
      <c r="A24">
        <v>1714</v>
      </c>
      <c r="B24" t="s">
        <v>11</v>
      </c>
      <c r="C24" t="s">
        <v>70</v>
      </c>
      <c r="D24" t="s">
        <v>33</v>
      </c>
      <c r="F24">
        <v>205</v>
      </c>
      <c r="G24">
        <v>3</v>
      </c>
      <c r="H24">
        <v>27</v>
      </c>
      <c r="J24">
        <f t="shared" si="0"/>
        <v>23071</v>
      </c>
      <c r="L24">
        <f t="shared" si="1"/>
        <v>10.299553571428572</v>
      </c>
    </row>
    <row r="25" spans="1:12" x14ac:dyDescent="0.25">
      <c r="A25">
        <v>1714</v>
      </c>
      <c r="B25" t="s">
        <v>41</v>
      </c>
      <c r="C25" t="s">
        <v>70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1714</v>
      </c>
      <c r="B26" t="s">
        <v>82</v>
      </c>
      <c r="C26" t="s">
        <v>70</v>
      </c>
      <c r="D26" t="s">
        <v>33</v>
      </c>
      <c r="H26">
        <v>1320</v>
      </c>
      <c r="J26">
        <f t="shared" si="0"/>
        <v>1320</v>
      </c>
      <c r="L26">
        <f t="shared" si="1"/>
        <v>0.5892857142857143</v>
      </c>
    </row>
    <row r="27" spans="1:12" x14ac:dyDescent="0.25">
      <c r="A27">
        <v>1714</v>
      </c>
      <c r="B27" t="s">
        <v>83</v>
      </c>
      <c r="C27" t="s">
        <v>70</v>
      </c>
      <c r="D27" t="s">
        <v>33</v>
      </c>
      <c r="H27">
        <v>230</v>
      </c>
      <c r="J27">
        <f t="shared" si="0"/>
        <v>230</v>
      </c>
      <c r="L27">
        <f t="shared" si="1"/>
        <v>0.10267857142857142</v>
      </c>
    </row>
    <row r="28" spans="1:12" x14ac:dyDescent="0.25">
      <c r="A28">
        <v>1714</v>
      </c>
      <c r="B28" t="s">
        <v>46</v>
      </c>
      <c r="C28" t="s">
        <v>70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1714</v>
      </c>
      <c r="B29" t="s">
        <v>104</v>
      </c>
      <c r="C29" t="s">
        <v>70</v>
      </c>
      <c r="D29" t="s">
        <v>33</v>
      </c>
      <c r="H29">
        <v>117</v>
      </c>
      <c r="J29">
        <f t="shared" si="0"/>
        <v>117</v>
      </c>
      <c r="L29">
        <f t="shared" si="1"/>
        <v>5.2232142857142859E-2</v>
      </c>
    </row>
    <row r="30" spans="1:12" x14ac:dyDescent="0.25">
      <c r="A30">
        <v>1714</v>
      </c>
      <c r="B30" t="s">
        <v>12</v>
      </c>
      <c r="C30" t="s">
        <v>70</v>
      </c>
      <c r="D30" t="s">
        <v>33</v>
      </c>
      <c r="H30">
        <v>109386</v>
      </c>
      <c r="J30">
        <f t="shared" si="0"/>
        <v>109386</v>
      </c>
      <c r="L30">
        <f t="shared" si="1"/>
        <v>48.833035714285714</v>
      </c>
    </row>
    <row r="31" spans="1:12" x14ac:dyDescent="0.25">
      <c r="A31">
        <v>1714</v>
      </c>
      <c r="B31" t="s">
        <v>86</v>
      </c>
      <c r="C31" t="s">
        <v>70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1714</v>
      </c>
      <c r="B32" t="s">
        <v>34</v>
      </c>
      <c r="C32" t="s">
        <v>70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1714</v>
      </c>
      <c r="B33" t="s">
        <v>13</v>
      </c>
      <c r="C33" t="s">
        <v>70</v>
      </c>
      <c r="D33" t="s">
        <v>33</v>
      </c>
      <c r="F33">
        <v>64</v>
      </c>
      <c r="H33">
        <v>17</v>
      </c>
      <c r="J33">
        <f t="shared" si="0"/>
        <v>7185</v>
      </c>
      <c r="L33">
        <f t="shared" si="1"/>
        <v>3.2075892857142856</v>
      </c>
    </row>
    <row r="34" spans="1:12" x14ac:dyDescent="0.25">
      <c r="A34">
        <v>1714</v>
      </c>
      <c r="B34" t="s">
        <v>14</v>
      </c>
      <c r="C34" t="s">
        <v>70</v>
      </c>
      <c r="D34" t="s">
        <v>33</v>
      </c>
      <c r="H34">
        <v>37619.5</v>
      </c>
      <c r="I34" t="s">
        <v>113</v>
      </c>
      <c r="J34">
        <f t="shared" si="0"/>
        <v>37619.5</v>
      </c>
      <c r="L34">
        <f t="shared" si="1"/>
        <v>16.794419642857143</v>
      </c>
    </row>
    <row r="35" spans="1:12" x14ac:dyDescent="0.25">
      <c r="A35">
        <v>1714</v>
      </c>
      <c r="B35" t="s">
        <v>23</v>
      </c>
      <c r="C35" t="s">
        <v>70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1714</v>
      </c>
      <c r="B36" t="s">
        <v>27</v>
      </c>
      <c r="C36" t="s">
        <v>70</v>
      </c>
      <c r="D36" t="s">
        <v>33</v>
      </c>
      <c r="H36">
        <v>33968.5</v>
      </c>
      <c r="I36" t="s">
        <v>112</v>
      </c>
      <c r="J36">
        <f t="shared" si="0"/>
        <v>33968.5</v>
      </c>
      <c r="L36">
        <f t="shared" si="1"/>
        <v>15.164508928571429</v>
      </c>
    </row>
    <row r="37" spans="1:12" x14ac:dyDescent="0.25">
      <c r="A37">
        <v>1714</v>
      </c>
      <c r="B37" t="s">
        <v>15</v>
      </c>
      <c r="C37" t="s">
        <v>70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1714</v>
      </c>
      <c r="B38" t="s">
        <v>44</v>
      </c>
      <c r="C38" t="s">
        <v>70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1714</v>
      </c>
      <c r="B39" t="s">
        <v>87</v>
      </c>
      <c r="C39" t="s">
        <v>70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1714</v>
      </c>
      <c r="B40" t="s">
        <v>49</v>
      </c>
      <c r="C40" t="s">
        <v>70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1714</v>
      </c>
      <c r="B41" t="s">
        <v>16</v>
      </c>
      <c r="C41" t="s">
        <v>70</v>
      </c>
      <c r="D41" t="s">
        <v>33</v>
      </c>
      <c r="H41">
        <v>206044</v>
      </c>
      <c r="J41">
        <f t="shared" si="0"/>
        <v>206044</v>
      </c>
      <c r="L41">
        <f t="shared" si="1"/>
        <v>91.983928571428578</v>
      </c>
    </row>
    <row r="42" spans="1:12" x14ac:dyDescent="0.25">
      <c r="A42">
        <v>1714</v>
      </c>
      <c r="B42" t="s">
        <v>17</v>
      </c>
      <c r="C42" t="s">
        <v>70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1714</v>
      </c>
      <c r="B43" t="s">
        <v>18</v>
      </c>
      <c r="C43" t="s">
        <v>70</v>
      </c>
      <c r="D43" t="s">
        <v>33</v>
      </c>
      <c r="H43">
        <v>24266</v>
      </c>
      <c r="I43" t="s">
        <v>114</v>
      </c>
      <c r="J43">
        <f t="shared" si="0"/>
        <v>24266</v>
      </c>
      <c r="L43">
        <f t="shared" si="1"/>
        <v>10.833035714285714</v>
      </c>
    </row>
    <row r="44" spans="1:12" x14ac:dyDescent="0.25">
      <c r="A44">
        <v>1714</v>
      </c>
      <c r="B44" t="s">
        <v>26</v>
      </c>
      <c r="C44" t="s">
        <v>70</v>
      </c>
      <c r="D44" t="s">
        <v>33</v>
      </c>
      <c r="H44">
        <v>86339</v>
      </c>
      <c r="J44">
        <f t="shared" si="0"/>
        <v>86339</v>
      </c>
      <c r="L44">
        <f t="shared" si="1"/>
        <v>38.544196428571432</v>
      </c>
    </row>
    <row r="45" spans="1:12" x14ac:dyDescent="0.25">
      <c r="A45">
        <v>1714</v>
      </c>
      <c r="B45" t="s">
        <v>88</v>
      </c>
      <c r="C45" t="s">
        <v>70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1714</v>
      </c>
      <c r="B46" t="s">
        <v>19</v>
      </c>
      <c r="C46" t="s">
        <v>70</v>
      </c>
      <c r="D46" t="s">
        <v>33</v>
      </c>
      <c r="F46">
        <v>4</v>
      </c>
      <c r="G46">
        <v>1</v>
      </c>
      <c r="J46">
        <f t="shared" si="0"/>
        <v>476</v>
      </c>
      <c r="L46">
        <f t="shared" si="1"/>
        <v>0.21249999999999999</v>
      </c>
    </row>
    <row r="47" spans="1:12" x14ac:dyDescent="0.25">
      <c r="A47">
        <v>1714</v>
      </c>
      <c r="B47" t="s">
        <v>47</v>
      </c>
      <c r="C47" t="s">
        <v>70</v>
      </c>
      <c r="D47" t="s">
        <v>33</v>
      </c>
      <c r="H47">
        <v>4076</v>
      </c>
      <c r="J47">
        <f t="shared" si="0"/>
        <v>4076</v>
      </c>
      <c r="L47">
        <f t="shared" si="1"/>
        <v>1.8196428571428571</v>
      </c>
    </row>
    <row r="48" spans="1:12" x14ac:dyDescent="0.25">
      <c r="A48">
        <v>1714</v>
      </c>
      <c r="B48" t="s">
        <v>89</v>
      </c>
      <c r="C48" t="s">
        <v>70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1714</v>
      </c>
      <c r="B49" t="s">
        <v>56</v>
      </c>
      <c r="C49" t="s">
        <v>70</v>
      </c>
      <c r="D49" t="s">
        <v>33</v>
      </c>
      <c r="H49">
        <v>569</v>
      </c>
      <c r="J49">
        <f t="shared" si="0"/>
        <v>569</v>
      </c>
      <c r="L49">
        <f t="shared" si="1"/>
        <v>0.25401785714285713</v>
      </c>
    </row>
    <row r="50" spans="1:12" x14ac:dyDescent="0.25">
      <c r="A50">
        <v>1714</v>
      </c>
      <c r="B50" t="s">
        <v>102</v>
      </c>
      <c r="C50" t="s">
        <v>70</v>
      </c>
      <c r="D50" t="s">
        <v>33</v>
      </c>
      <c r="H50">
        <v>1457</v>
      </c>
      <c r="J50">
        <f t="shared" si="0"/>
        <v>1457</v>
      </c>
      <c r="L50">
        <f t="shared" si="1"/>
        <v>0.65044642857142854</v>
      </c>
    </row>
    <row r="51" spans="1:12" x14ac:dyDescent="0.25">
      <c r="A51">
        <v>1714</v>
      </c>
      <c r="B51" t="s">
        <v>20</v>
      </c>
      <c r="C51" t="s">
        <v>70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1714</v>
      </c>
      <c r="B52" t="s">
        <v>21</v>
      </c>
      <c r="C52" t="s">
        <v>70</v>
      </c>
      <c r="D52" t="s">
        <v>33</v>
      </c>
      <c r="H52">
        <v>4147</v>
      </c>
      <c r="J52">
        <f t="shared" si="0"/>
        <v>4147</v>
      </c>
      <c r="L52">
        <f t="shared" si="1"/>
        <v>1.8513392857142856</v>
      </c>
    </row>
    <row r="53" spans="1:12" x14ac:dyDescent="0.25">
      <c r="A53">
        <v>1714</v>
      </c>
      <c r="B53" t="s">
        <v>22</v>
      </c>
      <c r="C53" t="s">
        <v>70</v>
      </c>
      <c r="D53" t="s">
        <v>33</v>
      </c>
      <c r="F53">
        <v>2</v>
      </c>
      <c r="J53">
        <f t="shared" si="0"/>
        <v>224</v>
      </c>
      <c r="L53">
        <f t="shared" si="1"/>
        <v>0.1</v>
      </c>
    </row>
    <row r="54" spans="1:12" x14ac:dyDescent="0.25">
      <c r="A54">
        <v>1714</v>
      </c>
      <c r="B54" t="s">
        <v>63</v>
      </c>
      <c r="C54" t="s">
        <v>70</v>
      </c>
      <c r="D54" t="s">
        <v>33</v>
      </c>
      <c r="F54">
        <v>11</v>
      </c>
      <c r="J54">
        <f t="shared" si="0"/>
        <v>1232</v>
      </c>
      <c r="L54">
        <f t="shared" si="1"/>
        <v>0.55000000000000004</v>
      </c>
    </row>
    <row r="55" spans="1:12" x14ac:dyDescent="0.25">
      <c r="A55">
        <v>1714</v>
      </c>
      <c r="B55" t="s">
        <v>115</v>
      </c>
      <c r="C55" t="s">
        <v>70</v>
      </c>
      <c r="D55" t="s">
        <v>33</v>
      </c>
      <c r="E55">
        <v>21</v>
      </c>
      <c r="F55">
        <v>4</v>
      </c>
      <c r="G55">
        <v>3</v>
      </c>
      <c r="H55">
        <v>9</v>
      </c>
      <c r="J55">
        <f t="shared" si="0"/>
        <v>47581</v>
      </c>
      <c r="L55">
        <f t="shared" si="1"/>
        <v>21.241517857142856</v>
      </c>
    </row>
    <row r="56" spans="1:12" x14ac:dyDescent="0.25">
      <c r="A56">
        <v>1714</v>
      </c>
      <c r="B56" t="s">
        <v>91</v>
      </c>
      <c r="C56" t="s">
        <v>70</v>
      </c>
      <c r="D56" t="s">
        <v>33</v>
      </c>
      <c r="F56">
        <v>11</v>
      </c>
      <c r="J56">
        <f t="shared" si="0"/>
        <v>1232</v>
      </c>
      <c r="L56">
        <f t="shared" si="1"/>
        <v>0.55000000000000004</v>
      </c>
    </row>
    <row r="57" spans="1:12" x14ac:dyDescent="0.25">
      <c r="A57">
        <v>1714</v>
      </c>
      <c r="B57" t="s">
        <v>64</v>
      </c>
      <c r="C57" t="s">
        <v>70</v>
      </c>
      <c r="D57" t="s">
        <v>33</v>
      </c>
      <c r="E57">
        <v>605</v>
      </c>
      <c r="F57">
        <v>18</v>
      </c>
      <c r="G57">
        <v>2</v>
      </c>
      <c r="H57">
        <v>13</v>
      </c>
      <c r="J57">
        <f t="shared" si="0"/>
        <v>1357285</v>
      </c>
      <c r="L57">
        <f t="shared" si="1"/>
        <v>605.93080357142856</v>
      </c>
    </row>
    <row r="58" spans="1:12" x14ac:dyDescent="0.25">
      <c r="A58">
        <v>1714</v>
      </c>
      <c r="B58" t="s">
        <v>92</v>
      </c>
      <c r="C58" t="s">
        <v>70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1714</v>
      </c>
      <c r="B59" t="s">
        <v>65</v>
      </c>
      <c r="C59" t="s">
        <v>70</v>
      </c>
      <c r="D59" t="s">
        <v>33</v>
      </c>
      <c r="E59">
        <v>1000</v>
      </c>
      <c r="F59">
        <v>6</v>
      </c>
      <c r="H59">
        <v>8</v>
      </c>
      <c r="J59">
        <f t="shared" si="0"/>
        <v>2240680</v>
      </c>
      <c r="L59">
        <f t="shared" si="1"/>
        <v>1000.3035714285714</v>
      </c>
    </row>
    <row r="60" spans="1:12" x14ac:dyDescent="0.25">
      <c r="A60">
        <v>1714</v>
      </c>
      <c r="B60" t="s">
        <v>93</v>
      </c>
      <c r="C60" t="s">
        <v>70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1714</v>
      </c>
      <c r="B61" t="s">
        <v>73</v>
      </c>
      <c r="C61" t="s">
        <v>70</v>
      </c>
      <c r="D61" t="s">
        <v>33</v>
      </c>
      <c r="E61">
        <v>558</v>
      </c>
      <c r="F61">
        <v>12</v>
      </c>
      <c r="H61">
        <v>14</v>
      </c>
      <c r="J61">
        <f t="shared" si="0"/>
        <v>1251278</v>
      </c>
      <c r="L61">
        <f t="shared" si="1"/>
        <v>558.60625000000005</v>
      </c>
    </row>
    <row r="62" spans="1:12" x14ac:dyDescent="0.25">
      <c r="A62">
        <v>1714</v>
      </c>
      <c r="B62" t="s">
        <v>66</v>
      </c>
      <c r="C62" t="s">
        <v>70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1714</v>
      </c>
      <c r="B63" t="s">
        <v>67</v>
      </c>
      <c r="C63" t="s">
        <v>70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1714</v>
      </c>
      <c r="B64" t="s">
        <v>57</v>
      </c>
      <c r="C64" t="s">
        <v>70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1714</v>
      </c>
      <c r="B65" t="s">
        <v>59</v>
      </c>
      <c r="C65" t="s">
        <v>70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1714</v>
      </c>
      <c r="B66" t="s">
        <v>38</v>
      </c>
      <c r="C66" t="s">
        <v>70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1714</v>
      </c>
      <c r="B67" t="s">
        <v>4</v>
      </c>
      <c r="C67" t="s">
        <v>70</v>
      </c>
      <c r="D67" t="s">
        <v>35</v>
      </c>
      <c r="H67">
        <v>6</v>
      </c>
      <c r="J67">
        <f t="shared" ref="J67:J126" si="2">(E67*2240)+(F67*112)+(G67*28)+H67</f>
        <v>6</v>
      </c>
      <c r="L67">
        <f t="shared" ref="L67:L126" si="3">J67/2240</f>
        <v>2.6785714285714286E-3</v>
      </c>
    </row>
    <row r="68" spans="1:12" x14ac:dyDescent="0.25">
      <c r="A68">
        <v>1714</v>
      </c>
      <c r="B68" t="s">
        <v>60</v>
      </c>
      <c r="C68" t="s">
        <v>70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1714</v>
      </c>
      <c r="B69" t="s">
        <v>71</v>
      </c>
      <c r="C69" t="s">
        <v>70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1714</v>
      </c>
      <c r="B70" t="s">
        <v>45</v>
      </c>
      <c r="C70" t="s">
        <v>70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1714</v>
      </c>
      <c r="B71" t="s">
        <v>79</v>
      </c>
      <c r="C71" t="s">
        <v>70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1714</v>
      </c>
      <c r="B72" t="s">
        <v>5</v>
      </c>
      <c r="C72" t="s">
        <v>70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1714</v>
      </c>
      <c r="B73" t="s">
        <v>61</v>
      </c>
      <c r="C73" t="s">
        <v>70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1714</v>
      </c>
      <c r="B74" t="s">
        <v>6</v>
      </c>
      <c r="C74" t="s">
        <v>70</v>
      </c>
      <c r="D74" t="s">
        <v>35</v>
      </c>
      <c r="F74">
        <v>35500</v>
      </c>
      <c r="G74">
        <v>1</v>
      </c>
      <c r="H74">
        <v>24</v>
      </c>
      <c r="J74">
        <f t="shared" si="2"/>
        <v>3976052</v>
      </c>
      <c r="L74">
        <f t="shared" si="3"/>
        <v>1775.0232142857142</v>
      </c>
    </row>
    <row r="75" spans="1:12" x14ac:dyDescent="0.25">
      <c r="A75">
        <v>1714</v>
      </c>
      <c r="B75" t="s">
        <v>62</v>
      </c>
      <c r="C75" t="s">
        <v>70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1714</v>
      </c>
      <c r="B76" t="s">
        <v>7</v>
      </c>
      <c r="C76" t="s">
        <v>70</v>
      </c>
      <c r="D76" t="s">
        <v>35</v>
      </c>
      <c r="H76">
        <v>15</v>
      </c>
      <c r="J76">
        <f t="shared" si="2"/>
        <v>15</v>
      </c>
      <c r="L76">
        <f t="shared" si="3"/>
        <v>6.6964285714285711E-3</v>
      </c>
    </row>
    <row r="77" spans="1:12" x14ac:dyDescent="0.25">
      <c r="A77">
        <v>1714</v>
      </c>
      <c r="B77" t="s">
        <v>39</v>
      </c>
      <c r="C77" t="s">
        <v>70</v>
      </c>
      <c r="D77" t="s">
        <v>35</v>
      </c>
      <c r="H77">
        <v>20</v>
      </c>
      <c r="J77">
        <f t="shared" si="2"/>
        <v>20</v>
      </c>
      <c r="L77">
        <f t="shared" si="3"/>
        <v>8.9285714285714281E-3</v>
      </c>
    </row>
    <row r="78" spans="1:12" x14ac:dyDescent="0.25">
      <c r="A78">
        <v>1714</v>
      </c>
      <c r="B78" t="s">
        <v>8</v>
      </c>
      <c r="C78" t="s">
        <v>70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1714</v>
      </c>
      <c r="B79" t="s">
        <v>42</v>
      </c>
      <c r="C79" t="s">
        <v>70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1714</v>
      </c>
      <c r="B80" t="s">
        <v>80</v>
      </c>
      <c r="C80" t="s">
        <v>70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1714</v>
      </c>
      <c r="B81" t="s">
        <v>81</v>
      </c>
      <c r="C81" t="s">
        <v>70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1714</v>
      </c>
      <c r="B82" t="s">
        <v>48</v>
      </c>
      <c r="C82" t="s">
        <v>70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1714</v>
      </c>
      <c r="B83" t="s">
        <v>9</v>
      </c>
      <c r="C83" t="s">
        <v>70</v>
      </c>
      <c r="D83" t="s">
        <v>35</v>
      </c>
      <c r="H83">
        <v>364930</v>
      </c>
      <c r="J83">
        <f t="shared" si="2"/>
        <v>364930</v>
      </c>
      <c r="L83">
        <f t="shared" si="3"/>
        <v>162.91517857142858</v>
      </c>
    </row>
    <row r="84" spans="1:12" x14ac:dyDescent="0.25">
      <c r="A84">
        <v>1714</v>
      </c>
      <c r="B84" t="s">
        <v>10</v>
      </c>
      <c r="C84" t="s">
        <v>70</v>
      </c>
      <c r="D84" t="s">
        <v>35</v>
      </c>
      <c r="F84">
        <v>1184</v>
      </c>
      <c r="G84">
        <v>2</v>
      </c>
      <c r="H84">
        <v>27</v>
      </c>
      <c r="J84">
        <f t="shared" si="2"/>
        <v>132691</v>
      </c>
      <c r="L84">
        <f t="shared" si="3"/>
        <v>59.237053571428568</v>
      </c>
    </row>
    <row r="85" spans="1:12" x14ac:dyDescent="0.25">
      <c r="A85">
        <v>1714</v>
      </c>
      <c r="B85" t="s">
        <v>11</v>
      </c>
      <c r="C85" t="s">
        <v>70</v>
      </c>
      <c r="D85" t="s">
        <v>35</v>
      </c>
      <c r="F85">
        <v>252</v>
      </c>
      <c r="G85">
        <v>3</v>
      </c>
      <c r="H85">
        <v>5</v>
      </c>
      <c r="J85">
        <f t="shared" si="2"/>
        <v>28313</v>
      </c>
      <c r="L85">
        <f t="shared" si="3"/>
        <v>12.639732142857143</v>
      </c>
    </row>
    <row r="86" spans="1:12" x14ac:dyDescent="0.25">
      <c r="A86">
        <v>1714</v>
      </c>
      <c r="B86" t="s">
        <v>41</v>
      </c>
      <c r="C86" t="s">
        <v>70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1714</v>
      </c>
      <c r="B87" t="s">
        <v>82</v>
      </c>
      <c r="C87" t="s">
        <v>70</v>
      </c>
      <c r="D87" t="s">
        <v>35</v>
      </c>
      <c r="H87">
        <v>112</v>
      </c>
      <c r="J87">
        <f t="shared" si="2"/>
        <v>112</v>
      </c>
      <c r="L87">
        <f t="shared" si="3"/>
        <v>0.05</v>
      </c>
    </row>
    <row r="88" spans="1:12" x14ac:dyDescent="0.25">
      <c r="A88">
        <v>1714</v>
      </c>
      <c r="B88" t="s">
        <v>83</v>
      </c>
      <c r="C88" t="s">
        <v>70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1714</v>
      </c>
      <c r="B89" t="s">
        <v>46</v>
      </c>
      <c r="C89" t="s">
        <v>70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1714</v>
      </c>
      <c r="B90" t="s">
        <v>104</v>
      </c>
      <c r="C90" t="s">
        <v>70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1714</v>
      </c>
      <c r="B91" t="s">
        <v>12</v>
      </c>
      <c r="C91" t="s">
        <v>70</v>
      </c>
      <c r="D91" t="s">
        <v>35</v>
      </c>
      <c r="H91">
        <v>36651</v>
      </c>
      <c r="J91">
        <f t="shared" si="2"/>
        <v>36651</v>
      </c>
      <c r="L91">
        <f t="shared" si="3"/>
        <v>16.362053571428572</v>
      </c>
    </row>
    <row r="92" spans="1:12" x14ac:dyDescent="0.25">
      <c r="A92">
        <v>1714</v>
      </c>
      <c r="B92" t="s">
        <v>86</v>
      </c>
      <c r="C92" t="s">
        <v>70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1714</v>
      </c>
      <c r="B93" t="s">
        <v>34</v>
      </c>
      <c r="C93" t="s">
        <v>70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1714</v>
      </c>
      <c r="B94" t="s">
        <v>13</v>
      </c>
      <c r="C94" t="s">
        <v>70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1714</v>
      </c>
      <c r="B95" t="s">
        <v>14</v>
      </c>
      <c r="C95" t="s">
        <v>70</v>
      </c>
      <c r="D95" t="s">
        <v>35</v>
      </c>
      <c r="H95">
        <v>33808.5</v>
      </c>
      <c r="I95" t="s">
        <v>130</v>
      </c>
      <c r="J95">
        <f t="shared" si="2"/>
        <v>33808.5</v>
      </c>
      <c r="L95">
        <f t="shared" si="3"/>
        <v>15.093080357142858</v>
      </c>
    </row>
    <row r="96" spans="1:12" x14ac:dyDescent="0.25">
      <c r="A96">
        <v>1714</v>
      </c>
      <c r="B96" t="s">
        <v>23</v>
      </c>
      <c r="C96" t="s">
        <v>70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1714</v>
      </c>
      <c r="B97" t="s">
        <v>27</v>
      </c>
      <c r="C97" t="s">
        <v>70</v>
      </c>
      <c r="D97" t="s">
        <v>35</v>
      </c>
      <c r="H97">
        <v>4889</v>
      </c>
      <c r="I97" t="s">
        <v>129</v>
      </c>
      <c r="J97">
        <f t="shared" si="2"/>
        <v>4889</v>
      </c>
      <c r="L97">
        <f t="shared" si="3"/>
        <v>2.1825892857142857</v>
      </c>
    </row>
    <row r="98" spans="1:12" x14ac:dyDescent="0.25">
      <c r="A98">
        <v>1714</v>
      </c>
      <c r="B98" t="s">
        <v>15</v>
      </c>
      <c r="C98" t="s">
        <v>70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1714</v>
      </c>
      <c r="B99" t="s">
        <v>98</v>
      </c>
      <c r="C99" t="s">
        <v>70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1714</v>
      </c>
      <c r="B100" t="s">
        <v>44</v>
      </c>
      <c r="C100" t="s">
        <v>70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1714</v>
      </c>
      <c r="B101" t="s">
        <v>87</v>
      </c>
      <c r="C101" t="s">
        <v>70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1714</v>
      </c>
      <c r="B102" t="s">
        <v>49</v>
      </c>
      <c r="C102" t="s">
        <v>70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1714</v>
      </c>
      <c r="B103" t="s">
        <v>16</v>
      </c>
      <c r="C103" t="s">
        <v>70</v>
      </c>
      <c r="D103" t="s">
        <v>35</v>
      </c>
      <c r="H103">
        <v>71419</v>
      </c>
      <c r="J103">
        <f t="shared" si="2"/>
        <v>71419</v>
      </c>
      <c r="L103">
        <f t="shared" si="3"/>
        <v>31.883482142857144</v>
      </c>
    </row>
    <row r="104" spans="1:12" x14ac:dyDescent="0.25">
      <c r="A104">
        <v>1714</v>
      </c>
      <c r="B104" t="s">
        <v>17</v>
      </c>
      <c r="C104" t="s">
        <v>70</v>
      </c>
      <c r="D104" t="s">
        <v>35</v>
      </c>
      <c r="F104">
        <v>50</v>
      </c>
      <c r="G104">
        <v>2</v>
      </c>
      <c r="J104">
        <f t="shared" si="2"/>
        <v>5656</v>
      </c>
      <c r="L104">
        <f t="shared" si="3"/>
        <v>2.5249999999999999</v>
      </c>
    </row>
    <row r="105" spans="1:12" x14ac:dyDescent="0.25">
      <c r="A105">
        <v>1714</v>
      </c>
      <c r="B105" t="s">
        <v>18</v>
      </c>
      <c r="C105" t="s">
        <v>70</v>
      </c>
      <c r="D105" t="s">
        <v>35</v>
      </c>
      <c r="H105">
        <v>25721.5</v>
      </c>
      <c r="I105" t="s">
        <v>131</v>
      </c>
      <c r="J105">
        <f t="shared" si="2"/>
        <v>25721.5</v>
      </c>
      <c r="L105">
        <f t="shared" si="3"/>
        <v>11.4828125</v>
      </c>
    </row>
    <row r="106" spans="1:12" x14ac:dyDescent="0.25">
      <c r="A106">
        <v>1714</v>
      </c>
      <c r="B106" t="s">
        <v>26</v>
      </c>
      <c r="C106" t="s">
        <v>70</v>
      </c>
      <c r="D106" t="s">
        <v>35</v>
      </c>
      <c r="H106">
        <v>27005</v>
      </c>
      <c r="J106">
        <f t="shared" si="2"/>
        <v>27005</v>
      </c>
      <c r="L106">
        <f t="shared" si="3"/>
        <v>12.055803571428571</v>
      </c>
    </row>
    <row r="107" spans="1:12" x14ac:dyDescent="0.25">
      <c r="A107">
        <v>1714</v>
      </c>
      <c r="B107" t="s">
        <v>88</v>
      </c>
      <c r="C107" t="s">
        <v>70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1714</v>
      </c>
      <c r="B108" t="s">
        <v>19</v>
      </c>
      <c r="C108" t="s">
        <v>70</v>
      </c>
      <c r="D108" t="s">
        <v>35</v>
      </c>
      <c r="F108">
        <v>4</v>
      </c>
      <c r="H108">
        <v>25</v>
      </c>
      <c r="J108">
        <f t="shared" si="2"/>
        <v>473</v>
      </c>
      <c r="L108">
        <f t="shared" si="3"/>
        <v>0.21116071428571428</v>
      </c>
    </row>
    <row r="109" spans="1:12" x14ac:dyDescent="0.25">
      <c r="A109">
        <v>1714</v>
      </c>
      <c r="B109" t="s">
        <v>47</v>
      </c>
      <c r="C109" t="s">
        <v>70</v>
      </c>
      <c r="D109" t="s">
        <v>35</v>
      </c>
      <c r="H109">
        <v>47</v>
      </c>
      <c r="J109">
        <f t="shared" si="2"/>
        <v>47</v>
      </c>
      <c r="L109">
        <f t="shared" si="3"/>
        <v>2.0982142857142855E-2</v>
      </c>
    </row>
    <row r="110" spans="1:12" x14ac:dyDescent="0.25">
      <c r="A110">
        <v>1714</v>
      </c>
      <c r="B110" t="s">
        <v>89</v>
      </c>
      <c r="C110" t="s">
        <v>70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1714</v>
      </c>
      <c r="B111" t="s">
        <v>56</v>
      </c>
      <c r="C111" t="s">
        <v>70</v>
      </c>
      <c r="D111" t="s">
        <v>35</v>
      </c>
      <c r="H111">
        <v>451</v>
      </c>
      <c r="J111">
        <f t="shared" si="2"/>
        <v>451</v>
      </c>
      <c r="L111">
        <f t="shared" si="3"/>
        <v>0.20133928571428572</v>
      </c>
    </row>
    <row r="112" spans="1:12" x14ac:dyDescent="0.25">
      <c r="A112">
        <v>1714</v>
      </c>
      <c r="B112" t="s">
        <v>102</v>
      </c>
      <c r="C112" t="s">
        <v>70</v>
      </c>
      <c r="D112" t="s">
        <v>35</v>
      </c>
      <c r="H112">
        <v>423</v>
      </c>
      <c r="J112">
        <f t="shared" si="2"/>
        <v>423</v>
      </c>
      <c r="L112">
        <f t="shared" si="3"/>
        <v>0.18883928571428571</v>
      </c>
    </row>
    <row r="113" spans="1:12" x14ac:dyDescent="0.25">
      <c r="A113">
        <v>1714</v>
      </c>
      <c r="B113" t="s">
        <v>20</v>
      </c>
      <c r="C113" t="s">
        <v>70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1714</v>
      </c>
      <c r="B114" t="s">
        <v>21</v>
      </c>
      <c r="C114" t="s">
        <v>70</v>
      </c>
      <c r="D114" t="s">
        <v>35</v>
      </c>
      <c r="H114">
        <v>2415</v>
      </c>
      <c r="J114">
        <f t="shared" si="2"/>
        <v>2415</v>
      </c>
      <c r="L114">
        <f t="shared" si="3"/>
        <v>1.078125</v>
      </c>
    </row>
    <row r="115" spans="1:12" x14ac:dyDescent="0.25">
      <c r="A115">
        <v>1714</v>
      </c>
      <c r="B115" t="s">
        <v>22</v>
      </c>
      <c r="C115" t="s">
        <v>70</v>
      </c>
      <c r="D115" t="s">
        <v>35</v>
      </c>
      <c r="F115">
        <v>3</v>
      </c>
      <c r="H115">
        <v>7</v>
      </c>
      <c r="J115">
        <f t="shared" si="2"/>
        <v>343</v>
      </c>
      <c r="L115">
        <f t="shared" si="3"/>
        <v>0.15312500000000001</v>
      </c>
    </row>
    <row r="116" spans="1:12" x14ac:dyDescent="0.25">
      <c r="A116">
        <v>1714</v>
      </c>
      <c r="B116" t="s">
        <v>63</v>
      </c>
      <c r="C116" t="s">
        <v>70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1714</v>
      </c>
      <c r="B117" t="s">
        <v>96</v>
      </c>
      <c r="C117" t="s">
        <v>70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1714</v>
      </c>
      <c r="B118" t="s">
        <v>105</v>
      </c>
      <c r="C118" t="s">
        <v>70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1714</v>
      </c>
      <c r="B119" t="s">
        <v>91</v>
      </c>
      <c r="C119" t="s">
        <v>70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1714</v>
      </c>
      <c r="B120" t="s">
        <v>64</v>
      </c>
      <c r="C120" t="s">
        <v>70</v>
      </c>
      <c r="D120" t="s">
        <v>35</v>
      </c>
      <c r="E120">
        <v>593</v>
      </c>
      <c r="F120">
        <v>9</v>
      </c>
      <c r="G120">
        <v>2</v>
      </c>
      <c r="H120">
        <v>7</v>
      </c>
      <c r="J120">
        <f t="shared" si="2"/>
        <v>1329391</v>
      </c>
      <c r="L120">
        <f t="shared" si="3"/>
        <v>593.47812499999998</v>
      </c>
    </row>
    <row r="121" spans="1:12" x14ac:dyDescent="0.25">
      <c r="A121">
        <v>1714</v>
      </c>
      <c r="B121" t="s">
        <v>92</v>
      </c>
      <c r="C121" t="s">
        <v>70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1714</v>
      </c>
      <c r="B122" t="s">
        <v>65</v>
      </c>
      <c r="C122" t="s">
        <v>70</v>
      </c>
      <c r="D122" t="s">
        <v>35</v>
      </c>
      <c r="E122">
        <v>542</v>
      </c>
      <c r="F122">
        <v>1</v>
      </c>
      <c r="G122">
        <v>3</v>
      </c>
      <c r="H122">
        <v>3</v>
      </c>
      <c r="J122">
        <f t="shared" si="2"/>
        <v>1214279</v>
      </c>
      <c r="L122">
        <f t="shared" si="3"/>
        <v>542.08883928571424</v>
      </c>
    </row>
    <row r="123" spans="1:12" x14ac:dyDescent="0.25">
      <c r="A123">
        <v>1714</v>
      </c>
      <c r="B123" t="s">
        <v>93</v>
      </c>
      <c r="C123" t="s">
        <v>70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1714</v>
      </c>
      <c r="B124" t="s">
        <v>73</v>
      </c>
      <c r="C124" t="s">
        <v>70</v>
      </c>
      <c r="D124" t="s">
        <v>35</v>
      </c>
      <c r="E124">
        <v>1</v>
      </c>
      <c r="F124">
        <v>1</v>
      </c>
      <c r="G124">
        <v>2</v>
      </c>
      <c r="H124">
        <v>25</v>
      </c>
      <c r="J124">
        <f t="shared" si="2"/>
        <v>2433</v>
      </c>
      <c r="L124">
        <f t="shared" si="3"/>
        <v>1.0861607142857144</v>
      </c>
    </row>
    <row r="125" spans="1:12" x14ac:dyDescent="0.25">
      <c r="A125">
        <v>1714</v>
      </c>
      <c r="B125" t="s">
        <v>66</v>
      </c>
      <c r="C125" t="s">
        <v>70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1714</v>
      </c>
      <c r="B126" t="s">
        <v>67</v>
      </c>
      <c r="C126" t="s">
        <v>70</v>
      </c>
      <c r="D126" t="s">
        <v>35</v>
      </c>
      <c r="J126">
        <f t="shared" si="2"/>
        <v>0</v>
      </c>
      <c r="L126">
        <f t="shared" si="3"/>
        <v>0</v>
      </c>
    </row>
  </sheetData>
  <autoFilter ref="A1:O59" xr:uid="{8C2F7725-5A61-4A1B-A740-CC887BCB0E68}">
    <sortState xmlns:xlrd2="http://schemas.microsoft.com/office/spreadsheetml/2017/richdata2" ref="A2:O59">
      <sortCondition ref="B1:B59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L69"/>
  <sheetViews>
    <sheetView workbookViewId="0">
      <selection activeCell="I61" sqref="I61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1714</v>
      </c>
      <c r="B2" t="s">
        <v>57</v>
      </c>
      <c r="C2" t="s">
        <v>75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1714</v>
      </c>
      <c r="B3" t="s">
        <v>59</v>
      </c>
      <c r="C3" t="s">
        <v>75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A4">
        <v>1714</v>
      </c>
      <c r="B4" t="s">
        <v>38</v>
      </c>
      <c r="C4" t="s">
        <v>75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1714</v>
      </c>
      <c r="B5" t="s">
        <v>4</v>
      </c>
      <c r="C5" t="s">
        <v>75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1714</v>
      </c>
      <c r="B6" t="s">
        <v>60</v>
      </c>
      <c r="C6" t="s">
        <v>75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1714</v>
      </c>
      <c r="B7" t="s">
        <v>71</v>
      </c>
      <c r="C7" t="s">
        <v>75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1714</v>
      </c>
      <c r="B8" t="s">
        <v>45</v>
      </c>
      <c r="C8" t="s">
        <v>75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1714</v>
      </c>
      <c r="B9" t="s">
        <v>5</v>
      </c>
      <c r="C9" t="s">
        <v>75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1714</v>
      </c>
      <c r="B10" t="s">
        <v>61</v>
      </c>
      <c r="C10" t="s">
        <v>75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1714</v>
      </c>
      <c r="B11" t="s">
        <v>6</v>
      </c>
      <c r="C11" t="s">
        <v>75</v>
      </c>
      <c r="D11" t="s">
        <v>33</v>
      </c>
      <c r="F11">
        <v>3289</v>
      </c>
      <c r="G11">
        <v>2</v>
      </c>
      <c r="J11">
        <f t="shared" si="0"/>
        <v>368424</v>
      </c>
      <c r="L11">
        <f t="shared" si="1"/>
        <v>164.47499999999999</v>
      </c>
    </row>
    <row r="12" spans="1:12" x14ac:dyDescent="0.25">
      <c r="A12">
        <v>1714</v>
      </c>
      <c r="B12" t="s">
        <v>62</v>
      </c>
      <c r="C12" t="s">
        <v>75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1714</v>
      </c>
      <c r="B13" t="s">
        <v>7</v>
      </c>
      <c r="C13" t="s">
        <v>75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1714</v>
      </c>
      <c r="B14" t="s">
        <v>39</v>
      </c>
      <c r="C14" t="s">
        <v>75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1714</v>
      </c>
      <c r="B15" t="s">
        <v>8</v>
      </c>
      <c r="C15" t="s">
        <v>75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1714</v>
      </c>
      <c r="B16" t="s">
        <v>42</v>
      </c>
      <c r="C16" t="s">
        <v>75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1714</v>
      </c>
      <c r="B17" t="s">
        <v>80</v>
      </c>
      <c r="C17" t="s">
        <v>75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1714</v>
      </c>
      <c r="B18" t="s">
        <v>48</v>
      </c>
      <c r="C18" t="s">
        <v>75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1714</v>
      </c>
      <c r="B19" t="s">
        <v>9</v>
      </c>
      <c r="C19" t="s">
        <v>75</v>
      </c>
      <c r="D19" t="s">
        <v>33</v>
      </c>
      <c r="H19">
        <v>1252</v>
      </c>
      <c r="J19">
        <f t="shared" si="0"/>
        <v>1252</v>
      </c>
      <c r="L19">
        <f t="shared" si="1"/>
        <v>0.55892857142857144</v>
      </c>
    </row>
    <row r="20" spans="1:12" x14ac:dyDescent="0.25">
      <c r="A20">
        <v>1714</v>
      </c>
      <c r="B20" t="s">
        <v>10</v>
      </c>
      <c r="C20" t="s">
        <v>75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1714</v>
      </c>
      <c r="B21" t="s">
        <v>11</v>
      </c>
      <c r="C21" t="s">
        <v>75</v>
      </c>
      <c r="D21" t="s">
        <v>33</v>
      </c>
      <c r="F21">
        <v>2</v>
      </c>
      <c r="J21">
        <f t="shared" si="0"/>
        <v>224</v>
      </c>
      <c r="L21">
        <f t="shared" si="1"/>
        <v>0.1</v>
      </c>
    </row>
    <row r="22" spans="1:12" x14ac:dyDescent="0.25">
      <c r="A22">
        <v>1714</v>
      </c>
      <c r="B22" t="s">
        <v>41</v>
      </c>
      <c r="C22" t="s">
        <v>75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1714</v>
      </c>
      <c r="B23" t="s">
        <v>46</v>
      </c>
      <c r="C23" t="s">
        <v>75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1714</v>
      </c>
      <c r="B24" t="s">
        <v>12</v>
      </c>
      <c r="C24" t="s">
        <v>75</v>
      </c>
      <c r="D24" t="s">
        <v>33</v>
      </c>
      <c r="H24">
        <v>12387</v>
      </c>
      <c r="J24">
        <f t="shared" si="0"/>
        <v>12387</v>
      </c>
      <c r="L24">
        <f t="shared" si="1"/>
        <v>5.5299107142857142</v>
      </c>
    </row>
    <row r="25" spans="1:12" x14ac:dyDescent="0.25">
      <c r="A25">
        <v>1714</v>
      </c>
      <c r="B25" t="s">
        <v>34</v>
      </c>
      <c r="C25" t="s">
        <v>75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1714</v>
      </c>
      <c r="B26" t="s">
        <v>13</v>
      </c>
      <c r="C26" t="s">
        <v>75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1714</v>
      </c>
      <c r="B27" t="s">
        <v>14</v>
      </c>
      <c r="C27" t="s">
        <v>75</v>
      </c>
      <c r="D27" t="s">
        <v>33</v>
      </c>
      <c r="H27">
        <v>410</v>
      </c>
      <c r="I27" t="s">
        <v>116</v>
      </c>
      <c r="J27">
        <f t="shared" si="0"/>
        <v>410</v>
      </c>
      <c r="L27">
        <f t="shared" si="1"/>
        <v>0.18303571428571427</v>
      </c>
    </row>
    <row r="28" spans="1:12" x14ac:dyDescent="0.25">
      <c r="A28">
        <v>1714</v>
      </c>
      <c r="B28" t="s">
        <v>23</v>
      </c>
      <c r="C28" t="s">
        <v>75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1714</v>
      </c>
      <c r="B29" t="s">
        <v>27</v>
      </c>
      <c r="C29" t="s">
        <v>75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1714</v>
      </c>
      <c r="B30" t="s">
        <v>15</v>
      </c>
      <c r="C30" t="s">
        <v>75</v>
      </c>
      <c r="D30" t="s">
        <v>33</v>
      </c>
      <c r="F30">
        <v>18</v>
      </c>
      <c r="G30">
        <v>2</v>
      </c>
      <c r="J30">
        <f t="shared" si="0"/>
        <v>2072</v>
      </c>
      <c r="L30">
        <f t="shared" si="1"/>
        <v>0.92500000000000004</v>
      </c>
    </row>
    <row r="31" spans="1:12" x14ac:dyDescent="0.25">
      <c r="A31">
        <v>1714</v>
      </c>
      <c r="B31" t="s">
        <v>44</v>
      </c>
      <c r="C31" t="s">
        <v>75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1714</v>
      </c>
      <c r="B32" t="s">
        <v>49</v>
      </c>
      <c r="C32" t="s">
        <v>75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1714</v>
      </c>
      <c r="B33" t="s">
        <v>16</v>
      </c>
      <c r="C33" t="s">
        <v>75</v>
      </c>
      <c r="D33" t="s">
        <v>33</v>
      </c>
      <c r="H33">
        <v>7217</v>
      </c>
      <c r="J33">
        <f t="shared" si="0"/>
        <v>7217</v>
      </c>
      <c r="L33">
        <f t="shared" si="1"/>
        <v>3.2218749999999998</v>
      </c>
    </row>
    <row r="34" spans="1:12" x14ac:dyDescent="0.25">
      <c r="A34">
        <v>1714</v>
      </c>
      <c r="B34" t="s">
        <v>17</v>
      </c>
      <c r="C34" t="s">
        <v>75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1714</v>
      </c>
      <c r="B35" t="s">
        <v>18</v>
      </c>
      <c r="C35" t="s">
        <v>75</v>
      </c>
      <c r="D35" t="s">
        <v>33</v>
      </c>
      <c r="H35">
        <v>390</v>
      </c>
      <c r="I35" t="s">
        <v>117</v>
      </c>
      <c r="J35">
        <f t="shared" si="0"/>
        <v>390</v>
      </c>
      <c r="L35">
        <f t="shared" si="1"/>
        <v>0.17410714285714285</v>
      </c>
    </row>
    <row r="36" spans="1:12" x14ac:dyDescent="0.25">
      <c r="A36">
        <v>1714</v>
      </c>
      <c r="B36" t="s">
        <v>72</v>
      </c>
      <c r="C36" t="s">
        <v>75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1714</v>
      </c>
      <c r="B37" t="s">
        <v>19</v>
      </c>
      <c r="C37" t="s">
        <v>75</v>
      </c>
      <c r="D37" t="s">
        <v>33</v>
      </c>
      <c r="F37">
        <v>1</v>
      </c>
      <c r="J37">
        <f t="shared" si="0"/>
        <v>112</v>
      </c>
      <c r="L37">
        <f t="shared" si="1"/>
        <v>0.05</v>
      </c>
    </row>
    <row r="38" spans="1:12" x14ac:dyDescent="0.25">
      <c r="A38">
        <v>1714</v>
      </c>
      <c r="B38" t="s">
        <v>47</v>
      </c>
      <c r="C38" t="s">
        <v>75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1714</v>
      </c>
      <c r="B39" t="s">
        <v>56</v>
      </c>
      <c r="C39" t="s">
        <v>75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1714</v>
      </c>
      <c r="B40" t="s">
        <v>102</v>
      </c>
      <c r="C40" t="s">
        <v>75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1714</v>
      </c>
      <c r="B41" t="s">
        <v>20</v>
      </c>
      <c r="C41" t="s">
        <v>75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1714</v>
      </c>
      <c r="B42" t="s">
        <v>21</v>
      </c>
      <c r="C42" t="s">
        <v>75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1714</v>
      </c>
      <c r="B43" t="s">
        <v>22</v>
      </c>
      <c r="C43" t="s">
        <v>75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1714</v>
      </c>
      <c r="B44" t="s">
        <v>63</v>
      </c>
      <c r="C44" t="s">
        <v>75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1714</v>
      </c>
      <c r="B45" t="s">
        <v>64</v>
      </c>
      <c r="C45" t="s">
        <v>75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1714</v>
      </c>
      <c r="B46" t="s">
        <v>65</v>
      </c>
      <c r="C46" t="s">
        <v>75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1714</v>
      </c>
      <c r="B47" t="s">
        <v>73</v>
      </c>
      <c r="C47" t="s">
        <v>75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1714</v>
      </c>
      <c r="B48" t="s">
        <v>66</v>
      </c>
      <c r="C48" t="s">
        <v>75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1714</v>
      </c>
      <c r="B49" t="s">
        <v>67</v>
      </c>
      <c r="C49" t="s">
        <v>75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1714</v>
      </c>
      <c r="B50" t="s">
        <v>6</v>
      </c>
      <c r="C50" t="s">
        <v>75</v>
      </c>
      <c r="D50" t="s">
        <v>35</v>
      </c>
      <c r="F50">
        <v>6067</v>
      </c>
      <c r="H50">
        <v>15</v>
      </c>
      <c r="J50">
        <f t="shared" si="0"/>
        <v>679519</v>
      </c>
      <c r="L50">
        <f t="shared" si="1"/>
        <v>303.35669642857141</v>
      </c>
    </row>
    <row r="51" spans="1:12" x14ac:dyDescent="0.25">
      <c r="A51">
        <v>1714</v>
      </c>
      <c r="B51" t="s">
        <v>7</v>
      </c>
      <c r="C51" t="s">
        <v>75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1714</v>
      </c>
      <c r="B52" t="s">
        <v>8</v>
      </c>
      <c r="C52" t="s">
        <v>75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1714</v>
      </c>
      <c r="B53" t="s">
        <v>9</v>
      </c>
      <c r="C53" t="s">
        <v>75</v>
      </c>
      <c r="D53" t="s">
        <v>35</v>
      </c>
      <c r="H53">
        <v>7204</v>
      </c>
      <c r="J53">
        <f t="shared" si="0"/>
        <v>7204</v>
      </c>
      <c r="L53">
        <f t="shared" si="1"/>
        <v>3.2160714285714285</v>
      </c>
    </row>
    <row r="54" spans="1:12" x14ac:dyDescent="0.25">
      <c r="A54">
        <v>1714</v>
      </c>
      <c r="B54" t="s">
        <v>10</v>
      </c>
      <c r="C54" t="s">
        <v>75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1714</v>
      </c>
      <c r="B55" t="s">
        <v>11</v>
      </c>
      <c r="C55" t="s">
        <v>75</v>
      </c>
      <c r="D55" t="s">
        <v>35</v>
      </c>
      <c r="F55">
        <v>12</v>
      </c>
      <c r="H55">
        <v>19</v>
      </c>
      <c r="J55">
        <f t="shared" si="0"/>
        <v>1363</v>
      </c>
      <c r="L55">
        <f t="shared" si="1"/>
        <v>0.60848214285714286</v>
      </c>
    </row>
    <row r="56" spans="1:12" x14ac:dyDescent="0.25">
      <c r="A56">
        <v>1714</v>
      </c>
      <c r="B56" t="s">
        <v>12</v>
      </c>
      <c r="C56" t="s">
        <v>75</v>
      </c>
      <c r="D56" t="s">
        <v>35</v>
      </c>
      <c r="H56">
        <v>3776</v>
      </c>
      <c r="J56">
        <f t="shared" si="0"/>
        <v>3776</v>
      </c>
      <c r="L56">
        <f t="shared" si="1"/>
        <v>1.6857142857142857</v>
      </c>
    </row>
    <row r="57" spans="1:12" x14ac:dyDescent="0.25">
      <c r="A57">
        <v>1714</v>
      </c>
      <c r="B57" t="s">
        <v>13</v>
      </c>
      <c r="C57" t="s">
        <v>75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1714</v>
      </c>
      <c r="B58" t="s">
        <v>14</v>
      </c>
      <c r="C58" t="s">
        <v>75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1714</v>
      </c>
      <c r="B59" t="s">
        <v>27</v>
      </c>
      <c r="C59" t="s">
        <v>75</v>
      </c>
      <c r="D59" t="s">
        <v>35</v>
      </c>
      <c r="H59">
        <v>90</v>
      </c>
      <c r="I59" t="s">
        <v>132</v>
      </c>
      <c r="J59">
        <f t="shared" si="0"/>
        <v>90</v>
      </c>
      <c r="L59">
        <f t="shared" si="1"/>
        <v>4.0178571428571432E-2</v>
      </c>
    </row>
    <row r="60" spans="1:12" x14ac:dyDescent="0.25">
      <c r="A60">
        <v>1714</v>
      </c>
      <c r="B60" t="s">
        <v>15</v>
      </c>
      <c r="C60" t="s">
        <v>75</v>
      </c>
      <c r="D60" t="s">
        <v>35</v>
      </c>
      <c r="F60">
        <v>62</v>
      </c>
      <c r="G60">
        <v>2</v>
      </c>
      <c r="H60">
        <v>22</v>
      </c>
      <c r="J60">
        <f t="shared" si="0"/>
        <v>7022</v>
      </c>
      <c r="L60">
        <f t="shared" si="1"/>
        <v>3.1348214285714286</v>
      </c>
    </row>
    <row r="61" spans="1:12" x14ac:dyDescent="0.25">
      <c r="A61">
        <v>1714</v>
      </c>
      <c r="B61" t="s">
        <v>16</v>
      </c>
      <c r="C61" t="s">
        <v>75</v>
      </c>
      <c r="D61" t="s">
        <v>35</v>
      </c>
      <c r="H61">
        <v>100</v>
      </c>
      <c r="J61">
        <f t="shared" si="0"/>
        <v>100</v>
      </c>
      <c r="L61">
        <f t="shared" si="1"/>
        <v>4.4642857142857144E-2</v>
      </c>
    </row>
    <row r="62" spans="1:12" x14ac:dyDescent="0.25">
      <c r="A62">
        <v>1714</v>
      </c>
      <c r="B62" t="s">
        <v>17</v>
      </c>
      <c r="C62" t="s">
        <v>75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1714</v>
      </c>
      <c r="B63" t="s">
        <v>18</v>
      </c>
      <c r="C63" t="s">
        <v>75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1714</v>
      </c>
      <c r="B64" t="s">
        <v>19</v>
      </c>
      <c r="C64" t="s">
        <v>75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1714</v>
      </c>
      <c r="B65" t="s">
        <v>56</v>
      </c>
      <c r="C65" t="s">
        <v>75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1714</v>
      </c>
      <c r="B66" t="s">
        <v>21</v>
      </c>
      <c r="C66" t="s">
        <v>75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1714</v>
      </c>
      <c r="B67" t="s">
        <v>22</v>
      </c>
      <c r="C67" t="s">
        <v>75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1714</v>
      </c>
      <c r="B68" t="s">
        <v>64</v>
      </c>
      <c r="C68" t="s">
        <v>75</v>
      </c>
      <c r="D68" t="s">
        <v>35</v>
      </c>
      <c r="J68">
        <f t="shared" ref="J68:J69" si="2">(E68*2240)+(F68*112)+(G68*28)+H68</f>
        <v>0</v>
      </c>
      <c r="L68">
        <f t="shared" ref="L68:L69" si="3">J68/2240</f>
        <v>0</v>
      </c>
    </row>
    <row r="69" spans="1:12" x14ac:dyDescent="0.25">
      <c r="A69">
        <v>1714</v>
      </c>
      <c r="B69" t="s">
        <v>66</v>
      </c>
      <c r="C69" t="s">
        <v>75</v>
      </c>
      <c r="D69" t="s">
        <v>35</v>
      </c>
      <c r="F69">
        <v>28</v>
      </c>
      <c r="G69">
        <v>3</v>
      </c>
      <c r="H69">
        <v>11</v>
      </c>
      <c r="J69">
        <f t="shared" si="2"/>
        <v>3231</v>
      </c>
      <c r="L69">
        <f t="shared" si="3"/>
        <v>1.4424107142857143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L72"/>
  <sheetViews>
    <sheetView workbookViewId="0">
      <selection activeCell="H66" sqref="H66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1714</v>
      </c>
      <c r="B2" t="s">
        <v>57</v>
      </c>
      <c r="C2" t="s">
        <v>76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1714</v>
      </c>
      <c r="B3" t="s">
        <v>59</v>
      </c>
      <c r="C3" t="s">
        <v>76</v>
      </c>
      <c r="D3" t="s">
        <v>33</v>
      </c>
      <c r="J3">
        <f t="shared" ref="J3:J69" si="0">(E3*2240)+(F3*112)+(G3*28)+H3</f>
        <v>0</v>
      </c>
      <c r="L3">
        <f t="shared" ref="L3:L69" si="1">J3/2240</f>
        <v>0</v>
      </c>
    </row>
    <row r="4" spans="1:12" x14ac:dyDescent="0.25">
      <c r="A4">
        <v>1714</v>
      </c>
      <c r="B4" t="s">
        <v>38</v>
      </c>
      <c r="C4" t="s">
        <v>76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1714</v>
      </c>
      <c r="B5" t="s">
        <v>4</v>
      </c>
      <c r="C5" t="s">
        <v>76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1714</v>
      </c>
      <c r="B6" t="s">
        <v>60</v>
      </c>
      <c r="C6" t="s">
        <v>76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1714</v>
      </c>
      <c r="B7" t="s">
        <v>71</v>
      </c>
      <c r="C7" t="s">
        <v>76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1714</v>
      </c>
      <c r="B8" t="s">
        <v>45</v>
      </c>
      <c r="C8" t="s">
        <v>76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1714</v>
      </c>
      <c r="B9" t="s">
        <v>5</v>
      </c>
      <c r="C9" t="s">
        <v>76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1714</v>
      </c>
      <c r="B10" t="s">
        <v>61</v>
      </c>
      <c r="C10" t="s">
        <v>76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1714</v>
      </c>
      <c r="B11" t="s">
        <v>6</v>
      </c>
      <c r="C11" t="s">
        <v>76</v>
      </c>
      <c r="D11" t="s">
        <v>33</v>
      </c>
      <c r="F11">
        <v>29129</v>
      </c>
      <c r="G11">
        <v>2</v>
      </c>
      <c r="H11">
        <v>18</v>
      </c>
      <c r="J11">
        <f t="shared" si="0"/>
        <v>3262522</v>
      </c>
      <c r="L11">
        <f t="shared" si="1"/>
        <v>1456.4830357142857</v>
      </c>
    </row>
    <row r="12" spans="1:12" x14ac:dyDescent="0.25">
      <c r="A12">
        <v>1714</v>
      </c>
      <c r="B12" t="s">
        <v>62</v>
      </c>
      <c r="C12" t="s">
        <v>76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1714</v>
      </c>
      <c r="B13" t="s">
        <v>7</v>
      </c>
      <c r="C13" t="s">
        <v>76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1714</v>
      </c>
      <c r="B14" t="s">
        <v>39</v>
      </c>
      <c r="C14" t="s">
        <v>76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1714</v>
      </c>
      <c r="B15" t="s">
        <v>8</v>
      </c>
      <c r="C15" t="s">
        <v>76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1714</v>
      </c>
      <c r="B16" t="s">
        <v>42</v>
      </c>
      <c r="C16" t="s">
        <v>76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1714</v>
      </c>
      <c r="B17" t="s">
        <v>48</v>
      </c>
      <c r="C17" t="s">
        <v>76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1714</v>
      </c>
      <c r="B18" t="s">
        <v>9</v>
      </c>
      <c r="C18" t="s">
        <v>76</v>
      </c>
      <c r="D18" t="s">
        <v>33</v>
      </c>
      <c r="H18">
        <v>35526</v>
      </c>
      <c r="J18">
        <f t="shared" si="0"/>
        <v>35526</v>
      </c>
      <c r="L18">
        <f t="shared" si="1"/>
        <v>15.859821428571429</v>
      </c>
    </row>
    <row r="19" spans="1:12" x14ac:dyDescent="0.25">
      <c r="A19">
        <v>1714</v>
      </c>
      <c r="B19" t="s">
        <v>10</v>
      </c>
      <c r="C19" t="s">
        <v>76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1714</v>
      </c>
      <c r="B20" t="s">
        <v>11</v>
      </c>
      <c r="C20" t="s">
        <v>76</v>
      </c>
      <c r="D20" t="s">
        <v>33</v>
      </c>
      <c r="F20">
        <v>12</v>
      </c>
      <c r="G20">
        <v>1</v>
      </c>
      <c r="H20">
        <v>11</v>
      </c>
      <c r="J20">
        <f t="shared" si="0"/>
        <v>1383</v>
      </c>
      <c r="L20">
        <f t="shared" si="1"/>
        <v>0.61741071428571426</v>
      </c>
    </row>
    <row r="21" spans="1:12" x14ac:dyDescent="0.25">
      <c r="A21">
        <v>1714</v>
      </c>
      <c r="B21" t="s">
        <v>41</v>
      </c>
      <c r="C21" t="s">
        <v>76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1714</v>
      </c>
      <c r="B22" t="s">
        <v>118</v>
      </c>
      <c r="C22" t="s">
        <v>76</v>
      </c>
      <c r="D22" t="s">
        <v>33</v>
      </c>
      <c r="H22">
        <v>15</v>
      </c>
      <c r="J22">
        <f t="shared" si="0"/>
        <v>15</v>
      </c>
      <c r="L22">
        <f t="shared" si="1"/>
        <v>6.6964285714285711E-3</v>
      </c>
    </row>
    <row r="23" spans="1:12" x14ac:dyDescent="0.25">
      <c r="A23">
        <v>1714</v>
      </c>
      <c r="B23" t="s">
        <v>46</v>
      </c>
      <c r="C23" t="s">
        <v>76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1714</v>
      </c>
      <c r="B24" t="s">
        <v>12</v>
      </c>
      <c r="C24" t="s">
        <v>76</v>
      </c>
      <c r="D24" t="s">
        <v>33</v>
      </c>
      <c r="H24">
        <v>124</v>
      </c>
      <c r="J24">
        <f t="shared" si="0"/>
        <v>124</v>
      </c>
      <c r="L24">
        <f t="shared" si="1"/>
        <v>5.5357142857142855E-2</v>
      </c>
    </row>
    <row r="25" spans="1:12" x14ac:dyDescent="0.25">
      <c r="A25">
        <v>1714</v>
      </c>
      <c r="B25" t="s">
        <v>34</v>
      </c>
      <c r="C25" t="s">
        <v>76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1714</v>
      </c>
      <c r="B26" t="s">
        <v>13</v>
      </c>
      <c r="C26" t="s">
        <v>76</v>
      </c>
      <c r="D26" t="s">
        <v>33</v>
      </c>
      <c r="F26">
        <v>101</v>
      </c>
      <c r="J26">
        <f t="shared" si="0"/>
        <v>11312</v>
      </c>
      <c r="L26">
        <f t="shared" si="1"/>
        <v>5.05</v>
      </c>
    </row>
    <row r="27" spans="1:12" x14ac:dyDescent="0.25">
      <c r="A27">
        <v>1714</v>
      </c>
      <c r="B27" t="s">
        <v>14</v>
      </c>
      <c r="C27" t="s">
        <v>76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1714</v>
      </c>
      <c r="B28" t="s">
        <v>23</v>
      </c>
      <c r="C28" t="s">
        <v>76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1714</v>
      </c>
      <c r="B29" t="s">
        <v>27</v>
      </c>
      <c r="C29" t="s">
        <v>76</v>
      </c>
      <c r="D29" t="s">
        <v>33</v>
      </c>
      <c r="H29">
        <v>5981.5</v>
      </c>
      <c r="I29" t="s">
        <v>119</v>
      </c>
      <c r="J29">
        <f t="shared" si="0"/>
        <v>5981.5</v>
      </c>
      <c r="L29">
        <f t="shared" si="1"/>
        <v>2.6703125000000001</v>
      </c>
    </row>
    <row r="30" spans="1:12" x14ac:dyDescent="0.25">
      <c r="A30">
        <v>1714</v>
      </c>
      <c r="B30" t="s">
        <v>15</v>
      </c>
      <c r="C30" t="s">
        <v>76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1714</v>
      </c>
      <c r="B31" t="s">
        <v>44</v>
      </c>
      <c r="C31" t="s">
        <v>76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1714</v>
      </c>
      <c r="B32" t="s">
        <v>49</v>
      </c>
      <c r="C32" t="s">
        <v>76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1714</v>
      </c>
      <c r="B33" t="s">
        <v>16</v>
      </c>
      <c r="C33" t="s">
        <v>76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1714</v>
      </c>
      <c r="B34" t="s">
        <v>17</v>
      </c>
      <c r="C34" t="s">
        <v>76</v>
      </c>
      <c r="D34" t="s">
        <v>33</v>
      </c>
      <c r="F34">
        <v>5</v>
      </c>
      <c r="G34">
        <v>3</v>
      </c>
      <c r="J34">
        <f t="shared" si="0"/>
        <v>644</v>
      </c>
      <c r="L34">
        <f t="shared" si="1"/>
        <v>0.28749999999999998</v>
      </c>
    </row>
    <row r="35" spans="1:12" x14ac:dyDescent="0.25">
      <c r="A35">
        <v>1714</v>
      </c>
      <c r="B35" t="s">
        <v>18</v>
      </c>
      <c r="C35" t="s">
        <v>76</v>
      </c>
      <c r="D35" t="s">
        <v>33</v>
      </c>
      <c r="H35">
        <v>800</v>
      </c>
      <c r="I35" t="s">
        <v>120</v>
      </c>
      <c r="J35">
        <f t="shared" si="0"/>
        <v>800</v>
      </c>
      <c r="L35">
        <f t="shared" si="1"/>
        <v>0.35714285714285715</v>
      </c>
    </row>
    <row r="36" spans="1:12" x14ac:dyDescent="0.25">
      <c r="A36">
        <v>1714</v>
      </c>
      <c r="B36" t="s">
        <v>72</v>
      </c>
      <c r="C36" t="s">
        <v>76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1714</v>
      </c>
      <c r="B37" t="s">
        <v>19</v>
      </c>
      <c r="C37" t="s">
        <v>76</v>
      </c>
      <c r="D37" t="s">
        <v>33</v>
      </c>
      <c r="F37">
        <v>15</v>
      </c>
      <c r="G37">
        <v>1</v>
      </c>
      <c r="H37">
        <v>26</v>
      </c>
      <c r="J37">
        <f t="shared" si="0"/>
        <v>1734</v>
      </c>
      <c r="L37">
        <f t="shared" si="1"/>
        <v>0.77410714285714288</v>
      </c>
    </row>
    <row r="38" spans="1:12" x14ac:dyDescent="0.25">
      <c r="A38">
        <v>1714</v>
      </c>
      <c r="B38" t="s">
        <v>47</v>
      </c>
      <c r="C38" t="s">
        <v>76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1714</v>
      </c>
      <c r="B39" t="s">
        <v>56</v>
      </c>
      <c r="C39" t="s">
        <v>76</v>
      </c>
      <c r="D39" t="s">
        <v>33</v>
      </c>
      <c r="H39">
        <v>25</v>
      </c>
      <c r="J39">
        <f t="shared" si="0"/>
        <v>25</v>
      </c>
      <c r="L39">
        <f t="shared" si="1"/>
        <v>1.1160714285714286E-2</v>
      </c>
    </row>
    <row r="40" spans="1:12" x14ac:dyDescent="0.25">
      <c r="A40">
        <v>1714</v>
      </c>
      <c r="B40" t="s">
        <v>102</v>
      </c>
      <c r="C40" t="s">
        <v>76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1714</v>
      </c>
      <c r="B41" t="s">
        <v>20</v>
      </c>
      <c r="C41" t="s">
        <v>76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1714</v>
      </c>
      <c r="B42" t="s">
        <v>21</v>
      </c>
      <c r="C42" t="s">
        <v>76</v>
      </c>
      <c r="D42" t="s">
        <v>33</v>
      </c>
      <c r="H42">
        <v>7</v>
      </c>
      <c r="J42">
        <f t="shared" si="0"/>
        <v>7</v>
      </c>
      <c r="L42">
        <f t="shared" si="1"/>
        <v>3.1250000000000002E-3</v>
      </c>
    </row>
    <row r="43" spans="1:12" x14ac:dyDescent="0.25">
      <c r="A43">
        <v>1714</v>
      </c>
      <c r="B43" t="s">
        <v>22</v>
      </c>
      <c r="C43" t="s">
        <v>76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1714</v>
      </c>
      <c r="B44" t="s">
        <v>63</v>
      </c>
      <c r="C44" t="s">
        <v>76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1714</v>
      </c>
      <c r="B45" t="s">
        <v>64</v>
      </c>
      <c r="C45" t="s">
        <v>76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1714</v>
      </c>
      <c r="B46" t="s">
        <v>65</v>
      </c>
      <c r="C46" t="s">
        <v>76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1714</v>
      </c>
      <c r="B47" t="s">
        <v>73</v>
      </c>
      <c r="C47" t="s">
        <v>76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1714</v>
      </c>
      <c r="B48" t="s">
        <v>66</v>
      </c>
      <c r="C48" t="s">
        <v>76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1714</v>
      </c>
      <c r="B49" t="s">
        <v>67</v>
      </c>
      <c r="C49" t="s">
        <v>76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1714</v>
      </c>
      <c r="B50" t="s">
        <v>5</v>
      </c>
      <c r="C50" t="s">
        <v>76</v>
      </c>
      <c r="D50" t="s">
        <v>35</v>
      </c>
      <c r="J50">
        <f t="shared" si="0"/>
        <v>0</v>
      </c>
      <c r="L50">
        <f t="shared" si="1"/>
        <v>0</v>
      </c>
    </row>
    <row r="51" spans="1:12" x14ac:dyDescent="0.25">
      <c r="A51">
        <v>1714</v>
      </c>
      <c r="B51" t="s">
        <v>6</v>
      </c>
      <c r="C51" t="s">
        <v>76</v>
      </c>
      <c r="D51" t="s">
        <v>35</v>
      </c>
      <c r="F51">
        <v>15302</v>
      </c>
      <c r="H51">
        <v>21</v>
      </c>
      <c r="J51">
        <f t="shared" si="0"/>
        <v>1713845</v>
      </c>
      <c r="L51">
        <f t="shared" si="1"/>
        <v>765.109375</v>
      </c>
    </row>
    <row r="52" spans="1:12" x14ac:dyDescent="0.25">
      <c r="A52">
        <v>1714</v>
      </c>
      <c r="B52" t="s">
        <v>62</v>
      </c>
      <c r="C52" t="s">
        <v>76</v>
      </c>
      <c r="D52" t="s">
        <v>35</v>
      </c>
      <c r="H52">
        <v>113</v>
      </c>
      <c r="J52">
        <f t="shared" si="0"/>
        <v>113</v>
      </c>
      <c r="L52">
        <f t="shared" si="1"/>
        <v>5.0446428571428573E-2</v>
      </c>
    </row>
    <row r="53" spans="1:12" x14ac:dyDescent="0.25">
      <c r="A53">
        <v>1714</v>
      </c>
      <c r="B53" t="s">
        <v>7</v>
      </c>
      <c r="C53" t="s">
        <v>76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1714</v>
      </c>
      <c r="B54" t="s">
        <v>8</v>
      </c>
      <c r="C54" t="s">
        <v>76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1714</v>
      </c>
      <c r="B55" t="s">
        <v>9</v>
      </c>
      <c r="C55" t="s">
        <v>76</v>
      </c>
      <c r="D55" t="s">
        <v>35</v>
      </c>
      <c r="H55">
        <v>15100</v>
      </c>
      <c r="J55">
        <f t="shared" si="0"/>
        <v>15100</v>
      </c>
      <c r="L55">
        <f t="shared" si="1"/>
        <v>6.7410714285714288</v>
      </c>
    </row>
    <row r="56" spans="1:12" x14ac:dyDescent="0.25">
      <c r="A56">
        <v>1714</v>
      </c>
      <c r="B56" t="s">
        <v>10</v>
      </c>
      <c r="C56" t="s">
        <v>76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1714</v>
      </c>
      <c r="B57" t="s">
        <v>11</v>
      </c>
      <c r="C57" t="s">
        <v>76</v>
      </c>
      <c r="D57" t="s">
        <v>35</v>
      </c>
      <c r="F57">
        <v>11</v>
      </c>
      <c r="G57">
        <v>2</v>
      </c>
      <c r="H57">
        <v>11</v>
      </c>
      <c r="J57">
        <f t="shared" si="0"/>
        <v>1299</v>
      </c>
      <c r="L57">
        <f t="shared" si="1"/>
        <v>0.57991071428571428</v>
      </c>
    </row>
    <row r="58" spans="1:12" x14ac:dyDescent="0.25">
      <c r="A58">
        <v>1714</v>
      </c>
      <c r="B58" t="s">
        <v>12</v>
      </c>
      <c r="C58" t="s">
        <v>76</v>
      </c>
      <c r="D58" t="s">
        <v>35</v>
      </c>
      <c r="H58">
        <v>153</v>
      </c>
      <c r="J58">
        <f t="shared" si="0"/>
        <v>153</v>
      </c>
      <c r="L58">
        <f t="shared" si="1"/>
        <v>6.8303571428571422E-2</v>
      </c>
    </row>
    <row r="59" spans="1:12" x14ac:dyDescent="0.25">
      <c r="A59">
        <v>1714</v>
      </c>
      <c r="B59" t="s">
        <v>13</v>
      </c>
      <c r="C59" t="s">
        <v>76</v>
      </c>
      <c r="D59" t="s">
        <v>35</v>
      </c>
      <c r="F59">
        <v>19</v>
      </c>
      <c r="J59">
        <f t="shared" si="0"/>
        <v>2128</v>
      </c>
      <c r="L59">
        <f t="shared" si="1"/>
        <v>0.95</v>
      </c>
    </row>
    <row r="60" spans="1:12" x14ac:dyDescent="0.25">
      <c r="A60">
        <v>1714</v>
      </c>
      <c r="B60" t="s">
        <v>14</v>
      </c>
      <c r="C60" t="s">
        <v>76</v>
      </c>
      <c r="D60" t="s">
        <v>35</v>
      </c>
      <c r="H60">
        <v>600</v>
      </c>
      <c r="I60" t="s">
        <v>134</v>
      </c>
      <c r="J60">
        <f t="shared" si="0"/>
        <v>600</v>
      </c>
      <c r="L60">
        <f t="shared" si="1"/>
        <v>0.26785714285714285</v>
      </c>
    </row>
    <row r="61" spans="1:12" x14ac:dyDescent="0.25">
      <c r="A61">
        <v>1714</v>
      </c>
      <c r="B61" t="s">
        <v>27</v>
      </c>
      <c r="C61" t="s">
        <v>76</v>
      </c>
      <c r="D61" t="s">
        <v>35</v>
      </c>
      <c r="H61">
        <v>1170</v>
      </c>
      <c r="I61" t="s">
        <v>133</v>
      </c>
      <c r="J61">
        <f t="shared" si="0"/>
        <v>1170</v>
      </c>
      <c r="L61">
        <f t="shared" si="1"/>
        <v>0.5223214285714286</v>
      </c>
    </row>
    <row r="62" spans="1:12" x14ac:dyDescent="0.25">
      <c r="A62">
        <v>1714</v>
      </c>
      <c r="B62" t="s">
        <v>15</v>
      </c>
      <c r="C62" t="s">
        <v>76</v>
      </c>
      <c r="D62" t="s">
        <v>35</v>
      </c>
      <c r="F62">
        <v>150</v>
      </c>
      <c r="G62">
        <v>3</v>
      </c>
      <c r="H62">
        <v>4</v>
      </c>
      <c r="J62">
        <f t="shared" si="0"/>
        <v>16888</v>
      </c>
      <c r="L62">
        <f t="shared" si="1"/>
        <v>7.5392857142857146</v>
      </c>
    </row>
    <row r="63" spans="1:12" x14ac:dyDescent="0.25">
      <c r="A63">
        <v>1714</v>
      </c>
      <c r="B63" t="s">
        <v>16</v>
      </c>
      <c r="C63" t="s">
        <v>76</v>
      </c>
      <c r="D63" t="s">
        <v>35</v>
      </c>
      <c r="H63">
        <v>404</v>
      </c>
      <c r="J63">
        <f t="shared" si="0"/>
        <v>404</v>
      </c>
      <c r="L63">
        <f t="shared" si="1"/>
        <v>0.18035714285714285</v>
      </c>
    </row>
    <row r="64" spans="1:12" x14ac:dyDescent="0.25">
      <c r="A64">
        <v>1714</v>
      </c>
      <c r="B64" t="s">
        <v>17</v>
      </c>
      <c r="C64" t="s">
        <v>76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1714</v>
      </c>
      <c r="B65" t="s">
        <v>18</v>
      </c>
      <c r="C65" t="s">
        <v>76</v>
      </c>
      <c r="D65" t="s">
        <v>35</v>
      </c>
      <c r="H65">
        <v>2590.5</v>
      </c>
      <c r="I65" t="s">
        <v>135</v>
      </c>
      <c r="J65">
        <f t="shared" si="0"/>
        <v>2590.5</v>
      </c>
      <c r="L65">
        <f t="shared" si="1"/>
        <v>1.1564732142857144</v>
      </c>
    </row>
    <row r="66" spans="1:12" x14ac:dyDescent="0.25">
      <c r="A66">
        <v>1714</v>
      </c>
      <c r="B66" t="s">
        <v>19</v>
      </c>
      <c r="C66" t="s">
        <v>76</v>
      </c>
      <c r="D66" t="s">
        <v>35</v>
      </c>
      <c r="F66">
        <v>4</v>
      </c>
      <c r="G66">
        <v>2</v>
      </c>
      <c r="H66">
        <v>26</v>
      </c>
      <c r="J66">
        <f t="shared" si="0"/>
        <v>530</v>
      </c>
      <c r="L66">
        <f t="shared" si="1"/>
        <v>0.23660714285714285</v>
      </c>
    </row>
    <row r="67" spans="1:12" x14ac:dyDescent="0.25">
      <c r="A67">
        <v>1714</v>
      </c>
      <c r="B67" t="s">
        <v>56</v>
      </c>
      <c r="C67" t="s">
        <v>76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1714</v>
      </c>
      <c r="B68" t="s">
        <v>102</v>
      </c>
      <c r="C68" t="s">
        <v>76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1714</v>
      </c>
      <c r="B69" t="s">
        <v>21</v>
      </c>
      <c r="C69" t="s">
        <v>76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1714</v>
      </c>
      <c r="B70" t="s">
        <v>22</v>
      </c>
      <c r="C70" t="s">
        <v>76</v>
      </c>
      <c r="D70" t="s">
        <v>35</v>
      </c>
      <c r="J70">
        <f t="shared" ref="J70:J72" si="2">(E70*2240)+(F70*112)+(G70*28)+H70</f>
        <v>0</v>
      </c>
      <c r="L70">
        <f t="shared" ref="L70:L72" si="3">J70/2240</f>
        <v>0</v>
      </c>
    </row>
    <row r="71" spans="1:12" x14ac:dyDescent="0.25">
      <c r="A71">
        <v>1714</v>
      </c>
      <c r="B71" t="s">
        <v>64</v>
      </c>
      <c r="C71" t="s">
        <v>76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1714</v>
      </c>
      <c r="B72" t="s">
        <v>67</v>
      </c>
      <c r="C72" t="s">
        <v>76</v>
      </c>
      <c r="D72" t="s">
        <v>35</v>
      </c>
      <c r="F72">
        <v>2</v>
      </c>
      <c r="J72">
        <f t="shared" si="2"/>
        <v>224</v>
      </c>
      <c r="L72">
        <f t="shared" si="3"/>
        <v>0.1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L71"/>
  <sheetViews>
    <sheetView topLeftCell="A4" workbookViewId="0">
      <selection activeCell="H64" sqref="H64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1714</v>
      </c>
      <c r="B2" t="s">
        <v>57</v>
      </c>
      <c r="C2" t="s">
        <v>77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1714</v>
      </c>
      <c r="B3" t="s">
        <v>59</v>
      </c>
      <c r="C3" t="s">
        <v>77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2" x14ac:dyDescent="0.25">
      <c r="A4">
        <v>1714</v>
      </c>
      <c r="B4" t="s">
        <v>38</v>
      </c>
      <c r="C4" t="s">
        <v>77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1714</v>
      </c>
      <c r="B5" t="s">
        <v>4</v>
      </c>
      <c r="C5" t="s">
        <v>77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1714</v>
      </c>
      <c r="B6" t="s">
        <v>60</v>
      </c>
      <c r="C6" t="s">
        <v>77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1714</v>
      </c>
      <c r="B7" t="s">
        <v>71</v>
      </c>
      <c r="C7" t="s">
        <v>77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1714</v>
      </c>
      <c r="B8" t="s">
        <v>45</v>
      </c>
      <c r="C8" t="s">
        <v>77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1714</v>
      </c>
      <c r="B9" t="s">
        <v>5</v>
      </c>
      <c r="C9" t="s">
        <v>77</v>
      </c>
      <c r="D9" t="s">
        <v>33</v>
      </c>
      <c r="F9">
        <v>0.25</v>
      </c>
      <c r="J9">
        <f t="shared" si="0"/>
        <v>28</v>
      </c>
      <c r="L9">
        <f t="shared" si="1"/>
        <v>1.2500000000000001E-2</v>
      </c>
    </row>
    <row r="10" spans="1:12" x14ac:dyDescent="0.25">
      <c r="A10">
        <v>1714</v>
      </c>
      <c r="B10" t="s">
        <v>61</v>
      </c>
      <c r="C10" t="s">
        <v>77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1714</v>
      </c>
      <c r="B11" t="s">
        <v>6</v>
      </c>
      <c r="C11" t="s">
        <v>77</v>
      </c>
      <c r="D11" t="s">
        <v>33</v>
      </c>
      <c r="F11">
        <v>25723</v>
      </c>
      <c r="G11">
        <v>1</v>
      </c>
      <c r="H11">
        <v>27</v>
      </c>
      <c r="J11">
        <f t="shared" si="0"/>
        <v>2881031</v>
      </c>
      <c r="L11">
        <f t="shared" si="1"/>
        <v>1286.1745535714285</v>
      </c>
    </row>
    <row r="12" spans="1:12" x14ac:dyDescent="0.25">
      <c r="A12">
        <v>1714</v>
      </c>
      <c r="B12" t="s">
        <v>62</v>
      </c>
      <c r="C12" t="s">
        <v>77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1714</v>
      </c>
      <c r="B13" t="s">
        <v>7</v>
      </c>
      <c r="C13" t="s">
        <v>77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1714</v>
      </c>
      <c r="B14" t="s">
        <v>39</v>
      </c>
      <c r="C14" t="s">
        <v>77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1714</v>
      </c>
      <c r="B15" t="s">
        <v>8</v>
      </c>
      <c r="C15" t="s">
        <v>77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1714</v>
      </c>
      <c r="B16" t="s">
        <v>42</v>
      </c>
      <c r="C16" t="s">
        <v>77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1714</v>
      </c>
      <c r="B17" t="s">
        <v>99</v>
      </c>
      <c r="C17" t="s">
        <v>77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1714</v>
      </c>
      <c r="B18" t="s">
        <v>48</v>
      </c>
      <c r="C18" t="s">
        <v>77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1714</v>
      </c>
      <c r="B19" t="s">
        <v>9</v>
      </c>
      <c r="C19" t="s">
        <v>77</v>
      </c>
      <c r="D19" t="s">
        <v>33</v>
      </c>
      <c r="H19">
        <v>26186</v>
      </c>
      <c r="J19">
        <f t="shared" si="0"/>
        <v>26186</v>
      </c>
      <c r="L19">
        <f t="shared" si="1"/>
        <v>11.690178571428572</v>
      </c>
    </row>
    <row r="20" spans="1:12" x14ac:dyDescent="0.25">
      <c r="A20">
        <v>1714</v>
      </c>
      <c r="B20" t="s">
        <v>10</v>
      </c>
      <c r="C20" t="s">
        <v>77</v>
      </c>
      <c r="D20" t="s">
        <v>33</v>
      </c>
      <c r="F20">
        <v>13</v>
      </c>
      <c r="J20">
        <f t="shared" si="0"/>
        <v>1456</v>
      </c>
      <c r="L20">
        <f t="shared" si="1"/>
        <v>0.65</v>
      </c>
    </row>
    <row r="21" spans="1:12" x14ac:dyDescent="0.25">
      <c r="A21">
        <v>1714</v>
      </c>
      <c r="B21" t="s">
        <v>11</v>
      </c>
      <c r="C21" t="s">
        <v>77</v>
      </c>
      <c r="D21" t="s">
        <v>33</v>
      </c>
      <c r="F21">
        <v>93</v>
      </c>
      <c r="H21">
        <v>5</v>
      </c>
      <c r="J21">
        <f t="shared" si="0"/>
        <v>10421</v>
      </c>
      <c r="L21">
        <f t="shared" si="1"/>
        <v>4.6522321428571427</v>
      </c>
    </row>
    <row r="22" spans="1:12" x14ac:dyDescent="0.25">
      <c r="A22">
        <v>1714</v>
      </c>
      <c r="B22" t="s">
        <v>41</v>
      </c>
      <c r="C22" t="s">
        <v>77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1714</v>
      </c>
      <c r="B23" t="s">
        <v>46</v>
      </c>
      <c r="C23" t="s">
        <v>77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1714</v>
      </c>
      <c r="B24" t="s">
        <v>12</v>
      </c>
      <c r="C24" t="s">
        <v>77</v>
      </c>
      <c r="D24" t="s">
        <v>33</v>
      </c>
      <c r="H24">
        <v>4506</v>
      </c>
      <c r="J24">
        <f t="shared" si="0"/>
        <v>4506</v>
      </c>
      <c r="L24">
        <f t="shared" si="1"/>
        <v>2.0116071428571427</v>
      </c>
    </row>
    <row r="25" spans="1:12" x14ac:dyDescent="0.25">
      <c r="A25">
        <v>1714</v>
      </c>
      <c r="B25" t="s">
        <v>34</v>
      </c>
      <c r="C25" t="s">
        <v>77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1714</v>
      </c>
      <c r="B26" t="s">
        <v>13</v>
      </c>
      <c r="C26" t="s">
        <v>77</v>
      </c>
      <c r="D26" t="s">
        <v>33</v>
      </c>
      <c r="F26">
        <v>669</v>
      </c>
      <c r="J26">
        <f t="shared" si="0"/>
        <v>74928</v>
      </c>
      <c r="L26">
        <f t="shared" si="1"/>
        <v>33.450000000000003</v>
      </c>
    </row>
    <row r="27" spans="1:12" x14ac:dyDescent="0.25">
      <c r="A27">
        <v>1714</v>
      </c>
      <c r="B27" t="s">
        <v>14</v>
      </c>
      <c r="C27" t="s">
        <v>77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1714</v>
      </c>
      <c r="B28" t="s">
        <v>23</v>
      </c>
      <c r="C28" t="s">
        <v>77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1714</v>
      </c>
      <c r="B29" t="s">
        <v>27</v>
      </c>
      <c r="C29" t="s">
        <v>77</v>
      </c>
      <c r="D29" t="s">
        <v>33</v>
      </c>
      <c r="H29">
        <v>640</v>
      </c>
      <c r="I29" t="s">
        <v>121</v>
      </c>
      <c r="J29">
        <f t="shared" si="0"/>
        <v>640</v>
      </c>
      <c r="L29">
        <f t="shared" si="1"/>
        <v>0.2857142857142857</v>
      </c>
    </row>
    <row r="30" spans="1:12" x14ac:dyDescent="0.25">
      <c r="A30">
        <v>1714</v>
      </c>
      <c r="B30" t="s">
        <v>15</v>
      </c>
      <c r="C30" t="s">
        <v>77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1714</v>
      </c>
      <c r="B31" t="s">
        <v>44</v>
      </c>
      <c r="C31" t="s">
        <v>77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1714</v>
      </c>
      <c r="B32" t="s">
        <v>49</v>
      </c>
      <c r="C32" t="s">
        <v>77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1714</v>
      </c>
      <c r="B33" t="s">
        <v>16</v>
      </c>
      <c r="C33" t="s">
        <v>77</v>
      </c>
      <c r="D33" t="s">
        <v>33</v>
      </c>
      <c r="H33">
        <v>142</v>
      </c>
      <c r="J33">
        <f t="shared" si="0"/>
        <v>142</v>
      </c>
      <c r="L33">
        <f t="shared" si="1"/>
        <v>6.339285714285714E-2</v>
      </c>
    </row>
    <row r="34" spans="1:12" x14ac:dyDescent="0.25">
      <c r="A34">
        <v>1714</v>
      </c>
      <c r="B34" t="s">
        <v>100</v>
      </c>
      <c r="C34" t="s">
        <v>77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1714</v>
      </c>
      <c r="B35" t="s">
        <v>17</v>
      </c>
      <c r="C35" t="s">
        <v>77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1714</v>
      </c>
      <c r="B36" t="s">
        <v>18</v>
      </c>
      <c r="C36" t="s">
        <v>77</v>
      </c>
      <c r="D36" t="s">
        <v>33</v>
      </c>
      <c r="H36">
        <v>2115.5</v>
      </c>
      <c r="I36" t="s">
        <v>122</v>
      </c>
      <c r="J36">
        <f t="shared" si="0"/>
        <v>2115.5</v>
      </c>
      <c r="L36">
        <f t="shared" si="1"/>
        <v>0.94441964285714286</v>
      </c>
    </row>
    <row r="37" spans="1:12" x14ac:dyDescent="0.25">
      <c r="A37">
        <v>1714</v>
      </c>
      <c r="B37" t="s">
        <v>72</v>
      </c>
      <c r="C37" t="s">
        <v>77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1714</v>
      </c>
      <c r="B38" t="s">
        <v>19</v>
      </c>
      <c r="C38" t="s">
        <v>77</v>
      </c>
      <c r="D38" t="s">
        <v>33</v>
      </c>
      <c r="F38">
        <v>16</v>
      </c>
      <c r="G38">
        <v>2</v>
      </c>
      <c r="J38">
        <f t="shared" si="0"/>
        <v>1848</v>
      </c>
      <c r="L38">
        <f t="shared" si="1"/>
        <v>0.82499999999999996</v>
      </c>
    </row>
    <row r="39" spans="1:12" x14ac:dyDescent="0.25">
      <c r="A39">
        <v>1714</v>
      </c>
      <c r="B39" t="s">
        <v>47</v>
      </c>
      <c r="C39" t="s">
        <v>77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1714</v>
      </c>
      <c r="B40" t="s">
        <v>56</v>
      </c>
      <c r="C40" t="s">
        <v>77</v>
      </c>
      <c r="D40" t="s">
        <v>33</v>
      </c>
      <c r="H40">
        <v>36</v>
      </c>
      <c r="J40">
        <f t="shared" si="0"/>
        <v>36</v>
      </c>
      <c r="L40">
        <f t="shared" si="1"/>
        <v>1.607142857142857E-2</v>
      </c>
    </row>
    <row r="41" spans="1:12" x14ac:dyDescent="0.25">
      <c r="A41">
        <v>1714</v>
      </c>
      <c r="B41" t="s">
        <v>102</v>
      </c>
      <c r="C41" t="s">
        <v>77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1714</v>
      </c>
      <c r="B42" t="s">
        <v>20</v>
      </c>
      <c r="C42" t="s">
        <v>77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1714</v>
      </c>
      <c r="B43" t="s">
        <v>21</v>
      </c>
      <c r="C43" t="s">
        <v>77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1714</v>
      </c>
      <c r="B44" t="s">
        <v>22</v>
      </c>
      <c r="C44" t="s">
        <v>77</v>
      </c>
      <c r="D44" t="s">
        <v>33</v>
      </c>
      <c r="F44">
        <v>4</v>
      </c>
      <c r="J44">
        <f t="shared" si="0"/>
        <v>448</v>
      </c>
      <c r="L44">
        <f t="shared" si="1"/>
        <v>0.2</v>
      </c>
    </row>
    <row r="45" spans="1:12" x14ac:dyDescent="0.25">
      <c r="A45">
        <v>1714</v>
      </c>
      <c r="B45" t="s">
        <v>63</v>
      </c>
      <c r="C45" t="s">
        <v>77</v>
      </c>
      <c r="D45" t="s">
        <v>33</v>
      </c>
      <c r="E45">
        <v>34</v>
      </c>
      <c r="F45">
        <v>19</v>
      </c>
      <c r="J45">
        <f t="shared" si="0"/>
        <v>78288</v>
      </c>
      <c r="L45">
        <f t="shared" si="1"/>
        <v>34.950000000000003</v>
      </c>
    </row>
    <row r="46" spans="1:12" x14ac:dyDescent="0.25">
      <c r="A46">
        <v>1714</v>
      </c>
      <c r="B46" t="s">
        <v>64</v>
      </c>
      <c r="C46" t="s">
        <v>77</v>
      </c>
      <c r="D46" t="s">
        <v>33</v>
      </c>
      <c r="E46">
        <v>1</v>
      </c>
      <c r="F46">
        <v>13</v>
      </c>
      <c r="J46">
        <f t="shared" si="0"/>
        <v>3696</v>
      </c>
      <c r="L46">
        <f t="shared" si="1"/>
        <v>1.65</v>
      </c>
    </row>
    <row r="47" spans="1:12" x14ac:dyDescent="0.25">
      <c r="A47">
        <v>1714</v>
      </c>
      <c r="B47" t="s">
        <v>65</v>
      </c>
      <c r="C47" t="s">
        <v>77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1714</v>
      </c>
      <c r="B48" t="s">
        <v>73</v>
      </c>
      <c r="C48" t="s">
        <v>77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1714</v>
      </c>
      <c r="B49" t="s">
        <v>66</v>
      </c>
      <c r="C49" t="s">
        <v>77</v>
      </c>
      <c r="D49" t="s">
        <v>33</v>
      </c>
      <c r="E49">
        <v>3</v>
      </c>
      <c r="F49">
        <v>2</v>
      </c>
      <c r="J49">
        <f t="shared" si="0"/>
        <v>6944</v>
      </c>
      <c r="L49">
        <f t="shared" si="1"/>
        <v>3.1</v>
      </c>
    </row>
    <row r="50" spans="1:12" x14ac:dyDescent="0.25">
      <c r="A50">
        <v>1714</v>
      </c>
      <c r="B50" t="s">
        <v>67</v>
      </c>
      <c r="C50" t="s">
        <v>77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1714</v>
      </c>
      <c r="B51" t="s">
        <v>6</v>
      </c>
      <c r="C51" t="s">
        <v>77</v>
      </c>
      <c r="D51" t="s">
        <v>35</v>
      </c>
      <c r="F51">
        <v>9054</v>
      </c>
      <c r="G51">
        <v>3</v>
      </c>
      <c r="H51">
        <v>18</v>
      </c>
      <c r="J51">
        <f t="shared" si="0"/>
        <v>1014150</v>
      </c>
      <c r="L51">
        <f t="shared" si="1"/>
        <v>452.74553571428572</v>
      </c>
    </row>
    <row r="52" spans="1:12" x14ac:dyDescent="0.25">
      <c r="A52">
        <v>1714</v>
      </c>
      <c r="B52" t="s">
        <v>7</v>
      </c>
      <c r="C52" t="s">
        <v>77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1714</v>
      </c>
      <c r="B53" t="s">
        <v>8</v>
      </c>
      <c r="C53" t="s">
        <v>77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1714</v>
      </c>
      <c r="B54" t="s">
        <v>9</v>
      </c>
      <c r="C54" t="s">
        <v>77</v>
      </c>
      <c r="D54" t="s">
        <v>35</v>
      </c>
      <c r="H54">
        <v>2937</v>
      </c>
      <c r="J54">
        <f t="shared" si="0"/>
        <v>2937</v>
      </c>
      <c r="L54">
        <f t="shared" si="1"/>
        <v>1.3111607142857142</v>
      </c>
    </row>
    <row r="55" spans="1:12" x14ac:dyDescent="0.25">
      <c r="A55">
        <v>1714</v>
      </c>
      <c r="B55" t="s">
        <v>10</v>
      </c>
      <c r="C55" t="s">
        <v>77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1714</v>
      </c>
      <c r="B56" t="s">
        <v>11</v>
      </c>
      <c r="C56" t="s">
        <v>77</v>
      </c>
      <c r="D56" t="s">
        <v>35</v>
      </c>
      <c r="F56">
        <v>17</v>
      </c>
      <c r="G56">
        <v>2</v>
      </c>
      <c r="H56">
        <v>9</v>
      </c>
      <c r="J56">
        <f t="shared" si="0"/>
        <v>1969</v>
      </c>
      <c r="L56">
        <f t="shared" si="1"/>
        <v>0.87901785714285718</v>
      </c>
    </row>
    <row r="57" spans="1:12" x14ac:dyDescent="0.25">
      <c r="A57">
        <v>1714</v>
      </c>
      <c r="B57" t="s">
        <v>12</v>
      </c>
      <c r="C57" t="s">
        <v>77</v>
      </c>
      <c r="D57" t="s">
        <v>35</v>
      </c>
      <c r="H57">
        <v>105</v>
      </c>
      <c r="J57">
        <f t="shared" si="0"/>
        <v>105</v>
      </c>
      <c r="L57">
        <f t="shared" si="1"/>
        <v>4.6875E-2</v>
      </c>
    </row>
    <row r="58" spans="1:12" x14ac:dyDescent="0.25">
      <c r="A58">
        <v>1714</v>
      </c>
      <c r="B58" t="s">
        <v>13</v>
      </c>
      <c r="C58" t="s">
        <v>77</v>
      </c>
      <c r="D58" t="s">
        <v>35</v>
      </c>
      <c r="F58">
        <v>5</v>
      </c>
      <c r="G58">
        <v>2</v>
      </c>
      <c r="H58">
        <v>6</v>
      </c>
      <c r="J58">
        <f t="shared" si="0"/>
        <v>622</v>
      </c>
      <c r="L58">
        <f t="shared" si="1"/>
        <v>0.27767857142857144</v>
      </c>
    </row>
    <row r="59" spans="1:12" x14ac:dyDescent="0.25">
      <c r="A59">
        <v>1714</v>
      </c>
      <c r="B59" t="s">
        <v>14</v>
      </c>
      <c r="C59" t="s">
        <v>77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1714</v>
      </c>
      <c r="B60" t="s">
        <v>27</v>
      </c>
      <c r="C60" t="s">
        <v>77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1714</v>
      </c>
      <c r="B61" t="s">
        <v>15</v>
      </c>
      <c r="C61" t="s">
        <v>77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1714</v>
      </c>
      <c r="B62" t="s">
        <v>17</v>
      </c>
      <c r="C62" t="s">
        <v>77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1714</v>
      </c>
      <c r="B63" t="s">
        <v>18</v>
      </c>
      <c r="C63" t="s">
        <v>77</v>
      </c>
      <c r="D63" t="s">
        <v>35</v>
      </c>
      <c r="H63">
        <v>2040.5</v>
      </c>
      <c r="I63" t="s">
        <v>136</v>
      </c>
      <c r="J63">
        <f t="shared" si="0"/>
        <v>2040.5</v>
      </c>
      <c r="L63">
        <f t="shared" si="1"/>
        <v>0.91093749999999996</v>
      </c>
    </row>
    <row r="64" spans="1:12" x14ac:dyDescent="0.25">
      <c r="A64">
        <v>1714</v>
      </c>
      <c r="B64" t="s">
        <v>19</v>
      </c>
      <c r="C64" t="s">
        <v>77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1714</v>
      </c>
      <c r="B65" t="s">
        <v>56</v>
      </c>
      <c r="C65" t="s">
        <v>77</v>
      </c>
      <c r="D65" t="s">
        <v>35</v>
      </c>
      <c r="H65">
        <v>86</v>
      </c>
      <c r="J65">
        <f t="shared" si="0"/>
        <v>86</v>
      </c>
      <c r="L65">
        <f t="shared" si="1"/>
        <v>3.8392857142857145E-2</v>
      </c>
    </row>
    <row r="66" spans="1:12" x14ac:dyDescent="0.25">
      <c r="A66">
        <v>1714</v>
      </c>
      <c r="B66" t="s">
        <v>20</v>
      </c>
      <c r="C66" t="s">
        <v>77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1714</v>
      </c>
      <c r="B67" t="s">
        <v>21</v>
      </c>
      <c r="C67" t="s">
        <v>77</v>
      </c>
      <c r="D67" t="s">
        <v>35</v>
      </c>
      <c r="J67">
        <f t="shared" ref="J67:J71" si="2">(E67*2240)+(F67*112)+(G67*28)+H67</f>
        <v>0</v>
      </c>
      <c r="L67">
        <f t="shared" ref="L67:L71" si="3">J67/2240</f>
        <v>0</v>
      </c>
    </row>
    <row r="68" spans="1:12" x14ac:dyDescent="0.25">
      <c r="A68">
        <v>1714</v>
      </c>
      <c r="B68" t="s">
        <v>22</v>
      </c>
      <c r="C68" t="s">
        <v>77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1714</v>
      </c>
      <c r="B69" t="s">
        <v>64</v>
      </c>
      <c r="C69" t="s">
        <v>77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1714</v>
      </c>
      <c r="B70" t="s">
        <v>66</v>
      </c>
      <c r="C70" t="s">
        <v>77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1714</v>
      </c>
      <c r="B71" t="s">
        <v>67</v>
      </c>
      <c r="C71" t="s">
        <v>77</v>
      </c>
      <c r="D71" t="s">
        <v>35</v>
      </c>
      <c r="G71">
        <v>2</v>
      </c>
      <c r="J71">
        <f t="shared" si="2"/>
        <v>56</v>
      </c>
      <c r="L71">
        <f t="shared" si="3"/>
        <v>2.5000000000000001E-2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L70"/>
  <sheetViews>
    <sheetView workbookViewId="0">
      <selection sqref="A1:XFD1048576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B2" t="s">
        <v>57</v>
      </c>
      <c r="C2" t="s">
        <v>101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B3" t="s">
        <v>59</v>
      </c>
      <c r="C3" t="s">
        <v>101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B4" t="s">
        <v>38</v>
      </c>
      <c r="C4" t="s">
        <v>101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B5" t="s">
        <v>4</v>
      </c>
      <c r="C5" t="s">
        <v>101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B6" t="s">
        <v>60</v>
      </c>
      <c r="C6" t="s">
        <v>101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B7" t="s">
        <v>71</v>
      </c>
      <c r="C7" t="s">
        <v>101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B8" t="s">
        <v>45</v>
      </c>
      <c r="C8" t="s">
        <v>101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B9" t="s">
        <v>5</v>
      </c>
      <c r="C9" t="s">
        <v>101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B10" t="s">
        <v>61</v>
      </c>
      <c r="C10" t="s">
        <v>101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B11" t="s">
        <v>6</v>
      </c>
      <c r="C11" t="s">
        <v>101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B12" t="s">
        <v>62</v>
      </c>
      <c r="C12" t="s">
        <v>101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B13" t="s">
        <v>40</v>
      </c>
      <c r="C13" t="s">
        <v>101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B14" t="s">
        <v>39</v>
      </c>
      <c r="C14" t="s">
        <v>101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B15" t="s">
        <v>8</v>
      </c>
      <c r="C15" t="s">
        <v>101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B16" t="s">
        <v>42</v>
      </c>
      <c r="C16" t="s">
        <v>101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99</v>
      </c>
      <c r="C17" t="s">
        <v>101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48</v>
      </c>
      <c r="C18" t="s">
        <v>101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9</v>
      </c>
      <c r="C19" t="s">
        <v>101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10</v>
      </c>
      <c r="C20" t="s">
        <v>101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11</v>
      </c>
      <c r="C21" t="s">
        <v>101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41</v>
      </c>
      <c r="C22" t="s">
        <v>101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46</v>
      </c>
      <c r="C23" t="s">
        <v>101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12</v>
      </c>
      <c r="C24" t="s">
        <v>101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34</v>
      </c>
      <c r="C25" t="s">
        <v>101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13</v>
      </c>
      <c r="C26" t="s">
        <v>101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14</v>
      </c>
      <c r="C27" t="s">
        <v>101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23</v>
      </c>
      <c r="C28" t="s">
        <v>101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27</v>
      </c>
      <c r="C29" t="s">
        <v>101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15</v>
      </c>
      <c r="C30" t="s">
        <v>101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44</v>
      </c>
      <c r="C31" t="s">
        <v>101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49</v>
      </c>
      <c r="C32" t="s">
        <v>101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16</v>
      </c>
      <c r="C33" t="s">
        <v>101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100</v>
      </c>
      <c r="C34" t="s">
        <v>101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17</v>
      </c>
      <c r="C35" t="s">
        <v>101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18</v>
      </c>
      <c r="C36" t="s">
        <v>101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72</v>
      </c>
      <c r="C37" t="s">
        <v>101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19</v>
      </c>
      <c r="C38" t="s">
        <v>101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47</v>
      </c>
      <c r="C39" t="s">
        <v>101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56</v>
      </c>
      <c r="C40" t="s">
        <v>101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90</v>
      </c>
      <c r="C41" t="s">
        <v>101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20</v>
      </c>
      <c r="C42" t="s">
        <v>101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21</v>
      </c>
      <c r="C43" t="s">
        <v>101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22</v>
      </c>
      <c r="C44" t="s">
        <v>101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63</v>
      </c>
      <c r="C45" t="s">
        <v>101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64</v>
      </c>
      <c r="C46" t="s">
        <v>101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65</v>
      </c>
      <c r="C47" t="s">
        <v>101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73</v>
      </c>
      <c r="C48" t="s">
        <v>101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66</v>
      </c>
      <c r="C49" t="s">
        <v>101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67</v>
      </c>
      <c r="C50" t="s">
        <v>101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5</v>
      </c>
      <c r="C51" t="s">
        <v>101</v>
      </c>
      <c r="D51" t="s">
        <v>35</v>
      </c>
      <c r="J51">
        <f t="shared" si="0"/>
        <v>0</v>
      </c>
      <c r="L51">
        <f t="shared" si="1"/>
        <v>0</v>
      </c>
    </row>
    <row r="52" spans="2:12" x14ac:dyDescent="0.25">
      <c r="B52" t="s">
        <v>6</v>
      </c>
      <c r="C52" t="s">
        <v>101</v>
      </c>
      <c r="D52" t="s">
        <v>35</v>
      </c>
      <c r="J52">
        <f t="shared" si="0"/>
        <v>0</v>
      </c>
      <c r="L52">
        <f t="shared" si="1"/>
        <v>0</v>
      </c>
    </row>
    <row r="53" spans="2:12" x14ac:dyDescent="0.25">
      <c r="B53" t="s">
        <v>7</v>
      </c>
      <c r="C53" t="s">
        <v>101</v>
      </c>
      <c r="D53" t="s">
        <v>35</v>
      </c>
      <c r="J53">
        <f t="shared" si="0"/>
        <v>0</v>
      </c>
      <c r="L53">
        <f t="shared" si="1"/>
        <v>0</v>
      </c>
    </row>
    <row r="54" spans="2:12" x14ac:dyDescent="0.25">
      <c r="B54" t="s">
        <v>8</v>
      </c>
      <c r="C54" t="s">
        <v>101</v>
      </c>
      <c r="D54" t="s">
        <v>35</v>
      </c>
      <c r="J54">
        <f t="shared" si="0"/>
        <v>0</v>
      </c>
      <c r="L54">
        <f t="shared" si="1"/>
        <v>0</v>
      </c>
    </row>
    <row r="55" spans="2:12" x14ac:dyDescent="0.25">
      <c r="B55" t="s">
        <v>9</v>
      </c>
      <c r="C55" t="s">
        <v>101</v>
      </c>
      <c r="D55" t="s">
        <v>35</v>
      </c>
      <c r="J55">
        <f>(E55*2240)+(F55*112)+(G55*28)+H55</f>
        <v>0</v>
      </c>
      <c r="L55">
        <f t="shared" si="1"/>
        <v>0</v>
      </c>
    </row>
    <row r="56" spans="2:12" x14ac:dyDescent="0.25">
      <c r="B56" t="s">
        <v>10</v>
      </c>
      <c r="C56" t="s">
        <v>101</v>
      </c>
      <c r="D56" t="s">
        <v>35</v>
      </c>
      <c r="J56">
        <f>(E56*2240)+(F56*112)+(G56*28)+H56</f>
        <v>0</v>
      </c>
      <c r="L56">
        <f t="shared" si="1"/>
        <v>0</v>
      </c>
    </row>
    <row r="57" spans="2:12" x14ac:dyDescent="0.25">
      <c r="B57" t="s">
        <v>11</v>
      </c>
      <c r="C57" t="s">
        <v>101</v>
      </c>
      <c r="D57" t="s">
        <v>35</v>
      </c>
      <c r="J57">
        <f t="shared" si="0"/>
        <v>0</v>
      </c>
      <c r="L57">
        <f t="shared" si="1"/>
        <v>0</v>
      </c>
    </row>
    <row r="58" spans="2:12" x14ac:dyDescent="0.25">
      <c r="B58" t="s">
        <v>12</v>
      </c>
      <c r="C58" t="s">
        <v>101</v>
      </c>
      <c r="D58" t="s">
        <v>35</v>
      </c>
      <c r="J58">
        <f t="shared" si="0"/>
        <v>0</v>
      </c>
      <c r="L58">
        <f t="shared" si="1"/>
        <v>0</v>
      </c>
    </row>
    <row r="59" spans="2:12" x14ac:dyDescent="0.25">
      <c r="B59" t="s">
        <v>13</v>
      </c>
      <c r="C59" t="s">
        <v>101</v>
      </c>
      <c r="D59" t="s">
        <v>35</v>
      </c>
      <c r="J59">
        <f t="shared" si="0"/>
        <v>0</v>
      </c>
      <c r="L59">
        <f t="shared" si="1"/>
        <v>0</v>
      </c>
    </row>
    <row r="60" spans="2:12" x14ac:dyDescent="0.25">
      <c r="B60" t="s">
        <v>14</v>
      </c>
      <c r="C60" t="s">
        <v>101</v>
      </c>
      <c r="D60" t="s">
        <v>35</v>
      </c>
      <c r="J60">
        <f t="shared" si="0"/>
        <v>0</v>
      </c>
      <c r="L60">
        <f t="shared" si="1"/>
        <v>0</v>
      </c>
    </row>
    <row r="61" spans="2:12" x14ac:dyDescent="0.25">
      <c r="B61" t="s">
        <v>27</v>
      </c>
      <c r="C61" t="s">
        <v>101</v>
      </c>
      <c r="D61" t="s">
        <v>35</v>
      </c>
      <c r="J61">
        <f t="shared" si="0"/>
        <v>0</v>
      </c>
      <c r="L61">
        <f t="shared" si="1"/>
        <v>0</v>
      </c>
    </row>
    <row r="62" spans="2:12" x14ac:dyDescent="0.25">
      <c r="B62" t="s">
        <v>15</v>
      </c>
      <c r="C62" t="s">
        <v>101</v>
      </c>
      <c r="D62" t="s">
        <v>35</v>
      </c>
      <c r="J62">
        <f t="shared" si="0"/>
        <v>0</v>
      </c>
      <c r="L62">
        <f t="shared" si="1"/>
        <v>0</v>
      </c>
    </row>
    <row r="63" spans="2:12" x14ac:dyDescent="0.25">
      <c r="B63" t="s">
        <v>17</v>
      </c>
      <c r="C63" t="s">
        <v>101</v>
      </c>
      <c r="D63" t="s">
        <v>35</v>
      </c>
      <c r="J63">
        <f t="shared" si="0"/>
        <v>0</v>
      </c>
      <c r="L63">
        <f t="shared" si="1"/>
        <v>0</v>
      </c>
    </row>
    <row r="64" spans="2:12" x14ac:dyDescent="0.25">
      <c r="B64" t="s">
        <v>18</v>
      </c>
      <c r="C64" t="s">
        <v>101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19</v>
      </c>
      <c r="C65" t="s">
        <v>101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56</v>
      </c>
      <c r="C66" t="s">
        <v>101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21</v>
      </c>
      <c r="C67" t="s">
        <v>101</v>
      </c>
      <c r="D67" t="s">
        <v>35</v>
      </c>
      <c r="J67">
        <f t="shared" si="0"/>
        <v>0</v>
      </c>
      <c r="L67">
        <f t="shared" si="1"/>
        <v>0</v>
      </c>
    </row>
    <row r="68" spans="2:12" x14ac:dyDescent="0.25">
      <c r="B68" t="s">
        <v>22</v>
      </c>
      <c r="C68" t="s">
        <v>101</v>
      </c>
      <c r="D68" t="s">
        <v>35</v>
      </c>
      <c r="J68">
        <f t="shared" ref="J68:J70" si="2">(E68*2240)+(F68*112)+(G68*28)+H68</f>
        <v>0</v>
      </c>
      <c r="L68">
        <f t="shared" ref="L68:L70" si="3">J68/2240</f>
        <v>0</v>
      </c>
    </row>
    <row r="69" spans="2:12" x14ac:dyDescent="0.25">
      <c r="B69" t="s">
        <v>64</v>
      </c>
      <c r="C69" t="s">
        <v>101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66</v>
      </c>
      <c r="C70" t="s">
        <v>101</v>
      </c>
      <c r="D70" t="s">
        <v>35</v>
      </c>
      <c r="J70">
        <f t="shared" si="2"/>
        <v>0</v>
      </c>
      <c r="L70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CA98-3F59-4FB4-84DF-2780BFF6FDF6}">
  <dimension ref="A1:L70"/>
  <sheetViews>
    <sheetView workbookViewId="0">
      <selection activeCell="H22" sqref="H22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1714</v>
      </c>
      <c r="B2" t="s">
        <v>57</v>
      </c>
      <c r="C2" t="s">
        <v>137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1714</v>
      </c>
      <c r="B3" t="s">
        <v>59</v>
      </c>
      <c r="C3" t="s">
        <v>137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A4">
        <v>1714</v>
      </c>
      <c r="B4" t="s">
        <v>38</v>
      </c>
      <c r="C4" t="s">
        <v>137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1714</v>
      </c>
      <c r="B5" t="s">
        <v>4</v>
      </c>
      <c r="C5" t="s">
        <v>137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1714</v>
      </c>
      <c r="B6" t="s">
        <v>60</v>
      </c>
      <c r="C6" t="s">
        <v>137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1714</v>
      </c>
      <c r="B7" t="s">
        <v>71</v>
      </c>
      <c r="C7" t="s">
        <v>137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1714</v>
      </c>
      <c r="B8" t="s">
        <v>45</v>
      </c>
      <c r="C8" t="s">
        <v>137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1714</v>
      </c>
      <c r="B9" t="s">
        <v>5</v>
      </c>
      <c r="C9" t="s">
        <v>137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1714</v>
      </c>
      <c r="B10" t="s">
        <v>61</v>
      </c>
      <c r="C10" t="s">
        <v>137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1714</v>
      </c>
      <c r="B11" t="s">
        <v>6</v>
      </c>
      <c r="C11" t="s">
        <v>137</v>
      </c>
      <c r="D11" t="s">
        <v>33</v>
      </c>
      <c r="F11">
        <v>411</v>
      </c>
      <c r="G11">
        <v>2</v>
      </c>
      <c r="H11">
        <v>21</v>
      </c>
      <c r="J11">
        <f t="shared" si="0"/>
        <v>46109</v>
      </c>
      <c r="L11">
        <f t="shared" si="1"/>
        <v>20.584375000000001</v>
      </c>
    </row>
    <row r="12" spans="1:12" x14ac:dyDescent="0.25">
      <c r="A12">
        <v>1714</v>
      </c>
      <c r="B12" t="s">
        <v>62</v>
      </c>
      <c r="C12" t="s">
        <v>137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1714</v>
      </c>
      <c r="B13" t="s">
        <v>40</v>
      </c>
      <c r="C13" t="s">
        <v>137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1714</v>
      </c>
      <c r="B14" t="s">
        <v>39</v>
      </c>
      <c r="C14" t="s">
        <v>137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1714</v>
      </c>
      <c r="B15" t="s">
        <v>8</v>
      </c>
      <c r="C15" t="s">
        <v>137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1714</v>
      </c>
      <c r="B16" t="s">
        <v>42</v>
      </c>
      <c r="C16" t="s">
        <v>137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1714</v>
      </c>
      <c r="B17" t="s">
        <v>99</v>
      </c>
      <c r="C17" t="s">
        <v>137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1714</v>
      </c>
      <c r="B18" t="s">
        <v>48</v>
      </c>
      <c r="C18" t="s">
        <v>137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1714</v>
      </c>
      <c r="B19" t="s">
        <v>9</v>
      </c>
      <c r="C19" t="s">
        <v>137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1714</v>
      </c>
      <c r="B20" t="s">
        <v>10</v>
      </c>
      <c r="C20" t="s">
        <v>137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1714</v>
      </c>
      <c r="B21" t="s">
        <v>11</v>
      </c>
      <c r="C21" t="s">
        <v>137</v>
      </c>
      <c r="D21" t="s">
        <v>33</v>
      </c>
      <c r="G21">
        <v>1</v>
      </c>
      <c r="H21">
        <v>14</v>
      </c>
      <c r="J21">
        <f t="shared" si="0"/>
        <v>42</v>
      </c>
      <c r="L21">
        <f t="shared" si="1"/>
        <v>1.8749999999999999E-2</v>
      </c>
    </row>
    <row r="22" spans="1:12" x14ac:dyDescent="0.25">
      <c r="A22">
        <v>1714</v>
      </c>
      <c r="B22" t="s">
        <v>41</v>
      </c>
      <c r="C22" t="s">
        <v>137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1714</v>
      </c>
      <c r="B23" t="s">
        <v>46</v>
      </c>
      <c r="C23" t="s">
        <v>137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1714</v>
      </c>
      <c r="B24" t="s">
        <v>12</v>
      </c>
      <c r="C24" t="s">
        <v>137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1714</v>
      </c>
      <c r="B25" t="s">
        <v>34</v>
      </c>
      <c r="C25" t="s">
        <v>137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1714</v>
      </c>
      <c r="B26" t="s">
        <v>13</v>
      </c>
      <c r="C26" t="s">
        <v>137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1714</v>
      </c>
      <c r="B27" t="s">
        <v>14</v>
      </c>
      <c r="C27" t="s">
        <v>137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1714</v>
      </c>
      <c r="B28" t="s">
        <v>23</v>
      </c>
      <c r="C28" t="s">
        <v>137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1714</v>
      </c>
      <c r="B29" t="s">
        <v>27</v>
      </c>
      <c r="C29" t="s">
        <v>137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1714</v>
      </c>
      <c r="B30" t="s">
        <v>15</v>
      </c>
      <c r="C30" t="s">
        <v>137</v>
      </c>
      <c r="D30" t="s">
        <v>33</v>
      </c>
      <c r="F30">
        <v>1286</v>
      </c>
      <c r="G30">
        <v>3</v>
      </c>
      <c r="H30">
        <v>14</v>
      </c>
      <c r="J30">
        <f t="shared" si="0"/>
        <v>144130</v>
      </c>
      <c r="L30">
        <f t="shared" si="1"/>
        <v>64.34375</v>
      </c>
    </row>
    <row r="31" spans="1:12" x14ac:dyDescent="0.25">
      <c r="A31">
        <v>1714</v>
      </c>
      <c r="B31" t="s">
        <v>44</v>
      </c>
      <c r="C31" t="s">
        <v>137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1714</v>
      </c>
      <c r="B32" t="s">
        <v>49</v>
      </c>
      <c r="C32" t="s">
        <v>137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1714</v>
      </c>
      <c r="B33" t="s">
        <v>16</v>
      </c>
      <c r="C33" t="s">
        <v>137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1714</v>
      </c>
      <c r="B34" t="s">
        <v>100</v>
      </c>
      <c r="C34" t="s">
        <v>137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1714</v>
      </c>
      <c r="B35" t="s">
        <v>17</v>
      </c>
      <c r="C35" t="s">
        <v>137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1714</v>
      </c>
      <c r="B36" t="s">
        <v>18</v>
      </c>
      <c r="C36" t="s">
        <v>137</v>
      </c>
      <c r="D36" t="s">
        <v>33</v>
      </c>
      <c r="H36">
        <v>20</v>
      </c>
      <c r="I36" t="s">
        <v>123</v>
      </c>
      <c r="J36">
        <f t="shared" si="0"/>
        <v>20</v>
      </c>
      <c r="L36">
        <f t="shared" si="1"/>
        <v>8.9285714285714281E-3</v>
      </c>
    </row>
    <row r="37" spans="1:12" x14ac:dyDescent="0.25">
      <c r="A37">
        <v>1714</v>
      </c>
      <c r="B37" t="s">
        <v>72</v>
      </c>
      <c r="C37" t="s">
        <v>137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1714</v>
      </c>
      <c r="B38" t="s">
        <v>19</v>
      </c>
      <c r="C38" t="s">
        <v>137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1714</v>
      </c>
      <c r="B39" t="s">
        <v>47</v>
      </c>
      <c r="C39" t="s">
        <v>137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1714</v>
      </c>
      <c r="B40" t="s">
        <v>56</v>
      </c>
      <c r="C40" t="s">
        <v>137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1714</v>
      </c>
      <c r="B41" t="s">
        <v>90</v>
      </c>
      <c r="C41" t="s">
        <v>137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1714</v>
      </c>
      <c r="B42" t="s">
        <v>20</v>
      </c>
      <c r="C42" t="s">
        <v>137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1714</v>
      </c>
      <c r="B43" t="s">
        <v>21</v>
      </c>
      <c r="C43" t="s">
        <v>137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1714</v>
      </c>
      <c r="B44" t="s">
        <v>22</v>
      </c>
      <c r="C44" t="s">
        <v>137</v>
      </c>
      <c r="D44" t="s">
        <v>33</v>
      </c>
      <c r="G44">
        <v>2</v>
      </c>
      <c r="H44">
        <v>21</v>
      </c>
      <c r="J44">
        <f t="shared" si="0"/>
        <v>77</v>
      </c>
      <c r="L44">
        <f t="shared" si="1"/>
        <v>3.4375000000000003E-2</v>
      </c>
    </row>
    <row r="45" spans="1:12" x14ac:dyDescent="0.25">
      <c r="A45">
        <v>1714</v>
      </c>
      <c r="B45" t="s">
        <v>63</v>
      </c>
      <c r="C45" t="s">
        <v>137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1714</v>
      </c>
      <c r="B46" t="s">
        <v>64</v>
      </c>
      <c r="C46" t="s">
        <v>137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1714</v>
      </c>
      <c r="B47" t="s">
        <v>65</v>
      </c>
      <c r="C47" t="s">
        <v>137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1714</v>
      </c>
      <c r="B48" t="s">
        <v>73</v>
      </c>
      <c r="C48" t="s">
        <v>137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1714</v>
      </c>
      <c r="B49" t="s">
        <v>66</v>
      </c>
      <c r="C49" t="s">
        <v>137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1714</v>
      </c>
      <c r="B50" t="s">
        <v>67</v>
      </c>
      <c r="C50" t="s">
        <v>137</v>
      </c>
      <c r="D50" t="s">
        <v>33</v>
      </c>
      <c r="G50">
        <v>2</v>
      </c>
      <c r="J50">
        <f t="shared" si="0"/>
        <v>56</v>
      </c>
      <c r="L50">
        <f t="shared" si="1"/>
        <v>2.5000000000000001E-2</v>
      </c>
    </row>
    <row r="51" spans="1:12" x14ac:dyDescent="0.25">
      <c r="A51">
        <v>1714</v>
      </c>
      <c r="B51" t="s">
        <v>5</v>
      </c>
      <c r="C51" t="s">
        <v>137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1714</v>
      </c>
      <c r="B52" t="s">
        <v>6</v>
      </c>
      <c r="C52" t="s">
        <v>137</v>
      </c>
      <c r="D52" t="s">
        <v>35</v>
      </c>
      <c r="F52">
        <v>435</v>
      </c>
      <c r="G52">
        <v>1</v>
      </c>
      <c r="H52">
        <v>2</v>
      </c>
      <c r="J52">
        <f t="shared" si="0"/>
        <v>48750</v>
      </c>
      <c r="L52">
        <f t="shared" si="1"/>
        <v>21.763392857142858</v>
      </c>
    </row>
    <row r="53" spans="1:12" x14ac:dyDescent="0.25">
      <c r="A53">
        <v>1714</v>
      </c>
      <c r="B53" t="s">
        <v>7</v>
      </c>
      <c r="C53" t="s">
        <v>137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1714</v>
      </c>
      <c r="B54" t="s">
        <v>8</v>
      </c>
      <c r="C54" t="s">
        <v>137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1714</v>
      </c>
      <c r="B55" t="s">
        <v>9</v>
      </c>
      <c r="C55" t="s">
        <v>137</v>
      </c>
      <c r="D55" t="s">
        <v>35</v>
      </c>
      <c r="H55">
        <v>400</v>
      </c>
      <c r="J55">
        <f>(E55*2240)+(F55*112)+(G55*28)+H55</f>
        <v>400</v>
      </c>
      <c r="L55">
        <f t="shared" si="1"/>
        <v>0.17857142857142858</v>
      </c>
    </row>
    <row r="56" spans="1:12" x14ac:dyDescent="0.25">
      <c r="A56">
        <v>1714</v>
      </c>
      <c r="B56" t="s">
        <v>10</v>
      </c>
      <c r="C56" t="s">
        <v>137</v>
      </c>
      <c r="D56" t="s">
        <v>35</v>
      </c>
      <c r="J56">
        <f>(E56*2240)+(F56*112)+(G56*28)+H56</f>
        <v>0</v>
      </c>
      <c r="L56">
        <f t="shared" si="1"/>
        <v>0</v>
      </c>
    </row>
    <row r="57" spans="1:12" x14ac:dyDescent="0.25">
      <c r="A57">
        <v>1714</v>
      </c>
      <c r="B57" t="s">
        <v>11</v>
      </c>
      <c r="C57" t="s">
        <v>137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1714</v>
      </c>
      <c r="B58" t="s">
        <v>12</v>
      </c>
      <c r="C58" t="s">
        <v>137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1714</v>
      </c>
      <c r="B59" t="s">
        <v>13</v>
      </c>
      <c r="C59" t="s">
        <v>137</v>
      </c>
      <c r="D59" t="s">
        <v>35</v>
      </c>
      <c r="F59">
        <v>100</v>
      </c>
      <c r="J59">
        <f t="shared" si="0"/>
        <v>11200</v>
      </c>
      <c r="L59">
        <f t="shared" si="1"/>
        <v>5</v>
      </c>
    </row>
    <row r="60" spans="1:12" x14ac:dyDescent="0.25">
      <c r="A60">
        <v>1714</v>
      </c>
      <c r="B60" t="s">
        <v>14</v>
      </c>
      <c r="C60" t="s">
        <v>137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1714</v>
      </c>
      <c r="B61" t="s">
        <v>27</v>
      </c>
      <c r="C61" t="s">
        <v>137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1714</v>
      </c>
      <c r="B62" t="s">
        <v>15</v>
      </c>
      <c r="C62" t="s">
        <v>137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1714</v>
      </c>
      <c r="B63" t="s">
        <v>17</v>
      </c>
      <c r="C63" t="s">
        <v>137</v>
      </c>
      <c r="D63" t="s">
        <v>35</v>
      </c>
      <c r="F63">
        <v>1</v>
      </c>
      <c r="G63">
        <v>3</v>
      </c>
      <c r="J63">
        <f t="shared" si="0"/>
        <v>196</v>
      </c>
      <c r="L63">
        <f t="shared" si="1"/>
        <v>8.7499999999999994E-2</v>
      </c>
    </row>
    <row r="64" spans="1:12" x14ac:dyDescent="0.25">
      <c r="A64">
        <v>1714</v>
      </c>
      <c r="B64" t="s">
        <v>18</v>
      </c>
      <c r="C64" t="s">
        <v>137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1714</v>
      </c>
      <c r="B65" t="s">
        <v>19</v>
      </c>
      <c r="C65" t="s">
        <v>137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1714</v>
      </c>
      <c r="B66" t="s">
        <v>56</v>
      </c>
      <c r="C66" t="s">
        <v>137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1714</v>
      </c>
      <c r="B67" t="s">
        <v>21</v>
      </c>
      <c r="C67" t="s">
        <v>137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1714</v>
      </c>
      <c r="B68" t="s">
        <v>22</v>
      </c>
      <c r="C68" t="s">
        <v>137</v>
      </c>
      <c r="D68" t="s">
        <v>35</v>
      </c>
      <c r="J68">
        <f t="shared" ref="J68:J70" si="2">(E68*2240)+(F68*112)+(G68*28)+H68</f>
        <v>0</v>
      </c>
      <c r="L68">
        <f t="shared" ref="L68:L70" si="3">J68/2240</f>
        <v>0</v>
      </c>
    </row>
    <row r="69" spans="1:12" x14ac:dyDescent="0.25">
      <c r="A69">
        <v>1714</v>
      </c>
      <c r="B69" t="s">
        <v>64</v>
      </c>
      <c r="C69" t="s">
        <v>137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1714</v>
      </c>
      <c r="B70" t="s">
        <v>66</v>
      </c>
      <c r="C70" t="s">
        <v>137</v>
      </c>
      <c r="D70" t="s">
        <v>35</v>
      </c>
      <c r="J70">
        <f t="shared" si="2"/>
        <v>0</v>
      </c>
      <c r="L70">
        <f t="shared" si="3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C737C8930EB24D8E43F3205FC06BBA" ma:contentTypeVersion="6" ma:contentTypeDescription="Create a new document." ma:contentTypeScope="" ma:versionID="603e91c72b62c964620858d3caac0708">
  <xsd:schema xmlns:xsd="http://www.w3.org/2001/XMLSchema" xmlns:xs="http://www.w3.org/2001/XMLSchema" xmlns:p="http://schemas.microsoft.com/office/2006/metadata/properties" xmlns:ns3="cefc4363-6422-4cdd-96f6-49f865293ffe" targetNamespace="http://schemas.microsoft.com/office/2006/metadata/properties" ma:root="true" ma:fieldsID="bdb3fa76c8d7c99816ad06ce9ee87077" ns3:_="">
    <xsd:import namespace="cefc4363-6422-4cdd-96f6-49f865293f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c4363-6422-4cdd-96f6-49f865293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fc4363-6422-4cdd-96f6-49f865293ffe" xsi:nil="true"/>
  </documentManagement>
</p:properties>
</file>

<file path=customXml/itemProps1.xml><?xml version="1.0" encoding="utf-8"?>
<ds:datastoreItem xmlns:ds="http://schemas.openxmlformats.org/officeDocument/2006/customXml" ds:itemID="{0C0EE136-23DC-4A1E-922B-52D4598F69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c4363-6422-4cdd-96f6-49f86529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B4AA2A-C106-40BA-9350-7EACE920DE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F31856-5C64-4676-89AD-515F33D69DD8}">
  <ds:schemaRefs>
    <ds:schemaRef ds:uri="cefc4363-6422-4cdd-96f6-49f865293ffe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  <vt:lpstr>WestIndiesGeneral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2025-04-29T18:58:27Z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0x01010021C737C8930EB24D8E43F3205FC06BBA</vt:lpwstr>
  </property>
</Properties>
</file>