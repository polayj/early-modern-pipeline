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878" documentId="8_{3ECD18D2-549D-4312-AE98-79607FFAD256}" xr6:coauthVersionLast="47" xr6:coauthVersionMax="47" xr10:uidLastSave="{71AE5429-813B-4800-9D30-A87E65597D49}"/>
  <bookViews>
    <workbookView xWindow="-120" yWindow="-120" windowWidth="29040" windowHeight="15840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Kitts" sheetId="10" r:id="rId9"/>
    <sheet name="NewEngland" sheetId="11" r:id="rId10"/>
  </sheets>
  <definedNames>
    <definedName name="_xlnm._FilterDatabase" localSheetId="1" hidden="1">Antigua!$A$1:$L$26</definedName>
    <definedName name="_xlnm._FilterDatabase" localSheetId="2" hidden="1">Barbados!$A$1:$P$42</definedName>
    <definedName name="_xlnm._FilterDatabase" localSheetId="4" hidden="1">Carolina!$A$1:$L$15</definedName>
    <definedName name="_xlnm._FilterDatabase" localSheetId="5" hidden="1">Jamaica!$A$1:$L$41</definedName>
    <definedName name="_xlnm._FilterDatabase" localSheetId="6" hidden="1">Mountserat!$A$1:$L$19</definedName>
    <definedName name="_xlnm._FilterDatabase" localSheetId="7" hidden="1">Nevis!$A$1:$L$26</definedName>
    <definedName name="_xlnm._FilterDatabase" localSheetId="9" hidden="1">NewEngland!$A$1:$L$23</definedName>
    <definedName name="_xlnm._FilterDatabase" localSheetId="8" hidden="1">StKitts!$A$1:$L$7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2" l="1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2" i="12"/>
  <c r="C3" i="12"/>
  <c r="C4" i="12"/>
  <c r="C5" i="12"/>
  <c r="C6" i="12"/>
  <c r="C7" i="12"/>
  <c r="C8" i="12"/>
  <c r="C9" i="12"/>
  <c r="C10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2" i="12"/>
  <c r="B3" i="12"/>
  <c r="B4" i="12"/>
  <c r="B5" i="12"/>
  <c r="B6" i="12"/>
  <c r="B7" i="12"/>
  <c r="B8" i="12"/>
  <c r="B9" i="12"/>
  <c r="B10" i="12"/>
  <c r="C11" i="12"/>
  <c r="B11" i="12"/>
  <c r="H6" i="11"/>
  <c r="H4" i="10"/>
  <c r="H5" i="9"/>
  <c r="H4" i="8"/>
  <c r="H10" i="7"/>
  <c r="H5" i="6"/>
  <c r="H9" i="4"/>
  <c r="H6" i="3"/>
  <c r="J6" i="11"/>
  <c r="L6" i="11" s="1"/>
  <c r="J10" i="7"/>
  <c r="L10" i="7" s="1"/>
  <c r="J6" i="3"/>
  <c r="L6" i="3" s="1"/>
  <c r="J4" i="8"/>
  <c r="L4" i="8" s="1"/>
  <c r="J9" i="4"/>
  <c r="L9" i="4" s="1"/>
  <c r="J17" i="11"/>
  <c r="L17" i="11" s="1"/>
  <c r="J11" i="11"/>
  <c r="L11" i="11" s="1"/>
  <c r="J2" i="11"/>
  <c r="L2" i="11" s="1"/>
  <c r="J4" i="11"/>
  <c r="L4" i="11" s="1"/>
  <c r="J5" i="11"/>
  <c r="L5" i="11" s="1"/>
  <c r="J10" i="11"/>
  <c r="L10" i="11" s="1"/>
  <c r="J13" i="11"/>
  <c r="L13" i="11" s="1"/>
  <c r="J18" i="11"/>
  <c r="L18" i="11" s="1"/>
  <c r="J22" i="11"/>
  <c r="L22" i="11" s="1"/>
  <c r="J21" i="11"/>
  <c r="L21" i="11" s="1"/>
  <c r="J23" i="11"/>
  <c r="L23" i="11" s="1"/>
  <c r="J20" i="11"/>
  <c r="L20" i="11" s="1"/>
  <c r="J4" i="10"/>
  <c r="L4" i="10" s="1"/>
  <c r="J3" i="10"/>
  <c r="J7" i="10"/>
  <c r="J2" i="10"/>
  <c r="J6" i="10"/>
  <c r="L6" i="10" s="1"/>
  <c r="J5" i="10"/>
  <c r="J9" i="9"/>
  <c r="L9" i="9" s="1"/>
  <c r="J10" i="9"/>
  <c r="J2" i="9"/>
  <c r="L2" i="9" s="1"/>
  <c r="J16" i="9"/>
  <c r="L16" i="9" s="1"/>
  <c r="J7" i="9"/>
  <c r="L7" i="9" s="1"/>
  <c r="J12" i="9"/>
  <c r="L12" i="9" s="1"/>
  <c r="J14" i="9"/>
  <c r="L14" i="9" s="1"/>
  <c r="J5" i="9"/>
  <c r="L5" i="9" s="1"/>
  <c r="J4" i="9"/>
  <c r="L4" i="9" s="1"/>
  <c r="J3" i="9"/>
  <c r="L3" i="9" s="1"/>
  <c r="J8" i="9"/>
  <c r="L8" i="9" s="1"/>
  <c r="J11" i="9"/>
  <c r="L11" i="9" s="1"/>
  <c r="J15" i="9"/>
  <c r="L15" i="9" s="1"/>
  <c r="J13" i="9"/>
  <c r="L13" i="9" s="1"/>
  <c r="J22" i="9"/>
  <c r="L22" i="9" s="1"/>
  <c r="J17" i="9"/>
  <c r="L17" i="9" s="1"/>
  <c r="J19" i="9"/>
  <c r="J24" i="9"/>
  <c r="L24" i="9" s="1"/>
  <c r="J25" i="9"/>
  <c r="L25" i="9" s="1"/>
  <c r="J18" i="9"/>
  <c r="L18" i="9" s="1"/>
  <c r="J20" i="9"/>
  <c r="J21" i="9"/>
  <c r="L21" i="9" s="1"/>
  <c r="J23" i="9"/>
  <c r="J26" i="9"/>
  <c r="J6" i="9"/>
  <c r="L6" i="9" s="1"/>
  <c r="L20" i="9"/>
  <c r="L23" i="9"/>
  <c r="L26" i="9"/>
  <c r="L10" i="8"/>
  <c r="L12" i="8"/>
  <c r="L13" i="8"/>
  <c r="J10" i="8"/>
  <c r="J12" i="8"/>
  <c r="J13" i="8"/>
  <c r="J3" i="8"/>
  <c r="L3" i="8" s="1"/>
  <c r="J8" i="8"/>
  <c r="L8" i="8" s="1"/>
  <c r="J11" i="8"/>
  <c r="L11" i="8" s="1"/>
  <c r="J14" i="8"/>
  <c r="L14" i="8" s="1"/>
  <c r="J16" i="8"/>
  <c r="L16" i="8" s="1"/>
  <c r="J18" i="8"/>
  <c r="L18" i="8" s="1"/>
  <c r="J19" i="8"/>
  <c r="L19" i="8" s="1"/>
  <c r="J15" i="8"/>
  <c r="L15" i="8" s="1"/>
  <c r="J17" i="8"/>
  <c r="L17" i="8" s="1"/>
  <c r="J5" i="7"/>
  <c r="L5" i="7" s="1"/>
  <c r="J6" i="7"/>
  <c r="L6" i="7" s="1"/>
  <c r="J7" i="7"/>
  <c r="L7" i="7" s="1"/>
  <c r="J8" i="7"/>
  <c r="L8" i="7" s="1"/>
  <c r="J9" i="7"/>
  <c r="L9" i="7" s="1"/>
  <c r="J14" i="7"/>
  <c r="L14" i="7" s="1"/>
  <c r="J17" i="7"/>
  <c r="L17" i="7" s="1"/>
  <c r="J18" i="7"/>
  <c r="L18" i="7" s="1"/>
  <c r="J22" i="7"/>
  <c r="L22" i="7" s="1"/>
  <c r="J29" i="7"/>
  <c r="J28" i="7"/>
  <c r="J33" i="7"/>
  <c r="L33" i="7" s="1"/>
  <c r="J24" i="7"/>
  <c r="L24" i="7" s="1"/>
  <c r="J41" i="7"/>
  <c r="L41" i="7" s="1"/>
  <c r="J35" i="7"/>
  <c r="L35" i="7" s="1"/>
  <c r="J30" i="7"/>
  <c r="L30" i="7" s="1"/>
  <c r="J31" i="7"/>
  <c r="L31" i="7" s="1"/>
  <c r="J37" i="7"/>
  <c r="L37" i="7" s="1"/>
  <c r="J38" i="7"/>
  <c r="L38" i="7" s="1"/>
  <c r="J39" i="7"/>
  <c r="L39" i="7" s="1"/>
  <c r="J27" i="7"/>
  <c r="L27" i="7" s="1"/>
  <c r="J25" i="7"/>
  <c r="L25" i="7" s="1"/>
  <c r="J26" i="7"/>
  <c r="L26" i="7" s="1"/>
  <c r="J32" i="7"/>
  <c r="L32" i="7" s="1"/>
  <c r="J34" i="7"/>
  <c r="L34" i="7" s="1"/>
  <c r="J36" i="7"/>
  <c r="L36" i="7" s="1"/>
  <c r="J40" i="7"/>
  <c r="L40" i="7" s="1"/>
  <c r="J5" i="6"/>
  <c r="L5" i="6" s="1"/>
  <c r="J4" i="6"/>
  <c r="L4" i="6" s="1"/>
  <c r="J3" i="6"/>
  <c r="L3" i="6" s="1"/>
  <c r="J8" i="6"/>
  <c r="J11" i="6"/>
  <c r="J13" i="6"/>
  <c r="J9" i="6"/>
  <c r="J15" i="6"/>
  <c r="J14" i="6"/>
  <c r="L14" i="6" s="1"/>
  <c r="J17" i="4"/>
  <c r="L17" i="4" s="1"/>
  <c r="J19" i="4"/>
  <c r="L19" i="4" s="1"/>
  <c r="J20" i="4"/>
  <c r="L20" i="4" s="1"/>
  <c r="J21" i="4"/>
  <c r="J15" i="4"/>
  <c r="L15" i="4" s="1"/>
  <c r="J3" i="4"/>
  <c r="L3" i="4" s="1"/>
  <c r="J7" i="4"/>
  <c r="L7" i="4" s="1"/>
  <c r="J8" i="4"/>
  <c r="L8" i="4" s="1"/>
  <c r="J5" i="4"/>
  <c r="L5" i="4" s="1"/>
  <c r="J6" i="4"/>
  <c r="L6" i="4" s="1"/>
  <c r="J13" i="4"/>
  <c r="L13" i="4" s="1"/>
  <c r="J18" i="4"/>
  <c r="L18" i="4" s="1"/>
  <c r="J22" i="4"/>
  <c r="J28" i="4"/>
  <c r="L28" i="4" s="1"/>
  <c r="J27" i="4"/>
  <c r="L27" i="4" s="1"/>
  <c r="J24" i="4"/>
  <c r="L24" i="4" s="1"/>
  <c r="J35" i="4"/>
  <c r="L35" i="4" s="1"/>
  <c r="J31" i="4"/>
  <c r="L31" i="4" s="1"/>
  <c r="J32" i="4"/>
  <c r="L32" i="4" s="1"/>
  <c r="J34" i="4"/>
  <c r="L34" i="4" s="1"/>
  <c r="J30" i="4"/>
  <c r="L30" i="4" s="1"/>
  <c r="J26" i="4"/>
  <c r="J25" i="4"/>
  <c r="L25" i="4" s="1"/>
  <c r="J29" i="4"/>
  <c r="L29" i="4" s="1"/>
  <c r="J33" i="4"/>
  <c r="L33" i="4" s="1"/>
  <c r="J4" i="3"/>
  <c r="L4" i="3" s="1"/>
  <c r="J5" i="3"/>
  <c r="L5" i="3" s="1"/>
  <c r="J9" i="3"/>
  <c r="L9" i="3" s="1"/>
  <c r="J11" i="3"/>
  <c r="L11" i="3" s="1"/>
  <c r="J15" i="3"/>
  <c r="L15" i="3" s="1"/>
  <c r="J19" i="3"/>
  <c r="L19" i="3" s="1"/>
  <c r="J17" i="3"/>
  <c r="L17" i="3" s="1"/>
  <c r="J23" i="3"/>
  <c r="L23" i="3" s="1"/>
  <c r="J22" i="3"/>
  <c r="L22" i="3" s="1"/>
  <c r="J25" i="3"/>
  <c r="L25" i="3" s="1"/>
  <c r="J21" i="3"/>
  <c r="L21" i="3" s="1"/>
  <c r="J18" i="3"/>
  <c r="L18" i="3" s="1"/>
  <c r="J20" i="3"/>
  <c r="L20" i="3" s="1"/>
  <c r="J24" i="3"/>
  <c r="L24" i="3" s="1"/>
  <c r="L15" i="6"/>
  <c r="J15" i="11"/>
  <c r="L15" i="11" s="1"/>
  <c r="J14" i="11"/>
  <c r="L14" i="11" s="1"/>
  <c r="J9" i="11"/>
  <c r="L9" i="11" s="1"/>
  <c r="J16" i="11"/>
  <c r="L16" i="11" s="1"/>
  <c r="J3" i="11"/>
  <c r="L3" i="11" s="1"/>
  <c r="J19" i="11"/>
  <c r="L19" i="11" s="1"/>
  <c r="J12" i="11"/>
  <c r="L12" i="11" s="1"/>
  <c r="J7" i="11"/>
  <c r="L7" i="11" s="1"/>
  <c r="J8" i="11"/>
  <c r="L8" i="11" s="1"/>
  <c r="L7" i="10"/>
  <c r="L2" i="10"/>
  <c r="L3" i="10"/>
  <c r="L5" i="10"/>
  <c r="L10" i="9"/>
  <c r="L19" i="9"/>
  <c r="J7" i="8"/>
  <c r="L7" i="8" s="1"/>
  <c r="J2" i="8"/>
  <c r="L2" i="8" s="1"/>
  <c r="J9" i="8"/>
  <c r="L9" i="8" s="1"/>
  <c r="J5" i="8"/>
  <c r="L5" i="8" s="1"/>
  <c r="J6" i="8"/>
  <c r="L6" i="8" s="1"/>
  <c r="J15" i="7"/>
  <c r="L15" i="7" s="1"/>
  <c r="L28" i="7"/>
  <c r="L29" i="7"/>
  <c r="J3" i="7"/>
  <c r="L3" i="7" s="1"/>
  <c r="J21" i="7"/>
  <c r="L21" i="7" s="1"/>
  <c r="J20" i="7"/>
  <c r="L20" i="7" s="1"/>
  <c r="J19" i="7"/>
  <c r="L19" i="7" s="1"/>
  <c r="J13" i="7"/>
  <c r="L13" i="7" s="1"/>
  <c r="J23" i="7"/>
  <c r="L23" i="7" s="1"/>
  <c r="J4" i="7"/>
  <c r="L4" i="7" s="1"/>
  <c r="J16" i="7"/>
  <c r="L16" i="7" s="1"/>
  <c r="J11" i="7"/>
  <c r="L11" i="7" s="1"/>
  <c r="J12" i="7"/>
  <c r="L12" i="7" s="1"/>
  <c r="J2" i="7"/>
  <c r="L2" i="7" s="1"/>
  <c r="L8" i="6"/>
  <c r="L11" i="6"/>
  <c r="L13" i="6"/>
  <c r="L9" i="6"/>
  <c r="J7" i="6"/>
  <c r="L7" i="6" s="1"/>
  <c r="J2" i="6"/>
  <c r="L2" i="6" s="1"/>
  <c r="J12" i="6"/>
  <c r="L12" i="6" s="1"/>
  <c r="J10" i="6"/>
  <c r="L10" i="6" s="1"/>
  <c r="J6" i="6"/>
  <c r="L6" i="6" s="1"/>
  <c r="J6" i="5"/>
  <c r="L6" i="5" s="1"/>
  <c r="J5" i="5"/>
  <c r="L5" i="5" s="1"/>
  <c r="J4" i="5"/>
  <c r="L4" i="5" s="1"/>
  <c r="J3" i="5"/>
  <c r="L3" i="5" s="1"/>
  <c r="J2" i="5"/>
  <c r="L2" i="5" s="1"/>
  <c r="L26" i="4"/>
  <c r="L22" i="4"/>
  <c r="L21" i="4"/>
  <c r="J12" i="4"/>
  <c r="L12" i="4" s="1"/>
  <c r="J14" i="4"/>
  <c r="L14" i="4" s="1"/>
  <c r="J23" i="4"/>
  <c r="L23" i="4" s="1"/>
  <c r="J4" i="4"/>
  <c r="L4" i="4" s="1"/>
  <c r="J16" i="4"/>
  <c r="L16" i="4" s="1"/>
  <c r="J10" i="4"/>
  <c r="L10" i="4" s="1"/>
  <c r="J11" i="4"/>
  <c r="L11" i="4" s="1"/>
  <c r="J2" i="4"/>
  <c r="L2" i="4" s="1"/>
  <c r="J2" i="3"/>
  <c r="L2" i="3" s="1"/>
  <c r="J14" i="3"/>
  <c r="L14" i="3" s="1"/>
  <c r="J13" i="3"/>
  <c r="L13" i="3" s="1"/>
  <c r="J12" i="3"/>
  <c r="L12" i="3" s="1"/>
  <c r="J16" i="3"/>
  <c r="L16" i="3" s="1"/>
  <c r="J3" i="3"/>
  <c r="L3" i="3" s="1"/>
  <c r="J10" i="3"/>
  <c r="L10" i="3" s="1"/>
  <c r="J7" i="3"/>
  <c r="L7" i="3" s="1"/>
  <c r="J8" i="3"/>
  <c r="L8" i="3" s="1"/>
  <c r="D26" i="12" l="1"/>
  <c r="D2" i="12"/>
  <c r="D10" i="12"/>
  <c r="D4" i="12"/>
  <c r="D18" i="12"/>
  <c r="P2" i="4"/>
  <c r="N2" i="4"/>
  <c r="D27" i="12"/>
  <c r="D15" i="12"/>
  <c r="D3" i="12"/>
  <c r="D7" i="12"/>
  <c r="D5" i="12"/>
  <c r="D30" i="12"/>
  <c r="D29" i="12"/>
  <c r="D9" i="12"/>
  <c r="D28" i="12"/>
  <c r="D19" i="12" l="1"/>
  <c r="D23" i="12"/>
  <c r="D22" i="12"/>
  <c r="D31" i="12"/>
  <c r="D21" i="12"/>
  <c r="D24" i="12"/>
  <c r="D13" i="12"/>
  <c r="D11" i="12"/>
  <c r="D6" i="12"/>
  <c r="D16" i="12"/>
  <c r="D20" i="12"/>
  <c r="D8" i="12"/>
  <c r="D14" i="12"/>
  <c r="D12" i="12"/>
  <c r="D25" i="12"/>
  <c r="D17" i="12"/>
</calcChain>
</file>

<file path=xl/sharedStrings.xml><?xml version="1.0" encoding="utf-8"?>
<sst xmlns="http://schemas.openxmlformats.org/spreadsheetml/2006/main" count="723" uniqueCount="101">
  <si>
    <t>Total Pounds</t>
  </si>
  <si>
    <t>London</t>
  </si>
  <si>
    <t>Indigo</t>
  </si>
  <si>
    <t>Cotton</t>
  </si>
  <si>
    <t>Elephants Teeth</t>
  </si>
  <si>
    <t>Out Ports</t>
  </si>
  <si>
    <t>Bees Wax</t>
  </si>
  <si>
    <t>Chocolate</t>
  </si>
  <si>
    <t>Brandy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</si>
  <si>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</si>
  <si>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</si>
  <si>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</si>
  <si>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</si>
  <si>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</si>
  <si>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</si>
  <si>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</si>
  <si>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</si>
  <si>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</si>
  <si>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</si>
  <si>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</si>
  <si>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353 Bag</t>
  </si>
  <si>
    <t>Cocoa Past Paste? (62)</t>
  </si>
  <si>
    <t>146 Gallons</t>
  </si>
  <si>
    <t>21 Gallons</t>
  </si>
  <si>
    <t>Annatto</t>
  </si>
  <si>
    <t>Rice</t>
  </si>
  <si>
    <t>Sugar Loaf</t>
  </si>
  <si>
    <t>Madera Wine</t>
  </si>
  <si>
    <t>Loaf Sugar</t>
  </si>
  <si>
    <t>1366 Bags</t>
  </si>
  <si>
    <t>Cocoa Past? Last?</t>
  </si>
  <si>
    <t>Chocolate Cast/past/last</t>
  </si>
  <si>
    <t>2827 Gallons</t>
  </si>
  <si>
    <t>1102 Gallons</t>
  </si>
  <si>
    <t>Bayberry Wax</t>
  </si>
  <si>
    <t>Mirtle Wax</t>
  </si>
  <si>
    <t>5 Bags</t>
  </si>
  <si>
    <t>Cocoa Past</t>
  </si>
  <si>
    <t>157 Gallons</t>
  </si>
  <si>
    <t>Pimento</t>
  </si>
  <si>
    <t>Cascarilla</t>
  </si>
  <si>
    <t>2023.5 Bags</t>
  </si>
  <si>
    <t>Chocolate Past</t>
  </si>
  <si>
    <t>4463 Gallons</t>
  </si>
  <si>
    <t>650 Gallons</t>
  </si>
  <si>
    <t>Total Sugar</t>
  </si>
  <si>
    <t>36 Bags</t>
  </si>
  <si>
    <t>244 Gallons</t>
  </si>
  <si>
    <t>69.5 Bags</t>
  </si>
  <si>
    <t>587 Gallons</t>
  </si>
  <si>
    <t>63 Gallon</t>
  </si>
  <si>
    <t>Sope Berries</t>
  </si>
  <si>
    <t>3 Bags</t>
  </si>
  <si>
    <t>Tortoise shell</t>
  </si>
  <si>
    <t>10 Gallons</t>
  </si>
  <si>
    <t>25 Bag</t>
  </si>
  <si>
    <t>467 Gallons</t>
  </si>
  <si>
    <t>Refined Sugar</t>
  </si>
  <si>
    <t>74 Gallons</t>
  </si>
  <si>
    <t>7 Gallons</t>
  </si>
  <si>
    <t>15.75 Gallons</t>
  </si>
  <si>
    <t>673 Gallons</t>
  </si>
  <si>
    <t>193 Gallons</t>
  </si>
  <si>
    <t>Lemon Juice</t>
  </si>
  <si>
    <t>827 Gallons</t>
  </si>
  <si>
    <t>137 Gallons</t>
  </si>
  <si>
    <t>Total Not sugar</t>
  </si>
  <si>
    <t>63 Gallons</t>
  </si>
  <si>
    <t>40 Gallons</t>
  </si>
  <si>
    <t>14 Gallons</t>
  </si>
  <si>
    <t>20 Gallons</t>
  </si>
  <si>
    <t>Item</t>
  </si>
  <si>
    <t>Total London</t>
  </si>
  <si>
    <t>Total Outports</t>
  </si>
  <si>
    <t>Total</t>
  </si>
  <si>
    <t>Cockeneal</t>
  </si>
  <si>
    <t>Cocoa Nuts</t>
  </si>
  <si>
    <t>Lignum Vitae</t>
  </si>
  <si>
    <t>Muscavado Sugar</t>
  </si>
  <si>
    <t>Tea</t>
  </si>
  <si>
    <t>Sasparilla</t>
  </si>
  <si>
    <t>3 tun 3 Gallon</t>
  </si>
  <si>
    <t>YEAR</t>
  </si>
  <si>
    <t>COMMODITY_NAME</t>
  </si>
  <si>
    <t>FROM_LOCATION</t>
  </si>
  <si>
    <t>TO_LOCATION</t>
  </si>
  <si>
    <t>ton</t>
  </si>
  <si>
    <t>hh</t>
  </si>
  <si>
    <t>quarter</t>
  </si>
  <si>
    <t>lb</t>
  </si>
  <si>
    <t>WEIGHT</t>
  </si>
  <si>
    <t>Antigua</t>
  </si>
  <si>
    <t>Barbados</t>
  </si>
  <si>
    <t>Bermuda</t>
  </si>
  <si>
    <t>Carolina</t>
  </si>
  <si>
    <t>Jamaica</t>
  </si>
  <si>
    <t>Mountserat</t>
  </si>
  <si>
    <t>Succads</t>
  </si>
  <si>
    <t>Nevis</t>
  </si>
  <si>
    <t>StKitts</t>
  </si>
  <si>
    <t>NewEngland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</si>
</sst>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A75-0EC7-465C-A43F-5520FE3FDB51}">
  <dimension ref="A1:D31"/>
  <sheetViews>
    <sheetView tabSelected="1" workbookViewId="0">
      <selection activeCell="H22" sqref="H22"/>
    </sheetView>
  </sheetViews>
  <sheetFormatPr defaultRowHeight="15" x14ac:dyDescent="0.25"/>
  <cols>
    <col min="1" max="1" width="21.5703125" customWidth="1"/>
    <col min="2" max="2" width="18.42578125" customWidth="1"/>
    <col min="3" max="3" width="17.42578125" customWidth="1"/>
    <col min="4" max="4" width="20" customWidth="1"/>
  </cols>
  <sheetData>
    <row r="1" spans="1:4" x14ac:dyDescent="0.25">
      <c r="A1" t="s">
        <v>71</v>
      </c>
      <c r="B1" t="s">
        <v>72</v>
      </c>
      <c r="C1" t="s">
        <v>73</v>
      </c>
      <c r="D1" t="s">
        <v>74</v>
      </c>
    </row>
    <row r="2" spans="1:4" x14ac:dyDescent="0.25">
      <c r="A2" t="s">
        <v>24</v>
      </c>
      <c r="B2">
        <f ca="1">SUMIFS(Antigua!$M:$M,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</f>
        <v>3.0116071428571427</v>
      </c>
      <c r="C2">
        <f ca="1">SUMIFS(Antigua!$M:$M,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</f>
        <v>0</v>
      </c>
      <c r="D2">
        <f ca="1">ROUND((B2+C2),2)</f>
        <v>3.01</v>
      </c>
    </row>
    <row r="3" spans="1:4" x14ac:dyDescent="0.25">
      <c r="A3" t="s">
        <v>34</v>
      </c>
      <c r="B3">
        <f ca="1">SUMIFS(Antigua!$M:$M,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</f>
        <v>0</v>
      </c>
      <c r="C3">
        <f ca="1">SUMIFS(Antigua!$M:$M,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</f>
        <v>0</v>
      </c>
      <c r="D3">
        <f t="shared" ref="D3:D31" ca="1" si="0">ROUND((B3+C3),2)</f>
        <v>0</v>
      </c>
    </row>
    <row r="4" spans="1:4" x14ac:dyDescent="0.25">
      <c r="A4" t="s">
        <v>6</v>
      </c>
      <c r="B4">
        <f ca="1">SUMIFS(Antigua!$M:$M,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</f>
        <v>0.43437499999999996</v>
      </c>
      <c r="C4">
        <f ca="1">SUMIFS(Antigua!$M:$M,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</f>
        <v>0</v>
      </c>
      <c r="D4">
        <f t="shared" ca="1" si="0"/>
        <v>0.43</v>
      </c>
    </row>
    <row r="5" spans="1:4" x14ac:dyDescent="0.25">
      <c r="A5" t="s">
        <v>8</v>
      </c>
      <c r="B5">
        <f ca="1">SUMIFS(Antigua!$M:$M,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</f>
        <v>0</v>
      </c>
      <c r="C5">
        <f ca="1">SUMIFS(Antigua!$M:$M,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</f>
        <v>0</v>
      </c>
      <c r="D5">
        <f t="shared" ca="1" si="0"/>
        <v>0</v>
      </c>
    </row>
    <row r="6" spans="1:4" x14ac:dyDescent="0.25">
      <c r="A6" t="s">
        <v>11</v>
      </c>
      <c r="B6">
        <f ca="1">SUMIFS(Antigua!$M:$M,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</f>
        <v>15136.889285714286</v>
      </c>
      <c r="C6">
        <f ca="1">SUMIFS(Antigua!$M:$M,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</f>
        <v>2938.1437500000002</v>
      </c>
      <c r="D6">
        <f t="shared" ca="1" si="0"/>
        <v>18075.03</v>
      </c>
    </row>
    <row r="7" spans="1:4" x14ac:dyDescent="0.25">
      <c r="A7" t="s">
        <v>40</v>
      </c>
      <c r="B7">
        <f ca="1">SUMIFS(Antigua!$M:$M,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</f>
        <v>4.1517857142857141E-2</v>
      </c>
      <c r="C7">
        <f ca="1">SUMIFS(Antigua!$M:$M,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</f>
        <v>0</v>
      </c>
      <c r="D7">
        <f t="shared" ca="1" si="0"/>
        <v>0.04</v>
      </c>
    </row>
    <row r="8" spans="1:4" x14ac:dyDescent="0.25">
      <c r="A8" t="s">
        <v>7</v>
      </c>
      <c r="B8">
        <f ca="1">SUMIFS(Antigua!$M:$M,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</f>
        <v>0.1294642857142857</v>
      </c>
      <c r="C8">
        <f ca="1">SUMIFS(Antigua!$M:$M,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</f>
        <v>3.5267857142857142E-2</v>
      </c>
      <c r="D8">
        <f t="shared" ca="1" si="0"/>
        <v>0.16</v>
      </c>
    </row>
    <row r="9" spans="1:4" x14ac:dyDescent="0.25">
      <c r="A9" t="s">
        <v>75</v>
      </c>
      <c r="B9">
        <f ca="1">SUMIFS(Antigua!$M:$M,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</f>
        <v>0</v>
      </c>
      <c r="C9">
        <f ca="1">SUMIFS(Antigua!$M:$M,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</f>
        <v>0</v>
      </c>
      <c r="D9">
        <f t="shared" ca="1" si="0"/>
        <v>0</v>
      </c>
    </row>
    <row r="10" spans="1:4" x14ac:dyDescent="0.25">
      <c r="A10" t="s">
        <v>76</v>
      </c>
      <c r="B10">
        <f ca="1">SUMIFS(Antigua!$M:$M,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</f>
        <v>67.934375000000003</v>
      </c>
      <c r="C10">
        <f ca="1">SUMIFS(Antigua!$M:$M,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</f>
        <v>0.46562500000000001</v>
      </c>
      <c r="D10">
        <f t="shared" ca="1" si="0"/>
        <v>68.400000000000006</v>
      </c>
    </row>
    <row r="11" spans="1:4" x14ac:dyDescent="0.25">
      <c r="A11" t="s">
        <v>3</v>
      </c>
      <c r="B11">
        <f ca="1">SUMIFS(Antigua!$M:$M,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</f>
        <v>312.5</v>
      </c>
      <c r="C11">
        <f ca="1">SUMIFS(Antigua!$M:$M,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</f>
        <v>75.404464285714297</v>
      </c>
      <c r="D11">
        <f t="shared" ca="1" si="0"/>
        <v>387.9</v>
      </c>
    </row>
    <row r="12" spans="1:4" x14ac:dyDescent="0.25">
      <c r="A12" t="s">
        <v>9</v>
      </c>
      <c r="B12">
        <f ca="1">SUMIFS(Antigua!$M:$M,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</f>
        <v>326.42053571428573</v>
      </c>
      <c r="C12">
        <f ca="1">SUMIFS(Antigua!$M:$M,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</f>
        <v>65.440624999999997</v>
      </c>
      <c r="D12">
        <f t="shared" ca="1" si="0"/>
        <v>391.86</v>
      </c>
    </row>
    <row r="13" spans="1:4" x14ac:dyDescent="0.25">
      <c r="A13" t="s">
        <v>19</v>
      </c>
      <c r="B13">
        <f ca="1">SUMIFS(Antigua!$M:$M,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</f>
        <v>37.621874999999996</v>
      </c>
      <c r="C13">
        <f ca="1">SUMIFS(Antigua!$M:$M,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</f>
        <v>1.4049107142857142</v>
      </c>
      <c r="D13">
        <f t="shared" ca="1" si="0"/>
        <v>39.03</v>
      </c>
    </row>
    <row r="14" spans="1:4" x14ac:dyDescent="0.25">
      <c r="A14" t="s">
        <v>2</v>
      </c>
      <c r="B14">
        <f ca="1">SUMIFS(Antigua!$M:$M,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</f>
        <v>77.675446428571433</v>
      </c>
      <c r="C14">
        <f ca="1">SUMIFS(Antigua!$M:$M,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</f>
        <v>9.2616071428571427</v>
      </c>
      <c r="D14">
        <f t="shared" ca="1" si="0"/>
        <v>86.94</v>
      </c>
    </row>
    <row r="15" spans="1:4" x14ac:dyDescent="0.25">
      <c r="A15" t="s">
        <v>77</v>
      </c>
      <c r="B15">
        <f ca="1">SUMIFS(Antigua!$M:$M,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</f>
        <v>0</v>
      </c>
      <c r="C15">
        <f ca="1">SUMIFS(Antigua!$M:$M,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</f>
        <v>0</v>
      </c>
      <c r="D15">
        <f t="shared" ca="1" si="0"/>
        <v>0</v>
      </c>
    </row>
    <row r="16" spans="1:4" x14ac:dyDescent="0.25">
      <c r="A16" t="s">
        <v>15</v>
      </c>
      <c r="B16">
        <f ca="1">SUMIFS(Antigua!$M:$M,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</f>
        <v>36.964062499999997</v>
      </c>
      <c r="C16">
        <f ca="1">SUMIFS(Antigua!$M:$M,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</f>
        <v>7.1580357142857149</v>
      </c>
      <c r="D16">
        <f t="shared" ca="1" si="0"/>
        <v>44.12</v>
      </c>
    </row>
    <row r="17" spans="1:4" x14ac:dyDescent="0.25">
      <c r="A17" t="s">
        <v>10</v>
      </c>
      <c r="B17">
        <f ca="1">SUMIFS(Antigua!$M:$M,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</f>
        <v>352.24732142857141</v>
      </c>
      <c r="C17">
        <f ca="1">SUMIFS(Antigua!$M:$M,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</f>
        <v>67.932142857142864</v>
      </c>
      <c r="D17">
        <f t="shared" ca="1" si="0"/>
        <v>420.18</v>
      </c>
    </row>
    <row r="18" spans="1:4" x14ac:dyDescent="0.25">
      <c r="A18" t="s">
        <v>39</v>
      </c>
      <c r="B18">
        <f ca="1">SUMIFS(Antigua!$M:$M,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</f>
        <v>54.431249999999999</v>
      </c>
      <c r="C18">
        <f ca="1">SUMIFS(Antigua!$M:$M,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</f>
        <v>11.855357142857143</v>
      </c>
      <c r="D18">
        <f t="shared" ca="1" si="0"/>
        <v>66.290000000000006</v>
      </c>
    </row>
    <row r="19" spans="1:4" x14ac:dyDescent="0.25">
      <c r="A19" t="s">
        <v>25</v>
      </c>
      <c r="B19">
        <f ca="1">SUMIFS(Antigua!$M:$M,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</f>
        <v>59.55401785714286</v>
      </c>
      <c r="C19">
        <f ca="1">SUMIFS(Antigua!$M:$M,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</f>
        <v>14.700892857142856</v>
      </c>
      <c r="D19">
        <f t="shared" ca="1" si="0"/>
        <v>74.25</v>
      </c>
    </row>
    <row r="20" spans="1:4" x14ac:dyDescent="0.25">
      <c r="A20" t="s">
        <v>16</v>
      </c>
      <c r="B20">
        <f ca="1">SUMIFS(Antigua!$M:$M,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</f>
        <v>8.1046875000000007</v>
      </c>
      <c r="C20">
        <f ca="1">SUMIFS(Antigua!$M:$M,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</f>
        <v>1.5625</v>
      </c>
      <c r="D20">
        <f t="shared" ca="1" si="0"/>
        <v>9.67</v>
      </c>
    </row>
    <row r="21" spans="1:4" x14ac:dyDescent="0.25">
      <c r="A21" t="s">
        <v>18</v>
      </c>
      <c r="B21">
        <f ca="1">SUMIFS(Antigua!$M:$M,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</f>
        <v>8.4455357142857146</v>
      </c>
      <c r="C21">
        <f ca="1">SUMIFS(Antigua!$M:$M,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</f>
        <v>1.9013392857142857</v>
      </c>
      <c r="D21">
        <f t="shared" ca="1" si="0"/>
        <v>10.35</v>
      </c>
    </row>
    <row r="22" spans="1:4" x14ac:dyDescent="0.25">
      <c r="A22" t="s">
        <v>97</v>
      </c>
      <c r="B22">
        <f ca="1">SUMIFS(Antigua!$M:$M,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</f>
        <v>1.3955357142857143</v>
      </c>
      <c r="C22">
        <f ca="1">SUMIFS(Antigua!$M:$M,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</f>
        <v>0.44062499999999999</v>
      </c>
      <c r="D22">
        <f t="shared" ca="1" si="0"/>
        <v>1.84</v>
      </c>
    </row>
    <row r="23" spans="1:4" x14ac:dyDescent="0.25">
      <c r="A23" t="s">
        <v>14</v>
      </c>
      <c r="B23">
        <f ca="1">SUMIFS(Antigua!$M:$M,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</f>
        <v>14.268303571428572</v>
      </c>
      <c r="C23">
        <f ca="1">SUMIFS(Antigua!$M:$M,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</f>
        <v>19.40267857142857</v>
      </c>
      <c r="D23">
        <f t="shared" ca="1" si="0"/>
        <v>33.67</v>
      </c>
    </row>
    <row r="24" spans="1:4" x14ac:dyDescent="0.25">
      <c r="A24" t="s">
        <v>17</v>
      </c>
      <c r="B24">
        <f ca="1">SUMIFS(Antigua!$M:$M,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</f>
        <v>2.3745535714285717</v>
      </c>
      <c r="C24">
        <f ca="1">SUMIFS(Antigua!$M:$M,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</f>
        <v>8.9508928571428573E-2</v>
      </c>
      <c r="D24">
        <f t="shared" ca="1" si="0"/>
        <v>2.46</v>
      </c>
    </row>
    <row r="25" spans="1:4" x14ac:dyDescent="0.25">
      <c r="A25" t="s">
        <v>12</v>
      </c>
      <c r="B25">
        <f ca="1">SUMIFS(Antigua!$M:$M,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</f>
        <v>146.71205357142858</v>
      </c>
      <c r="C25">
        <f ca="1">SUMIFS(Antigua!$M:$M,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</f>
        <v>1.2294642857142857</v>
      </c>
      <c r="D25">
        <f t="shared" ca="1" si="0"/>
        <v>147.94</v>
      </c>
    </row>
    <row r="26" spans="1:4" x14ac:dyDescent="0.25">
      <c r="A26" t="s">
        <v>28</v>
      </c>
      <c r="B26">
        <f ca="1">SUMIFS(Antigua!$M:$M,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</f>
        <v>0.37633928571428571</v>
      </c>
      <c r="C26">
        <f ca="1">SUMIFS(Antigua!$M:$M,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</f>
        <v>0</v>
      </c>
      <c r="D26">
        <f t="shared" ca="1" si="0"/>
        <v>0.38</v>
      </c>
    </row>
    <row r="27" spans="1:4" x14ac:dyDescent="0.25">
      <c r="A27" t="s">
        <v>26</v>
      </c>
      <c r="B27">
        <f ca="1">SUMIFS(Antigua!$M:$M,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</f>
        <v>0</v>
      </c>
      <c r="C27">
        <f ca="1">SUMIFS(Antigua!$M:$M,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</f>
        <v>0</v>
      </c>
      <c r="D27">
        <f t="shared" ca="1" si="0"/>
        <v>0</v>
      </c>
    </row>
    <row r="28" spans="1:4" x14ac:dyDescent="0.25">
      <c r="A28" t="s">
        <v>78</v>
      </c>
      <c r="B28">
        <f ca="1">SUMIFS(Antigua!$M:$M,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</f>
        <v>0</v>
      </c>
      <c r="C28">
        <f ca="1">SUMIFS(Antigua!$M:$M,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</f>
        <v>0</v>
      </c>
      <c r="D28">
        <f t="shared" ca="1" si="0"/>
        <v>0</v>
      </c>
    </row>
    <row r="29" spans="1:4" x14ac:dyDescent="0.25">
      <c r="A29" t="s">
        <v>79</v>
      </c>
      <c r="B29">
        <f ca="1">SUMIFS(Antigua!$M:$M,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</f>
        <v>0</v>
      </c>
      <c r="C29">
        <f ca="1">SUMIFS(Antigua!$M:$M,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</f>
        <v>0</v>
      </c>
      <c r="D29">
        <f t="shared" ca="1" si="0"/>
        <v>0</v>
      </c>
    </row>
    <row r="30" spans="1:4" x14ac:dyDescent="0.25">
      <c r="A30" t="s">
        <v>80</v>
      </c>
      <c r="B30">
        <f ca="1">SUMIFS(Antigua!$M:$M,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</f>
        <v>0</v>
      </c>
      <c r="C30">
        <f ca="1">SUMIFS(Antigua!$M:$M,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</f>
        <v>0</v>
      </c>
      <c r="D30">
        <f t="shared" ca="1" si="0"/>
        <v>0</v>
      </c>
    </row>
    <row r="31" spans="1:4" x14ac:dyDescent="0.25">
      <c r="A31" t="s">
        <v>27</v>
      </c>
      <c r="B31">
        <f ca="1">SUMIFS(Antigua!$M:$M,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</f>
        <v>3.3892857142857142</v>
      </c>
      <c r="C31">
        <f ca="1">SUMIFS(Antigua!$M:$M,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</f>
        <v>0.1328125</v>
      </c>
      <c r="D31">
        <f t="shared" ca="1" si="0"/>
        <v>3.52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L25"/>
  <sheetViews>
    <sheetView workbookViewId="0">
      <selection activeCell="H7" sqref="H7"/>
    </sheetView>
  </sheetViews>
  <sheetFormatPr defaultRowHeight="15" x14ac:dyDescent="0.25"/>
  <cols>
    <col min="2" max="3" width="17.5703125" customWidth="1"/>
    <col min="4" max="4" width="15.85546875" customWidth="1"/>
    <col min="7" max="7" width="11.140625" customWidth="1"/>
    <col min="8" max="9" width="18.4257812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6</v>
      </c>
      <c r="C2" t="s">
        <v>91</v>
      </c>
      <c r="D2" t="s">
        <v>1</v>
      </c>
      <c r="F2">
        <v>6</v>
      </c>
      <c r="G2">
        <v>1</v>
      </c>
      <c r="J2">
        <f t="shared" ref="J2:J25" si="0">(E2*2240)+(F2*112)+(G2*28)+H2</f>
        <v>700</v>
      </c>
      <c r="L2">
        <f t="shared" ref="L2:L25" si="1">J2/2240</f>
        <v>0.3125</v>
      </c>
    </row>
    <row r="3" spans="1:12" x14ac:dyDescent="0.25">
      <c r="A3">
        <v>1701</v>
      </c>
      <c r="B3" t="s">
        <v>11</v>
      </c>
      <c r="C3" t="s">
        <v>91</v>
      </c>
      <c r="D3" t="s">
        <v>1</v>
      </c>
      <c r="F3">
        <v>41185</v>
      </c>
      <c r="H3">
        <v>5</v>
      </c>
      <c r="J3">
        <f t="shared" si="0"/>
        <v>4612725</v>
      </c>
      <c r="L3">
        <f t="shared" si="1"/>
        <v>2059.2522321428573</v>
      </c>
    </row>
    <row r="4" spans="1:12" x14ac:dyDescent="0.25">
      <c r="A4">
        <v>1701</v>
      </c>
      <c r="B4" t="s">
        <v>76</v>
      </c>
      <c r="C4" t="s">
        <v>91</v>
      </c>
      <c r="D4" t="s">
        <v>1</v>
      </c>
      <c r="F4">
        <v>48</v>
      </c>
      <c r="H4">
        <v>14</v>
      </c>
      <c r="J4">
        <f t="shared" si="0"/>
        <v>5390</v>
      </c>
      <c r="L4">
        <f t="shared" si="1"/>
        <v>2.40625</v>
      </c>
    </row>
    <row r="5" spans="1:12" x14ac:dyDescent="0.25">
      <c r="A5">
        <v>1701</v>
      </c>
      <c r="B5" t="s">
        <v>21</v>
      </c>
      <c r="C5" t="s">
        <v>91</v>
      </c>
      <c r="D5" t="s">
        <v>1</v>
      </c>
      <c r="H5">
        <v>11</v>
      </c>
      <c r="J5">
        <f t="shared" si="0"/>
        <v>11</v>
      </c>
      <c r="L5">
        <f t="shared" si="1"/>
        <v>4.9107142857142856E-3</v>
      </c>
    </row>
    <row r="6" spans="1:12" x14ac:dyDescent="0.25">
      <c r="A6">
        <v>1701</v>
      </c>
      <c r="B6" t="s">
        <v>3</v>
      </c>
      <c r="C6" t="s">
        <v>91</v>
      </c>
      <c r="D6" t="s">
        <v>1</v>
      </c>
      <c r="H6">
        <f>353*200</f>
        <v>70600</v>
      </c>
      <c r="I6" t="s">
        <v>20</v>
      </c>
      <c r="J6">
        <f t="shared" si="0"/>
        <v>70600</v>
      </c>
      <c r="L6">
        <f t="shared" si="1"/>
        <v>31.517857142857142</v>
      </c>
    </row>
    <row r="7" spans="1:12" x14ac:dyDescent="0.25">
      <c r="A7">
        <v>1701</v>
      </c>
      <c r="B7" t="s">
        <v>9</v>
      </c>
      <c r="C7" t="s">
        <v>91</v>
      </c>
      <c r="D7" t="s">
        <v>1</v>
      </c>
      <c r="F7">
        <v>102</v>
      </c>
      <c r="H7">
        <v>14</v>
      </c>
      <c r="J7">
        <f t="shared" si="0"/>
        <v>11438</v>
      </c>
      <c r="L7">
        <f t="shared" si="1"/>
        <v>5.1062500000000002</v>
      </c>
    </row>
    <row r="8" spans="1:12" x14ac:dyDescent="0.25">
      <c r="A8">
        <v>1701</v>
      </c>
      <c r="B8" t="s">
        <v>19</v>
      </c>
      <c r="C8" t="s">
        <v>91</v>
      </c>
      <c r="D8" t="s">
        <v>1</v>
      </c>
      <c r="F8">
        <v>58</v>
      </c>
      <c r="G8">
        <v>1</v>
      </c>
      <c r="H8">
        <v>14</v>
      </c>
      <c r="J8">
        <f t="shared" si="0"/>
        <v>6538</v>
      </c>
      <c r="L8">
        <f t="shared" si="1"/>
        <v>2.9187500000000002</v>
      </c>
    </row>
    <row r="9" spans="1:12" x14ac:dyDescent="0.25">
      <c r="A9">
        <v>1701</v>
      </c>
      <c r="B9" t="s">
        <v>15</v>
      </c>
      <c r="C9" t="s">
        <v>91</v>
      </c>
      <c r="D9" t="s">
        <v>1</v>
      </c>
      <c r="H9">
        <v>1460</v>
      </c>
      <c r="I9" t="s">
        <v>22</v>
      </c>
      <c r="J9">
        <f t="shared" si="0"/>
        <v>1460</v>
      </c>
      <c r="L9">
        <f t="shared" si="1"/>
        <v>0.6517857142857143</v>
      </c>
    </row>
    <row r="10" spans="1:12" x14ac:dyDescent="0.25">
      <c r="A10">
        <v>1701</v>
      </c>
      <c r="B10" t="s">
        <v>10</v>
      </c>
      <c r="C10" t="s">
        <v>91</v>
      </c>
      <c r="D10" t="s">
        <v>1</v>
      </c>
      <c r="F10">
        <v>6872</v>
      </c>
      <c r="H10">
        <v>20</v>
      </c>
      <c r="J10">
        <f t="shared" si="0"/>
        <v>769684</v>
      </c>
      <c r="L10">
        <f t="shared" si="1"/>
        <v>343.60892857142858</v>
      </c>
    </row>
    <row r="11" spans="1:12" x14ac:dyDescent="0.25">
      <c r="A11">
        <v>1701</v>
      </c>
      <c r="B11" t="s">
        <v>16</v>
      </c>
      <c r="C11" t="s">
        <v>91</v>
      </c>
      <c r="D11" t="s">
        <v>1</v>
      </c>
      <c r="H11">
        <v>210</v>
      </c>
      <c r="I11" t="s">
        <v>23</v>
      </c>
      <c r="J11">
        <f t="shared" si="0"/>
        <v>210</v>
      </c>
      <c r="L11">
        <f t="shared" si="1"/>
        <v>9.375E-2</v>
      </c>
    </row>
    <row r="12" spans="1:12" x14ac:dyDescent="0.25">
      <c r="A12">
        <v>1701</v>
      </c>
      <c r="B12" t="s">
        <v>18</v>
      </c>
      <c r="C12" t="s">
        <v>91</v>
      </c>
      <c r="D12" t="s">
        <v>1</v>
      </c>
      <c r="F12">
        <v>24</v>
      </c>
      <c r="G12">
        <v>1</v>
      </c>
      <c r="H12">
        <v>21</v>
      </c>
      <c r="J12">
        <f t="shared" si="0"/>
        <v>2737</v>
      </c>
      <c r="L12">
        <f t="shared" si="1"/>
        <v>1.221875</v>
      </c>
    </row>
    <row r="13" spans="1:12" x14ac:dyDescent="0.25">
      <c r="A13">
        <v>1701</v>
      </c>
      <c r="B13" t="s">
        <v>97</v>
      </c>
      <c r="C13" t="s">
        <v>91</v>
      </c>
      <c r="D13" t="s">
        <v>1</v>
      </c>
      <c r="H13">
        <v>84</v>
      </c>
      <c r="J13">
        <f t="shared" si="0"/>
        <v>84</v>
      </c>
      <c r="L13">
        <f t="shared" si="1"/>
        <v>3.7499999999999999E-2</v>
      </c>
    </row>
    <row r="14" spans="1:12" x14ac:dyDescent="0.25">
      <c r="A14">
        <v>1701</v>
      </c>
      <c r="B14" t="s">
        <v>14</v>
      </c>
      <c r="C14" t="s">
        <v>91</v>
      </c>
      <c r="D14" t="s">
        <v>1</v>
      </c>
      <c r="H14">
        <v>32628</v>
      </c>
      <c r="J14">
        <f t="shared" si="0"/>
        <v>32628</v>
      </c>
      <c r="L14">
        <f t="shared" si="1"/>
        <v>14.566071428571428</v>
      </c>
    </row>
    <row r="15" spans="1:12" x14ac:dyDescent="0.25">
      <c r="A15">
        <v>1701</v>
      </c>
      <c r="B15" t="s">
        <v>17</v>
      </c>
      <c r="C15" t="s">
        <v>91</v>
      </c>
      <c r="D15" t="s">
        <v>1</v>
      </c>
      <c r="H15">
        <v>20</v>
      </c>
      <c r="J15">
        <f t="shared" si="0"/>
        <v>20</v>
      </c>
      <c r="L15">
        <f t="shared" si="1"/>
        <v>8.9285714285714281E-3</v>
      </c>
    </row>
    <row r="16" spans="1:12" x14ac:dyDescent="0.25">
      <c r="A16">
        <v>1701</v>
      </c>
      <c r="B16" t="s">
        <v>12</v>
      </c>
      <c r="C16" t="s">
        <v>91</v>
      </c>
      <c r="D16" t="s">
        <v>1</v>
      </c>
      <c r="F16">
        <v>19</v>
      </c>
      <c r="G16">
        <v>2</v>
      </c>
      <c r="H16">
        <v>9</v>
      </c>
      <c r="J16">
        <f t="shared" si="0"/>
        <v>2193</v>
      </c>
      <c r="L16">
        <f t="shared" si="1"/>
        <v>0.97901785714285716</v>
      </c>
    </row>
    <row r="17" spans="1:12" x14ac:dyDescent="0.25">
      <c r="A17">
        <v>1701</v>
      </c>
      <c r="B17" t="s">
        <v>11</v>
      </c>
      <c r="C17" t="s">
        <v>91</v>
      </c>
      <c r="D17" t="s">
        <v>5</v>
      </c>
      <c r="F17">
        <v>9769</v>
      </c>
      <c r="G17">
        <v>1</v>
      </c>
      <c r="H17">
        <v>3</v>
      </c>
      <c r="J17">
        <f t="shared" si="0"/>
        <v>1094159</v>
      </c>
      <c r="L17">
        <f t="shared" si="1"/>
        <v>488.4638392857143</v>
      </c>
    </row>
    <row r="18" spans="1:12" x14ac:dyDescent="0.25">
      <c r="A18">
        <v>1701</v>
      </c>
      <c r="B18" t="s">
        <v>3</v>
      </c>
      <c r="C18" t="s">
        <v>91</v>
      </c>
      <c r="D18" t="s">
        <v>5</v>
      </c>
      <c r="F18">
        <v>368</v>
      </c>
      <c r="G18">
        <v>2</v>
      </c>
      <c r="H18">
        <v>16</v>
      </c>
      <c r="J18">
        <f t="shared" si="0"/>
        <v>41288</v>
      </c>
      <c r="L18">
        <f t="shared" si="1"/>
        <v>18.432142857142857</v>
      </c>
    </row>
    <row r="19" spans="1:12" x14ac:dyDescent="0.25">
      <c r="A19">
        <v>1701</v>
      </c>
      <c r="B19" t="s">
        <v>9</v>
      </c>
      <c r="C19" t="s">
        <v>91</v>
      </c>
      <c r="D19" t="s">
        <v>5</v>
      </c>
      <c r="F19">
        <v>11</v>
      </c>
      <c r="H19">
        <v>17</v>
      </c>
      <c r="J19">
        <f t="shared" si="0"/>
        <v>1249</v>
      </c>
      <c r="L19">
        <f t="shared" si="1"/>
        <v>0.55758928571428568</v>
      </c>
    </row>
    <row r="20" spans="1:12" x14ac:dyDescent="0.25">
      <c r="A20">
        <v>1701</v>
      </c>
      <c r="B20" t="s">
        <v>15</v>
      </c>
      <c r="C20" t="s">
        <v>91</v>
      </c>
      <c r="D20" t="s">
        <v>5</v>
      </c>
      <c r="H20">
        <v>740</v>
      </c>
      <c r="I20" t="s">
        <v>58</v>
      </c>
      <c r="J20">
        <f t="shared" si="0"/>
        <v>740</v>
      </c>
      <c r="L20">
        <f t="shared" si="1"/>
        <v>0.33035714285714285</v>
      </c>
    </row>
    <row r="21" spans="1:12" x14ac:dyDescent="0.25">
      <c r="A21">
        <v>1701</v>
      </c>
      <c r="B21" t="s">
        <v>27</v>
      </c>
      <c r="C21" t="s">
        <v>91</v>
      </c>
      <c r="D21" t="s">
        <v>5</v>
      </c>
      <c r="F21">
        <v>1</v>
      </c>
      <c r="J21">
        <f t="shared" si="0"/>
        <v>112</v>
      </c>
      <c r="L21">
        <f t="shared" si="1"/>
        <v>0.05</v>
      </c>
    </row>
    <row r="22" spans="1:12" x14ac:dyDescent="0.25">
      <c r="A22">
        <v>1701</v>
      </c>
      <c r="B22" t="s">
        <v>10</v>
      </c>
      <c r="C22" t="s">
        <v>91</v>
      </c>
      <c r="D22" t="s">
        <v>5</v>
      </c>
      <c r="F22">
        <v>1427</v>
      </c>
      <c r="H22">
        <v>14</v>
      </c>
      <c r="J22">
        <f t="shared" si="0"/>
        <v>159838</v>
      </c>
      <c r="L22">
        <f t="shared" si="1"/>
        <v>71.356250000000003</v>
      </c>
    </row>
    <row r="23" spans="1:12" x14ac:dyDescent="0.25">
      <c r="A23">
        <v>1701</v>
      </c>
      <c r="B23" t="s">
        <v>57</v>
      </c>
      <c r="C23" t="s">
        <v>91</v>
      </c>
      <c r="D23" t="s">
        <v>5</v>
      </c>
      <c r="G23">
        <v>1</v>
      </c>
      <c r="H23">
        <v>5</v>
      </c>
      <c r="J23">
        <f t="shared" si="0"/>
        <v>33</v>
      </c>
      <c r="L23">
        <f t="shared" si="1"/>
        <v>1.4732142857142857E-2</v>
      </c>
    </row>
    <row r="24" spans="1:12" x14ac:dyDescent="0.25">
      <c r="A24">
        <v>1701</v>
      </c>
      <c r="B24" t="s">
        <v>16</v>
      </c>
      <c r="C24" t="s">
        <v>91</v>
      </c>
      <c r="D24" t="s">
        <v>5</v>
      </c>
      <c r="H24">
        <v>70</v>
      </c>
      <c r="I24" t="s">
        <v>59</v>
      </c>
      <c r="J24">
        <f t="shared" si="0"/>
        <v>70</v>
      </c>
      <c r="L24">
        <f t="shared" si="1"/>
        <v>3.125E-2</v>
      </c>
    </row>
    <row r="25" spans="1:12" x14ac:dyDescent="0.25">
      <c r="A25">
        <v>1701</v>
      </c>
      <c r="B25" t="s">
        <v>14</v>
      </c>
      <c r="C25" t="s">
        <v>91</v>
      </c>
      <c r="D25" t="s">
        <v>5</v>
      </c>
      <c r="H25">
        <v>3063</v>
      </c>
      <c r="J25">
        <f t="shared" si="0"/>
        <v>3063</v>
      </c>
      <c r="L25">
        <f t="shared" si="1"/>
        <v>1.3674107142857144</v>
      </c>
    </row>
  </sheetData>
  <autoFilter ref="A1:L26" xr:uid="{693D6FA2-B6A0-4711-A44A-6CA286BF1E63}">
    <sortState xmlns:xlrd2="http://schemas.microsoft.com/office/spreadsheetml/2017/richdata2" ref="A2:L26">
      <sortCondition ref="D1:D2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P35"/>
  <sheetViews>
    <sheetView workbookViewId="0">
      <selection activeCell="H10" sqref="H1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6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  <c r="N1" t="s">
        <v>66</v>
      </c>
      <c r="P1" t="s">
        <v>45</v>
      </c>
    </row>
    <row r="2" spans="1:16" x14ac:dyDescent="0.25">
      <c r="A2">
        <v>1701</v>
      </c>
      <c r="B2" t="s">
        <v>24</v>
      </c>
      <c r="C2" t="s">
        <v>92</v>
      </c>
      <c r="D2" t="s">
        <v>1</v>
      </c>
      <c r="H2">
        <v>1840</v>
      </c>
      <c r="J2">
        <f t="shared" ref="J2:J35" si="0">(E2*2240)+(F2*112)+(G2*28)+H2</f>
        <v>1840</v>
      </c>
      <c r="L2">
        <f t="shared" ref="L2:L35" si="1">J2/2240</f>
        <v>0.8214285714285714</v>
      </c>
      <c r="N2">
        <f>L2+L3+L4+L9+L10+L11+L12+L13+L16+L17+L18+L19+L20+L23+L24+L25+L29+L30+L32+L33</f>
        <v>9750.5787946428591</v>
      </c>
      <c r="P2">
        <f>L5+L6+L7+L8+L26+L27+L28</f>
        <v>72.430803571428584</v>
      </c>
    </row>
    <row r="3" spans="1:16" x14ac:dyDescent="0.25">
      <c r="A3">
        <v>1701</v>
      </c>
      <c r="B3" t="s">
        <v>6</v>
      </c>
      <c r="C3" t="s">
        <v>92</v>
      </c>
      <c r="D3" t="s">
        <v>1</v>
      </c>
      <c r="F3">
        <v>2</v>
      </c>
      <c r="G3">
        <v>2</v>
      </c>
      <c r="H3">
        <v>21</v>
      </c>
      <c r="J3">
        <f t="shared" si="0"/>
        <v>301</v>
      </c>
      <c r="L3">
        <f t="shared" si="1"/>
        <v>0.13437499999999999</v>
      </c>
    </row>
    <row r="4" spans="1:16" x14ac:dyDescent="0.25">
      <c r="A4">
        <v>1701</v>
      </c>
      <c r="B4" t="s">
        <v>11</v>
      </c>
      <c r="C4" t="s">
        <v>92</v>
      </c>
      <c r="D4" t="s">
        <v>1</v>
      </c>
      <c r="F4">
        <v>152776</v>
      </c>
      <c r="G4">
        <v>3</v>
      </c>
      <c r="H4">
        <v>24</v>
      </c>
      <c r="J4">
        <f t="shared" si="0"/>
        <v>17111020</v>
      </c>
      <c r="L4">
        <f t="shared" si="1"/>
        <v>7638.8482142857147</v>
      </c>
    </row>
    <row r="5" spans="1:16" x14ac:dyDescent="0.25">
      <c r="A5">
        <v>1701</v>
      </c>
      <c r="B5" t="s">
        <v>7</v>
      </c>
      <c r="C5" t="s">
        <v>92</v>
      </c>
      <c r="D5" t="s">
        <v>1</v>
      </c>
      <c r="H5">
        <v>85</v>
      </c>
      <c r="J5">
        <f t="shared" si="0"/>
        <v>85</v>
      </c>
      <c r="L5">
        <f t="shared" si="1"/>
        <v>3.7946428571428568E-2</v>
      </c>
    </row>
    <row r="6" spans="1:16" x14ac:dyDescent="0.25">
      <c r="A6">
        <v>1701</v>
      </c>
      <c r="B6" t="s">
        <v>31</v>
      </c>
      <c r="C6" t="s">
        <v>92</v>
      </c>
      <c r="D6" t="s">
        <v>1</v>
      </c>
      <c r="H6">
        <v>13</v>
      </c>
      <c r="J6">
        <f t="shared" si="0"/>
        <v>13</v>
      </c>
      <c r="L6">
        <f t="shared" si="1"/>
        <v>5.8035714285714288E-3</v>
      </c>
    </row>
    <row r="7" spans="1:16" x14ac:dyDescent="0.25">
      <c r="A7">
        <v>1701</v>
      </c>
      <c r="B7" t="s">
        <v>76</v>
      </c>
      <c r="C7" t="s">
        <v>92</v>
      </c>
      <c r="D7" t="s">
        <v>1</v>
      </c>
      <c r="F7">
        <v>290</v>
      </c>
      <c r="H7">
        <v>8</v>
      </c>
      <c r="J7">
        <f t="shared" si="0"/>
        <v>32488</v>
      </c>
      <c r="L7">
        <f t="shared" si="1"/>
        <v>14.503571428571428</v>
      </c>
    </row>
    <row r="8" spans="1:16" x14ac:dyDescent="0.25">
      <c r="A8">
        <v>1701</v>
      </c>
      <c r="B8" t="s">
        <v>30</v>
      </c>
      <c r="C8" t="s">
        <v>92</v>
      </c>
      <c r="D8" t="s">
        <v>1</v>
      </c>
      <c r="H8">
        <v>27</v>
      </c>
      <c r="J8">
        <f t="shared" si="0"/>
        <v>27</v>
      </c>
      <c r="L8">
        <f t="shared" si="1"/>
        <v>1.2053571428571429E-2</v>
      </c>
    </row>
    <row r="9" spans="1:16" x14ac:dyDescent="0.25">
      <c r="A9">
        <v>1701</v>
      </c>
      <c r="B9" t="s">
        <v>3</v>
      </c>
      <c r="C9" t="s">
        <v>92</v>
      </c>
      <c r="D9" t="s">
        <v>1</v>
      </c>
      <c r="H9">
        <f>1366*200</f>
        <v>273200</v>
      </c>
      <c r="I9" t="s">
        <v>29</v>
      </c>
      <c r="J9">
        <f t="shared" si="0"/>
        <v>273200</v>
      </c>
      <c r="L9">
        <f t="shared" si="1"/>
        <v>121.96428571428571</v>
      </c>
    </row>
    <row r="10" spans="1:16" x14ac:dyDescent="0.25">
      <c r="A10">
        <v>1701</v>
      </c>
      <c r="B10" t="s">
        <v>9</v>
      </c>
      <c r="C10" t="s">
        <v>92</v>
      </c>
      <c r="D10" t="s">
        <v>1</v>
      </c>
      <c r="F10">
        <v>4301</v>
      </c>
      <c r="G10">
        <v>3</v>
      </c>
      <c r="H10">
        <v>7</v>
      </c>
      <c r="J10">
        <f t="shared" si="0"/>
        <v>481803</v>
      </c>
      <c r="L10">
        <f t="shared" si="1"/>
        <v>215.09062499999999</v>
      </c>
    </row>
    <row r="11" spans="1:16" x14ac:dyDescent="0.25">
      <c r="A11">
        <v>1701</v>
      </c>
      <c r="B11" t="s">
        <v>19</v>
      </c>
      <c r="C11" t="s">
        <v>92</v>
      </c>
      <c r="D11" t="s">
        <v>1</v>
      </c>
      <c r="F11">
        <v>249</v>
      </c>
      <c r="H11">
        <v>21</v>
      </c>
      <c r="J11">
        <f t="shared" si="0"/>
        <v>27909</v>
      </c>
      <c r="L11">
        <f t="shared" si="1"/>
        <v>12.459375</v>
      </c>
    </row>
    <row r="12" spans="1:16" x14ac:dyDescent="0.25">
      <c r="A12">
        <v>1701</v>
      </c>
      <c r="B12" t="s">
        <v>2</v>
      </c>
      <c r="C12" t="s">
        <v>92</v>
      </c>
      <c r="D12" t="s">
        <v>1</v>
      </c>
      <c r="H12">
        <v>309</v>
      </c>
      <c r="J12">
        <f t="shared" si="0"/>
        <v>309</v>
      </c>
      <c r="L12">
        <f t="shared" si="1"/>
        <v>0.13794642857142858</v>
      </c>
    </row>
    <row r="13" spans="1:16" x14ac:dyDescent="0.25">
      <c r="A13">
        <v>1701</v>
      </c>
      <c r="B13" t="s">
        <v>15</v>
      </c>
      <c r="C13" t="s">
        <v>92</v>
      </c>
      <c r="D13" t="s">
        <v>1</v>
      </c>
      <c r="H13">
        <v>28277</v>
      </c>
      <c r="I13" t="s">
        <v>32</v>
      </c>
      <c r="J13">
        <f t="shared" si="0"/>
        <v>28277</v>
      </c>
      <c r="L13">
        <f t="shared" si="1"/>
        <v>12.623660714285714</v>
      </c>
    </row>
    <row r="14" spans="1:16" x14ac:dyDescent="0.25">
      <c r="A14">
        <v>1701</v>
      </c>
      <c r="B14" t="s">
        <v>28</v>
      </c>
      <c r="C14" t="s">
        <v>92</v>
      </c>
      <c r="D14" t="s">
        <v>1</v>
      </c>
      <c r="F14">
        <v>6</v>
      </c>
      <c r="G14">
        <v>2</v>
      </c>
      <c r="H14">
        <v>3</v>
      </c>
      <c r="J14">
        <f t="shared" si="0"/>
        <v>731</v>
      </c>
      <c r="L14">
        <f t="shared" si="1"/>
        <v>0.32633928571428572</v>
      </c>
    </row>
    <row r="15" spans="1:16" x14ac:dyDescent="0.25">
      <c r="A15">
        <v>1701</v>
      </c>
      <c r="B15" t="s">
        <v>27</v>
      </c>
      <c r="C15" t="s">
        <v>92</v>
      </c>
      <c r="D15" t="s">
        <v>1</v>
      </c>
      <c r="H15">
        <v>7592</v>
      </c>
      <c r="I15" t="s">
        <v>81</v>
      </c>
      <c r="J15">
        <f t="shared" si="0"/>
        <v>7592</v>
      </c>
      <c r="L15">
        <f t="shared" si="1"/>
        <v>3.3892857142857142</v>
      </c>
    </row>
    <row r="16" spans="1:16" x14ac:dyDescent="0.25">
      <c r="A16">
        <v>1701</v>
      </c>
      <c r="B16" t="s">
        <v>10</v>
      </c>
      <c r="C16" t="s">
        <v>92</v>
      </c>
      <c r="D16" t="s">
        <v>1</v>
      </c>
      <c r="F16">
        <v>6648</v>
      </c>
      <c r="G16">
        <v>2</v>
      </c>
      <c r="H16">
        <v>22</v>
      </c>
      <c r="J16">
        <f t="shared" si="0"/>
        <v>744654</v>
      </c>
      <c r="L16">
        <f t="shared" si="1"/>
        <v>332.43482142857141</v>
      </c>
    </row>
    <row r="17" spans="1:12" x14ac:dyDescent="0.25">
      <c r="A17">
        <v>1701</v>
      </c>
      <c r="B17" t="s">
        <v>13</v>
      </c>
      <c r="C17" t="s">
        <v>92</v>
      </c>
      <c r="D17" t="s">
        <v>1</v>
      </c>
      <c r="H17">
        <v>9940</v>
      </c>
      <c r="J17">
        <f t="shared" si="0"/>
        <v>9940</v>
      </c>
      <c r="L17">
        <f t="shared" si="1"/>
        <v>4.4375</v>
      </c>
    </row>
    <row r="18" spans="1:12" x14ac:dyDescent="0.25">
      <c r="A18">
        <v>1701</v>
      </c>
      <c r="B18" t="s">
        <v>16</v>
      </c>
      <c r="C18" t="s">
        <v>92</v>
      </c>
      <c r="D18" t="s">
        <v>1</v>
      </c>
      <c r="H18">
        <v>11023</v>
      </c>
      <c r="I18" t="s">
        <v>33</v>
      </c>
      <c r="J18">
        <f t="shared" si="0"/>
        <v>11023</v>
      </c>
      <c r="L18">
        <f t="shared" si="1"/>
        <v>4.9209821428571425</v>
      </c>
    </row>
    <row r="19" spans="1:12" x14ac:dyDescent="0.25">
      <c r="A19">
        <v>1701</v>
      </c>
      <c r="B19" t="s">
        <v>18</v>
      </c>
      <c r="C19" t="s">
        <v>92</v>
      </c>
      <c r="D19" t="s">
        <v>1</v>
      </c>
      <c r="F19">
        <v>107</v>
      </c>
      <c r="H19">
        <v>19</v>
      </c>
      <c r="J19">
        <f t="shared" si="0"/>
        <v>12003</v>
      </c>
      <c r="L19">
        <f t="shared" si="1"/>
        <v>5.3584821428571425</v>
      </c>
    </row>
    <row r="20" spans="1:12" x14ac:dyDescent="0.25">
      <c r="A20">
        <v>1701</v>
      </c>
      <c r="B20" t="s">
        <v>97</v>
      </c>
      <c r="C20" t="s">
        <v>92</v>
      </c>
      <c r="D20" t="s">
        <v>1</v>
      </c>
      <c r="H20">
        <v>2781</v>
      </c>
      <c r="J20">
        <f t="shared" si="0"/>
        <v>2781</v>
      </c>
      <c r="L20">
        <f t="shared" si="1"/>
        <v>1.2415178571428571</v>
      </c>
    </row>
    <row r="21" spans="1:12" x14ac:dyDescent="0.25">
      <c r="A21">
        <v>1701</v>
      </c>
      <c r="B21" t="s">
        <v>14</v>
      </c>
      <c r="C21" t="s">
        <v>92</v>
      </c>
      <c r="D21" t="s">
        <v>1</v>
      </c>
      <c r="H21">
        <v>5400</v>
      </c>
      <c r="J21">
        <f t="shared" si="0"/>
        <v>5400</v>
      </c>
      <c r="L21">
        <f t="shared" si="1"/>
        <v>2.4107142857142856</v>
      </c>
    </row>
    <row r="22" spans="1:12" x14ac:dyDescent="0.25">
      <c r="A22">
        <v>1701</v>
      </c>
      <c r="B22" t="s">
        <v>17</v>
      </c>
      <c r="C22" t="s">
        <v>92</v>
      </c>
      <c r="D22" t="s">
        <v>1</v>
      </c>
      <c r="H22">
        <v>198</v>
      </c>
      <c r="J22">
        <f t="shared" si="0"/>
        <v>198</v>
      </c>
      <c r="L22">
        <f t="shared" si="1"/>
        <v>8.8392857142857148E-2</v>
      </c>
    </row>
    <row r="23" spans="1:12" x14ac:dyDescent="0.25">
      <c r="A23">
        <v>1701</v>
      </c>
      <c r="B23" t="s">
        <v>12</v>
      </c>
      <c r="C23" t="s">
        <v>92</v>
      </c>
      <c r="D23" t="s">
        <v>1</v>
      </c>
      <c r="F23">
        <v>2911</v>
      </c>
      <c r="G23">
        <v>2</v>
      </c>
      <c r="H23">
        <v>16</v>
      </c>
      <c r="J23">
        <f t="shared" si="0"/>
        <v>326104</v>
      </c>
      <c r="L23">
        <f t="shared" si="1"/>
        <v>145.58214285714286</v>
      </c>
    </row>
    <row r="24" spans="1:12" x14ac:dyDescent="0.25">
      <c r="A24">
        <v>1701</v>
      </c>
      <c r="B24" t="s">
        <v>11</v>
      </c>
      <c r="C24" t="s">
        <v>92</v>
      </c>
      <c r="D24" t="s">
        <v>5</v>
      </c>
      <c r="F24">
        <v>24988</v>
      </c>
      <c r="G24">
        <v>3</v>
      </c>
      <c r="H24">
        <v>15</v>
      </c>
      <c r="J24">
        <f t="shared" si="0"/>
        <v>2798755</v>
      </c>
      <c r="L24">
        <f t="shared" si="1"/>
        <v>1249.4441964285713</v>
      </c>
    </row>
    <row r="25" spans="1:12" x14ac:dyDescent="0.25">
      <c r="A25">
        <v>1701</v>
      </c>
      <c r="B25" t="s">
        <v>7</v>
      </c>
      <c r="C25" t="s">
        <v>92</v>
      </c>
      <c r="D25" t="s">
        <v>5</v>
      </c>
      <c r="H25">
        <v>13</v>
      </c>
      <c r="J25">
        <f t="shared" si="0"/>
        <v>13</v>
      </c>
      <c r="L25">
        <f t="shared" si="1"/>
        <v>5.8035714285714288E-3</v>
      </c>
    </row>
    <row r="26" spans="1:12" x14ac:dyDescent="0.25">
      <c r="A26">
        <v>1701</v>
      </c>
      <c r="B26" t="s">
        <v>3</v>
      </c>
      <c r="C26" t="s">
        <v>92</v>
      </c>
      <c r="D26" t="s">
        <v>5</v>
      </c>
      <c r="F26">
        <v>392</v>
      </c>
      <c r="H26">
        <v>23</v>
      </c>
      <c r="J26">
        <f t="shared" si="0"/>
        <v>43927</v>
      </c>
      <c r="L26">
        <f t="shared" si="1"/>
        <v>19.610267857142858</v>
      </c>
    </row>
    <row r="27" spans="1:12" x14ac:dyDescent="0.25">
      <c r="A27">
        <v>1701</v>
      </c>
      <c r="B27" t="s">
        <v>9</v>
      </c>
      <c r="C27" t="s">
        <v>92</v>
      </c>
      <c r="D27" t="s">
        <v>5</v>
      </c>
      <c r="F27">
        <v>759</v>
      </c>
      <c r="G27">
        <v>1</v>
      </c>
      <c r="H27">
        <v>16</v>
      </c>
      <c r="J27">
        <f t="shared" si="0"/>
        <v>85052</v>
      </c>
      <c r="L27">
        <f t="shared" si="1"/>
        <v>37.969642857142858</v>
      </c>
    </row>
    <row r="28" spans="1:12" x14ac:dyDescent="0.25">
      <c r="A28">
        <v>1701</v>
      </c>
      <c r="B28" t="s">
        <v>19</v>
      </c>
      <c r="C28" t="s">
        <v>92</v>
      </c>
      <c r="D28" t="s">
        <v>5</v>
      </c>
      <c r="F28">
        <v>5</v>
      </c>
      <c r="G28">
        <v>3</v>
      </c>
      <c r="H28">
        <v>9</v>
      </c>
      <c r="J28">
        <f t="shared" si="0"/>
        <v>653</v>
      </c>
      <c r="L28">
        <f t="shared" si="1"/>
        <v>0.29151785714285716</v>
      </c>
    </row>
    <row r="29" spans="1:12" x14ac:dyDescent="0.25">
      <c r="A29">
        <v>1701</v>
      </c>
      <c r="B29" t="s">
        <v>15</v>
      </c>
      <c r="C29" t="s">
        <v>92</v>
      </c>
      <c r="D29" t="s">
        <v>5</v>
      </c>
      <c r="H29">
        <v>6732</v>
      </c>
      <c r="I29" t="s">
        <v>61</v>
      </c>
      <c r="J29">
        <f t="shared" si="0"/>
        <v>6732</v>
      </c>
      <c r="L29">
        <f t="shared" si="1"/>
        <v>3.0053571428571431</v>
      </c>
    </row>
    <row r="30" spans="1:12" x14ac:dyDescent="0.25">
      <c r="A30">
        <v>1701</v>
      </c>
      <c r="B30" t="s">
        <v>27</v>
      </c>
      <c r="C30" t="s">
        <v>92</v>
      </c>
      <c r="D30" t="s">
        <v>5</v>
      </c>
      <c r="H30">
        <v>157.5</v>
      </c>
      <c r="I30" t="s">
        <v>60</v>
      </c>
      <c r="J30">
        <f t="shared" si="0"/>
        <v>157.5</v>
      </c>
      <c r="L30">
        <f t="shared" si="1"/>
        <v>7.03125E-2</v>
      </c>
    </row>
    <row r="31" spans="1:12" x14ac:dyDescent="0.25">
      <c r="A31">
        <v>1701</v>
      </c>
      <c r="B31" t="s">
        <v>10</v>
      </c>
      <c r="C31" t="s">
        <v>92</v>
      </c>
      <c r="D31" t="s">
        <v>5</v>
      </c>
      <c r="F31">
        <v>1325</v>
      </c>
      <c r="G31">
        <v>3</v>
      </c>
      <c r="H31">
        <v>16</v>
      </c>
      <c r="J31">
        <f t="shared" si="0"/>
        <v>148500</v>
      </c>
      <c r="L31">
        <f t="shared" si="1"/>
        <v>66.294642857142861</v>
      </c>
    </row>
    <row r="32" spans="1:12" x14ac:dyDescent="0.25">
      <c r="A32">
        <v>1701</v>
      </c>
      <c r="B32" t="s">
        <v>25</v>
      </c>
      <c r="C32" t="s">
        <v>92</v>
      </c>
      <c r="D32" t="s">
        <v>5</v>
      </c>
      <c r="F32">
        <v>22</v>
      </c>
      <c r="G32">
        <v>2</v>
      </c>
      <c r="H32">
        <v>25</v>
      </c>
      <c r="J32">
        <f t="shared" si="0"/>
        <v>2545</v>
      </c>
      <c r="L32">
        <f t="shared" si="1"/>
        <v>1.1361607142857142</v>
      </c>
    </row>
    <row r="33" spans="1:12" x14ac:dyDescent="0.25">
      <c r="A33">
        <v>1701</v>
      </c>
      <c r="B33" t="s">
        <v>16</v>
      </c>
      <c r="C33" t="s">
        <v>92</v>
      </c>
      <c r="D33" t="s">
        <v>5</v>
      </c>
      <c r="H33">
        <v>1930</v>
      </c>
      <c r="I33" t="s">
        <v>62</v>
      </c>
      <c r="J33">
        <f t="shared" si="0"/>
        <v>1930</v>
      </c>
      <c r="L33">
        <f t="shared" si="1"/>
        <v>0.8616071428571429</v>
      </c>
    </row>
    <row r="34" spans="1:12" x14ac:dyDescent="0.25">
      <c r="A34">
        <v>1701</v>
      </c>
      <c r="B34" t="s">
        <v>97</v>
      </c>
      <c r="C34" t="s">
        <v>92</v>
      </c>
      <c r="D34" t="s">
        <v>5</v>
      </c>
      <c r="H34">
        <v>876</v>
      </c>
      <c r="J34">
        <f t="shared" si="0"/>
        <v>876</v>
      </c>
      <c r="L34">
        <f t="shared" si="1"/>
        <v>0.39107142857142857</v>
      </c>
    </row>
    <row r="35" spans="1:12" x14ac:dyDescent="0.25">
      <c r="A35">
        <v>1701</v>
      </c>
      <c r="B35" t="s">
        <v>12</v>
      </c>
      <c r="C35" t="s">
        <v>92</v>
      </c>
      <c r="D35" t="s">
        <v>5</v>
      </c>
      <c r="F35">
        <v>22</v>
      </c>
      <c r="G35">
        <v>1</v>
      </c>
      <c r="H35">
        <v>22</v>
      </c>
      <c r="J35">
        <f t="shared" si="0"/>
        <v>2514</v>
      </c>
      <c r="L35">
        <f t="shared" si="1"/>
        <v>1.1223214285714285</v>
      </c>
    </row>
  </sheetData>
  <autoFilter ref="A1:P42" xr:uid="{AAD1F908-12B8-4B3A-A65D-184CD229ACD4}">
    <sortState xmlns:xlrd2="http://schemas.microsoft.com/office/spreadsheetml/2017/richdata2" ref="A2:P42">
      <sortCondition ref="D1:D4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6"/>
  <sheetViews>
    <sheetView workbookViewId="0">
      <selection activeCell="F2" sqref="F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2</v>
      </c>
      <c r="C2" t="s">
        <v>93</v>
      </c>
      <c r="D2" t="s">
        <v>1</v>
      </c>
      <c r="H2">
        <v>8598</v>
      </c>
      <c r="J2">
        <f>(E2*2240)+(F2*112)+(G2*28)+H2</f>
        <v>8598</v>
      </c>
      <c r="L2">
        <f>J2/2240</f>
        <v>3.8383928571428569</v>
      </c>
    </row>
    <row r="3" spans="1:12" x14ac:dyDescent="0.25">
      <c r="A3">
        <v>1701</v>
      </c>
      <c r="B3" t="s">
        <v>11</v>
      </c>
      <c r="C3" t="s">
        <v>93</v>
      </c>
      <c r="D3" t="s">
        <v>1</v>
      </c>
      <c r="F3">
        <v>240</v>
      </c>
      <c r="G3">
        <v>2</v>
      </c>
      <c r="J3">
        <f t="shared" ref="J3:J6" si="0">(E3*2240)+(F3*112)+(G3*28)+H3</f>
        <v>26936</v>
      </c>
      <c r="L3">
        <f t="shared" ref="L3:L6" si="1">J3/2240</f>
        <v>12.025</v>
      </c>
    </row>
    <row r="4" spans="1:12" x14ac:dyDescent="0.25">
      <c r="A4">
        <v>1701</v>
      </c>
      <c r="B4" t="s">
        <v>18</v>
      </c>
      <c r="C4" t="s">
        <v>93</v>
      </c>
      <c r="D4" t="s">
        <v>1</v>
      </c>
      <c r="G4">
        <v>3</v>
      </c>
      <c r="H4">
        <v>7</v>
      </c>
      <c r="J4">
        <f t="shared" si="0"/>
        <v>91</v>
      </c>
      <c r="L4">
        <f t="shared" si="1"/>
        <v>4.0625000000000001E-2</v>
      </c>
    </row>
    <row r="5" spans="1:12" x14ac:dyDescent="0.25">
      <c r="A5">
        <v>1701</v>
      </c>
      <c r="B5" t="s">
        <v>14</v>
      </c>
      <c r="C5" t="s">
        <v>93</v>
      </c>
      <c r="D5" t="s">
        <v>1</v>
      </c>
      <c r="H5">
        <v>15171</v>
      </c>
      <c r="J5">
        <f t="shared" si="0"/>
        <v>15171</v>
      </c>
      <c r="L5">
        <f t="shared" si="1"/>
        <v>6.7727678571428571</v>
      </c>
    </row>
    <row r="6" spans="1:12" x14ac:dyDescent="0.25">
      <c r="A6">
        <v>1701</v>
      </c>
      <c r="B6" t="s">
        <v>17</v>
      </c>
      <c r="C6" t="s">
        <v>93</v>
      </c>
      <c r="D6" t="s">
        <v>1</v>
      </c>
      <c r="H6">
        <v>7</v>
      </c>
      <c r="J6">
        <f t="shared" si="0"/>
        <v>7</v>
      </c>
      <c r="L6">
        <f t="shared" si="1"/>
        <v>3.1250000000000002E-3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15"/>
  <sheetViews>
    <sheetView workbookViewId="0">
      <selection activeCell="H6" sqref="H6"/>
    </sheetView>
  </sheetViews>
  <sheetFormatPr defaultRowHeight="15" x14ac:dyDescent="0.25"/>
  <cols>
    <col min="2" max="3" width="13.8554687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11</v>
      </c>
      <c r="C2" t="s">
        <v>94</v>
      </c>
      <c r="D2" t="s">
        <v>1</v>
      </c>
      <c r="F2">
        <v>311</v>
      </c>
      <c r="G2">
        <v>1</v>
      </c>
      <c r="J2">
        <f t="shared" ref="J2:J15" si="0">(E2*2240)+(F2*112)+(G2*28)+H2</f>
        <v>34860</v>
      </c>
      <c r="L2">
        <f t="shared" ref="L2:L15" si="1">J2/2240</f>
        <v>15.5625</v>
      </c>
    </row>
    <row r="3" spans="1:12" x14ac:dyDescent="0.25">
      <c r="A3">
        <v>1701</v>
      </c>
      <c r="B3" t="s">
        <v>7</v>
      </c>
      <c r="C3" t="s">
        <v>94</v>
      </c>
      <c r="D3" t="s">
        <v>1</v>
      </c>
      <c r="H3">
        <v>6</v>
      </c>
      <c r="J3">
        <f t="shared" si="0"/>
        <v>6</v>
      </c>
      <c r="L3">
        <f t="shared" si="1"/>
        <v>2.6785714285714286E-3</v>
      </c>
    </row>
    <row r="4" spans="1:12" x14ac:dyDescent="0.25">
      <c r="A4">
        <v>1701</v>
      </c>
      <c r="B4" t="s">
        <v>37</v>
      </c>
      <c r="C4" t="s">
        <v>94</v>
      </c>
      <c r="D4" t="s">
        <v>1</v>
      </c>
      <c r="H4">
        <v>30</v>
      </c>
      <c r="J4">
        <f t="shared" si="0"/>
        <v>30</v>
      </c>
      <c r="L4">
        <f t="shared" si="1"/>
        <v>1.3392857142857142E-2</v>
      </c>
    </row>
    <row r="5" spans="1:12" x14ac:dyDescent="0.25">
      <c r="A5">
        <v>1701</v>
      </c>
      <c r="B5" t="s">
        <v>3</v>
      </c>
      <c r="C5" t="s">
        <v>94</v>
      </c>
      <c r="D5" t="s">
        <v>1</v>
      </c>
      <c r="H5">
        <f>5*200</f>
        <v>1000</v>
      </c>
      <c r="I5" t="s">
        <v>36</v>
      </c>
      <c r="J5">
        <f t="shared" si="0"/>
        <v>1000</v>
      </c>
      <c r="L5">
        <f t="shared" si="1"/>
        <v>0.44642857142857145</v>
      </c>
    </row>
    <row r="6" spans="1:12" x14ac:dyDescent="0.25">
      <c r="A6">
        <v>1701</v>
      </c>
      <c r="B6" t="s">
        <v>19</v>
      </c>
      <c r="C6" t="s">
        <v>94</v>
      </c>
      <c r="D6" t="s">
        <v>1</v>
      </c>
      <c r="F6">
        <v>4</v>
      </c>
      <c r="J6">
        <f t="shared" si="0"/>
        <v>448</v>
      </c>
      <c r="L6">
        <f t="shared" si="1"/>
        <v>0.2</v>
      </c>
    </row>
    <row r="7" spans="1:12" x14ac:dyDescent="0.25">
      <c r="A7">
        <v>1701</v>
      </c>
      <c r="B7" t="s">
        <v>2</v>
      </c>
      <c r="C7" t="s">
        <v>94</v>
      </c>
      <c r="D7" t="s">
        <v>1</v>
      </c>
      <c r="H7">
        <v>707</v>
      </c>
      <c r="J7">
        <f t="shared" si="0"/>
        <v>707</v>
      </c>
      <c r="L7">
        <f t="shared" si="1"/>
        <v>0.31562499999999999</v>
      </c>
    </row>
    <row r="8" spans="1:12" x14ac:dyDescent="0.25">
      <c r="A8">
        <v>1701</v>
      </c>
      <c r="B8" t="s">
        <v>15</v>
      </c>
      <c r="C8" t="s">
        <v>94</v>
      </c>
      <c r="D8" t="s">
        <v>1</v>
      </c>
      <c r="H8">
        <v>1570</v>
      </c>
      <c r="I8" t="s">
        <v>38</v>
      </c>
      <c r="J8">
        <f t="shared" si="0"/>
        <v>1570</v>
      </c>
      <c r="L8">
        <f t="shared" si="1"/>
        <v>0.7008928571428571</v>
      </c>
    </row>
    <row r="9" spans="1:12" x14ac:dyDescent="0.25">
      <c r="A9">
        <v>1701</v>
      </c>
      <c r="B9" t="s">
        <v>35</v>
      </c>
      <c r="C9" t="s">
        <v>94</v>
      </c>
      <c r="D9" t="s">
        <v>1</v>
      </c>
      <c r="F9">
        <v>9</v>
      </c>
      <c r="G9">
        <v>2</v>
      </c>
      <c r="J9">
        <f t="shared" si="0"/>
        <v>1064</v>
      </c>
      <c r="L9">
        <f t="shared" si="1"/>
        <v>0.47499999999999998</v>
      </c>
    </row>
    <row r="10" spans="1:12" x14ac:dyDescent="0.25">
      <c r="A10">
        <v>1701</v>
      </c>
      <c r="B10" t="s">
        <v>10</v>
      </c>
      <c r="C10" t="s">
        <v>94</v>
      </c>
      <c r="D10" t="s">
        <v>1</v>
      </c>
      <c r="F10">
        <v>16</v>
      </c>
      <c r="J10">
        <f t="shared" si="0"/>
        <v>1792</v>
      </c>
      <c r="L10">
        <f t="shared" si="1"/>
        <v>0.8</v>
      </c>
    </row>
    <row r="11" spans="1:12" x14ac:dyDescent="0.25">
      <c r="A11">
        <v>1701</v>
      </c>
      <c r="B11" t="s">
        <v>39</v>
      </c>
      <c r="C11" t="s">
        <v>94</v>
      </c>
      <c r="D11" t="s">
        <v>1</v>
      </c>
      <c r="H11">
        <v>850</v>
      </c>
      <c r="J11">
        <f t="shared" si="0"/>
        <v>850</v>
      </c>
      <c r="L11">
        <f t="shared" si="1"/>
        <v>0.3794642857142857</v>
      </c>
    </row>
    <row r="12" spans="1:12" x14ac:dyDescent="0.25">
      <c r="A12">
        <v>1701</v>
      </c>
      <c r="B12" t="s">
        <v>25</v>
      </c>
      <c r="C12" t="s">
        <v>94</v>
      </c>
      <c r="D12" t="s">
        <v>1</v>
      </c>
      <c r="F12">
        <v>1185</v>
      </c>
      <c r="G12">
        <v>2</v>
      </c>
      <c r="H12">
        <v>17</v>
      </c>
      <c r="J12">
        <f t="shared" si="0"/>
        <v>132793</v>
      </c>
      <c r="L12">
        <f t="shared" si="1"/>
        <v>59.282589285714288</v>
      </c>
    </row>
    <row r="13" spans="1:12" x14ac:dyDescent="0.25">
      <c r="A13">
        <v>1701</v>
      </c>
      <c r="B13" t="s">
        <v>17</v>
      </c>
      <c r="C13" t="s">
        <v>94</v>
      </c>
      <c r="D13" t="s">
        <v>1</v>
      </c>
      <c r="H13">
        <v>124</v>
      </c>
      <c r="J13">
        <f t="shared" si="0"/>
        <v>124</v>
      </c>
      <c r="L13">
        <f t="shared" si="1"/>
        <v>5.5357142857142855E-2</v>
      </c>
    </row>
    <row r="14" spans="1:12" x14ac:dyDescent="0.25">
      <c r="A14">
        <v>1701</v>
      </c>
      <c r="B14" t="s">
        <v>11</v>
      </c>
      <c r="C14" t="s">
        <v>94</v>
      </c>
      <c r="D14" t="s">
        <v>5</v>
      </c>
      <c r="F14">
        <v>31</v>
      </c>
      <c r="G14">
        <v>3</v>
      </c>
      <c r="H14">
        <v>10</v>
      </c>
      <c r="J14">
        <f t="shared" si="0"/>
        <v>3566</v>
      </c>
      <c r="L14">
        <f t="shared" si="1"/>
        <v>1.5919642857142857</v>
      </c>
    </row>
    <row r="15" spans="1:12" x14ac:dyDescent="0.25">
      <c r="A15">
        <v>1701</v>
      </c>
      <c r="B15" t="s">
        <v>25</v>
      </c>
      <c r="C15" t="s">
        <v>94</v>
      </c>
      <c r="D15" t="s">
        <v>5</v>
      </c>
      <c r="F15">
        <v>271</v>
      </c>
      <c r="G15">
        <v>1</v>
      </c>
      <c r="H15">
        <v>5</v>
      </c>
      <c r="J15">
        <f t="shared" si="0"/>
        <v>30385</v>
      </c>
      <c r="L15">
        <f t="shared" si="1"/>
        <v>13.564732142857142</v>
      </c>
    </row>
  </sheetData>
  <autoFilter ref="A1:L15" xr:uid="{E339DECF-9C4B-4D66-A34A-4FCAB8DD57FB}">
    <sortState xmlns:xlrd2="http://schemas.microsoft.com/office/spreadsheetml/2017/richdata2" ref="A2:L15">
      <sortCondition ref="D1:D1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L41"/>
  <sheetViews>
    <sheetView zoomScaleNormal="100" workbookViewId="0">
      <selection activeCell="H11" sqref="H11"/>
    </sheetView>
  </sheetViews>
  <sheetFormatPr defaultRowHeight="15" x14ac:dyDescent="0.25"/>
  <cols>
    <col min="2" max="3" width="14.2851562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24</v>
      </c>
      <c r="C2" t="s">
        <v>95</v>
      </c>
      <c r="D2" t="s">
        <v>1</v>
      </c>
      <c r="H2">
        <v>4906</v>
      </c>
      <c r="J2">
        <f t="shared" ref="J2:J41" si="0">(E2*2240)+(F2*112)+(G2*28)+H2</f>
        <v>4906</v>
      </c>
      <c r="L2">
        <f t="shared" ref="L2:L41" si="1">J2/2240</f>
        <v>2.1901785714285715</v>
      </c>
    </row>
    <row r="3" spans="1:12" x14ac:dyDescent="0.25">
      <c r="A3">
        <v>1701</v>
      </c>
      <c r="B3" t="s">
        <v>6</v>
      </c>
      <c r="C3" t="s">
        <v>95</v>
      </c>
      <c r="D3" t="s">
        <v>1</v>
      </c>
      <c r="F3">
        <v>6</v>
      </c>
      <c r="J3">
        <f t="shared" si="0"/>
        <v>672</v>
      </c>
      <c r="L3">
        <f t="shared" si="1"/>
        <v>0.3</v>
      </c>
    </row>
    <row r="4" spans="1:12" x14ac:dyDescent="0.25">
      <c r="A4">
        <v>1701</v>
      </c>
      <c r="B4" t="s">
        <v>11</v>
      </c>
      <c r="C4" t="s">
        <v>95</v>
      </c>
      <c r="D4" t="s">
        <v>1</v>
      </c>
      <c r="F4">
        <v>82141</v>
      </c>
      <c r="G4">
        <v>3</v>
      </c>
      <c r="H4">
        <v>18</v>
      </c>
      <c r="J4">
        <f t="shared" si="0"/>
        <v>9199894</v>
      </c>
      <c r="L4">
        <f t="shared" si="1"/>
        <v>4107.0955357142857</v>
      </c>
    </row>
    <row r="5" spans="1:12" x14ac:dyDescent="0.25">
      <c r="A5">
        <v>1701</v>
      </c>
      <c r="B5" t="s">
        <v>40</v>
      </c>
      <c r="C5" t="s">
        <v>95</v>
      </c>
      <c r="D5" t="s">
        <v>1</v>
      </c>
      <c r="H5">
        <v>93</v>
      </c>
      <c r="J5">
        <f t="shared" si="0"/>
        <v>93</v>
      </c>
      <c r="L5">
        <f t="shared" si="1"/>
        <v>4.1517857142857141E-2</v>
      </c>
    </row>
    <row r="6" spans="1:12" x14ac:dyDescent="0.25">
      <c r="A6">
        <v>1701</v>
      </c>
      <c r="B6" t="s">
        <v>7</v>
      </c>
      <c r="C6" t="s">
        <v>95</v>
      </c>
      <c r="D6" t="s">
        <v>1</v>
      </c>
      <c r="H6">
        <v>174</v>
      </c>
      <c r="J6">
        <f t="shared" si="0"/>
        <v>174</v>
      </c>
      <c r="L6">
        <f t="shared" si="1"/>
        <v>7.767857142857143E-2</v>
      </c>
    </row>
    <row r="7" spans="1:12" x14ac:dyDescent="0.25">
      <c r="A7">
        <v>1701</v>
      </c>
      <c r="B7" t="s">
        <v>42</v>
      </c>
      <c r="C7" t="s">
        <v>95</v>
      </c>
      <c r="D7" t="s">
        <v>1</v>
      </c>
      <c r="H7">
        <v>99</v>
      </c>
      <c r="J7">
        <f t="shared" si="0"/>
        <v>99</v>
      </c>
      <c r="L7">
        <f t="shared" si="1"/>
        <v>4.4196428571428574E-2</v>
      </c>
    </row>
    <row r="8" spans="1:12" x14ac:dyDescent="0.25">
      <c r="A8">
        <v>1701</v>
      </c>
      <c r="B8" t="s">
        <v>76</v>
      </c>
      <c r="C8" t="s">
        <v>95</v>
      </c>
      <c r="D8" t="s">
        <v>1</v>
      </c>
      <c r="F8">
        <v>1038</v>
      </c>
      <c r="H8">
        <v>27</v>
      </c>
      <c r="J8">
        <f t="shared" si="0"/>
        <v>116283</v>
      </c>
      <c r="L8">
        <f t="shared" si="1"/>
        <v>51.912053571428572</v>
      </c>
    </row>
    <row r="9" spans="1:12" x14ac:dyDescent="0.25">
      <c r="A9">
        <v>1701</v>
      </c>
      <c r="B9" t="s">
        <v>37</v>
      </c>
      <c r="C9" t="s">
        <v>95</v>
      </c>
      <c r="D9" t="s">
        <v>1</v>
      </c>
      <c r="H9">
        <v>36</v>
      </c>
      <c r="J9">
        <f t="shared" si="0"/>
        <v>36</v>
      </c>
      <c r="L9">
        <f t="shared" si="1"/>
        <v>1.607142857142857E-2</v>
      </c>
    </row>
    <row r="10" spans="1:12" x14ac:dyDescent="0.25">
      <c r="A10">
        <v>1701</v>
      </c>
      <c r="B10" t="s">
        <v>3</v>
      </c>
      <c r="C10" t="s">
        <v>95</v>
      </c>
      <c r="D10" t="s">
        <v>1</v>
      </c>
      <c r="H10">
        <f>2023.5*200</f>
        <v>404700</v>
      </c>
      <c r="I10" t="s">
        <v>41</v>
      </c>
      <c r="J10">
        <f t="shared" si="0"/>
        <v>404700</v>
      </c>
      <c r="L10">
        <f t="shared" si="1"/>
        <v>180.66964285714286</v>
      </c>
    </row>
    <row r="11" spans="1:12" x14ac:dyDescent="0.25">
      <c r="A11">
        <v>1701</v>
      </c>
      <c r="B11" t="s">
        <v>9</v>
      </c>
      <c r="C11" t="s">
        <v>95</v>
      </c>
      <c r="D11" t="s">
        <v>1</v>
      </c>
      <c r="F11">
        <v>2224</v>
      </c>
      <c r="G11">
        <v>1</v>
      </c>
      <c r="H11">
        <v>11</v>
      </c>
      <c r="J11">
        <f t="shared" si="0"/>
        <v>249127</v>
      </c>
      <c r="L11">
        <f t="shared" si="1"/>
        <v>111.21741071428572</v>
      </c>
    </row>
    <row r="12" spans="1:12" x14ac:dyDescent="0.25">
      <c r="A12">
        <v>1701</v>
      </c>
      <c r="B12" t="s">
        <v>19</v>
      </c>
      <c r="C12" t="s">
        <v>95</v>
      </c>
      <c r="D12" t="s">
        <v>1</v>
      </c>
      <c r="F12">
        <v>454</v>
      </c>
      <c r="H12">
        <v>6</v>
      </c>
      <c r="J12">
        <f t="shared" si="0"/>
        <v>50854</v>
      </c>
      <c r="L12">
        <f t="shared" si="1"/>
        <v>22.702678571428571</v>
      </c>
    </row>
    <row r="13" spans="1:12" x14ac:dyDescent="0.25">
      <c r="A13">
        <v>1701</v>
      </c>
      <c r="B13" t="s">
        <v>2</v>
      </c>
      <c r="C13" t="s">
        <v>95</v>
      </c>
      <c r="D13" t="s">
        <v>1</v>
      </c>
      <c r="H13">
        <v>156191</v>
      </c>
      <c r="J13">
        <f t="shared" si="0"/>
        <v>156191</v>
      </c>
      <c r="L13">
        <f t="shared" si="1"/>
        <v>69.728125000000006</v>
      </c>
    </row>
    <row r="14" spans="1:12" x14ac:dyDescent="0.25">
      <c r="A14">
        <v>1701</v>
      </c>
      <c r="B14" t="s">
        <v>15</v>
      </c>
      <c r="C14" t="s">
        <v>95</v>
      </c>
      <c r="D14" t="s">
        <v>1</v>
      </c>
      <c r="H14">
        <v>44641</v>
      </c>
      <c r="I14" t="s">
        <v>43</v>
      </c>
      <c r="J14">
        <f t="shared" si="0"/>
        <v>44641</v>
      </c>
      <c r="L14">
        <f t="shared" si="1"/>
        <v>19.929017857142856</v>
      </c>
    </row>
    <row r="15" spans="1:12" x14ac:dyDescent="0.25">
      <c r="A15">
        <v>1701</v>
      </c>
      <c r="B15" t="s">
        <v>28</v>
      </c>
      <c r="C15" t="s">
        <v>95</v>
      </c>
      <c r="D15" t="s">
        <v>1</v>
      </c>
      <c r="F15">
        <v>1</v>
      </c>
      <c r="J15">
        <f t="shared" si="0"/>
        <v>112</v>
      </c>
      <c r="L15">
        <f t="shared" si="1"/>
        <v>0.05</v>
      </c>
    </row>
    <row r="16" spans="1:12" x14ac:dyDescent="0.25">
      <c r="A16">
        <v>1701</v>
      </c>
      <c r="B16" t="s">
        <v>10</v>
      </c>
      <c r="C16" t="s">
        <v>95</v>
      </c>
      <c r="D16" t="s">
        <v>1</v>
      </c>
      <c r="F16">
        <v>153</v>
      </c>
      <c r="J16">
        <f t="shared" si="0"/>
        <v>17136</v>
      </c>
      <c r="L16">
        <f t="shared" si="1"/>
        <v>7.65</v>
      </c>
    </row>
    <row r="17" spans="1:12" x14ac:dyDescent="0.25">
      <c r="A17">
        <v>1701</v>
      </c>
      <c r="B17" t="s">
        <v>39</v>
      </c>
      <c r="C17" t="s">
        <v>95</v>
      </c>
      <c r="D17" t="s">
        <v>1</v>
      </c>
      <c r="H17">
        <v>120483</v>
      </c>
      <c r="J17">
        <f t="shared" si="0"/>
        <v>120483</v>
      </c>
      <c r="L17">
        <f t="shared" si="1"/>
        <v>53.787053571428572</v>
      </c>
    </row>
    <row r="18" spans="1:12" x14ac:dyDescent="0.25">
      <c r="A18">
        <v>1701</v>
      </c>
      <c r="B18" t="s">
        <v>16</v>
      </c>
      <c r="C18" t="s">
        <v>95</v>
      </c>
      <c r="D18" t="s">
        <v>1</v>
      </c>
      <c r="H18">
        <v>6501.5</v>
      </c>
      <c r="I18" t="s">
        <v>44</v>
      </c>
      <c r="J18">
        <f t="shared" si="0"/>
        <v>6501.5</v>
      </c>
      <c r="L18">
        <f t="shared" si="1"/>
        <v>2.9024553571428573</v>
      </c>
    </row>
    <row r="19" spans="1:12" x14ac:dyDescent="0.25">
      <c r="A19">
        <v>1701</v>
      </c>
      <c r="B19" t="s">
        <v>18</v>
      </c>
      <c r="C19" t="s">
        <v>95</v>
      </c>
      <c r="D19" t="s">
        <v>1</v>
      </c>
      <c r="F19">
        <v>36</v>
      </c>
      <c r="G19">
        <v>3</v>
      </c>
      <c r="H19">
        <v>27</v>
      </c>
      <c r="J19">
        <f t="shared" si="0"/>
        <v>4143</v>
      </c>
      <c r="L19">
        <f t="shared" si="1"/>
        <v>1.8495535714285714</v>
      </c>
    </row>
    <row r="20" spans="1:12" x14ac:dyDescent="0.25">
      <c r="A20">
        <v>1701</v>
      </c>
      <c r="B20" t="s">
        <v>97</v>
      </c>
      <c r="C20" t="s">
        <v>95</v>
      </c>
      <c r="D20" t="s">
        <v>1</v>
      </c>
      <c r="H20">
        <v>128</v>
      </c>
      <c r="J20">
        <f t="shared" si="0"/>
        <v>128</v>
      </c>
      <c r="L20">
        <f t="shared" si="1"/>
        <v>5.7142857142857141E-2</v>
      </c>
    </row>
    <row r="21" spans="1:12" x14ac:dyDescent="0.25">
      <c r="A21">
        <v>1701</v>
      </c>
      <c r="B21" t="s">
        <v>14</v>
      </c>
      <c r="C21" t="s">
        <v>95</v>
      </c>
      <c r="D21" t="s">
        <v>1</v>
      </c>
      <c r="H21">
        <v>11390</v>
      </c>
      <c r="J21">
        <f t="shared" si="0"/>
        <v>11390</v>
      </c>
      <c r="L21">
        <f t="shared" si="1"/>
        <v>5.0848214285714288</v>
      </c>
    </row>
    <row r="22" spans="1:12" x14ac:dyDescent="0.25">
      <c r="A22">
        <v>1701</v>
      </c>
      <c r="B22" t="s">
        <v>17</v>
      </c>
      <c r="C22" t="s">
        <v>95</v>
      </c>
      <c r="D22" t="s">
        <v>1</v>
      </c>
      <c r="H22">
        <v>4911</v>
      </c>
      <c r="J22">
        <f t="shared" si="0"/>
        <v>4911</v>
      </c>
      <c r="L22">
        <f t="shared" si="1"/>
        <v>2.1924107142857143</v>
      </c>
    </row>
    <row r="23" spans="1:12" x14ac:dyDescent="0.25">
      <c r="A23">
        <v>1701</v>
      </c>
      <c r="B23" t="s">
        <v>12</v>
      </c>
      <c r="C23" t="s">
        <v>95</v>
      </c>
      <c r="D23" t="s">
        <v>1</v>
      </c>
      <c r="F23">
        <v>19</v>
      </c>
      <c r="G23">
        <v>0</v>
      </c>
      <c r="H23">
        <v>11</v>
      </c>
      <c r="J23">
        <f t="shared" si="0"/>
        <v>2139</v>
      </c>
      <c r="L23">
        <f t="shared" si="1"/>
        <v>0.95491071428571428</v>
      </c>
    </row>
    <row r="24" spans="1:12" x14ac:dyDescent="0.25">
      <c r="A24">
        <v>1701</v>
      </c>
      <c r="B24" t="s">
        <v>11</v>
      </c>
      <c r="C24" t="s">
        <v>95</v>
      </c>
      <c r="D24" t="s">
        <v>5</v>
      </c>
      <c r="F24">
        <v>19709</v>
      </c>
      <c r="G24">
        <v>2</v>
      </c>
      <c r="H24">
        <v>24</v>
      </c>
      <c r="J24">
        <f t="shared" si="0"/>
        <v>2207488</v>
      </c>
      <c r="L24">
        <f t="shared" si="1"/>
        <v>985.48571428571427</v>
      </c>
    </row>
    <row r="25" spans="1:12" x14ac:dyDescent="0.25">
      <c r="A25">
        <v>1701</v>
      </c>
      <c r="B25" t="s">
        <v>7</v>
      </c>
      <c r="C25" t="s">
        <v>95</v>
      </c>
      <c r="D25" t="s">
        <v>5</v>
      </c>
      <c r="H25">
        <v>66</v>
      </c>
      <c r="J25">
        <f t="shared" si="0"/>
        <v>66</v>
      </c>
      <c r="L25">
        <f t="shared" si="1"/>
        <v>2.9464285714285714E-2</v>
      </c>
    </row>
    <row r="26" spans="1:12" x14ac:dyDescent="0.25">
      <c r="A26">
        <v>1701</v>
      </c>
      <c r="B26" t="s">
        <v>76</v>
      </c>
      <c r="C26" t="s">
        <v>95</v>
      </c>
      <c r="D26" t="s">
        <v>5</v>
      </c>
      <c r="H26">
        <v>1043</v>
      </c>
      <c r="J26">
        <f t="shared" si="0"/>
        <v>1043</v>
      </c>
      <c r="L26">
        <f t="shared" si="1"/>
        <v>0.46562500000000001</v>
      </c>
    </row>
    <row r="27" spans="1:12" x14ac:dyDescent="0.25">
      <c r="A27">
        <v>1701</v>
      </c>
      <c r="B27" t="s">
        <v>3</v>
      </c>
      <c r="C27" t="s">
        <v>95</v>
      </c>
      <c r="D27" t="s">
        <v>5</v>
      </c>
      <c r="F27">
        <v>1001</v>
      </c>
      <c r="H27">
        <v>3</v>
      </c>
      <c r="J27">
        <f t="shared" si="0"/>
        <v>112115</v>
      </c>
      <c r="L27">
        <f t="shared" si="1"/>
        <v>50.051339285714285</v>
      </c>
    </row>
    <row r="28" spans="1:12" x14ac:dyDescent="0.25">
      <c r="A28">
        <v>1701</v>
      </c>
      <c r="B28" t="s">
        <v>9</v>
      </c>
      <c r="C28" t="s">
        <v>95</v>
      </c>
      <c r="D28" t="s">
        <v>5</v>
      </c>
      <c r="F28">
        <v>549</v>
      </c>
      <c r="G28">
        <v>1</v>
      </c>
      <c r="H28">
        <v>19</v>
      </c>
      <c r="J28">
        <f t="shared" si="0"/>
        <v>61535</v>
      </c>
      <c r="L28">
        <f t="shared" si="1"/>
        <v>27.470982142857142</v>
      </c>
    </row>
    <row r="29" spans="1:12" x14ac:dyDescent="0.25">
      <c r="A29">
        <v>1701</v>
      </c>
      <c r="B29" t="s">
        <v>19</v>
      </c>
      <c r="C29" t="s">
        <v>95</v>
      </c>
      <c r="D29" t="s">
        <v>5</v>
      </c>
      <c r="F29">
        <v>22</v>
      </c>
      <c r="G29">
        <v>1</v>
      </c>
      <c r="H29">
        <v>2</v>
      </c>
      <c r="J29">
        <f t="shared" si="0"/>
        <v>2494</v>
      </c>
      <c r="L29">
        <f t="shared" si="1"/>
        <v>1.1133928571428571</v>
      </c>
    </row>
    <row r="30" spans="1:12" x14ac:dyDescent="0.25">
      <c r="A30">
        <v>1701</v>
      </c>
      <c r="B30" t="s">
        <v>2</v>
      </c>
      <c r="C30" t="s">
        <v>95</v>
      </c>
      <c r="D30" t="s">
        <v>5</v>
      </c>
      <c r="H30">
        <v>20146</v>
      </c>
      <c r="J30">
        <f t="shared" si="0"/>
        <v>20146</v>
      </c>
      <c r="L30">
        <f t="shared" si="1"/>
        <v>8.9937500000000004</v>
      </c>
    </row>
    <row r="31" spans="1:12" x14ac:dyDescent="0.25">
      <c r="A31">
        <v>1701</v>
      </c>
      <c r="B31" t="s">
        <v>63</v>
      </c>
      <c r="C31" t="s">
        <v>95</v>
      </c>
      <c r="D31" t="s">
        <v>5</v>
      </c>
      <c r="H31">
        <v>100</v>
      </c>
      <c r="I31" t="s">
        <v>54</v>
      </c>
      <c r="J31">
        <f t="shared" si="0"/>
        <v>100</v>
      </c>
      <c r="L31">
        <f t="shared" si="1"/>
        <v>4.4642857142857144E-2</v>
      </c>
    </row>
    <row r="32" spans="1:12" x14ac:dyDescent="0.25">
      <c r="A32">
        <v>1701</v>
      </c>
      <c r="B32" t="s">
        <v>15</v>
      </c>
      <c r="C32" t="s">
        <v>95</v>
      </c>
      <c r="D32" t="s">
        <v>5</v>
      </c>
      <c r="H32">
        <v>8272</v>
      </c>
      <c r="I32" t="s">
        <v>64</v>
      </c>
      <c r="J32">
        <f t="shared" si="0"/>
        <v>8272</v>
      </c>
      <c r="L32">
        <f t="shared" si="1"/>
        <v>3.6928571428571431</v>
      </c>
    </row>
    <row r="33" spans="1:12" x14ac:dyDescent="0.25">
      <c r="A33">
        <v>1701</v>
      </c>
      <c r="B33" t="s">
        <v>10</v>
      </c>
      <c r="C33" t="s">
        <v>95</v>
      </c>
      <c r="D33" t="s">
        <v>5</v>
      </c>
      <c r="F33">
        <v>10</v>
      </c>
      <c r="J33">
        <f t="shared" si="0"/>
        <v>1120</v>
      </c>
      <c r="L33">
        <f t="shared" si="1"/>
        <v>0.5</v>
      </c>
    </row>
    <row r="34" spans="1:12" x14ac:dyDescent="0.25">
      <c r="A34">
        <v>1701</v>
      </c>
      <c r="B34" t="s">
        <v>39</v>
      </c>
      <c r="C34" t="s">
        <v>95</v>
      </c>
      <c r="D34" t="s">
        <v>5</v>
      </c>
      <c r="H34">
        <v>26556</v>
      </c>
      <c r="J34">
        <f t="shared" si="0"/>
        <v>26556</v>
      </c>
      <c r="L34">
        <f t="shared" si="1"/>
        <v>11.855357142857143</v>
      </c>
    </row>
    <row r="35" spans="1:12" x14ac:dyDescent="0.25">
      <c r="A35">
        <v>1701</v>
      </c>
      <c r="B35" t="s">
        <v>57</v>
      </c>
      <c r="C35" t="s">
        <v>95</v>
      </c>
      <c r="D35" t="s">
        <v>5</v>
      </c>
      <c r="H35">
        <v>7</v>
      </c>
      <c r="J35">
        <f t="shared" si="0"/>
        <v>7</v>
      </c>
      <c r="L35">
        <f t="shared" si="1"/>
        <v>3.1250000000000002E-3</v>
      </c>
    </row>
    <row r="36" spans="1:12" x14ac:dyDescent="0.25">
      <c r="A36">
        <v>1701</v>
      </c>
      <c r="B36" t="s">
        <v>16</v>
      </c>
      <c r="C36" t="s">
        <v>95</v>
      </c>
      <c r="D36" t="s">
        <v>5</v>
      </c>
      <c r="H36">
        <v>1370</v>
      </c>
      <c r="I36" t="s">
        <v>65</v>
      </c>
      <c r="J36">
        <f t="shared" si="0"/>
        <v>1370</v>
      </c>
      <c r="L36">
        <f t="shared" si="1"/>
        <v>0.6116071428571429</v>
      </c>
    </row>
    <row r="37" spans="1:12" x14ac:dyDescent="0.25">
      <c r="A37">
        <v>1701</v>
      </c>
      <c r="B37" t="s">
        <v>18</v>
      </c>
      <c r="C37" t="s">
        <v>95</v>
      </c>
      <c r="D37" t="s">
        <v>5</v>
      </c>
      <c r="F37">
        <v>10</v>
      </c>
      <c r="H37">
        <v>27</v>
      </c>
      <c r="J37">
        <f t="shared" si="0"/>
        <v>1147</v>
      </c>
      <c r="L37">
        <f t="shared" si="1"/>
        <v>0.51205357142857144</v>
      </c>
    </row>
    <row r="38" spans="1:12" x14ac:dyDescent="0.25">
      <c r="A38">
        <v>1701</v>
      </c>
      <c r="B38" t="s">
        <v>97</v>
      </c>
      <c r="C38" t="s">
        <v>95</v>
      </c>
      <c r="D38" t="s">
        <v>5</v>
      </c>
      <c r="H38">
        <v>36</v>
      </c>
      <c r="J38">
        <f t="shared" si="0"/>
        <v>36</v>
      </c>
      <c r="L38">
        <f t="shared" si="1"/>
        <v>1.607142857142857E-2</v>
      </c>
    </row>
    <row r="39" spans="1:12" x14ac:dyDescent="0.25">
      <c r="A39">
        <v>1701</v>
      </c>
      <c r="B39" t="s">
        <v>14</v>
      </c>
      <c r="C39" t="s">
        <v>95</v>
      </c>
      <c r="D39" t="s">
        <v>5</v>
      </c>
      <c r="H39">
        <v>43462</v>
      </c>
      <c r="J39">
        <f t="shared" si="0"/>
        <v>43462</v>
      </c>
      <c r="L39">
        <f t="shared" si="1"/>
        <v>19.40267857142857</v>
      </c>
    </row>
    <row r="40" spans="1:12" x14ac:dyDescent="0.25">
      <c r="A40">
        <v>1701</v>
      </c>
      <c r="B40" t="s">
        <v>17</v>
      </c>
      <c r="C40" t="s">
        <v>95</v>
      </c>
      <c r="D40" t="s">
        <v>5</v>
      </c>
      <c r="H40">
        <v>119.5</v>
      </c>
      <c r="J40">
        <f t="shared" si="0"/>
        <v>119.5</v>
      </c>
      <c r="L40">
        <f t="shared" si="1"/>
        <v>5.3348214285714284E-2</v>
      </c>
    </row>
    <row r="41" spans="1:12" x14ac:dyDescent="0.25">
      <c r="A41">
        <v>1701</v>
      </c>
      <c r="B41" t="s">
        <v>12</v>
      </c>
      <c r="C41" t="s">
        <v>95</v>
      </c>
      <c r="D41" t="s">
        <v>5</v>
      </c>
      <c r="F41">
        <v>2</v>
      </c>
      <c r="H41">
        <v>16</v>
      </c>
      <c r="J41">
        <f t="shared" si="0"/>
        <v>240</v>
      </c>
      <c r="L41">
        <f t="shared" si="1"/>
        <v>0.10714285714285714</v>
      </c>
    </row>
  </sheetData>
  <autoFilter ref="A1:L41" xr:uid="{8C2F7725-5A61-4A1B-A740-CC887BCB0E68}">
    <sortState xmlns:xlrd2="http://schemas.microsoft.com/office/spreadsheetml/2017/richdata2" ref="A2:L41">
      <sortCondition ref="D1:D4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19"/>
  <sheetViews>
    <sheetView workbookViewId="0">
      <selection activeCell="H5" sqref="H5"/>
    </sheetView>
  </sheetViews>
  <sheetFormatPr defaultRowHeight="15" x14ac:dyDescent="0.25"/>
  <cols>
    <col min="2" max="3" width="15.4257812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11</v>
      </c>
      <c r="C2" t="s">
        <v>96</v>
      </c>
      <c r="D2" t="s">
        <v>1</v>
      </c>
      <c r="F2">
        <v>19363</v>
      </c>
      <c r="G2">
        <v>3</v>
      </c>
      <c r="H2">
        <v>14</v>
      </c>
      <c r="J2">
        <f t="shared" ref="J2:J19" si="0">(E2*2240)+(F2*112)+(G2*28)+H2</f>
        <v>2168754</v>
      </c>
      <c r="L2">
        <f t="shared" ref="L2:L19" si="1">J2/2240</f>
        <v>968.19375000000002</v>
      </c>
    </row>
    <row r="3" spans="1:12" x14ac:dyDescent="0.25">
      <c r="A3">
        <v>1701</v>
      </c>
      <c r="B3" t="s">
        <v>76</v>
      </c>
      <c r="C3" t="s">
        <v>96</v>
      </c>
      <c r="D3" t="s">
        <v>1</v>
      </c>
      <c r="F3">
        <v>4</v>
      </c>
      <c r="G3">
        <v>1</v>
      </c>
      <c r="H3">
        <v>14</v>
      </c>
      <c r="J3">
        <f t="shared" si="0"/>
        <v>490</v>
      </c>
      <c r="L3">
        <f t="shared" si="1"/>
        <v>0.21875</v>
      </c>
    </row>
    <row r="4" spans="1:12" x14ac:dyDescent="0.25">
      <c r="A4">
        <v>1701</v>
      </c>
      <c r="B4" t="s">
        <v>3</v>
      </c>
      <c r="C4" t="s">
        <v>96</v>
      </c>
      <c r="D4" t="s">
        <v>1</v>
      </c>
      <c r="H4">
        <f>36*200</f>
        <v>7200</v>
      </c>
      <c r="I4" t="s">
        <v>46</v>
      </c>
      <c r="J4">
        <f t="shared" si="0"/>
        <v>7200</v>
      </c>
      <c r="L4">
        <f t="shared" si="1"/>
        <v>3.2142857142857144</v>
      </c>
    </row>
    <row r="5" spans="1:12" x14ac:dyDescent="0.25">
      <c r="A5">
        <v>1701</v>
      </c>
      <c r="B5" t="s">
        <v>9</v>
      </c>
      <c r="C5" t="s">
        <v>96</v>
      </c>
      <c r="D5" t="s">
        <v>1</v>
      </c>
      <c r="F5">
        <v>2</v>
      </c>
      <c r="G5">
        <v>1</v>
      </c>
      <c r="J5">
        <f t="shared" si="0"/>
        <v>252</v>
      </c>
      <c r="L5">
        <f t="shared" si="1"/>
        <v>0.1125</v>
      </c>
    </row>
    <row r="6" spans="1:12" x14ac:dyDescent="0.25">
      <c r="A6">
        <v>1701</v>
      </c>
      <c r="B6" t="s">
        <v>4</v>
      </c>
      <c r="C6" t="s">
        <v>96</v>
      </c>
      <c r="D6" t="s">
        <v>1</v>
      </c>
      <c r="F6">
        <v>4</v>
      </c>
      <c r="G6">
        <v>1</v>
      </c>
      <c r="J6">
        <f t="shared" si="0"/>
        <v>476</v>
      </c>
      <c r="L6">
        <f t="shared" si="1"/>
        <v>0.21249999999999999</v>
      </c>
    </row>
    <row r="7" spans="1:12" x14ac:dyDescent="0.25">
      <c r="A7">
        <v>1701</v>
      </c>
      <c r="B7" t="s">
        <v>2</v>
      </c>
      <c r="C7" t="s">
        <v>96</v>
      </c>
      <c r="D7" t="s">
        <v>1</v>
      </c>
      <c r="H7">
        <v>7467</v>
      </c>
      <c r="J7">
        <f t="shared" si="0"/>
        <v>7467</v>
      </c>
      <c r="L7">
        <f t="shared" si="1"/>
        <v>3.3334821428571431</v>
      </c>
    </row>
    <row r="8" spans="1:12" x14ac:dyDescent="0.25">
      <c r="A8">
        <v>1701</v>
      </c>
      <c r="B8" t="s">
        <v>15</v>
      </c>
      <c r="C8" t="s">
        <v>96</v>
      </c>
      <c r="D8" t="s">
        <v>1</v>
      </c>
      <c r="H8">
        <v>2440</v>
      </c>
      <c r="I8" t="s">
        <v>47</v>
      </c>
      <c r="J8">
        <f t="shared" si="0"/>
        <v>2440</v>
      </c>
      <c r="L8">
        <f t="shared" si="1"/>
        <v>1.0892857142857142</v>
      </c>
    </row>
    <row r="9" spans="1:12" x14ac:dyDescent="0.25">
      <c r="A9">
        <v>1701</v>
      </c>
      <c r="B9" t="s">
        <v>10</v>
      </c>
      <c r="C9" t="s">
        <v>96</v>
      </c>
      <c r="D9" t="s">
        <v>1</v>
      </c>
      <c r="F9">
        <v>5</v>
      </c>
      <c r="J9">
        <f t="shared" si="0"/>
        <v>560</v>
      </c>
      <c r="L9">
        <f t="shared" si="1"/>
        <v>0.25</v>
      </c>
    </row>
    <row r="10" spans="1:12" x14ac:dyDescent="0.25">
      <c r="A10">
        <v>1701</v>
      </c>
      <c r="B10" t="s">
        <v>13</v>
      </c>
      <c r="C10" t="s">
        <v>96</v>
      </c>
      <c r="D10" t="s">
        <v>1</v>
      </c>
      <c r="H10">
        <v>2</v>
      </c>
      <c r="J10">
        <f t="shared" si="0"/>
        <v>2</v>
      </c>
      <c r="L10">
        <f t="shared" si="1"/>
        <v>8.9285714285714283E-4</v>
      </c>
    </row>
    <row r="11" spans="1:12" x14ac:dyDescent="0.25">
      <c r="A11">
        <v>1701</v>
      </c>
      <c r="B11" t="s">
        <v>39</v>
      </c>
      <c r="C11" t="s">
        <v>96</v>
      </c>
      <c r="D11" t="s">
        <v>1</v>
      </c>
      <c r="H11">
        <v>593</v>
      </c>
      <c r="J11">
        <f t="shared" si="0"/>
        <v>593</v>
      </c>
      <c r="L11">
        <f t="shared" si="1"/>
        <v>0.26473214285714286</v>
      </c>
    </row>
    <row r="12" spans="1:12" x14ac:dyDescent="0.25">
      <c r="A12">
        <v>1701</v>
      </c>
      <c r="B12" t="s">
        <v>18</v>
      </c>
      <c r="C12" t="s">
        <v>96</v>
      </c>
      <c r="D12" t="s">
        <v>1</v>
      </c>
      <c r="F12">
        <v>10</v>
      </c>
      <c r="G12">
        <v>3</v>
      </c>
      <c r="J12">
        <f t="shared" si="0"/>
        <v>1204</v>
      </c>
      <c r="L12">
        <f t="shared" si="1"/>
        <v>0.53749999999999998</v>
      </c>
    </row>
    <row r="13" spans="1:12" x14ac:dyDescent="0.25">
      <c r="A13">
        <v>1701</v>
      </c>
      <c r="B13" t="s">
        <v>97</v>
      </c>
      <c r="C13" t="s">
        <v>96</v>
      </c>
      <c r="D13" t="s">
        <v>1</v>
      </c>
      <c r="H13">
        <v>40</v>
      </c>
      <c r="J13">
        <f t="shared" si="0"/>
        <v>40</v>
      </c>
      <c r="L13">
        <f t="shared" si="1"/>
        <v>1.7857142857142856E-2</v>
      </c>
    </row>
    <row r="14" spans="1:12" x14ac:dyDescent="0.25">
      <c r="A14">
        <v>1701</v>
      </c>
      <c r="B14" t="s">
        <v>11</v>
      </c>
      <c r="C14" t="s">
        <v>96</v>
      </c>
      <c r="D14" t="s">
        <v>5</v>
      </c>
      <c r="F14">
        <v>2132</v>
      </c>
      <c r="H14">
        <v>11</v>
      </c>
      <c r="J14">
        <f t="shared" si="0"/>
        <v>238795</v>
      </c>
      <c r="L14">
        <f t="shared" si="1"/>
        <v>106.60491071428571</v>
      </c>
    </row>
    <row r="15" spans="1:12" x14ac:dyDescent="0.25">
      <c r="A15">
        <v>1701</v>
      </c>
      <c r="B15" t="s">
        <v>3</v>
      </c>
      <c r="C15" t="s">
        <v>96</v>
      </c>
      <c r="D15" t="s">
        <v>5</v>
      </c>
      <c r="F15">
        <v>2</v>
      </c>
      <c r="G15">
        <v>2</v>
      </c>
      <c r="J15">
        <f t="shared" si="0"/>
        <v>280</v>
      </c>
      <c r="L15">
        <f t="shared" si="1"/>
        <v>0.125</v>
      </c>
    </row>
    <row r="16" spans="1:12" x14ac:dyDescent="0.25">
      <c r="A16">
        <v>1701</v>
      </c>
      <c r="B16" t="s">
        <v>2</v>
      </c>
      <c r="C16" t="s">
        <v>96</v>
      </c>
      <c r="D16" t="s">
        <v>5</v>
      </c>
      <c r="H16">
        <v>187</v>
      </c>
      <c r="J16">
        <f t="shared" si="0"/>
        <v>187</v>
      </c>
      <c r="L16">
        <f t="shared" si="1"/>
        <v>8.3482142857142852E-2</v>
      </c>
    </row>
    <row r="17" spans="1:12" x14ac:dyDescent="0.25">
      <c r="A17">
        <v>1701</v>
      </c>
      <c r="B17" t="s">
        <v>15</v>
      </c>
      <c r="C17" t="s">
        <v>96</v>
      </c>
      <c r="D17" t="s">
        <v>5</v>
      </c>
      <c r="H17">
        <v>630</v>
      </c>
      <c r="I17" t="s">
        <v>67</v>
      </c>
      <c r="J17">
        <f t="shared" si="0"/>
        <v>630</v>
      </c>
      <c r="L17">
        <f t="shared" si="1"/>
        <v>0.28125</v>
      </c>
    </row>
    <row r="18" spans="1:12" x14ac:dyDescent="0.25">
      <c r="A18">
        <v>1701</v>
      </c>
      <c r="B18" t="s">
        <v>18</v>
      </c>
      <c r="C18" t="s">
        <v>96</v>
      </c>
      <c r="D18" t="s">
        <v>5</v>
      </c>
      <c r="F18">
        <v>2</v>
      </c>
      <c r="J18">
        <f t="shared" si="0"/>
        <v>224</v>
      </c>
      <c r="L18">
        <f t="shared" si="1"/>
        <v>0.1</v>
      </c>
    </row>
    <row r="19" spans="1:12" x14ac:dyDescent="0.25">
      <c r="A19">
        <v>1701</v>
      </c>
      <c r="B19" t="s">
        <v>97</v>
      </c>
      <c r="C19" t="s">
        <v>96</v>
      </c>
      <c r="D19" t="s">
        <v>5</v>
      </c>
      <c r="H19">
        <v>18</v>
      </c>
      <c r="J19">
        <f t="shared" si="0"/>
        <v>18</v>
      </c>
      <c r="L19">
        <f t="shared" si="1"/>
        <v>8.0357142857142849E-3</v>
      </c>
    </row>
  </sheetData>
  <autoFilter ref="A1:L19" xr:uid="{782A6339-1E58-4188-80A6-B4580F70757D}">
    <sortState xmlns:xlrd2="http://schemas.microsoft.com/office/spreadsheetml/2017/richdata2" ref="A2:L19">
      <sortCondition ref="D1:D1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L26"/>
  <sheetViews>
    <sheetView workbookViewId="0">
      <selection activeCell="H6" sqref="H6"/>
    </sheetView>
  </sheetViews>
  <sheetFormatPr defaultRowHeight="15" x14ac:dyDescent="0.25"/>
  <cols>
    <col min="2" max="3" width="15.8554687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11</v>
      </c>
      <c r="C2" t="s">
        <v>98</v>
      </c>
      <c r="D2" t="s">
        <v>1</v>
      </c>
      <c r="F2">
        <v>47903</v>
      </c>
      <c r="G2">
        <v>1</v>
      </c>
      <c r="H2">
        <v>4</v>
      </c>
      <c r="J2">
        <f t="shared" ref="J2:J26" si="0">(E2*2240)+(F2*112)+(G2*28)+(H2)</f>
        <v>5365168</v>
      </c>
      <c r="L2">
        <f t="shared" ref="L2:L26" si="1">J2/2240</f>
        <v>2395.1642857142856</v>
      </c>
    </row>
    <row r="3" spans="1:12" x14ac:dyDescent="0.25">
      <c r="A3">
        <v>1701</v>
      </c>
      <c r="B3" t="s">
        <v>7</v>
      </c>
      <c r="C3" t="s">
        <v>98</v>
      </c>
      <c r="D3" t="s">
        <v>1</v>
      </c>
      <c r="H3">
        <v>25</v>
      </c>
      <c r="J3">
        <f t="shared" si="0"/>
        <v>25</v>
      </c>
      <c r="L3">
        <f t="shared" si="1"/>
        <v>1.1160714285714286E-2</v>
      </c>
    </row>
    <row r="4" spans="1:12" x14ac:dyDescent="0.25">
      <c r="A4">
        <v>1701</v>
      </c>
      <c r="B4" t="s">
        <v>76</v>
      </c>
      <c r="C4" t="s">
        <v>98</v>
      </c>
      <c r="D4" t="s">
        <v>1</v>
      </c>
      <c r="F4">
        <v>26</v>
      </c>
      <c r="J4">
        <f t="shared" si="0"/>
        <v>2912</v>
      </c>
      <c r="L4">
        <f t="shared" si="1"/>
        <v>1.3</v>
      </c>
    </row>
    <row r="5" spans="1:12" x14ac:dyDescent="0.25">
      <c r="A5">
        <v>1701</v>
      </c>
      <c r="B5" t="s">
        <v>3</v>
      </c>
      <c r="C5" t="s">
        <v>98</v>
      </c>
      <c r="D5" t="s">
        <v>1</v>
      </c>
      <c r="H5">
        <f>69.5*200</f>
        <v>13900</v>
      </c>
      <c r="I5" t="s">
        <v>48</v>
      </c>
      <c r="J5">
        <f t="shared" si="0"/>
        <v>13900</v>
      </c>
      <c r="L5">
        <f t="shared" si="1"/>
        <v>6.2053571428571432</v>
      </c>
    </row>
    <row r="6" spans="1:12" x14ac:dyDescent="0.25">
      <c r="A6">
        <v>1701</v>
      </c>
      <c r="B6" t="s">
        <v>19</v>
      </c>
      <c r="C6" t="s">
        <v>98</v>
      </c>
      <c r="D6" t="s">
        <v>1</v>
      </c>
      <c r="F6">
        <v>45</v>
      </c>
      <c r="H6">
        <v>22</v>
      </c>
      <c r="J6">
        <f t="shared" si="0"/>
        <v>5062</v>
      </c>
      <c r="L6">
        <f t="shared" si="1"/>
        <v>2.2598214285714286</v>
      </c>
    </row>
    <row r="7" spans="1:12" x14ac:dyDescent="0.25">
      <c r="A7">
        <v>1701</v>
      </c>
      <c r="B7" t="s">
        <v>2</v>
      </c>
      <c r="C7" t="s">
        <v>98</v>
      </c>
      <c r="D7" t="s">
        <v>1</v>
      </c>
      <c r="H7">
        <v>721</v>
      </c>
      <c r="J7">
        <f t="shared" si="0"/>
        <v>721</v>
      </c>
      <c r="L7">
        <f t="shared" si="1"/>
        <v>0.32187500000000002</v>
      </c>
    </row>
    <row r="8" spans="1:12" x14ac:dyDescent="0.25">
      <c r="A8">
        <v>1701</v>
      </c>
      <c r="B8" t="s">
        <v>15</v>
      </c>
      <c r="C8" t="s">
        <v>98</v>
      </c>
      <c r="D8" t="s">
        <v>1</v>
      </c>
      <c r="H8">
        <v>5871.5</v>
      </c>
      <c r="I8" t="s">
        <v>49</v>
      </c>
      <c r="J8">
        <f t="shared" si="0"/>
        <v>5871.5</v>
      </c>
      <c r="L8">
        <f t="shared" si="1"/>
        <v>2.6212053571428573</v>
      </c>
    </row>
    <row r="9" spans="1:12" x14ac:dyDescent="0.25">
      <c r="A9">
        <v>1701</v>
      </c>
      <c r="B9" t="s">
        <v>10</v>
      </c>
      <c r="C9" t="s">
        <v>98</v>
      </c>
      <c r="D9" t="s">
        <v>1</v>
      </c>
      <c r="F9">
        <v>222</v>
      </c>
      <c r="G9">
        <v>1</v>
      </c>
      <c r="J9">
        <f t="shared" si="0"/>
        <v>24892</v>
      </c>
      <c r="L9">
        <f t="shared" si="1"/>
        <v>11.112500000000001</v>
      </c>
    </row>
    <row r="10" spans="1:12" x14ac:dyDescent="0.25">
      <c r="A10">
        <v>1701</v>
      </c>
      <c r="B10" t="s">
        <v>25</v>
      </c>
      <c r="C10" t="s">
        <v>98</v>
      </c>
      <c r="D10" t="s">
        <v>1</v>
      </c>
      <c r="F10">
        <v>5</v>
      </c>
      <c r="G10">
        <v>1</v>
      </c>
      <c r="H10">
        <v>20</v>
      </c>
      <c r="J10">
        <f t="shared" si="0"/>
        <v>608</v>
      </c>
      <c r="L10">
        <f t="shared" si="1"/>
        <v>0.27142857142857141</v>
      </c>
    </row>
    <row r="11" spans="1:12" x14ac:dyDescent="0.25">
      <c r="A11">
        <v>1701</v>
      </c>
      <c r="B11" t="s">
        <v>16</v>
      </c>
      <c r="C11" t="s">
        <v>98</v>
      </c>
      <c r="D11" t="s">
        <v>1</v>
      </c>
      <c r="H11">
        <v>630</v>
      </c>
      <c r="I11" t="s">
        <v>50</v>
      </c>
      <c r="J11">
        <f t="shared" si="0"/>
        <v>630</v>
      </c>
      <c r="L11">
        <f t="shared" si="1"/>
        <v>0.28125</v>
      </c>
    </row>
    <row r="12" spans="1:12" x14ac:dyDescent="0.25">
      <c r="A12">
        <v>1701</v>
      </c>
      <c r="B12" t="s">
        <v>18</v>
      </c>
      <c r="C12" t="s">
        <v>98</v>
      </c>
      <c r="D12" t="s">
        <v>1</v>
      </c>
      <c r="F12">
        <v>13</v>
      </c>
      <c r="H12">
        <v>21</v>
      </c>
      <c r="J12">
        <f t="shared" si="0"/>
        <v>1477</v>
      </c>
      <c r="L12">
        <f t="shared" si="1"/>
        <v>0.65937500000000004</v>
      </c>
    </row>
    <row r="13" spans="1:12" x14ac:dyDescent="0.25">
      <c r="A13">
        <v>1701</v>
      </c>
      <c r="B13" t="s">
        <v>51</v>
      </c>
      <c r="C13" t="s">
        <v>98</v>
      </c>
      <c r="D13" t="s">
        <v>1</v>
      </c>
      <c r="H13">
        <v>130</v>
      </c>
      <c r="J13">
        <f t="shared" si="0"/>
        <v>130</v>
      </c>
      <c r="L13">
        <f t="shared" si="1"/>
        <v>5.8035714285714288E-2</v>
      </c>
    </row>
    <row r="14" spans="1:12" x14ac:dyDescent="0.25">
      <c r="A14">
        <v>1701</v>
      </c>
      <c r="B14" t="s">
        <v>97</v>
      </c>
      <c r="C14" t="s">
        <v>98</v>
      </c>
      <c r="D14" t="s">
        <v>1</v>
      </c>
      <c r="H14">
        <v>177</v>
      </c>
      <c r="J14">
        <f t="shared" si="0"/>
        <v>177</v>
      </c>
      <c r="L14">
        <f t="shared" si="1"/>
        <v>7.901785714285714E-2</v>
      </c>
    </row>
    <row r="15" spans="1:12" x14ac:dyDescent="0.25">
      <c r="A15">
        <v>1701</v>
      </c>
      <c r="B15" t="s">
        <v>17</v>
      </c>
      <c r="C15" t="s">
        <v>98</v>
      </c>
      <c r="D15" t="s">
        <v>1</v>
      </c>
      <c r="H15">
        <v>79</v>
      </c>
      <c r="J15">
        <f t="shared" si="0"/>
        <v>79</v>
      </c>
      <c r="L15">
        <f t="shared" si="1"/>
        <v>3.5267857142857142E-2</v>
      </c>
    </row>
    <row r="16" spans="1:12" x14ac:dyDescent="0.25">
      <c r="A16">
        <v>1701</v>
      </c>
      <c r="B16" t="s">
        <v>12</v>
      </c>
      <c r="C16" t="s">
        <v>98</v>
      </c>
      <c r="D16" t="s">
        <v>1</v>
      </c>
      <c r="F16">
        <v>3</v>
      </c>
      <c r="G16">
        <v>2</v>
      </c>
      <c r="J16">
        <f t="shared" si="0"/>
        <v>392</v>
      </c>
      <c r="L16">
        <f t="shared" si="1"/>
        <v>0.17499999999999999</v>
      </c>
    </row>
    <row r="17" spans="1:12" x14ac:dyDescent="0.25">
      <c r="A17">
        <v>1701</v>
      </c>
      <c r="B17" t="s">
        <v>11</v>
      </c>
      <c r="C17" t="s">
        <v>98</v>
      </c>
      <c r="D17" t="s">
        <v>5</v>
      </c>
      <c r="F17">
        <v>11900</v>
      </c>
      <c r="G17">
        <v>1</v>
      </c>
      <c r="H17">
        <v>10</v>
      </c>
      <c r="J17">
        <f t="shared" si="0"/>
        <v>1332838</v>
      </c>
      <c r="L17">
        <f t="shared" si="1"/>
        <v>595.01696428571427</v>
      </c>
    </row>
    <row r="18" spans="1:12" x14ac:dyDescent="0.25">
      <c r="A18">
        <v>1701</v>
      </c>
      <c r="B18" t="s">
        <v>3</v>
      </c>
      <c r="C18" t="s">
        <v>98</v>
      </c>
      <c r="D18" t="s">
        <v>5</v>
      </c>
      <c r="F18">
        <v>112</v>
      </c>
      <c r="G18">
        <v>1</v>
      </c>
      <c r="H18">
        <v>12</v>
      </c>
      <c r="J18">
        <f t="shared" si="0"/>
        <v>12584</v>
      </c>
      <c r="L18">
        <f t="shared" si="1"/>
        <v>5.6178571428571429</v>
      </c>
    </row>
    <row r="19" spans="1:12" x14ac:dyDescent="0.25">
      <c r="A19">
        <v>1701</v>
      </c>
      <c r="B19" t="s">
        <v>2</v>
      </c>
      <c r="C19" t="s">
        <v>98</v>
      </c>
      <c r="D19" t="s">
        <v>5</v>
      </c>
      <c r="H19">
        <v>413</v>
      </c>
      <c r="J19">
        <f t="shared" si="0"/>
        <v>413</v>
      </c>
      <c r="L19">
        <f t="shared" si="1"/>
        <v>0.18437500000000001</v>
      </c>
    </row>
    <row r="20" spans="1:12" x14ac:dyDescent="0.25">
      <c r="A20">
        <v>1701</v>
      </c>
      <c r="B20" t="s">
        <v>15</v>
      </c>
      <c r="C20" t="s">
        <v>98</v>
      </c>
      <c r="D20" t="s">
        <v>5</v>
      </c>
      <c r="H20">
        <v>400</v>
      </c>
      <c r="I20" t="s">
        <v>68</v>
      </c>
      <c r="J20">
        <f t="shared" si="0"/>
        <v>400</v>
      </c>
      <c r="L20">
        <f t="shared" si="1"/>
        <v>0.17857142857142858</v>
      </c>
    </row>
    <row r="21" spans="1:12" x14ac:dyDescent="0.25">
      <c r="A21">
        <v>1701</v>
      </c>
      <c r="B21" t="s">
        <v>27</v>
      </c>
      <c r="C21" t="s">
        <v>98</v>
      </c>
      <c r="D21" t="s">
        <v>5</v>
      </c>
      <c r="H21">
        <v>140</v>
      </c>
      <c r="I21" t="s">
        <v>69</v>
      </c>
      <c r="J21">
        <f t="shared" si="0"/>
        <v>140</v>
      </c>
      <c r="L21">
        <f t="shared" si="1"/>
        <v>6.25E-2</v>
      </c>
    </row>
    <row r="22" spans="1:12" x14ac:dyDescent="0.25">
      <c r="A22">
        <v>1701</v>
      </c>
      <c r="B22" t="s">
        <v>10</v>
      </c>
      <c r="C22" t="s">
        <v>98</v>
      </c>
      <c r="D22" t="s">
        <v>5</v>
      </c>
      <c r="F22">
        <v>22</v>
      </c>
      <c r="G22">
        <v>3</v>
      </c>
      <c r="J22">
        <f t="shared" si="0"/>
        <v>2548</v>
      </c>
      <c r="L22">
        <f t="shared" si="1"/>
        <v>1.1375</v>
      </c>
    </row>
    <row r="23" spans="1:12" x14ac:dyDescent="0.25">
      <c r="A23">
        <v>1701</v>
      </c>
      <c r="B23" t="s">
        <v>16</v>
      </c>
      <c r="C23" t="s">
        <v>98</v>
      </c>
      <c r="D23" t="s">
        <v>5</v>
      </c>
      <c r="H23">
        <v>200</v>
      </c>
      <c r="I23" t="s">
        <v>70</v>
      </c>
      <c r="J23">
        <f t="shared" si="0"/>
        <v>200</v>
      </c>
      <c r="L23">
        <f t="shared" si="1"/>
        <v>8.9285714285714288E-2</v>
      </c>
    </row>
    <row r="24" spans="1:12" x14ac:dyDescent="0.25">
      <c r="A24">
        <v>1701</v>
      </c>
      <c r="B24" t="s">
        <v>18</v>
      </c>
      <c r="C24" t="s">
        <v>98</v>
      </c>
      <c r="D24" t="s">
        <v>5</v>
      </c>
      <c r="F24">
        <v>25</v>
      </c>
      <c r="G24">
        <v>3</v>
      </c>
      <c r="H24">
        <v>4</v>
      </c>
      <c r="J24">
        <f t="shared" si="0"/>
        <v>2888</v>
      </c>
      <c r="L24">
        <f t="shared" si="1"/>
        <v>1.2892857142857144</v>
      </c>
    </row>
    <row r="25" spans="1:12" x14ac:dyDescent="0.25">
      <c r="A25">
        <v>1701</v>
      </c>
      <c r="B25" t="s">
        <v>97</v>
      </c>
      <c r="C25" t="s">
        <v>98</v>
      </c>
      <c r="D25" t="s">
        <v>5</v>
      </c>
      <c r="H25">
        <v>57</v>
      </c>
      <c r="J25">
        <f t="shared" si="0"/>
        <v>57</v>
      </c>
      <c r="L25">
        <f t="shared" si="1"/>
        <v>2.5446428571428571E-2</v>
      </c>
    </row>
    <row r="26" spans="1:12" x14ac:dyDescent="0.25">
      <c r="A26">
        <v>1701</v>
      </c>
      <c r="B26" t="s">
        <v>17</v>
      </c>
      <c r="C26" t="s">
        <v>98</v>
      </c>
      <c r="D26" t="s">
        <v>5</v>
      </c>
      <c r="H26">
        <v>81</v>
      </c>
      <c r="J26">
        <f t="shared" si="0"/>
        <v>81</v>
      </c>
      <c r="L26">
        <f t="shared" si="1"/>
        <v>3.6160714285714289E-2</v>
      </c>
    </row>
  </sheetData>
  <autoFilter ref="A1:L26" xr:uid="{DF3C4C2D-B143-49EB-AE6F-B3BFFAC00D68}">
    <sortState xmlns:xlrd2="http://schemas.microsoft.com/office/spreadsheetml/2017/richdata2" ref="A2:L26">
      <sortCondition ref="D1:D2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L7"/>
  <sheetViews>
    <sheetView workbookViewId="0">
      <selection activeCell="H5" sqref="H5"/>
    </sheetView>
  </sheetViews>
  <sheetFormatPr defaultRowHeight="15" x14ac:dyDescent="0.25"/>
  <cols>
    <col min="2" max="3" width="17.8554687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11</v>
      </c>
      <c r="C2" t="s">
        <v>99</v>
      </c>
      <c r="D2" t="s">
        <v>1</v>
      </c>
      <c r="F2">
        <v>14190</v>
      </c>
      <c r="H2">
        <v>10</v>
      </c>
      <c r="J2">
        <f t="shared" ref="J2:J7" si="0">(E2*2240)+(F2*112)+(G2*28)+(H2)</f>
        <v>1589290</v>
      </c>
      <c r="L2">
        <f t="shared" ref="L2:L7" si="1">J2/2240</f>
        <v>709.50446428571433</v>
      </c>
    </row>
    <row r="3" spans="1:12" x14ac:dyDescent="0.25">
      <c r="A3">
        <v>1701</v>
      </c>
      <c r="B3" t="s">
        <v>76</v>
      </c>
      <c r="C3" t="s">
        <v>99</v>
      </c>
      <c r="D3" t="s">
        <v>1</v>
      </c>
      <c r="F3">
        <v>8</v>
      </c>
      <c r="G3">
        <v>2</v>
      </c>
      <c r="H3">
        <v>14</v>
      </c>
      <c r="J3">
        <f t="shared" si="0"/>
        <v>966</v>
      </c>
      <c r="L3">
        <f t="shared" si="1"/>
        <v>0.43125000000000002</v>
      </c>
    </row>
    <row r="4" spans="1:12" x14ac:dyDescent="0.25">
      <c r="A4">
        <v>1701</v>
      </c>
      <c r="B4" t="s">
        <v>3</v>
      </c>
      <c r="C4" t="s">
        <v>99</v>
      </c>
      <c r="D4" t="s">
        <v>1</v>
      </c>
      <c r="H4">
        <f>3*200</f>
        <v>600</v>
      </c>
      <c r="I4" t="s">
        <v>52</v>
      </c>
      <c r="J4">
        <f t="shared" si="0"/>
        <v>600</v>
      </c>
      <c r="L4">
        <f t="shared" si="1"/>
        <v>0.26785714285714285</v>
      </c>
    </row>
    <row r="5" spans="1:12" x14ac:dyDescent="0.25">
      <c r="A5">
        <v>1701</v>
      </c>
      <c r="B5" t="s">
        <v>19</v>
      </c>
      <c r="C5" t="s">
        <v>99</v>
      </c>
      <c r="D5" t="s">
        <v>1</v>
      </c>
      <c r="F5">
        <v>9</v>
      </c>
      <c r="H5">
        <v>1</v>
      </c>
      <c r="J5">
        <f t="shared" si="0"/>
        <v>1009</v>
      </c>
      <c r="L5">
        <f t="shared" si="1"/>
        <v>0.45044642857142858</v>
      </c>
    </row>
    <row r="6" spans="1:12" x14ac:dyDescent="0.25">
      <c r="A6">
        <v>1701</v>
      </c>
      <c r="B6" t="s">
        <v>2</v>
      </c>
      <c r="C6" t="s">
        <v>99</v>
      </c>
      <c r="D6" t="s">
        <v>1</v>
      </c>
      <c r="H6">
        <v>800</v>
      </c>
      <c r="J6">
        <f t="shared" si="0"/>
        <v>800</v>
      </c>
      <c r="L6">
        <f t="shared" si="1"/>
        <v>0.35714285714285715</v>
      </c>
    </row>
    <row r="7" spans="1:12" x14ac:dyDescent="0.25">
      <c r="A7">
        <v>1701</v>
      </c>
      <c r="B7" t="s">
        <v>10</v>
      </c>
      <c r="C7" t="s">
        <v>99</v>
      </c>
      <c r="D7" t="s">
        <v>1</v>
      </c>
      <c r="F7">
        <v>154</v>
      </c>
      <c r="J7">
        <f t="shared" si="0"/>
        <v>17248</v>
      </c>
      <c r="L7">
        <f t="shared" si="1"/>
        <v>7.7</v>
      </c>
    </row>
  </sheetData>
  <autoFilter ref="A1:L7" xr:uid="{7ECBE782-642A-4A69-B3C3-AA33FAF53666}">
    <sortState xmlns:xlrd2="http://schemas.microsoft.com/office/spreadsheetml/2017/richdata2" ref="A2:L7">
      <sortCondition ref="B1:B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23"/>
  <sheetViews>
    <sheetView workbookViewId="0">
      <selection activeCell="H7" sqref="H7"/>
    </sheetView>
  </sheetViews>
  <sheetFormatPr defaultRowHeight="15" x14ac:dyDescent="0.25"/>
  <cols>
    <col min="2" max="3" width="15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/>
      <c r="J1" s="1" t="s">
        <v>0</v>
      </c>
      <c r="K1" s="1"/>
      <c r="L1" s="1" t="s">
        <v>90</v>
      </c>
    </row>
    <row r="2" spans="1:12" x14ac:dyDescent="0.25">
      <c r="A2">
        <v>1701</v>
      </c>
      <c r="B2" t="s">
        <v>34</v>
      </c>
      <c r="C2" t="s">
        <v>100</v>
      </c>
      <c r="D2" t="s">
        <v>1</v>
      </c>
      <c r="H2">
        <v>84</v>
      </c>
      <c r="J2">
        <f t="shared" ref="J2:J23" si="0">(E2*2240)+(F2*112)+(G2*28)+H2</f>
        <v>84</v>
      </c>
      <c r="L2">
        <f t="shared" ref="L2:L23" si="1">J2/2240</f>
        <v>3.7499999999999999E-2</v>
      </c>
    </row>
    <row r="3" spans="1:12" x14ac:dyDescent="0.25">
      <c r="A3">
        <v>1701</v>
      </c>
      <c r="B3" t="s">
        <v>11</v>
      </c>
      <c r="C3" t="s">
        <v>100</v>
      </c>
      <c r="D3" t="s">
        <v>1</v>
      </c>
      <c r="F3">
        <v>2636</v>
      </c>
      <c r="G3">
        <v>2</v>
      </c>
      <c r="H3">
        <v>4</v>
      </c>
      <c r="J3">
        <f t="shared" si="0"/>
        <v>295292</v>
      </c>
      <c r="L3">
        <f t="shared" si="1"/>
        <v>131.82678571428571</v>
      </c>
    </row>
    <row r="4" spans="1:12" x14ac:dyDescent="0.25">
      <c r="A4">
        <v>1701</v>
      </c>
      <c r="B4" t="s">
        <v>7</v>
      </c>
      <c r="C4" t="s">
        <v>100</v>
      </c>
      <c r="D4" t="s">
        <v>1</v>
      </c>
      <c r="H4">
        <v>119</v>
      </c>
      <c r="J4">
        <f t="shared" si="0"/>
        <v>119</v>
      </c>
      <c r="L4">
        <f t="shared" si="1"/>
        <v>5.3124999999999999E-2</v>
      </c>
    </row>
    <row r="5" spans="1:12" x14ac:dyDescent="0.25">
      <c r="A5">
        <v>1701</v>
      </c>
      <c r="B5" t="s">
        <v>76</v>
      </c>
      <c r="C5" t="s">
        <v>100</v>
      </c>
      <c r="D5" t="s">
        <v>1</v>
      </c>
      <c r="F5">
        <v>36</v>
      </c>
      <c r="G5">
        <v>2</v>
      </c>
      <c r="H5">
        <v>21</v>
      </c>
      <c r="J5">
        <f t="shared" si="0"/>
        <v>4109</v>
      </c>
      <c r="L5">
        <f t="shared" si="1"/>
        <v>1.8343750000000001</v>
      </c>
    </row>
    <row r="6" spans="1:12" x14ac:dyDescent="0.25">
      <c r="A6">
        <v>1701</v>
      </c>
      <c r="B6" t="s">
        <v>3</v>
      </c>
      <c r="C6" t="s">
        <v>100</v>
      </c>
      <c r="D6" t="s">
        <v>1</v>
      </c>
      <c r="H6">
        <f>25*200</f>
        <v>5000</v>
      </c>
      <c r="I6" t="s">
        <v>55</v>
      </c>
      <c r="J6">
        <f t="shared" si="0"/>
        <v>5000</v>
      </c>
      <c r="L6">
        <f t="shared" si="1"/>
        <v>2.2321428571428572</v>
      </c>
    </row>
    <row r="7" spans="1:12" x14ac:dyDescent="0.25">
      <c r="A7">
        <v>1701</v>
      </c>
      <c r="B7" t="s">
        <v>9</v>
      </c>
      <c r="C7" t="s">
        <v>100</v>
      </c>
      <c r="D7" t="s">
        <v>1</v>
      </c>
      <c r="F7">
        <v>7</v>
      </c>
      <c r="G7">
        <v>3</v>
      </c>
      <c r="J7">
        <f t="shared" si="0"/>
        <v>868</v>
      </c>
      <c r="L7">
        <f t="shared" si="1"/>
        <v>0.38750000000000001</v>
      </c>
    </row>
    <row r="8" spans="1:12" x14ac:dyDescent="0.25">
      <c r="A8">
        <v>1701</v>
      </c>
      <c r="B8" t="s">
        <v>19</v>
      </c>
      <c r="C8" t="s">
        <v>100</v>
      </c>
      <c r="D8" t="s">
        <v>1</v>
      </c>
      <c r="G8">
        <v>2</v>
      </c>
      <c r="J8">
        <f t="shared" si="0"/>
        <v>56</v>
      </c>
      <c r="L8">
        <f t="shared" si="1"/>
        <v>2.5000000000000001E-2</v>
      </c>
    </row>
    <row r="9" spans="1:12" x14ac:dyDescent="0.25">
      <c r="A9">
        <v>1701</v>
      </c>
      <c r="B9" t="s">
        <v>2</v>
      </c>
      <c r="C9" t="s">
        <v>100</v>
      </c>
      <c r="D9" t="s">
        <v>1</v>
      </c>
      <c r="H9">
        <v>315</v>
      </c>
      <c r="J9">
        <f t="shared" si="0"/>
        <v>315</v>
      </c>
      <c r="L9">
        <f t="shared" si="1"/>
        <v>0.140625</v>
      </c>
    </row>
    <row r="10" spans="1:12" x14ac:dyDescent="0.25">
      <c r="A10">
        <v>1701</v>
      </c>
      <c r="B10" t="s">
        <v>15</v>
      </c>
      <c r="C10" t="s">
        <v>100</v>
      </c>
      <c r="D10" t="s">
        <v>1</v>
      </c>
      <c r="H10">
        <v>4671</v>
      </c>
      <c r="I10" t="s">
        <v>56</v>
      </c>
      <c r="J10">
        <f t="shared" si="0"/>
        <v>4671</v>
      </c>
      <c r="L10">
        <f t="shared" si="1"/>
        <v>2.0852678571428571</v>
      </c>
    </row>
    <row r="11" spans="1:12" x14ac:dyDescent="0.25">
      <c r="A11">
        <v>1701</v>
      </c>
      <c r="B11" t="s">
        <v>27</v>
      </c>
      <c r="C11" t="s">
        <v>100</v>
      </c>
      <c r="D11" t="s">
        <v>1</v>
      </c>
      <c r="H11">
        <v>100</v>
      </c>
      <c r="I11" t="s">
        <v>54</v>
      </c>
      <c r="J11">
        <f t="shared" si="0"/>
        <v>100</v>
      </c>
      <c r="L11">
        <f t="shared" si="1"/>
        <v>4.4642857142857144E-2</v>
      </c>
    </row>
    <row r="12" spans="1:12" x14ac:dyDescent="0.25">
      <c r="A12">
        <v>1701</v>
      </c>
      <c r="B12" t="s">
        <v>10</v>
      </c>
      <c r="C12" t="s">
        <v>100</v>
      </c>
      <c r="D12" t="s">
        <v>1</v>
      </c>
      <c r="F12">
        <v>8213</v>
      </c>
      <c r="G12">
        <v>0</v>
      </c>
      <c r="H12">
        <v>21</v>
      </c>
      <c r="J12">
        <f t="shared" si="0"/>
        <v>919877</v>
      </c>
      <c r="L12">
        <f t="shared" si="1"/>
        <v>410.65937500000001</v>
      </c>
    </row>
    <row r="13" spans="1:12" x14ac:dyDescent="0.25">
      <c r="A13">
        <v>1701</v>
      </c>
      <c r="B13" t="s">
        <v>39</v>
      </c>
      <c r="C13" t="s">
        <v>100</v>
      </c>
      <c r="D13" t="s">
        <v>1</v>
      </c>
      <c r="H13">
        <v>162</v>
      </c>
      <c r="J13">
        <f t="shared" si="0"/>
        <v>162</v>
      </c>
      <c r="L13">
        <f t="shared" si="1"/>
        <v>7.2321428571428578E-2</v>
      </c>
    </row>
    <row r="14" spans="1:12" x14ac:dyDescent="0.25">
      <c r="A14">
        <v>1701</v>
      </c>
      <c r="B14" t="s">
        <v>18</v>
      </c>
      <c r="C14" t="s">
        <v>100</v>
      </c>
      <c r="D14" t="s">
        <v>1</v>
      </c>
      <c r="F14">
        <v>72</v>
      </c>
      <c r="G14">
        <v>2</v>
      </c>
      <c r="H14">
        <v>0</v>
      </c>
      <c r="J14">
        <f t="shared" si="0"/>
        <v>8120</v>
      </c>
      <c r="L14">
        <f t="shared" si="1"/>
        <v>3.625</v>
      </c>
    </row>
    <row r="15" spans="1:12" x14ac:dyDescent="0.25">
      <c r="A15">
        <v>1701</v>
      </c>
      <c r="B15" t="s">
        <v>97</v>
      </c>
      <c r="C15" t="s">
        <v>100</v>
      </c>
      <c r="D15" t="s">
        <v>1</v>
      </c>
      <c r="H15">
        <v>14</v>
      </c>
      <c r="J15">
        <f t="shared" si="0"/>
        <v>14</v>
      </c>
      <c r="L15">
        <f t="shared" si="1"/>
        <v>6.2500000000000003E-3</v>
      </c>
    </row>
    <row r="16" spans="1:12" x14ac:dyDescent="0.25">
      <c r="A16">
        <v>1701</v>
      </c>
      <c r="B16" t="s">
        <v>26</v>
      </c>
      <c r="C16" t="s">
        <v>100</v>
      </c>
      <c r="D16" t="s">
        <v>1</v>
      </c>
      <c r="H16">
        <v>0</v>
      </c>
      <c r="J16">
        <f t="shared" si="0"/>
        <v>0</v>
      </c>
      <c r="L16">
        <f t="shared" si="1"/>
        <v>0</v>
      </c>
    </row>
    <row r="17" spans="1:12" x14ac:dyDescent="0.25">
      <c r="A17">
        <v>1701</v>
      </c>
      <c r="B17" t="s">
        <v>14</v>
      </c>
      <c r="C17" t="s">
        <v>100</v>
      </c>
      <c r="D17" t="s">
        <v>1</v>
      </c>
      <c r="H17">
        <v>42959</v>
      </c>
      <c r="J17">
        <f t="shared" si="0"/>
        <v>42959</v>
      </c>
      <c r="L17">
        <f t="shared" si="1"/>
        <v>19.178125000000001</v>
      </c>
    </row>
    <row r="18" spans="1:12" x14ac:dyDescent="0.25">
      <c r="A18">
        <v>1701</v>
      </c>
      <c r="B18" t="s">
        <v>53</v>
      </c>
      <c r="C18" t="s">
        <v>100</v>
      </c>
      <c r="D18" t="s">
        <v>1</v>
      </c>
      <c r="H18">
        <v>166</v>
      </c>
      <c r="J18">
        <f t="shared" si="0"/>
        <v>166</v>
      </c>
      <c r="L18">
        <f t="shared" si="1"/>
        <v>7.4107142857142858E-2</v>
      </c>
    </row>
    <row r="19" spans="1:12" x14ac:dyDescent="0.25">
      <c r="A19">
        <v>1701</v>
      </c>
      <c r="B19" t="s">
        <v>12</v>
      </c>
      <c r="C19" t="s">
        <v>100</v>
      </c>
      <c r="D19" t="s">
        <v>1</v>
      </c>
      <c r="F19">
        <v>1</v>
      </c>
      <c r="G19">
        <v>2</v>
      </c>
      <c r="H19">
        <v>0</v>
      </c>
      <c r="J19">
        <f t="shared" si="0"/>
        <v>168</v>
      </c>
      <c r="L19">
        <f t="shared" si="1"/>
        <v>7.4999999999999997E-2</v>
      </c>
    </row>
    <row r="20" spans="1:12" x14ac:dyDescent="0.25">
      <c r="A20">
        <v>1701</v>
      </c>
      <c r="B20" t="s">
        <v>6</v>
      </c>
      <c r="C20" t="s">
        <v>100</v>
      </c>
      <c r="D20" t="s">
        <v>5</v>
      </c>
      <c r="H20">
        <v>28</v>
      </c>
      <c r="J20">
        <f t="shared" si="0"/>
        <v>28</v>
      </c>
      <c r="L20">
        <f t="shared" si="1"/>
        <v>1.2500000000000001E-2</v>
      </c>
    </row>
    <row r="21" spans="1:12" x14ac:dyDescent="0.25">
      <c r="A21">
        <v>1701</v>
      </c>
      <c r="B21" t="s">
        <v>11</v>
      </c>
      <c r="C21" t="s">
        <v>100</v>
      </c>
      <c r="D21" t="s">
        <v>5</v>
      </c>
      <c r="F21">
        <v>178</v>
      </c>
      <c r="G21">
        <v>3</v>
      </c>
      <c r="H21">
        <v>23</v>
      </c>
      <c r="J21">
        <f t="shared" si="0"/>
        <v>20043</v>
      </c>
      <c r="L21">
        <f t="shared" si="1"/>
        <v>8.9477678571428569</v>
      </c>
    </row>
    <row r="22" spans="1:12" x14ac:dyDescent="0.25">
      <c r="A22">
        <v>1701</v>
      </c>
      <c r="B22" t="s">
        <v>10</v>
      </c>
      <c r="C22" t="s">
        <v>100</v>
      </c>
      <c r="D22" t="s">
        <v>5</v>
      </c>
      <c r="F22">
        <v>495</v>
      </c>
      <c r="G22">
        <v>3</v>
      </c>
      <c r="H22">
        <v>11</v>
      </c>
      <c r="J22">
        <f t="shared" si="0"/>
        <v>55535</v>
      </c>
      <c r="L22">
        <f t="shared" si="1"/>
        <v>24.792410714285715</v>
      </c>
    </row>
    <row r="23" spans="1:12" x14ac:dyDescent="0.25">
      <c r="A23">
        <v>1701</v>
      </c>
      <c r="B23" t="s">
        <v>14</v>
      </c>
      <c r="C23" t="s">
        <v>100</v>
      </c>
      <c r="D23" t="s">
        <v>5</v>
      </c>
      <c r="H23">
        <v>1153</v>
      </c>
      <c r="J23">
        <f t="shared" si="0"/>
        <v>1153</v>
      </c>
      <c r="L23">
        <f t="shared" si="1"/>
        <v>0.51473214285714286</v>
      </c>
    </row>
  </sheetData>
  <autoFilter ref="A1:L23" xr:uid="{C20D6D79-299E-4BDC-A30E-5252DE375C36}">
    <sortState xmlns:xlrd2="http://schemas.microsoft.com/office/spreadsheetml/2017/richdata2" ref="A2:L23">
      <sortCondition ref="D1:D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2025-04-29T18:33:07Z</dcterms:modified>
</cp:coreProperties>
</file>