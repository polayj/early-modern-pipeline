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saskca1-my.sharepoint.com/personal/lks029_usask_ca/Documents/CommodityImports/"/>
    </mc:Choice>
  </mc:AlternateContent>
  <xr:revisionPtr revIDLastSave="752" documentId="8_{A4F89751-0B91-41C3-AE8C-5FC8857B9152}" xr6:coauthVersionLast="47" xr6:coauthVersionMax="47" xr10:uidLastSave="{A235207F-413E-4616-823B-8142A8BFEAEE}"/>
  <bookViews>
    <workbookView xWindow="-120" yWindow="-120" windowWidth="29040" windowHeight="15840" xr2:uid="{A9AB6255-FFC3-4BA2-A4C8-A2A9711B6F5F}"/>
  </bookViews>
  <sheets>
    <sheet name="Master Goods Sheet" sheetId="12" r:id="rId1"/>
    <sheet name="Antigua" sheetId="3" r:id="rId2"/>
    <sheet name="Barbados" sheetId="4" r:id="rId3"/>
    <sheet name="Bermuda" sheetId="5" r:id="rId4"/>
    <sheet name="Carolina" sheetId="6" r:id="rId5"/>
    <sheet name="Jamaica" sheetId="7" r:id="rId6"/>
    <sheet name="Mountserat" sheetId="8" r:id="rId7"/>
    <sheet name="Nevis" sheetId="9" r:id="rId8"/>
    <sheet name="St Kitts" sheetId="10" r:id="rId9"/>
    <sheet name="NewEngland" sheetId="11" r:id="rId10"/>
  </sheets>
  <definedNames>
    <definedName name="_xlnm._FilterDatabase" localSheetId="1" hidden="1">Antigua!$A$1:$L$24</definedName>
    <definedName name="_xlnm._FilterDatabase" localSheetId="2" hidden="1">Barbados!$A$1:$P$36</definedName>
    <definedName name="_xlnm._FilterDatabase" localSheetId="4" hidden="1">Carolina!$A$1:$L$12</definedName>
    <definedName name="_xlnm._FilterDatabase" localSheetId="5" hidden="1">Jamaica!$A$1:$Q$42</definedName>
    <definedName name="_xlnm._FilterDatabase" localSheetId="6" hidden="1">Mountserat!$A$1:$Q$19</definedName>
    <definedName name="_xlnm._FilterDatabase" localSheetId="7" hidden="1">Nevis!$A$1:$P$22</definedName>
    <definedName name="_xlnm._FilterDatabase" localSheetId="9" hidden="1">NewEngland!$A$1:$L$14</definedName>
    <definedName name="_xlnm._FilterDatabase" localSheetId="8" hidden="1">'St Kitts'!$A$1:$L$7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" i="10" l="1"/>
  <c r="H14" i="9"/>
  <c r="H3" i="8"/>
  <c r="H10" i="7"/>
  <c r="H9" i="4"/>
  <c r="H5" i="3"/>
  <c r="J10" i="7"/>
  <c r="L10" i="7" s="1"/>
  <c r="H4" i="6"/>
  <c r="J5" i="3"/>
  <c r="L5" i="3" s="1"/>
  <c r="J4" i="10"/>
  <c r="L4" i="10" s="1"/>
  <c r="J9" i="4"/>
  <c r="L9" i="4" s="1"/>
  <c r="J10" i="11"/>
  <c r="L10" i="11" s="1"/>
  <c r="J7" i="11"/>
  <c r="L7" i="11" s="1"/>
  <c r="J2" i="11"/>
  <c r="L2" i="11" s="1"/>
  <c r="B3" i="12" s="1"/>
  <c r="J4" i="11"/>
  <c r="L4" i="11" s="1"/>
  <c r="J5" i="11"/>
  <c r="L5" i="11" s="1"/>
  <c r="J6" i="11"/>
  <c r="L6" i="11" s="1"/>
  <c r="J12" i="11"/>
  <c r="L12" i="11" s="1"/>
  <c r="J14" i="11"/>
  <c r="L14" i="11" s="1"/>
  <c r="J11" i="11"/>
  <c r="L11" i="11" s="1"/>
  <c r="J13" i="11"/>
  <c r="L13" i="11" s="1"/>
  <c r="J7" i="9"/>
  <c r="L7" i="9" s="1"/>
  <c r="J14" i="9"/>
  <c r="L14" i="9" s="1"/>
  <c r="J3" i="9"/>
  <c r="L3" i="9" s="1"/>
  <c r="J6" i="9"/>
  <c r="J12" i="9"/>
  <c r="L12" i="9" s="1"/>
  <c r="J9" i="9"/>
  <c r="L9" i="9" s="1"/>
  <c r="J18" i="9"/>
  <c r="L18" i="9" s="1"/>
  <c r="J19" i="9"/>
  <c r="L19" i="9" s="1"/>
  <c r="J15" i="9"/>
  <c r="L15" i="9" s="1"/>
  <c r="J21" i="9"/>
  <c r="L21" i="9" s="1"/>
  <c r="J17" i="9"/>
  <c r="L17" i="9" s="1"/>
  <c r="J16" i="9"/>
  <c r="J20" i="9"/>
  <c r="J3" i="10"/>
  <c r="L3" i="10" s="1"/>
  <c r="J3" i="8"/>
  <c r="L3" i="8" s="1"/>
  <c r="J6" i="8"/>
  <c r="L6" i="8" s="1"/>
  <c r="J7" i="8"/>
  <c r="L7" i="8" s="1"/>
  <c r="J9" i="8"/>
  <c r="L9" i="8" s="1"/>
  <c r="J12" i="8"/>
  <c r="L12" i="8" s="1"/>
  <c r="J15" i="8"/>
  <c r="L15" i="8" s="1"/>
  <c r="J10" i="8"/>
  <c r="L10" i="8" s="1"/>
  <c r="J19" i="8"/>
  <c r="L19" i="8" s="1"/>
  <c r="J13" i="8"/>
  <c r="L13" i="8" s="1"/>
  <c r="J18" i="8"/>
  <c r="J17" i="8"/>
  <c r="L17" i="8" s="1"/>
  <c r="J11" i="8"/>
  <c r="L11" i="8" s="1"/>
  <c r="J14" i="8"/>
  <c r="L14" i="8" s="1"/>
  <c r="J16" i="8"/>
  <c r="L16" i="8" s="1"/>
  <c r="J8" i="7"/>
  <c r="L8" i="7" s="1"/>
  <c r="J9" i="7"/>
  <c r="J15" i="7"/>
  <c r="L15" i="7" s="1"/>
  <c r="J14" i="7"/>
  <c r="L14" i="7" s="1"/>
  <c r="J18" i="7"/>
  <c r="L18" i="7" s="1"/>
  <c r="J19" i="7"/>
  <c r="L19" i="7" s="1"/>
  <c r="J23" i="7"/>
  <c r="L23" i="7" s="1"/>
  <c r="J32" i="7"/>
  <c r="L32" i="7" s="1"/>
  <c r="J30" i="7"/>
  <c r="L30" i="7" s="1"/>
  <c r="J29" i="7"/>
  <c r="L29" i="7" s="1"/>
  <c r="J34" i="7"/>
  <c r="L34" i="7" s="1"/>
  <c r="J25" i="7"/>
  <c r="L25" i="7" s="1"/>
  <c r="J42" i="7"/>
  <c r="L42" i="7" s="1"/>
  <c r="J36" i="7"/>
  <c r="L36" i="7" s="1"/>
  <c r="J31" i="7"/>
  <c r="J38" i="7"/>
  <c r="J39" i="7"/>
  <c r="L39" i="7" s="1"/>
  <c r="J40" i="7"/>
  <c r="L40" i="7" s="1"/>
  <c r="J28" i="7"/>
  <c r="L28" i="7" s="1"/>
  <c r="J26" i="7"/>
  <c r="L26" i="7" s="1"/>
  <c r="C8" i="12" s="1"/>
  <c r="J27" i="7"/>
  <c r="L27" i="7" s="1"/>
  <c r="J33" i="7"/>
  <c r="L33" i="7" s="1"/>
  <c r="J35" i="7"/>
  <c r="L35" i="7" s="1"/>
  <c r="J37" i="7"/>
  <c r="J41" i="7"/>
  <c r="L41" i="7" s="1"/>
  <c r="J16" i="7"/>
  <c r="L16" i="7" s="1"/>
  <c r="J5" i="7"/>
  <c r="L5" i="7" s="1"/>
  <c r="B7" i="12" s="1"/>
  <c r="J4" i="6"/>
  <c r="L4" i="6" s="1"/>
  <c r="J3" i="6"/>
  <c r="L3" i="6" s="1"/>
  <c r="J20" i="4"/>
  <c r="L20" i="4" s="1"/>
  <c r="J23" i="4"/>
  <c r="L23" i="4" s="1"/>
  <c r="J24" i="4"/>
  <c r="L24" i="4" s="1"/>
  <c r="J15" i="4"/>
  <c r="L15" i="4" s="1"/>
  <c r="J3" i="4"/>
  <c r="L3" i="4" s="1"/>
  <c r="J4" i="4"/>
  <c r="J8" i="4"/>
  <c r="L8" i="4" s="1"/>
  <c r="J6" i="4"/>
  <c r="L6" i="4" s="1"/>
  <c r="J7" i="4"/>
  <c r="L7" i="4" s="1"/>
  <c r="J13" i="4"/>
  <c r="L13" i="4" s="1"/>
  <c r="J17" i="4"/>
  <c r="L17" i="4" s="1"/>
  <c r="J19" i="4"/>
  <c r="L19" i="4" s="1"/>
  <c r="J22" i="4"/>
  <c r="L22" i="4" s="1"/>
  <c r="J25" i="4"/>
  <c r="L25" i="4" s="1"/>
  <c r="J32" i="4"/>
  <c r="L32" i="4" s="1"/>
  <c r="J31" i="4"/>
  <c r="L31" i="4" s="1"/>
  <c r="J30" i="4"/>
  <c r="L30" i="4" s="1"/>
  <c r="J27" i="4"/>
  <c r="L27" i="4" s="1"/>
  <c r="J36" i="4"/>
  <c r="L36" i="4" s="1"/>
  <c r="J33" i="4"/>
  <c r="L33" i="4" s="1"/>
  <c r="J35" i="4"/>
  <c r="L35" i="4" s="1"/>
  <c r="J28" i="4"/>
  <c r="L28" i="4" s="1"/>
  <c r="J29" i="4"/>
  <c r="L29" i="4" s="1"/>
  <c r="J34" i="4"/>
  <c r="L34" i="4" s="1"/>
  <c r="J10" i="3"/>
  <c r="L10" i="3" s="1"/>
  <c r="J3" i="3"/>
  <c r="L3" i="3" s="1"/>
  <c r="J9" i="3"/>
  <c r="L9" i="3" s="1"/>
  <c r="J4" i="3"/>
  <c r="L4" i="3" s="1"/>
  <c r="J12" i="3"/>
  <c r="J19" i="3"/>
  <c r="J20" i="3"/>
  <c r="L20" i="3" s="1"/>
  <c r="J22" i="3"/>
  <c r="L22" i="3" s="1"/>
  <c r="J17" i="3"/>
  <c r="L17" i="3" s="1"/>
  <c r="J23" i="3"/>
  <c r="J18" i="3"/>
  <c r="J21" i="3"/>
  <c r="L21" i="3" s="1"/>
  <c r="C3" i="12"/>
  <c r="C4" i="12"/>
  <c r="C5" i="12"/>
  <c r="C7" i="12"/>
  <c r="C9" i="12"/>
  <c r="C26" i="12"/>
  <c r="C27" i="12"/>
  <c r="C28" i="12"/>
  <c r="C29" i="12"/>
  <c r="C30" i="12"/>
  <c r="C31" i="12"/>
  <c r="B9" i="12"/>
  <c r="B27" i="12"/>
  <c r="B28" i="12"/>
  <c r="B29" i="12"/>
  <c r="B30" i="12"/>
  <c r="C2" i="12"/>
  <c r="J22" i="9"/>
  <c r="L22" i="9" s="1"/>
  <c r="L16" i="9"/>
  <c r="L20" i="9"/>
  <c r="J8" i="6"/>
  <c r="L8" i="6" s="1"/>
  <c r="J9" i="6"/>
  <c r="L9" i="6" s="1"/>
  <c r="L4" i="4"/>
  <c r="B5" i="12" s="1"/>
  <c r="J21" i="4"/>
  <c r="L21" i="4" s="1"/>
  <c r="J18" i="4"/>
  <c r="L18" i="4" s="1"/>
  <c r="J11" i="6"/>
  <c r="L11" i="6" s="1"/>
  <c r="J12" i="6"/>
  <c r="L12" i="6" s="1"/>
  <c r="L38" i="7"/>
  <c r="J9" i="11"/>
  <c r="L9" i="11" s="1"/>
  <c r="J3" i="11"/>
  <c r="L3" i="11" s="1"/>
  <c r="J8" i="11"/>
  <c r="L8" i="11" s="1"/>
  <c r="J7" i="10"/>
  <c r="L7" i="10" s="1"/>
  <c r="J2" i="10"/>
  <c r="L2" i="10" s="1"/>
  <c r="J6" i="10"/>
  <c r="L6" i="10" s="1"/>
  <c r="J5" i="10"/>
  <c r="L5" i="10" s="1"/>
  <c r="J13" i="9"/>
  <c r="L13" i="9" s="1"/>
  <c r="L6" i="9"/>
  <c r="J11" i="9"/>
  <c r="L11" i="9" s="1"/>
  <c r="J10" i="9"/>
  <c r="L10" i="9" s="1"/>
  <c r="J5" i="9"/>
  <c r="L5" i="9" s="1"/>
  <c r="J2" i="9"/>
  <c r="L2" i="9" s="1"/>
  <c r="J8" i="9"/>
  <c r="L8" i="9" s="1"/>
  <c r="J4" i="9"/>
  <c r="L4" i="9" s="1"/>
  <c r="L18" i="8"/>
  <c r="J8" i="8"/>
  <c r="L8" i="8" s="1"/>
  <c r="J5" i="8"/>
  <c r="L5" i="8" s="1"/>
  <c r="J2" i="8"/>
  <c r="L2" i="8" s="1"/>
  <c r="J4" i="8"/>
  <c r="L4" i="8" s="1"/>
  <c r="J7" i="7"/>
  <c r="L7" i="7" s="1"/>
  <c r="L9" i="7"/>
  <c r="L37" i="7"/>
  <c r="L31" i="7"/>
  <c r="J6" i="7"/>
  <c r="L6" i="7" s="1"/>
  <c r="J3" i="7"/>
  <c r="L3" i="7" s="1"/>
  <c r="J22" i="7"/>
  <c r="L22" i="7" s="1"/>
  <c r="J21" i="7"/>
  <c r="L21" i="7" s="1"/>
  <c r="J20" i="7"/>
  <c r="L20" i="7" s="1"/>
  <c r="J13" i="7"/>
  <c r="L13" i="7" s="1"/>
  <c r="J24" i="7"/>
  <c r="L24" i="7" s="1"/>
  <c r="J4" i="7"/>
  <c r="L4" i="7" s="1"/>
  <c r="J17" i="7"/>
  <c r="L17" i="7" s="1"/>
  <c r="J11" i="7"/>
  <c r="L11" i="7" s="1"/>
  <c r="J12" i="7"/>
  <c r="L12" i="7" s="1"/>
  <c r="J2" i="7"/>
  <c r="L2" i="7" s="1"/>
  <c r="J10" i="6"/>
  <c r="L10" i="6" s="1"/>
  <c r="J6" i="6"/>
  <c r="L6" i="6" s="1"/>
  <c r="J2" i="6"/>
  <c r="L2" i="6" s="1"/>
  <c r="J7" i="6"/>
  <c r="L7" i="6" s="1"/>
  <c r="J5" i="6"/>
  <c r="L5" i="6" s="1"/>
  <c r="J6" i="5"/>
  <c r="L6" i="5" s="1"/>
  <c r="J5" i="5"/>
  <c r="L5" i="5" s="1"/>
  <c r="J4" i="5"/>
  <c r="L4" i="5" s="1"/>
  <c r="J3" i="5"/>
  <c r="L3" i="5" s="1"/>
  <c r="J2" i="5"/>
  <c r="L2" i="5" s="1"/>
  <c r="J12" i="4"/>
  <c r="L12" i="4" s="1"/>
  <c r="J14" i="4"/>
  <c r="L14" i="4" s="1"/>
  <c r="B26" i="12" s="1"/>
  <c r="J26" i="4"/>
  <c r="L26" i="4" s="1"/>
  <c r="J5" i="4"/>
  <c r="L5" i="4" s="1"/>
  <c r="J16" i="4"/>
  <c r="L16" i="4" s="1"/>
  <c r="J10" i="4"/>
  <c r="L10" i="4" s="1"/>
  <c r="J11" i="4"/>
  <c r="L11" i="4" s="1"/>
  <c r="J2" i="4"/>
  <c r="L2" i="4" s="1"/>
  <c r="J24" i="3"/>
  <c r="L24" i="3" s="1"/>
  <c r="L18" i="3"/>
  <c r="L23" i="3"/>
  <c r="L19" i="3"/>
  <c r="L12" i="3"/>
  <c r="J15" i="3"/>
  <c r="L15" i="3" s="1"/>
  <c r="J14" i="3"/>
  <c r="L14" i="3" s="1"/>
  <c r="J13" i="3"/>
  <c r="L13" i="3" s="1"/>
  <c r="J16" i="3"/>
  <c r="L16" i="3" s="1"/>
  <c r="J2" i="3"/>
  <c r="L2" i="3" s="1"/>
  <c r="J11" i="3"/>
  <c r="L11" i="3" s="1"/>
  <c r="J6" i="3"/>
  <c r="L6" i="3" s="1"/>
  <c r="J7" i="3"/>
  <c r="L7" i="3" s="1"/>
  <c r="J8" i="3"/>
  <c r="L8" i="3" s="1"/>
  <c r="B15" i="12" s="1"/>
  <c r="C21" i="12" l="1"/>
  <c r="B2" i="12"/>
  <c r="D2" i="12" s="1"/>
  <c r="P4" i="9"/>
  <c r="Q4" i="8"/>
  <c r="C24" i="12"/>
  <c r="N4" i="9"/>
  <c r="C19" i="12"/>
  <c r="O4" i="8"/>
  <c r="B14" i="12"/>
  <c r="C14" i="12"/>
  <c r="C16" i="12"/>
  <c r="C18" i="12"/>
  <c r="C10" i="12"/>
  <c r="B18" i="12"/>
  <c r="C22" i="12"/>
  <c r="C20" i="12"/>
  <c r="B4" i="12"/>
  <c r="D4" i="12" s="1"/>
  <c r="B20" i="12"/>
  <c r="C25" i="12"/>
  <c r="C13" i="12"/>
  <c r="B25" i="12"/>
  <c r="C12" i="12"/>
  <c r="B13" i="12"/>
  <c r="B24" i="12"/>
  <c r="B19" i="12"/>
  <c r="C6" i="12"/>
  <c r="C23" i="12"/>
  <c r="B31" i="12"/>
  <c r="D31" i="12" s="1"/>
  <c r="B23" i="12"/>
  <c r="B11" i="12"/>
  <c r="B16" i="12"/>
  <c r="D5" i="12"/>
  <c r="B10" i="12"/>
  <c r="C15" i="12"/>
  <c r="D15" i="12" s="1"/>
  <c r="B8" i="12"/>
  <c r="D8" i="12" s="1"/>
  <c r="C17" i="12"/>
  <c r="C11" i="12"/>
  <c r="B12" i="12"/>
  <c r="B6" i="12"/>
  <c r="P2" i="4"/>
  <c r="N2" i="4"/>
  <c r="B17" i="12"/>
  <c r="B21" i="12"/>
  <c r="B22" i="12"/>
  <c r="D9" i="12"/>
  <c r="D30" i="12"/>
  <c r="D27" i="12"/>
  <c r="D3" i="12"/>
  <c r="D26" i="12"/>
  <c r="D28" i="12"/>
  <c r="D7" i="12"/>
  <c r="D29" i="12"/>
  <c r="D21" i="12" l="1"/>
  <c r="D24" i="12"/>
  <c r="D10" i="12"/>
  <c r="D14" i="12"/>
  <c r="D16" i="12"/>
  <c r="D19" i="12"/>
  <c r="D18" i="12"/>
  <c r="D22" i="12"/>
  <c r="D20" i="12"/>
  <c r="D13" i="12"/>
  <c r="D25" i="12"/>
  <c r="D12" i="12"/>
  <c r="D6" i="12"/>
  <c r="D23" i="12"/>
  <c r="D11" i="12"/>
  <c r="D17" i="12"/>
</calcChain>
</file>

<file path=xl/sharedStrings.xml><?xml version="1.0" encoding="utf-8"?>
<sst xmlns="http://schemas.openxmlformats.org/spreadsheetml/2006/main" count="675" uniqueCount="94">
  <si>
    <t>Total Pounds</t>
  </si>
  <si>
    <t>London</t>
  </si>
  <si>
    <t>Indigo</t>
  </si>
  <si>
    <t>Cotton</t>
  </si>
  <si>
    <t>Elephants Teeth</t>
  </si>
  <si>
    <t>Out Ports</t>
  </si>
  <si>
    <t>Bees Wax</t>
  </si>
  <si>
    <t>Chocolate</t>
  </si>
  <si>
    <t>Brandy</t>
  </si>
  <si>
    <t>Dry Ginger</t>
  </si>
  <si>
    <t>Molasses</t>
  </si>
  <si>
    <t>Brown Sugar</t>
  </si>
  <si>
    <t>White Sugar</t>
  </si>
  <si>
    <t>Tobacco</t>
  </si>
  <si>
    <t>Lime Juice</t>
  </si>
  <si>
    <t>Rum</t>
  </si>
  <si>
    <t>Tortoise Shell</t>
  </si>
  <si>
    <t>Shruff</t>
  </si>
  <si>
    <t>Elephant Teeth</t>
  </si>
  <si>
    <t>Annatto</t>
  </si>
  <si>
    <t>Rice</t>
  </si>
  <si>
    <t>Madera Wine</t>
  </si>
  <si>
    <t>Loaf Sugar</t>
  </si>
  <si>
    <t>Bayberry Wax</t>
  </si>
  <si>
    <t>Mirtle Wax</t>
  </si>
  <si>
    <t>Cocoa Past</t>
  </si>
  <si>
    <t>157 Gallons</t>
  </si>
  <si>
    <t>Pimento</t>
  </si>
  <si>
    <t>Cascarilla</t>
  </si>
  <si>
    <t>Chocolate Past</t>
  </si>
  <si>
    <t>Total Not Sugar</t>
  </si>
  <si>
    <t>Total Sugar</t>
  </si>
  <si>
    <t>Sope Berries</t>
  </si>
  <si>
    <t>3 Bags</t>
  </si>
  <si>
    <t>42 Gallons</t>
  </si>
  <si>
    <t>Refined Sugar</t>
  </si>
  <si>
    <t>Total Not sugar</t>
  </si>
  <si>
    <t>20 Gallons</t>
  </si>
  <si>
    <t>Lignum Vitae</t>
  </si>
  <si>
    <t>Succands</t>
  </si>
  <si>
    <t>16 Gallons</t>
  </si>
  <si>
    <t>471 Bags</t>
  </si>
  <si>
    <t>35 Gallons</t>
  </si>
  <si>
    <t>Soft Raisans</t>
  </si>
  <si>
    <t>200 Gallons</t>
  </si>
  <si>
    <t>883 Bags</t>
  </si>
  <si>
    <t>90 Gallons</t>
  </si>
  <si>
    <t>1249 Gallons</t>
  </si>
  <si>
    <t>Pickles</t>
  </si>
  <si>
    <t>464 Gallons</t>
  </si>
  <si>
    <t>1 Bag</t>
  </si>
  <si>
    <t>31.5 Gallons</t>
  </si>
  <si>
    <t>368 Bags</t>
  </si>
  <si>
    <t>2193 Gallons</t>
  </si>
  <si>
    <t>Jewels</t>
  </si>
  <si>
    <t>149 Gallons</t>
  </si>
  <si>
    <t>16 Bags</t>
  </si>
  <si>
    <t>52 Gallons</t>
  </si>
  <si>
    <t>Wool</t>
  </si>
  <si>
    <t>41 Bags</t>
  </si>
  <si>
    <t>329 Gallons</t>
  </si>
  <si>
    <t>30 Gallons</t>
  </si>
  <si>
    <t>132 Gallons</t>
  </si>
  <si>
    <t>320 Gallons</t>
  </si>
  <si>
    <t>Snuff</t>
  </si>
  <si>
    <t>Item</t>
  </si>
  <si>
    <t>Total London</t>
  </si>
  <si>
    <t>Total Outports</t>
  </si>
  <si>
    <t>Total</t>
  </si>
  <si>
    <t>Cockeneal</t>
  </si>
  <si>
    <t>Cocoa Nuts</t>
  </si>
  <si>
    <t>Sugar Loaf</t>
  </si>
  <si>
    <t>Muscavado Sugar</t>
  </si>
  <si>
    <t>Tea</t>
  </si>
  <si>
    <t>Sasparilla</t>
  </si>
  <si>
    <t>YEAR</t>
  </si>
  <si>
    <t>COMMODITY_NAME</t>
  </si>
  <si>
    <t>FROM_LOCATION</t>
  </si>
  <si>
    <t>TO_LOCATION</t>
  </si>
  <si>
    <t>ton</t>
  </si>
  <si>
    <t>hh</t>
  </si>
  <si>
    <t>quarter</t>
  </si>
  <si>
    <t>lb</t>
  </si>
  <si>
    <t>WEIGHT</t>
  </si>
  <si>
    <t>Antigua</t>
  </si>
  <si>
    <t>Barbados</t>
  </si>
  <si>
    <t>Chocolate Paste</t>
  </si>
  <si>
    <t>Bermuda</t>
  </si>
  <si>
    <t>Carolina</t>
  </si>
  <si>
    <t>Jamaica</t>
  </si>
  <si>
    <t>Mountserat</t>
  </si>
  <si>
    <t>Nevis</t>
  </si>
  <si>
    <t>StKitts</t>
  </si>
  <si>
    <t>NewEngland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</si>
</sst>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7FB682-CE1F-4884-BAC1-2F50293F7B5A}">
  <dimension ref="A1:D31"/>
  <sheetViews>
    <sheetView tabSelected="1" workbookViewId="0">
      <selection activeCell="D37" sqref="D37"/>
    </sheetView>
  </sheetViews>
  <sheetFormatPr defaultRowHeight="15" x14ac:dyDescent="0.25"/>
  <cols>
    <col min="1" max="1" width="21.5703125" customWidth="1"/>
    <col min="2" max="2" width="15" customWidth="1"/>
    <col min="3" max="3" width="15.85546875" customWidth="1"/>
    <col min="4" max="4" width="16.85546875" customWidth="1"/>
  </cols>
  <sheetData>
    <row r="1" spans="1:4" x14ac:dyDescent="0.25">
      <c r="A1" t="s">
        <v>65</v>
      </c>
      <c r="B1" t="s">
        <v>66</v>
      </c>
      <c r="C1" t="s">
        <v>67</v>
      </c>
      <c r="D1" t="s">
        <v>68</v>
      </c>
    </row>
    <row r="2" spans="1:4" x14ac:dyDescent="0.25">
      <c r="A2" t="s">
        <v>19</v>
      </c>
      <c r="B2">
        <f>SUMIFS(Antigua!$L:$L, Antigua!$B:$B, $A2, Antigua!$D:$D, "London") + SUMIFS(Barbados!$L:$L, Barbados!$B:$B, $A2, Barbados!$D:$D, "London") + SUMIFS(Bermuda!$L:$L, Bermuda!$B:$B, $A2, Bermuda!$D:$D, "London") + SUMIFS(Carolina!$L:$L, Carolina!$B:$B, $A2, Carolina!$D:$D, "London") + SUMIFS(Jamaica!$L:$L, Jamaica!$B:$B, $A2, Jamaica!$D:$D, "London") + SUMIFS(Mountserat!$L:$L, Mountserat!$B:$B, $A2, Mountserat!$D:$D, "London") + SUMIFS(Nevis!$L:$L, Nevis!$B:$B, $A2, Nevis!$D:$D, "London") + SUMIFS(NewEngland!$L:$L, NewEngland!$B:$B, $A2, NewEngland!$D:$D, "London")</f>
        <v>1.8839285714285714</v>
      </c>
      <c r="C2">
        <f>SUMIFS(Antigua!$L:$L, Antigua!$B:$B, $A2, Antigua!$D:$D, "Out Ports") + SUMIFS(Barbados!$L:$L, Barbados!$B:$B, $A2, Barbados!$D:$D, "Out Ports") + SUMIFS(Bermuda!$L:$L, Bermuda!$B:$B, $A2, Bermuda!$D:$D, "Out Ports") + SUMIFS(Carolina!$L:$L, Carolina!$B:$B, $A2, Carolina!$D:$D, "Out Ports") + SUMIFS(Jamaica!$L:$L, Jamaica!$B:$B, $A2, Jamaica!$D:$D, "Out Ports") + SUMIFS(Mountserat!$L:$L, Mountserat!$B:$B, $A2, Mountserat!$D:$D, "Out Ports") + SUMIFS(Nevis!$L:$L, Nevis!$B:$B, $A2, Nevis!$D:$D, "Out Ports") + SUMIFS(NewEngland!$L:$L, NewEngland!$B:$B, $A2, NewEngland!$D:$D, "Out Ports")</f>
        <v>0</v>
      </c>
      <c r="D2">
        <f>ROUND((B2+C2),2)</f>
        <v>1.88</v>
      </c>
    </row>
    <row r="3" spans="1:4" x14ac:dyDescent="0.25">
      <c r="A3" t="s">
        <v>23</v>
      </c>
      <c r="B3">
        <f>SUMIFS(Antigua!$L:$L, Antigua!$B:$B, $A3, Antigua!$D:$D, "London") + SUMIFS(Barbados!$L:$L, Barbados!$B:$B, $A3, Barbados!$D:$D, "London") + SUMIFS(Bermuda!$L:$L, Bermuda!$B:$B, $A3, Bermuda!$D:$D, "London") + SUMIFS(Carolina!$L:$L, Carolina!$B:$B, $A3, Carolina!$D:$D, "London") + SUMIFS(Jamaica!$L:$L, Jamaica!$B:$B, $A3, Jamaica!$D:$D, "London") + SUMIFS(Mountserat!$L:$L, Mountserat!$B:$B, $A3, Mountserat!$D:$D, "London") + SUMIFS(Nevis!$L:$L, Nevis!$B:$B, $A3, Nevis!$D:$D, "London") + SUMIFS(NewEngland!$L:$L, NewEngland!$B:$B, $A3, NewEngland!$D:$D, "London")</f>
        <v>6.25E-2</v>
      </c>
      <c r="C3">
        <f>SUMIFS(Antigua!$L:$L, Antigua!$B:$B, $A3, Antigua!$D:$D, "Out Ports") + SUMIFS(Barbados!$L:$L, Barbados!$B:$B, $A3, Barbados!$D:$D, "Out Ports") + SUMIFS(Bermuda!$L:$L, Bermuda!$B:$B, $A3, Bermuda!$D:$D, "Out Ports") + SUMIFS(Carolina!$L:$L, Carolina!$B:$B, $A3, Carolina!$D:$D, "Out Ports") + SUMIFS(Jamaica!$L:$L, Jamaica!$B:$B, $A3, Jamaica!$D:$D, "Out Ports") + SUMIFS(Mountserat!$L:$L, Mountserat!$B:$B, $A3, Mountserat!$D:$D, "Out Ports") + SUMIFS(Nevis!$L:$L, Nevis!$B:$B, $A3, Nevis!$D:$D, "Out Ports") + SUMIFS(NewEngland!$L:$L, NewEngland!$B:$B, $A3, NewEngland!$D:$D, "Out Ports")</f>
        <v>0</v>
      </c>
      <c r="D3">
        <f t="shared" ref="D3:D31" si="0">ROUND((B3+C3),2)</f>
        <v>0.06</v>
      </c>
    </row>
    <row r="4" spans="1:4" x14ac:dyDescent="0.25">
      <c r="A4" t="s">
        <v>6</v>
      </c>
      <c r="B4">
        <f>SUMIFS(Antigua!$L:$L, Antigua!$B:$B, $A4, Antigua!$D:$D, "London") + SUMIFS(Barbados!$L:$L, Barbados!$B:$B, $A4, Barbados!$D:$D, "London") + SUMIFS(Bermuda!$L:$L, Bermuda!$B:$B, $A4, Bermuda!$D:$D, "London") + SUMIFS(Carolina!$L:$L, Carolina!$B:$B, $A4, Carolina!$D:$D, "London") + SUMIFS(Jamaica!$L:$L, Jamaica!$B:$B, $A4, Jamaica!$D:$D, "London") + SUMIFS(Mountserat!$L:$L, Mountserat!$B:$B, $A4, Mountserat!$D:$D, "London") + SUMIFS(Nevis!$L:$L, Nevis!$B:$B, $A4, Nevis!$D:$D, "London") + SUMIFS(NewEngland!$L:$L, NewEngland!$B:$B, $A4, NewEngland!$D:$D, "London")</f>
        <v>0.96875</v>
      </c>
      <c r="C4">
        <f>SUMIFS(Antigua!$L:$L, Antigua!$B:$B, $A4, Antigua!$D:$D, "Out Ports") + SUMIFS(Barbados!$L:$L, Barbados!$B:$B, $A4, Barbados!$D:$D, "Out Ports") + SUMIFS(Bermuda!$L:$L, Bermuda!$B:$B, $A4, Bermuda!$D:$D, "Out Ports") + SUMIFS(Carolina!$L:$L, Carolina!$B:$B, $A4, Carolina!$D:$D, "Out Ports") + SUMIFS(Jamaica!$L:$L, Jamaica!$B:$B, $A4, Jamaica!$D:$D, "Out Ports") + SUMIFS(Mountserat!$L:$L, Mountserat!$B:$B, $A4, Mountserat!$D:$D, "Out Ports") + SUMIFS(Nevis!$L:$L, Nevis!$B:$B, $A4, Nevis!$D:$D, "Out Ports") + SUMIFS(NewEngland!$L:$L, NewEngland!$B:$B, $A4, NewEngland!$D:$D, "Out Ports")</f>
        <v>0</v>
      </c>
      <c r="D4">
        <f t="shared" si="0"/>
        <v>0.97</v>
      </c>
    </row>
    <row r="5" spans="1:4" x14ac:dyDescent="0.25">
      <c r="A5" t="s">
        <v>8</v>
      </c>
      <c r="B5">
        <f>SUMIFS(Antigua!$L:$L, Antigua!$B:$B, $A5, Antigua!$D:$D, "London") + SUMIFS(Barbados!$L:$L, Barbados!$B:$B, $A5, Barbados!$D:$D, "London") + SUMIFS(Bermuda!$L:$L, Bermuda!$B:$B, $A5, Bermuda!$D:$D, "London") + SUMIFS(Carolina!$L:$L, Carolina!$B:$B, $A5, Carolina!$D:$D, "London") + SUMIFS(Jamaica!$L:$L, Jamaica!$B:$B, $A5, Jamaica!$D:$D, "London") + SUMIFS(Mountserat!$L:$L, Mountserat!$B:$B, $A5, Mountserat!$D:$D, "London") + SUMIFS(Nevis!$L:$L, Nevis!$B:$B, $A5, Nevis!$D:$D, "London") + SUMIFS(NewEngland!$L:$L, NewEngland!$B:$B, $A5, NewEngland!$D:$D, "London")</f>
        <v>0.33750000000000002</v>
      </c>
      <c r="C5">
        <f>SUMIFS(Antigua!$L:$L, Antigua!$B:$B, $A5, Antigua!$D:$D, "Out Ports") + SUMIFS(Barbados!$L:$L, Barbados!$B:$B, $A5, Barbados!$D:$D, "Out Ports") + SUMIFS(Bermuda!$L:$L, Bermuda!$B:$B, $A5, Bermuda!$D:$D, "Out Ports") + SUMIFS(Carolina!$L:$L, Carolina!$B:$B, $A5, Carolina!$D:$D, "Out Ports") + SUMIFS(Jamaica!$L:$L, Jamaica!$B:$B, $A5, Jamaica!$D:$D, "Out Ports") + SUMIFS(Mountserat!$L:$L, Mountserat!$B:$B, $A5, Mountserat!$D:$D, "Out Ports") + SUMIFS(Nevis!$L:$L, Nevis!$B:$B, $A5, Nevis!$D:$D, "Out Ports") + SUMIFS(NewEngland!$L:$L, NewEngland!$B:$B, $A5, NewEngland!$D:$D, "Out Ports")</f>
        <v>0</v>
      </c>
      <c r="D5">
        <f t="shared" si="0"/>
        <v>0.34</v>
      </c>
    </row>
    <row r="6" spans="1:4" x14ac:dyDescent="0.25">
      <c r="A6" t="s">
        <v>11</v>
      </c>
      <c r="B6">
        <f>SUMIFS(Antigua!$L:$L, Antigua!$B:$B, $A6, Antigua!$D:$D, "London") + SUMIFS(Barbados!$L:$L, Barbados!$B:$B, $A6, Barbados!$D:$D, "London") + SUMIFS(Bermuda!$L:$L, Bermuda!$B:$B, $A6, Bermuda!$D:$D, "London") + SUMIFS(Carolina!$L:$L, Carolina!$B:$B, $A6, Carolina!$D:$D, "London") + SUMIFS(Jamaica!$L:$L, Jamaica!$B:$B, $A6, Jamaica!$D:$D, "London") + SUMIFS(Mountserat!$L:$L, Mountserat!$B:$B, $A6, Mountserat!$D:$D, "London") + SUMIFS(Nevis!$L:$L, Nevis!$B:$B, $A6, Nevis!$D:$D, "London") + SUMIFS(NewEngland!$L:$L, NewEngland!$B:$B, $A6, NewEngland!$D:$D, "London")</f>
        <v>9164.8163504464283</v>
      </c>
      <c r="C6">
        <f>SUMIFS(Antigua!$L:$L, Antigua!$B:$B, $A6, Antigua!$D:$D, "Out Ports") + SUMIFS(Barbados!$L:$L, Barbados!$B:$B, $A6, Barbados!$D:$D, "Out Ports") + SUMIFS(Bermuda!$L:$L, Bermuda!$B:$B, $A6, Bermuda!$D:$D, "Out Ports") + SUMIFS(Carolina!$L:$L, Carolina!$B:$B, $A6, Carolina!$D:$D, "Out Ports") + SUMIFS(Jamaica!$L:$L, Jamaica!$B:$B, $A6, Jamaica!$D:$D, "Out Ports") + SUMIFS(Mountserat!$L:$L, Mountserat!$B:$B, $A6, Mountserat!$D:$D, "Out Ports") + SUMIFS(Nevis!$L:$L, Nevis!$B:$B, $A6, Nevis!$D:$D, "Out Ports") + SUMIFS(NewEngland!$L:$L, NewEngland!$B:$B, $A6, NewEngland!$D:$D, "Out Ports")</f>
        <v>3169.3692243303567</v>
      </c>
      <c r="D6">
        <f t="shared" si="0"/>
        <v>12334.19</v>
      </c>
    </row>
    <row r="7" spans="1:4" x14ac:dyDescent="0.25">
      <c r="A7" t="s">
        <v>28</v>
      </c>
      <c r="B7">
        <f>SUMIFS(Antigua!$L:$L, Antigua!$B:$B, $A7, Antigua!$D:$D, "London") + SUMIFS(Barbados!$L:$L, Barbados!$B:$B, $A7, Barbados!$D:$D, "London") + SUMIFS(Bermuda!$L:$L, Bermuda!$B:$B, $A7, Bermuda!$D:$D, "London") + SUMIFS(Carolina!$L:$L, Carolina!$B:$B, $A7, Carolina!$D:$D, "London") + SUMIFS(Jamaica!$L:$L, Jamaica!$B:$B, $A7, Jamaica!$D:$D, "London") + SUMIFS(Mountserat!$L:$L, Mountserat!$B:$B, $A7, Mountserat!$D:$D, "London") + SUMIFS(Nevis!$L:$L, Nevis!$B:$B, $A7, Nevis!$D:$D, "London") + SUMIFS(NewEngland!$L:$L, NewEngland!$B:$B, $A7, NewEngland!$D:$D, "London")</f>
        <v>2.6785714285714284E-2</v>
      </c>
      <c r="C7">
        <f>SUMIFS(Antigua!$L:$L, Antigua!$B:$B, $A7, Antigua!$D:$D, "Out Ports") + SUMIFS(Barbados!$L:$L, Barbados!$B:$B, $A7, Barbados!$D:$D, "Out Ports") + SUMIFS(Bermuda!$L:$L, Bermuda!$B:$B, $A7, Bermuda!$D:$D, "Out Ports") + SUMIFS(Carolina!$L:$L, Carolina!$B:$B, $A7, Carolina!$D:$D, "Out Ports") + SUMIFS(Jamaica!$L:$L, Jamaica!$B:$B, $A7, Jamaica!$D:$D, "Out Ports") + SUMIFS(Mountserat!$L:$L, Mountserat!$B:$B, $A7, Mountserat!$D:$D, "Out Ports") + SUMIFS(Nevis!$L:$L, Nevis!$B:$B, $A7, Nevis!$D:$D, "Out Ports") + SUMIFS(NewEngland!$L:$L, NewEngland!$B:$B, $A7, NewEngland!$D:$D, "Out Ports")</f>
        <v>0</v>
      </c>
      <c r="D7">
        <f t="shared" si="0"/>
        <v>0.03</v>
      </c>
    </row>
    <row r="8" spans="1:4" x14ac:dyDescent="0.25">
      <c r="A8" t="s">
        <v>7</v>
      </c>
      <c r="B8">
        <f>SUMIFS(Antigua!$L:$L, Antigua!$B:$B, $A8, Antigua!$D:$D, "London") + SUMIFS(Barbados!$L:$L, Barbados!$B:$B, $A8, Barbados!$D:$D, "London") + SUMIFS(Bermuda!$L:$L, Bermuda!$B:$B, $A8, Bermuda!$D:$D, "London") + SUMIFS(Carolina!$L:$L, Carolina!$B:$B, $A8, Carolina!$D:$D, "London") + SUMIFS(Jamaica!$L:$L, Jamaica!$B:$B, $A8, Jamaica!$D:$D, "London") + SUMIFS(Mountserat!$L:$L, Mountserat!$B:$B, $A8, Mountserat!$D:$D, "London") + SUMIFS(Nevis!$L:$L, Nevis!$B:$B, $A8, Nevis!$D:$D, "London") + SUMIFS(NewEngland!$L:$L, NewEngland!$B:$B, $A8, NewEngland!$D:$D, "London")</f>
        <v>0.25178571428571433</v>
      </c>
      <c r="C8">
        <f>SUMIFS(Antigua!$L:$L, Antigua!$B:$B, $A8, Antigua!$D:$D, "Out Ports") + SUMIFS(Barbados!$L:$L, Barbados!$B:$B, $A8, Barbados!$D:$D, "Out Ports") + SUMIFS(Bermuda!$L:$L, Bermuda!$B:$B, $A8, Bermuda!$D:$D, "Out Ports") + SUMIFS(Carolina!$L:$L, Carolina!$B:$B, $A8, Carolina!$D:$D, "Out Ports") + SUMIFS(Jamaica!$L:$L, Jamaica!$B:$B, $A8, Jamaica!$D:$D, "Out Ports") + SUMIFS(Mountserat!$L:$L, Mountserat!$B:$B, $A8, Mountserat!$D:$D, "Out Ports") + SUMIFS(Nevis!$L:$L, Nevis!$B:$B, $A8, Nevis!$D:$D, "Out Ports") + SUMIFS(NewEngland!$L:$L, NewEngland!$B:$B, $A8, NewEngland!$D:$D, "Out Ports")</f>
        <v>0</v>
      </c>
      <c r="D8">
        <f t="shared" si="0"/>
        <v>0.25</v>
      </c>
    </row>
    <row r="9" spans="1:4" x14ac:dyDescent="0.25">
      <c r="A9" t="s">
        <v>69</v>
      </c>
      <c r="B9">
        <f>SUMIFS(Antigua!$L:$L, Antigua!$B:$B, $A9, Antigua!$D:$D, "London") + SUMIFS(Barbados!$L:$L, Barbados!$B:$B, $A9, Barbados!$D:$D, "London") + SUMIFS(Bermuda!$L:$L, Bermuda!$B:$B, $A9, Bermuda!$D:$D, "London") + SUMIFS(Carolina!$L:$L, Carolina!$B:$B, $A9, Carolina!$D:$D, "London") + SUMIFS(Jamaica!$L:$L, Jamaica!$B:$B, $A9, Jamaica!$D:$D, "London") + SUMIFS(Mountserat!$L:$L, Mountserat!$B:$B, $A9, Mountserat!$D:$D, "London") + SUMIFS(Nevis!$L:$L, Nevis!$B:$B, $A9, Nevis!$D:$D, "London") + SUMIFS(NewEngland!$L:$L, NewEngland!$B:$B, $A9, NewEngland!$D:$D, "London")</f>
        <v>0</v>
      </c>
      <c r="C9">
        <f>SUMIFS(Antigua!$L:$L, Antigua!$B:$B, $A9, Antigua!$D:$D, "Out Ports") + SUMIFS(Barbados!$L:$L, Barbados!$B:$B, $A9, Barbados!$D:$D, "Out Ports") + SUMIFS(Bermuda!$L:$L, Bermuda!$B:$B, $A9, Bermuda!$D:$D, "Out Ports") + SUMIFS(Carolina!$L:$L, Carolina!$B:$B, $A9, Carolina!$D:$D, "Out Ports") + SUMIFS(Jamaica!$L:$L, Jamaica!$B:$B, $A9, Jamaica!$D:$D, "Out Ports") + SUMIFS(Mountserat!$L:$L, Mountserat!$B:$B, $A9, Mountserat!$D:$D, "Out Ports") + SUMIFS(Nevis!$L:$L, Nevis!$B:$B, $A9, Nevis!$D:$D, "Out Ports") + SUMIFS(NewEngland!$L:$L, NewEngland!$B:$B, $A9, NewEngland!$D:$D, "Out Ports")</f>
        <v>0</v>
      </c>
      <c r="D9">
        <f t="shared" si="0"/>
        <v>0</v>
      </c>
    </row>
    <row r="10" spans="1:4" x14ac:dyDescent="0.25">
      <c r="A10" t="s">
        <v>70</v>
      </c>
      <c r="B10">
        <f>SUMIFS(Antigua!$L:$L, Antigua!$B:$B, $A10, Antigua!$D:$D, "London") + SUMIFS(Barbados!$L:$L, Barbados!$B:$B, $A10, Barbados!$D:$D, "London") + SUMIFS(Bermuda!$L:$L, Bermuda!$B:$B, $A10, Bermuda!$D:$D, "London") + SUMIFS(Carolina!$L:$L, Carolina!$B:$B, $A10, Carolina!$D:$D, "London") + SUMIFS(Jamaica!$L:$L, Jamaica!$B:$B, $A10, Jamaica!$D:$D, "London") + SUMIFS(Mountserat!$L:$L, Mountserat!$B:$B, $A10, Mountserat!$D:$D, "London") + SUMIFS(Nevis!$L:$L, Nevis!$B:$B, $A10, Nevis!$D:$D, "London") + SUMIFS(NewEngland!$L:$L, NewEngland!$B:$B, $A10, NewEngland!$D:$D, "London")</f>
        <v>98.906724330357136</v>
      </c>
      <c r="C10">
        <f>SUMIFS(Antigua!$L:$L, Antigua!$B:$B, $A10, Antigua!$D:$D, "Out Ports") + SUMIFS(Barbados!$L:$L, Barbados!$B:$B, $A10, Barbados!$D:$D, "Out Ports") + SUMIFS(Bermuda!$L:$L, Bermuda!$B:$B, $A10, Bermuda!$D:$D, "Out Ports") + SUMIFS(Carolina!$L:$L, Carolina!$B:$B, $A10, Carolina!$D:$D, "Out Ports") + SUMIFS(Jamaica!$L:$L, Jamaica!$B:$B, $A10, Jamaica!$D:$D, "Out Ports") + SUMIFS(Mountserat!$L:$L, Mountserat!$B:$B, $A10, Mountserat!$D:$D, "Out Ports") + SUMIFS(Nevis!$L:$L, Nevis!$B:$B, $A10, Nevis!$D:$D, "Out Ports") + SUMIFS(NewEngland!$L:$L, NewEngland!$B:$B, $A10, NewEngland!$D:$D, "Out Ports")</f>
        <v>7.5142299107142856</v>
      </c>
      <c r="D10">
        <f t="shared" si="0"/>
        <v>106.42</v>
      </c>
    </row>
    <row r="11" spans="1:4" x14ac:dyDescent="0.25">
      <c r="A11" t="s">
        <v>3</v>
      </c>
      <c r="B11">
        <f>SUMIFS(Antigua!$L:$L, Antigua!$B:$B, $A11, Antigua!$D:$D, "London") + SUMIFS(Barbados!$L:$L, Barbados!$B:$B, $A11, Barbados!$D:$D, "London") + SUMIFS(Bermuda!$L:$L, Bermuda!$B:$B, $A11, Bermuda!$D:$D, "London") + SUMIFS(Carolina!$L:$L, Carolina!$B:$B, $A11, Carolina!$D:$D, "London") + SUMIFS(Jamaica!$L:$L, Jamaica!$B:$B, $A11, Jamaica!$D:$D, "London") + SUMIFS(Mountserat!$L:$L, Mountserat!$B:$B, $A11, Mountserat!$D:$D, "London") + SUMIFS(Nevis!$L:$L, Nevis!$B:$B, $A11, Nevis!$D:$D, "London") + SUMIFS(NewEngland!$L:$L, NewEngland!$B:$B, $A11, NewEngland!$D:$D, "London")</f>
        <v>155.25446428571428</v>
      </c>
      <c r="C11">
        <f>SUMIFS(Antigua!$L:$L, Antigua!$B:$B, $A11, Antigua!$D:$D, "Out Ports") + SUMIFS(Barbados!$L:$L, Barbados!$B:$B, $A11, Barbados!$D:$D, "Out Ports") + SUMIFS(Bermuda!$L:$L, Bermuda!$B:$B, $A11, Bermuda!$D:$D, "Out Ports") + SUMIFS(Carolina!$L:$L, Carolina!$B:$B, $A11, Carolina!$D:$D, "Out Ports") + SUMIFS(Jamaica!$L:$L, Jamaica!$B:$B, $A11, Jamaica!$D:$D, "Out Ports") + SUMIFS(Mountserat!$L:$L, Mountserat!$B:$B, $A11, Mountserat!$D:$D, "Out Ports") + SUMIFS(Nevis!$L:$L, Nevis!$B:$B, $A11, Nevis!$D:$D, "Out Ports") + SUMIFS(NewEngland!$L:$L, NewEngland!$B:$B, $A11, NewEngland!$D:$D, "Out Ports")</f>
        <v>74.470870535714269</v>
      </c>
      <c r="D11">
        <f t="shared" si="0"/>
        <v>229.73</v>
      </c>
    </row>
    <row r="12" spans="1:4" x14ac:dyDescent="0.25">
      <c r="A12" t="s">
        <v>9</v>
      </c>
      <c r="B12">
        <f>SUMIFS(Antigua!$L:$L, Antigua!$B:$B, $A12, Antigua!$D:$D, "London") + SUMIFS(Barbados!$L:$L, Barbados!$B:$B, $A12, Barbados!$D:$D, "London") + SUMIFS(Bermuda!$L:$L, Bermuda!$B:$B, $A12, Bermuda!$D:$D, "London") + SUMIFS(Carolina!$L:$L, Carolina!$B:$B, $A12, Carolina!$D:$D, "London") + SUMIFS(Jamaica!$L:$L, Jamaica!$B:$B, $A12, Jamaica!$D:$D, "London") + SUMIFS(Mountserat!$L:$L, Mountserat!$B:$B, $A12, Mountserat!$D:$D, "London") + SUMIFS(Nevis!$L:$L, Nevis!$B:$B, $A12, Nevis!$D:$D, "London") + SUMIFS(NewEngland!$L:$L, NewEngland!$B:$B, $A12, NewEngland!$D:$D, "London")</f>
        <v>248.94642857142856</v>
      </c>
      <c r="C12">
        <f>SUMIFS(Antigua!$L:$L, Antigua!$B:$B, $A12, Antigua!$D:$D, "Out Ports") + SUMIFS(Barbados!$L:$L, Barbados!$B:$B, $A12, Barbados!$D:$D, "Out Ports") + SUMIFS(Bermuda!$L:$L, Bermuda!$B:$B, $A12, Bermuda!$D:$D, "Out Ports") + SUMIFS(Carolina!$L:$L, Carolina!$B:$B, $A12, Carolina!$D:$D, "Out Ports") + SUMIFS(Jamaica!$L:$L, Jamaica!$B:$B, $A12, Jamaica!$D:$D, "Out Ports") + SUMIFS(Mountserat!$L:$L, Mountserat!$B:$B, $A12, Mountserat!$D:$D, "Out Ports") + SUMIFS(Nevis!$L:$L, Nevis!$B:$B, $A12, Nevis!$D:$D, "Out Ports") + SUMIFS(NewEngland!$L:$L, NewEngland!$B:$B, $A12, NewEngland!$D:$D, "Out Ports")</f>
        <v>23.971874999999997</v>
      </c>
      <c r="D12">
        <f t="shared" si="0"/>
        <v>272.92</v>
      </c>
    </row>
    <row r="13" spans="1:4" x14ac:dyDescent="0.25">
      <c r="A13" t="s">
        <v>18</v>
      </c>
      <c r="B13">
        <f>SUMIFS(Antigua!$L:$L, Antigua!$B:$B, $A13, Antigua!$D:$D, "London") + SUMIFS(Barbados!$L:$L, Barbados!$B:$B, $A13, Barbados!$D:$D, "London") + SUMIFS(Bermuda!$L:$L, Bermuda!$B:$B, $A13, Bermuda!$D:$D, "London") + SUMIFS(Carolina!$L:$L, Carolina!$B:$B, $A13, Carolina!$D:$D, "London") + SUMIFS(Jamaica!$L:$L, Jamaica!$B:$B, $A13, Jamaica!$D:$D, "London") + SUMIFS(Mountserat!$L:$L, Mountserat!$B:$B, $A13, Mountserat!$D:$D, "London") + SUMIFS(Nevis!$L:$L, Nevis!$B:$B, $A13, Nevis!$D:$D, "London") + SUMIFS(NewEngland!$L:$L, NewEngland!$B:$B, $A13, NewEngland!$D:$D, "London")</f>
        <v>30.747154017857142</v>
      </c>
      <c r="C13">
        <f>SUMIFS(Antigua!$L:$L, Antigua!$B:$B, $A13, Antigua!$D:$D, "Out Ports") + SUMIFS(Barbados!$L:$L, Barbados!$B:$B, $A13, Barbados!$D:$D, "Out Ports") + SUMIFS(Bermuda!$L:$L, Bermuda!$B:$B, $A13, Bermuda!$D:$D, "Out Ports") + SUMIFS(Carolina!$L:$L, Carolina!$B:$B, $A13, Carolina!$D:$D, "Out Ports") + SUMIFS(Jamaica!$L:$L, Jamaica!$B:$B, $A13, Jamaica!$D:$D, "Out Ports") + SUMIFS(Mountserat!$L:$L, Mountserat!$B:$B, $A13, Mountserat!$D:$D, "Out Ports") + SUMIFS(Nevis!$L:$L, Nevis!$B:$B, $A13, Nevis!$D:$D, "Out Ports") + SUMIFS(NewEngland!$L:$L, NewEngland!$B:$B, $A13, NewEngland!$D:$D, "Out Ports")</f>
        <v>1.62421875</v>
      </c>
      <c r="D13">
        <f t="shared" si="0"/>
        <v>32.369999999999997</v>
      </c>
    </row>
    <row r="14" spans="1:4" x14ac:dyDescent="0.25">
      <c r="A14" t="s">
        <v>2</v>
      </c>
      <c r="B14">
        <f>SUMIFS(Antigua!$L:$L, Antigua!$B:$B, $A14, Antigua!$D:$D, "London") + SUMIFS(Barbados!$L:$L, Barbados!$B:$B, $A14, Barbados!$D:$D, "London") + SUMIFS(Bermuda!$L:$L, Bermuda!$B:$B, $A14, Bermuda!$D:$D, "London") + SUMIFS(Carolina!$L:$L, Carolina!$B:$B, $A14, Carolina!$D:$D, "London") + SUMIFS(Jamaica!$L:$L, Jamaica!$B:$B, $A14, Jamaica!$D:$D, "London") + SUMIFS(Mountserat!$L:$L, Mountserat!$B:$B, $A14, Mountserat!$D:$D, "London") + SUMIFS(Nevis!$L:$L, Nevis!$B:$B, $A14, Nevis!$D:$D, "London") + SUMIFS(NewEngland!$L:$L, NewEngland!$B:$B, $A14, NewEngland!$D:$D, "London")</f>
        <v>45.463839285714293</v>
      </c>
      <c r="C14">
        <f>SUMIFS(Antigua!$L:$L, Antigua!$B:$B, $A14, Antigua!$D:$D, "Out Ports") + SUMIFS(Barbados!$L:$L, Barbados!$B:$B, $A14, Barbados!$D:$D, "Out Ports") + SUMIFS(Bermuda!$L:$L, Bermuda!$B:$B, $A14, Bermuda!$D:$D, "Out Ports") + SUMIFS(Carolina!$L:$L, Carolina!$B:$B, $A14, Carolina!$D:$D, "Out Ports") + SUMIFS(Jamaica!$L:$L, Jamaica!$B:$B, $A14, Jamaica!$D:$D, "Out Ports") + SUMIFS(Mountserat!$L:$L, Mountserat!$B:$B, $A14, Mountserat!$D:$D, "Out Ports") + SUMIFS(Nevis!$L:$L, Nevis!$B:$B, $A14, Nevis!$D:$D, "Out Ports") + SUMIFS(NewEngland!$L:$L, NewEngland!$B:$B, $A14, NewEngland!$D:$D, "Out Ports")</f>
        <v>10.183928571428572</v>
      </c>
      <c r="D14">
        <f t="shared" si="0"/>
        <v>55.65</v>
      </c>
    </row>
    <row r="15" spans="1:4" x14ac:dyDescent="0.25">
      <c r="A15" t="s">
        <v>38</v>
      </c>
      <c r="B15">
        <f>SUMIFS(Antigua!$L:$L, Antigua!$B:$B, $A15, Antigua!$D:$D, "London") + SUMIFS(Barbados!$L:$L, Barbados!$B:$B, $A15, Barbados!$D:$D, "London") + SUMIFS(Bermuda!$L:$L, Bermuda!$B:$B, $A15, Bermuda!$D:$D, "London") + SUMIFS(Carolina!$L:$L, Carolina!$B:$B, $A15, Carolina!$D:$D, "London") + SUMIFS(Jamaica!$L:$L, Jamaica!$B:$B, $A15, Jamaica!$D:$D, "London") + SUMIFS(Mountserat!$L:$L, Mountserat!$B:$B, $A15, Mountserat!$D:$D, "London") + SUMIFS(Nevis!$L:$L, Nevis!$B:$B, $A15, Nevis!$D:$D, "London") + SUMIFS(NewEngland!$L:$L, NewEngland!$B:$B, $A15, NewEngland!$D:$D, "London")</f>
        <v>106.8875</v>
      </c>
      <c r="C15">
        <f>SUMIFS(Antigua!$L:$L, Antigua!$B:$B, $A15, Antigua!$D:$D, "Out Ports") + SUMIFS(Barbados!$L:$L, Barbados!$B:$B, $A15, Barbados!$D:$D, "Out Ports") + SUMIFS(Bermuda!$L:$L, Bermuda!$B:$B, $A15, Bermuda!$D:$D, "Out Ports") + SUMIFS(Carolina!$L:$L, Carolina!$B:$B, $A15, Carolina!$D:$D, "Out Ports") + SUMIFS(Jamaica!$L:$L, Jamaica!$B:$B, $A15, Jamaica!$D:$D, "Out Ports") + SUMIFS(Mountserat!$L:$L, Mountserat!$B:$B, $A15, Mountserat!$D:$D, "Out Ports") + SUMIFS(Nevis!$L:$L, Nevis!$B:$B, $A15, Nevis!$D:$D, "Out Ports") + SUMIFS(NewEngland!$L:$L, NewEngland!$B:$B, $A15, NewEngland!$D:$D, "Out Ports")</f>
        <v>9.6299107142857139</v>
      </c>
      <c r="D15">
        <f t="shared" si="0"/>
        <v>116.52</v>
      </c>
    </row>
    <row r="16" spans="1:4" x14ac:dyDescent="0.25">
      <c r="A16" t="s">
        <v>14</v>
      </c>
      <c r="B16">
        <f>SUMIFS(Antigua!$L:$L, Antigua!$B:$B, $A16, Antigua!$D:$D, "London") + SUMIFS(Barbados!$L:$L, Barbados!$B:$B, $A16, Barbados!$D:$D, "London") + SUMIFS(Bermuda!$L:$L, Bermuda!$B:$B, $A16, Bermuda!$D:$D, "London") + SUMIFS(Carolina!$L:$L, Carolina!$B:$B, $A16, Carolina!$D:$D, "London") + SUMIFS(Jamaica!$L:$L, Jamaica!$B:$B, $A16, Jamaica!$D:$D, "London") + SUMIFS(Mountserat!$L:$L, Mountserat!$B:$B, $A16, Mountserat!$D:$D, "London") + SUMIFS(Nevis!$L:$L, Nevis!$B:$B, $A16, Nevis!$D:$D, "London") + SUMIFS(NewEngland!$L:$L, NewEngland!$B:$B, $A16, NewEngland!$D:$D, "London")</f>
        <v>16.408119419642858</v>
      </c>
      <c r="C16">
        <f>SUMIFS(Antigua!$L:$L, Antigua!$B:$B, $A16, Antigua!$D:$D, "Out Ports") + SUMIFS(Barbados!$L:$L, Barbados!$B:$B, $A16, Barbados!$D:$D, "Out Ports") + SUMIFS(Bermuda!$L:$L, Bermuda!$B:$B, $A16, Bermuda!$D:$D, "Out Ports") + SUMIFS(Carolina!$L:$L, Carolina!$B:$B, $A16, Carolina!$D:$D, "Out Ports") + SUMIFS(Jamaica!$L:$L, Jamaica!$B:$B, $A16, Jamaica!$D:$D, "Out Ports") + SUMIFS(Mountserat!$L:$L, Mountserat!$B:$B, $A16, Mountserat!$D:$D, "Out Ports") + SUMIFS(Nevis!$L:$L, Nevis!$B:$B, $A16, Nevis!$D:$D, "Out Ports") + SUMIFS(NewEngland!$L:$L, NewEngland!$B:$B, $A16, NewEngland!$D:$D, "Out Ports")</f>
        <v>1.7035714285714285</v>
      </c>
      <c r="D16">
        <f t="shared" si="0"/>
        <v>18.11</v>
      </c>
    </row>
    <row r="17" spans="1:4" x14ac:dyDescent="0.25">
      <c r="A17" t="s">
        <v>10</v>
      </c>
      <c r="B17">
        <f>SUMIFS(Antigua!$L:$L, Antigua!$B:$B, $A17, Antigua!$D:$D, "London") + SUMIFS(Barbados!$L:$L, Barbados!$B:$B, $A17, Barbados!$D:$D, "London") + SUMIFS(Bermuda!$L:$L, Bermuda!$B:$B, $A17, Bermuda!$D:$D, "London") + SUMIFS(Carolina!$L:$L, Carolina!$B:$B, $A17, Carolina!$D:$D, "London") + SUMIFS(Jamaica!$L:$L, Jamaica!$B:$B, $A17, Jamaica!$D:$D, "London") + SUMIFS(Mountserat!$L:$L, Mountserat!$B:$B, $A17, Mountserat!$D:$D, "London") + SUMIFS(Nevis!$L:$L, Nevis!$B:$B, $A17, Nevis!$D:$D, "London") + SUMIFS(NewEngland!$L:$L, NewEngland!$B:$B, $A17, NewEngland!$D:$D, "London")</f>
        <v>623.23749999999995</v>
      </c>
      <c r="C17">
        <f>SUMIFS(Antigua!$L:$L, Antigua!$B:$B, $A17, Antigua!$D:$D, "Out Ports") + SUMIFS(Barbados!$L:$L, Barbados!$B:$B, $A17, Barbados!$D:$D, "Out Ports") + SUMIFS(Bermuda!$L:$L, Bermuda!$B:$B, $A17, Bermuda!$D:$D, "Out Ports") + SUMIFS(Carolina!$L:$L, Carolina!$B:$B, $A17, Carolina!$D:$D, "Out Ports") + SUMIFS(Jamaica!$L:$L, Jamaica!$B:$B, $A17, Jamaica!$D:$D, "Out Ports") + SUMIFS(Mountserat!$L:$L, Mountserat!$B:$B, $A17, Mountserat!$D:$D, "Out Ports") + SUMIFS(Nevis!$L:$L, Nevis!$B:$B, $A17, Nevis!$D:$D, "Out Ports") + SUMIFS(NewEngland!$L:$L, NewEngland!$B:$B, $A17, NewEngland!$D:$D, "Out Ports")</f>
        <v>264.47767857142856</v>
      </c>
      <c r="D17">
        <f t="shared" si="0"/>
        <v>887.72</v>
      </c>
    </row>
    <row r="18" spans="1:4" x14ac:dyDescent="0.25">
      <c r="A18" t="s">
        <v>27</v>
      </c>
      <c r="B18">
        <f>SUMIFS(Antigua!$L:$L, Antigua!$B:$B, $A18, Antigua!$D:$D, "London") + SUMIFS(Barbados!$L:$L, Barbados!$B:$B, $A18, Barbados!$D:$D, "London") + SUMIFS(Bermuda!$L:$L, Bermuda!$B:$B, $A18, Bermuda!$D:$D, "London") + SUMIFS(Carolina!$L:$L, Carolina!$B:$B, $A18, Carolina!$D:$D, "London") + SUMIFS(Jamaica!$L:$L, Jamaica!$B:$B, $A18, Jamaica!$D:$D, "London") + SUMIFS(Mountserat!$L:$L, Mountserat!$B:$B, $A18, Mountserat!$D:$D, "London") + SUMIFS(Nevis!$L:$L, Nevis!$B:$B, $A18, Nevis!$D:$D, "London") + SUMIFS(NewEngland!$L:$L, NewEngland!$B:$B, $A18, NewEngland!$D:$D, "London")</f>
        <v>31.810714285714283</v>
      </c>
      <c r="C18">
        <f>SUMIFS(Antigua!$L:$L, Antigua!$B:$B, $A18, Antigua!$D:$D, "Out Ports") + SUMIFS(Barbados!$L:$L, Barbados!$B:$B, $A18, Barbados!$D:$D, "Out Ports") + SUMIFS(Bermuda!$L:$L, Bermuda!$B:$B, $A18, Bermuda!$D:$D, "Out Ports") + SUMIFS(Carolina!$L:$L, Carolina!$B:$B, $A18, Carolina!$D:$D, "Out Ports") + SUMIFS(Jamaica!$L:$L, Jamaica!$B:$B, $A18, Jamaica!$D:$D, "Out Ports") + SUMIFS(Mountserat!$L:$L, Mountserat!$B:$B, $A18, Mountserat!$D:$D, "Out Ports") + SUMIFS(Nevis!$L:$L, Nevis!$B:$B, $A18, Nevis!$D:$D, "Out Ports") + SUMIFS(NewEngland!$L:$L, NewEngland!$B:$B, $A18, NewEngland!$D:$D, "Out Ports")</f>
        <v>14.617940848214285</v>
      </c>
      <c r="D18">
        <f t="shared" si="0"/>
        <v>46.43</v>
      </c>
    </row>
    <row r="19" spans="1:4" x14ac:dyDescent="0.25">
      <c r="A19" t="s">
        <v>20</v>
      </c>
      <c r="B19">
        <f>SUMIFS(Antigua!$L:$L, Antigua!$B:$B, $A19, Antigua!$D:$D, "London") + SUMIFS(Barbados!$L:$L, Barbados!$B:$B, $A19, Barbados!$D:$D, "London") + SUMIFS(Bermuda!$L:$L, Bermuda!$B:$B, $A19, Bermuda!$D:$D, "London") + SUMIFS(Carolina!$L:$L, Carolina!$B:$B, $A19, Carolina!$D:$D, "London") + SUMIFS(Jamaica!$L:$L, Jamaica!$B:$B, $A19, Jamaica!$D:$D, "London") + SUMIFS(Mountserat!$L:$L, Mountserat!$B:$B, $A19, Mountserat!$D:$D, "London") + SUMIFS(Nevis!$L:$L, Nevis!$B:$B, $A19, Nevis!$D:$D, "London") + SUMIFS(NewEngland!$L:$L, NewEngland!$B:$B, $A19, NewEngland!$D:$D, "London")</f>
        <v>161.63437499999998</v>
      </c>
      <c r="C19">
        <f>SUMIFS(Antigua!$L:$L, Antigua!$B:$B, $A19, Antigua!$D:$D, "Out Ports") + SUMIFS(Barbados!$L:$L, Barbados!$B:$B, $A19, Barbados!$D:$D, "Out Ports") + SUMIFS(Bermuda!$L:$L, Bermuda!$B:$B, $A19, Bermuda!$D:$D, "Out Ports") + SUMIFS(Carolina!$L:$L, Carolina!$B:$B, $A19, Carolina!$D:$D, "Out Ports") + SUMIFS(Jamaica!$L:$L, Jamaica!$B:$B, $A19, Jamaica!$D:$D, "Out Ports") + SUMIFS(Mountserat!$L:$L, Mountserat!$B:$B, $A19, Mountserat!$D:$D, "Out Ports") + SUMIFS(Nevis!$L:$L, Nevis!$B:$B, $A19, Nevis!$D:$D, "Out Ports") + SUMIFS(NewEngland!$L:$L, NewEngland!$B:$B, $A19, NewEngland!$D:$D, "Out Ports")</f>
        <v>66.887500000000003</v>
      </c>
      <c r="D19">
        <f t="shared" si="0"/>
        <v>228.52</v>
      </c>
    </row>
    <row r="20" spans="1:4" x14ac:dyDescent="0.25">
      <c r="A20" t="s">
        <v>15</v>
      </c>
      <c r="B20">
        <f>SUMIFS(Antigua!$L:$L, Antigua!$B:$B, $A20, Antigua!$D:$D, "London") + SUMIFS(Barbados!$L:$L, Barbados!$B:$B, $A20, Barbados!$D:$D, "London") + SUMIFS(Bermuda!$L:$L, Bermuda!$B:$B, $A20, Bermuda!$D:$D, "London") + SUMIFS(Carolina!$L:$L, Carolina!$B:$B, $A20, Carolina!$D:$D, "London") + SUMIFS(Jamaica!$L:$L, Jamaica!$B:$B, $A20, Jamaica!$D:$D, "London") + SUMIFS(Mountserat!$L:$L, Mountserat!$B:$B, $A20, Mountserat!$D:$D, "London") + SUMIFS(Nevis!$L:$L, Nevis!$B:$B, $A20, Nevis!$D:$D, "London") + SUMIFS(NewEngland!$L:$L, NewEngland!$B:$B, $A20, NewEngland!$D:$D, "London")</f>
        <v>2.7370535714285715</v>
      </c>
      <c r="C20">
        <f>SUMIFS(Antigua!$L:$L, Antigua!$B:$B, $A20, Antigua!$D:$D, "Out Ports") + SUMIFS(Barbados!$L:$L, Barbados!$B:$B, $A20, Barbados!$D:$D, "Out Ports") + SUMIFS(Bermuda!$L:$L, Bermuda!$B:$B, $A20, Bermuda!$D:$D, "Out Ports") + SUMIFS(Carolina!$L:$L, Carolina!$B:$B, $A20, Carolina!$D:$D, "Out Ports") + SUMIFS(Jamaica!$L:$L, Jamaica!$B:$B, $A20, Jamaica!$D:$D, "Out Ports") + SUMIFS(Mountserat!$L:$L, Mountserat!$B:$B, $A20, Mountserat!$D:$D, "Out Ports") + SUMIFS(Nevis!$L:$L, Nevis!$B:$B, $A20, Nevis!$D:$D, "Out Ports") + SUMIFS(NewEngland!$L:$L, NewEngland!$B:$B, $A20, NewEngland!$D:$D, "Out Ports")</f>
        <v>0.7767857142857143</v>
      </c>
      <c r="D20">
        <f t="shared" si="0"/>
        <v>3.51</v>
      </c>
    </row>
    <row r="21" spans="1:4" x14ac:dyDescent="0.25">
      <c r="A21" t="s">
        <v>17</v>
      </c>
      <c r="B21">
        <f>SUMIFS(Antigua!$L:$L, Antigua!$B:$B, $A21, Antigua!$D:$D, "London") + SUMIFS(Barbados!$L:$L, Barbados!$B:$B, $A21, Barbados!$D:$D, "London") + SUMIFS(Bermuda!$L:$L, Bermuda!$B:$B, $A21, Bermuda!$D:$D, "London") + SUMIFS(Carolina!$L:$L, Carolina!$B:$B, $A21, Carolina!$D:$D, "London") + SUMIFS(Jamaica!$L:$L, Jamaica!$B:$B, $A21, Jamaica!$D:$D, "London") + SUMIFS(Mountserat!$L:$L, Mountserat!$B:$B, $A21, Mountserat!$D:$D, "London") + SUMIFS(Nevis!$L:$L, Nevis!$B:$B, $A21, Nevis!$D:$D, "London") + SUMIFS(NewEngland!$L:$L, NewEngland!$B:$B, $A21, NewEngland!$D:$D, "London")</f>
        <v>6.3035156250000002</v>
      </c>
      <c r="C21">
        <f>SUMIFS(Antigua!$L:$L, Antigua!$B:$B, $A21, Antigua!$D:$D, "Out Ports") + SUMIFS(Barbados!$L:$L, Barbados!$B:$B, $A21, Barbados!$D:$D, "Out Ports") + SUMIFS(Bermuda!$L:$L, Bermuda!$B:$B, $A21, Bermuda!$D:$D, "Out Ports") + SUMIFS(Carolina!$L:$L, Carolina!$B:$B, $A21, Carolina!$D:$D, "Out Ports") + SUMIFS(Jamaica!$L:$L, Jamaica!$B:$B, $A21, Jamaica!$D:$D, "Out Ports") + SUMIFS(Mountserat!$L:$L, Mountserat!$B:$B, $A21, Mountserat!$D:$D, "Out Ports") + SUMIFS(Nevis!$L:$L, Nevis!$B:$B, $A21, Nevis!$D:$D, "Out Ports") + SUMIFS(NewEngland!$L:$L, NewEngland!$B:$B, $A21, NewEngland!$D:$D, "Out Ports")</f>
        <v>0.7755301339285714</v>
      </c>
      <c r="D21">
        <f t="shared" si="0"/>
        <v>7.08</v>
      </c>
    </row>
    <row r="22" spans="1:4" x14ac:dyDescent="0.25">
      <c r="A22" t="s">
        <v>39</v>
      </c>
      <c r="B22">
        <f>SUMIFS(Antigua!$L:$L, Antigua!$B:$B, $A22, Antigua!$D:$D, "London") + SUMIFS(Barbados!$L:$L, Barbados!$B:$B, $A22, Barbados!$D:$D, "London") + SUMIFS(Bermuda!$L:$L, Bermuda!$B:$B, $A22, Bermuda!$D:$D, "London") + SUMIFS(Carolina!$L:$L, Carolina!$B:$B, $A22, Carolina!$D:$D, "London") + SUMIFS(Jamaica!$L:$L, Jamaica!$B:$B, $A22, Jamaica!$D:$D, "London") + SUMIFS(Mountserat!$L:$L, Mountserat!$B:$B, $A22, Mountserat!$D:$D, "London") + SUMIFS(Nevis!$L:$L, Nevis!$B:$B, $A22, Nevis!$D:$D, "London") + SUMIFS(NewEngland!$L:$L, NewEngland!$B:$B, $A22, NewEngland!$D:$D, "London")</f>
        <v>0.30178571428571427</v>
      </c>
      <c r="C22">
        <f>SUMIFS(Antigua!$L:$L, Antigua!$B:$B, $A22, Antigua!$D:$D, "Out Ports") + SUMIFS(Barbados!$L:$L, Barbados!$B:$B, $A22, Barbados!$D:$D, "Out Ports") + SUMIFS(Bermuda!$L:$L, Bermuda!$B:$B, $A22, Bermuda!$D:$D, "Out Ports") + SUMIFS(Carolina!$L:$L, Carolina!$B:$B, $A22, Carolina!$D:$D, "Out Ports") + SUMIFS(Jamaica!$L:$L, Jamaica!$B:$B, $A22, Jamaica!$D:$D, "Out Ports") + SUMIFS(Mountserat!$L:$L, Mountserat!$B:$B, $A22, Mountserat!$D:$D, "Out Ports") + SUMIFS(Nevis!$L:$L, Nevis!$B:$B, $A22, Nevis!$D:$D, "Out Ports") + SUMIFS(NewEngland!$L:$L, NewEngland!$B:$B, $A22, NewEngland!$D:$D, "Out Ports")</f>
        <v>2.2321428571428572E-2</v>
      </c>
      <c r="D22">
        <f t="shared" si="0"/>
        <v>0.32</v>
      </c>
    </row>
    <row r="23" spans="1:4" x14ac:dyDescent="0.25">
      <c r="A23" t="s">
        <v>13</v>
      </c>
      <c r="B23">
        <f>SUMIFS(Antigua!$L:$L, Antigua!$B:$B, $A23, Antigua!$D:$D, "London") + SUMIFS(Barbados!$L:$L, Barbados!$B:$B, $A23, Barbados!$D:$D, "London") + SUMIFS(Bermuda!$L:$L, Bermuda!$B:$B, $A23, Bermuda!$D:$D, "London") + SUMIFS(Carolina!$L:$L, Carolina!$B:$B, $A23, Carolina!$D:$D, "London") + SUMIFS(Jamaica!$L:$L, Jamaica!$B:$B, $A23, Jamaica!$D:$D, "London") + SUMIFS(Mountserat!$L:$L, Mountserat!$B:$B, $A23, Mountserat!$D:$D, "London") + SUMIFS(Nevis!$L:$L, Nevis!$B:$B, $A23, Nevis!$D:$D, "London") + SUMIFS(NewEngland!$L:$L, NewEngland!$B:$B, $A23, NewEngland!$D:$D, "London")</f>
        <v>63.294196428571425</v>
      </c>
      <c r="C23">
        <f>SUMIFS(Antigua!$L:$L, Antigua!$B:$B, $A23, Antigua!$D:$D, "Out Ports") + SUMIFS(Barbados!$L:$L, Barbados!$B:$B, $A23, Barbados!$D:$D, "Out Ports") + SUMIFS(Bermuda!$L:$L, Bermuda!$B:$B, $A23, Bermuda!$D:$D, "Out Ports") + SUMIFS(Carolina!$L:$L, Carolina!$B:$B, $A23, Carolina!$D:$D, "Out Ports") + SUMIFS(Jamaica!$L:$L, Jamaica!$B:$B, $A23, Jamaica!$D:$D, "Out Ports") + SUMIFS(Mountserat!$L:$L, Mountserat!$B:$B, $A23, Mountserat!$D:$D, "Out Ports") + SUMIFS(Nevis!$L:$L, Nevis!$B:$B, $A23, Nevis!$D:$D, "Out Ports") + SUMIFS(NewEngland!$L:$L, NewEngland!$B:$B, $A23, NewEngland!$D:$D, "Out Ports")</f>
        <v>16.565178571428572</v>
      </c>
      <c r="D23">
        <f t="shared" si="0"/>
        <v>79.86</v>
      </c>
    </row>
    <row r="24" spans="1:4" x14ac:dyDescent="0.25">
      <c r="A24" t="s">
        <v>16</v>
      </c>
      <c r="B24">
        <f>SUMIFS(Antigua!$L:$L, Antigua!$B:$B, $A24, Antigua!$D:$D, "London") + SUMIFS(Barbados!$L:$L, Barbados!$B:$B, $A24, Barbados!$D:$D, "London") + SUMIFS(Bermuda!$L:$L, Bermuda!$B:$B, $A24, Bermuda!$D:$D, "London") + SUMIFS(Carolina!$L:$L, Carolina!$B:$B, $A24, Carolina!$D:$D, "London") + SUMIFS(Jamaica!$L:$L, Jamaica!$B:$B, $A24, Jamaica!$D:$D, "London") + SUMIFS(Mountserat!$L:$L, Mountserat!$B:$B, $A24, Mountserat!$D:$D, "London") + SUMIFS(Nevis!$L:$L, Nevis!$B:$B, $A24, Nevis!$D:$D, "London") + SUMIFS(NewEngland!$L:$L, NewEngland!$B:$B, $A24, NewEngland!$D:$D, "London")</f>
        <v>1.4510044642857143</v>
      </c>
      <c r="C24">
        <f>SUMIFS(Antigua!$L:$L, Antigua!$B:$B, $A24, Antigua!$D:$D, "Out Ports") + SUMIFS(Barbados!$L:$L, Barbados!$B:$B, $A24, Barbados!$D:$D, "Out Ports") + SUMIFS(Bermuda!$L:$L, Bermuda!$B:$B, $A24, Bermuda!$D:$D, "Out Ports") + SUMIFS(Carolina!$L:$L, Carolina!$B:$B, $A24, Carolina!$D:$D, "Out Ports") + SUMIFS(Jamaica!$L:$L, Jamaica!$B:$B, $A24, Jamaica!$D:$D, "Out Ports") + SUMIFS(Mountserat!$L:$L, Mountserat!$B:$B, $A24, Mountserat!$D:$D, "Out Ports") + SUMIFS(Nevis!$L:$L, Nevis!$B:$B, $A24, Nevis!$D:$D, "Out Ports") + SUMIFS(NewEngland!$L:$L, NewEngland!$B:$B, $A24, NewEngland!$D:$D, "Out Ports")</f>
        <v>6.1077008928571423E-2</v>
      </c>
      <c r="D24">
        <f t="shared" si="0"/>
        <v>1.51</v>
      </c>
    </row>
    <row r="25" spans="1:4" x14ac:dyDescent="0.25">
      <c r="A25" t="s">
        <v>12</v>
      </c>
      <c r="B25">
        <f>SUMIFS(Antigua!$L:$L, Antigua!$B:$B, $A25, Antigua!$D:$D, "London") + SUMIFS(Barbados!$L:$L, Barbados!$B:$B, $A25, Barbados!$D:$D, "London") + SUMIFS(Bermuda!$L:$L, Bermuda!$B:$B, $A25, Bermuda!$D:$D, "London") + SUMIFS(Carolina!$L:$L, Carolina!$B:$B, $A25, Carolina!$D:$D, "London") + SUMIFS(Jamaica!$L:$L, Jamaica!$B:$B, $A25, Jamaica!$D:$D, "London") + SUMIFS(Mountserat!$L:$L, Mountserat!$B:$B, $A25, Mountserat!$D:$D, "London") + SUMIFS(Nevis!$L:$L, Nevis!$B:$B, $A25, Nevis!$D:$D, "London") + SUMIFS(NewEngland!$L:$L, NewEngland!$B:$B, $A25, NewEngland!$D:$D, "London")</f>
        <v>28.228571428571428</v>
      </c>
      <c r="C25">
        <f>SUMIFS(Antigua!$L:$L, Antigua!$B:$B, $A25, Antigua!$D:$D, "Out Ports") + SUMIFS(Barbados!$L:$L, Barbados!$B:$B, $A25, Barbados!$D:$D, "Out Ports") + SUMIFS(Bermuda!$L:$L, Bermuda!$B:$B, $A25, Bermuda!$D:$D, "Out Ports") + SUMIFS(Carolina!$L:$L, Carolina!$B:$B, $A25, Carolina!$D:$D, "Out Ports") + SUMIFS(Jamaica!$L:$L, Jamaica!$B:$B, $A25, Jamaica!$D:$D, "Out Ports") + SUMIFS(Mountserat!$L:$L, Mountserat!$B:$B, $A25, Mountserat!$D:$D, "Out Ports") + SUMIFS(Nevis!$L:$L, Nevis!$B:$B, $A25, Nevis!$D:$D, "Out Ports") + SUMIFS(NewEngland!$L:$L, NewEngland!$B:$B, $A25, NewEngland!$D:$D, "Out Ports")</f>
        <v>1.3419642857142857</v>
      </c>
      <c r="D25">
        <f t="shared" si="0"/>
        <v>29.57</v>
      </c>
    </row>
    <row r="26" spans="1:4" x14ac:dyDescent="0.25">
      <c r="A26" t="s">
        <v>22</v>
      </c>
      <c r="B26">
        <f>SUMIFS(Antigua!$L:$L, Antigua!$B:$B, $A26, Antigua!$D:$D, "London") + SUMIFS(Barbados!$L:$L, Barbados!$B:$B, $A26, Barbados!$D:$D, "London") + SUMIFS(Bermuda!$L:$L, Bermuda!$B:$B, $A26, Bermuda!$D:$D, "London") + SUMIFS(Carolina!$L:$L, Carolina!$B:$B, $A26, Carolina!$D:$D, "London") + SUMIFS(Jamaica!$L:$L, Jamaica!$B:$B, $A26, Jamaica!$D:$D, "London") + SUMIFS(Mountserat!$L:$L, Mountserat!$B:$B, $A26, Mountserat!$D:$D, "London") + SUMIFS(Nevis!$L:$L, Nevis!$B:$B, $A26, Nevis!$D:$D, "London") + SUMIFS(NewEngland!$L:$L, NewEngland!$B:$B, $A26, NewEngland!$D:$D, "London")</f>
        <v>2.0535714285714286E-2</v>
      </c>
      <c r="C26">
        <f>SUMIFS(Antigua!$L:$L, Antigua!$B:$B, $A26, Antigua!$D:$D, "Out Ports") + SUMIFS(Barbados!$L:$L, Barbados!$B:$B, $A26, Barbados!$D:$D, "Out Ports") + SUMIFS(Bermuda!$L:$L, Bermuda!$B:$B, $A26, Bermuda!$D:$D, "Out Ports") + SUMIFS(Carolina!$L:$L, Carolina!$B:$B, $A26, Carolina!$D:$D, "Out Ports") + SUMIFS(Jamaica!$L:$L, Jamaica!$B:$B, $A26, Jamaica!$D:$D, "Out Ports") + SUMIFS(Mountserat!$L:$L, Mountserat!$B:$B, $A26, Mountserat!$D:$D, "Out Ports") + SUMIFS(Nevis!$L:$L, Nevis!$B:$B, $A26, Nevis!$D:$D, "Out Ports") + SUMIFS(NewEngland!$L:$L, NewEngland!$B:$B, $A26, NewEngland!$D:$D, "Out Ports")</f>
        <v>0</v>
      </c>
      <c r="D26">
        <f t="shared" si="0"/>
        <v>0.02</v>
      </c>
    </row>
    <row r="27" spans="1:4" x14ac:dyDescent="0.25">
      <c r="A27" t="s">
        <v>71</v>
      </c>
      <c r="B27">
        <f>SUMIFS(Antigua!$L:$L, Antigua!$B:$B, $A27, Antigua!$D:$D, "London") + SUMIFS(Barbados!$L:$L, Barbados!$B:$B, $A27, Barbados!$D:$D, "London") + SUMIFS(Bermuda!$L:$L, Bermuda!$B:$B, $A27, Bermuda!$D:$D, "London") + SUMIFS(Carolina!$L:$L, Carolina!$B:$B, $A27, Carolina!$D:$D, "London") + SUMIFS(Jamaica!$L:$L, Jamaica!$B:$B, $A27, Jamaica!$D:$D, "London") + SUMIFS(Mountserat!$L:$L, Mountserat!$B:$B, $A27, Mountserat!$D:$D, "London") + SUMIFS(Nevis!$L:$L, Nevis!$B:$B, $A27, Nevis!$D:$D, "London") + SUMIFS(NewEngland!$L:$L, NewEngland!$B:$B, $A27, NewEngland!$D:$D, "London")</f>
        <v>0</v>
      </c>
      <c r="C27">
        <f>SUMIFS(Antigua!$L:$L, Antigua!$B:$B, $A27, Antigua!$D:$D, "Out Ports") + SUMIFS(Barbados!$L:$L, Barbados!$B:$B, $A27, Barbados!$D:$D, "Out Ports") + SUMIFS(Bermuda!$L:$L, Bermuda!$B:$B, $A27, Bermuda!$D:$D, "Out Ports") + SUMIFS(Carolina!$L:$L, Carolina!$B:$B, $A27, Carolina!$D:$D, "Out Ports") + SUMIFS(Jamaica!$L:$L, Jamaica!$B:$B, $A27, Jamaica!$D:$D, "Out Ports") + SUMIFS(Mountserat!$L:$L, Mountserat!$B:$B, $A27, Mountserat!$D:$D, "Out Ports") + SUMIFS(Nevis!$L:$L, Nevis!$B:$B, $A27, Nevis!$D:$D, "Out Ports") + SUMIFS(NewEngland!$L:$L, NewEngland!$B:$B, $A27, NewEngland!$D:$D, "Out Ports")</f>
        <v>0</v>
      </c>
      <c r="D27">
        <f t="shared" si="0"/>
        <v>0</v>
      </c>
    </row>
    <row r="28" spans="1:4" x14ac:dyDescent="0.25">
      <c r="A28" t="s">
        <v>72</v>
      </c>
      <c r="B28">
        <f>SUMIFS(Antigua!$L:$L, Antigua!$B:$B, $A28, Antigua!$D:$D, "London") + SUMIFS(Barbados!$L:$L, Barbados!$B:$B, $A28, Barbados!$D:$D, "London") + SUMIFS(Bermuda!$L:$L, Bermuda!$B:$B, $A28, Bermuda!$D:$D, "London") + SUMIFS(Carolina!$L:$L, Carolina!$B:$B, $A28, Carolina!$D:$D, "London") + SUMIFS(Jamaica!$L:$L, Jamaica!$B:$B, $A28, Jamaica!$D:$D, "London") + SUMIFS(Mountserat!$L:$L, Mountserat!$B:$B, $A28, Mountserat!$D:$D, "London") + SUMIFS(Nevis!$L:$L, Nevis!$B:$B, $A28, Nevis!$D:$D, "London") + SUMIFS(NewEngland!$L:$L, NewEngland!$B:$B, $A28, NewEngland!$D:$D, "London")</f>
        <v>0</v>
      </c>
      <c r="C28">
        <f>SUMIFS(Antigua!$L:$L, Antigua!$B:$B, $A28, Antigua!$D:$D, "Out Ports") + SUMIFS(Barbados!$L:$L, Barbados!$B:$B, $A28, Barbados!$D:$D, "Out Ports") + SUMIFS(Bermuda!$L:$L, Bermuda!$B:$B, $A28, Bermuda!$D:$D, "Out Ports") + SUMIFS(Carolina!$L:$L, Carolina!$B:$B, $A28, Carolina!$D:$D, "Out Ports") + SUMIFS(Jamaica!$L:$L, Jamaica!$B:$B, $A28, Jamaica!$D:$D, "Out Ports") + SUMIFS(Mountserat!$L:$L, Mountserat!$B:$B, $A28, Mountserat!$D:$D, "Out Ports") + SUMIFS(Nevis!$L:$L, Nevis!$B:$B, $A28, Nevis!$D:$D, "Out Ports") + SUMIFS(NewEngland!$L:$L, NewEngland!$B:$B, $A28, NewEngland!$D:$D, "Out Ports")</f>
        <v>0</v>
      </c>
      <c r="D28">
        <f t="shared" si="0"/>
        <v>0</v>
      </c>
    </row>
    <row r="29" spans="1:4" x14ac:dyDescent="0.25">
      <c r="A29" t="s">
        <v>73</v>
      </c>
      <c r="B29">
        <f>SUMIFS(Antigua!$L:$L, Antigua!$B:$B, $A29, Antigua!$D:$D, "London") + SUMIFS(Barbados!$L:$L, Barbados!$B:$B, $A29, Barbados!$D:$D, "London") + SUMIFS(Bermuda!$L:$L, Bermuda!$B:$B, $A29, Bermuda!$D:$D, "London") + SUMIFS(Carolina!$L:$L, Carolina!$B:$B, $A29, Carolina!$D:$D, "London") + SUMIFS(Jamaica!$L:$L, Jamaica!$B:$B, $A29, Jamaica!$D:$D, "London") + SUMIFS(Mountserat!$L:$L, Mountserat!$B:$B, $A29, Mountserat!$D:$D, "London") + SUMIFS(Nevis!$L:$L, Nevis!$B:$B, $A29, Nevis!$D:$D, "London") + SUMIFS(NewEngland!$L:$L, NewEngland!$B:$B, $A29, NewEngland!$D:$D, "London")</f>
        <v>0</v>
      </c>
      <c r="C29">
        <f>SUMIFS(Antigua!$L:$L, Antigua!$B:$B, $A29, Antigua!$D:$D, "Out Ports") + SUMIFS(Barbados!$L:$L, Barbados!$B:$B, $A29, Barbados!$D:$D, "Out Ports") + SUMIFS(Bermuda!$L:$L, Bermuda!$B:$B, $A29, Bermuda!$D:$D, "Out Ports") + SUMIFS(Carolina!$L:$L, Carolina!$B:$B, $A29, Carolina!$D:$D, "Out Ports") + SUMIFS(Jamaica!$L:$L, Jamaica!$B:$B, $A29, Jamaica!$D:$D, "Out Ports") + SUMIFS(Mountserat!$L:$L, Mountserat!$B:$B, $A29, Mountserat!$D:$D, "Out Ports") + SUMIFS(Nevis!$L:$L, Nevis!$B:$B, $A29, Nevis!$D:$D, "Out Ports") + SUMIFS(NewEngland!$L:$L, NewEngland!$B:$B, $A29, NewEngland!$D:$D, "Out Ports")</f>
        <v>0</v>
      </c>
      <c r="D29">
        <f t="shared" si="0"/>
        <v>0</v>
      </c>
    </row>
    <row r="30" spans="1:4" x14ac:dyDescent="0.25">
      <c r="A30" t="s">
        <v>74</v>
      </c>
      <c r="B30">
        <f>SUMIFS(Antigua!$L:$L, Antigua!$B:$B, $A30, Antigua!$D:$D, "London") + SUMIFS(Barbados!$L:$L, Barbados!$B:$B, $A30, Barbados!$D:$D, "London") + SUMIFS(Bermuda!$L:$L, Bermuda!$B:$B, $A30, Bermuda!$D:$D, "London") + SUMIFS(Carolina!$L:$L, Carolina!$B:$B, $A30, Carolina!$D:$D, "London") + SUMIFS(Jamaica!$L:$L, Jamaica!$B:$B, $A30, Jamaica!$D:$D, "London") + SUMIFS(Mountserat!$L:$L, Mountserat!$B:$B, $A30, Mountserat!$D:$D, "London") + SUMIFS(Nevis!$L:$L, Nevis!$B:$B, $A30, Nevis!$D:$D, "London") + SUMIFS(NewEngland!$L:$L, NewEngland!$B:$B, $A30, NewEngland!$D:$D, "London")</f>
        <v>0</v>
      </c>
      <c r="C30">
        <f>SUMIFS(Antigua!$L:$L, Antigua!$B:$B, $A30, Antigua!$D:$D, "Out Ports") + SUMIFS(Barbados!$L:$L, Barbados!$B:$B, $A30, Barbados!$D:$D, "Out Ports") + SUMIFS(Bermuda!$L:$L, Bermuda!$B:$B, $A30, Bermuda!$D:$D, "Out Ports") + SUMIFS(Carolina!$L:$L, Carolina!$B:$B, $A30, Carolina!$D:$D, "Out Ports") + SUMIFS(Jamaica!$L:$L, Jamaica!$B:$B, $A30, Jamaica!$D:$D, "Out Ports") + SUMIFS(Mountserat!$L:$L, Mountserat!$B:$B, $A30, Mountserat!$D:$D, "Out Ports") + SUMIFS(Nevis!$L:$L, Nevis!$B:$B, $A30, Nevis!$D:$D, "Out Ports") + SUMIFS(NewEngland!$L:$L, NewEngland!$B:$B, $A30, NewEngland!$D:$D, "Out Ports")</f>
        <v>0</v>
      </c>
      <c r="D30">
        <f t="shared" si="0"/>
        <v>0</v>
      </c>
    </row>
    <row r="31" spans="1:4" x14ac:dyDescent="0.25">
      <c r="A31" t="s">
        <v>21</v>
      </c>
      <c r="B31">
        <f>SUMIFS(Antigua!$L:$L, Antigua!$B:$B, $A31, Antigua!$D:$D, "London") + SUMIFS(Barbados!$L:$L, Barbados!$B:$B, $A31, Barbados!$D:$D, "London") + SUMIFS(Bermuda!$L:$L, Bermuda!$B:$B, $A31, Bermuda!$D:$D, "London") + SUMIFS(Carolina!$L:$L, Carolina!$B:$B, $A31, Carolina!$D:$D, "London") + SUMIFS(Jamaica!$L:$L, Jamaica!$B:$B, $A31, Jamaica!$D:$D, "London") + SUMIFS(Mountserat!$L:$L, Mountserat!$B:$B, $A31, Mountserat!$D:$D, "London") + SUMIFS(Nevis!$L:$L, Nevis!$B:$B, $A31, Nevis!$D:$D, "London") + SUMIFS(NewEngland!$L:$L, NewEngland!$B:$B, $A31, NewEngland!$D:$D, "London")</f>
        <v>1.2535714285714286</v>
      </c>
      <c r="C31">
        <f>SUMIFS(Antigua!$L:$L, Antigua!$B:$B, $A31, Antigua!$D:$D, "Out Ports") + SUMIFS(Barbados!$L:$L, Barbados!$B:$B, $A31, Barbados!$D:$D, "Out Ports") + SUMIFS(Bermuda!$L:$L, Bermuda!$B:$B, $A31, Bermuda!$D:$D, "Out Ports") + SUMIFS(Carolina!$L:$L, Carolina!$B:$B, $A31, Carolina!$D:$D, "Out Ports") + SUMIFS(Jamaica!$L:$L, Jamaica!$B:$B, $A31, Jamaica!$D:$D, "Out Ports") + SUMIFS(Mountserat!$L:$L, Mountserat!$B:$B, $A31, Mountserat!$D:$D, "Out Ports") + SUMIFS(Nevis!$L:$L, Nevis!$B:$B, $A31, Nevis!$D:$D, "Out Ports") + SUMIFS(NewEngland!$L:$L, NewEngland!$B:$B, $A31, NewEngland!$D:$D, "Out Ports")</f>
        <v>0</v>
      </c>
      <c r="D31">
        <f t="shared" si="0"/>
        <v>1.25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3D6FA2-B6A0-4711-A44A-6CA286BF1E63}">
  <dimension ref="A1:L24"/>
  <sheetViews>
    <sheetView workbookViewId="0">
      <selection activeCell="H6" sqref="H6"/>
    </sheetView>
  </sheetViews>
  <sheetFormatPr defaultRowHeight="15" x14ac:dyDescent="0.25"/>
  <cols>
    <col min="2" max="3" width="17.5703125" customWidth="1"/>
    <col min="4" max="4" width="15.85546875" customWidth="1"/>
    <col min="7" max="7" width="11.140625" customWidth="1"/>
    <col min="8" max="9" width="18.42578125" customWidth="1"/>
  </cols>
  <sheetData>
    <row r="1" spans="1:12" x14ac:dyDescent="0.25">
      <c r="A1" s="1" t="s">
        <v>75</v>
      </c>
      <c r="B1" s="1" t="s">
        <v>76</v>
      </c>
      <c r="C1" s="1" t="s">
        <v>77</v>
      </c>
      <c r="D1" s="1" t="s">
        <v>78</v>
      </c>
      <c r="E1" s="1" t="s">
        <v>79</v>
      </c>
      <c r="F1" s="1" t="s">
        <v>80</v>
      </c>
      <c r="G1" s="1" t="s">
        <v>81</v>
      </c>
      <c r="H1" s="1" t="s">
        <v>82</v>
      </c>
      <c r="I1" s="1"/>
      <c r="J1" s="1" t="s">
        <v>0</v>
      </c>
      <c r="K1" s="1"/>
      <c r="L1" s="1" t="s">
        <v>83</v>
      </c>
    </row>
    <row r="2" spans="1:12" x14ac:dyDescent="0.25">
      <c r="A2">
        <v>1702</v>
      </c>
      <c r="B2" t="s">
        <v>11</v>
      </c>
      <c r="C2" t="s">
        <v>84</v>
      </c>
      <c r="D2" t="s">
        <v>1</v>
      </c>
      <c r="F2">
        <v>44352</v>
      </c>
      <c r="G2">
        <v>1</v>
      </c>
      <c r="H2">
        <v>12</v>
      </c>
      <c r="J2">
        <f t="shared" ref="J2:J24" si="0">(E2*2240)+(F2*112)+(G2*28)+H2</f>
        <v>4967464</v>
      </c>
      <c r="L2">
        <f t="shared" ref="L2:L24" si="1">J2/2240</f>
        <v>2217.6178571428572</v>
      </c>
    </row>
    <row r="3" spans="1:12" x14ac:dyDescent="0.25">
      <c r="A3">
        <v>1702</v>
      </c>
      <c r="B3" t="s">
        <v>7</v>
      </c>
      <c r="C3" t="s">
        <v>84</v>
      </c>
      <c r="D3" t="s">
        <v>1</v>
      </c>
      <c r="H3">
        <v>16</v>
      </c>
      <c r="J3">
        <f t="shared" si="0"/>
        <v>16</v>
      </c>
      <c r="L3">
        <f t="shared" si="1"/>
        <v>7.1428571428571426E-3</v>
      </c>
    </row>
    <row r="4" spans="1:12" x14ac:dyDescent="0.25">
      <c r="A4">
        <v>1702</v>
      </c>
      <c r="B4" t="s">
        <v>70</v>
      </c>
      <c r="C4" t="s">
        <v>84</v>
      </c>
      <c r="D4" t="s">
        <v>1</v>
      </c>
      <c r="F4">
        <v>24</v>
      </c>
      <c r="G4">
        <v>3</v>
      </c>
      <c r="H4">
        <v>16</v>
      </c>
      <c r="J4">
        <f t="shared" si="0"/>
        <v>2788</v>
      </c>
      <c r="L4">
        <f t="shared" si="1"/>
        <v>1.2446428571428572</v>
      </c>
    </row>
    <row r="5" spans="1:12" x14ac:dyDescent="0.25">
      <c r="A5">
        <v>1702</v>
      </c>
      <c r="B5" t="s">
        <v>3</v>
      </c>
      <c r="C5" t="s">
        <v>84</v>
      </c>
      <c r="D5" t="s">
        <v>1</v>
      </c>
      <c r="H5">
        <f>471*200</f>
        <v>94200</v>
      </c>
      <c r="I5" t="s">
        <v>41</v>
      </c>
      <c r="J5">
        <f t="shared" si="0"/>
        <v>94200</v>
      </c>
      <c r="L5">
        <f t="shared" si="1"/>
        <v>42.053571428571431</v>
      </c>
    </row>
    <row r="6" spans="1:12" x14ac:dyDescent="0.25">
      <c r="A6">
        <v>1702</v>
      </c>
      <c r="B6" t="s">
        <v>9</v>
      </c>
      <c r="C6" t="s">
        <v>84</v>
      </c>
      <c r="D6" t="s">
        <v>1</v>
      </c>
      <c r="F6">
        <v>536</v>
      </c>
      <c r="G6">
        <v>1</v>
      </c>
      <c r="J6">
        <f t="shared" si="0"/>
        <v>60060</v>
      </c>
      <c r="L6">
        <f t="shared" si="1"/>
        <v>26.8125</v>
      </c>
    </row>
    <row r="7" spans="1:12" x14ac:dyDescent="0.25">
      <c r="A7">
        <v>1702</v>
      </c>
      <c r="B7" t="s">
        <v>18</v>
      </c>
      <c r="C7" t="s">
        <v>84</v>
      </c>
      <c r="D7" t="s">
        <v>1</v>
      </c>
      <c r="F7">
        <v>29</v>
      </c>
      <c r="G7">
        <v>2</v>
      </c>
      <c r="H7">
        <v>25</v>
      </c>
      <c r="J7">
        <f t="shared" si="0"/>
        <v>3329</v>
      </c>
      <c r="L7">
        <f t="shared" si="1"/>
        <v>1.4861607142857143</v>
      </c>
    </row>
    <row r="8" spans="1:12" x14ac:dyDescent="0.25">
      <c r="A8">
        <v>1702</v>
      </c>
      <c r="B8" t="s">
        <v>38</v>
      </c>
      <c r="C8" t="s">
        <v>84</v>
      </c>
      <c r="D8" t="s">
        <v>1</v>
      </c>
      <c r="E8">
        <v>106</v>
      </c>
      <c r="F8">
        <v>17</v>
      </c>
      <c r="G8">
        <v>3</v>
      </c>
      <c r="J8">
        <f t="shared" si="0"/>
        <v>239428</v>
      </c>
      <c r="L8">
        <f t="shared" si="1"/>
        <v>106.8875</v>
      </c>
    </row>
    <row r="9" spans="1:12" x14ac:dyDescent="0.25">
      <c r="A9">
        <v>1702</v>
      </c>
      <c r="B9" t="s">
        <v>14</v>
      </c>
      <c r="C9" t="s">
        <v>84</v>
      </c>
      <c r="D9" t="s">
        <v>1</v>
      </c>
      <c r="H9">
        <v>350</v>
      </c>
      <c r="I9" t="s">
        <v>42</v>
      </c>
      <c r="J9">
        <f t="shared" si="0"/>
        <v>350</v>
      </c>
      <c r="L9">
        <f t="shared" si="1"/>
        <v>0.15625</v>
      </c>
    </row>
    <row r="10" spans="1:12" x14ac:dyDescent="0.25">
      <c r="A10">
        <v>1702</v>
      </c>
      <c r="B10" t="s">
        <v>21</v>
      </c>
      <c r="C10" t="s">
        <v>84</v>
      </c>
      <c r="D10" t="s">
        <v>1</v>
      </c>
      <c r="H10">
        <v>160</v>
      </c>
      <c r="I10" t="s">
        <v>40</v>
      </c>
      <c r="J10">
        <f t="shared" si="0"/>
        <v>160</v>
      </c>
      <c r="L10">
        <f t="shared" si="1"/>
        <v>7.1428571428571425E-2</v>
      </c>
    </row>
    <row r="11" spans="1:12" x14ac:dyDescent="0.25">
      <c r="A11">
        <v>1702</v>
      </c>
      <c r="B11" t="s">
        <v>10</v>
      </c>
      <c r="C11" t="s">
        <v>84</v>
      </c>
      <c r="D11" t="s">
        <v>1</v>
      </c>
      <c r="F11">
        <v>1105</v>
      </c>
      <c r="G11">
        <v>1</v>
      </c>
      <c r="H11">
        <v>7</v>
      </c>
      <c r="J11">
        <f t="shared" si="0"/>
        <v>123795</v>
      </c>
      <c r="L11">
        <f t="shared" si="1"/>
        <v>55.265625</v>
      </c>
    </row>
    <row r="12" spans="1:12" x14ac:dyDescent="0.25">
      <c r="A12">
        <v>1702</v>
      </c>
      <c r="B12" t="s">
        <v>27</v>
      </c>
      <c r="C12" t="s">
        <v>84</v>
      </c>
      <c r="D12" t="s">
        <v>1</v>
      </c>
      <c r="H12">
        <v>45</v>
      </c>
      <c r="J12">
        <f t="shared" si="0"/>
        <v>45</v>
      </c>
      <c r="L12">
        <f t="shared" si="1"/>
        <v>2.0089285714285716E-2</v>
      </c>
    </row>
    <row r="13" spans="1:12" x14ac:dyDescent="0.25">
      <c r="A13">
        <v>1702</v>
      </c>
      <c r="B13" t="s">
        <v>17</v>
      </c>
      <c r="C13" t="s">
        <v>84</v>
      </c>
      <c r="D13" t="s">
        <v>1</v>
      </c>
      <c r="F13">
        <v>11</v>
      </c>
      <c r="G13">
        <v>1</v>
      </c>
      <c r="J13">
        <f t="shared" si="0"/>
        <v>1260</v>
      </c>
      <c r="L13">
        <f t="shared" si="1"/>
        <v>0.5625</v>
      </c>
    </row>
    <row r="14" spans="1:12" x14ac:dyDescent="0.25">
      <c r="A14">
        <v>1702</v>
      </c>
      <c r="B14" t="s">
        <v>39</v>
      </c>
      <c r="C14" t="s">
        <v>84</v>
      </c>
      <c r="D14" t="s">
        <v>1</v>
      </c>
      <c r="H14">
        <v>9</v>
      </c>
      <c r="J14">
        <f t="shared" si="0"/>
        <v>9</v>
      </c>
      <c r="L14">
        <f t="shared" si="1"/>
        <v>4.0178571428571425E-3</v>
      </c>
    </row>
    <row r="15" spans="1:12" x14ac:dyDescent="0.25">
      <c r="A15">
        <v>1702</v>
      </c>
      <c r="B15" t="s">
        <v>13</v>
      </c>
      <c r="C15" t="s">
        <v>84</v>
      </c>
      <c r="D15" t="s">
        <v>1</v>
      </c>
      <c r="H15">
        <v>9920</v>
      </c>
      <c r="J15">
        <f t="shared" si="0"/>
        <v>9920</v>
      </c>
      <c r="L15">
        <f t="shared" si="1"/>
        <v>4.4285714285714288</v>
      </c>
    </row>
    <row r="16" spans="1:12" x14ac:dyDescent="0.25">
      <c r="A16">
        <v>1702</v>
      </c>
      <c r="B16" t="s">
        <v>12</v>
      </c>
      <c r="C16" t="s">
        <v>84</v>
      </c>
      <c r="D16" t="s">
        <v>1</v>
      </c>
      <c r="F16">
        <v>8</v>
      </c>
      <c r="G16">
        <v>2</v>
      </c>
      <c r="H16">
        <v>7</v>
      </c>
      <c r="J16">
        <f t="shared" si="0"/>
        <v>959</v>
      </c>
      <c r="L16">
        <f t="shared" si="1"/>
        <v>0.42812499999999998</v>
      </c>
    </row>
    <row r="17" spans="1:12" x14ac:dyDescent="0.25">
      <c r="A17">
        <v>1702</v>
      </c>
      <c r="B17" t="s">
        <v>11</v>
      </c>
      <c r="C17" t="s">
        <v>84</v>
      </c>
      <c r="D17" t="s">
        <v>5</v>
      </c>
      <c r="F17">
        <v>13849</v>
      </c>
      <c r="H17">
        <v>17</v>
      </c>
      <c r="J17">
        <f t="shared" si="0"/>
        <v>1551105</v>
      </c>
      <c r="L17">
        <f t="shared" si="1"/>
        <v>692.45758928571433</v>
      </c>
    </row>
    <row r="18" spans="1:12" x14ac:dyDescent="0.25">
      <c r="A18">
        <v>1702</v>
      </c>
      <c r="B18" t="s">
        <v>3</v>
      </c>
      <c r="C18" t="s">
        <v>84</v>
      </c>
      <c r="D18" t="s">
        <v>5</v>
      </c>
      <c r="F18">
        <v>305</v>
      </c>
      <c r="J18">
        <f t="shared" si="0"/>
        <v>34160</v>
      </c>
      <c r="L18">
        <f t="shared" si="1"/>
        <v>15.25</v>
      </c>
    </row>
    <row r="19" spans="1:12" x14ac:dyDescent="0.25">
      <c r="A19">
        <v>1702</v>
      </c>
      <c r="B19" t="s">
        <v>38</v>
      </c>
      <c r="C19" t="s">
        <v>84</v>
      </c>
      <c r="D19" t="s">
        <v>5</v>
      </c>
      <c r="F19">
        <v>143</v>
      </c>
      <c r="G19">
        <v>2</v>
      </c>
      <c r="H19">
        <v>15</v>
      </c>
      <c r="J19">
        <f t="shared" si="0"/>
        <v>16087</v>
      </c>
      <c r="L19">
        <f t="shared" si="1"/>
        <v>7.1816964285714286</v>
      </c>
    </row>
    <row r="20" spans="1:12" x14ac:dyDescent="0.25">
      <c r="A20">
        <v>1702</v>
      </c>
      <c r="B20" t="s">
        <v>10</v>
      </c>
      <c r="C20" t="s">
        <v>84</v>
      </c>
      <c r="D20" t="s">
        <v>5</v>
      </c>
      <c r="F20">
        <v>4016</v>
      </c>
      <c r="H20">
        <v>14</v>
      </c>
      <c r="J20">
        <f t="shared" si="0"/>
        <v>449806</v>
      </c>
      <c r="L20">
        <f t="shared" si="1"/>
        <v>200.80625000000001</v>
      </c>
    </row>
    <row r="21" spans="1:12" x14ac:dyDescent="0.25">
      <c r="A21">
        <v>1702</v>
      </c>
      <c r="B21" t="s">
        <v>32</v>
      </c>
      <c r="C21" t="s">
        <v>84</v>
      </c>
      <c r="D21" t="s">
        <v>5</v>
      </c>
      <c r="H21">
        <v>84</v>
      </c>
      <c r="J21">
        <f t="shared" si="0"/>
        <v>84</v>
      </c>
      <c r="L21">
        <f t="shared" si="1"/>
        <v>3.7499999999999999E-2</v>
      </c>
    </row>
    <row r="22" spans="1:12" x14ac:dyDescent="0.25">
      <c r="A22">
        <v>1702</v>
      </c>
      <c r="B22" t="s">
        <v>39</v>
      </c>
      <c r="C22" t="s">
        <v>84</v>
      </c>
      <c r="D22" t="s">
        <v>5</v>
      </c>
      <c r="H22">
        <v>50</v>
      </c>
      <c r="J22">
        <f t="shared" si="0"/>
        <v>50</v>
      </c>
      <c r="L22">
        <f t="shared" si="1"/>
        <v>2.2321428571428572E-2</v>
      </c>
    </row>
    <row r="23" spans="1:12" x14ac:dyDescent="0.25">
      <c r="A23">
        <v>1702</v>
      </c>
      <c r="B23" t="s">
        <v>13</v>
      </c>
      <c r="C23" t="s">
        <v>84</v>
      </c>
      <c r="D23" t="s">
        <v>5</v>
      </c>
      <c r="H23">
        <v>5975</v>
      </c>
      <c r="J23">
        <f t="shared" si="0"/>
        <v>5975</v>
      </c>
      <c r="L23">
        <f t="shared" si="1"/>
        <v>2.6674107142857144</v>
      </c>
    </row>
    <row r="24" spans="1:12" x14ac:dyDescent="0.25">
      <c r="A24">
        <v>1702</v>
      </c>
      <c r="B24" t="s">
        <v>16</v>
      </c>
      <c r="C24" t="s">
        <v>84</v>
      </c>
      <c r="D24" t="s">
        <v>5</v>
      </c>
      <c r="H24">
        <v>20</v>
      </c>
      <c r="J24">
        <f t="shared" si="0"/>
        <v>20</v>
      </c>
      <c r="L24">
        <f t="shared" si="1"/>
        <v>8.9285714285714281E-3</v>
      </c>
    </row>
  </sheetData>
  <autoFilter ref="A1:L24" xr:uid="{693D6FA2-B6A0-4711-A44A-6CA286BF1E63}">
    <sortState xmlns:xlrd2="http://schemas.microsoft.com/office/spreadsheetml/2017/richdata2" ref="A2:L24">
      <sortCondition ref="D1:D24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D1F908-12B8-4B3A-A65D-184CD229ACD4}">
  <dimension ref="A1:P36"/>
  <sheetViews>
    <sheetView workbookViewId="0">
      <selection activeCell="H10" sqref="H10"/>
    </sheetView>
  </sheetViews>
  <sheetFormatPr defaultRowHeight="15" x14ac:dyDescent="0.25"/>
  <cols>
    <col min="2" max="3" width="19.42578125" customWidth="1"/>
    <col min="4" max="4" width="12.85546875" customWidth="1"/>
    <col min="7" max="7" width="11.42578125" customWidth="1"/>
    <col min="8" max="9" width="14" customWidth="1"/>
  </cols>
  <sheetData>
    <row r="1" spans="1:16" x14ac:dyDescent="0.25">
      <c r="A1" s="1" t="s">
        <v>75</v>
      </c>
      <c r="B1" s="1" t="s">
        <v>76</v>
      </c>
      <c r="C1" s="1" t="s">
        <v>77</v>
      </c>
      <c r="D1" s="1" t="s">
        <v>78</v>
      </c>
      <c r="E1" s="1" t="s">
        <v>79</v>
      </c>
      <c r="F1" s="1" t="s">
        <v>80</v>
      </c>
      <c r="G1" s="1" t="s">
        <v>81</v>
      </c>
      <c r="H1" s="1" t="s">
        <v>82</v>
      </c>
      <c r="I1" s="1"/>
      <c r="J1" s="1" t="s">
        <v>0</v>
      </c>
      <c r="K1" s="1"/>
      <c r="L1" s="1" t="s">
        <v>83</v>
      </c>
      <c r="N1" t="s">
        <v>36</v>
      </c>
      <c r="P1" t="s">
        <v>31</v>
      </c>
    </row>
    <row r="2" spans="1:16" x14ac:dyDescent="0.25">
      <c r="A2">
        <v>1702</v>
      </c>
      <c r="B2" t="s">
        <v>19</v>
      </c>
      <c r="C2" t="s">
        <v>85</v>
      </c>
      <c r="D2" t="s">
        <v>1</v>
      </c>
      <c r="H2">
        <v>3010</v>
      </c>
      <c r="J2">
        <f t="shared" ref="J2:J36" si="0">(E2*2240)+(F2*112)+(G2*28)+H2</f>
        <v>3010</v>
      </c>
      <c r="L2">
        <f t="shared" ref="L2:L36" si="1">J2/2240</f>
        <v>1.34375</v>
      </c>
      <c r="N2">
        <f>L2+L3+L4+L11+L12+L13+L14+L17+L19+L20+L21+L26+L28+L29+L34+L35+L7+L6+L23+L25+L27+L33</f>
        <v>339.58616071428571</v>
      </c>
      <c r="P2">
        <f>L5+L8+L9+L10+L30+L31+L32</f>
        <v>3138.4656249999998</v>
      </c>
    </row>
    <row r="3" spans="1:16" x14ac:dyDescent="0.25">
      <c r="A3">
        <v>1702</v>
      </c>
      <c r="B3" t="s">
        <v>6</v>
      </c>
      <c r="C3" t="s">
        <v>85</v>
      </c>
      <c r="D3" t="s">
        <v>1</v>
      </c>
      <c r="F3">
        <v>1</v>
      </c>
      <c r="J3">
        <f t="shared" si="0"/>
        <v>112</v>
      </c>
      <c r="L3">
        <f t="shared" si="1"/>
        <v>0.05</v>
      </c>
    </row>
    <row r="4" spans="1:16" x14ac:dyDescent="0.25">
      <c r="A4">
        <v>1702</v>
      </c>
      <c r="B4" t="s">
        <v>8</v>
      </c>
      <c r="C4" t="s">
        <v>85</v>
      </c>
      <c r="D4" t="s">
        <v>1</v>
      </c>
      <c r="H4">
        <v>756</v>
      </c>
      <c r="I4" t="s">
        <v>46</v>
      </c>
      <c r="J4">
        <f t="shared" si="0"/>
        <v>756</v>
      </c>
      <c r="L4">
        <f t="shared" si="1"/>
        <v>0.33750000000000002</v>
      </c>
    </row>
    <row r="5" spans="1:16" x14ac:dyDescent="0.25">
      <c r="A5">
        <v>1702</v>
      </c>
      <c r="B5" t="s">
        <v>11</v>
      </c>
      <c r="C5" t="s">
        <v>85</v>
      </c>
      <c r="D5" t="s">
        <v>1</v>
      </c>
      <c r="F5">
        <v>57018</v>
      </c>
      <c r="G5">
        <v>3</v>
      </c>
      <c r="H5">
        <v>20</v>
      </c>
      <c r="J5">
        <f t="shared" si="0"/>
        <v>6386120</v>
      </c>
      <c r="L5">
        <f t="shared" si="1"/>
        <v>2850.9464285714284</v>
      </c>
    </row>
    <row r="6" spans="1:16" x14ac:dyDescent="0.25">
      <c r="A6">
        <v>1702</v>
      </c>
      <c r="B6" t="s">
        <v>7</v>
      </c>
      <c r="C6" t="s">
        <v>85</v>
      </c>
      <c r="D6" t="s">
        <v>1</v>
      </c>
      <c r="H6">
        <v>502</v>
      </c>
      <c r="J6">
        <f t="shared" si="0"/>
        <v>502</v>
      </c>
      <c r="L6">
        <f t="shared" si="1"/>
        <v>0.22410714285714287</v>
      </c>
    </row>
    <row r="7" spans="1:16" x14ac:dyDescent="0.25">
      <c r="A7">
        <v>1702</v>
      </c>
      <c r="B7" t="s">
        <v>86</v>
      </c>
      <c r="C7" t="s">
        <v>85</v>
      </c>
      <c r="D7" t="s">
        <v>1</v>
      </c>
      <c r="H7">
        <v>150</v>
      </c>
      <c r="J7">
        <f t="shared" si="0"/>
        <v>150</v>
      </c>
      <c r="L7">
        <f t="shared" si="1"/>
        <v>6.6964285714285712E-2</v>
      </c>
    </row>
    <row r="8" spans="1:16" x14ac:dyDescent="0.25">
      <c r="A8">
        <v>1702</v>
      </c>
      <c r="B8" t="s">
        <v>70</v>
      </c>
      <c r="C8" t="s">
        <v>85</v>
      </c>
      <c r="D8" t="s">
        <v>1</v>
      </c>
      <c r="F8">
        <v>918</v>
      </c>
      <c r="H8">
        <v>18</v>
      </c>
      <c r="J8">
        <f t="shared" si="0"/>
        <v>102834</v>
      </c>
      <c r="L8">
        <f t="shared" si="1"/>
        <v>45.908035714285717</v>
      </c>
    </row>
    <row r="9" spans="1:16" x14ac:dyDescent="0.25">
      <c r="A9">
        <v>1702</v>
      </c>
      <c r="B9" t="s">
        <v>3</v>
      </c>
      <c r="C9" t="s">
        <v>85</v>
      </c>
      <c r="D9" t="s">
        <v>1</v>
      </c>
      <c r="H9">
        <f>883*200</f>
        <v>176600</v>
      </c>
      <c r="I9" t="s">
        <v>45</v>
      </c>
      <c r="J9">
        <f t="shared" si="0"/>
        <v>176600</v>
      </c>
      <c r="L9">
        <f t="shared" si="1"/>
        <v>78.839285714285708</v>
      </c>
    </row>
    <row r="10" spans="1:16" x14ac:dyDescent="0.25">
      <c r="A10">
        <v>1702</v>
      </c>
      <c r="B10" t="s">
        <v>9</v>
      </c>
      <c r="C10" t="s">
        <v>85</v>
      </c>
      <c r="D10" t="s">
        <v>1</v>
      </c>
      <c r="F10">
        <v>2875</v>
      </c>
      <c r="H10">
        <v>17</v>
      </c>
      <c r="J10">
        <f t="shared" si="0"/>
        <v>322017</v>
      </c>
      <c r="L10">
        <f t="shared" si="1"/>
        <v>143.75758928571429</v>
      </c>
    </row>
    <row r="11" spans="1:16" x14ac:dyDescent="0.25">
      <c r="A11">
        <v>1702</v>
      </c>
      <c r="B11" t="s">
        <v>18</v>
      </c>
      <c r="C11" t="s">
        <v>85</v>
      </c>
      <c r="D11" t="s">
        <v>1</v>
      </c>
      <c r="F11">
        <v>94</v>
      </c>
      <c r="G11">
        <v>2</v>
      </c>
      <c r="J11">
        <f t="shared" si="0"/>
        <v>10584</v>
      </c>
      <c r="L11">
        <f t="shared" si="1"/>
        <v>4.7249999999999996</v>
      </c>
    </row>
    <row r="12" spans="1:16" x14ac:dyDescent="0.25">
      <c r="A12">
        <v>1702</v>
      </c>
      <c r="B12" t="s">
        <v>2</v>
      </c>
      <c r="C12" t="s">
        <v>85</v>
      </c>
      <c r="D12" t="s">
        <v>1</v>
      </c>
      <c r="H12">
        <v>1176</v>
      </c>
      <c r="J12">
        <f t="shared" si="0"/>
        <v>1176</v>
      </c>
      <c r="L12">
        <f t="shared" si="1"/>
        <v>0.52500000000000002</v>
      </c>
    </row>
    <row r="13" spans="1:16" x14ac:dyDescent="0.25">
      <c r="A13">
        <v>1702</v>
      </c>
      <c r="B13" t="s">
        <v>14</v>
      </c>
      <c r="C13" t="s">
        <v>85</v>
      </c>
      <c r="D13" t="s">
        <v>1</v>
      </c>
      <c r="H13">
        <v>12493</v>
      </c>
      <c r="I13" t="s">
        <v>47</v>
      </c>
      <c r="J13">
        <f t="shared" si="0"/>
        <v>12493</v>
      </c>
      <c r="L13">
        <f t="shared" si="1"/>
        <v>5.5772321428571425</v>
      </c>
    </row>
    <row r="14" spans="1:16" x14ac:dyDescent="0.25">
      <c r="A14">
        <v>1702</v>
      </c>
      <c r="B14" t="s">
        <v>22</v>
      </c>
      <c r="C14" t="s">
        <v>85</v>
      </c>
      <c r="D14" t="s">
        <v>1</v>
      </c>
      <c r="G14">
        <v>1</v>
      </c>
      <c r="H14">
        <v>18</v>
      </c>
      <c r="J14">
        <f t="shared" si="0"/>
        <v>46</v>
      </c>
      <c r="L14">
        <f t="shared" si="1"/>
        <v>2.0535714285714286E-2</v>
      </c>
    </row>
    <row r="15" spans="1:16" x14ac:dyDescent="0.25">
      <c r="A15">
        <v>1702</v>
      </c>
      <c r="B15" t="s">
        <v>21</v>
      </c>
      <c r="C15" t="s">
        <v>85</v>
      </c>
      <c r="D15" t="s">
        <v>1</v>
      </c>
      <c r="H15">
        <v>2000.5</v>
      </c>
      <c r="I15" t="s">
        <v>44</v>
      </c>
      <c r="J15">
        <f t="shared" si="0"/>
        <v>2000.5</v>
      </c>
      <c r="L15">
        <f t="shared" si="1"/>
        <v>0.89308035714285716</v>
      </c>
    </row>
    <row r="16" spans="1:16" x14ac:dyDescent="0.25">
      <c r="A16">
        <v>1702</v>
      </c>
      <c r="B16" t="s">
        <v>10</v>
      </c>
      <c r="C16" t="s">
        <v>85</v>
      </c>
      <c r="D16" t="s">
        <v>1</v>
      </c>
      <c r="F16">
        <v>6110</v>
      </c>
      <c r="G16">
        <v>2</v>
      </c>
      <c r="H16">
        <v>24</v>
      </c>
      <c r="J16">
        <f t="shared" si="0"/>
        <v>684400</v>
      </c>
      <c r="L16">
        <f t="shared" si="1"/>
        <v>305.53571428571428</v>
      </c>
    </row>
    <row r="17" spans="1:12" x14ac:dyDescent="0.25">
      <c r="A17">
        <v>1702</v>
      </c>
      <c r="B17" t="s">
        <v>48</v>
      </c>
      <c r="C17" t="s">
        <v>85</v>
      </c>
      <c r="D17" t="s">
        <v>1</v>
      </c>
      <c r="F17">
        <v>2</v>
      </c>
      <c r="J17">
        <f t="shared" si="0"/>
        <v>224</v>
      </c>
      <c r="L17">
        <f t="shared" si="1"/>
        <v>0.1</v>
      </c>
    </row>
    <row r="18" spans="1:12" x14ac:dyDescent="0.25">
      <c r="A18">
        <v>1702</v>
      </c>
      <c r="B18" t="s">
        <v>20</v>
      </c>
      <c r="C18" t="s">
        <v>85</v>
      </c>
      <c r="D18" t="s">
        <v>1</v>
      </c>
      <c r="F18">
        <v>1</v>
      </c>
      <c r="G18">
        <v>2</v>
      </c>
      <c r="J18">
        <f t="shared" si="0"/>
        <v>168</v>
      </c>
      <c r="L18">
        <f t="shared" si="1"/>
        <v>7.4999999999999997E-2</v>
      </c>
    </row>
    <row r="19" spans="1:12" x14ac:dyDescent="0.25">
      <c r="A19">
        <v>1702</v>
      </c>
      <c r="B19" t="s">
        <v>15</v>
      </c>
      <c r="C19" t="s">
        <v>85</v>
      </c>
      <c r="D19" t="s">
        <v>1</v>
      </c>
      <c r="H19">
        <v>4641</v>
      </c>
      <c r="I19" t="s">
        <v>49</v>
      </c>
      <c r="J19">
        <f t="shared" si="0"/>
        <v>4641</v>
      </c>
      <c r="L19">
        <f t="shared" si="1"/>
        <v>2.0718749999999999</v>
      </c>
    </row>
    <row r="20" spans="1:12" x14ac:dyDescent="0.25">
      <c r="A20">
        <v>1702</v>
      </c>
      <c r="B20" t="s">
        <v>17</v>
      </c>
      <c r="C20" t="s">
        <v>85</v>
      </c>
      <c r="D20" t="s">
        <v>1</v>
      </c>
      <c r="F20">
        <v>64</v>
      </c>
      <c r="G20">
        <v>2</v>
      </c>
      <c r="J20">
        <f t="shared" si="0"/>
        <v>7224</v>
      </c>
      <c r="L20">
        <f t="shared" si="1"/>
        <v>3.2250000000000001</v>
      </c>
    </row>
    <row r="21" spans="1:12" x14ac:dyDescent="0.25">
      <c r="A21">
        <v>1702</v>
      </c>
      <c r="B21" t="s">
        <v>43</v>
      </c>
      <c r="C21" t="s">
        <v>85</v>
      </c>
      <c r="D21" t="s">
        <v>1</v>
      </c>
      <c r="G21">
        <v>3</v>
      </c>
      <c r="J21">
        <f t="shared" si="0"/>
        <v>84</v>
      </c>
      <c r="L21">
        <f t="shared" si="1"/>
        <v>3.7499999999999999E-2</v>
      </c>
    </row>
    <row r="22" spans="1:12" x14ac:dyDescent="0.25">
      <c r="A22">
        <v>1702</v>
      </c>
      <c r="B22" t="s">
        <v>32</v>
      </c>
      <c r="C22" t="s">
        <v>85</v>
      </c>
      <c r="D22" t="s">
        <v>1</v>
      </c>
      <c r="H22">
        <v>50</v>
      </c>
      <c r="J22">
        <f t="shared" si="0"/>
        <v>50</v>
      </c>
      <c r="L22">
        <f t="shared" si="1"/>
        <v>2.2321428571428572E-2</v>
      </c>
    </row>
    <row r="23" spans="1:12" x14ac:dyDescent="0.25">
      <c r="A23">
        <v>1702</v>
      </c>
      <c r="B23" t="s">
        <v>39</v>
      </c>
      <c r="C23" t="s">
        <v>85</v>
      </c>
      <c r="D23" t="s">
        <v>1</v>
      </c>
      <c r="H23">
        <v>454</v>
      </c>
      <c r="J23">
        <f t="shared" si="0"/>
        <v>454</v>
      </c>
      <c r="L23">
        <f t="shared" si="1"/>
        <v>0.20267857142857143</v>
      </c>
    </row>
    <row r="24" spans="1:12" x14ac:dyDescent="0.25">
      <c r="A24">
        <v>1702</v>
      </c>
      <c r="B24" t="s">
        <v>13</v>
      </c>
      <c r="C24" t="s">
        <v>85</v>
      </c>
      <c r="D24" t="s">
        <v>1</v>
      </c>
      <c r="H24">
        <v>61767</v>
      </c>
      <c r="J24">
        <f t="shared" si="0"/>
        <v>61767</v>
      </c>
      <c r="L24">
        <f t="shared" si="1"/>
        <v>27.57455357142857</v>
      </c>
    </row>
    <row r="25" spans="1:12" x14ac:dyDescent="0.25">
      <c r="A25">
        <v>1702</v>
      </c>
      <c r="B25" t="s">
        <v>16</v>
      </c>
      <c r="C25" t="s">
        <v>85</v>
      </c>
      <c r="D25" t="s">
        <v>1</v>
      </c>
      <c r="H25">
        <v>74</v>
      </c>
      <c r="J25">
        <f t="shared" si="0"/>
        <v>74</v>
      </c>
      <c r="L25">
        <f t="shared" si="1"/>
        <v>3.3035714285714286E-2</v>
      </c>
    </row>
    <row r="26" spans="1:12" x14ac:dyDescent="0.25">
      <c r="A26">
        <v>1702</v>
      </c>
      <c r="B26" t="s">
        <v>12</v>
      </c>
      <c r="C26" t="s">
        <v>85</v>
      </c>
      <c r="D26" t="s">
        <v>1</v>
      </c>
      <c r="F26">
        <v>546</v>
      </c>
      <c r="G26">
        <v>1</v>
      </c>
      <c r="J26">
        <f t="shared" si="0"/>
        <v>61180</v>
      </c>
      <c r="L26">
        <f t="shared" si="1"/>
        <v>27.3125</v>
      </c>
    </row>
    <row r="27" spans="1:12" x14ac:dyDescent="0.25">
      <c r="A27">
        <v>1702</v>
      </c>
      <c r="B27" t="s">
        <v>11</v>
      </c>
      <c r="C27" t="s">
        <v>85</v>
      </c>
      <c r="D27" t="s">
        <v>5</v>
      </c>
      <c r="F27">
        <v>4293</v>
      </c>
      <c r="G27">
        <v>2</v>
      </c>
      <c r="H27">
        <v>19</v>
      </c>
      <c r="J27">
        <f t="shared" si="0"/>
        <v>480891</v>
      </c>
      <c r="L27">
        <f t="shared" si="1"/>
        <v>214.68348214285714</v>
      </c>
    </row>
    <row r="28" spans="1:12" x14ac:dyDescent="0.25">
      <c r="A28">
        <v>1702</v>
      </c>
      <c r="B28" t="s">
        <v>70</v>
      </c>
      <c r="C28" t="s">
        <v>85</v>
      </c>
      <c r="D28" t="s">
        <v>5</v>
      </c>
      <c r="H28">
        <v>453</v>
      </c>
      <c r="J28">
        <f t="shared" si="0"/>
        <v>453</v>
      </c>
      <c r="L28">
        <f t="shared" si="1"/>
        <v>0.20223214285714286</v>
      </c>
    </row>
    <row r="29" spans="1:12" x14ac:dyDescent="0.25">
      <c r="A29">
        <v>1702</v>
      </c>
      <c r="B29" t="s">
        <v>3</v>
      </c>
      <c r="C29" t="s">
        <v>85</v>
      </c>
      <c r="D29" t="s">
        <v>5</v>
      </c>
      <c r="F29">
        <v>428</v>
      </c>
      <c r="G29">
        <v>3</v>
      </c>
      <c r="H29">
        <v>25</v>
      </c>
      <c r="J29">
        <f t="shared" si="0"/>
        <v>48045</v>
      </c>
      <c r="L29">
        <f t="shared" si="1"/>
        <v>21.448660714285715</v>
      </c>
    </row>
    <row r="30" spans="1:12" x14ac:dyDescent="0.25">
      <c r="A30">
        <v>1702</v>
      </c>
      <c r="B30" t="s">
        <v>9</v>
      </c>
      <c r="C30" t="s">
        <v>85</v>
      </c>
      <c r="D30" t="s">
        <v>5</v>
      </c>
      <c r="F30">
        <v>343</v>
      </c>
      <c r="G30">
        <v>2</v>
      </c>
      <c r="H30">
        <v>26</v>
      </c>
      <c r="J30">
        <f t="shared" si="0"/>
        <v>38498</v>
      </c>
      <c r="L30">
        <f t="shared" si="1"/>
        <v>17.186607142857142</v>
      </c>
    </row>
    <row r="31" spans="1:12" x14ac:dyDescent="0.25">
      <c r="A31">
        <v>1702</v>
      </c>
      <c r="B31" t="s">
        <v>18</v>
      </c>
      <c r="C31" t="s">
        <v>85</v>
      </c>
      <c r="D31" t="s">
        <v>5</v>
      </c>
      <c r="F31">
        <v>16</v>
      </c>
      <c r="G31">
        <v>2</v>
      </c>
      <c r="H31">
        <v>6</v>
      </c>
      <c r="J31">
        <f t="shared" si="0"/>
        <v>1854</v>
      </c>
      <c r="L31">
        <f t="shared" si="1"/>
        <v>0.82767857142857137</v>
      </c>
    </row>
    <row r="32" spans="1:12" x14ac:dyDescent="0.25">
      <c r="A32">
        <v>1702</v>
      </c>
      <c r="B32" t="s">
        <v>38</v>
      </c>
      <c r="C32" t="s">
        <v>85</v>
      </c>
      <c r="D32" t="s">
        <v>5</v>
      </c>
      <c r="F32">
        <v>20</v>
      </c>
      <c r="J32">
        <f t="shared" si="0"/>
        <v>2240</v>
      </c>
      <c r="L32">
        <f t="shared" si="1"/>
        <v>1</v>
      </c>
    </row>
    <row r="33" spans="1:12" x14ac:dyDescent="0.25">
      <c r="A33">
        <v>1702</v>
      </c>
      <c r="B33" t="s">
        <v>10</v>
      </c>
      <c r="C33" t="s">
        <v>85</v>
      </c>
      <c r="D33" t="s">
        <v>5</v>
      </c>
      <c r="F33">
        <v>910</v>
      </c>
      <c r="H33">
        <v>8</v>
      </c>
      <c r="J33">
        <f t="shared" si="0"/>
        <v>101928</v>
      </c>
      <c r="L33">
        <f t="shared" si="1"/>
        <v>45.503571428571426</v>
      </c>
    </row>
    <row r="34" spans="1:12" x14ac:dyDescent="0.25">
      <c r="A34">
        <v>1702</v>
      </c>
      <c r="B34" t="s">
        <v>15</v>
      </c>
      <c r="C34" t="s">
        <v>85</v>
      </c>
      <c r="D34" t="s">
        <v>5</v>
      </c>
      <c r="H34">
        <v>1320</v>
      </c>
      <c r="I34" t="s">
        <v>62</v>
      </c>
      <c r="J34">
        <f t="shared" si="0"/>
        <v>1320</v>
      </c>
      <c r="L34">
        <f t="shared" si="1"/>
        <v>0.5892857142857143</v>
      </c>
    </row>
    <row r="35" spans="1:12" x14ac:dyDescent="0.25">
      <c r="A35">
        <v>1702</v>
      </c>
      <c r="B35" t="s">
        <v>13</v>
      </c>
      <c r="C35" t="s">
        <v>85</v>
      </c>
      <c r="D35" t="s">
        <v>5</v>
      </c>
      <c r="H35">
        <v>25326</v>
      </c>
      <c r="J35">
        <f t="shared" si="0"/>
        <v>25326</v>
      </c>
      <c r="L35">
        <f t="shared" si="1"/>
        <v>11.30625</v>
      </c>
    </row>
    <row r="36" spans="1:12" x14ac:dyDescent="0.25">
      <c r="A36">
        <v>1702</v>
      </c>
      <c r="B36" t="s">
        <v>12</v>
      </c>
      <c r="C36" t="s">
        <v>85</v>
      </c>
      <c r="D36" t="s">
        <v>5</v>
      </c>
      <c r="F36">
        <v>24</v>
      </c>
      <c r="G36">
        <v>0</v>
      </c>
      <c r="H36">
        <v>0</v>
      </c>
      <c r="J36">
        <f t="shared" si="0"/>
        <v>2688</v>
      </c>
      <c r="L36">
        <f t="shared" si="1"/>
        <v>1.2</v>
      </c>
    </row>
  </sheetData>
  <autoFilter ref="A1:P36" xr:uid="{AAD1F908-12B8-4B3A-A65D-184CD229ACD4}">
    <sortState xmlns:xlrd2="http://schemas.microsoft.com/office/spreadsheetml/2017/richdata2" ref="A2:P36">
      <sortCondition ref="D1:D36"/>
    </sortState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E1E722-BBCD-461E-A313-A1216A062DC6}">
  <dimension ref="A1:L6"/>
  <sheetViews>
    <sheetView workbookViewId="0">
      <selection activeCell="H3" sqref="H3"/>
    </sheetView>
  </sheetViews>
  <sheetFormatPr defaultRowHeight="15" x14ac:dyDescent="0.25"/>
  <cols>
    <col min="2" max="3" width="17.140625" customWidth="1"/>
    <col min="4" max="4" width="13.5703125" customWidth="1"/>
    <col min="7" max="7" width="12.42578125" customWidth="1"/>
    <col min="8" max="8" width="13.85546875" customWidth="1"/>
  </cols>
  <sheetData>
    <row r="1" spans="1:12" x14ac:dyDescent="0.25">
      <c r="A1" s="1" t="s">
        <v>75</v>
      </c>
      <c r="B1" s="1" t="s">
        <v>76</v>
      </c>
      <c r="C1" s="1" t="s">
        <v>77</v>
      </c>
      <c r="D1" s="1" t="s">
        <v>78</v>
      </c>
      <c r="E1" s="1" t="s">
        <v>79</v>
      </c>
      <c r="F1" s="1" t="s">
        <v>80</v>
      </c>
      <c r="G1" s="1" t="s">
        <v>81</v>
      </c>
      <c r="H1" s="1" t="s">
        <v>82</v>
      </c>
      <c r="I1" s="1"/>
      <c r="J1" s="1" t="s">
        <v>0</v>
      </c>
      <c r="K1" s="1"/>
      <c r="L1" s="1" t="s">
        <v>83</v>
      </c>
    </row>
    <row r="2" spans="1:12" x14ac:dyDescent="0.25">
      <c r="A2">
        <v>1702</v>
      </c>
      <c r="B2" t="s">
        <v>2</v>
      </c>
      <c r="C2" t="s">
        <v>87</v>
      </c>
      <c r="D2" t="s">
        <v>1</v>
      </c>
      <c r="H2">
        <v>52</v>
      </c>
      <c r="J2">
        <f>(E2*2240)+(F2*112)+(G2*28)+H2</f>
        <v>52</v>
      </c>
      <c r="L2">
        <f>J2/2240</f>
        <v>2.3214285714285715E-2</v>
      </c>
    </row>
    <row r="3" spans="1:12" x14ac:dyDescent="0.25">
      <c r="A3">
        <v>1702</v>
      </c>
      <c r="B3" t="s">
        <v>11</v>
      </c>
      <c r="C3" t="s">
        <v>87</v>
      </c>
      <c r="D3" t="s">
        <v>1</v>
      </c>
      <c r="J3">
        <f t="shared" ref="J3:J6" si="0">(E3*2240)+(F3*112)+(G3*28)+H3</f>
        <v>0</v>
      </c>
      <c r="L3">
        <f t="shared" ref="L3:L6" si="1">J3/2240</f>
        <v>0</v>
      </c>
    </row>
    <row r="4" spans="1:12" x14ac:dyDescent="0.25">
      <c r="A4">
        <v>1702</v>
      </c>
      <c r="B4" t="s">
        <v>17</v>
      </c>
      <c r="C4" t="s">
        <v>87</v>
      </c>
      <c r="D4" t="s">
        <v>1</v>
      </c>
      <c r="J4">
        <f t="shared" si="0"/>
        <v>0</v>
      </c>
      <c r="L4">
        <f t="shared" si="1"/>
        <v>0</v>
      </c>
    </row>
    <row r="5" spans="1:12" x14ac:dyDescent="0.25">
      <c r="A5">
        <v>1702</v>
      </c>
      <c r="B5" t="s">
        <v>13</v>
      </c>
      <c r="C5" t="s">
        <v>87</v>
      </c>
      <c r="D5" t="s">
        <v>1</v>
      </c>
      <c r="H5">
        <v>83</v>
      </c>
      <c r="J5">
        <f t="shared" si="0"/>
        <v>83</v>
      </c>
      <c r="L5">
        <f t="shared" si="1"/>
        <v>3.7053571428571429E-2</v>
      </c>
    </row>
    <row r="6" spans="1:12" x14ac:dyDescent="0.25">
      <c r="A6">
        <v>1702</v>
      </c>
      <c r="B6" t="s">
        <v>16</v>
      </c>
      <c r="C6" t="s">
        <v>87</v>
      </c>
      <c r="D6" t="s">
        <v>1</v>
      </c>
      <c r="J6">
        <f t="shared" si="0"/>
        <v>0</v>
      </c>
      <c r="L6">
        <f t="shared" si="1"/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39DECF-9C4B-4D66-A34A-4FCAB8DD57FB}">
  <dimension ref="A1:L12"/>
  <sheetViews>
    <sheetView workbookViewId="0">
      <selection activeCell="J10" sqref="J10"/>
    </sheetView>
  </sheetViews>
  <sheetFormatPr defaultRowHeight="15" x14ac:dyDescent="0.25"/>
  <cols>
    <col min="2" max="3" width="13.85546875" customWidth="1"/>
  </cols>
  <sheetData>
    <row r="1" spans="1:12" x14ac:dyDescent="0.25">
      <c r="A1" s="1" t="s">
        <v>75</v>
      </c>
      <c r="B1" s="1" t="s">
        <v>76</v>
      </c>
      <c r="C1" s="1" t="s">
        <v>77</v>
      </c>
      <c r="D1" s="1" t="s">
        <v>78</v>
      </c>
      <c r="E1" s="1" t="s">
        <v>79</v>
      </c>
      <c r="F1" s="1" t="s">
        <v>80</v>
      </c>
      <c r="G1" s="1" t="s">
        <v>81</v>
      </c>
      <c r="H1" s="1" t="s">
        <v>82</v>
      </c>
      <c r="I1" s="1"/>
      <c r="J1" s="1" t="s">
        <v>0</v>
      </c>
      <c r="K1" s="1"/>
      <c r="L1" s="1" t="s">
        <v>83</v>
      </c>
    </row>
    <row r="2" spans="1:12" x14ac:dyDescent="0.25">
      <c r="A2">
        <v>1702</v>
      </c>
      <c r="B2" t="s">
        <v>11</v>
      </c>
      <c r="C2" t="s">
        <v>88</v>
      </c>
      <c r="D2" t="s">
        <v>1</v>
      </c>
      <c r="F2">
        <v>2</v>
      </c>
      <c r="G2">
        <v>1</v>
      </c>
      <c r="J2">
        <f t="shared" ref="J2:J12" si="0">(E2*2240)+(F2*112)+(G2*28)+H2</f>
        <v>252</v>
      </c>
      <c r="L2">
        <f t="shared" ref="L2:L12" si="1">J2/2240</f>
        <v>0.1125</v>
      </c>
    </row>
    <row r="3" spans="1:12" x14ac:dyDescent="0.25">
      <c r="A3">
        <v>1702</v>
      </c>
      <c r="B3" t="s">
        <v>29</v>
      </c>
      <c r="C3" t="s">
        <v>88</v>
      </c>
      <c r="D3" t="s">
        <v>1</v>
      </c>
      <c r="H3">
        <v>148</v>
      </c>
      <c r="J3">
        <f t="shared" si="0"/>
        <v>148</v>
      </c>
      <c r="L3">
        <f t="shared" si="1"/>
        <v>6.6071428571428573E-2</v>
      </c>
    </row>
    <row r="4" spans="1:12" x14ac:dyDescent="0.25">
      <c r="A4">
        <v>1702</v>
      </c>
      <c r="B4" t="s">
        <v>3</v>
      </c>
      <c r="C4" t="s">
        <v>88</v>
      </c>
      <c r="D4" t="s">
        <v>1</v>
      </c>
      <c r="H4">
        <f>170</f>
        <v>170</v>
      </c>
      <c r="I4" t="s">
        <v>50</v>
      </c>
      <c r="J4">
        <f t="shared" si="0"/>
        <v>170</v>
      </c>
      <c r="L4">
        <f t="shared" si="1"/>
        <v>7.5892857142857137E-2</v>
      </c>
    </row>
    <row r="5" spans="1:12" x14ac:dyDescent="0.25">
      <c r="A5">
        <v>1702</v>
      </c>
      <c r="B5" t="s">
        <v>18</v>
      </c>
      <c r="C5" t="s">
        <v>88</v>
      </c>
      <c r="D5" t="s">
        <v>1</v>
      </c>
      <c r="F5">
        <v>1</v>
      </c>
      <c r="J5">
        <f t="shared" si="0"/>
        <v>112</v>
      </c>
      <c r="L5">
        <f t="shared" si="1"/>
        <v>0.05</v>
      </c>
    </row>
    <row r="6" spans="1:12" x14ac:dyDescent="0.25">
      <c r="A6">
        <v>1702</v>
      </c>
      <c r="B6" t="s">
        <v>24</v>
      </c>
      <c r="C6" t="s">
        <v>88</v>
      </c>
      <c r="D6" t="s">
        <v>1</v>
      </c>
      <c r="H6">
        <v>150</v>
      </c>
      <c r="J6">
        <f t="shared" si="0"/>
        <v>150</v>
      </c>
      <c r="L6">
        <f t="shared" si="1"/>
        <v>6.6964285714285712E-2</v>
      </c>
    </row>
    <row r="7" spans="1:12" x14ac:dyDescent="0.25">
      <c r="A7">
        <v>1702</v>
      </c>
      <c r="B7" t="s">
        <v>20</v>
      </c>
      <c r="C7" t="s">
        <v>88</v>
      </c>
      <c r="D7" t="s">
        <v>1</v>
      </c>
      <c r="F7">
        <v>3231</v>
      </c>
      <c r="H7">
        <v>21</v>
      </c>
      <c r="J7">
        <f t="shared" si="0"/>
        <v>361893</v>
      </c>
      <c r="L7">
        <f t="shared" si="1"/>
        <v>161.55937499999999</v>
      </c>
    </row>
    <row r="8" spans="1:12" x14ac:dyDescent="0.25">
      <c r="A8">
        <v>1702</v>
      </c>
      <c r="B8" t="s">
        <v>17</v>
      </c>
      <c r="C8" t="s">
        <v>88</v>
      </c>
      <c r="D8" t="s">
        <v>1</v>
      </c>
      <c r="F8">
        <v>1</v>
      </c>
      <c r="G8">
        <v>1</v>
      </c>
      <c r="H8">
        <v>11</v>
      </c>
      <c r="J8">
        <f t="shared" si="0"/>
        <v>151</v>
      </c>
      <c r="L8">
        <f t="shared" si="1"/>
        <v>6.7410714285714282E-2</v>
      </c>
    </row>
    <row r="9" spans="1:12" x14ac:dyDescent="0.25">
      <c r="A9">
        <v>1702</v>
      </c>
      <c r="B9" t="s">
        <v>13</v>
      </c>
      <c r="C9" t="s">
        <v>88</v>
      </c>
      <c r="D9" t="s">
        <v>1</v>
      </c>
      <c r="H9">
        <v>700</v>
      </c>
      <c r="J9">
        <f t="shared" si="0"/>
        <v>700</v>
      </c>
      <c r="L9">
        <f t="shared" si="1"/>
        <v>0.3125</v>
      </c>
    </row>
    <row r="10" spans="1:12" x14ac:dyDescent="0.25">
      <c r="A10">
        <v>1702</v>
      </c>
      <c r="B10" t="s">
        <v>16</v>
      </c>
      <c r="C10" t="s">
        <v>88</v>
      </c>
      <c r="D10" t="s">
        <v>1</v>
      </c>
      <c r="H10">
        <v>313</v>
      </c>
      <c r="J10">
        <f t="shared" si="0"/>
        <v>313</v>
      </c>
      <c r="L10">
        <f t="shared" si="1"/>
        <v>0.13973214285714286</v>
      </c>
    </row>
    <row r="11" spans="1:12" x14ac:dyDescent="0.25">
      <c r="A11">
        <v>1702</v>
      </c>
      <c r="B11" t="s">
        <v>20</v>
      </c>
      <c r="C11" t="s">
        <v>88</v>
      </c>
      <c r="D11" t="s">
        <v>5</v>
      </c>
      <c r="F11">
        <v>1336</v>
      </c>
      <c r="G11">
        <v>3</v>
      </c>
      <c r="J11">
        <f t="shared" si="0"/>
        <v>149716</v>
      </c>
      <c r="L11">
        <f t="shared" si="1"/>
        <v>66.837500000000006</v>
      </c>
    </row>
    <row r="12" spans="1:12" x14ac:dyDescent="0.25">
      <c r="A12">
        <v>1702</v>
      </c>
      <c r="B12" t="s">
        <v>13</v>
      </c>
      <c r="C12" t="s">
        <v>88</v>
      </c>
      <c r="D12" t="s">
        <v>5</v>
      </c>
      <c r="H12">
        <v>2556</v>
      </c>
      <c r="J12">
        <f t="shared" si="0"/>
        <v>2556</v>
      </c>
      <c r="L12">
        <f t="shared" si="1"/>
        <v>1.1410714285714285</v>
      </c>
    </row>
  </sheetData>
  <autoFilter ref="A1:L12" xr:uid="{E339DECF-9C4B-4D66-A34A-4FCAB8DD57FB}">
    <sortState xmlns:xlrd2="http://schemas.microsoft.com/office/spreadsheetml/2017/richdata2" ref="A2:L12">
      <sortCondition ref="D1:D12"/>
    </sortState>
  </autoFilter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F7725-5A61-4A1B-A740-CC887BCB0E68}">
  <dimension ref="A1:L42"/>
  <sheetViews>
    <sheetView topLeftCell="A13" zoomScaleNormal="100" workbookViewId="0">
      <selection activeCell="H11" sqref="H11"/>
    </sheetView>
  </sheetViews>
  <sheetFormatPr defaultRowHeight="15" x14ac:dyDescent="0.25"/>
  <cols>
    <col min="2" max="3" width="14.28515625" customWidth="1"/>
  </cols>
  <sheetData>
    <row r="1" spans="1:12" x14ac:dyDescent="0.25">
      <c r="A1" s="1" t="s">
        <v>75</v>
      </c>
      <c r="B1" s="1" t="s">
        <v>76</v>
      </c>
      <c r="C1" s="1" t="s">
        <v>77</v>
      </c>
      <c r="D1" s="1" t="s">
        <v>78</v>
      </c>
      <c r="E1" s="1" t="s">
        <v>79</v>
      </c>
      <c r="F1" s="1" t="s">
        <v>80</v>
      </c>
      <c r="G1" s="1" t="s">
        <v>81</v>
      </c>
      <c r="H1" s="1" t="s">
        <v>82</v>
      </c>
      <c r="I1" s="1"/>
      <c r="J1" s="1" t="s">
        <v>0</v>
      </c>
      <c r="K1" s="1"/>
      <c r="L1" s="1" t="s">
        <v>83</v>
      </c>
    </row>
    <row r="2" spans="1:12" x14ac:dyDescent="0.25">
      <c r="A2">
        <v>1702</v>
      </c>
      <c r="B2" t="s">
        <v>19</v>
      </c>
      <c r="C2" t="s">
        <v>89</v>
      </c>
      <c r="D2" t="s">
        <v>1</v>
      </c>
      <c r="H2">
        <v>1210</v>
      </c>
      <c r="J2">
        <f t="shared" ref="J2:J42" si="0">(E2*2240)+(F2*112)+(G2*28)+H2</f>
        <v>1210</v>
      </c>
      <c r="L2">
        <f t="shared" ref="L2:L42" si="1">J2/2240</f>
        <v>0.5401785714285714</v>
      </c>
    </row>
    <row r="3" spans="1:12" x14ac:dyDescent="0.25">
      <c r="A3">
        <v>1702</v>
      </c>
      <c r="B3" t="s">
        <v>6</v>
      </c>
      <c r="C3" t="s">
        <v>89</v>
      </c>
      <c r="D3" t="s">
        <v>1</v>
      </c>
      <c r="F3">
        <v>18</v>
      </c>
      <c r="G3">
        <v>1</v>
      </c>
      <c r="H3">
        <v>14</v>
      </c>
      <c r="J3">
        <f t="shared" si="0"/>
        <v>2058</v>
      </c>
      <c r="L3">
        <f t="shared" si="1"/>
        <v>0.91874999999999996</v>
      </c>
    </row>
    <row r="4" spans="1:12" x14ac:dyDescent="0.25">
      <c r="A4">
        <v>1702</v>
      </c>
      <c r="B4" t="s">
        <v>11</v>
      </c>
      <c r="C4" t="s">
        <v>89</v>
      </c>
      <c r="D4" t="s">
        <v>1</v>
      </c>
      <c r="F4">
        <v>35288</v>
      </c>
      <c r="G4">
        <v>3</v>
      </c>
      <c r="J4">
        <f t="shared" si="0"/>
        <v>3952340</v>
      </c>
      <c r="L4">
        <f t="shared" si="1"/>
        <v>1764.4375</v>
      </c>
    </row>
    <row r="5" spans="1:12" x14ac:dyDescent="0.25">
      <c r="A5">
        <v>1702</v>
      </c>
      <c r="B5" t="s">
        <v>28</v>
      </c>
      <c r="C5" t="s">
        <v>89</v>
      </c>
      <c r="D5" t="s">
        <v>1</v>
      </c>
      <c r="H5">
        <v>60</v>
      </c>
      <c r="J5">
        <f t="shared" si="0"/>
        <v>60</v>
      </c>
      <c r="L5">
        <f t="shared" si="1"/>
        <v>2.6785714285714284E-2</v>
      </c>
    </row>
    <row r="6" spans="1:12" x14ac:dyDescent="0.25">
      <c r="A6">
        <v>1702</v>
      </c>
      <c r="B6" t="s">
        <v>7</v>
      </c>
      <c r="C6" t="s">
        <v>89</v>
      </c>
      <c r="D6" t="s">
        <v>1</v>
      </c>
      <c r="H6">
        <v>26</v>
      </c>
      <c r="J6">
        <f t="shared" si="0"/>
        <v>26</v>
      </c>
      <c r="L6">
        <f t="shared" si="1"/>
        <v>1.1607142857142858E-2</v>
      </c>
    </row>
    <row r="7" spans="1:12" x14ac:dyDescent="0.25">
      <c r="A7">
        <v>1702</v>
      </c>
      <c r="B7" t="s">
        <v>29</v>
      </c>
      <c r="C7" t="s">
        <v>89</v>
      </c>
      <c r="D7" t="s">
        <v>1</v>
      </c>
      <c r="H7">
        <v>120</v>
      </c>
      <c r="J7">
        <f t="shared" si="0"/>
        <v>120</v>
      </c>
      <c r="L7">
        <f t="shared" si="1"/>
        <v>5.3571428571428568E-2</v>
      </c>
    </row>
    <row r="8" spans="1:12" x14ac:dyDescent="0.25">
      <c r="A8">
        <v>1702</v>
      </c>
      <c r="B8" t="s">
        <v>70</v>
      </c>
      <c r="C8" t="s">
        <v>89</v>
      </c>
      <c r="D8" t="s">
        <v>1</v>
      </c>
      <c r="F8">
        <v>722</v>
      </c>
      <c r="G8">
        <v>2</v>
      </c>
      <c r="H8">
        <v>9</v>
      </c>
      <c r="J8">
        <f t="shared" si="0"/>
        <v>80929</v>
      </c>
      <c r="L8">
        <f t="shared" si="1"/>
        <v>36.129017857142856</v>
      </c>
    </row>
    <row r="9" spans="1:12" x14ac:dyDescent="0.25">
      <c r="A9">
        <v>1702</v>
      </c>
      <c r="B9" t="s">
        <v>25</v>
      </c>
      <c r="C9" t="s">
        <v>89</v>
      </c>
      <c r="D9" t="s">
        <v>1</v>
      </c>
      <c r="H9">
        <v>10</v>
      </c>
      <c r="J9">
        <f t="shared" si="0"/>
        <v>10</v>
      </c>
      <c r="L9">
        <f t="shared" si="1"/>
        <v>4.464285714285714E-3</v>
      </c>
    </row>
    <row r="10" spans="1:12" x14ac:dyDescent="0.25">
      <c r="A10">
        <v>1702</v>
      </c>
      <c r="B10" t="s">
        <v>3</v>
      </c>
      <c r="C10" t="s">
        <v>89</v>
      </c>
      <c r="D10" t="s">
        <v>1</v>
      </c>
      <c r="H10">
        <f>368*200</f>
        <v>73600</v>
      </c>
      <c r="I10" t="s">
        <v>52</v>
      </c>
      <c r="J10">
        <f t="shared" si="0"/>
        <v>73600</v>
      </c>
      <c r="L10">
        <f t="shared" si="1"/>
        <v>32.857142857142854</v>
      </c>
    </row>
    <row r="11" spans="1:12" x14ac:dyDescent="0.25">
      <c r="A11">
        <v>1702</v>
      </c>
      <c r="B11" t="s">
        <v>9</v>
      </c>
      <c r="C11" t="s">
        <v>89</v>
      </c>
      <c r="D11" t="s">
        <v>1</v>
      </c>
      <c r="F11">
        <v>1567</v>
      </c>
      <c r="G11">
        <v>2</v>
      </c>
      <c r="H11">
        <v>3</v>
      </c>
      <c r="J11">
        <f t="shared" si="0"/>
        <v>175563</v>
      </c>
      <c r="L11">
        <f t="shared" si="1"/>
        <v>78.37633928571428</v>
      </c>
    </row>
    <row r="12" spans="1:12" x14ac:dyDescent="0.25">
      <c r="A12">
        <v>1702</v>
      </c>
      <c r="B12" t="s">
        <v>18</v>
      </c>
      <c r="C12" t="s">
        <v>89</v>
      </c>
      <c r="D12" t="s">
        <v>1</v>
      </c>
      <c r="F12">
        <v>326</v>
      </c>
      <c r="G12">
        <v>1</v>
      </c>
      <c r="H12">
        <v>23</v>
      </c>
      <c r="J12">
        <f t="shared" si="0"/>
        <v>36563</v>
      </c>
      <c r="L12">
        <f t="shared" si="1"/>
        <v>16.322767857142857</v>
      </c>
    </row>
    <row r="13" spans="1:12" x14ac:dyDescent="0.25">
      <c r="A13">
        <v>1702</v>
      </c>
      <c r="B13" t="s">
        <v>2</v>
      </c>
      <c r="C13" t="s">
        <v>89</v>
      </c>
      <c r="D13" t="s">
        <v>1</v>
      </c>
      <c r="H13">
        <v>89022</v>
      </c>
      <c r="J13">
        <f t="shared" si="0"/>
        <v>89022</v>
      </c>
      <c r="L13">
        <f t="shared" si="1"/>
        <v>39.741964285714289</v>
      </c>
    </row>
    <row r="14" spans="1:12" x14ac:dyDescent="0.25">
      <c r="A14">
        <v>1702</v>
      </c>
      <c r="B14" t="s">
        <v>54</v>
      </c>
      <c r="C14" t="s">
        <v>89</v>
      </c>
      <c r="D14" t="s">
        <v>1</v>
      </c>
      <c r="H14">
        <v>400</v>
      </c>
      <c r="J14">
        <f t="shared" si="0"/>
        <v>400</v>
      </c>
      <c r="L14">
        <f t="shared" si="1"/>
        <v>0.17857142857142858</v>
      </c>
    </row>
    <row r="15" spans="1:12" x14ac:dyDescent="0.25">
      <c r="A15">
        <v>1702</v>
      </c>
      <c r="B15" t="s">
        <v>14</v>
      </c>
      <c r="C15" t="s">
        <v>89</v>
      </c>
      <c r="D15" t="s">
        <v>1</v>
      </c>
      <c r="H15">
        <v>21935.5</v>
      </c>
      <c r="I15" t="s">
        <v>53</v>
      </c>
      <c r="J15">
        <f t="shared" si="0"/>
        <v>21935.5</v>
      </c>
      <c r="L15">
        <f t="shared" si="1"/>
        <v>9.7926339285714281</v>
      </c>
    </row>
    <row r="16" spans="1:12" x14ac:dyDescent="0.25">
      <c r="A16">
        <v>1702</v>
      </c>
      <c r="B16" t="s">
        <v>21</v>
      </c>
      <c r="C16" t="s">
        <v>89</v>
      </c>
      <c r="D16" t="s">
        <v>1</v>
      </c>
      <c r="H16">
        <v>315</v>
      </c>
      <c r="I16" t="s">
        <v>51</v>
      </c>
      <c r="J16">
        <f t="shared" si="0"/>
        <v>315</v>
      </c>
      <c r="L16">
        <f t="shared" si="1"/>
        <v>0.140625</v>
      </c>
    </row>
    <row r="17" spans="1:12" x14ac:dyDescent="0.25">
      <c r="A17">
        <v>1702</v>
      </c>
      <c r="B17" t="s">
        <v>10</v>
      </c>
      <c r="C17" t="s">
        <v>89</v>
      </c>
      <c r="D17" t="s">
        <v>1</v>
      </c>
      <c r="F17">
        <v>188</v>
      </c>
      <c r="H17">
        <v>7</v>
      </c>
      <c r="J17">
        <f t="shared" si="0"/>
        <v>21063</v>
      </c>
      <c r="L17">
        <f t="shared" si="1"/>
        <v>9.4031249999999993</v>
      </c>
    </row>
    <row r="18" spans="1:12" x14ac:dyDescent="0.25">
      <c r="A18">
        <v>1702</v>
      </c>
      <c r="B18" t="s">
        <v>27</v>
      </c>
      <c r="C18" t="s">
        <v>89</v>
      </c>
      <c r="D18" t="s">
        <v>1</v>
      </c>
      <c r="H18">
        <v>60970</v>
      </c>
      <c r="J18">
        <f t="shared" si="0"/>
        <v>60970</v>
      </c>
      <c r="L18">
        <f t="shared" si="1"/>
        <v>27.21875</v>
      </c>
    </row>
    <row r="19" spans="1:12" x14ac:dyDescent="0.25">
      <c r="A19">
        <v>1702</v>
      </c>
      <c r="B19" t="s">
        <v>15</v>
      </c>
      <c r="C19" t="s">
        <v>89</v>
      </c>
      <c r="D19" t="s">
        <v>1</v>
      </c>
      <c r="H19">
        <v>1490</v>
      </c>
      <c r="I19" t="s">
        <v>55</v>
      </c>
      <c r="J19">
        <f t="shared" si="0"/>
        <v>1490</v>
      </c>
      <c r="L19">
        <f t="shared" si="1"/>
        <v>0.6651785714285714</v>
      </c>
    </row>
    <row r="20" spans="1:12" x14ac:dyDescent="0.25">
      <c r="A20">
        <v>1702</v>
      </c>
      <c r="B20" t="s">
        <v>17</v>
      </c>
      <c r="C20" t="s">
        <v>89</v>
      </c>
      <c r="D20" t="s">
        <v>1</v>
      </c>
      <c r="F20">
        <v>17</v>
      </c>
      <c r="G20">
        <v>1</v>
      </c>
      <c r="H20">
        <v>21</v>
      </c>
      <c r="J20">
        <f t="shared" si="0"/>
        <v>1953</v>
      </c>
      <c r="L20">
        <f t="shared" si="1"/>
        <v>0.87187499999999996</v>
      </c>
    </row>
    <row r="21" spans="1:12" x14ac:dyDescent="0.25">
      <c r="A21">
        <v>1702</v>
      </c>
      <c r="B21" t="s">
        <v>39</v>
      </c>
      <c r="C21" t="s">
        <v>89</v>
      </c>
      <c r="D21" t="s">
        <v>1</v>
      </c>
      <c r="H21">
        <v>202</v>
      </c>
      <c r="J21">
        <f t="shared" si="0"/>
        <v>202</v>
      </c>
      <c r="L21">
        <f t="shared" si="1"/>
        <v>9.0178571428571427E-2</v>
      </c>
    </row>
    <row r="22" spans="1:12" x14ac:dyDescent="0.25">
      <c r="A22">
        <v>1702</v>
      </c>
      <c r="B22" t="s">
        <v>13</v>
      </c>
      <c r="C22" t="s">
        <v>89</v>
      </c>
      <c r="D22" t="s">
        <v>1</v>
      </c>
      <c r="H22">
        <v>4546</v>
      </c>
      <c r="J22">
        <f t="shared" si="0"/>
        <v>4546</v>
      </c>
      <c r="L22">
        <f t="shared" si="1"/>
        <v>2.0294642857142855</v>
      </c>
    </row>
    <row r="23" spans="1:12" x14ac:dyDescent="0.25">
      <c r="A23">
        <v>1702</v>
      </c>
      <c r="B23" t="s">
        <v>16</v>
      </c>
      <c r="C23" t="s">
        <v>89</v>
      </c>
      <c r="D23" t="s">
        <v>1</v>
      </c>
      <c r="H23">
        <v>2840</v>
      </c>
      <c r="J23">
        <f t="shared" si="0"/>
        <v>2840</v>
      </c>
      <c r="L23">
        <f t="shared" si="1"/>
        <v>1.2678571428571428</v>
      </c>
    </row>
    <row r="24" spans="1:12" x14ac:dyDescent="0.25">
      <c r="A24">
        <v>1702</v>
      </c>
      <c r="B24" t="s">
        <v>12</v>
      </c>
      <c r="C24" t="s">
        <v>89</v>
      </c>
      <c r="D24" t="s">
        <v>1</v>
      </c>
      <c r="F24">
        <v>9</v>
      </c>
      <c r="G24">
        <v>1</v>
      </c>
      <c r="H24">
        <v>1</v>
      </c>
      <c r="J24">
        <f t="shared" si="0"/>
        <v>1037</v>
      </c>
      <c r="L24">
        <f t="shared" si="1"/>
        <v>0.46294642857142859</v>
      </c>
    </row>
    <row r="25" spans="1:12" x14ac:dyDescent="0.25">
      <c r="A25">
        <v>1702</v>
      </c>
      <c r="B25" t="s">
        <v>11</v>
      </c>
      <c r="C25" t="s">
        <v>89</v>
      </c>
      <c r="D25" t="s">
        <v>5</v>
      </c>
      <c r="F25">
        <v>21138</v>
      </c>
      <c r="G25">
        <v>1</v>
      </c>
      <c r="H25">
        <v>2</v>
      </c>
      <c r="J25">
        <f t="shared" si="0"/>
        <v>2367486</v>
      </c>
      <c r="L25">
        <f t="shared" si="1"/>
        <v>1056.9133928571428</v>
      </c>
    </row>
    <row r="26" spans="1:12" x14ac:dyDescent="0.25">
      <c r="A26">
        <v>1702</v>
      </c>
      <c r="B26" t="s">
        <v>7</v>
      </c>
      <c r="C26" t="s">
        <v>89</v>
      </c>
      <c r="D26" t="s">
        <v>5</v>
      </c>
      <c r="J26">
        <f t="shared" si="0"/>
        <v>0</v>
      </c>
      <c r="L26">
        <f t="shared" si="1"/>
        <v>0</v>
      </c>
    </row>
    <row r="27" spans="1:12" x14ac:dyDescent="0.25">
      <c r="A27">
        <v>1702</v>
      </c>
      <c r="B27" t="s">
        <v>70</v>
      </c>
      <c r="C27" t="s">
        <v>89</v>
      </c>
      <c r="D27" t="s">
        <v>5</v>
      </c>
      <c r="F27">
        <v>89</v>
      </c>
      <c r="H27">
        <v>26</v>
      </c>
      <c r="J27">
        <f t="shared" si="0"/>
        <v>9994</v>
      </c>
      <c r="L27">
        <f t="shared" si="1"/>
        <v>4.4616071428571429</v>
      </c>
    </row>
    <row r="28" spans="1:12" x14ac:dyDescent="0.25">
      <c r="A28">
        <v>1702</v>
      </c>
      <c r="B28" t="s">
        <v>3</v>
      </c>
      <c r="C28" t="s">
        <v>89</v>
      </c>
      <c r="D28" t="s">
        <v>5</v>
      </c>
      <c r="F28">
        <v>663</v>
      </c>
      <c r="H28">
        <v>21</v>
      </c>
      <c r="J28">
        <f t="shared" si="0"/>
        <v>74277</v>
      </c>
      <c r="L28">
        <f t="shared" si="1"/>
        <v>33.159374999999997</v>
      </c>
    </row>
    <row r="29" spans="1:12" x14ac:dyDescent="0.25">
      <c r="A29">
        <v>1702</v>
      </c>
      <c r="B29" t="s">
        <v>9</v>
      </c>
      <c r="C29" t="s">
        <v>89</v>
      </c>
      <c r="D29" t="s">
        <v>5</v>
      </c>
      <c r="F29">
        <v>135</v>
      </c>
      <c r="G29">
        <v>2</v>
      </c>
      <c r="H29">
        <v>23</v>
      </c>
      <c r="J29">
        <f t="shared" si="0"/>
        <v>15199</v>
      </c>
      <c r="L29">
        <f t="shared" si="1"/>
        <v>6.7852678571428573</v>
      </c>
    </row>
    <row r="30" spans="1:12" x14ac:dyDescent="0.25">
      <c r="A30">
        <v>1702</v>
      </c>
      <c r="B30" t="s">
        <v>18</v>
      </c>
      <c r="C30" t="s">
        <v>89</v>
      </c>
      <c r="D30" t="s">
        <v>5</v>
      </c>
      <c r="F30">
        <v>15</v>
      </c>
      <c r="G30">
        <v>2</v>
      </c>
      <c r="H30">
        <v>19</v>
      </c>
      <c r="J30">
        <f t="shared" si="0"/>
        <v>1755</v>
      </c>
      <c r="L30">
        <f t="shared" si="1"/>
        <v>0.7834821428571429</v>
      </c>
    </row>
    <row r="31" spans="1:12" x14ac:dyDescent="0.25">
      <c r="A31">
        <v>1702</v>
      </c>
      <c r="B31" t="s">
        <v>2</v>
      </c>
      <c r="C31" t="s">
        <v>89</v>
      </c>
      <c r="D31" t="s">
        <v>5</v>
      </c>
      <c r="H31">
        <v>21513</v>
      </c>
      <c r="J31">
        <f t="shared" si="0"/>
        <v>21513</v>
      </c>
      <c r="L31">
        <f t="shared" si="1"/>
        <v>9.6040178571428569</v>
      </c>
    </row>
    <row r="32" spans="1:12" x14ac:dyDescent="0.25">
      <c r="A32">
        <v>1702</v>
      </c>
      <c r="B32" t="s">
        <v>38</v>
      </c>
      <c r="C32" t="s">
        <v>89</v>
      </c>
      <c r="D32" t="s">
        <v>5</v>
      </c>
      <c r="F32">
        <v>8</v>
      </c>
      <c r="G32">
        <v>3</v>
      </c>
      <c r="H32">
        <v>24</v>
      </c>
      <c r="J32">
        <f t="shared" si="0"/>
        <v>1004</v>
      </c>
      <c r="L32">
        <f t="shared" si="1"/>
        <v>0.44821428571428573</v>
      </c>
    </row>
    <row r="33" spans="1:12" x14ac:dyDescent="0.25">
      <c r="A33">
        <v>1702</v>
      </c>
      <c r="B33" t="s">
        <v>14</v>
      </c>
      <c r="C33" t="s">
        <v>89</v>
      </c>
      <c r="D33" t="s">
        <v>5</v>
      </c>
      <c r="H33">
        <v>3201</v>
      </c>
      <c r="I33" t="s">
        <v>63</v>
      </c>
      <c r="J33">
        <f t="shared" si="0"/>
        <v>3201</v>
      </c>
      <c r="L33">
        <f t="shared" si="1"/>
        <v>1.4290178571428571</v>
      </c>
    </row>
    <row r="34" spans="1:12" x14ac:dyDescent="0.25">
      <c r="A34">
        <v>1702</v>
      </c>
      <c r="B34" t="s">
        <v>10</v>
      </c>
      <c r="C34" t="s">
        <v>89</v>
      </c>
      <c r="D34" t="s">
        <v>5</v>
      </c>
      <c r="F34">
        <v>2</v>
      </c>
      <c r="J34">
        <f t="shared" si="0"/>
        <v>224</v>
      </c>
      <c r="L34">
        <f t="shared" si="1"/>
        <v>0.1</v>
      </c>
    </row>
    <row r="35" spans="1:12" x14ac:dyDescent="0.25">
      <c r="A35">
        <v>1702</v>
      </c>
      <c r="B35" t="s">
        <v>27</v>
      </c>
      <c r="C35" t="s">
        <v>89</v>
      </c>
      <c r="D35" t="s">
        <v>5</v>
      </c>
      <c r="H35">
        <v>30941</v>
      </c>
      <c r="J35">
        <f t="shared" si="0"/>
        <v>30941</v>
      </c>
      <c r="L35">
        <f t="shared" si="1"/>
        <v>13.812946428571429</v>
      </c>
    </row>
    <row r="36" spans="1:12" x14ac:dyDescent="0.25">
      <c r="A36">
        <v>1702</v>
      </c>
      <c r="B36" t="s">
        <v>35</v>
      </c>
      <c r="C36" t="s">
        <v>89</v>
      </c>
      <c r="D36" t="s">
        <v>5</v>
      </c>
      <c r="J36">
        <f t="shared" si="0"/>
        <v>0</v>
      </c>
      <c r="L36">
        <f t="shared" si="1"/>
        <v>0</v>
      </c>
    </row>
    <row r="37" spans="1:12" x14ac:dyDescent="0.25">
      <c r="A37">
        <v>1702</v>
      </c>
      <c r="B37" t="s">
        <v>15</v>
      </c>
      <c r="C37" t="s">
        <v>89</v>
      </c>
      <c r="D37" t="s">
        <v>5</v>
      </c>
      <c r="H37">
        <v>420</v>
      </c>
      <c r="I37" t="s">
        <v>34</v>
      </c>
      <c r="J37">
        <f t="shared" si="0"/>
        <v>420</v>
      </c>
      <c r="L37">
        <f t="shared" si="1"/>
        <v>0.1875</v>
      </c>
    </row>
    <row r="38" spans="1:12" x14ac:dyDescent="0.25">
      <c r="A38">
        <v>1702</v>
      </c>
      <c r="B38" t="s">
        <v>64</v>
      </c>
      <c r="C38" t="s">
        <v>89</v>
      </c>
      <c r="D38" t="s">
        <v>5</v>
      </c>
      <c r="H38">
        <v>758</v>
      </c>
      <c r="J38">
        <f t="shared" si="0"/>
        <v>758</v>
      </c>
      <c r="L38">
        <f t="shared" si="1"/>
        <v>0.33839285714285716</v>
      </c>
    </row>
    <row r="39" spans="1:12" x14ac:dyDescent="0.25">
      <c r="A39">
        <v>1702</v>
      </c>
      <c r="B39" t="s">
        <v>39</v>
      </c>
      <c r="C39" t="s">
        <v>89</v>
      </c>
      <c r="D39" t="s">
        <v>5</v>
      </c>
      <c r="J39">
        <f t="shared" si="0"/>
        <v>0</v>
      </c>
      <c r="L39">
        <f t="shared" si="1"/>
        <v>0</v>
      </c>
    </row>
    <row r="40" spans="1:12" x14ac:dyDescent="0.25">
      <c r="A40">
        <v>1702</v>
      </c>
      <c r="B40" t="s">
        <v>13</v>
      </c>
      <c r="C40" t="s">
        <v>89</v>
      </c>
      <c r="D40" t="s">
        <v>5</v>
      </c>
      <c r="H40">
        <v>800</v>
      </c>
      <c r="J40">
        <f t="shared" si="0"/>
        <v>800</v>
      </c>
      <c r="L40">
        <f t="shared" si="1"/>
        <v>0.35714285714285715</v>
      </c>
    </row>
    <row r="41" spans="1:12" x14ac:dyDescent="0.25">
      <c r="A41">
        <v>1702</v>
      </c>
      <c r="B41" t="s">
        <v>16</v>
      </c>
      <c r="C41" t="s">
        <v>89</v>
      </c>
      <c r="D41" t="s">
        <v>5</v>
      </c>
      <c r="H41">
        <v>114</v>
      </c>
      <c r="J41">
        <f t="shared" si="0"/>
        <v>114</v>
      </c>
      <c r="L41">
        <f t="shared" si="1"/>
        <v>5.0892857142857142E-2</v>
      </c>
    </row>
    <row r="42" spans="1:12" x14ac:dyDescent="0.25">
      <c r="A42">
        <v>1702</v>
      </c>
      <c r="B42" t="s">
        <v>12</v>
      </c>
      <c r="C42" t="s">
        <v>89</v>
      </c>
      <c r="D42" t="s">
        <v>5</v>
      </c>
      <c r="G42">
        <v>3</v>
      </c>
      <c r="H42">
        <v>10</v>
      </c>
      <c r="J42">
        <f t="shared" si="0"/>
        <v>94</v>
      </c>
      <c r="L42">
        <f t="shared" si="1"/>
        <v>4.1964285714285711E-2</v>
      </c>
    </row>
  </sheetData>
  <autoFilter ref="A1:Q42" xr:uid="{8C2F7725-5A61-4A1B-A740-CC887BCB0E68}">
    <sortState xmlns:xlrd2="http://schemas.microsoft.com/office/spreadsheetml/2017/richdata2" ref="A2:L42">
      <sortCondition ref="D1:D42"/>
    </sortState>
  </autoFilter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2A6339-1E58-4188-80A6-B4580F70757D}">
  <dimension ref="A1:Q19"/>
  <sheetViews>
    <sheetView workbookViewId="0">
      <selection activeCell="H4" sqref="H4"/>
    </sheetView>
  </sheetViews>
  <sheetFormatPr defaultRowHeight="15" x14ac:dyDescent="0.25"/>
  <cols>
    <col min="2" max="3" width="15.42578125" customWidth="1"/>
  </cols>
  <sheetData>
    <row r="1" spans="1:17" x14ac:dyDescent="0.25">
      <c r="A1" s="1" t="s">
        <v>75</v>
      </c>
      <c r="B1" s="1" t="s">
        <v>76</v>
      </c>
      <c r="C1" s="1" t="s">
        <v>77</v>
      </c>
      <c r="D1" s="1" t="s">
        <v>78</v>
      </c>
      <c r="E1" s="1" t="s">
        <v>79</v>
      </c>
      <c r="F1" s="1" t="s">
        <v>80</v>
      </c>
      <c r="G1" s="1" t="s">
        <v>81</v>
      </c>
      <c r="H1" s="1" t="s">
        <v>82</v>
      </c>
      <c r="I1" s="1"/>
      <c r="J1" s="1" t="s">
        <v>0</v>
      </c>
      <c r="K1" s="1"/>
      <c r="L1" s="1" t="s">
        <v>83</v>
      </c>
      <c r="O1" t="s">
        <v>30</v>
      </c>
      <c r="Q1" t="s">
        <v>31</v>
      </c>
    </row>
    <row r="2" spans="1:17" x14ac:dyDescent="0.25">
      <c r="A2">
        <v>1702</v>
      </c>
      <c r="B2" t="s">
        <v>11</v>
      </c>
      <c r="C2" t="s">
        <v>90</v>
      </c>
      <c r="D2" t="s">
        <v>1</v>
      </c>
      <c r="F2">
        <v>14714</v>
      </c>
      <c r="H2">
        <v>4</v>
      </c>
      <c r="J2">
        <f t="shared" ref="J2:J19" si="0">(E2*2240)+(F2*112)+(G2*28)+H2</f>
        <v>1647972</v>
      </c>
      <c r="L2">
        <f t="shared" ref="L2:L19" si="1">J2/2240</f>
        <v>735.70178571428573</v>
      </c>
    </row>
    <row r="3" spans="1:17" x14ac:dyDescent="0.25">
      <c r="A3">
        <v>1702</v>
      </c>
      <c r="B3" t="s">
        <v>3</v>
      </c>
      <c r="C3" t="s">
        <v>90</v>
      </c>
      <c r="D3" t="s">
        <v>1</v>
      </c>
      <c r="H3">
        <f>16*200</f>
        <v>3200</v>
      </c>
      <c r="I3" t="s">
        <v>56</v>
      </c>
      <c r="J3">
        <f t="shared" si="0"/>
        <v>3200</v>
      </c>
      <c r="L3">
        <f t="shared" si="1"/>
        <v>1.4285714285714286</v>
      </c>
    </row>
    <row r="4" spans="1:17" x14ac:dyDescent="0.25">
      <c r="A4">
        <v>1702</v>
      </c>
      <c r="B4" t="s">
        <v>4</v>
      </c>
      <c r="C4" t="s">
        <v>90</v>
      </c>
      <c r="D4" t="s">
        <v>1</v>
      </c>
      <c r="F4">
        <v>17</v>
      </c>
      <c r="G4">
        <v>1</v>
      </c>
      <c r="H4">
        <v>21</v>
      </c>
      <c r="J4">
        <f t="shared" si="0"/>
        <v>1953</v>
      </c>
      <c r="L4">
        <f t="shared" si="1"/>
        <v>0.87187499999999996</v>
      </c>
      <c r="O4">
        <f>L4+L6+L7+L10+L11+L12+L16+L17+L18+L19+L21</f>
        <v>303.21205357142861</v>
      </c>
      <c r="Q4">
        <f>L5+L13+L14+L15</f>
        <v>21.8125</v>
      </c>
    </row>
    <row r="5" spans="1:17" x14ac:dyDescent="0.25">
      <c r="A5">
        <v>1702</v>
      </c>
      <c r="B5" t="s">
        <v>2</v>
      </c>
      <c r="C5" t="s">
        <v>90</v>
      </c>
      <c r="D5" t="s">
        <v>1</v>
      </c>
      <c r="H5">
        <v>11577</v>
      </c>
      <c r="J5">
        <f t="shared" si="0"/>
        <v>11577</v>
      </c>
      <c r="L5">
        <f t="shared" si="1"/>
        <v>5.168303571428571</v>
      </c>
    </row>
    <row r="6" spans="1:17" x14ac:dyDescent="0.25">
      <c r="A6">
        <v>1702</v>
      </c>
      <c r="B6" t="s">
        <v>14</v>
      </c>
      <c r="C6" t="s">
        <v>90</v>
      </c>
      <c r="D6" t="s">
        <v>1</v>
      </c>
      <c r="H6">
        <v>1570</v>
      </c>
      <c r="I6" t="s">
        <v>26</v>
      </c>
      <c r="J6">
        <f t="shared" si="0"/>
        <v>1570</v>
      </c>
      <c r="L6">
        <f t="shared" si="1"/>
        <v>0.7008928571428571</v>
      </c>
    </row>
    <row r="7" spans="1:17" x14ac:dyDescent="0.25">
      <c r="A7">
        <v>1702</v>
      </c>
      <c r="B7" t="s">
        <v>27</v>
      </c>
      <c r="C7" t="s">
        <v>90</v>
      </c>
      <c r="D7" t="s">
        <v>1</v>
      </c>
      <c r="H7">
        <v>10241</v>
      </c>
      <c r="J7">
        <f t="shared" si="0"/>
        <v>10241</v>
      </c>
      <c r="L7">
        <f t="shared" si="1"/>
        <v>4.5718750000000004</v>
      </c>
    </row>
    <row r="8" spans="1:17" x14ac:dyDescent="0.25">
      <c r="A8">
        <v>1702</v>
      </c>
      <c r="B8" t="s">
        <v>17</v>
      </c>
      <c r="C8" t="s">
        <v>90</v>
      </c>
      <c r="D8" t="s">
        <v>1</v>
      </c>
      <c r="F8">
        <v>6</v>
      </c>
      <c r="G8">
        <v>3</v>
      </c>
      <c r="H8">
        <v>21</v>
      </c>
      <c r="J8">
        <f t="shared" si="0"/>
        <v>777</v>
      </c>
      <c r="L8">
        <f t="shared" si="1"/>
        <v>0.34687499999999999</v>
      </c>
    </row>
    <row r="9" spans="1:17" x14ac:dyDescent="0.25">
      <c r="A9">
        <v>1702</v>
      </c>
      <c r="B9" t="s">
        <v>16</v>
      </c>
      <c r="C9" t="s">
        <v>90</v>
      </c>
      <c r="D9" t="s">
        <v>1</v>
      </c>
      <c r="H9">
        <v>22</v>
      </c>
      <c r="J9">
        <f t="shared" si="0"/>
        <v>22</v>
      </c>
      <c r="L9">
        <f t="shared" si="1"/>
        <v>9.8214285714285712E-3</v>
      </c>
    </row>
    <row r="10" spans="1:17" x14ac:dyDescent="0.25">
      <c r="A10">
        <v>1702</v>
      </c>
      <c r="B10" t="s">
        <v>11</v>
      </c>
      <c r="C10" t="s">
        <v>90</v>
      </c>
      <c r="D10" t="s">
        <v>5</v>
      </c>
      <c r="F10">
        <v>5910</v>
      </c>
      <c r="G10">
        <v>3</v>
      </c>
      <c r="H10">
        <v>5</v>
      </c>
      <c r="J10">
        <f t="shared" si="0"/>
        <v>662009</v>
      </c>
      <c r="L10">
        <f t="shared" si="1"/>
        <v>295.53973214285713</v>
      </c>
    </row>
    <row r="11" spans="1:17" x14ac:dyDescent="0.25">
      <c r="A11">
        <v>1702</v>
      </c>
      <c r="B11" t="s">
        <v>3</v>
      </c>
      <c r="C11" t="s">
        <v>90</v>
      </c>
      <c r="D11" t="s">
        <v>5</v>
      </c>
      <c r="F11">
        <v>2</v>
      </c>
      <c r="G11">
        <v>1</v>
      </c>
      <c r="J11">
        <f t="shared" si="0"/>
        <v>252</v>
      </c>
      <c r="L11">
        <f t="shared" si="1"/>
        <v>0.1125</v>
      </c>
    </row>
    <row r="12" spans="1:17" x14ac:dyDescent="0.25">
      <c r="A12">
        <v>1702</v>
      </c>
      <c r="B12" t="s">
        <v>4</v>
      </c>
      <c r="C12" t="s">
        <v>90</v>
      </c>
      <c r="D12" t="s">
        <v>5</v>
      </c>
      <c r="F12">
        <v>7</v>
      </c>
      <c r="G12">
        <v>2</v>
      </c>
      <c r="H12">
        <v>25</v>
      </c>
      <c r="J12">
        <f t="shared" si="0"/>
        <v>865</v>
      </c>
      <c r="L12">
        <f t="shared" si="1"/>
        <v>0.3861607142857143</v>
      </c>
    </row>
    <row r="13" spans="1:17" x14ac:dyDescent="0.25">
      <c r="A13">
        <v>1702</v>
      </c>
      <c r="B13" t="s">
        <v>2</v>
      </c>
      <c r="C13" t="s">
        <v>90</v>
      </c>
      <c r="D13" t="s">
        <v>5</v>
      </c>
      <c r="H13">
        <v>1299</v>
      </c>
      <c r="J13">
        <f t="shared" si="0"/>
        <v>1299</v>
      </c>
      <c r="L13">
        <f t="shared" si="1"/>
        <v>0.57991071428571428</v>
      </c>
    </row>
    <row r="14" spans="1:17" x14ac:dyDescent="0.25">
      <c r="A14">
        <v>1702</v>
      </c>
      <c r="B14" t="s">
        <v>14</v>
      </c>
      <c r="C14" t="s">
        <v>90</v>
      </c>
      <c r="D14" t="s">
        <v>5</v>
      </c>
      <c r="H14">
        <v>300</v>
      </c>
      <c r="I14" t="s">
        <v>61</v>
      </c>
      <c r="J14">
        <f t="shared" si="0"/>
        <v>300</v>
      </c>
      <c r="L14">
        <f t="shared" si="1"/>
        <v>0.13392857142857142</v>
      </c>
    </row>
    <row r="15" spans="1:17" x14ac:dyDescent="0.25">
      <c r="A15">
        <v>1702</v>
      </c>
      <c r="B15" t="s">
        <v>10</v>
      </c>
      <c r="C15" t="s">
        <v>90</v>
      </c>
      <c r="D15" t="s">
        <v>5</v>
      </c>
      <c r="F15">
        <v>318</v>
      </c>
      <c r="G15">
        <v>2</v>
      </c>
      <c r="H15">
        <v>12</v>
      </c>
      <c r="J15">
        <f t="shared" si="0"/>
        <v>35684</v>
      </c>
      <c r="L15">
        <f t="shared" si="1"/>
        <v>15.930357142857142</v>
      </c>
    </row>
    <row r="16" spans="1:17" x14ac:dyDescent="0.25">
      <c r="A16">
        <v>1702</v>
      </c>
      <c r="B16" t="s">
        <v>27</v>
      </c>
      <c r="C16" t="s">
        <v>90</v>
      </c>
      <c r="D16" t="s">
        <v>5</v>
      </c>
      <c r="H16">
        <v>1801</v>
      </c>
      <c r="J16">
        <f t="shared" si="0"/>
        <v>1801</v>
      </c>
      <c r="L16">
        <f t="shared" si="1"/>
        <v>0.80401785714285712</v>
      </c>
    </row>
    <row r="17" spans="1:12" x14ac:dyDescent="0.25">
      <c r="A17">
        <v>1702</v>
      </c>
      <c r="B17" t="s">
        <v>20</v>
      </c>
      <c r="C17" t="s">
        <v>90</v>
      </c>
      <c r="D17" t="s">
        <v>5</v>
      </c>
      <c r="F17">
        <v>1</v>
      </c>
      <c r="J17">
        <f t="shared" si="0"/>
        <v>112</v>
      </c>
      <c r="L17">
        <f t="shared" si="1"/>
        <v>0.05</v>
      </c>
    </row>
    <row r="18" spans="1:12" x14ac:dyDescent="0.25">
      <c r="A18">
        <v>1702</v>
      </c>
      <c r="B18" t="s">
        <v>17</v>
      </c>
      <c r="C18" t="s">
        <v>90</v>
      </c>
      <c r="D18" t="s">
        <v>5</v>
      </c>
      <c r="F18">
        <v>1</v>
      </c>
      <c r="G18">
        <v>2</v>
      </c>
      <c r="J18">
        <f t="shared" si="0"/>
        <v>168</v>
      </c>
      <c r="L18">
        <f t="shared" si="1"/>
        <v>7.4999999999999997E-2</v>
      </c>
    </row>
    <row r="19" spans="1:12" x14ac:dyDescent="0.25">
      <c r="A19">
        <v>1702</v>
      </c>
      <c r="B19" t="s">
        <v>12</v>
      </c>
      <c r="C19" t="s">
        <v>90</v>
      </c>
      <c r="D19" t="s">
        <v>5</v>
      </c>
      <c r="F19">
        <v>2</v>
      </c>
      <c r="J19">
        <f t="shared" si="0"/>
        <v>224</v>
      </c>
      <c r="L19">
        <f t="shared" si="1"/>
        <v>0.1</v>
      </c>
    </row>
  </sheetData>
  <autoFilter ref="A1:Q19" xr:uid="{782A6339-1E58-4188-80A6-B4580F70757D}">
    <sortState xmlns:xlrd2="http://schemas.microsoft.com/office/spreadsheetml/2017/richdata2" ref="A2:Q19">
      <sortCondition ref="D1:D19"/>
    </sortState>
  </autoFilter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3C4C2D-B143-49EB-AE6F-B3BFFAC00D68}">
  <dimension ref="A1:P22"/>
  <sheetViews>
    <sheetView workbookViewId="0">
      <selection activeCell="H15" sqref="H15"/>
    </sheetView>
  </sheetViews>
  <sheetFormatPr defaultRowHeight="15" x14ac:dyDescent="0.25"/>
  <cols>
    <col min="2" max="3" width="15.85546875" customWidth="1"/>
  </cols>
  <sheetData>
    <row r="1" spans="1:16" x14ac:dyDescent="0.25">
      <c r="A1" s="1" t="s">
        <v>75</v>
      </c>
      <c r="B1" s="1" t="s">
        <v>76</v>
      </c>
      <c r="C1" s="1" t="s">
        <v>77</v>
      </c>
      <c r="D1" s="1" t="s">
        <v>78</v>
      </c>
      <c r="E1" s="1" t="s">
        <v>79</v>
      </c>
      <c r="F1" s="1" t="s">
        <v>80</v>
      </c>
      <c r="G1" s="1" t="s">
        <v>81</v>
      </c>
      <c r="H1" s="1" t="s">
        <v>82</v>
      </c>
      <c r="I1" s="1"/>
      <c r="J1" s="1" t="s">
        <v>0</v>
      </c>
      <c r="K1" s="1"/>
      <c r="L1" s="1" t="s">
        <v>83</v>
      </c>
      <c r="N1" t="s">
        <v>30</v>
      </c>
      <c r="P1" t="s">
        <v>31</v>
      </c>
    </row>
    <row r="2" spans="1:16" x14ac:dyDescent="0.25">
      <c r="A2">
        <v>1702</v>
      </c>
      <c r="B2" t="s">
        <v>11</v>
      </c>
      <c r="C2" t="s">
        <v>91</v>
      </c>
      <c r="D2" t="s">
        <v>1</v>
      </c>
      <c r="F2">
        <v>29924</v>
      </c>
      <c r="G2">
        <v>2</v>
      </c>
      <c r="H2">
        <v>10</v>
      </c>
      <c r="J2">
        <f t="shared" ref="J2:J22" si="0">(E2*2240)+(F2*112)+(G2*28)+(H2/16)</f>
        <v>3351544.625</v>
      </c>
      <c r="L2">
        <f t="shared" ref="L2:L22" si="1">J2/2240</f>
        <v>1496.2252790178572</v>
      </c>
    </row>
    <row r="3" spans="1:16" x14ac:dyDescent="0.25">
      <c r="A3">
        <v>1702</v>
      </c>
      <c r="B3" t="s">
        <v>70</v>
      </c>
      <c r="C3" t="s">
        <v>91</v>
      </c>
      <c r="D3" t="s">
        <v>1</v>
      </c>
      <c r="F3">
        <v>296</v>
      </c>
      <c r="G3">
        <v>3</v>
      </c>
      <c r="H3">
        <v>1</v>
      </c>
      <c r="J3">
        <f t="shared" si="0"/>
        <v>33236.0625</v>
      </c>
      <c r="L3">
        <f t="shared" si="1"/>
        <v>14.837527901785714</v>
      </c>
    </row>
    <row r="4" spans="1:16" x14ac:dyDescent="0.25">
      <c r="A4">
        <v>1702</v>
      </c>
      <c r="B4" t="s">
        <v>18</v>
      </c>
      <c r="C4" t="s">
        <v>91</v>
      </c>
      <c r="D4" t="s">
        <v>1</v>
      </c>
      <c r="F4">
        <v>163</v>
      </c>
      <c r="G4">
        <v>1</v>
      </c>
      <c r="H4">
        <v>26</v>
      </c>
      <c r="J4">
        <f t="shared" si="0"/>
        <v>18285.625</v>
      </c>
      <c r="L4">
        <f t="shared" si="1"/>
        <v>8.1632254464285712</v>
      </c>
      <c r="N4">
        <f>L4+L8+L9+L10+L13+L15+L16+L17+L20+L21+L22+L23+L24</f>
        <v>931.79213169642867</v>
      </c>
      <c r="P4">
        <f>L5+L6+L7+L18+L19</f>
        <v>2.2622488839285717</v>
      </c>
    </row>
    <row r="5" spans="1:16" x14ac:dyDescent="0.25">
      <c r="A5">
        <v>1702</v>
      </c>
      <c r="B5" t="s">
        <v>2</v>
      </c>
      <c r="C5" t="s">
        <v>91</v>
      </c>
      <c r="D5" t="s">
        <v>1</v>
      </c>
      <c r="H5">
        <v>192</v>
      </c>
      <c r="J5">
        <f t="shared" si="0"/>
        <v>12</v>
      </c>
      <c r="L5">
        <f t="shared" si="1"/>
        <v>5.3571428571428572E-3</v>
      </c>
    </row>
    <row r="6" spans="1:16" x14ac:dyDescent="0.25">
      <c r="A6">
        <v>1702</v>
      </c>
      <c r="B6" t="s">
        <v>14</v>
      </c>
      <c r="C6" t="s">
        <v>91</v>
      </c>
      <c r="D6" t="s">
        <v>1</v>
      </c>
      <c r="H6">
        <v>3291</v>
      </c>
      <c r="I6" t="s">
        <v>60</v>
      </c>
      <c r="J6">
        <f t="shared" si="0"/>
        <v>205.6875</v>
      </c>
      <c r="L6">
        <f t="shared" si="1"/>
        <v>9.1824776785714282E-2</v>
      </c>
    </row>
    <row r="7" spans="1:16" x14ac:dyDescent="0.25">
      <c r="A7">
        <v>1702</v>
      </c>
      <c r="B7" t="s">
        <v>21</v>
      </c>
      <c r="C7" t="s">
        <v>91</v>
      </c>
      <c r="D7" t="s">
        <v>1</v>
      </c>
      <c r="H7">
        <v>520</v>
      </c>
      <c r="I7" t="s">
        <v>57</v>
      </c>
      <c r="J7">
        <f t="shared" si="0"/>
        <v>32.5</v>
      </c>
      <c r="L7">
        <f t="shared" si="1"/>
        <v>1.4508928571428572E-2</v>
      </c>
    </row>
    <row r="8" spans="1:16" x14ac:dyDescent="0.25">
      <c r="A8">
        <v>1702</v>
      </c>
      <c r="B8" t="s">
        <v>10</v>
      </c>
      <c r="C8" t="s">
        <v>91</v>
      </c>
      <c r="D8" t="s">
        <v>1</v>
      </c>
      <c r="F8">
        <v>115</v>
      </c>
      <c r="G8">
        <v>2</v>
      </c>
      <c r="J8">
        <f t="shared" si="0"/>
        <v>12936</v>
      </c>
      <c r="L8">
        <f t="shared" si="1"/>
        <v>5.7750000000000004</v>
      </c>
    </row>
    <row r="9" spans="1:16" x14ac:dyDescent="0.25">
      <c r="A9">
        <v>1702</v>
      </c>
      <c r="B9" t="s">
        <v>48</v>
      </c>
      <c r="C9" t="s">
        <v>91</v>
      </c>
      <c r="D9" t="s">
        <v>1</v>
      </c>
      <c r="F9">
        <v>3</v>
      </c>
      <c r="J9">
        <f t="shared" si="0"/>
        <v>336</v>
      </c>
      <c r="L9">
        <f t="shared" si="1"/>
        <v>0.15</v>
      </c>
    </row>
    <row r="10" spans="1:16" x14ac:dyDescent="0.25">
      <c r="A10">
        <v>1702</v>
      </c>
      <c r="B10" t="s">
        <v>17</v>
      </c>
      <c r="C10" t="s">
        <v>91</v>
      </c>
      <c r="D10" t="s">
        <v>1</v>
      </c>
      <c r="F10">
        <v>14</v>
      </c>
      <c r="H10">
        <v>14</v>
      </c>
      <c r="J10">
        <f t="shared" si="0"/>
        <v>1568.875</v>
      </c>
      <c r="L10">
        <f t="shared" si="1"/>
        <v>0.70039062500000004</v>
      </c>
    </row>
    <row r="11" spans="1:16" x14ac:dyDescent="0.25">
      <c r="A11">
        <v>1702</v>
      </c>
      <c r="B11" t="s">
        <v>39</v>
      </c>
      <c r="C11" t="s">
        <v>91</v>
      </c>
      <c r="D11" t="s">
        <v>1</v>
      </c>
      <c r="H11">
        <v>176</v>
      </c>
      <c r="J11">
        <f t="shared" si="0"/>
        <v>11</v>
      </c>
      <c r="L11">
        <f t="shared" si="1"/>
        <v>4.9107142857142856E-3</v>
      </c>
    </row>
    <row r="12" spans="1:16" x14ac:dyDescent="0.25">
      <c r="A12">
        <v>1702</v>
      </c>
      <c r="B12" t="s">
        <v>16</v>
      </c>
      <c r="C12" t="s">
        <v>91</v>
      </c>
      <c r="D12" t="s">
        <v>1</v>
      </c>
      <c r="H12">
        <v>20</v>
      </c>
      <c r="J12">
        <f t="shared" si="0"/>
        <v>1.25</v>
      </c>
      <c r="L12">
        <f t="shared" si="1"/>
        <v>5.5803571428571425E-4</v>
      </c>
    </row>
    <row r="13" spans="1:16" x14ac:dyDescent="0.25">
      <c r="A13">
        <v>1702</v>
      </c>
      <c r="B13" t="s">
        <v>12</v>
      </c>
      <c r="C13" t="s">
        <v>91</v>
      </c>
      <c r="D13" t="s">
        <v>1</v>
      </c>
      <c r="G13">
        <v>2</v>
      </c>
      <c r="J13">
        <f t="shared" si="0"/>
        <v>56</v>
      </c>
      <c r="L13">
        <f t="shared" si="1"/>
        <v>2.5000000000000001E-2</v>
      </c>
    </row>
    <row r="14" spans="1:16" x14ac:dyDescent="0.25">
      <c r="A14">
        <v>1702</v>
      </c>
      <c r="B14" t="s">
        <v>58</v>
      </c>
      <c r="C14" t="s">
        <v>91</v>
      </c>
      <c r="D14" t="s">
        <v>1</v>
      </c>
      <c r="H14">
        <f>41*200</f>
        <v>8200</v>
      </c>
      <c r="I14" t="s">
        <v>59</v>
      </c>
      <c r="J14">
        <f t="shared" si="0"/>
        <v>512.5</v>
      </c>
      <c r="L14">
        <f t="shared" si="1"/>
        <v>0.22879464285714285</v>
      </c>
    </row>
    <row r="15" spans="1:16" x14ac:dyDescent="0.25">
      <c r="A15">
        <v>1702</v>
      </c>
      <c r="B15" t="s">
        <v>11</v>
      </c>
      <c r="C15" t="s">
        <v>91</v>
      </c>
      <c r="D15" t="s">
        <v>5</v>
      </c>
      <c r="F15">
        <v>18195</v>
      </c>
      <c r="G15">
        <v>2</v>
      </c>
      <c r="H15">
        <v>1</v>
      </c>
      <c r="J15">
        <f t="shared" si="0"/>
        <v>2037896.0625</v>
      </c>
      <c r="L15">
        <f t="shared" si="1"/>
        <v>909.77502790178573</v>
      </c>
    </row>
    <row r="16" spans="1:16" x14ac:dyDescent="0.25">
      <c r="A16">
        <v>1702</v>
      </c>
      <c r="B16" t="s">
        <v>70</v>
      </c>
      <c r="C16" t="s">
        <v>91</v>
      </c>
      <c r="D16" t="s">
        <v>5</v>
      </c>
      <c r="F16">
        <v>57</v>
      </c>
      <c r="H16">
        <v>14</v>
      </c>
      <c r="J16">
        <f t="shared" si="0"/>
        <v>6384.875</v>
      </c>
      <c r="L16">
        <f t="shared" si="1"/>
        <v>2.8503906250000002</v>
      </c>
    </row>
    <row r="17" spans="1:12" x14ac:dyDescent="0.25">
      <c r="A17">
        <v>1702</v>
      </c>
      <c r="B17" t="s">
        <v>3</v>
      </c>
      <c r="C17" t="s">
        <v>91</v>
      </c>
      <c r="D17" t="s">
        <v>5</v>
      </c>
      <c r="F17">
        <v>73</v>
      </c>
      <c r="H17">
        <v>12</v>
      </c>
      <c r="J17">
        <f t="shared" si="0"/>
        <v>8176.75</v>
      </c>
      <c r="L17">
        <f t="shared" si="1"/>
        <v>3.6503348214285714</v>
      </c>
    </row>
    <row r="18" spans="1:12" x14ac:dyDescent="0.25">
      <c r="A18">
        <v>1702</v>
      </c>
      <c r="B18" t="s">
        <v>18</v>
      </c>
      <c r="C18" t="s">
        <v>91</v>
      </c>
      <c r="D18" t="s">
        <v>5</v>
      </c>
      <c r="G18">
        <v>1</v>
      </c>
      <c r="H18">
        <v>20</v>
      </c>
      <c r="J18">
        <f t="shared" si="0"/>
        <v>29.25</v>
      </c>
      <c r="L18">
        <f t="shared" si="1"/>
        <v>1.3058035714285715E-2</v>
      </c>
    </row>
    <row r="19" spans="1:12" x14ac:dyDescent="0.25">
      <c r="A19">
        <v>1702</v>
      </c>
      <c r="B19" t="s">
        <v>10</v>
      </c>
      <c r="C19" t="s">
        <v>91</v>
      </c>
      <c r="D19" t="s">
        <v>5</v>
      </c>
      <c r="F19">
        <v>42</v>
      </c>
      <c r="G19">
        <v>3</v>
      </c>
      <c r="J19">
        <f t="shared" si="0"/>
        <v>4788</v>
      </c>
      <c r="L19">
        <f t="shared" si="1"/>
        <v>2.1375000000000002</v>
      </c>
    </row>
    <row r="20" spans="1:12" x14ac:dyDescent="0.25">
      <c r="A20">
        <v>1702</v>
      </c>
      <c r="B20" t="s">
        <v>27</v>
      </c>
      <c r="C20" t="s">
        <v>91</v>
      </c>
      <c r="D20" t="s">
        <v>5</v>
      </c>
      <c r="H20">
        <v>35</v>
      </c>
      <c r="J20">
        <f t="shared" si="0"/>
        <v>2.1875</v>
      </c>
      <c r="L20">
        <f t="shared" si="1"/>
        <v>9.765625E-4</v>
      </c>
    </row>
    <row r="21" spans="1:12" x14ac:dyDescent="0.25">
      <c r="A21">
        <v>1702</v>
      </c>
      <c r="B21" t="s">
        <v>17</v>
      </c>
      <c r="C21" t="s">
        <v>91</v>
      </c>
      <c r="D21" t="s">
        <v>5</v>
      </c>
      <c r="F21">
        <v>14</v>
      </c>
      <c r="H21">
        <v>19</v>
      </c>
      <c r="J21">
        <f t="shared" si="0"/>
        <v>1569.1875</v>
      </c>
      <c r="L21">
        <f t="shared" si="1"/>
        <v>0.70053013392857144</v>
      </c>
    </row>
    <row r="22" spans="1:12" x14ac:dyDescent="0.25">
      <c r="A22">
        <v>1702</v>
      </c>
      <c r="B22" t="s">
        <v>16</v>
      </c>
      <c r="C22" t="s">
        <v>91</v>
      </c>
      <c r="D22" t="s">
        <v>5</v>
      </c>
      <c r="H22">
        <v>45</v>
      </c>
      <c r="J22">
        <f t="shared" si="0"/>
        <v>2.8125</v>
      </c>
      <c r="L22">
        <f t="shared" si="1"/>
        <v>1.2555803571428572E-3</v>
      </c>
    </row>
  </sheetData>
  <autoFilter ref="A1:P22" xr:uid="{DF3C4C2D-B143-49EB-AE6F-B3BFFAC00D68}">
    <sortState xmlns:xlrd2="http://schemas.microsoft.com/office/spreadsheetml/2017/richdata2" ref="A2:P22">
      <sortCondition ref="D1:D22"/>
    </sortState>
  </autoFilter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CBE782-642A-4A69-B3C3-AA33FAF53666}">
  <dimension ref="A1:L7"/>
  <sheetViews>
    <sheetView workbookViewId="0">
      <selection activeCell="H5" sqref="H5"/>
    </sheetView>
  </sheetViews>
  <sheetFormatPr defaultRowHeight="15" x14ac:dyDescent="0.25"/>
  <cols>
    <col min="2" max="3" width="17.85546875" customWidth="1"/>
  </cols>
  <sheetData>
    <row r="1" spans="1:12" x14ac:dyDescent="0.25">
      <c r="A1" s="1" t="s">
        <v>75</v>
      </c>
      <c r="B1" s="1" t="s">
        <v>76</v>
      </c>
      <c r="C1" s="1" t="s">
        <v>77</v>
      </c>
      <c r="D1" s="1" t="s">
        <v>78</v>
      </c>
      <c r="E1" s="1" t="s">
        <v>79</v>
      </c>
      <c r="F1" s="1" t="s">
        <v>80</v>
      </c>
      <c r="G1" s="1" t="s">
        <v>81</v>
      </c>
      <c r="H1" s="1" t="s">
        <v>82</v>
      </c>
      <c r="I1" s="1"/>
      <c r="J1" s="1" t="s">
        <v>0</v>
      </c>
      <c r="K1" s="1"/>
      <c r="L1" s="1" t="s">
        <v>83</v>
      </c>
    </row>
    <row r="2" spans="1:12" x14ac:dyDescent="0.25">
      <c r="A2">
        <v>1702</v>
      </c>
      <c r="B2" t="s">
        <v>11</v>
      </c>
      <c r="C2" t="s">
        <v>92</v>
      </c>
      <c r="D2" t="s">
        <v>1</v>
      </c>
      <c r="F2">
        <v>14190</v>
      </c>
      <c r="H2">
        <v>10</v>
      </c>
      <c r="J2">
        <f t="shared" ref="J2:J7" si="0">(E2*2240)+(F2*112)+(G2*28)+(H2/16)</f>
        <v>1589280.625</v>
      </c>
      <c r="L2">
        <f t="shared" ref="L2:L7" si="1">J2/2240</f>
        <v>709.50027901785711</v>
      </c>
    </row>
    <row r="3" spans="1:12" x14ac:dyDescent="0.25">
      <c r="A3">
        <v>1702</v>
      </c>
      <c r="B3" t="s">
        <v>70</v>
      </c>
      <c r="C3" t="s">
        <v>92</v>
      </c>
      <c r="D3" t="s">
        <v>1</v>
      </c>
      <c r="F3">
        <v>8</v>
      </c>
      <c r="G3">
        <v>2</v>
      </c>
      <c r="H3">
        <v>14</v>
      </c>
      <c r="J3">
        <f t="shared" si="0"/>
        <v>952.875</v>
      </c>
      <c r="L3">
        <f t="shared" si="1"/>
        <v>0.42539062500000002</v>
      </c>
    </row>
    <row r="4" spans="1:12" x14ac:dyDescent="0.25">
      <c r="A4">
        <v>1702</v>
      </c>
      <c r="B4" t="s">
        <v>3</v>
      </c>
      <c r="C4" t="s">
        <v>92</v>
      </c>
      <c r="D4" t="s">
        <v>1</v>
      </c>
      <c r="H4">
        <f>3*200</f>
        <v>600</v>
      </c>
      <c r="I4" t="s">
        <v>33</v>
      </c>
      <c r="J4">
        <f t="shared" si="0"/>
        <v>37.5</v>
      </c>
      <c r="L4">
        <f t="shared" si="1"/>
        <v>1.6741071428571428E-2</v>
      </c>
    </row>
    <row r="5" spans="1:12" x14ac:dyDescent="0.25">
      <c r="A5">
        <v>1702</v>
      </c>
      <c r="B5" t="s">
        <v>18</v>
      </c>
      <c r="C5" t="s">
        <v>92</v>
      </c>
      <c r="D5" t="s">
        <v>1</v>
      </c>
      <c r="F5">
        <v>9</v>
      </c>
      <c r="H5">
        <v>1</v>
      </c>
      <c r="J5">
        <f t="shared" si="0"/>
        <v>1008.0625</v>
      </c>
      <c r="L5">
        <f t="shared" si="1"/>
        <v>0.45002790178571428</v>
      </c>
    </row>
    <row r="6" spans="1:12" x14ac:dyDescent="0.25">
      <c r="A6">
        <v>1702</v>
      </c>
      <c r="B6" t="s">
        <v>2</v>
      </c>
      <c r="C6" t="s">
        <v>92</v>
      </c>
      <c r="D6" t="s">
        <v>1</v>
      </c>
      <c r="H6">
        <v>800</v>
      </c>
      <c r="J6">
        <f t="shared" si="0"/>
        <v>50</v>
      </c>
      <c r="L6">
        <f t="shared" si="1"/>
        <v>2.2321428571428572E-2</v>
      </c>
    </row>
    <row r="7" spans="1:12" x14ac:dyDescent="0.25">
      <c r="A7">
        <v>1702</v>
      </c>
      <c r="B7" t="s">
        <v>10</v>
      </c>
      <c r="C7" t="s">
        <v>92</v>
      </c>
      <c r="D7" t="s">
        <v>1</v>
      </c>
      <c r="F7">
        <v>154</v>
      </c>
      <c r="J7">
        <f t="shared" si="0"/>
        <v>17248</v>
      </c>
      <c r="L7">
        <f t="shared" si="1"/>
        <v>7.7</v>
      </c>
    </row>
  </sheetData>
  <autoFilter ref="A1:L7" xr:uid="{7ECBE782-642A-4A69-B3C3-AA33FAF53666}">
    <sortState xmlns:xlrd2="http://schemas.microsoft.com/office/spreadsheetml/2017/richdata2" ref="A2:L7">
      <sortCondition ref="B1:B7"/>
    </sortState>
  </autoFilter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0D6D79-299E-4BDC-A30E-5252DE375C36}">
  <dimension ref="A1:L14"/>
  <sheetViews>
    <sheetView workbookViewId="0">
      <selection activeCell="O27" sqref="O27"/>
    </sheetView>
  </sheetViews>
  <sheetFormatPr defaultRowHeight="15" x14ac:dyDescent="0.25"/>
  <cols>
    <col min="2" max="3" width="15" customWidth="1"/>
  </cols>
  <sheetData>
    <row r="1" spans="1:12" x14ac:dyDescent="0.25">
      <c r="A1" s="1" t="s">
        <v>75</v>
      </c>
      <c r="B1" s="1" t="s">
        <v>76</v>
      </c>
      <c r="C1" s="1" t="s">
        <v>77</v>
      </c>
      <c r="D1" s="1" t="s">
        <v>78</v>
      </c>
      <c r="E1" s="1" t="s">
        <v>79</v>
      </c>
      <c r="F1" s="1" t="s">
        <v>80</v>
      </c>
      <c r="G1" s="1" t="s">
        <v>81</v>
      </c>
      <c r="H1" s="1" t="s">
        <v>82</v>
      </c>
      <c r="I1" s="1"/>
      <c r="J1" s="1" t="s">
        <v>0</v>
      </c>
      <c r="K1" s="1"/>
      <c r="L1" s="1" t="s">
        <v>83</v>
      </c>
    </row>
    <row r="2" spans="1:12" x14ac:dyDescent="0.25">
      <c r="A2">
        <v>1702</v>
      </c>
      <c r="B2" t="s">
        <v>23</v>
      </c>
      <c r="C2" t="s">
        <v>93</v>
      </c>
      <c r="D2" t="s">
        <v>1</v>
      </c>
      <c r="G2">
        <v>5</v>
      </c>
      <c r="J2">
        <f t="shared" ref="J2:J14" si="0">(E2*2240)+(F2*112)+(G2*28)+H2</f>
        <v>140</v>
      </c>
      <c r="L2">
        <f t="shared" ref="L2:L14" si="1">J2/2240</f>
        <v>6.25E-2</v>
      </c>
    </row>
    <row r="3" spans="1:12" x14ac:dyDescent="0.25">
      <c r="A3">
        <v>1702</v>
      </c>
      <c r="B3" t="s">
        <v>11</v>
      </c>
      <c r="C3" t="s">
        <v>93</v>
      </c>
      <c r="D3" t="s">
        <v>1</v>
      </c>
      <c r="F3">
        <v>1995</v>
      </c>
      <c r="G3">
        <v>2</v>
      </c>
      <c r="J3">
        <f t="shared" si="0"/>
        <v>223496</v>
      </c>
      <c r="L3">
        <f t="shared" si="1"/>
        <v>99.775000000000006</v>
      </c>
    </row>
    <row r="4" spans="1:12" x14ac:dyDescent="0.25">
      <c r="A4">
        <v>1702</v>
      </c>
      <c r="B4" t="s">
        <v>7</v>
      </c>
      <c r="C4" t="s">
        <v>93</v>
      </c>
      <c r="D4" t="s">
        <v>1</v>
      </c>
      <c r="H4">
        <v>20</v>
      </c>
      <c r="J4">
        <f t="shared" si="0"/>
        <v>20</v>
      </c>
      <c r="L4">
        <f t="shared" si="1"/>
        <v>8.9285714285714281E-3</v>
      </c>
    </row>
    <row r="5" spans="1:12" x14ac:dyDescent="0.25">
      <c r="A5">
        <v>1702</v>
      </c>
      <c r="B5" t="s">
        <v>70</v>
      </c>
      <c r="C5" t="s">
        <v>93</v>
      </c>
      <c r="D5" t="s">
        <v>1</v>
      </c>
      <c r="F5">
        <v>15</v>
      </c>
      <c r="G5">
        <v>3</v>
      </c>
      <c r="J5">
        <f t="shared" si="0"/>
        <v>1764</v>
      </c>
      <c r="L5">
        <f t="shared" si="1"/>
        <v>0.78749999999999998</v>
      </c>
    </row>
    <row r="6" spans="1:12" x14ac:dyDescent="0.25">
      <c r="A6">
        <v>1702</v>
      </c>
      <c r="B6" t="s">
        <v>14</v>
      </c>
      <c r="C6" t="s">
        <v>93</v>
      </c>
      <c r="D6" t="s">
        <v>1</v>
      </c>
      <c r="H6">
        <v>200</v>
      </c>
      <c r="I6" t="s">
        <v>37</v>
      </c>
      <c r="J6">
        <f t="shared" si="0"/>
        <v>200</v>
      </c>
      <c r="L6">
        <f t="shared" si="1"/>
        <v>8.9285714285714288E-2</v>
      </c>
    </row>
    <row r="7" spans="1:12" x14ac:dyDescent="0.25">
      <c r="A7">
        <v>1702</v>
      </c>
      <c r="B7" t="s">
        <v>21</v>
      </c>
      <c r="C7" t="s">
        <v>93</v>
      </c>
      <c r="D7" t="s">
        <v>1</v>
      </c>
      <c r="H7">
        <v>300</v>
      </c>
      <c r="I7" t="s">
        <v>61</v>
      </c>
      <c r="J7">
        <f t="shared" si="0"/>
        <v>300</v>
      </c>
      <c r="L7">
        <f t="shared" si="1"/>
        <v>0.13392857142857142</v>
      </c>
    </row>
    <row r="8" spans="1:12" x14ac:dyDescent="0.25">
      <c r="A8">
        <v>1702</v>
      </c>
      <c r="B8" t="s">
        <v>10</v>
      </c>
      <c r="C8" t="s">
        <v>93</v>
      </c>
      <c r="D8" t="s">
        <v>1</v>
      </c>
      <c r="F8">
        <v>4945</v>
      </c>
      <c r="H8">
        <v>18</v>
      </c>
      <c r="J8">
        <f t="shared" si="0"/>
        <v>553858</v>
      </c>
      <c r="L8">
        <f t="shared" si="1"/>
        <v>247.25803571428571</v>
      </c>
    </row>
    <row r="9" spans="1:12" x14ac:dyDescent="0.25">
      <c r="A9">
        <v>1702</v>
      </c>
      <c r="B9" t="s">
        <v>17</v>
      </c>
      <c r="C9" t="s">
        <v>93</v>
      </c>
      <c r="D9" t="s">
        <v>1</v>
      </c>
      <c r="F9">
        <v>10</v>
      </c>
      <c r="G9">
        <v>2</v>
      </c>
      <c r="H9">
        <v>10</v>
      </c>
      <c r="J9">
        <f t="shared" si="0"/>
        <v>1186</v>
      </c>
      <c r="L9">
        <f t="shared" si="1"/>
        <v>0.52946428571428572</v>
      </c>
    </row>
    <row r="10" spans="1:12" x14ac:dyDescent="0.25">
      <c r="A10">
        <v>1702</v>
      </c>
      <c r="B10" t="s">
        <v>13</v>
      </c>
      <c r="C10" t="s">
        <v>93</v>
      </c>
      <c r="D10" t="s">
        <v>1</v>
      </c>
      <c r="H10">
        <v>64763</v>
      </c>
      <c r="J10">
        <f t="shared" si="0"/>
        <v>64763</v>
      </c>
      <c r="L10">
        <f t="shared" si="1"/>
        <v>28.912053571428572</v>
      </c>
    </row>
    <row r="11" spans="1:12" x14ac:dyDescent="0.25">
      <c r="A11">
        <v>1702</v>
      </c>
      <c r="B11" t="s">
        <v>3</v>
      </c>
      <c r="C11" t="s">
        <v>93</v>
      </c>
      <c r="D11" t="s">
        <v>5</v>
      </c>
      <c r="F11">
        <v>17</v>
      </c>
      <c r="J11">
        <f t="shared" si="0"/>
        <v>1904</v>
      </c>
      <c r="L11">
        <f t="shared" si="1"/>
        <v>0.85</v>
      </c>
    </row>
    <row r="12" spans="1:12" x14ac:dyDescent="0.25">
      <c r="A12">
        <v>1702</v>
      </c>
      <c r="B12" t="s">
        <v>38</v>
      </c>
      <c r="C12" t="s">
        <v>93</v>
      </c>
      <c r="D12" t="s">
        <v>5</v>
      </c>
      <c r="F12">
        <v>20</v>
      </c>
      <c r="J12">
        <f t="shared" si="0"/>
        <v>2240</v>
      </c>
      <c r="L12">
        <f t="shared" si="1"/>
        <v>1</v>
      </c>
    </row>
    <row r="13" spans="1:12" x14ac:dyDescent="0.25">
      <c r="A13">
        <v>1702</v>
      </c>
      <c r="B13" t="s">
        <v>14</v>
      </c>
      <c r="C13" t="s">
        <v>93</v>
      </c>
      <c r="D13" t="s">
        <v>5</v>
      </c>
      <c r="H13">
        <v>315</v>
      </c>
      <c r="I13" t="s">
        <v>51</v>
      </c>
      <c r="J13">
        <f t="shared" si="0"/>
        <v>315</v>
      </c>
      <c r="L13">
        <f t="shared" si="1"/>
        <v>0.140625</v>
      </c>
    </row>
    <row r="14" spans="1:12" x14ac:dyDescent="0.25">
      <c r="A14">
        <v>1702</v>
      </c>
      <c r="B14" t="s">
        <v>13</v>
      </c>
      <c r="C14" t="s">
        <v>93</v>
      </c>
      <c r="D14" t="s">
        <v>5</v>
      </c>
      <c r="H14">
        <v>2449</v>
      </c>
      <c r="J14">
        <f t="shared" si="0"/>
        <v>2449</v>
      </c>
      <c r="L14">
        <f t="shared" si="1"/>
        <v>1.0933035714285715</v>
      </c>
    </row>
  </sheetData>
  <autoFilter ref="A1:L14" xr:uid="{C20D6D79-299E-4BDC-A30E-5252DE375C36}">
    <sortState xmlns:xlrd2="http://schemas.microsoft.com/office/spreadsheetml/2017/richdata2" ref="A2:L14">
      <sortCondition ref="D1:D14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Master Goods Sheet</vt:lpstr>
      <vt:lpstr>Antigua</vt:lpstr>
      <vt:lpstr>Barbados</vt:lpstr>
      <vt:lpstr>Bermuda</vt:lpstr>
      <vt:lpstr>Carolina</vt:lpstr>
      <vt:lpstr>Jamaica</vt:lpstr>
      <vt:lpstr>Mountserat</vt:lpstr>
      <vt:lpstr>Nevis</vt:lpstr>
      <vt:lpstr>St Kitts</vt:lpstr>
      <vt:lpstr>NewEngland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Polay, Jacob</dc:creator>
  <cp:lastModifiedBy>Polay, Jacob</cp:lastModifiedBy>
  <dcterms:created xsi:type="dcterms:W3CDTF">2024-09-24T19:25:05Z</dcterms:created>
  <dcterms:modified xsi:type="dcterms:W3CDTF">2025-04-29T18:34:06Z</dcterms:modified>
</cp:coreProperties>
</file>