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62" documentId="8_{3BAD0783-9E5C-4D3C-A653-04D593C9C169}" xr6:coauthVersionLast="47" xr6:coauthVersionMax="47" xr10:uidLastSave="{C4965997-EC59-4746-9B66-A4DD0139CDFB}"/>
  <bookViews>
    <workbookView xWindow="-120" yWindow="-120" windowWidth="29040" windowHeight="15840" firstSheet="1" activeTab="1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Barbados!$A$1:$N$59</definedName>
    <definedName name="_xlnm._FilterDatabase" localSheetId="5" hidden="1">Jamaica!$A$1:$O$64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8" l="1"/>
  <c r="H83" i="7"/>
  <c r="H83" i="6"/>
  <c r="H89" i="5"/>
  <c r="J110" i="5"/>
  <c r="L110" i="5" s="1"/>
  <c r="H97" i="5"/>
  <c r="H72" i="3"/>
  <c r="J100" i="3"/>
  <c r="L100" i="3" s="1"/>
  <c r="J71" i="3"/>
  <c r="L71" i="3" s="1"/>
  <c r="H89" i="2"/>
  <c r="J110" i="2"/>
  <c r="L110" i="2" s="1"/>
  <c r="J45" i="11"/>
  <c r="L45" i="11" s="1"/>
  <c r="J9" i="11"/>
  <c r="L9" i="11" s="1"/>
  <c r="J8" i="11"/>
  <c r="L8" i="11" s="1"/>
  <c r="H22" i="8"/>
  <c r="L42" i="8"/>
  <c r="J42" i="8"/>
  <c r="H22" i="7"/>
  <c r="H22" i="6"/>
  <c r="H24" i="5"/>
  <c r="J24" i="5" s="1"/>
  <c r="L24" i="5" s="1"/>
  <c r="L59" i="5"/>
  <c r="J59" i="5"/>
  <c r="J46" i="5"/>
  <c r="L46" i="5" s="1"/>
  <c r="J8" i="5"/>
  <c r="L8" i="5" s="1"/>
  <c r="H20" i="3"/>
  <c r="J20" i="3" s="1"/>
  <c r="L20" i="3" s="1"/>
  <c r="J38" i="3"/>
  <c r="L38" i="3" s="1"/>
  <c r="J41" i="3"/>
  <c r="L41" i="3" s="1"/>
  <c r="J28" i="3"/>
  <c r="L28" i="3" s="1"/>
  <c r="J24" i="3"/>
  <c r="L24" i="3" s="1"/>
  <c r="J7" i="3"/>
  <c r="L7" i="3" s="1"/>
  <c r="J18" i="3"/>
  <c r="L18" i="3" s="1"/>
  <c r="H23" i="2"/>
  <c r="J44" i="2"/>
  <c r="L44" i="2" s="1"/>
  <c r="J49" i="2"/>
  <c r="L49" i="2" s="1"/>
  <c r="J45" i="2"/>
  <c r="L45" i="2" s="1"/>
  <c r="J46" i="2"/>
  <c r="L46" i="2" s="1"/>
  <c r="J122" i="5"/>
  <c r="L122" i="5" s="1"/>
  <c r="J75" i="5"/>
  <c r="L75" i="5" s="1"/>
  <c r="J90" i="3"/>
  <c r="L90" i="3" s="1"/>
  <c r="J122" i="2"/>
  <c r="L122" i="2" s="1"/>
  <c r="J57" i="11"/>
  <c r="L57" i="11" s="1"/>
  <c r="J12" i="11"/>
  <c r="L12" i="11" s="1"/>
  <c r="J56" i="5"/>
  <c r="L56" i="5" s="1"/>
  <c r="J9" i="5"/>
  <c r="L9" i="5" s="1"/>
  <c r="J14" i="4"/>
  <c r="L14" i="4" s="1"/>
  <c r="J16" i="4"/>
  <c r="L16" i="4" s="1"/>
  <c r="J12" i="4"/>
  <c r="L12" i="4" s="1"/>
  <c r="J9" i="4"/>
  <c r="L9" i="4" s="1"/>
  <c r="J6" i="4"/>
  <c r="L6" i="4" s="1"/>
  <c r="J25" i="3"/>
  <c r="L25" i="3" s="1"/>
  <c r="J29" i="2"/>
  <c r="L29" i="2" s="1"/>
  <c r="J8" i="2"/>
  <c r="L8" i="2" s="1"/>
  <c r="C23" i="1"/>
  <c r="C24" i="1"/>
  <c r="B23" i="1"/>
  <c r="B24" i="1"/>
  <c r="J131" i="11"/>
  <c r="L131" i="11" s="1"/>
  <c r="J130" i="11"/>
  <c r="L130" i="11" s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6" i="11"/>
  <c r="L56" i="11" s="1"/>
  <c r="J55" i="11"/>
  <c r="L55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1" i="11"/>
  <c r="L11" i="11" s="1"/>
  <c r="J10" i="11"/>
  <c r="L10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1" i="2"/>
  <c r="L121" i="2" s="1"/>
  <c r="J120" i="2"/>
  <c r="L120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8" i="2"/>
  <c r="L48" i="2" s="1"/>
  <c r="J47" i="2"/>
  <c r="L47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1" i="3"/>
  <c r="L21" i="3" s="1"/>
  <c r="J22" i="3"/>
  <c r="L22" i="3" s="1"/>
  <c r="J23" i="3"/>
  <c r="L23" i="3" s="1"/>
  <c r="J26" i="3"/>
  <c r="L26" i="3" s="1"/>
  <c r="J27" i="3"/>
  <c r="L27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9" i="3"/>
  <c r="L39" i="3" s="1"/>
  <c r="J40" i="3"/>
  <c r="L40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1" i="3"/>
  <c r="L101" i="3" s="1"/>
  <c r="J102" i="3"/>
  <c r="L102" i="3" s="1"/>
  <c r="J103" i="3"/>
  <c r="L103" i="3" s="1"/>
  <c r="J104" i="3"/>
  <c r="L104" i="3" s="1"/>
  <c r="J105" i="3"/>
  <c r="L105" i="3" s="1"/>
  <c r="J106" i="3"/>
  <c r="L106" i="3" s="1"/>
  <c r="J107" i="3"/>
  <c r="L107" i="3" s="1"/>
  <c r="J108" i="3"/>
  <c r="L108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7" i="5"/>
  <c r="L57" i="5" s="1"/>
  <c r="J58" i="5"/>
  <c r="L58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<sst xmlns="http://schemas.openxmlformats.org/spreadsheetml/2006/main" count="3537" uniqueCount="164">
  <si>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</si>
  <si>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</si>
  <si>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</si>
  <si>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</si>
  <si>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</si>
  <si>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</si>
  <si>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</si>
  <si>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</si>
  <si>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</si>
  <si>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</si>
  <si>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</si>
  <si>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</si>
  <si>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</si>
  <si>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</si>
  <si>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</si>
  <si>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</si>
  <si>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</si>
  <si>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</si>
  <si>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</si>
  <si>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</si>
  <si>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</si>
  <si>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</si>
  <si>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</si>
  <si>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</si>
  <si>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</si>
  <si>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</si>
  <si>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</si>
  <si>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</si>
  <si>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</si>
  <si>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</si>
  <si>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</si>
  <si>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</si>
  <si>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</si>
  <si>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</si>
  <si>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</si>
  <si>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</si>
  <si>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</si>
  <si>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</si>
  <si>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</si>
  <si>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</si>
  <si>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</si>
  <si>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</si>
  <si>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</si>
  <si>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</si>
  <si>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</si>
  <si>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</si>
  <si>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</si>
  <si>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</si>
  <si>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</si>
  <si>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</si>
  <si>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</si>
  <si>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</si>
  <si>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</si>
  <si>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</si>
  <si>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</si>
  <si>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</si>
  <si>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</si>
  <si>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</si>
  <si>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</si>
  <si>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</si>
  <si>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</si>
  <si>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</si>
  <si>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</si>
  <si>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</si>
  <si>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</si>
  <si>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</si>
  <si>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</si>
  <si>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</si>
  <si>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</si>
  <si>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</si>
  <si>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</si>
  <si>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</si>
  <si>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</si>
  <si>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</si>
  <si>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</si>
  <si>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</si>
  <si>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</si>
  <si>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</si>
  <si>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</si>
  <si>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</si>
  <si>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</si>
  <si>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</si>
  <si>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</si>
  <si>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</si>
  <si>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</si>
  <si>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</si>
  <si>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</si>
  <si>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</si>
  <si>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</si>
  <si>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</si>
  <si>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</si>
  <si>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</si>
  <si>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</si>
  <si>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</si>
  <si>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</si>
  <si>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</si>
  <si>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</si>
  <si>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</si>
  <si>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</si>
  <si>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</si>
  <si>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</si>
  <si>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</si>
  <si>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</si>
  <si>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</si>
  <si>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</si>
  <si>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</si>
  <si>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</si>
  <si>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Quicksilver</t>
  </si>
  <si>
    <t>11g</t>
  </si>
  <si>
    <t>Saffron</t>
  </si>
  <si>
    <t>46406g</t>
  </si>
  <si>
    <t>63t 2h 7g</t>
  </si>
  <si>
    <t>Port</t>
  </si>
  <si>
    <t>7t 2h 23g</t>
  </si>
  <si>
    <t>480bags+96lb</t>
  </si>
  <si>
    <t>Balsam Capavia</t>
  </si>
  <si>
    <t>Jollop</t>
  </si>
  <si>
    <t>41g</t>
  </si>
  <si>
    <t>Salt Petre</t>
  </si>
  <si>
    <t>14699.75g</t>
  </si>
  <si>
    <t>172t 2h</t>
  </si>
  <si>
    <t>20t 1h 8g</t>
  </si>
  <si>
    <t>234bags+92lb</t>
  </si>
  <si>
    <t>Balsam Artificial</t>
  </si>
  <si>
    <t>5971g</t>
  </si>
  <si>
    <t>18.5g</t>
  </si>
  <si>
    <t>271721g</t>
  </si>
  <si>
    <t>26t 2h 45g</t>
  </si>
  <si>
    <t>Wood, Camwood</t>
  </si>
  <si>
    <t>415bags+41lb</t>
  </si>
  <si>
    <t>4811.5g</t>
  </si>
  <si>
    <t>30t 3h 19g</t>
  </si>
  <si>
    <t>115bags+33lb</t>
  </si>
  <si>
    <t>1g</t>
  </si>
  <si>
    <t>611.5g</t>
  </si>
  <si>
    <t>7t 3h 30g</t>
  </si>
  <si>
    <t>50bags</t>
  </si>
  <si>
    <t>5.5g</t>
  </si>
  <si>
    <t>15416g</t>
  </si>
  <si>
    <t>80t 50g</t>
  </si>
  <si>
    <t>8t 1h 19g</t>
  </si>
  <si>
    <t>1117.5bags</t>
  </si>
  <si>
    <t>119g</t>
  </si>
  <si>
    <t>5t 2h 42g</t>
  </si>
  <si>
    <t>12276g</t>
  </si>
  <si>
    <t>9t 3g</t>
  </si>
  <si>
    <t>7t 1h 54g</t>
  </si>
  <si>
    <t>1538bags</t>
  </si>
  <si>
    <t>16682g</t>
  </si>
  <si>
    <t>14t 2h 16g</t>
  </si>
  <si>
    <t>4t 2h 34g</t>
  </si>
  <si>
    <t>1212bags+130lb</t>
  </si>
  <si>
    <t>1390g</t>
  </si>
  <si>
    <t>85574g</t>
  </si>
  <si>
    <t>6t 1h 53g</t>
  </si>
  <si>
    <t>3h 43g</t>
  </si>
  <si>
    <t>1841bags+43lb</t>
  </si>
  <si>
    <t>1465g</t>
  </si>
  <si>
    <t>8t 59g</t>
  </si>
  <si>
    <t>175.5bags</t>
  </si>
  <si>
    <t>40g</t>
  </si>
  <si>
    <t>8bags</t>
  </si>
  <si>
    <t>3789g</t>
  </si>
  <si>
    <t>445bags+128lb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</si>
</sst>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4.6397321428571425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4.6397321428571425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0.73392857142857149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0.70892857142857146</v>
      </c>
      <c r="D3">
        <f t="shared" ref="D3:D31" si="0">B3+C3</f>
        <v>1.4428571428571431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24863.149999999998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11672.311607142859</v>
      </c>
      <c r="D4">
        <f t="shared" si="0"/>
        <v>36535.461607142861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20.320535714285715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0.54642857142857137</v>
      </c>
      <c r="D6">
        <f t="shared" si="0"/>
        <v>20.866964285714285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215.42946428571429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466.1611607142857</v>
      </c>
      <c r="D7">
        <f t="shared" si="0"/>
        <v>681.59062500000005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299.06339285714284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175.72276785714286</v>
      </c>
      <c r="D8">
        <f t="shared" si="0"/>
        <v>474.7861607142857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19.776339285714286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26.624999999999996</v>
      </c>
      <c r="D9">
        <f t="shared" si="0"/>
        <v>46.401339285714286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76.476785714285711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1.3348214285714286</v>
      </c>
      <c r="D10">
        <f t="shared" si="0"/>
        <v>77.811607142857142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63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39.739285714285714</v>
      </c>
      <c r="D11">
        <f t="shared" si="0"/>
        <v>102.73928571428571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26.663169642857142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6.2069196428571427</v>
      </c>
      <c r="D12">
        <f t="shared" si="0"/>
        <v>32.870089285714286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0.27946428571428572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15.465178571428572</v>
      </c>
      <c r="D13">
        <f t="shared" si="0"/>
        <v>15.744642857142857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191.52187499999999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77.761160714285708</v>
      </c>
      <c r="D14">
        <f t="shared" si="0"/>
        <v>269.28303571428569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0.9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0.9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1579.8020089285717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535.60647321428576</v>
      </c>
      <c r="D16">
        <f t="shared" si="0"/>
        <v>2115.4084821428573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26.290624999999999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19.128571428571433</v>
      </c>
      <c r="D17">
        <f t="shared" si="0"/>
        <v>45.419196428571432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1.815625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0.17142857142857143</v>
      </c>
      <c r="D18">
        <f t="shared" si="0"/>
        <v>1.9870535714285715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10.871428571428572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4.2245535714285714</v>
      </c>
      <c r="D19">
        <f t="shared" si="0"/>
        <v>15.095982142857142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1.3821428571428571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0.48392857142857143</v>
      </c>
      <c r="D20">
        <f t="shared" si="0"/>
        <v>1.8660714285714286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5.1714285714285717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5.1714285714285717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435.78593749999993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49.441294642857137</v>
      </c>
      <c r="D26">
        <f t="shared" si="0"/>
        <v>485.22723214285708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8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0.17946428571428572</v>
      </c>
      <c r="D27">
        <f t="shared" si="0"/>
        <v>8.1794642857142854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696.0428571428572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307.45446428571427</v>
      </c>
      <c r="D28">
        <f t="shared" si="0"/>
        <v>1003.4973214285715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377.14687500000002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91.141517857142858</v>
      </c>
      <c r="D29">
        <f t="shared" si="0"/>
        <v>468.28839285714287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41.9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53.831696428571426</v>
      </c>
      <c r="D30">
        <f t="shared" si="0"/>
        <v>95.731696428571425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4"/>
  <sheetViews>
    <sheetView topLeftCell="A102" workbookViewId="0">
      <selection activeCell="H113" sqref="H11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1742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1742</v>
      </c>
      <c r="B3" t="s">
        <v>57</v>
      </c>
      <c r="C3" t="s">
        <v>53</v>
      </c>
      <c r="D3" t="s">
        <v>33</v>
      </c>
      <c r="J3">
        <f t="shared" ref="J3:J72" si="0">(E3*2240)+(F3*112)+(G3*28)+H3</f>
        <v>0</v>
      </c>
      <c r="L3">
        <f t="shared" ref="L3:L72" si="1">J3/2240</f>
        <v>0</v>
      </c>
    </row>
    <row r="4" spans="1:15" x14ac:dyDescent="0.25">
      <c r="A4">
        <v>1742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1742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1742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1742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1742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1742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1742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1742</v>
      </c>
      <c r="B11" t="s">
        <v>5</v>
      </c>
      <c r="C11" t="s">
        <v>53</v>
      </c>
      <c r="D11" t="s">
        <v>33</v>
      </c>
      <c r="F11">
        <v>5</v>
      </c>
      <c r="G11">
        <v>3</v>
      </c>
      <c r="H11">
        <v>6</v>
      </c>
      <c r="J11">
        <f t="shared" si="0"/>
        <v>650</v>
      </c>
      <c r="L11">
        <f t="shared" si="1"/>
        <v>0.29017857142857145</v>
      </c>
    </row>
    <row r="12" spans="1:15" x14ac:dyDescent="0.25">
      <c r="A12">
        <v>1742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1742</v>
      </c>
      <c r="B13" t="s">
        <v>6</v>
      </c>
      <c r="C13" t="s">
        <v>53</v>
      </c>
      <c r="D13" t="s">
        <v>33</v>
      </c>
      <c r="F13">
        <v>71422</v>
      </c>
      <c r="G13">
        <v>3</v>
      </c>
      <c r="H13">
        <v>16</v>
      </c>
      <c r="J13">
        <f t="shared" si="0"/>
        <v>7999364</v>
      </c>
      <c r="L13">
        <f t="shared" si="1"/>
        <v>3571.144642857143</v>
      </c>
    </row>
    <row r="14" spans="1:15" x14ac:dyDescent="0.25">
      <c r="A14">
        <v>1742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1742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1742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1742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1742</v>
      </c>
      <c r="B18" t="s">
        <v>8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1742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1742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1742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1742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1742</v>
      </c>
      <c r="B23" t="s">
        <v>9</v>
      </c>
      <c r="C23" t="s">
        <v>53</v>
      </c>
      <c r="D23" t="s">
        <v>33</v>
      </c>
      <c r="H23">
        <f>480*200+96</f>
        <v>96096</v>
      </c>
      <c r="I23" t="s">
        <v>114</v>
      </c>
      <c r="J23">
        <f t="shared" si="0"/>
        <v>96096</v>
      </c>
      <c r="L23">
        <f t="shared" si="1"/>
        <v>42.9</v>
      </c>
    </row>
    <row r="24" spans="1:12" x14ac:dyDescent="0.25">
      <c r="A24">
        <v>1742</v>
      </c>
      <c r="B24" t="s">
        <v>10</v>
      </c>
      <c r="C24" t="s">
        <v>53</v>
      </c>
      <c r="D24" t="s">
        <v>33</v>
      </c>
      <c r="F24">
        <v>70</v>
      </c>
      <c r="G24">
        <v>3</v>
      </c>
      <c r="H24">
        <v>22</v>
      </c>
      <c r="J24">
        <f t="shared" si="0"/>
        <v>7946</v>
      </c>
      <c r="L24">
        <f t="shared" si="1"/>
        <v>3.5473214285714287</v>
      </c>
    </row>
    <row r="25" spans="1:12" x14ac:dyDescent="0.25">
      <c r="A25">
        <v>1742</v>
      </c>
      <c r="B25" t="s">
        <v>11</v>
      </c>
      <c r="C25" t="s">
        <v>53</v>
      </c>
      <c r="D25" t="s">
        <v>33</v>
      </c>
      <c r="F25">
        <v>111</v>
      </c>
      <c r="G25">
        <v>1</v>
      </c>
      <c r="H25">
        <v>2</v>
      </c>
      <c r="J25">
        <f t="shared" si="0"/>
        <v>12462</v>
      </c>
      <c r="L25">
        <f t="shared" si="1"/>
        <v>5.5633928571428575</v>
      </c>
    </row>
    <row r="26" spans="1:12" x14ac:dyDescent="0.25">
      <c r="A26">
        <v>1742</v>
      </c>
      <c r="B26" t="s">
        <v>39</v>
      </c>
      <c r="C26" t="s">
        <v>53</v>
      </c>
      <c r="D26" t="s">
        <v>33</v>
      </c>
      <c r="H26">
        <v>102</v>
      </c>
      <c r="J26">
        <f t="shared" si="0"/>
        <v>102</v>
      </c>
      <c r="L26">
        <f t="shared" si="1"/>
        <v>4.5535714285714284E-2</v>
      </c>
    </row>
    <row r="27" spans="1:12" x14ac:dyDescent="0.25">
      <c r="A27">
        <v>1742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1742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1742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1742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1742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1742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1742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1742</v>
      </c>
      <c r="B35" t="s">
        <v>13</v>
      </c>
      <c r="C35" t="s">
        <v>53</v>
      </c>
      <c r="D35" t="s">
        <v>33</v>
      </c>
      <c r="E35">
        <v>3</v>
      </c>
      <c r="J35">
        <f t="shared" si="0"/>
        <v>6720</v>
      </c>
      <c r="L35">
        <f t="shared" si="1"/>
        <v>3</v>
      </c>
    </row>
    <row r="36" spans="1:12" x14ac:dyDescent="0.25">
      <c r="A36">
        <v>1742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1742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1742</v>
      </c>
      <c r="B38" t="s">
        <v>27</v>
      </c>
      <c r="C38" t="s">
        <v>53</v>
      </c>
      <c r="D38" t="s">
        <v>33</v>
      </c>
      <c r="H38">
        <v>160131</v>
      </c>
      <c r="I38" t="s">
        <v>111</v>
      </c>
      <c r="J38">
        <f t="shared" si="0"/>
        <v>160131</v>
      </c>
      <c r="L38">
        <f t="shared" si="1"/>
        <v>71.487053571428575</v>
      </c>
    </row>
    <row r="39" spans="1:12" x14ac:dyDescent="0.25">
      <c r="A39">
        <v>1742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1742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1742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1742</v>
      </c>
      <c r="B42" t="s">
        <v>47</v>
      </c>
      <c r="C42" t="s">
        <v>53</v>
      </c>
      <c r="D42" t="s">
        <v>33</v>
      </c>
      <c r="H42">
        <v>110</v>
      </c>
      <c r="I42" t="s">
        <v>108</v>
      </c>
      <c r="J42">
        <f t="shared" si="0"/>
        <v>110</v>
      </c>
      <c r="L42">
        <f t="shared" si="1"/>
        <v>4.9107142857142856E-2</v>
      </c>
    </row>
    <row r="43" spans="1:12" x14ac:dyDescent="0.25">
      <c r="A43">
        <v>1742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1742</v>
      </c>
      <c r="B44" t="s">
        <v>112</v>
      </c>
      <c r="C44" t="s">
        <v>53</v>
      </c>
      <c r="D44" t="s">
        <v>33</v>
      </c>
      <c r="H44">
        <v>19135</v>
      </c>
      <c r="I44" t="s">
        <v>113</v>
      </c>
      <c r="J44">
        <f t="shared" si="0"/>
        <v>19135</v>
      </c>
      <c r="L44">
        <f t="shared" si="1"/>
        <v>8.5424107142857135</v>
      </c>
    </row>
    <row r="45" spans="1:12" x14ac:dyDescent="0.25">
      <c r="A45">
        <v>1742</v>
      </c>
      <c r="B45" t="s">
        <v>106</v>
      </c>
      <c r="C45" t="s">
        <v>53</v>
      </c>
      <c r="D45" t="s">
        <v>33</v>
      </c>
      <c r="F45">
        <v>3</v>
      </c>
      <c r="G45">
        <v>2</v>
      </c>
      <c r="J45">
        <f t="shared" si="0"/>
        <v>392</v>
      </c>
      <c r="L45">
        <f t="shared" si="1"/>
        <v>0.17499999999999999</v>
      </c>
    </row>
    <row r="46" spans="1:12" x14ac:dyDescent="0.25">
      <c r="A46">
        <v>1742</v>
      </c>
      <c r="B46" t="s">
        <v>107</v>
      </c>
      <c r="C46" t="s">
        <v>53</v>
      </c>
      <c r="D46" t="s">
        <v>33</v>
      </c>
      <c r="H46">
        <v>44467</v>
      </c>
      <c r="J46">
        <f t="shared" si="0"/>
        <v>44467</v>
      </c>
      <c r="L46">
        <f t="shared" si="1"/>
        <v>19.851339285714285</v>
      </c>
    </row>
    <row r="47" spans="1:12" x14ac:dyDescent="0.25">
      <c r="A47">
        <v>1742</v>
      </c>
      <c r="B47" t="s">
        <v>17</v>
      </c>
      <c r="C47" t="s">
        <v>53</v>
      </c>
      <c r="D47" t="s">
        <v>33</v>
      </c>
      <c r="F47">
        <v>18</v>
      </c>
      <c r="J47">
        <f t="shared" si="0"/>
        <v>2016</v>
      </c>
      <c r="L47">
        <f t="shared" si="1"/>
        <v>0.9</v>
      </c>
    </row>
    <row r="48" spans="1:12" x14ac:dyDescent="0.25">
      <c r="A48">
        <v>1742</v>
      </c>
      <c r="B48" t="s">
        <v>18</v>
      </c>
      <c r="C48" t="s">
        <v>53</v>
      </c>
      <c r="D48" t="s">
        <v>33</v>
      </c>
      <c r="H48">
        <v>464179</v>
      </c>
      <c r="I48" t="s">
        <v>110</v>
      </c>
      <c r="J48">
        <f t="shared" si="0"/>
        <v>464179</v>
      </c>
      <c r="L48">
        <f t="shared" si="1"/>
        <v>207.22276785714286</v>
      </c>
    </row>
    <row r="49" spans="1:12" x14ac:dyDescent="0.25">
      <c r="A49">
        <v>1742</v>
      </c>
      <c r="B49" t="s">
        <v>109</v>
      </c>
      <c r="C49" t="s">
        <v>53</v>
      </c>
      <c r="D49" t="s">
        <v>33</v>
      </c>
      <c r="H49">
        <v>537.25</v>
      </c>
      <c r="J49">
        <f t="shared" si="0"/>
        <v>537.25</v>
      </c>
      <c r="L49">
        <f t="shared" si="1"/>
        <v>0.23984374999999999</v>
      </c>
    </row>
    <row r="50" spans="1:12" x14ac:dyDescent="0.25">
      <c r="A50">
        <v>1742</v>
      </c>
      <c r="B50" t="s">
        <v>26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1742</v>
      </c>
      <c r="B51" t="s">
        <v>84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1742</v>
      </c>
      <c r="B52" t="s">
        <v>19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1742</v>
      </c>
      <c r="B53" t="s">
        <v>45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1742</v>
      </c>
      <c r="B54" t="s">
        <v>85</v>
      </c>
      <c r="C54" t="s">
        <v>53</v>
      </c>
      <c r="D54" t="s">
        <v>33</v>
      </c>
      <c r="H54">
        <v>2000</v>
      </c>
      <c r="J54">
        <f t="shared" si="0"/>
        <v>2000</v>
      </c>
      <c r="L54">
        <f t="shared" si="1"/>
        <v>0.8928571428571429</v>
      </c>
    </row>
    <row r="55" spans="1:12" x14ac:dyDescent="0.25">
      <c r="A55">
        <v>1742</v>
      </c>
      <c r="B55" t="s">
        <v>54</v>
      </c>
      <c r="C55" t="s">
        <v>53</v>
      </c>
      <c r="D55" t="s">
        <v>33</v>
      </c>
      <c r="H55">
        <v>471</v>
      </c>
      <c r="J55">
        <f t="shared" si="0"/>
        <v>471</v>
      </c>
      <c r="L55">
        <f t="shared" si="1"/>
        <v>0.21026785714285715</v>
      </c>
    </row>
    <row r="56" spans="1:12" x14ac:dyDescent="0.25">
      <c r="A56">
        <v>1742</v>
      </c>
      <c r="B56" t="s">
        <v>95</v>
      </c>
      <c r="C56" t="s">
        <v>53</v>
      </c>
      <c r="D56" t="s">
        <v>33</v>
      </c>
      <c r="H56">
        <v>273</v>
      </c>
      <c r="J56">
        <f t="shared" si="0"/>
        <v>273</v>
      </c>
      <c r="L56">
        <f t="shared" si="1"/>
        <v>0.121875</v>
      </c>
    </row>
    <row r="57" spans="1:12" x14ac:dyDescent="0.25">
      <c r="A57">
        <v>1742</v>
      </c>
      <c r="B57" t="s">
        <v>20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1742</v>
      </c>
      <c r="B58" t="s">
        <v>21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1742</v>
      </c>
      <c r="B59" t="s">
        <v>22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1742</v>
      </c>
      <c r="B60" t="s">
        <v>61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1742</v>
      </c>
      <c r="B61" t="s">
        <v>99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87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1742</v>
      </c>
      <c r="B63" t="s">
        <v>62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88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1742</v>
      </c>
      <c r="B65" t="s">
        <v>63</v>
      </c>
      <c r="C65" t="s">
        <v>53</v>
      </c>
      <c r="D65" t="s">
        <v>33</v>
      </c>
      <c r="E65">
        <v>33</v>
      </c>
      <c r="F65">
        <v>17</v>
      </c>
      <c r="J65">
        <f t="shared" si="0"/>
        <v>75824</v>
      </c>
      <c r="L65">
        <f t="shared" si="1"/>
        <v>33.85</v>
      </c>
    </row>
    <row r="66" spans="1:12" x14ac:dyDescent="0.25">
      <c r="A66">
        <v>1742</v>
      </c>
      <c r="B66" t="s">
        <v>89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1742</v>
      </c>
      <c r="B67" t="s">
        <v>70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1742</v>
      </c>
      <c r="B68" t="s">
        <v>64</v>
      </c>
      <c r="C68" t="s">
        <v>53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1742</v>
      </c>
      <c r="B69" t="s">
        <v>65</v>
      </c>
      <c r="C69" t="s">
        <v>53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1742</v>
      </c>
      <c r="B70" t="s">
        <v>55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1742</v>
      </c>
      <c r="B71" t="s">
        <v>57</v>
      </c>
      <c r="C71" t="s">
        <v>53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1742</v>
      </c>
      <c r="B72" t="s">
        <v>36</v>
      </c>
      <c r="C72" t="s">
        <v>53</v>
      </c>
      <c r="D72" t="s">
        <v>35</v>
      </c>
      <c r="J72">
        <f t="shared" si="0"/>
        <v>0</v>
      </c>
      <c r="L72">
        <f t="shared" si="1"/>
        <v>0</v>
      </c>
    </row>
    <row r="73" spans="1:12" x14ac:dyDescent="0.25">
      <c r="A73">
        <v>1742</v>
      </c>
      <c r="B73" t="s">
        <v>4</v>
      </c>
      <c r="C73" t="s">
        <v>53</v>
      </c>
      <c r="D73" t="s">
        <v>35</v>
      </c>
      <c r="J73">
        <f t="shared" ref="J73:J134" si="2">(E73*2240)+(F73*112)+(G73*28)+H73</f>
        <v>0</v>
      </c>
      <c r="L73">
        <f t="shared" ref="L73:L134" si="3">J73/2240</f>
        <v>0</v>
      </c>
    </row>
    <row r="74" spans="1:12" x14ac:dyDescent="0.25">
      <c r="A74">
        <v>1742</v>
      </c>
      <c r="B74" t="s">
        <v>58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1742</v>
      </c>
      <c r="B75" t="s">
        <v>69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1742</v>
      </c>
      <c r="B76" t="s">
        <v>43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1742</v>
      </c>
      <c r="B77" t="s">
        <v>76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1742</v>
      </c>
      <c r="B78" t="s">
        <v>5</v>
      </c>
      <c r="C78" t="s">
        <v>53</v>
      </c>
      <c r="D78" t="s">
        <v>35</v>
      </c>
      <c r="F78">
        <v>14</v>
      </c>
      <c r="H78">
        <v>20</v>
      </c>
      <c r="J78">
        <f t="shared" si="2"/>
        <v>1588</v>
      </c>
      <c r="L78">
        <f t="shared" si="3"/>
        <v>0.70892857142857146</v>
      </c>
    </row>
    <row r="79" spans="1:12" x14ac:dyDescent="0.25">
      <c r="A79">
        <v>1742</v>
      </c>
      <c r="B79" t="s">
        <v>59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1742</v>
      </c>
      <c r="B80" t="s">
        <v>6</v>
      </c>
      <c r="C80" t="s">
        <v>53</v>
      </c>
      <c r="D80" t="s">
        <v>35</v>
      </c>
      <c r="F80">
        <v>20804</v>
      </c>
      <c r="G80">
        <v>1</v>
      </c>
      <c r="H80">
        <v>5</v>
      </c>
      <c r="J80">
        <f t="shared" si="2"/>
        <v>2330081</v>
      </c>
      <c r="L80">
        <f t="shared" si="3"/>
        <v>1040.2147321428572</v>
      </c>
    </row>
    <row r="81" spans="1:12" x14ac:dyDescent="0.25">
      <c r="A81">
        <v>1742</v>
      </c>
      <c r="B81" t="s">
        <v>60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1742</v>
      </c>
      <c r="B82" t="s">
        <v>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1742</v>
      </c>
      <c r="B83" t="s">
        <v>37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1742</v>
      </c>
      <c r="B84" t="s">
        <v>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1742</v>
      </c>
      <c r="B85" t="s">
        <v>40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1742</v>
      </c>
      <c r="B86" t="s">
        <v>77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1742</v>
      </c>
      <c r="B87" t="s">
        <v>78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1742</v>
      </c>
      <c r="B88" t="s">
        <v>46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1742</v>
      </c>
      <c r="B89" t="s">
        <v>9</v>
      </c>
      <c r="C89" t="s">
        <v>53</v>
      </c>
      <c r="D89" t="s">
        <v>35</v>
      </c>
      <c r="H89">
        <f>1538*200</f>
        <v>307600</v>
      </c>
      <c r="I89" t="s">
        <v>147</v>
      </c>
      <c r="J89">
        <f t="shared" si="2"/>
        <v>307600</v>
      </c>
      <c r="L89">
        <f t="shared" si="3"/>
        <v>137.32142857142858</v>
      </c>
    </row>
    <row r="90" spans="1:12" x14ac:dyDescent="0.25">
      <c r="A90">
        <v>1742</v>
      </c>
      <c r="B90" t="s">
        <v>10</v>
      </c>
      <c r="C90" t="s">
        <v>53</v>
      </c>
      <c r="D90" t="s">
        <v>35</v>
      </c>
      <c r="F90">
        <v>251</v>
      </c>
      <c r="G90">
        <v>1</v>
      </c>
      <c r="H90">
        <v>8</v>
      </c>
      <c r="J90">
        <f t="shared" si="2"/>
        <v>28148</v>
      </c>
      <c r="L90">
        <f t="shared" si="3"/>
        <v>12.566071428571428</v>
      </c>
    </row>
    <row r="91" spans="1:12" x14ac:dyDescent="0.25">
      <c r="A91">
        <v>1742</v>
      </c>
      <c r="B91" t="s">
        <v>11</v>
      </c>
      <c r="C91" t="s">
        <v>53</v>
      </c>
      <c r="D91" t="s">
        <v>35</v>
      </c>
      <c r="F91">
        <v>32</v>
      </c>
      <c r="G91">
        <v>1</v>
      </c>
      <c r="H91">
        <v>4</v>
      </c>
      <c r="J91">
        <f t="shared" si="2"/>
        <v>3616</v>
      </c>
      <c r="L91">
        <f t="shared" si="3"/>
        <v>1.6142857142857143</v>
      </c>
    </row>
    <row r="92" spans="1:12" x14ac:dyDescent="0.25">
      <c r="A92">
        <v>1742</v>
      </c>
      <c r="B92" t="s">
        <v>39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1742</v>
      </c>
      <c r="B93" t="s">
        <v>79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1742</v>
      </c>
      <c r="B94" t="s">
        <v>103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1742</v>
      </c>
      <c r="B95" t="s">
        <v>44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1742</v>
      </c>
      <c r="B96" t="s">
        <v>97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1742</v>
      </c>
      <c r="B97" t="s">
        <v>12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1742</v>
      </c>
      <c r="B98" t="s">
        <v>82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1742</v>
      </c>
      <c r="B99" t="s">
        <v>34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1742</v>
      </c>
      <c r="B100" t="s">
        <v>13</v>
      </c>
      <c r="C100" t="s">
        <v>53</v>
      </c>
      <c r="D100" t="s">
        <v>35</v>
      </c>
      <c r="E100">
        <v>5</v>
      </c>
      <c r="F100">
        <v>13</v>
      </c>
      <c r="G100">
        <v>2</v>
      </c>
      <c r="H100">
        <v>2</v>
      </c>
      <c r="J100">
        <f t="shared" si="2"/>
        <v>12714</v>
      </c>
      <c r="L100">
        <f t="shared" si="3"/>
        <v>5.6758928571428573</v>
      </c>
    </row>
    <row r="101" spans="1:12" x14ac:dyDescent="0.25">
      <c r="A101">
        <v>1742</v>
      </c>
      <c r="B101" t="s">
        <v>14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1742</v>
      </c>
      <c r="B102" t="s">
        <v>23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1742</v>
      </c>
      <c r="B103" t="s">
        <v>27</v>
      </c>
      <c r="C103" t="s">
        <v>53</v>
      </c>
      <c r="D103" t="s">
        <v>35</v>
      </c>
      <c r="H103">
        <v>22716</v>
      </c>
      <c r="I103" t="s">
        <v>145</v>
      </c>
      <c r="J103">
        <f t="shared" si="2"/>
        <v>22716</v>
      </c>
      <c r="L103">
        <f t="shared" si="3"/>
        <v>10.141071428571429</v>
      </c>
    </row>
    <row r="104" spans="1:12" x14ac:dyDescent="0.25">
      <c r="A104">
        <v>1742</v>
      </c>
      <c r="B104" t="s">
        <v>15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1742</v>
      </c>
      <c r="B105" t="s">
        <v>93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1742</v>
      </c>
      <c r="B106" t="s">
        <v>42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1742</v>
      </c>
      <c r="B107" t="s">
        <v>83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1742</v>
      </c>
      <c r="B108" t="s">
        <v>47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1742</v>
      </c>
      <c r="B109" t="s">
        <v>16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1742</v>
      </c>
      <c r="B110" t="s">
        <v>112</v>
      </c>
      <c r="C110" t="s">
        <v>53</v>
      </c>
      <c r="D110" t="s">
        <v>35</v>
      </c>
      <c r="H110">
        <v>18815</v>
      </c>
      <c r="I110" t="s">
        <v>146</v>
      </c>
      <c r="J110">
        <f t="shared" si="2"/>
        <v>18815</v>
      </c>
      <c r="L110">
        <f t="shared" si="3"/>
        <v>8.3995535714285712</v>
      </c>
    </row>
    <row r="111" spans="1:12" x14ac:dyDescent="0.25">
      <c r="A111">
        <v>1742</v>
      </c>
      <c r="B111" t="s">
        <v>17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1742</v>
      </c>
      <c r="B112" t="s">
        <v>18</v>
      </c>
      <c r="C112" t="s">
        <v>53</v>
      </c>
      <c r="D112" t="s">
        <v>35</v>
      </c>
      <c r="H112">
        <v>122791.5</v>
      </c>
      <c r="I112" t="s">
        <v>144</v>
      </c>
      <c r="J112">
        <f t="shared" si="2"/>
        <v>122791.5</v>
      </c>
      <c r="L112">
        <f t="shared" si="3"/>
        <v>54.817633928571432</v>
      </c>
    </row>
    <row r="113" spans="1:12" x14ac:dyDescent="0.25">
      <c r="A113">
        <v>1742</v>
      </c>
      <c r="B113" t="s">
        <v>26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1742</v>
      </c>
      <c r="B114" t="s">
        <v>84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1742</v>
      </c>
      <c r="B115" t="s">
        <v>19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1742</v>
      </c>
      <c r="B116" t="s">
        <v>45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1742</v>
      </c>
      <c r="B117" t="s">
        <v>85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1742</v>
      </c>
      <c r="B118" t="s">
        <v>54</v>
      </c>
      <c r="C118" t="s">
        <v>53</v>
      </c>
      <c r="D118" t="s">
        <v>35</v>
      </c>
      <c r="H118">
        <v>18</v>
      </c>
      <c r="J118">
        <f t="shared" si="2"/>
        <v>18</v>
      </c>
      <c r="L118">
        <f t="shared" si="3"/>
        <v>8.0357142857142849E-3</v>
      </c>
    </row>
    <row r="119" spans="1:12" x14ac:dyDescent="0.25">
      <c r="A119">
        <v>1742</v>
      </c>
      <c r="B119" t="s">
        <v>95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1742</v>
      </c>
      <c r="B120" t="s">
        <v>20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1742</v>
      </c>
      <c r="B121" t="s">
        <v>21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1742</v>
      </c>
      <c r="B122" t="s">
        <v>105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1742</v>
      </c>
      <c r="B123" t="s">
        <v>22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1742</v>
      </c>
      <c r="B124" t="s">
        <v>61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1742</v>
      </c>
      <c r="B125" t="s">
        <v>91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1742</v>
      </c>
      <c r="B126" t="s">
        <v>98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1742</v>
      </c>
      <c r="B127" t="s">
        <v>87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1742</v>
      </c>
      <c r="B128" t="s">
        <v>62</v>
      </c>
      <c r="C128" t="s">
        <v>53</v>
      </c>
      <c r="D128" t="s">
        <v>35</v>
      </c>
      <c r="E128">
        <v>10</v>
      </c>
      <c r="G128">
        <v>3</v>
      </c>
      <c r="H128">
        <v>7</v>
      </c>
      <c r="J128">
        <f t="shared" si="2"/>
        <v>22491</v>
      </c>
      <c r="L128">
        <f t="shared" si="3"/>
        <v>10.040625</v>
      </c>
    </row>
    <row r="129" spans="1:12" x14ac:dyDescent="0.25">
      <c r="A129">
        <v>1742</v>
      </c>
      <c r="B129" t="s">
        <v>88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1742</v>
      </c>
      <c r="B130" t="s">
        <v>63</v>
      </c>
      <c r="C130" t="s">
        <v>53</v>
      </c>
      <c r="D130" t="s">
        <v>35</v>
      </c>
      <c r="E130">
        <v>9</v>
      </c>
      <c r="F130">
        <v>12</v>
      </c>
      <c r="H130">
        <v>7</v>
      </c>
      <c r="J130">
        <f t="shared" si="2"/>
        <v>21511</v>
      </c>
      <c r="L130">
        <f t="shared" si="3"/>
        <v>9.6031250000000004</v>
      </c>
    </row>
    <row r="131" spans="1:12" x14ac:dyDescent="0.25">
      <c r="A131">
        <v>1742</v>
      </c>
      <c r="B131" t="s">
        <v>89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1742</v>
      </c>
      <c r="B132" t="s">
        <v>70</v>
      </c>
      <c r="C132" t="s">
        <v>53</v>
      </c>
      <c r="D132" t="s">
        <v>35</v>
      </c>
      <c r="J132">
        <f t="shared" si="2"/>
        <v>0</v>
      </c>
      <c r="L132">
        <f t="shared" si="3"/>
        <v>0</v>
      </c>
    </row>
    <row r="133" spans="1:12" x14ac:dyDescent="0.25">
      <c r="A133">
        <v>1742</v>
      </c>
      <c r="B133" t="s">
        <v>64</v>
      </c>
      <c r="C133" t="s">
        <v>53</v>
      </c>
      <c r="D133" t="s">
        <v>35</v>
      </c>
      <c r="E133">
        <v>2</v>
      </c>
      <c r="J133">
        <f t="shared" si="2"/>
        <v>4480</v>
      </c>
      <c r="L133">
        <f t="shared" si="3"/>
        <v>2</v>
      </c>
    </row>
    <row r="134" spans="1:12" x14ac:dyDescent="0.25">
      <c r="A134">
        <v>1742</v>
      </c>
      <c r="B134" t="s">
        <v>65</v>
      </c>
      <c r="C134" t="s">
        <v>53</v>
      </c>
      <c r="D134" t="s">
        <v>35</v>
      </c>
      <c r="J134">
        <f t="shared" si="2"/>
        <v>0</v>
      </c>
      <c r="L134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8"/>
  <sheetViews>
    <sheetView topLeftCell="A91" workbookViewId="0">
      <selection activeCell="H93" sqref="H9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1742</v>
      </c>
      <c r="B2" t="s">
        <v>55</v>
      </c>
      <c r="C2" t="s">
        <v>56</v>
      </c>
      <c r="D2" t="s">
        <v>33</v>
      </c>
      <c r="F2">
        <v>29</v>
      </c>
      <c r="G2">
        <v>2</v>
      </c>
      <c r="H2">
        <v>16</v>
      </c>
      <c r="J2">
        <f t="shared" ref="J2:J73" si="0">(E2*2240)+(F2*112)+(G2*28)+H2</f>
        <v>3320</v>
      </c>
      <c r="L2">
        <f t="shared" ref="L2:L73" si="1">J2/2240</f>
        <v>1.4821428571428572</v>
      </c>
    </row>
    <row r="3" spans="1:12" x14ac:dyDescent="0.25">
      <c r="A3">
        <v>1742</v>
      </c>
      <c r="B3" t="s">
        <v>57</v>
      </c>
      <c r="C3" t="s">
        <v>56</v>
      </c>
      <c r="D3" t="s">
        <v>33</v>
      </c>
      <c r="F3">
        <v>4</v>
      </c>
      <c r="G3">
        <v>1</v>
      </c>
      <c r="H3">
        <v>14</v>
      </c>
      <c r="J3">
        <f t="shared" si="0"/>
        <v>490</v>
      </c>
      <c r="L3">
        <f t="shared" si="1"/>
        <v>0.21875</v>
      </c>
    </row>
    <row r="4" spans="1:12" x14ac:dyDescent="0.25">
      <c r="A4">
        <v>1742</v>
      </c>
      <c r="B4" t="s">
        <v>36</v>
      </c>
      <c r="C4" t="s">
        <v>56</v>
      </c>
      <c r="D4" t="s">
        <v>33</v>
      </c>
      <c r="H4">
        <v>22299</v>
      </c>
      <c r="J4">
        <f t="shared" si="0"/>
        <v>22299</v>
      </c>
      <c r="L4">
        <f t="shared" si="1"/>
        <v>9.9549107142857149</v>
      </c>
    </row>
    <row r="5" spans="1:12" x14ac:dyDescent="0.25">
      <c r="A5">
        <v>1742</v>
      </c>
      <c r="B5" t="s">
        <v>4</v>
      </c>
      <c r="C5" t="s">
        <v>56</v>
      </c>
      <c r="D5" t="s">
        <v>33</v>
      </c>
      <c r="H5">
        <v>10393</v>
      </c>
      <c r="J5">
        <f t="shared" si="0"/>
        <v>10393</v>
      </c>
      <c r="L5">
        <f t="shared" si="1"/>
        <v>4.6397321428571425</v>
      </c>
    </row>
    <row r="6" spans="1:12" x14ac:dyDescent="0.25">
      <c r="A6">
        <v>1742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1742</v>
      </c>
      <c r="B7" t="s">
        <v>115</v>
      </c>
      <c r="C7" t="s">
        <v>56</v>
      </c>
      <c r="D7" t="s">
        <v>33</v>
      </c>
      <c r="H7">
        <v>820</v>
      </c>
      <c r="J7">
        <f t="shared" si="0"/>
        <v>820</v>
      </c>
      <c r="L7">
        <f t="shared" si="1"/>
        <v>0.36607142857142855</v>
      </c>
    </row>
    <row r="8" spans="1:12" x14ac:dyDescent="0.25">
      <c r="A8">
        <v>1742</v>
      </c>
      <c r="B8" t="s">
        <v>92</v>
      </c>
      <c r="C8" t="s">
        <v>56</v>
      </c>
      <c r="D8" t="s">
        <v>33</v>
      </c>
      <c r="H8">
        <v>1335</v>
      </c>
      <c r="J8">
        <f t="shared" si="0"/>
        <v>1335</v>
      </c>
      <c r="L8">
        <f t="shared" si="1"/>
        <v>0.5959821428571429</v>
      </c>
    </row>
    <row r="9" spans="1:12" x14ac:dyDescent="0.25">
      <c r="A9">
        <v>1742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1742</v>
      </c>
      <c r="B10" t="s">
        <v>5</v>
      </c>
      <c r="C10" t="s">
        <v>56</v>
      </c>
      <c r="D10" t="s">
        <v>33</v>
      </c>
      <c r="F10">
        <v>8</v>
      </c>
      <c r="G10">
        <v>3</v>
      </c>
      <c r="H10">
        <v>14</v>
      </c>
      <c r="J10">
        <f t="shared" si="0"/>
        <v>994</v>
      </c>
      <c r="L10">
        <f t="shared" si="1"/>
        <v>0.44374999999999998</v>
      </c>
    </row>
    <row r="11" spans="1:12" x14ac:dyDescent="0.25">
      <c r="A11">
        <v>1742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1742</v>
      </c>
      <c r="B12" t="s">
        <v>6</v>
      </c>
      <c r="C12" t="s">
        <v>56</v>
      </c>
      <c r="D12" t="s">
        <v>33</v>
      </c>
      <c r="F12">
        <v>78358</v>
      </c>
      <c r="G12">
        <v>3</v>
      </c>
      <c r="H12">
        <v>1</v>
      </c>
      <c r="J12">
        <f t="shared" si="0"/>
        <v>8776181</v>
      </c>
      <c r="L12">
        <f t="shared" si="1"/>
        <v>3917.9379464285716</v>
      </c>
    </row>
    <row r="13" spans="1:12" x14ac:dyDescent="0.25">
      <c r="A13">
        <v>1742</v>
      </c>
      <c r="B13" t="s">
        <v>60</v>
      </c>
      <c r="C13" t="s">
        <v>56</v>
      </c>
      <c r="D13" t="s">
        <v>33</v>
      </c>
      <c r="H13">
        <v>746</v>
      </c>
      <c r="J13">
        <f t="shared" si="0"/>
        <v>746</v>
      </c>
      <c r="L13">
        <f t="shared" si="1"/>
        <v>0.33303571428571427</v>
      </c>
    </row>
    <row r="14" spans="1:12" x14ac:dyDescent="0.25">
      <c r="A14">
        <v>1742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1742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1742</v>
      </c>
      <c r="B16" t="s">
        <v>8</v>
      </c>
      <c r="C16" t="s">
        <v>56</v>
      </c>
      <c r="D16" t="s">
        <v>33</v>
      </c>
      <c r="F16">
        <v>100</v>
      </c>
      <c r="G16">
        <v>3</v>
      </c>
      <c r="H16">
        <v>10</v>
      </c>
      <c r="J16">
        <f t="shared" si="0"/>
        <v>11294</v>
      </c>
      <c r="L16">
        <f t="shared" si="1"/>
        <v>5.0419642857142861</v>
      </c>
    </row>
    <row r="17" spans="1:12" x14ac:dyDescent="0.25">
      <c r="A17">
        <v>1742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1742</v>
      </c>
      <c r="B18" t="s">
        <v>77</v>
      </c>
      <c r="C18" t="s">
        <v>56</v>
      </c>
      <c r="D18" t="s">
        <v>33</v>
      </c>
      <c r="G18">
        <v>2</v>
      </c>
      <c r="J18">
        <f t="shared" si="0"/>
        <v>56</v>
      </c>
      <c r="L18">
        <f t="shared" si="1"/>
        <v>2.5000000000000001E-2</v>
      </c>
    </row>
    <row r="19" spans="1:12" x14ac:dyDescent="0.25">
      <c r="A19">
        <v>1742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1742</v>
      </c>
      <c r="B20" t="s">
        <v>9</v>
      </c>
      <c r="C20" t="s">
        <v>56</v>
      </c>
      <c r="D20" t="s">
        <v>33</v>
      </c>
      <c r="H20">
        <f>234*200+92</f>
        <v>46892</v>
      </c>
      <c r="I20" t="s">
        <v>122</v>
      </c>
      <c r="J20">
        <f t="shared" si="0"/>
        <v>46892</v>
      </c>
      <c r="L20">
        <f t="shared" si="1"/>
        <v>20.93392857142857</v>
      </c>
    </row>
    <row r="21" spans="1:12" x14ac:dyDescent="0.25">
      <c r="A21">
        <v>1742</v>
      </c>
      <c r="B21" t="s">
        <v>10</v>
      </c>
      <c r="C21" t="s">
        <v>56</v>
      </c>
      <c r="D21" t="s">
        <v>33</v>
      </c>
      <c r="F21">
        <v>3009</v>
      </c>
      <c r="G21">
        <v>1</v>
      </c>
      <c r="H21">
        <v>27</v>
      </c>
      <c r="J21">
        <f t="shared" si="0"/>
        <v>337063</v>
      </c>
      <c r="L21">
        <f t="shared" si="1"/>
        <v>150.47455357142857</v>
      </c>
    </row>
    <row r="22" spans="1:12" x14ac:dyDescent="0.25">
      <c r="A22">
        <v>1742</v>
      </c>
      <c r="B22" t="s">
        <v>11</v>
      </c>
      <c r="C22" t="s">
        <v>56</v>
      </c>
      <c r="D22" t="s">
        <v>33</v>
      </c>
      <c r="F22">
        <v>183</v>
      </c>
      <c r="G22">
        <v>1</v>
      </c>
      <c r="H22">
        <v>19</v>
      </c>
      <c r="J22">
        <f t="shared" si="0"/>
        <v>20543</v>
      </c>
      <c r="L22">
        <f t="shared" si="1"/>
        <v>9.1709821428571434</v>
      </c>
    </row>
    <row r="23" spans="1:12" x14ac:dyDescent="0.25">
      <c r="A23">
        <v>1742</v>
      </c>
      <c r="B23" t="s">
        <v>39</v>
      </c>
      <c r="C23" t="s">
        <v>56</v>
      </c>
      <c r="D23" t="s">
        <v>33</v>
      </c>
      <c r="H23">
        <v>1105</v>
      </c>
      <c r="J23">
        <f t="shared" si="0"/>
        <v>1105</v>
      </c>
      <c r="L23">
        <f t="shared" si="1"/>
        <v>0.49330357142857145</v>
      </c>
    </row>
    <row r="24" spans="1:12" x14ac:dyDescent="0.25">
      <c r="A24">
        <v>1742</v>
      </c>
      <c r="B24" t="s">
        <v>79</v>
      </c>
      <c r="C24" t="s">
        <v>56</v>
      </c>
      <c r="D24" t="s">
        <v>33</v>
      </c>
      <c r="F24">
        <v>7</v>
      </c>
      <c r="G24">
        <v>3</v>
      </c>
      <c r="H24">
        <v>25</v>
      </c>
      <c r="J24">
        <f t="shared" si="0"/>
        <v>893</v>
      </c>
      <c r="L24">
        <f t="shared" si="1"/>
        <v>0.39866071428571431</v>
      </c>
    </row>
    <row r="25" spans="1:12" x14ac:dyDescent="0.25">
      <c r="A25">
        <v>1742</v>
      </c>
      <c r="B25" t="s">
        <v>102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1742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1742</v>
      </c>
      <c r="B27" t="s">
        <v>12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1742</v>
      </c>
      <c r="B28" t="s">
        <v>116</v>
      </c>
      <c r="C28" t="s">
        <v>56</v>
      </c>
      <c r="D28" t="s">
        <v>33</v>
      </c>
      <c r="H28">
        <v>272</v>
      </c>
      <c r="J28">
        <f t="shared" si="0"/>
        <v>272</v>
      </c>
      <c r="L28">
        <f t="shared" si="1"/>
        <v>0.12142857142857143</v>
      </c>
    </row>
    <row r="29" spans="1:12" x14ac:dyDescent="0.25">
      <c r="A29">
        <v>1742</v>
      </c>
      <c r="B29" t="s">
        <v>34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1742</v>
      </c>
      <c r="B30" t="s">
        <v>13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1742</v>
      </c>
      <c r="B31" t="s">
        <v>14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23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1742</v>
      </c>
      <c r="B33" t="s">
        <v>27</v>
      </c>
      <c r="C33" t="s">
        <v>56</v>
      </c>
      <c r="D33" t="s">
        <v>33</v>
      </c>
      <c r="H33">
        <v>434811.5</v>
      </c>
      <c r="I33" t="s">
        <v>120</v>
      </c>
      <c r="J33">
        <f t="shared" si="0"/>
        <v>434811.5</v>
      </c>
      <c r="L33">
        <f t="shared" si="1"/>
        <v>194.11227678571427</v>
      </c>
    </row>
    <row r="34" spans="1:12" x14ac:dyDescent="0.25">
      <c r="A34">
        <v>1742</v>
      </c>
      <c r="B34" t="s">
        <v>15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1742</v>
      </c>
      <c r="B35" t="s">
        <v>42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1742</v>
      </c>
      <c r="B36" t="s">
        <v>47</v>
      </c>
      <c r="C36" t="s">
        <v>56</v>
      </c>
      <c r="D36" t="s">
        <v>33</v>
      </c>
      <c r="H36">
        <v>410</v>
      </c>
      <c r="I36" t="s">
        <v>117</v>
      </c>
      <c r="J36">
        <f t="shared" si="0"/>
        <v>410</v>
      </c>
      <c r="L36">
        <f t="shared" si="1"/>
        <v>0.18303571428571427</v>
      </c>
    </row>
    <row r="37" spans="1:12" x14ac:dyDescent="0.25">
      <c r="A37">
        <v>1742</v>
      </c>
      <c r="B37" t="s">
        <v>16</v>
      </c>
      <c r="C37" t="s">
        <v>56</v>
      </c>
      <c r="D37" t="s">
        <v>33</v>
      </c>
      <c r="H37">
        <v>3650</v>
      </c>
      <c r="J37">
        <f t="shared" si="0"/>
        <v>3650</v>
      </c>
      <c r="L37">
        <f t="shared" si="1"/>
        <v>1.6294642857142858</v>
      </c>
    </row>
    <row r="38" spans="1:12" x14ac:dyDescent="0.25">
      <c r="A38">
        <v>1742</v>
      </c>
      <c r="B38" t="s">
        <v>112</v>
      </c>
      <c r="C38" t="s">
        <v>56</v>
      </c>
      <c r="D38" t="s">
        <v>33</v>
      </c>
      <c r="H38">
        <v>51123</v>
      </c>
      <c r="I38" t="s">
        <v>121</v>
      </c>
      <c r="J38">
        <f t="shared" si="0"/>
        <v>51123</v>
      </c>
      <c r="L38">
        <f t="shared" si="1"/>
        <v>22.822767857142857</v>
      </c>
    </row>
    <row r="39" spans="1:12" x14ac:dyDescent="0.25">
      <c r="A39">
        <v>1742</v>
      </c>
      <c r="B39" t="s">
        <v>17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1742</v>
      </c>
      <c r="B40" t="s">
        <v>18</v>
      </c>
      <c r="C40" t="s">
        <v>56</v>
      </c>
      <c r="D40" t="s">
        <v>33</v>
      </c>
      <c r="H40">
        <v>147035.5</v>
      </c>
      <c r="I40" t="s">
        <v>119</v>
      </c>
      <c r="J40">
        <f t="shared" si="0"/>
        <v>147035.5</v>
      </c>
      <c r="L40">
        <f t="shared" si="1"/>
        <v>65.640848214285711</v>
      </c>
    </row>
    <row r="41" spans="1:12" x14ac:dyDescent="0.25">
      <c r="A41">
        <v>1742</v>
      </c>
      <c r="B41" t="s">
        <v>118</v>
      </c>
      <c r="C41" t="s">
        <v>56</v>
      </c>
      <c r="D41" t="s">
        <v>33</v>
      </c>
      <c r="F41">
        <v>62</v>
      </c>
      <c r="G41">
        <v>1</v>
      </c>
      <c r="H41">
        <v>14</v>
      </c>
      <c r="J41">
        <f t="shared" si="0"/>
        <v>6986</v>
      </c>
      <c r="L41">
        <f t="shared" si="1"/>
        <v>3.1187499999999999</v>
      </c>
    </row>
    <row r="42" spans="1:12" x14ac:dyDescent="0.25">
      <c r="A42">
        <v>1742</v>
      </c>
      <c r="B42" t="s">
        <v>26</v>
      </c>
      <c r="C42" t="s">
        <v>56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1742</v>
      </c>
      <c r="B43" t="s">
        <v>19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1742</v>
      </c>
      <c r="B44" t="s">
        <v>45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1742</v>
      </c>
      <c r="B45" t="s">
        <v>54</v>
      </c>
      <c r="C45" t="s">
        <v>56</v>
      </c>
      <c r="D45" t="s">
        <v>33</v>
      </c>
      <c r="H45">
        <v>1885</v>
      </c>
      <c r="J45">
        <f t="shared" si="0"/>
        <v>1885</v>
      </c>
      <c r="L45">
        <f t="shared" si="1"/>
        <v>0.8415178571428571</v>
      </c>
    </row>
    <row r="46" spans="1:12" x14ac:dyDescent="0.25">
      <c r="A46">
        <v>1742</v>
      </c>
      <c r="B46" t="s">
        <v>95</v>
      </c>
      <c r="C46" t="s">
        <v>56</v>
      </c>
      <c r="D46" t="s">
        <v>33</v>
      </c>
      <c r="H46">
        <v>3876</v>
      </c>
      <c r="J46">
        <f t="shared" si="0"/>
        <v>3876</v>
      </c>
      <c r="L46">
        <f t="shared" si="1"/>
        <v>1.7303571428571429</v>
      </c>
    </row>
    <row r="47" spans="1:12" x14ac:dyDescent="0.25">
      <c r="A47">
        <v>1742</v>
      </c>
      <c r="B47" t="s">
        <v>20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1742</v>
      </c>
      <c r="B48" t="s">
        <v>21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1742</v>
      </c>
      <c r="B49" t="s">
        <v>22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1742</v>
      </c>
      <c r="B50" t="s">
        <v>61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1742</v>
      </c>
      <c r="B51" t="s">
        <v>62</v>
      </c>
      <c r="C51" t="s">
        <v>56</v>
      </c>
      <c r="D51" t="s">
        <v>33</v>
      </c>
      <c r="E51">
        <v>9</v>
      </c>
      <c r="J51">
        <f t="shared" si="0"/>
        <v>20160</v>
      </c>
      <c r="L51">
        <f t="shared" si="1"/>
        <v>9</v>
      </c>
    </row>
    <row r="52" spans="1:12" x14ac:dyDescent="0.25">
      <c r="A52">
        <v>1742</v>
      </c>
      <c r="B52" t="s">
        <v>63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1742</v>
      </c>
      <c r="B53" t="s">
        <v>70</v>
      </c>
      <c r="C53" t="s">
        <v>56</v>
      </c>
      <c r="D53" t="s">
        <v>33</v>
      </c>
      <c r="E53">
        <v>1</v>
      </c>
      <c r="F53">
        <v>10</v>
      </c>
      <c r="J53">
        <f t="shared" si="0"/>
        <v>3360</v>
      </c>
      <c r="L53">
        <f t="shared" si="1"/>
        <v>1.5</v>
      </c>
    </row>
    <row r="54" spans="1:12" x14ac:dyDescent="0.25">
      <c r="A54">
        <v>1742</v>
      </c>
      <c r="B54" t="s">
        <v>64</v>
      </c>
      <c r="C54" t="s">
        <v>56</v>
      </c>
      <c r="D54" t="s">
        <v>33</v>
      </c>
      <c r="E54">
        <v>41</v>
      </c>
      <c r="F54">
        <v>18</v>
      </c>
      <c r="J54">
        <f t="shared" si="0"/>
        <v>93856</v>
      </c>
      <c r="L54">
        <f t="shared" si="1"/>
        <v>41.9</v>
      </c>
    </row>
    <row r="55" spans="1:12" x14ac:dyDescent="0.25">
      <c r="A55">
        <v>1742</v>
      </c>
      <c r="B55" t="s">
        <v>65</v>
      </c>
      <c r="C55" t="s">
        <v>56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1742</v>
      </c>
      <c r="B56" t="s">
        <v>55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1742</v>
      </c>
      <c r="B57" t="s">
        <v>57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1742</v>
      </c>
      <c r="B58" t="s">
        <v>36</v>
      </c>
      <c r="C58" t="s">
        <v>56</v>
      </c>
      <c r="D58" t="s">
        <v>35</v>
      </c>
      <c r="H58">
        <v>3031</v>
      </c>
      <c r="J58">
        <f t="shared" si="0"/>
        <v>3031</v>
      </c>
      <c r="L58">
        <f t="shared" si="1"/>
        <v>1.3531249999999999</v>
      </c>
    </row>
    <row r="59" spans="1:12" x14ac:dyDescent="0.25">
      <c r="A59">
        <v>1742</v>
      </c>
      <c r="B59" t="s">
        <v>4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1742</v>
      </c>
      <c r="B60" t="s">
        <v>58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1742</v>
      </c>
      <c r="B61" t="s">
        <v>92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43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1742</v>
      </c>
      <c r="B63" t="s">
        <v>5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59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1742</v>
      </c>
      <c r="B65" t="s">
        <v>6</v>
      </c>
      <c r="C65" t="s">
        <v>56</v>
      </c>
      <c r="D65" t="s">
        <v>35</v>
      </c>
      <c r="F65">
        <v>62026</v>
      </c>
      <c r="H65">
        <v>12</v>
      </c>
      <c r="J65">
        <f t="shared" si="0"/>
        <v>6946924</v>
      </c>
      <c r="L65">
        <f t="shared" si="1"/>
        <v>3101.3053571428572</v>
      </c>
    </row>
    <row r="66" spans="1:12" x14ac:dyDescent="0.25">
      <c r="A66">
        <v>1742</v>
      </c>
      <c r="B66" t="s">
        <v>60</v>
      </c>
      <c r="C66" t="s">
        <v>56</v>
      </c>
      <c r="D66" t="s">
        <v>35</v>
      </c>
      <c r="H66">
        <v>28</v>
      </c>
      <c r="J66">
        <f t="shared" si="0"/>
        <v>28</v>
      </c>
      <c r="L66">
        <f t="shared" si="1"/>
        <v>1.2500000000000001E-2</v>
      </c>
    </row>
    <row r="67" spans="1:12" x14ac:dyDescent="0.25">
      <c r="A67">
        <v>1742</v>
      </c>
      <c r="B67" t="s">
        <v>38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1742</v>
      </c>
      <c r="B68" t="s">
        <v>37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1742</v>
      </c>
      <c r="B69" t="s">
        <v>8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1742</v>
      </c>
      <c r="B70" t="s">
        <v>40</v>
      </c>
      <c r="C70" t="s">
        <v>56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1742</v>
      </c>
      <c r="B71" t="s">
        <v>78</v>
      </c>
      <c r="C71" t="s">
        <v>56</v>
      </c>
      <c r="D71" t="s">
        <v>35</v>
      </c>
      <c r="H71">
        <v>200</v>
      </c>
      <c r="J71">
        <f t="shared" si="0"/>
        <v>200</v>
      </c>
      <c r="L71">
        <f t="shared" si="1"/>
        <v>8.9285714285714288E-2</v>
      </c>
    </row>
    <row r="72" spans="1:12" x14ac:dyDescent="0.25">
      <c r="A72">
        <v>1742</v>
      </c>
      <c r="B72" t="s">
        <v>9</v>
      </c>
      <c r="C72" t="s">
        <v>56</v>
      </c>
      <c r="D72" t="s">
        <v>35</v>
      </c>
      <c r="H72">
        <f>1212*200+130</f>
        <v>242530</v>
      </c>
      <c r="I72" t="s">
        <v>151</v>
      </c>
      <c r="J72">
        <f t="shared" si="0"/>
        <v>242530</v>
      </c>
      <c r="L72">
        <f t="shared" si="1"/>
        <v>108.27232142857143</v>
      </c>
    </row>
    <row r="73" spans="1:12" x14ac:dyDescent="0.25">
      <c r="A73">
        <v>1742</v>
      </c>
      <c r="B73" t="s">
        <v>10</v>
      </c>
      <c r="C73" t="s">
        <v>56</v>
      </c>
      <c r="D73" t="s">
        <v>35</v>
      </c>
      <c r="F73">
        <v>619</v>
      </c>
      <c r="G73">
        <v>1</v>
      </c>
      <c r="H73">
        <v>6</v>
      </c>
      <c r="J73">
        <f t="shared" si="0"/>
        <v>69362</v>
      </c>
      <c r="L73">
        <f t="shared" si="1"/>
        <v>30.96517857142857</v>
      </c>
    </row>
    <row r="74" spans="1:12" x14ac:dyDescent="0.25">
      <c r="A74">
        <v>1742</v>
      </c>
      <c r="B74" t="s">
        <v>11</v>
      </c>
      <c r="C74" t="s">
        <v>56</v>
      </c>
      <c r="D74" t="s">
        <v>35</v>
      </c>
      <c r="F74">
        <v>284</v>
      </c>
      <c r="G74">
        <v>3</v>
      </c>
      <c r="H74">
        <v>21</v>
      </c>
      <c r="J74">
        <f t="shared" ref="J74:J108" si="2">(E74*2240)+(F74*112)+(G74*28)+H74</f>
        <v>31913</v>
      </c>
      <c r="L74">
        <f t="shared" ref="L74:L108" si="3">J74/2240</f>
        <v>14.246874999999999</v>
      </c>
    </row>
    <row r="75" spans="1:12" x14ac:dyDescent="0.25">
      <c r="A75">
        <v>1742</v>
      </c>
      <c r="B75" t="s">
        <v>39</v>
      </c>
      <c r="C75" t="s">
        <v>56</v>
      </c>
      <c r="D75" t="s">
        <v>35</v>
      </c>
      <c r="H75">
        <v>51</v>
      </c>
      <c r="J75">
        <f t="shared" si="2"/>
        <v>51</v>
      </c>
      <c r="L75">
        <f t="shared" si="3"/>
        <v>2.2767857142857142E-2</v>
      </c>
    </row>
    <row r="76" spans="1:12" x14ac:dyDescent="0.25">
      <c r="A76">
        <v>1742</v>
      </c>
      <c r="B76" t="s">
        <v>79</v>
      </c>
      <c r="C76" t="s">
        <v>56</v>
      </c>
      <c r="D76" t="s">
        <v>35</v>
      </c>
      <c r="H76">
        <v>1466</v>
      </c>
      <c r="J76">
        <f t="shared" si="2"/>
        <v>1466</v>
      </c>
      <c r="L76">
        <f t="shared" si="3"/>
        <v>0.65446428571428572</v>
      </c>
    </row>
    <row r="77" spans="1:12" x14ac:dyDescent="0.25">
      <c r="A77">
        <v>1742</v>
      </c>
      <c r="B77" t="s">
        <v>44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1742</v>
      </c>
      <c r="B78" t="s">
        <v>12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1742</v>
      </c>
      <c r="B79" t="s">
        <v>34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1742</v>
      </c>
      <c r="B80" t="s">
        <v>13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1742</v>
      </c>
      <c r="B81" t="s">
        <v>14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1742</v>
      </c>
      <c r="B82" t="s">
        <v>23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1742</v>
      </c>
      <c r="B83" t="s">
        <v>27</v>
      </c>
      <c r="C83" t="s">
        <v>56</v>
      </c>
      <c r="D83" t="s">
        <v>35</v>
      </c>
      <c r="H83">
        <v>36709.5</v>
      </c>
      <c r="I83" t="s">
        <v>149</v>
      </c>
      <c r="J83">
        <f t="shared" si="2"/>
        <v>36709.5</v>
      </c>
      <c r="L83">
        <f t="shared" si="3"/>
        <v>16.388169642857143</v>
      </c>
    </row>
    <row r="84" spans="1:12" x14ac:dyDescent="0.25">
      <c r="A84">
        <v>1742</v>
      </c>
      <c r="B84" t="s">
        <v>15</v>
      </c>
      <c r="C84" t="s">
        <v>56</v>
      </c>
      <c r="D84" t="s">
        <v>35</v>
      </c>
      <c r="F84">
        <v>3</v>
      </c>
      <c r="J84">
        <f t="shared" si="2"/>
        <v>336</v>
      </c>
      <c r="L84">
        <f t="shared" si="3"/>
        <v>0.15</v>
      </c>
    </row>
    <row r="85" spans="1:12" x14ac:dyDescent="0.25">
      <c r="A85">
        <v>1742</v>
      </c>
      <c r="B85" t="s">
        <v>93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1742</v>
      </c>
      <c r="B86" t="s">
        <v>42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1742</v>
      </c>
      <c r="B87" t="s">
        <v>47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1742</v>
      </c>
      <c r="B88" t="s">
        <v>16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1742</v>
      </c>
      <c r="B89" t="s">
        <v>112</v>
      </c>
      <c r="C89" t="s">
        <v>56</v>
      </c>
      <c r="D89" t="s">
        <v>35</v>
      </c>
      <c r="H89">
        <v>11683</v>
      </c>
      <c r="I89" t="s">
        <v>150</v>
      </c>
    </row>
    <row r="90" spans="1:12" x14ac:dyDescent="0.25">
      <c r="A90">
        <v>1742</v>
      </c>
      <c r="B90" t="s">
        <v>106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1742</v>
      </c>
      <c r="B91" t="s">
        <v>17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1742</v>
      </c>
      <c r="B92" t="s">
        <v>18</v>
      </c>
      <c r="C92" t="s">
        <v>56</v>
      </c>
      <c r="D92" t="s">
        <v>35</v>
      </c>
      <c r="H92">
        <v>166863</v>
      </c>
      <c r="I92" t="s">
        <v>148</v>
      </c>
      <c r="J92">
        <f t="shared" si="2"/>
        <v>166863</v>
      </c>
      <c r="L92">
        <f t="shared" si="3"/>
        <v>74.492410714285711</v>
      </c>
    </row>
    <row r="93" spans="1:12" x14ac:dyDescent="0.25">
      <c r="A93">
        <v>1742</v>
      </c>
      <c r="B93" t="s">
        <v>26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1742</v>
      </c>
      <c r="B94" t="s">
        <v>19</v>
      </c>
      <c r="C94" t="s">
        <v>56</v>
      </c>
      <c r="D94" t="s">
        <v>35</v>
      </c>
      <c r="F94">
        <v>17</v>
      </c>
      <c r="G94">
        <v>3</v>
      </c>
      <c r="H94">
        <v>15</v>
      </c>
      <c r="J94">
        <f t="shared" si="2"/>
        <v>2003</v>
      </c>
      <c r="L94">
        <f t="shared" si="3"/>
        <v>0.89419642857142856</v>
      </c>
    </row>
    <row r="95" spans="1:12" x14ac:dyDescent="0.25">
      <c r="A95">
        <v>1742</v>
      </c>
      <c r="B95" t="s">
        <v>45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1742</v>
      </c>
      <c r="B96" t="s">
        <v>54</v>
      </c>
      <c r="C96" t="s">
        <v>56</v>
      </c>
      <c r="D96" t="s">
        <v>35</v>
      </c>
      <c r="H96">
        <v>66</v>
      </c>
      <c r="J96">
        <f t="shared" si="2"/>
        <v>66</v>
      </c>
      <c r="L96">
        <f t="shared" si="3"/>
        <v>2.9464285714285714E-2</v>
      </c>
    </row>
    <row r="97" spans="1:12" x14ac:dyDescent="0.25">
      <c r="A97">
        <v>1742</v>
      </c>
      <c r="B97" t="s">
        <v>95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1742</v>
      </c>
      <c r="B98" t="s">
        <v>20</v>
      </c>
      <c r="C98" t="s">
        <v>56</v>
      </c>
      <c r="D98" t="s">
        <v>35</v>
      </c>
      <c r="H98">
        <v>238</v>
      </c>
      <c r="J98">
        <f t="shared" si="2"/>
        <v>238</v>
      </c>
      <c r="L98">
        <f t="shared" si="3"/>
        <v>0.10625</v>
      </c>
    </row>
    <row r="99" spans="1:12" x14ac:dyDescent="0.25">
      <c r="A99">
        <v>1742</v>
      </c>
      <c r="B99" t="s">
        <v>21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1742</v>
      </c>
      <c r="B100" t="s">
        <v>90</v>
      </c>
      <c r="C100" t="s">
        <v>56</v>
      </c>
      <c r="D100" t="s">
        <v>35</v>
      </c>
      <c r="F100">
        <v>30</v>
      </c>
      <c r="G100">
        <v>3</v>
      </c>
      <c r="H100">
        <v>15</v>
      </c>
      <c r="J100">
        <f t="shared" si="2"/>
        <v>3459</v>
      </c>
      <c r="L100">
        <f t="shared" si="3"/>
        <v>1.5441964285714285</v>
      </c>
    </row>
    <row r="101" spans="1:12" x14ac:dyDescent="0.25">
      <c r="A101">
        <v>1742</v>
      </c>
      <c r="B101" t="s">
        <v>22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1742</v>
      </c>
      <c r="B102" t="s">
        <v>61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1742</v>
      </c>
      <c r="B103" t="s">
        <v>62</v>
      </c>
      <c r="C103" t="s">
        <v>56</v>
      </c>
      <c r="D103" t="s">
        <v>35</v>
      </c>
      <c r="E103">
        <v>14</v>
      </c>
      <c r="F103">
        <v>3</v>
      </c>
      <c r="H103">
        <v>21</v>
      </c>
      <c r="J103">
        <f t="shared" si="2"/>
        <v>31717</v>
      </c>
      <c r="L103">
        <f t="shared" si="3"/>
        <v>14.159375000000001</v>
      </c>
    </row>
    <row r="104" spans="1:12" x14ac:dyDescent="0.25">
      <c r="A104">
        <v>1742</v>
      </c>
      <c r="B104" t="s">
        <v>63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1742</v>
      </c>
      <c r="B105" t="s">
        <v>89</v>
      </c>
      <c r="C105" t="s">
        <v>56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1742</v>
      </c>
      <c r="B106" t="s">
        <v>70</v>
      </c>
      <c r="C106" t="s">
        <v>56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1742</v>
      </c>
      <c r="B107" t="s">
        <v>64</v>
      </c>
      <c r="C107" t="s">
        <v>56</v>
      </c>
      <c r="D107" t="s">
        <v>35</v>
      </c>
      <c r="E107">
        <v>39</v>
      </c>
      <c r="F107">
        <v>15</v>
      </c>
      <c r="G107">
        <v>2</v>
      </c>
      <c r="H107">
        <v>22</v>
      </c>
      <c r="J107">
        <f t="shared" si="2"/>
        <v>89118</v>
      </c>
      <c r="L107">
        <f t="shared" si="3"/>
        <v>39.784821428571426</v>
      </c>
    </row>
    <row r="108" spans="1:12" x14ac:dyDescent="0.25">
      <c r="A108">
        <v>1742</v>
      </c>
      <c r="B108" t="s">
        <v>65</v>
      </c>
      <c r="C108" t="s">
        <v>56</v>
      </c>
      <c r="D108" t="s">
        <v>35</v>
      </c>
      <c r="J108">
        <f t="shared" si="2"/>
        <v>0</v>
      </c>
      <c r="L108">
        <f t="shared" si="3"/>
        <v>0</v>
      </c>
    </row>
  </sheetData>
  <autoFilter ref="A1:N59" xr:uid="{AAD1F908-12B8-4B3A-A65D-184CD229ACD4}">
    <sortState xmlns:xlrd2="http://schemas.microsoft.com/office/spreadsheetml/2017/richdata2" ref="A2:N59">
      <sortCondition ref="B1:B5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A2" sqref="A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21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2:12" x14ac:dyDescent="0.25"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2:12" x14ac:dyDescent="0.25"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2:12" x14ac:dyDescent="0.25"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2:12" x14ac:dyDescent="0.25"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2:12" x14ac:dyDescent="0.25"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2:12" x14ac:dyDescent="0.25"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2:12" x14ac:dyDescent="0.25"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2:12" x14ac:dyDescent="0.25"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2:12" x14ac:dyDescent="0.25"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2:12" x14ac:dyDescent="0.25"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4"/>
  <sheetViews>
    <sheetView zoomScaleNormal="100" workbookViewId="0">
      <selection activeCell="H113" sqref="H11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1742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1742</v>
      </c>
      <c r="B3" t="s">
        <v>57</v>
      </c>
      <c r="C3" t="s">
        <v>68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2" x14ac:dyDescent="0.25">
      <c r="A4">
        <v>1742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1742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1742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1742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1742</v>
      </c>
      <c r="B8" t="s">
        <v>123</v>
      </c>
      <c r="C8" t="s">
        <v>68</v>
      </c>
      <c r="D8" t="s">
        <v>33</v>
      </c>
      <c r="H8">
        <v>91</v>
      </c>
      <c r="J8">
        <f t="shared" si="0"/>
        <v>91</v>
      </c>
      <c r="L8">
        <f t="shared" si="1"/>
        <v>4.0625000000000001E-2</v>
      </c>
    </row>
    <row r="9" spans="1:12" x14ac:dyDescent="0.25">
      <c r="A9">
        <v>1742</v>
      </c>
      <c r="B9" t="s">
        <v>101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1742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1742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1742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1742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1742</v>
      </c>
      <c r="B14" t="s">
        <v>6</v>
      </c>
      <c r="C14" t="s">
        <v>68</v>
      </c>
      <c r="D14" t="s">
        <v>33</v>
      </c>
      <c r="F14">
        <v>208974</v>
      </c>
      <c r="H14">
        <v>13</v>
      </c>
      <c r="J14">
        <f t="shared" si="0"/>
        <v>23405101</v>
      </c>
      <c r="L14">
        <f t="shared" si="1"/>
        <v>10448.705803571429</v>
      </c>
    </row>
    <row r="15" spans="1:12" x14ac:dyDescent="0.25">
      <c r="A15">
        <v>1742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1742</v>
      </c>
      <c r="B16" t="s">
        <v>60</v>
      </c>
      <c r="C16" t="s">
        <v>68</v>
      </c>
      <c r="D16" t="s">
        <v>33</v>
      </c>
      <c r="H16">
        <v>93</v>
      </c>
      <c r="J16">
        <f t="shared" si="0"/>
        <v>93</v>
      </c>
      <c r="L16">
        <f t="shared" si="1"/>
        <v>4.1517857142857141E-2</v>
      </c>
    </row>
    <row r="17" spans="1:12" x14ac:dyDescent="0.25">
      <c r="A17">
        <v>1742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1742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1742</v>
      </c>
      <c r="B19" t="s">
        <v>8</v>
      </c>
      <c r="C19" t="s">
        <v>68</v>
      </c>
      <c r="D19" t="s">
        <v>33</v>
      </c>
      <c r="F19">
        <v>305</v>
      </c>
      <c r="G19">
        <v>2</v>
      </c>
      <c r="H19">
        <v>8</v>
      </c>
      <c r="J19">
        <f t="shared" si="0"/>
        <v>34224</v>
      </c>
      <c r="L19">
        <f t="shared" si="1"/>
        <v>15.278571428571428</v>
      </c>
    </row>
    <row r="20" spans="1:12" x14ac:dyDescent="0.25">
      <c r="A20">
        <v>1742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1742</v>
      </c>
      <c r="B21" t="s">
        <v>77</v>
      </c>
      <c r="C21" t="s">
        <v>68</v>
      </c>
      <c r="D21" t="s">
        <v>33</v>
      </c>
      <c r="F21">
        <v>1112</v>
      </c>
      <c r="G21">
        <v>3</v>
      </c>
      <c r="H21">
        <v>24</v>
      </c>
      <c r="J21">
        <f t="shared" si="0"/>
        <v>124652</v>
      </c>
      <c r="L21">
        <f t="shared" si="1"/>
        <v>55.648214285714289</v>
      </c>
    </row>
    <row r="22" spans="1:12" x14ac:dyDescent="0.25">
      <c r="A22">
        <v>1742</v>
      </c>
      <c r="B22" t="s">
        <v>78</v>
      </c>
      <c r="C22" t="s">
        <v>68</v>
      </c>
      <c r="D22" t="s">
        <v>33</v>
      </c>
      <c r="H22">
        <v>13657</v>
      </c>
      <c r="J22">
        <f t="shared" si="0"/>
        <v>13657</v>
      </c>
      <c r="L22">
        <f t="shared" si="1"/>
        <v>6.0968749999999998</v>
      </c>
    </row>
    <row r="23" spans="1:12" x14ac:dyDescent="0.25">
      <c r="A23">
        <v>1742</v>
      </c>
      <c r="B23" t="s">
        <v>46</v>
      </c>
      <c r="C23" t="s">
        <v>68</v>
      </c>
      <c r="D23" t="s">
        <v>33</v>
      </c>
      <c r="H23">
        <v>300</v>
      </c>
      <c r="J23">
        <f t="shared" si="0"/>
        <v>300</v>
      </c>
      <c r="L23">
        <f t="shared" si="1"/>
        <v>0.13392857142857142</v>
      </c>
    </row>
    <row r="24" spans="1:12" x14ac:dyDescent="0.25">
      <c r="A24">
        <v>1742</v>
      </c>
      <c r="B24" t="s">
        <v>9</v>
      </c>
      <c r="C24" t="s">
        <v>68</v>
      </c>
      <c r="D24" t="s">
        <v>33</v>
      </c>
      <c r="H24">
        <f>415*200+41</f>
        <v>83041</v>
      </c>
      <c r="I24" t="s">
        <v>129</v>
      </c>
      <c r="J24">
        <f t="shared" si="0"/>
        <v>83041</v>
      </c>
      <c r="L24">
        <f t="shared" si="1"/>
        <v>37.071874999999999</v>
      </c>
    </row>
    <row r="25" spans="1:12" x14ac:dyDescent="0.25">
      <c r="A25">
        <v>1742</v>
      </c>
      <c r="B25" t="s">
        <v>10</v>
      </c>
      <c r="C25" t="s">
        <v>68</v>
      </c>
      <c r="D25" t="s">
        <v>33</v>
      </c>
      <c r="F25">
        <v>2900</v>
      </c>
      <c r="G25">
        <v>3</v>
      </c>
      <c r="H25">
        <v>9</v>
      </c>
      <c r="J25">
        <f t="shared" si="0"/>
        <v>324893</v>
      </c>
      <c r="L25">
        <f t="shared" si="1"/>
        <v>145.04151785714285</v>
      </c>
    </row>
    <row r="26" spans="1:12" x14ac:dyDescent="0.25">
      <c r="A26">
        <v>1742</v>
      </c>
      <c r="B26" t="s">
        <v>11</v>
      </c>
      <c r="C26" t="s">
        <v>68</v>
      </c>
      <c r="D26" t="s">
        <v>33</v>
      </c>
      <c r="F26">
        <v>68</v>
      </c>
      <c r="G26">
        <v>3</v>
      </c>
      <c r="H26">
        <v>12</v>
      </c>
      <c r="J26">
        <f t="shared" si="0"/>
        <v>7712</v>
      </c>
      <c r="L26">
        <f t="shared" si="1"/>
        <v>3.4428571428571431</v>
      </c>
    </row>
    <row r="27" spans="1:12" x14ac:dyDescent="0.25">
      <c r="A27">
        <v>1742</v>
      </c>
      <c r="B27" t="s">
        <v>39</v>
      </c>
      <c r="C27" t="s">
        <v>68</v>
      </c>
      <c r="D27" t="s">
        <v>33</v>
      </c>
      <c r="H27">
        <v>193</v>
      </c>
      <c r="J27">
        <f t="shared" si="0"/>
        <v>193</v>
      </c>
      <c r="L27">
        <f t="shared" si="1"/>
        <v>8.6160714285714285E-2</v>
      </c>
    </row>
    <row r="28" spans="1:12" x14ac:dyDescent="0.25">
      <c r="A28">
        <v>1742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1742</v>
      </c>
      <c r="B29" t="s">
        <v>103</v>
      </c>
      <c r="C29" t="s">
        <v>68</v>
      </c>
      <c r="D29" t="s">
        <v>33</v>
      </c>
      <c r="H29">
        <v>1183</v>
      </c>
      <c r="J29">
        <f t="shared" si="0"/>
        <v>1183</v>
      </c>
      <c r="L29">
        <f t="shared" si="1"/>
        <v>0.52812499999999996</v>
      </c>
    </row>
    <row r="30" spans="1:12" x14ac:dyDescent="0.25">
      <c r="A30">
        <v>1742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1742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12</v>
      </c>
      <c r="C32" t="s">
        <v>68</v>
      </c>
      <c r="D32" t="s">
        <v>33</v>
      </c>
      <c r="H32">
        <v>170696</v>
      </c>
      <c r="J32">
        <f t="shared" si="0"/>
        <v>170696</v>
      </c>
      <c r="L32">
        <f t="shared" si="1"/>
        <v>76.203571428571422</v>
      </c>
    </row>
    <row r="33" spans="1:12" x14ac:dyDescent="0.25">
      <c r="A33">
        <v>1742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1742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1742</v>
      </c>
      <c r="B35" t="s">
        <v>13</v>
      </c>
      <c r="C35" t="s">
        <v>68</v>
      </c>
      <c r="D35" t="s">
        <v>33</v>
      </c>
      <c r="E35">
        <v>60</v>
      </c>
      <c r="J35">
        <f t="shared" si="0"/>
        <v>134400</v>
      </c>
      <c r="L35">
        <f t="shared" si="1"/>
        <v>60</v>
      </c>
    </row>
    <row r="36" spans="1:12" x14ac:dyDescent="0.25">
      <c r="A36">
        <v>1742</v>
      </c>
      <c r="B36" t="s">
        <v>14</v>
      </c>
      <c r="C36" t="s">
        <v>68</v>
      </c>
      <c r="D36" t="s">
        <v>33</v>
      </c>
      <c r="H36">
        <v>59725.5</v>
      </c>
      <c r="I36" t="s">
        <v>124</v>
      </c>
      <c r="J36">
        <f t="shared" si="0"/>
        <v>59725.5</v>
      </c>
      <c r="L36">
        <f t="shared" si="1"/>
        <v>26.663169642857142</v>
      </c>
    </row>
    <row r="37" spans="1:12" x14ac:dyDescent="0.25">
      <c r="A37">
        <v>1742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1742</v>
      </c>
      <c r="B38" t="s">
        <v>27</v>
      </c>
      <c r="C38" t="s">
        <v>68</v>
      </c>
      <c r="D38" t="s">
        <v>33</v>
      </c>
      <c r="H38">
        <v>67247.5</v>
      </c>
      <c r="I38" t="s">
        <v>127</v>
      </c>
      <c r="J38">
        <f t="shared" si="0"/>
        <v>67247.5</v>
      </c>
      <c r="L38">
        <f t="shared" si="1"/>
        <v>30.021205357142858</v>
      </c>
    </row>
    <row r="39" spans="1:12" x14ac:dyDescent="0.25">
      <c r="A39">
        <v>1742</v>
      </c>
      <c r="B39" t="s">
        <v>15</v>
      </c>
      <c r="C39" t="s">
        <v>68</v>
      </c>
      <c r="D39" t="s">
        <v>33</v>
      </c>
      <c r="G39">
        <v>3</v>
      </c>
      <c r="H39">
        <v>10</v>
      </c>
      <c r="J39">
        <f t="shared" si="0"/>
        <v>94</v>
      </c>
      <c r="L39">
        <f t="shared" si="1"/>
        <v>4.1964285714285711E-2</v>
      </c>
    </row>
    <row r="40" spans="1:12" x14ac:dyDescent="0.25">
      <c r="A40">
        <v>1742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1742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1742</v>
      </c>
      <c r="B42" t="s">
        <v>47</v>
      </c>
      <c r="C42" t="s">
        <v>68</v>
      </c>
      <c r="D42" t="s">
        <v>33</v>
      </c>
      <c r="H42">
        <v>185</v>
      </c>
      <c r="I42" t="s">
        <v>125</v>
      </c>
      <c r="J42">
        <f t="shared" si="0"/>
        <v>185</v>
      </c>
      <c r="L42">
        <f t="shared" si="1"/>
        <v>8.2589285714285712E-2</v>
      </c>
    </row>
    <row r="43" spans="1:12" x14ac:dyDescent="0.25">
      <c r="A43">
        <v>1742</v>
      </c>
      <c r="B43" t="s">
        <v>16</v>
      </c>
      <c r="C43" t="s">
        <v>68</v>
      </c>
      <c r="D43" t="s">
        <v>33</v>
      </c>
      <c r="H43">
        <v>425359</v>
      </c>
      <c r="J43">
        <f t="shared" si="0"/>
        <v>425359</v>
      </c>
      <c r="L43">
        <f t="shared" si="1"/>
        <v>189.89241071428572</v>
      </c>
    </row>
    <row r="44" spans="1:12" x14ac:dyDescent="0.25">
      <c r="A44">
        <v>1742</v>
      </c>
      <c r="B44" t="s">
        <v>17</v>
      </c>
      <c r="C44" t="s">
        <v>68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1742</v>
      </c>
      <c r="B45" t="s">
        <v>18</v>
      </c>
      <c r="C45" t="s">
        <v>68</v>
      </c>
      <c r="D45" t="s">
        <v>33</v>
      </c>
      <c r="H45">
        <v>2717908</v>
      </c>
      <c r="I45" t="s">
        <v>126</v>
      </c>
      <c r="J45">
        <f t="shared" si="0"/>
        <v>2717908</v>
      </c>
      <c r="L45">
        <f t="shared" si="1"/>
        <v>1213.3517857142858</v>
      </c>
    </row>
    <row r="46" spans="1:12" x14ac:dyDescent="0.25">
      <c r="A46">
        <v>1742</v>
      </c>
      <c r="B46" t="s">
        <v>109</v>
      </c>
      <c r="C46" t="s">
        <v>68</v>
      </c>
      <c r="D46" t="s">
        <v>33</v>
      </c>
      <c r="H46">
        <v>29</v>
      </c>
      <c r="J46">
        <f t="shared" si="0"/>
        <v>29</v>
      </c>
      <c r="L46">
        <f t="shared" si="1"/>
        <v>1.2946428571428572E-2</v>
      </c>
    </row>
    <row r="47" spans="1:12" x14ac:dyDescent="0.25">
      <c r="A47">
        <v>1742</v>
      </c>
      <c r="B47" t="s">
        <v>26</v>
      </c>
      <c r="C47" t="s">
        <v>68</v>
      </c>
      <c r="D47" t="s">
        <v>33</v>
      </c>
      <c r="H47">
        <v>11584</v>
      </c>
      <c r="J47">
        <f t="shared" si="0"/>
        <v>11584</v>
      </c>
      <c r="L47">
        <f t="shared" si="1"/>
        <v>5.1714285714285717</v>
      </c>
    </row>
    <row r="48" spans="1:12" x14ac:dyDescent="0.25">
      <c r="A48">
        <v>1742</v>
      </c>
      <c r="B48" t="s">
        <v>84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1742</v>
      </c>
      <c r="B49" t="s">
        <v>19</v>
      </c>
      <c r="C49" t="s">
        <v>68</v>
      </c>
      <c r="D49" t="s">
        <v>33</v>
      </c>
      <c r="F49">
        <v>525</v>
      </c>
      <c r="G49">
        <v>3</v>
      </c>
      <c r="H49">
        <v>7</v>
      </c>
      <c r="J49">
        <f t="shared" si="0"/>
        <v>58891</v>
      </c>
      <c r="L49">
        <f t="shared" si="1"/>
        <v>26.290624999999999</v>
      </c>
    </row>
    <row r="50" spans="1:12" x14ac:dyDescent="0.25">
      <c r="A50">
        <v>1742</v>
      </c>
      <c r="B50" t="s">
        <v>45</v>
      </c>
      <c r="C50" t="s">
        <v>68</v>
      </c>
      <c r="D50" t="s">
        <v>33</v>
      </c>
      <c r="H50">
        <v>31</v>
      </c>
      <c r="J50">
        <f t="shared" si="0"/>
        <v>31</v>
      </c>
      <c r="L50">
        <f t="shared" si="1"/>
        <v>1.3839285714285714E-2</v>
      </c>
    </row>
    <row r="51" spans="1:12" x14ac:dyDescent="0.25">
      <c r="A51">
        <v>1742</v>
      </c>
      <c r="B51" t="s">
        <v>85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1742</v>
      </c>
      <c r="B52" t="s">
        <v>54</v>
      </c>
      <c r="C52" t="s">
        <v>68</v>
      </c>
      <c r="D52" t="s">
        <v>33</v>
      </c>
      <c r="H52">
        <v>1091</v>
      </c>
      <c r="J52">
        <f t="shared" si="0"/>
        <v>1091</v>
      </c>
      <c r="L52">
        <f t="shared" si="1"/>
        <v>0.48705357142857142</v>
      </c>
    </row>
    <row r="53" spans="1:12" x14ac:dyDescent="0.25">
      <c r="A53">
        <v>1742</v>
      </c>
      <c r="B53" t="s">
        <v>95</v>
      </c>
      <c r="C53" t="s">
        <v>68</v>
      </c>
      <c r="D53" t="s">
        <v>33</v>
      </c>
      <c r="H53">
        <v>1172</v>
      </c>
      <c r="J53">
        <f t="shared" si="0"/>
        <v>1172</v>
      </c>
      <c r="L53">
        <f t="shared" si="1"/>
        <v>0.52321428571428574</v>
      </c>
    </row>
    <row r="54" spans="1:12" x14ac:dyDescent="0.25">
      <c r="A54">
        <v>1742</v>
      </c>
      <c r="B54" t="s">
        <v>20</v>
      </c>
      <c r="C54" t="s">
        <v>68</v>
      </c>
      <c r="D54" t="s">
        <v>33</v>
      </c>
      <c r="H54">
        <v>24352</v>
      </c>
      <c r="J54">
        <f t="shared" si="0"/>
        <v>24352</v>
      </c>
      <c r="L54">
        <f t="shared" si="1"/>
        <v>10.871428571428572</v>
      </c>
    </row>
    <row r="55" spans="1:12" x14ac:dyDescent="0.25">
      <c r="A55">
        <v>1742</v>
      </c>
      <c r="B55" t="s">
        <v>21</v>
      </c>
      <c r="C55" t="s">
        <v>68</v>
      </c>
      <c r="D55" t="s">
        <v>33</v>
      </c>
      <c r="H55">
        <v>3096</v>
      </c>
      <c r="J55">
        <f t="shared" si="0"/>
        <v>3096</v>
      </c>
      <c r="L55">
        <f t="shared" si="1"/>
        <v>1.3821428571428571</v>
      </c>
    </row>
    <row r="56" spans="1:12" x14ac:dyDescent="0.25">
      <c r="A56">
        <v>1742</v>
      </c>
      <c r="B56" t="s">
        <v>90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1742</v>
      </c>
      <c r="B57" t="s">
        <v>22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1742</v>
      </c>
      <c r="B58" t="s">
        <v>61</v>
      </c>
      <c r="C58" t="s">
        <v>68</v>
      </c>
      <c r="D58" t="s">
        <v>33</v>
      </c>
      <c r="E58">
        <v>8</v>
      </c>
      <c r="J58">
        <f t="shared" si="0"/>
        <v>17920</v>
      </c>
      <c r="L58">
        <f t="shared" si="1"/>
        <v>8</v>
      </c>
    </row>
    <row r="59" spans="1:12" x14ac:dyDescent="0.25">
      <c r="A59">
        <v>1742</v>
      </c>
      <c r="B59" t="s">
        <v>128</v>
      </c>
      <c r="C59" t="s">
        <v>68</v>
      </c>
      <c r="D59" t="s">
        <v>33</v>
      </c>
      <c r="E59">
        <v>18</v>
      </c>
      <c r="J59">
        <f t="shared" si="0"/>
        <v>40320</v>
      </c>
      <c r="L59">
        <f t="shared" si="1"/>
        <v>18</v>
      </c>
    </row>
    <row r="60" spans="1:12" x14ac:dyDescent="0.25">
      <c r="A60">
        <v>1742</v>
      </c>
      <c r="B60" t="s">
        <v>98</v>
      </c>
      <c r="C60" t="s">
        <v>68</v>
      </c>
      <c r="D60" t="s">
        <v>33</v>
      </c>
      <c r="E60">
        <v>8</v>
      </c>
      <c r="F60">
        <v>3</v>
      </c>
      <c r="J60">
        <f t="shared" si="0"/>
        <v>18256</v>
      </c>
      <c r="L60">
        <f t="shared" si="1"/>
        <v>8.15</v>
      </c>
    </row>
    <row r="61" spans="1:12" x14ac:dyDescent="0.25">
      <c r="A61">
        <v>1742</v>
      </c>
      <c r="B61" t="s">
        <v>87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62</v>
      </c>
      <c r="C62" t="s">
        <v>68</v>
      </c>
      <c r="D62" t="s">
        <v>33</v>
      </c>
      <c r="E62">
        <v>602</v>
      </c>
      <c r="F62">
        <v>1</v>
      </c>
      <c r="G62">
        <v>1</v>
      </c>
      <c r="H62">
        <v>12</v>
      </c>
      <c r="J62">
        <f t="shared" si="0"/>
        <v>1348632</v>
      </c>
      <c r="L62">
        <f t="shared" si="1"/>
        <v>602.06785714285718</v>
      </c>
    </row>
    <row r="63" spans="1:12" x14ac:dyDescent="0.25">
      <c r="A63">
        <v>1742</v>
      </c>
      <c r="B63" t="s">
        <v>88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63</v>
      </c>
      <c r="C64" t="s">
        <v>68</v>
      </c>
      <c r="D64" t="s">
        <v>33</v>
      </c>
      <c r="E64">
        <v>343</v>
      </c>
      <c r="F64">
        <v>5</v>
      </c>
      <c r="G64">
        <v>3</v>
      </c>
      <c r="H64">
        <v>21</v>
      </c>
      <c r="J64">
        <f t="shared" si="0"/>
        <v>768985</v>
      </c>
      <c r="L64">
        <f t="shared" si="1"/>
        <v>343.296875</v>
      </c>
    </row>
    <row r="65" spans="1:12" x14ac:dyDescent="0.25">
      <c r="A65">
        <v>1742</v>
      </c>
      <c r="B65" t="s">
        <v>89</v>
      </c>
      <c r="C65" t="s">
        <v>68</v>
      </c>
      <c r="D65" t="s">
        <v>33</v>
      </c>
      <c r="E65">
        <v>341</v>
      </c>
      <c r="F65">
        <v>9</v>
      </c>
      <c r="G65">
        <v>2160</v>
      </c>
      <c r="J65">
        <f t="shared" si="0"/>
        <v>825328</v>
      </c>
      <c r="L65">
        <f t="shared" si="1"/>
        <v>368.45</v>
      </c>
    </row>
    <row r="66" spans="1:12" x14ac:dyDescent="0.25">
      <c r="A66">
        <v>1742</v>
      </c>
      <c r="B66" t="s">
        <v>70</v>
      </c>
      <c r="C66" t="s">
        <v>68</v>
      </c>
      <c r="D66" t="s">
        <v>33</v>
      </c>
      <c r="E66">
        <v>6</v>
      </c>
      <c r="F66">
        <v>4</v>
      </c>
      <c r="G66">
        <v>3</v>
      </c>
      <c r="J66">
        <f t="shared" si="0"/>
        <v>13972</v>
      </c>
      <c r="L66">
        <f t="shared" si="1"/>
        <v>6.2374999999999998</v>
      </c>
    </row>
    <row r="67" spans="1:12" x14ac:dyDescent="0.25">
      <c r="A67">
        <v>1742</v>
      </c>
      <c r="B67" t="s">
        <v>64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1742</v>
      </c>
      <c r="B68" t="s">
        <v>65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1742</v>
      </c>
      <c r="B69" t="s">
        <v>55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1742</v>
      </c>
      <c r="B70" t="s">
        <v>57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1742</v>
      </c>
      <c r="B71" t="s">
        <v>36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1742</v>
      </c>
      <c r="B72" t="s">
        <v>4</v>
      </c>
      <c r="C72" t="s">
        <v>68</v>
      </c>
      <c r="D72" t="s">
        <v>35</v>
      </c>
      <c r="J72">
        <f t="shared" ref="J72:J134" si="2">(E72*2240)+(F72*112)+(G72*28)+H72</f>
        <v>0</v>
      </c>
      <c r="L72">
        <f t="shared" ref="L72:L134" si="3">J72/2240</f>
        <v>0</v>
      </c>
    </row>
    <row r="73" spans="1:12" x14ac:dyDescent="0.25">
      <c r="A73">
        <v>1742</v>
      </c>
      <c r="B73" t="s">
        <v>58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1742</v>
      </c>
      <c r="B74" t="s">
        <v>69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1742</v>
      </c>
      <c r="B75" t="s">
        <v>101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1742</v>
      </c>
      <c r="B76" t="s">
        <v>43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1742</v>
      </c>
      <c r="B77" t="s">
        <v>76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1742</v>
      </c>
      <c r="B78" t="s">
        <v>5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1742</v>
      </c>
      <c r="B79" t="s">
        <v>59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1742</v>
      </c>
      <c r="B80" t="s">
        <v>6</v>
      </c>
      <c r="C80" t="s">
        <v>68</v>
      </c>
      <c r="D80" t="s">
        <v>35</v>
      </c>
      <c r="F80">
        <v>132074</v>
      </c>
      <c r="G80">
        <v>0</v>
      </c>
      <c r="H80">
        <v>9</v>
      </c>
      <c r="J80">
        <f t="shared" si="2"/>
        <v>14792297</v>
      </c>
      <c r="L80">
        <f t="shared" si="3"/>
        <v>6603.7040178571433</v>
      </c>
    </row>
    <row r="81" spans="1:12" x14ac:dyDescent="0.25">
      <c r="A81">
        <v>1742</v>
      </c>
      <c r="B81" t="s">
        <v>60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1742</v>
      </c>
      <c r="B82" t="s">
        <v>38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1742</v>
      </c>
      <c r="B83" t="s">
        <v>37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1742</v>
      </c>
      <c r="B84" t="s">
        <v>8</v>
      </c>
      <c r="C84" t="s">
        <v>68</v>
      </c>
      <c r="D84" t="s">
        <v>35</v>
      </c>
      <c r="F84">
        <v>10</v>
      </c>
      <c r="G84">
        <v>3</v>
      </c>
      <c r="H84">
        <v>20</v>
      </c>
      <c r="J84">
        <f t="shared" si="2"/>
        <v>1224</v>
      </c>
      <c r="L84">
        <f t="shared" si="3"/>
        <v>0.54642857142857137</v>
      </c>
    </row>
    <row r="85" spans="1:12" x14ac:dyDescent="0.25">
      <c r="A85">
        <v>1742</v>
      </c>
      <c r="B85" t="s">
        <v>40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1742</v>
      </c>
      <c r="B86" t="s">
        <v>77</v>
      </c>
      <c r="C86" t="s">
        <v>68</v>
      </c>
      <c r="D86" t="s">
        <v>35</v>
      </c>
      <c r="F86">
        <v>55</v>
      </c>
      <c r="G86">
        <v>2</v>
      </c>
      <c r="H86">
        <v>14</v>
      </c>
      <c r="J86">
        <f t="shared" si="2"/>
        <v>6230</v>
      </c>
      <c r="L86">
        <f t="shared" si="3"/>
        <v>2.78125</v>
      </c>
    </row>
    <row r="87" spans="1:12" x14ac:dyDescent="0.25">
      <c r="A87">
        <v>1742</v>
      </c>
      <c r="B87" t="s">
        <v>78</v>
      </c>
      <c r="C87" t="s">
        <v>68</v>
      </c>
      <c r="D87" t="s">
        <v>35</v>
      </c>
      <c r="H87">
        <v>2322</v>
      </c>
      <c r="J87">
        <f t="shared" si="2"/>
        <v>2322</v>
      </c>
      <c r="L87">
        <f t="shared" si="3"/>
        <v>1.0366071428571428</v>
      </c>
    </row>
    <row r="88" spans="1:12" x14ac:dyDescent="0.25">
      <c r="A88">
        <v>1742</v>
      </c>
      <c r="B88" t="s">
        <v>46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1742</v>
      </c>
      <c r="B89" t="s">
        <v>9</v>
      </c>
      <c r="C89" t="s">
        <v>68</v>
      </c>
      <c r="D89" t="s">
        <v>35</v>
      </c>
      <c r="H89">
        <f>1841*200+43</f>
        <v>368243</v>
      </c>
      <c r="I89" t="s">
        <v>156</v>
      </c>
      <c r="J89">
        <f t="shared" si="2"/>
        <v>368243</v>
      </c>
      <c r="L89">
        <f t="shared" si="3"/>
        <v>164.39419642857143</v>
      </c>
    </row>
    <row r="90" spans="1:12" x14ac:dyDescent="0.25">
      <c r="A90">
        <v>1742</v>
      </c>
      <c r="B90" t="s">
        <v>10</v>
      </c>
      <c r="C90" t="s">
        <v>68</v>
      </c>
      <c r="D90" t="s">
        <v>35</v>
      </c>
      <c r="F90">
        <v>2643</v>
      </c>
      <c r="G90">
        <v>3</v>
      </c>
      <c r="H90">
        <v>9</v>
      </c>
      <c r="J90">
        <f t="shared" si="2"/>
        <v>296109</v>
      </c>
      <c r="L90">
        <f t="shared" si="3"/>
        <v>132.19151785714286</v>
      </c>
    </row>
    <row r="91" spans="1:12" x14ac:dyDescent="0.25">
      <c r="A91">
        <v>1742</v>
      </c>
      <c r="B91" t="s">
        <v>11</v>
      </c>
      <c r="C91" t="s">
        <v>68</v>
      </c>
      <c r="D91" t="s">
        <v>35</v>
      </c>
      <c r="F91">
        <v>155</v>
      </c>
      <c r="G91">
        <v>3</v>
      </c>
      <c r="H91">
        <v>20</v>
      </c>
      <c r="J91">
        <f t="shared" si="2"/>
        <v>17464</v>
      </c>
      <c r="L91">
        <f t="shared" si="3"/>
        <v>7.7964285714285717</v>
      </c>
    </row>
    <row r="92" spans="1:12" x14ac:dyDescent="0.25">
      <c r="A92">
        <v>1742</v>
      </c>
      <c r="B92" t="s">
        <v>39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1742</v>
      </c>
      <c r="B93" t="s">
        <v>79</v>
      </c>
      <c r="C93" t="s">
        <v>68</v>
      </c>
      <c r="D93" t="s">
        <v>35</v>
      </c>
      <c r="H93">
        <v>3070</v>
      </c>
      <c r="J93">
        <f t="shared" si="2"/>
        <v>3070</v>
      </c>
      <c r="L93">
        <f t="shared" si="3"/>
        <v>1.3705357142857142</v>
      </c>
    </row>
    <row r="94" spans="1:12" x14ac:dyDescent="0.25">
      <c r="A94">
        <v>1742</v>
      </c>
      <c r="B94" t="s">
        <v>103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1742</v>
      </c>
      <c r="B95" t="s">
        <v>44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1742</v>
      </c>
      <c r="B96" t="s">
        <v>97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1742</v>
      </c>
      <c r="B97" t="s">
        <v>12</v>
      </c>
      <c r="C97" t="s">
        <v>68</v>
      </c>
      <c r="D97" t="s">
        <v>35</v>
      </c>
      <c r="H97">
        <f>2340+200</f>
        <v>2540</v>
      </c>
      <c r="J97">
        <f t="shared" si="2"/>
        <v>2540</v>
      </c>
      <c r="L97">
        <f t="shared" si="3"/>
        <v>1.1339285714285714</v>
      </c>
    </row>
    <row r="98" spans="1:12" x14ac:dyDescent="0.25">
      <c r="A98">
        <v>1742</v>
      </c>
      <c r="B98" t="s">
        <v>82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1742</v>
      </c>
      <c r="B99" t="s">
        <v>34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1742</v>
      </c>
      <c r="B100" t="s">
        <v>13</v>
      </c>
      <c r="C100" t="s">
        <v>68</v>
      </c>
      <c r="D100" t="s">
        <v>35</v>
      </c>
      <c r="E100">
        <v>34</v>
      </c>
      <c r="F100">
        <v>1</v>
      </c>
      <c r="G100">
        <v>1</v>
      </c>
      <c r="H100">
        <v>2</v>
      </c>
      <c r="J100">
        <f t="shared" si="2"/>
        <v>76302</v>
      </c>
      <c r="L100">
        <f t="shared" si="3"/>
        <v>34.063392857142858</v>
      </c>
    </row>
    <row r="101" spans="1:12" x14ac:dyDescent="0.25">
      <c r="A101">
        <v>1742</v>
      </c>
      <c r="B101" t="s">
        <v>14</v>
      </c>
      <c r="C101" t="s">
        <v>68</v>
      </c>
      <c r="D101" t="s">
        <v>35</v>
      </c>
      <c r="H101">
        <v>13903.5</v>
      </c>
      <c r="I101" t="s">
        <v>152</v>
      </c>
      <c r="J101">
        <f t="shared" si="2"/>
        <v>13903.5</v>
      </c>
      <c r="L101">
        <f t="shared" si="3"/>
        <v>6.2069196428571427</v>
      </c>
    </row>
    <row r="102" spans="1:12" x14ac:dyDescent="0.25">
      <c r="A102">
        <v>1742</v>
      </c>
      <c r="B102" t="s">
        <v>23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1742</v>
      </c>
      <c r="B103" t="s">
        <v>27</v>
      </c>
      <c r="C103" t="s">
        <v>68</v>
      </c>
      <c r="D103" t="s">
        <v>35</v>
      </c>
      <c r="H103">
        <v>16284</v>
      </c>
      <c r="I103" t="s">
        <v>154</v>
      </c>
      <c r="J103">
        <f t="shared" si="2"/>
        <v>16284</v>
      </c>
      <c r="L103">
        <f t="shared" si="3"/>
        <v>7.2696428571428573</v>
      </c>
    </row>
    <row r="104" spans="1:12" x14ac:dyDescent="0.25">
      <c r="A104">
        <v>1742</v>
      </c>
      <c r="B104" t="s">
        <v>15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1742</v>
      </c>
      <c r="B105" t="s">
        <v>93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1742</v>
      </c>
      <c r="B106" t="s">
        <v>42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1742</v>
      </c>
      <c r="B107" t="s">
        <v>83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1742</v>
      </c>
      <c r="B108" t="s">
        <v>47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1742</v>
      </c>
      <c r="B109" t="s">
        <v>16</v>
      </c>
      <c r="C109" t="s">
        <v>68</v>
      </c>
      <c r="D109" t="s">
        <v>35</v>
      </c>
      <c r="H109">
        <v>174185</v>
      </c>
      <c r="J109">
        <f t="shared" si="2"/>
        <v>174185</v>
      </c>
      <c r="L109">
        <f t="shared" si="3"/>
        <v>77.761160714285708</v>
      </c>
    </row>
    <row r="110" spans="1:12" x14ac:dyDescent="0.25">
      <c r="A110">
        <v>1742</v>
      </c>
      <c r="B110" t="s">
        <v>112</v>
      </c>
      <c r="C110" t="s">
        <v>68</v>
      </c>
      <c r="D110" t="s">
        <v>35</v>
      </c>
      <c r="H110">
        <v>2320.5</v>
      </c>
      <c r="I110" t="s">
        <v>155</v>
      </c>
      <c r="J110">
        <f t="shared" si="2"/>
        <v>2320.5</v>
      </c>
      <c r="L110">
        <f t="shared" si="3"/>
        <v>1.0359375</v>
      </c>
    </row>
    <row r="111" spans="1:12" x14ac:dyDescent="0.25">
      <c r="A111">
        <v>1742</v>
      </c>
      <c r="B111" t="s">
        <v>17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1742</v>
      </c>
      <c r="B112" t="s">
        <v>18</v>
      </c>
      <c r="C112" t="s">
        <v>68</v>
      </c>
      <c r="D112" t="s">
        <v>35</v>
      </c>
      <c r="H112">
        <v>855960</v>
      </c>
      <c r="I112" t="s">
        <v>153</v>
      </c>
      <c r="J112">
        <f t="shared" si="2"/>
        <v>855960</v>
      </c>
      <c r="L112">
        <f t="shared" si="3"/>
        <v>382.125</v>
      </c>
    </row>
    <row r="113" spans="1:12" x14ac:dyDescent="0.25">
      <c r="A113">
        <v>1742</v>
      </c>
      <c r="B113" t="s">
        <v>26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1742</v>
      </c>
      <c r="B114" t="s">
        <v>84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1742</v>
      </c>
      <c r="B115" t="s">
        <v>19</v>
      </c>
      <c r="C115" t="s">
        <v>68</v>
      </c>
      <c r="D115" t="s">
        <v>35</v>
      </c>
      <c r="F115">
        <v>350</v>
      </c>
      <c r="G115">
        <v>3</v>
      </c>
      <c r="H115">
        <v>11</v>
      </c>
      <c r="J115">
        <f t="shared" si="2"/>
        <v>39295</v>
      </c>
      <c r="L115">
        <f t="shared" si="3"/>
        <v>17.542410714285715</v>
      </c>
    </row>
    <row r="116" spans="1:12" x14ac:dyDescent="0.25">
      <c r="A116">
        <v>1742</v>
      </c>
      <c r="B116" t="s">
        <v>45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1742</v>
      </c>
      <c r="B117" t="s">
        <v>85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1742</v>
      </c>
      <c r="B118" t="s">
        <v>54</v>
      </c>
      <c r="C118" t="s">
        <v>68</v>
      </c>
      <c r="D118" t="s">
        <v>35</v>
      </c>
      <c r="H118">
        <v>230</v>
      </c>
      <c r="J118">
        <f t="shared" si="2"/>
        <v>230</v>
      </c>
      <c r="L118">
        <f t="shared" si="3"/>
        <v>0.10267857142857142</v>
      </c>
    </row>
    <row r="119" spans="1:12" x14ac:dyDescent="0.25">
      <c r="A119">
        <v>1742</v>
      </c>
      <c r="B119" t="s">
        <v>95</v>
      </c>
      <c r="C119" t="s">
        <v>68</v>
      </c>
      <c r="D119" t="s">
        <v>35</v>
      </c>
      <c r="H119">
        <v>47</v>
      </c>
      <c r="J119">
        <f t="shared" si="2"/>
        <v>47</v>
      </c>
      <c r="L119">
        <f t="shared" si="3"/>
        <v>2.0982142857142855E-2</v>
      </c>
    </row>
    <row r="120" spans="1:12" x14ac:dyDescent="0.25">
      <c r="A120">
        <v>1742</v>
      </c>
      <c r="B120" t="s">
        <v>20</v>
      </c>
      <c r="C120" t="s">
        <v>68</v>
      </c>
      <c r="D120" t="s">
        <v>35</v>
      </c>
      <c r="H120">
        <v>9225</v>
      </c>
      <c r="J120">
        <f t="shared" si="2"/>
        <v>9225</v>
      </c>
      <c r="L120">
        <f t="shared" si="3"/>
        <v>4.1183035714285712</v>
      </c>
    </row>
    <row r="121" spans="1:12" x14ac:dyDescent="0.25">
      <c r="A121">
        <v>1742</v>
      </c>
      <c r="B121" t="s">
        <v>21</v>
      </c>
      <c r="C121" t="s">
        <v>68</v>
      </c>
      <c r="D121" t="s">
        <v>35</v>
      </c>
      <c r="H121">
        <v>1084</v>
      </c>
      <c r="J121">
        <f t="shared" si="2"/>
        <v>1084</v>
      </c>
      <c r="L121">
        <f t="shared" si="3"/>
        <v>0.48392857142857143</v>
      </c>
    </row>
    <row r="122" spans="1:12" x14ac:dyDescent="0.25">
      <c r="A122">
        <v>1742</v>
      </c>
      <c r="B122" t="s">
        <v>90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1742</v>
      </c>
      <c r="B123" t="s">
        <v>22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1742</v>
      </c>
      <c r="B124" t="s">
        <v>61</v>
      </c>
      <c r="C124" t="s">
        <v>68</v>
      </c>
      <c r="D124" t="s">
        <v>35</v>
      </c>
      <c r="F124">
        <v>3</v>
      </c>
      <c r="G124">
        <v>2</v>
      </c>
      <c r="H124">
        <v>10</v>
      </c>
      <c r="J124">
        <f t="shared" si="2"/>
        <v>402</v>
      </c>
      <c r="L124">
        <f t="shared" si="3"/>
        <v>0.17946428571428572</v>
      </c>
    </row>
    <row r="125" spans="1:12" x14ac:dyDescent="0.25">
      <c r="A125">
        <v>1742</v>
      </c>
      <c r="B125" t="s">
        <v>128</v>
      </c>
      <c r="C125" t="s">
        <v>68</v>
      </c>
      <c r="D125" t="s">
        <v>35</v>
      </c>
      <c r="E125">
        <v>1</v>
      </c>
      <c r="F125">
        <v>4</v>
      </c>
      <c r="H125">
        <v>9</v>
      </c>
      <c r="J125">
        <f t="shared" si="2"/>
        <v>2697</v>
      </c>
      <c r="L125">
        <f t="shared" si="3"/>
        <v>1.2040178571428573</v>
      </c>
    </row>
    <row r="126" spans="1:12" x14ac:dyDescent="0.25">
      <c r="A126">
        <v>1742</v>
      </c>
      <c r="B126" t="s">
        <v>98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1742</v>
      </c>
      <c r="B127" t="s">
        <v>87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1742</v>
      </c>
      <c r="B128" t="s">
        <v>62</v>
      </c>
      <c r="C128" t="s">
        <v>68</v>
      </c>
      <c r="D128" t="s">
        <v>35</v>
      </c>
      <c r="E128">
        <v>272</v>
      </c>
      <c r="F128">
        <v>7</v>
      </c>
      <c r="G128">
        <v>3</v>
      </c>
      <c r="H128">
        <v>19</v>
      </c>
      <c r="J128">
        <f t="shared" si="2"/>
        <v>610167</v>
      </c>
      <c r="L128">
        <f t="shared" si="3"/>
        <v>272.39598214285712</v>
      </c>
    </row>
    <row r="129" spans="1:12" x14ac:dyDescent="0.25">
      <c r="A129">
        <v>1742</v>
      </c>
      <c r="B129" t="s">
        <v>88</v>
      </c>
      <c r="C129" t="s">
        <v>68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1742</v>
      </c>
      <c r="B130" t="s">
        <v>63</v>
      </c>
      <c r="C130" t="s">
        <v>68</v>
      </c>
      <c r="D130" t="s">
        <v>35</v>
      </c>
      <c r="E130">
        <v>78</v>
      </c>
      <c r="F130">
        <v>10</v>
      </c>
      <c r="G130">
        <v>3</v>
      </c>
      <c r="H130">
        <v>2</v>
      </c>
      <c r="J130">
        <f t="shared" si="2"/>
        <v>175926</v>
      </c>
      <c r="L130">
        <f t="shared" si="3"/>
        <v>78.538392857142853</v>
      </c>
    </row>
    <row r="131" spans="1:12" x14ac:dyDescent="0.25">
      <c r="A131">
        <v>1742</v>
      </c>
      <c r="B131" t="s">
        <v>89</v>
      </c>
      <c r="C131" t="s">
        <v>68</v>
      </c>
      <c r="D131" t="s">
        <v>35</v>
      </c>
      <c r="E131">
        <v>122</v>
      </c>
      <c r="F131">
        <v>11</v>
      </c>
      <c r="G131">
        <v>3</v>
      </c>
      <c r="J131">
        <f t="shared" si="2"/>
        <v>274596</v>
      </c>
      <c r="L131">
        <f t="shared" si="3"/>
        <v>122.58750000000001</v>
      </c>
    </row>
    <row r="132" spans="1:12" x14ac:dyDescent="0.25">
      <c r="A132">
        <v>1742</v>
      </c>
      <c r="B132" t="s">
        <v>70</v>
      </c>
      <c r="C132" t="s">
        <v>68</v>
      </c>
      <c r="D132" t="s">
        <v>35</v>
      </c>
      <c r="E132">
        <v>30</v>
      </c>
      <c r="J132">
        <f t="shared" si="2"/>
        <v>67200</v>
      </c>
      <c r="L132">
        <f t="shared" si="3"/>
        <v>30</v>
      </c>
    </row>
    <row r="133" spans="1:12" x14ac:dyDescent="0.25">
      <c r="A133">
        <v>1742</v>
      </c>
      <c r="B133" t="s">
        <v>64</v>
      </c>
      <c r="C133" t="s">
        <v>68</v>
      </c>
      <c r="D133" t="s">
        <v>35</v>
      </c>
      <c r="E133">
        <v>12</v>
      </c>
      <c r="G133">
        <v>3</v>
      </c>
      <c r="H133">
        <v>21</v>
      </c>
      <c r="J133">
        <f t="shared" si="2"/>
        <v>26985</v>
      </c>
      <c r="L133">
        <f t="shared" si="3"/>
        <v>12.046875</v>
      </c>
    </row>
    <row r="134" spans="1:12" x14ac:dyDescent="0.25">
      <c r="A134">
        <v>1742</v>
      </c>
      <c r="B134" t="s">
        <v>65</v>
      </c>
      <c r="C134" t="s">
        <v>68</v>
      </c>
      <c r="D134" t="s">
        <v>35</v>
      </c>
      <c r="J134">
        <f t="shared" si="2"/>
        <v>0</v>
      </c>
      <c r="L134">
        <f t="shared" si="3"/>
        <v>0</v>
      </c>
    </row>
  </sheetData>
  <autoFilter ref="A1:O64" xr:uid="{8C2F7725-5A61-4A1B-A740-CC887BCB0E68}">
    <sortState xmlns:xlrd2="http://schemas.microsoft.com/office/spreadsheetml/2017/richdata2" ref="A2:O64">
      <sortCondition ref="B1:B6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1742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1742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1742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1742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1742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1742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1742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1742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1742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1742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1742</v>
      </c>
      <c r="B12" t="s">
        <v>6</v>
      </c>
      <c r="C12" t="s">
        <v>72</v>
      </c>
      <c r="D12" t="s">
        <v>33</v>
      </c>
      <c r="F12">
        <v>25686</v>
      </c>
      <c r="G12">
        <v>1</v>
      </c>
      <c r="H12">
        <v>10</v>
      </c>
      <c r="J12">
        <f t="shared" si="0"/>
        <v>2876870</v>
      </c>
      <c r="L12">
        <f t="shared" si="1"/>
        <v>1284.3169642857142</v>
      </c>
    </row>
    <row r="13" spans="1:15" x14ac:dyDescent="0.25">
      <c r="A13">
        <v>1742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1742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1742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1742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1742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1742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1742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1742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1742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1742</v>
      </c>
      <c r="B22" t="s">
        <v>9</v>
      </c>
      <c r="C22" t="s">
        <v>72</v>
      </c>
      <c r="D22" t="s">
        <v>33</v>
      </c>
      <c r="H22">
        <f>115*200+33</f>
        <v>23033</v>
      </c>
      <c r="I22" t="s">
        <v>132</v>
      </c>
      <c r="J22">
        <f t="shared" si="0"/>
        <v>23033</v>
      </c>
      <c r="L22">
        <f t="shared" si="1"/>
        <v>10.282589285714286</v>
      </c>
    </row>
    <row r="23" spans="1:12" x14ac:dyDescent="0.25">
      <c r="A23">
        <v>1742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1742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1742</v>
      </c>
      <c r="B25" t="s">
        <v>39</v>
      </c>
      <c r="C25" t="s">
        <v>72</v>
      </c>
      <c r="D25" t="s">
        <v>33</v>
      </c>
      <c r="H25">
        <v>8</v>
      </c>
      <c r="J25">
        <f t="shared" si="0"/>
        <v>8</v>
      </c>
      <c r="L25">
        <f t="shared" si="1"/>
        <v>3.5714285714285713E-3</v>
      </c>
    </row>
    <row r="26" spans="1:12" x14ac:dyDescent="0.25">
      <c r="A26">
        <v>1742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1742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1742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1742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1742</v>
      </c>
      <c r="B30" t="s">
        <v>12</v>
      </c>
      <c r="C30" t="s">
        <v>72</v>
      </c>
      <c r="D30" t="s">
        <v>33</v>
      </c>
      <c r="H30">
        <v>13</v>
      </c>
      <c r="J30">
        <f t="shared" si="0"/>
        <v>13</v>
      </c>
      <c r="L30">
        <f t="shared" si="1"/>
        <v>5.8035714285714288E-3</v>
      </c>
    </row>
    <row r="31" spans="1:12" x14ac:dyDescent="0.25">
      <c r="A31">
        <v>1742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1742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1742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1742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1742</v>
      </c>
      <c r="B36" t="s">
        <v>27</v>
      </c>
      <c r="C36" t="s">
        <v>72</v>
      </c>
      <c r="D36" t="s">
        <v>33</v>
      </c>
      <c r="H36">
        <v>77700</v>
      </c>
      <c r="I36" t="s">
        <v>131</v>
      </c>
      <c r="J36">
        <f t="shared" si="0"/>
        <v>77700</v>
      </c>
      <c r="L36">
        <f t="shared" si="1"/>
        <v>34.6875</v>
      </c>
    </row>
    <row r="37" spans="1:12" x14ac:dyDescent="0.25">
      <c r="A37">
        <v>1742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1742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1742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1742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1742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1742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1742</v>
      </c>
      <c r="B43" t="s">
        <v>18</v>
      </c>
      <c r="C43" t="s">
        <v>72</v>
      </c>
      <c r="D43" t="s">
        <v>33</v>
      </c>
      <c r="H43">
        <v>48127.5</v>
      </c>
      <c r="I43" t="s">
        <v>130</v>
      </c>
      <c r="J43">
        <f t="shared" si="0"/>
        <v>48127.5</v>
      </c>
      <c r="L43">
        <f t="shared" si="1"/>
        <v>21.485491071428573</v>
      </c>
    </row>
    <row r="44" spans="1:12" x14ac:dyDescent="0.25">
      <c r="A44">
        <v>1742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1742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1742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1742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1742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1742</v>
      </c>
      <c r="B49" t="s">
        <v>54</v>
      </c>
      <c r="C49" t="s">
        <v>72</v>
      </c>
      <c r="D49" t="s">
        <v>33</v>
      </c>
      <c r="H49">
        <v>47</v>
      </c>
      <c r="J49">
        <f t="shared" si="0"/>
        <v>47</v>
      </c>
      <c r="L49">
        <f t="shared" si="1"/>
        <v>2.0982142857142855E-2</v>
      </c>
    </row>
    <row r="50" spans="1:12" x14ac:dyDescent="0.25">
      <c r="A50">
        <v>1742</v>
      </c>
      <c r="B50" t="s">
        <v>95</v>
      </c>
      <c r="C50" t="s">
        <v>72</v>
      </c>
      <c r="D50" t="s">
        <v>33</v>
      </c>
      <c r="H50">
        <v>45</v>
      </c>
      <c r="J50">
        <f t="shared" si="0"/>
        <v>45</v>
      </c>
      <c r="L50">
        <f t="shared" si="1"/>
        <v>2.0089285714285716E-2</v>
      </c>
    </row>
    <row r="51" spans="1:12" x14ac:dyDescent="0.25">
      <c r="A51">
        <v>1742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1742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1742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1742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1742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1742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1742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1742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1742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1742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1742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1742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1742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1742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1742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1742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1742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1742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1742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1742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1742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1742</v>
      </c>
      <c r="B74" t="s">
        <v>6</v>
      </c>
      <c r="C74" t="s">
        <v>72</v>
      </c>
      <c r="D74" t="s">
        <v>35</v>
      </c>
      <c r="F74">
        <v>3168</v>
      </c>
      <c r="G74">
        <v>3</v>
      </c>
      <c r="H74">
        <v>4</v>
      </c>
      <c r="J74">
        <f t="shared" si="2"/>
        <v>354904</v>
      </c>
      <c r="L74">
        <f t="shared" si="3"/>
        <v>158.43928571428572</v>
      </c>
    </row>
    <row r="75" spans="1:12" x14ac:dyDescent="0.25">
      <c r="A75">
        <v>1742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1742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1742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1742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1742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1742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1742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1742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1742</v>
      </c>
      <c r="B83" t="s">
        <v>9</v>
      </c>
      <c r="C83" t="s">
        <v>72</v>
      </c>
      <c r="D83" t="s">
        <v>35</v>
      </c>
      <c r="H83">
        <f>175.5*200</f>
        <v>35100</v>
      </c>
      <c r="I83" t="s">
        <v>159</v>
      </c>
      <c r="J83">
        <f t="shared" si="2"/>
        <v>35100</v>
      </c>
      <c r="L83">
        <f t="shared" si="3"/>
        <v>15.669642857142858</v>
      </c>
    </row>
    <row r="84" spans="1:12" x14ac:dyDescent="0.25">
      <c r="A84">
        <v>1742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1742</v>
      </c>
      <c r="B85" t="s">
        <v>11</v>
      </c>
      <c r="C85" t="s">
        <v>72</v>
      </c>
      <c r="D85" t="s">
        <v>35</v>
      </c>
      <c r="F85">
        <v>24</v>
      </c>
      <c r="G85">
        <v>1</v>
      </c>
      <c r="H85">
        <v>2</v>
      </c>
      <c r="J85">
        <f t="shared" si="2"/>
        <v>2718</v>
      </c>
      <c r="L85">
        <f t="shared" si="3"/>
        <v>1.2133928571428572</v>
      </c>
    </row>
    <row r="86" spans="1:12" x14ac:dyDescent="0.25">
      <c r="A86">
        <v>1742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1742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1742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1742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1742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1742</v>
      </c>
      <c r="B91" t="s">
        <v>12</v>
      </c>
      <c r="C91" t="s">
        <v>72</v>
      </c>
      <c r="D91" t="s">
        <v>35</v>
      </c>
      <c r="H91">
        <v>450</v>
      </c>
      <c r="J91">
        <f t="shared" si="2"/>
        <v>450</v>
      </c>
      <c r="L91">
        <f t="shared" si="3"/>
        <v>0.20089285714285715</v>
      </c>
    </row>
    <row r="92" spans="1:12" x14ac:dyDescent="0.25">
      <c r="A92">
        <v>1742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1742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1742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1742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1742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1742</v>
      </c>
      <c r="B97" t="s">
        <v>27</v>
      </c>
      <c r="C97" t="s">
        <v>72</v>
      </c>
      <c r="D97" t="s">
        <v>35</v>
      </c>
      <c r="H97">
        <v>20755.5</v>
      </c>
      <c r="I97" t="s">
        <v>158</v>
      </c>
      <c r="J97">
        <f t="shared" si="2"/>
        <v>20755.5</v>
      </c>
      <c r="L97">
        <f t="shared" si="3"/>
        <v>9.2658482142857146</v>
      </c>
    </row>
    <row r="98" spans="1:12" x14ac:dyDescent="0.25">
      <c r="A98">
        <v>1742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1742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1742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1742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1742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1742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1742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1742</v>
      </c>
      <c r="B105" t="s">
        <v>18</v>
      </c>
      <c r="C105" t="s">
        <v>72</v>
      </c>
      <c r="D105" t="s">
        <v>35</v>
      </c>
      <c r="H105">
        <v>14654</v>
      </c>
      <c r="I105" t="s">
        <v>157</v>
      </c>
      <c r="J105">
        <f t="shared" si="2"/>
        <v>14654</v>
      </c>
      <c r="L105">
        <f t="shared" si="3"/>
        <v>6.5419642857142861</v>
      </c>
    </row>
    <row r="106" spans="1:12" x14ac:dyDescent="0.25">
      <c r="A106">
        <v>1742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1742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1742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1742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1742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1742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1742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1742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1742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1742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1742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1742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1742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1742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1742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1742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1742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1742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1742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1742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1742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workbookViewId="0">
      <selection activeCell="H44" sqref="H4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1742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1742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1742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1742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1742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1742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1742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1742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1742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1742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1742</v>
      </c>
      <c r="B12" t="s">
        <v>6</v>
      </c>
      <c r="C12" t="s">
        <v>73</v>
      </c>
      <c r="D12" t="s">
        <v>33</v>
      </c>
      <c r="F12">
        <v>11043</v>
      </c>
      <c r="H12">
        <v>2</v>
      </c>
      <c r="J12">
        <f t="shared" si="0"/>
        <v>1236818</v>
      </c>
      <c r="L12">
        <f t="shared" si="1"/>
        <v>552.15089285714282</v>
      </c>
    </row>
    <row r="13" spans="1:15" x14ac:dyDescent="0.25">
      <c r="A13">
        <v>1742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1742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1742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1742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1742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1742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1742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1742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1742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1742</v>
      </c>
      <c r="B22" t="s">
        <v>9</v>
      </c>
      <c r="C22" t="s">
        <v>73</v>
      </c>
      <c r="D22" t="s">
        <v>33</v>
      </c>
      <c r="H22">
        <f>50*200</f>
        <v>10000</v>
      </c>
      <c r="I22" t="s">
        <v>136</v>
      </c>
      <c r="J22">
        <f t="shared" si="0"/>
        <v>10000</v>
      </c>
      <c r="L22">
        <f t="shared" si="1"/>
        <v>4.4642857142857144</v>
      </c>
    </row>
    <row r="23" spans="1:12" x14ac:dyDescent="0.25">
      <c r="A23">
        <v>1742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1742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1742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1742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1742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1742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1742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1742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1742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1742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1742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1742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1742</v>
      </c>
      <c r="B36" t="s">
        <v>27</v>
      </c>
      <c r="C36" t="s">
        <v>73</v>
      </c>
      <c r="D36" t="s">
        <v>33</v>
      </c>
      <c r="H36">
        <v>19835</v>
      </c>
      <c r="I36" t="s">
        <v>135</v>
      </c>
      <c r="J36">
        <f t="shared" si="0"/>
        <v>19835</v>
      </c>
      <c r="L36">
        <f t="shared" si="1"/>
        <v>8.8549107142857135</v>
      </c>
    </row>
    <row r="37" spans="1:12" x14ac:dyDescent="0.25">
      <c r="A37">
        <v>1742</v>
      </c>
      <c r="B37" t="s">
        <v>15</v>
      </c>
      <c r="C37" t="s">
        <v>73</v>
      </c>
      <c r="D37" t="s">
        <v>33</v>
      </c>
      <c r="F37">
        <v>2</v>
      </c>
      <c r="G37">
        <v>2</v>
      </c>
      <c r="J37">
        <f t="shared" si="0"/>
        <v>280</v>
      </c>
      <c r="L37">
        <f t="shared" si="1"/>
        <v>0.125</v>
      </c>
    </row>
    <row r="38" spans="1:12" x14ac:dyDescent="0.25">
      <c r="A38">
        <v>1742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1742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1742</v>
      </c>
      <c r="B40" t="s">
        <v>47</v>
      </c>
      <c r="C40" t="s">
        <v>73</v>
      </c>
      <c r="D40" t="s">
        <v>33</v>
      </c>
      <c r="H40">
        <v>10</v>
      </c>
      <c r="I40" t="s">
        <v>133</v>
      </c>
      <c r="J40">
        <f t="shared" si="0"/>
        <v>10</v>
      </c>
      <c r="L40">
        <f t="shared" si="1"/>
        <v>4.464285714285714E-3</v>
      </c>
    </row>
    <row r="41" spans="1:12" x14ac:dyDescent="0.25">
      <c r="A41">
        <v>1742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1742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1742</v>
      </c>
      <c r="B43" t="s">
        <v>18</v>
      </c>
      <c r="C43" t="s">
        <v>73</v>
      </c>
      <c r="D43" t="s">
        <v>33</v>
      </c>
      <c r="H43">
        <v>6116.5</v>
      </c>
      <c r="I43" t="s">
        <v>134</v>
      </c>
      <c r="J43">
        <f t="shared" si="0"/>
        <v>6116.5</v>
      </c>
      <c r="L43">
        <f t="shared" si="1"/>
        <v>2.7305803571428573</v>
      </c>
    </row>
    <row r="44" spans="1:12" x14ac:dyDescent="0.25">
      <c r="A44">
        <v>1742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1742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1742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1742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1742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1742</v>
      </c>
      <c r="B49" t="s">
        <v>54</v>
      </c>
      <c r="C49" t="s">
        <v>73</v>
      </c>
      <c r="D49" t="s">
        <v>33</v>
      </c>
      <c r="H49">
        <v>110</v>
      </c>
      <c r="J49">
        <f t="shared" si="0"/>
        <v>110</v>
      </c>
      <c r="L49">
        <f t="shared" si="1"/>
        <v>4.9107142857142856E-2</v>
      </c>
    </row>
    <row r="50" spans="1:12" x14ac:dyDescent="0.25">
      <c r="A50">
        <v>1742</v>
      </c>
      <c r="B50" t="s">
        <v>95</v>
      </c>
      <c r="C50" t="s">
        <v>73</v>
      </c>
      <c r="D50" t="s">
        <v>33</v>
      </c>
      <c r="H50">
        <v>108</v>
      </c>
      <c r="J50">
        <f t="shared" si="0"/>
        <v>108</v>
      </c>
      <c r="L50">
        <f t="shared" si="1"/>
        <v>4.8214285714285716E-2</v>
      </c>
    </row>
    <row r="51" spans="1:12" x14ac:dyDescent="0.25">
      <c r="A51">
        <v>1742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1742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1742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1742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1742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1742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1742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1742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1742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1742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1742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1742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1742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1742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1742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1742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1742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1742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1742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1742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1742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1742</v>
      </c>
      <c r="B74" t="s">
        <v>6</v>
      </c>
      <c r="C74" t="s">
        <v>73</v>
      </c>
      <c r="D74" t="s">
        <v>35</v>
      </c>
      <c r="F74">
        <v>3694</v>
      </c>
      <c r="G74">
        <v>3</v>
      </c>
      <c r="H74">
        <v>24</v>
      </c>
      <c r="J74">
        <f t="shared" si="2"/>
        <v>413836</v>
      </c>
      <c r="L74">
        <f t="shared" si="3"/>
        <v>184.74821428571428</v>
      </c>
    </row>
    <row r="75" spans="1:12" x14ac:dyDescent="0.25">
      <c r="A75">
        <v>1742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1742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1742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1742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1742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1742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1742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1742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1742</v>
      </c>
      <c r="B83" t="s">
        <v>9</v>
      </c>
      <c r="C83" t="s">
        <v>73</v>
      </c>
      <c r="D83" t="s">
        <v>35</v>
      </c>
      <c r="H83">
        <f>8*200</f>
        <v>1600</v>
      </c>
      <c r="I83" t="s">
        <v>161</v>
      </c>
      <c r="J83">
        <f t="shared" si="2"/>
        <v>1600</v>
      </c>
      <c r="L83">
        <f t="shared" si="3"/>
        <v>0.7142857142857143</v>
      </c>
    </row>
    <row r="84" spans="1:12" x14ac:dyDescent="0.25">
      <c r="A84">
        <v>1742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1742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1742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1742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1742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1742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1742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1742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1742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1742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1742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1742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1742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1742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1742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1742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1742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1742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1742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1742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1742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1742</v>
      </c>
      <c r="B105" t="s">
        <v>18</v>
      </c>
      <c r="C105" t="s">
        <v>73</v>
      </c>
      <c r="D105" t="s">
        <v>35</v>
      </c>
      <c r="H105">
        <v>400</v>
      </c>
      <c r="I105" t="s">
        <v>160</v>
      </c>
      <c r="J105">
        <f t="shared" si="2"/>
        <v>400</v>
      </c>
      <c r="L105">
        <f t="shared" si="3"/>
        <v>0.17857142857142858</v>
      </c>
    </row>
    <row r="106" spans="1:12" x14ac:dyDescent="0.25">
      <c r="A106">
        <v>1742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1742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1742</v>
      </c>
      <c r="B108" t="s">
        <v>19</v>
      </c>
      <c r="C108" t="s">
        <v>73</v>
      </c>
      <c r="D108" t="s">
        <v>35</v>
      </c>
      <c r="F108">
        <v>3</v>
      </c>
      <c r="G108">
        <v>1</v>
      </c>
      <c r="J108">
        <f t="shared" si="2"/>
        <v>364</v>
      </c>
      <c r="L108">
        <f t="shared" si="3"/>
        <v>0.16250000000000001</v>
      </c>
    </row>
    <row r="109" spans="1:12" x14ac:dyDescent="0.25">
      <c r="A109">
        <v>1742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1742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1742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1742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1742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1742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1742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1742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1742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1742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1742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1742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1742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1742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1742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1742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1742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1742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1742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1742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1742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1742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1742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1742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1742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1742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1742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1742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1742</v>
      </c>
      <c r="B12" t="s">
        <v>6</v>
      </c>
      <c r="C12" t="s">
        <v>74</v>
      </c>
      <c r="D12" t="s">
        <v>33</v>
      </c>
      <c r="F12">
        <v>101548</v>
      </c>
      <c r="G12">
        <v>1</v>
      </c>
      <c r="J12">
        <f t="shared" si="0"/>
        <v>11373404</v>
      </c>
      <c r="L12">
        <f t="shared" si="1"/>
        <v>5077.4125000000004</v>
      </c>
    </row>
    <row r="13" spans="1:15" x14ac:dyDescent="0.25">
      <c r="A13">
        <v>1742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1742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1742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1742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1742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1742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1742</v>
      </c>
      <c r="B19" t="s">
        <v>77</v>
      </c>
      <c r="C19" t="s">
        <v>74</v>
      </c>
      <c r="D19" t="s">
        <v>33</v>
      </c>
      <c r="G19">
        <v>2</v>
      </c>
      <c r="H19">
        <v>16</v>
      </c>
      <c r="J19">
        <f t="shared" si="0"/>
        <v>72</v>
      </c>
      <c r="L19">
        <f t="shared" si="1"/>
        <v>3.214285714285714E-2</v>
      </c>
    </row>
    <row r="20" spans="1:12" x14ac:dyDescent="0.25">
      <c r="A20">
        <v>1742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1742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1742</v>
      </c>
      <c r="B22" t="s">
        <v>9</v>
      </c>
      <c r="C22" t="s">
        <v>74</v>
      </c>
      <c r="D22" t="s">
        <v>33</v>
      </c>
      <c r="H22">
        <f>1117.5*200</f>
        <v>223500</v>
      </c>
      <c r="I22" t="s">
        <v>141</v>
      </c>
      <c r="J22">
        <f t="shared" si="0"/>
        <v>223500</v>
      </c>
      <c r="L22">
        <f t="shared" si="1"/>
        <v>99.776785714285708</v>
      </c>
    </row>
    <row r="23" spans="1:12" x14ac:dyDescent="0.25">
      <c r="A23">
        <v>1742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1742</v>
      </c>
      <c r="B24" t="s">
        <v>11</v>
      </c>
      <c r="C24" t="s">
        <v>74</v>
      </c>
      <c r="D24" t="s">
        <v>33</v>
      </c>
      <c r="F24">
        <v>31</v>
      </c>
      <c r="G24">
        <v>3</v>
      </c>
      <c r="H24">
        <v>26</v>
      </c>
      <c r="J24">
        <f t="shared" si="0"/>
        <v>3582</v>
      </c>
      <c r="L24">
        <f t="shared" si="1"/>
        <v>1.5991071428571428</v>
      </c>
    </row>
    <row r="25" spans="1:12" x14ac:dyDescent="0.25">
      <c r="A25">
        <v>1742</v>
      </c>
      <c r="B25" t="s">
        <v>39</v>
      </c>
      <c r="C25" t="s">
        <v>74</v>
      </c>
      <c r="D25" t="s">
        <v>33</v>
      </c>
      <c r="H25">
        <v>4</v>
      </c>
      <c r="J25">
        <f t="shared" si="0"/>
        <v>4</v>
      </c>
      <c r="L25">
        <f t="shared" si="1"/>
        <v>1.7857142857142857E-3</v>
      </c>
    </row>
    <row r="26" spans="1:12" x14ac:dyDescent="0.25">
      <c r="A26">
        <v>1742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1742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1742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1742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1742</v>
      </c>
      <c r="B30" t="s">
        <v>12</v>
      </c>
      <c r="C30" t="s">
        <v>74</v>
      </c>
      <c r="D30" t="s">
        <v>33</v>
      </c>
      <c r="H30">
        <v>599</v>
      </c>
      <c r="J30">
        <f t="shared" si="0"/>
        <v>599</v>
      </c>
      <c r="L30">
        <f t="shared" si="1"/>
        <v>0.26741071428571428</v>
      </c>
    </row>
    <row r="31" spans="1:12" x14ac:dyDescent="0.25">
      <c r="A31">
        <v>1742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1742</v>
      </c>
      <c r="B33" t="s">
        <v>13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1742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1742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1742</v>
      </c>
      <c r="B36" t="s">
        <v>27</v>
      </c>
      <c r="C36" t="s">
        <v>74</v>
      </c>
      <c r="D36" t="s">
        <v>33</v>
      </c>
      <c r="H36">
        <v>202152</v>
      </c>
      <c r="I36" t="s">
        <v>139</v>
      </c>
      <c r="J36">
        <f t="shared" si="0"/>
        <v>202152</v>
      </c>
      <c r="L36">
        <f t="shared" si="1"/>
        <v>90.246428571428567</v>
      </c>
    </row>
    <row r="37" spans="1:12" x14ac:dyDescent="0.25">
      <c r="A37">
        <v>1742</v>
      </c>
      <c r="B37" t="s">
        <v>15</v>
      </c>
      <c r="C37" t="s">
        <v>74</v>
      </c>
      <c r="D37" t="s">
        <v>33</v>
      </c>
      <c r="F37">
        <v>2</v>
      </c>
      <c r="G37">
        <v>1</v>
      </c>
      <c r="J37">
        <f t="shared" si="0"/>
        <v>252</v>
      </c>
      <c r="L37">
        <f t="shared" si="1"/>
        <v>0.1125</v>
      </c>
    </row>
    <row r="38" spans="1:12" x14ac:dyDescent="0.25">
      <c r="A38">
        <v>1742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1742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1742</v>
      </c>
      <c r="B40" t="s">
        <v>47</v>
      </c>
      <c r="C40" t="s">
        <v>74</v>
      </c>
      <c r="D40" t="s">
        <v>33</v>
      </c>
      <c r="H40">
        <v>55</v>
      </c>
      <c r="I40" t="s">
        <v>137</v>
      </c>
      <c r="J40">
        <f t="shared" si="0"/>
        <v>55</v>
      </c>
      <c r="L40">
        <f t="shared" si="1"/>
        <v>2.4553571428571428E-2</v>
      </c>
    </row>
    <row r="41" spans="1:12" x14ac:dyDescent="0.25">
      <c r="A41">
        <v>1742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1742</v>
      </c>
      <c r="B42" t="s">
        <v>112</v>
      </c>
      <c r="C42" t="s">
        <v>74</v>
      </c>
      <c r="D42" t="s">
        <v>33</v>
      </c>
      <c r="H42">
        <v>20985.5</v>
      </c>
      <c r="I42" t="s">
        <v>140</v>
      </c>
      <c r="J42">
        <f t="shared" si="0"/>
        <v>20985.5</v>
      </c>
      <c r="L42">
        <f t="shared" si="1"/>
        <v>9.3685267857142858</v>
      </c>
    </row>
    <row r="43" spans="1:12" x14ac:dyDescent="0.25">
      <c r="A43">
        <v>1742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1742</v>
      </c>
      <c r="B44" t="s">
        <v>18</v>
      </c>
      <c r="C44" t="s">
        <v>74</v>
      </c>
      <c r="D44" t="s">
        <v>33</v>
      </c>
      <c r="H44">
        <v>154199.5</v>
      </c>
      <c r="I44" t="s">
        <v>138</v>
      </c>
      <c r="J44">
        <f t="shared" si="0"/>
        <v>154199.5</v>
      </c>
      <c r="L44">
        <f t="shared" si="1"/>
        <v>68.839062499999997</v>
      </c>
    </row>
    <row r="45" spans="1:12" x14ac:dyDescent="0.25">
      <c r="A45">
        <v>1742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1742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1742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1742</v>
      </c>
      <c r="B48" t="s">
        <v>45</v>
      </c>
      <c r="C48" t="s">
        <v>74</v>
      </c>
      <c r="D48" t="s">
        <v>33</v>
      </c>
      <c r="H48">
        <v>2080</v>
      </c>
      <c r="J48">
        <f t="shared" si="0"/>
        <v>2080</v>
      </c>
      <c r="L48">
        <f t="shared" si="1"/>
        <v>0.9285714285714286</v>
      </c>
    </row>
    <row r="49" spans="1:12" x14ac:dyDescent="0.25">
      <c r="A49">
        <v>1742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1742</v>
      </c>
      <c r="B50" t="s">
        <v>54</v>
      </c>
      <c r="C50" t="s">
        <v>74</v>
      </c>
      <c r="D50" t="s">
        <v>33</v>
      </c>
      <c r="H50">
        <v>459</v>
      </c>
      <c r="J50">
        <f t="shared" si="0"/>
        <v>459</v>
      </c>
      <c r="L50">
        <f t="shared" si="1"/>
        <v>0.20491071428571428</v>
      </c>
    </row>
    <row r="51" spans="1:12" x14ac:dyDescent="0.25">
      <c r="A51">
        <v>1742</v>
      </c>
      <c r="B51" t="s">
        <v>95</v>
      </c>
      <c r="C51" t="s">
        <v>74</v>
      </c>
      <c r="D51" t="s">
        <v>33</v>
      </c>
      <c r="H51">
        <v>536</v>
      </c>
      <c r="J51">
        <f t="shared" si="0"/>
        <v>536</v>
      </c>
      <c r="L51">
        <f t="shared" si="1"/>
        <v>0.2392857142857143</v>
      </c>
    </row>
    <row r="52" spans="1:12" x14ac:dyDescent="0.25">
      <c r="A52">
        <v>1742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1742</v>
      </c>
      <c r="B53" t="s">
        <v>21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1742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1742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1742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1742</v>
      </c>
      <c r="B57" t="s">
        <v>87</v>
      </c>
      <c r="C57" t="s">
        <v>74</v>
      </c>
      <c r="D57" t="s">
        <v>33</v>
      </c>
      <c r="E57">
        <v>50</v>
      </c>
      <c r="J57">
        <f t="shared" si="0"/>
        <v>112000</v>
      </c>
      <c r="L57">
        <f t="shared" si="1"/>
        <v>50</v>
      </c>
    </row>
    <row r="58" spans="1:12" x14ac:dyDescent="0.25">
      <c r="A58">
        <v>1742</v>
      </c>
      <c r="B58" t="s">
        <v>62</v>
      </c>
      <c r="C58" t="s">
        <v>74</v>
      </c>
      <c r="D58" t="s">
        <v>33</v>
      </c>
      <c r="E58">
        <v>84</v>
      </c>
      <c r="F58">
        <v>19</v>
      </c>
      <c r="G58">
        <v>2</v>
      </c>
      <c r="J58">
        <f t="shared" si="0"/>
        <v>190344</v>
      </c>
      <c r="L58">
        <f t="shared" si="1"/>
        <v>84.974999999999994</v>
      </c>
    </row>
    <row r="59" spans="1:12" x14ac:dyDescent="0.25">
      <c r="A59">
        <v>1742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1742</v>
      </c>
      <c r="B60" t="s">
        <v>63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1742</v>
      </c>
      <c r="B61" t="s">
        <v>89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1742</v>
      </c>
      <c r="B63" t="s">
        <v>64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1742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1742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1742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1742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1742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1742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1742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1742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1742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1742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1742</v>
      </c>
      <c r="B75" t="s">
        <v>6</v>
      </c>
      <c r="C75" t="s">
        <v>74</v>
      </c>
      <c r="D75" t="s">
        <v>35</v>
      </c>
      <c r="F75">
        <v>11448</v>
      </c>
      <c r="G75">
        <v>1</v>
      </c>
      <c r="H75">
        <v>14</v>
      </c>
      <c r="J75">
        <f t="shared" si="2"/>
        <v>1282218</v>
      </c>
      <c r="L75">
        <f t="shared" si="3"/>
        <v>572.41875000000005</v>
      </c>
    </row>
    <row r="76" spans="1:12" x14ac:dyDescent="0.25">
      <c r="A76">
        <v>1742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1742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1742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1742</v>
      </c>
      <c r="B79" t="s">
        <v>8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1742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1742</v>
      </c>
      <c r="B81" t="s">
        <v>77</v>
      </c>
      <c r="C81" t="s">
        <v>74</v>
      </c>
      <c r="D81" t="s">
        <v>35</v>
      </c>
      <c r="F81">
        <v>4</v>
      </c>
      <c r="G81">
        <v>3</v>
      </c>
      <c r="H81">
        <v>7</v>
      </c>
      <c r="J81">
        <f t="shared" si="2"/>
        <v>539</v>
      </c>
      <c r="L81">
        <f t="shared" si="3"/>
        <v>0.24062500000000001</v>
      </c>
    </row>
    <row r="82" spans="1:12" x14ac:dyDescent="0.25">
      <c r="A82">
        <v>1742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1742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1742</v>
      </c>
      <c r="B84" t="s">
        <v>9</v>
      </c>
      <c r="C84" t="s">
        <v>74</v>
      </c>
      <c r="D84" t="s">
        <v>35</v>
      </c>
      <c r="H84">
        <f>445*200+128</f>
        <v>89128</v>
      </c>
      <c r="I84" t="s">
        <v>163</v>
      </c>
      <c r="J84">
        <f t="shared" si="2"/>
        <v>89128</v>
      </c>
      <c r="L84">
        <f t="shared" si="3"/>
        <v>39.789285714285711</v>
      </c>
    </row>
    <row r="85" spans="1:12" x14ac:dyDescent="0.25">
      <c r="A85">
        <v>1742</v>
      </c>
      <c r="B85" t="s">
        <v>10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1742</v>
      </c>
      <c r="B86" t="s">
        <v>11</v>
      </c>
      <c r="C86" t="s">
        <v>74</v>
      </c>
      <c r="D86" t="s">
        <v>35</v>
      </c>
      <c r="F86">
        <v>35</v>
      </c>
      <c r="H86">
        <v>9</v>
      </c>
      <c r="J86">
        <f t="shared" si="2"/>
        <v>3929</v>
      </c>
      <c r="L86">
        <f t="shared" si="3"/>
        <v>1.7540178571428571</v>
      </c>
    </row>
    <row r="87" spans="1:12" x14ac:dyDescent="0.25">
      <c r="A87">
        <v>1742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1742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1742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1742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1742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1742</v>
      </c>
      <c r="B92" t="s">
        <v>12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1742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1742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1742</v>
      </c>
      <c r="B95" t="s">
        <v>13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1742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1742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1742</v>
      </c>
      <c r="B98" t="s">
        <v>27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1742</v>
      </c>
      <c r="B99" t="s">
        <v>15</v>
      </c>
      <c r="C99" t="s">
        <v>74</v>
      </c>
      <c r="D99" t="s">
        <v>35</v>
      </c>
      <c r="F99">
        <v>306</v>
      </c>
      <c r="G99">
        <v>1</v>
      </c>
      <c r="H99">
        <v>6</v>
      </c>
      <c r="J99">
        <f t="shared" si="2"/>
        <v>34306</v>
      </c>
      <c r="L99">
        <f t="shared" si="3"/>
        <v>15.315178571428572</v>
      </c>
    </row>
    <row r="100" spans="1:12" x14ac:dyDescent="0.25">
      <c r="A100">
        <v>1742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1742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1742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1742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1742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1742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1742</v>
      </c>
      <c r="B106" t="s">
        <v>18</v>
      </c>
      <c r="C106" t="s">
        <v>74</v>
      </c>
      <c r="D106" t="s">
        <v>35</v>
      </c>
      <c r="H106">
        <v>37899.5</v>
      </c>
      <c r="I106" t="s">
        <v>162</v>
      </c>
      <c r="J106">
        <f t="shared" si="2"/>
        <v>37899.5</v>
      </c>
      <c r="L106">
        <f t="shared" si="3"/>
        <v>16.919419642857143</v>
      </c>
    </row>
    <row r="107" spans="1:12" x14ac:dyDescent="0.25">
      <c r="A107">
        <v>1742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1742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1742</v>
      </c>
      <c r="B109" t="s">
        <v>19</v>
      </c>
      <c r="C109" t="s">
        <v>74</v>
      </c>
      <c r="D109" t="s">
        <v>35</v>
      </c>
      <c r="F109">
        <v>10</v>
      </c>
      <c r="G109">
        <v>2</v>
      </c>
      <c r="H109">
        <v>10</v>
      </c>
      <c r="J109">
        <f t="shared" si="2"/>
        <v>1186</v>
      </c>
      <c r="L109">
        <f t="shared" si="3"/>
        <v>0.52946428571428572</v>
      </c>
    </row>
    <row r="110" spans="1:12" x14ac:dyDescent="0.25">
      <c r="A110">
        <v>1742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1742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1742</v>
      </c>
      <c r="B112" t="s">
        <v>54</v>
      </c>
      <c r="C112" t="s">
        <v>74</v>
      </c>
      <c r="D112" t="s">
        <v>35</v>
      </c>
      <c r="H112">
        <v>66</v>
      </c>
      <c r="J112">
        <f t="shared" si="2"/>
        <v>66</v>
      </c>
      <c r="L112">
        <f t="shared" si="3"/>
        <v>2.9464285714285714E-2</v>
      </c>
    </row>
    <row r="113" spans="1:12" x14ac:dyDescent="0.25">
      <c r="A113">
        <v>1742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1742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1742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1742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1742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1742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1742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1742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1742</v>
      </c>
      <c r="B121" t="s">
        <v>62</v>
      </c>
      <c r="C121" t="s">
        <v>74</v>
      </c>
      <c r="D121" t="s">
        <v>35</v>
      </c>
      <c r="E121">
        <v>10</v>
      </c>
      <c r="F121">
        <v>17</v>
      </c>
      <c r="H121">
        <v>19</v>
      </c>
      <c r="J121">
        <f t="shared" si="2"/>
        <v>24323</v>
      </c>
      <c r="L121">
        <f t="shared" si="3"/>
        <v>10.858482142857143</v>
      </c>
    </row>
    <row r="122" spans="1:12" x14ac:dyDescent="0.25">
      <c r="A122">
        <v>1742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1742</v>
      </c>
      <c r="B123" t="s">
        <v>63</v>
      </c>
      <c r="C123" t="s">
        <v>74</v>
      </c>
      <c r="D123" t="s">
        <v>35</v>
      </c>
      <c r="E123">
        <v>3</v>
      </c>
      <c r="J123">
        <f t="shared" si="2"/>
        <v>6720</v>
      </c>
      <c r="L123">
        <f t="shared" si="3"/>
        <v>3</v>
      </c>
    </row>
    <row r="124" spans="1:12" x14ac:dyDescent="0.25">
      <c r="A124">
        <v>1742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1742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1742</v>
      </c>
      <c r="B126" t="s">
        <v>64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1742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31"/>
  <sheetViews>
    <sheetView tabSelected="1" topLeftCell="A97" workbookViewId="0">
      <selection activeCell="H40" sqref="H40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1742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1742</v>
      </c>
      <c r="B3" t="s">
        <v>57</v>
      </c>
      <c r="C3" t="s">
        <v>100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5" x14ac:dyDescent="0.25">
      <c r="A4">
        <v>1742</v>
      </c>
      <c r="B4" t="s">
        <v>36</v>
      </c>
      <c r="C4" t="s">
        <v>100</v>
      </c>
      <c r="D4" t="s">
        <v>33</v>
      </c>
      <c r="H4">
        <v>2000</v>
      </c>
      <c r="J4">
        <f t="shared" si="0"/>
        <v>2000</v>
      </c>
      <c r="L4">
        <f t="shared" si="1"/>
        <v>0.8928571428571429</v>
      </c>
    </row>
    <row r="5" spans="1:15" x14ac:dyDescent="0.25">
      <c r="A5">
        <v>1742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1742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1742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1742</v>
      </c>
      <c r="B8" t="s">
        <v>123</v>
      </c>
      <c r="C8" t="s">
        <v>100</v>
      </c>
      <c r="D8" t="s">
        <v>33</v>
      </c>
      <c r="H8">
        <v>13</v>
      </c>
      <c r="J8">
        <f t="shared" si="0"/>
        <v>13</v>
      </c>
      <c r="L8">
        <f t="shared" si="1"/>
        <v>5.8035714285714288E-3</v>
      </c>
    </row>
    <row r="9" spans="1:15" x14ac:dyDescent="0.25">
      <c r="A9">
        <v>1742</v>
      </c>
      <c r="B9" t="s">
        <v>101</v>
      </c>
      <c r="C9" t="s">
        <v>100</v>
      </c>
      <c r="D9" t="s">
        <v>33</v>
      </c>
      <c r="H9">
        <v>40</v>
      </c>
      <c r="J9">
        <f t="shared" ref="J9" si="2">(E9*2240)+(F9*112)+(G9*28)+H9</f>
        <v>40</v>
      </c>
      <c r="L9">
        <f t="shared" ref="L9" si="3">J9/2240</f>
        <v>1.7857142857142856E-2</v>
      </c>
    </row>
    <row r="10" spans="1:15" x14ac:dyDescent="0.25">
      <c r="A10">
        <v>1742</v>
      </c>
      <c r="B10" t="s">
        <v>43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1742</v>
      </c>
      <c r="B11" t="s">
        <v>76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1742</v>
      </c>
      <c r="B12" t="s">
        <v>104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1742</v>
      </c>
      <c r="B13" t="s">
        <v>5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1742</v>
      </c>
      <c r="B14" t="s">
        <v>59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1742</v>
      </c>
      <c r="B15" t="s">
        <v>6</v>
      </c>
      <c r="C15" t="s">
        <v>100</v>
      </c>
      <c r="D15" t="s">
        <v>33</v>
      </c>
      <c r="F15">
        <v>229</v>
      </c>
      <c r="G15">
        <v>2</v>
      </c>
      <c r="H15">
        <v>14</v>
      </c>
      <c r="J15">
        <f t="shared" si="0"/>
        <v>25718</v>
      </c>
      <c r="L15">
        <f t="shared" si="1"/>
        <v>11.481249999999999</v>
      </c>
    </row>
    <row r="16" spans="1:15" x14ac:dyDescent="0.25">
      <c r="A16">
        <v>1742</v>
      </c>
      <c r="B16" t="s">
        <v>96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1742</v>
      </c>
      <c r="B17" t="s">
        <v>60</v>
      </c>
      <c r="C17" t="s">
        <v>100</v>
      </c>
      <c r="D17" t="s">
        <v>33</v>
      </c>
      <c r="H17">
        <v>350</v>
      </c>
      <c r="J17">
        <f t="shared" si="0"/>
        <v>350</v>
      </c>
      <c r="L17">
        <f t="shared" si="1"/>
        <v>0.15625</v>
      </c>
    </row>
    <row r="18" spans="1:12" x14ac:dyDescent="0.25">
      <c r="A18">
        <v>1742</v>
      </c>
      <c r="B18" t="s">
        <v>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1742</v>
      </c>
      <c r="B19" t="s">
        <v>37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1742</v>
      </c>
      <c r="B20" t="s">
        <v>8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1742</v>
      </c>
      <c r="B21" t="s">
        <v>40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1742</v>
      </c>
      <c r="B22" t="s">
        <v>77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1742</v>
      </c>
      <c r="B23" t="s">
        <v>78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1742</v>
      </c>
      <c r="B24" t="s">
        <v>46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1742</v>
      </c>
      <c r="B25" t="s">
        <v>9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1742</v>
      </c>
      <c r="B26" t="s">
        <v>10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1742</v>
      </c>
      <c r="B27" t="s">
        <v>11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1742</v>
      </c>
      <c r="B28" t="s">
        <v>39</v>
      </c>
      <c r="C28" t="s">
        <v>100</v>
      </c>
      <c r="D28" t="s">
        <v>33</v>
      </c>
      <c r="H28">
        <v>10</v>
      </c>
      <c r="J28">
        <f t="shared" si="0"/>
        <v>10</v>
      </c>
      <c r="L28">
        <f t="shared" si="1"/>
        <v>4.464285714285714E-3</v>
      </c>
    </row>
    <row r="29" spans="1:12" x14ac:dyDescent="0.25">
      <c r="A29">
        <v>1742</v>
      </c>
      <c r="B29" t="s">
        <v>79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1742</v>
      </c>
      <c r="B30" t="s">
        <v>103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1742</v>
      </c>
      <c r="B31" t="s">
        <v>44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1742</v>
      </c>
      <c r="B32" t="s">
        <v>97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1742</v>
      </c>
      <c r="B33" t="s">
        <v>12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1742</v>
      </c>
      <c r="B34" t="s">
        <v>116</v>
      </c>
      <c r="C34" t="s">
        <v>100</v>
      </c>
      <c r="D34" t="s">
        <v>33</v>
      </c>
      <c r="H34">
        <v>5841</v>
      </c>
      <c r="J34">
        <f t="shared" si="0"/>
        <v>5841</v>
      </c>
      <c r="L34">
        <f t="shared" si="1"/>
        <v>2.6075892857142855</v>
      </c>
    </row>
    <row r="35" spans="1:12" x14ac:dyDescent="0.25">
      <c r="A35">
        <v>1742</v>
      </c>
      <c r="B35" t="s">
        <v>34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1742</v>
      </c>
      <c r="B36" t="s">
        <v>13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1742</v>
      </c>
      <c r="B37" t="s">
        <v>14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1742</v>
      </c>
      <c r="B38" t="s">
        <v>23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1742</v>
      </c>
      <c r="B39" t="s">
        <v>27</v>
      </c>
      <c r="C39" t="s">
        <v>100</v>
      </c>
      <c r="D39" t="s">
        <v>33</v>
      </c>
      <c r="H39">
        <v>14283.5</v>
      </c>
      <c r="I39" t="s">
        <v>143</v>
      </c>
      <c r="J39">
        <f t="shared" si="0"/>
        <v>14283.5</v>
      </c>
      <c r="L39">
        <f t="shared" si="1"/>
        <v>6.3765625000000004</v>
      </c>
    </row>
    <row r="40" spans="1:12" x14ac:dyDescent="0.25">
      <c r="A40">
        <v>1742</v>
      </c>
      <c r="B40" t="s">
        <v>15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1742</v>
      </c>
      <c r="B41" t="s">
        <v>42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1742</v>
      </c>
      <c r="B42" t="s">
        <v>83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1742</v>
      </c>
      <c r="B43" t="s">
        <v>47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1742</v>
      </c>
      <c r="B44" t="s">
        <v>16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1742</v>
      </c>
      <c r="B45" t="s">
        <v>107</v>
      </c>
      <c r="C45" t="s">
        <v>100</v>
      </c>
      <c r="D45" t="s">
        <v>33</v>
      </c>
      <c r="H45">
        <v>12000</v>
      </c>
      <c r="J45">
        <f t="shared" si="0"/>
        <v>12000</v>
      </c>
      <c r="L45">
        <f t="shared" si="1"/>
        <v>5.3571428571428568</v>
      </c>
    </row>
    <row r="46" spans="1:12" x14ac:dyDescent="0.25">
      <c r="A46">
        <v>1742</v>
      </c>
      <c r="B46" t="s">
        <v>17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1742</v>
      </c>
      <c r="B47" t="s">
        <v>18</v>
      </c>
      <c r="C47" t="s">
        <v>100</v>
      </c>
      <c r="D47" t="s">
        <v>33</v>
      </c>
      <c r="H47">
        <v>1190.5</v>
      </c>
      <c r="I47" t="s">
        <v>142</v>
      </c>
      <c r="J47">
        <f t="shared" si="0"/>
        <v>1190.5</v>
      </c>
      <c r="L47">
        <f t="shared" si="1"/>
        <v>0.53147321428571426</v>
      </c>
    </row>
    <row r="48" spans="1:12" x14ac:dyDescent="0.25">
      <c r="A48">
        <v>1742</v>
      </c>
      <c r="B48" t="s">
        <v>26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1742</v>
      </c>
      <c r="B49" t="s">
        <v>84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1742</v>
      </c>
      <c r="B50" t="s">
        <v>19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1742</v>
      </c>
      <c r="B51" t="s">
        <v>45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1742</v>
      </c>
      <c r="B52" t="s">
        <v>85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1742</v>
      </c>
      <c r="B53" t="s">
        <v>54</v>
      </c>
      <c r="C53" t="s">
        <v>100</v>
      </c>
      <c r="D53" t="s">
        <v>33</v>
      </c>
      <c r="H53">
        <v>4</v>
      </c>
      <c r="J53">
        <f t="shared" si="0"/>
        <v>4</v>
      </c>
      <c r="L53">
        <f t="shared" si="1"/>
        <v>1.7857142857142857E-3</v>
      </c>
    </row>
    <row r="54" spans="1:12" x14ac:dyDescent="0.25">
      <c r="A54">
        <v>1742</v>
      </c>
      <c r="B54" t="s">
        <v>95</v>
      </c>
      <c r="C54" t="s">
        <v>100</v>
      </c>
      <c r="D54" t="s">
        <v>33</v>
      </c>
      <c r="H54">
        <v>4261</v>
      </c>
      <c r="J54">
        <f t="shared" si="0"/>
        <v>4261</v>
      </c>
      <c r="L54">
        <f t="shared" si="1"/>
        <v>1.9022321428571429</v>
      </c>
    </row>
    <row r="55" spans="1:12" x14ac:dyDescent="0.25">
      <c r="A55">
        <v>1742</v>
      </c>
      <c r="B55" t="s">
        <v>20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1742</v>
      </c>
      <c r="B56" t="s">
        <v>21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1742</v>
      </c>
      <c r="B57" t="s">
        <v>90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1742</v>
      </c>
      <c r="B58" t="s">
        <v>22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1742</v>
      </c>
      <c r="B59" t="s">
        <v>61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1742</v>
      </c>
      <c r="B60" t="s">
        <v>98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1742</v>
      </c>
      <c r="B61" t="s">
        <v>87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1742</v>
      </c>
      <c r="B62" t="s">
        <v>62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1742</v>
      </c>
      <c r="B63" t="s">
        <v>88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1742</v>
      </c>
      <c r="B64" t="s">
        <v>63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1742</v>
      </c>
      <c r="B65" t="s">
        <v>89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1742</v>
      </c>
      <c r="B66" t="s">
        <v>70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1742</v>
      </c>
      <c r="B67" t="s">
        <v>64</v>
      </c>
      <c r="C67" t="s">
        <v>100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1742</v>
      </c>
      <c r="B68" t="s">
        <v>65</v>
      </c>
      <c r="C68" t="s">
        <v>100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1742</v>
      </c>
      <c r="B69" t="s">
        <v>55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1742</v>
      </c>
      <c r="B70" t="s">
        <v>57</v>
      </c>
      <c r="C70" t="s">
        <v>100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1742</v>
      </c>
      <c r="B71" t="s">
        <v>36</v>
      </c>
      <c r="C71" t="s">
        <v>100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1742</v>
      </c>
      <c r="B72" t="s">
        <v>4</v>
      </c>
      <c r="C72" t="s">
        <v>100</v>
      </c>
      <c r="D72" t="s">
        <v>35</v>
      </c>
      <c r="J72">
        <f t="shared" ref="J72:J131" si="4">(E72*2240)+(F72*112)+(G72*28)+H72</f>
        <v>0</v>
      </c>
      <c r="L72">
        <f t="shared" ref="L72:L131" si="5">J72/2240</f>
        <v>0</v>
      </c>
    </row>
    <row r="73" spans="1:12" x14ac:dyDescent="0.25">
      <c r="A73">
        <v>1742</v>
      </c>
      <c r="B73" t="s">
        <v>58</v>
      </c>
      <c r="C73" t="s">
        <v>100</v>
      </c>
      <c r="D73" t="s">
        <v>35</v>
      </c>
      <c r="J73">
        <f t="shared" si="4"/>
        <v>0</v>
      </c>
      <c r="L73">
        <f t="shared" si="5"/>
        <v>0</v>
      </c>
    </row>
    <row r="74" spans="1:12" x14ac:dyDescent="0.25">
      <c r="A74">
        <v>1742</v>
      </c>
      <c r="B74" t="s">
        <v>69</v>
      </c>
      <c r="C74" t="s">
        <v>100</v>
      </c>
      <c r="D74" t="s">
        <v>35</v>
      </c>
      <c r="J74">
        <f t="shared" si="4"/>
        <v>0</v>
      </c>
      <c r="L74">
        <f t="shared" si="5"/>
        <v>0</v>
      </c>
    </row>
    <row r="75" spans="1:12" x14ac:dyDescent="0.25">
      <c r="A75">
        <v>1742</v>
      </c>
      <c r="B75" t="s">
        <v>43</v>
      </c>
      <c r="C75" t="s">
        <v>100</v>
      </c>
      <c r="D75" t="s">
        <v>35</v>
      </c>
      <c r="J75">
        <f t="shared" si="4"/>
        <v>0</v>
      </c>
      <c r="L75">
        <f t="shared" si="5"/>
        <v>0</v>
      </c>
    </row>
    <row r="76" spans="1:12" x14ac:dyDescent="0.25">
      <c r="A76">
        <v>1742</v>
      </c>
      <c r="B76" t="s">
        <v>76</v>
      </c>
      <c r="C76" t="s">
        <v>100</v>
      </c>
      <c r="D76" t="s">
        <v>35</v>
      </c>
      <c r="J76">
        <f t="shared" si="4"/>
        <v>0</v>
      </c>
      <c r="L76">
        <f t="shared" si="5"/>
        <v>0</v>
      </c>
    </row>
    <row r="77" spans="1:12" x14ac:dyDescent="0.25">
      <c r="A77">
        <v>1742</v>
      </c>
      <c r="B77" t="s">
        <v>5</v>
      </c>
      <c r="C77" t="s">
        <v>100</v>
      </c>
      <c r="D77" t="s">
        <v>35</v>
      </c>
      <c r="J77">
        <f t="shared" si="4"/>
        <v>0</v>
      </c>
      <c r="L77">
        <f t="shared" si="5"/>
        <v>0</v>
      </c>
    </row>
    <row r="78" spans="1:12" x14ac:dyDescent="0.25">
      <c r="A78">
        <v>1742</v>
      </c>
      <c r="B78" t="s">
        <v>59</v>
      </c>
      <c r="C78" t="s">
        <v>100</v>
      </c>
      <c r="D78" t="s">
        <v>35</v>
      </c>
      <c r="J78">
        <f t="shared" si="4"/>
        <v>0</v>
      </c>
      <c r="L78">
        <f t="shared" si="5"/>
        <v>0</v>
      </c>
    </row>
    <row r="79" spans="1:12" x14ac:dyDescent="0.25">
      <c r="A79">
        <v>1742</v>
      </c>
      <c r="B79" t="s">
        <v>6</v>
      </c>
      <c r="C79" t="s">
        <v>100</v>
      </c>
      <c r="D79" t="s">
        <v>35</v>
      </c>
      <c r="J79">
        <f t="shared" si="4"/>
        <v>0</v>
      </c>
      <c r="L79">
        <f t="shared" si="5"/>
        <v>0</v>
      </c>
    </row>
    <row r="80" spans="1:12" x14ac:dyDescent="0.25">
      <c r="A80">
        <v>1742</v>
      </c>
      <c r="B80" t="s">
        <v>60</v>
      </c>
      <c r="C80" t="s">
        <v>100</v>
      </c>
      <c r="D80" t="s">
        <v>35</v>
      </c>
      <c r="J80">
        <f t="shared" si="4"/>
        <v>0</v>
      </c>
      <c r="L80">
        <f t="shared" si="5"/>
        <v>0</v>
      </c>
    </row>
    <row r="81" spans="1:12" x14ac:dyDescent="0.25">
      <c r="A81">
        <v>1742</v>
      </c>
      <c r="B81" t="s">
        <v>7</v>
      </c>
      <c r="C81" t="s">
        <v>100</v>
      </c>
      <c r="D81" t="s">
        <v>35</v>
      </c>
      <c r="J81">
        <f t="shared" si="4"/>
        <v>0</v>
      </c>
      <c r="L81">
        <f t="shared" si="5"/>
        <v>0</v>
      </c>
    </row>
    <row r="82" spans="1:12" x14ac:dyDescent="0.25">
      <c r="A82">
        <v>1742</v>
      </c>
      <c r="B82" t="s">
        <v>37</v>
      </c>
      <c r="C82" t="s">
        <v>100</v>
      </c>
      <c r="D82" t="s">
        <v>35</v>
      </c>
      <c r="J82">
        <f t="shared" si="4"/>
        <v>0</v>
      </c>
      <c r="L82">
        <f t="shared" si="5"/>
        <v>0</v>
      </c>
    </row>
    <row r="83" spans="1:12" x14ac:dyDescent="0.25">
      <c r="A83">
        <v>1742</v>
      </c>
      <c r="B83" t="s">
        <v>8</v>
      </c>
      <c r="C83" t="s">
        <v>100</v>
      </c>
      <c r="D83" t="s">
        <v>35</v>
      </c>
      <c r="J83">
        <f t="shared" si="4"/>
        <v>0</v>
      </c>
      <c r="L83">
        <f t="shared" si="5"/>
        <v>0</v>
      </c>
    </row>
    <row r="84" spans="1:12" x14ac:dyDescent="0.25">
      <c r="A84">
        <v>1742</v>
      </c>
      <c r="B84" t="s">
        <v>40</v>
      </c>
      <c r="C84" t="s">
        <v>100</v>
      </c>
      <c r="D84" t="s">
        <v>35</v>
      </c>
      <c r="J84">
        <f t="shared" si="4"/>
        <v>0</v>
      </c>
      <c r="L84">
        <f t="shared" si="5"/>
        <v>0</v>
      </c>
    </row>
    <row r="85" spans="1:12" x14ac:dyDescent="0.25">
      <c r="A85">
        <v>1742</v>
      </c>
      <c r="B85" t="s">
        <v>77</v>
      </c>
      <c r="C85" t="s">
        <v>100</v>
      </c>
      <c r="D85" t="s">
        <v>35</v>
      </c>
      <c r="J85">
        <f t="shared" si="4"/>
        <v>0</v>
      </c>
      <c r="L85">
        <f t="shared" si="5"/>
        <v>0</v>
      </c>
    </row>
    <row r="86" spans="1:12" x14ac:dyDescent="0.25">
      <c r="A86">
        <v>1742</v>
      </c>
      <c r="B86" t="s">
        <v>78</v>
      </c>
      <c r="C86" t="s">
        <v>100</v>
      </c>
      <c r="D86" t="s">
        <v>35</v>
      </c>
      <c r="J86">
        <f t="shared" si="4"/>
        <v>0</v>
      </c>
      <c r="L86">
        <f t="shared" si="5"/>
        <v>0</v>
      </c>
    </row>
    <row r="87" spans="1:12" x14ac:dyDescent="0.25">
      <c r="A87">
        <v>1742</v>
      </c>
      <c r="B87" t="s">
        <v>46</v>
      </c>
      <c r="C87" t="s">
        <v>100</v>
      </c>
      <c r="D87" t="s">
        <v>35</v>
      </c>
      <c r="J87">
        <f t="shared" si="4"/>
        <v>0</v>
      </c>
      <c r="L87">
        <f t="shared" si="5"/>
        <v>0</v>
      </c>
    </row>
    <row r="88" spans="1:12" x14ac:dyDescent="0.25">
      <c r="A88">
        <v>1742</v>
      </c>
      <c r="B88" t="s">
        <v>9</v>
      </c>
      <c r="C88" t="s">
        <v>100</v>
      </c>
      <c r="D88" t="s">
        <v>35</v>
      </c>
      <c r="J88">
        <f t="shared" si="4"/>
        <v>0</v>
      </c>
      <c r="L88">
        <f t="shared" si="5"/>
        <v>0</v>
      </c>
    </row>
    <row r="89" spans="1:12" x14ac:dyDescent="0.25">
      <c r="A89">
        <v>1742</v>
      </c>
      <c r="B89" t="s">
        <v>10</v>
      </c>
      <c r="C89" t="s">
        <v>100</v>
      </c>
      <c r="D89" t="s">
        <v>35</v>
      </c>
      <c r="J89">
        <f t="shared" si="4"/>
        <v>0</v>
      </c>
      <c r="L89">
        <f t="shared" si="5"/>
        <v>0</v>
      </c>
    </row>
    <row r="90" spans="1:12" x14ac:dyDescent="0.25">
      <c r="A90">
        <v>1742</v>
      </c>
      <c r="B90" t="s">
        <v>11</v>
      </c>
      <c r="C90" t="s">
        <v>100</v>
      </c>
      <c r="D90" t="s">
        <v>35</v>
      </c>
      <c r="J90">
        <f t="shared" si="4"/>
        <v>0</v>
      </c>
      <c r="L90">
        <f t="shared" si="5"/>
        <v>0</v>
      </c>
    </row>
    <row r="91" spans="1:12" x14ac:dyDescent="0.25">
      <c r="A91">
        <v>1742</v>
      </c>
      <c r="B91" t="s">
        <v>39</v>
      </c>
      <c r="C91" t="s">
        <v>100</v>
      </c>
      <c r="D91" t="s">
        <v>35</v>
      </c>
      <c r="J91">
        <f t="shared" si="4"/>
        <v>0</v>
      </c>
      <c r="L91">
        <f t="shared" si="5"/>
        <v>0</v>
      </c>
    </row>
    <row r="92" spans="1:12" x14ac:dyDescent="0.25">
      <c r="A92">
        <v>1742</v>
      </c>
      <c r="B92" t="s">
        <v>79</v>
      </c>
      <c r="C92" t="s">
        <v>100</v>
      </c>
      <c r="D92" t="s">
        <v>35</v>
      </c>
      <c r="J92">
        <f t="shared" si="4"/>
        <v>0</v>
      </c>
      <c r="L92">
        <f t="shared" si="5"/>
        <v>0</v>
      </c>
    </row>
    <row r="93" spans="1:12" x14ac:dyDescent="0.25">
      <c r="A93">
        <v>1742</v>
      </c>
      <c r="B93" t="s">
        <v>103</v>
      </c>
      <c r="C93" t="s">
        <v>100</v>
      </c>
      <c r="D93" t="s">
        <v>35</v>
      </c>
      <c r="J93">
        <f t="shared" si="4"/>
        <v>0</v>
      </c>
      <c r="L93">
        <f t="shared" si="5"/>
        <v>0</v>
      </c>
    </row>
    <row r="94" spans="1:12" x14ac:dyDescent="0.25">
      <c r="A94">
        <v>1742</v>
      </c>
      <c r="B94" t="s">
        <v>44</v>
      </c>
      <c r="C94" t="s">
        <v>100</v>
      </c>
      <c r="D94" t="s">
        <v>35</v>
      </c>
      <c r="J94">
        <f t="shared" si="4"/>
        <v>0</v>
      </c>
      <c r="L94">
        <f t="shared" si="5"/>
        <v>0</v>
      </c>
    </row>
    <row r="95" spans="1:12" x14ac:dyDescent="0.25">
      <c r="A95">
        <v>1742</v>
      </c>
      <c r="B95" t="s">
        <v>97</v>
      </c>
      <c r="C95" t="s">
        <v>100</v>
      </c>
      <c r="D95" t="s">
        <v>35</v>
      </c>
      <c r="J95">
        <f t="shared" si="4"/>
        <v>0</v>
      </c>
      <c r="L95">
        <f t="shared" si="5"/>
        <v>0</v>
      </c>
    </row>
    <row r="96" spans="1:12" x14ac:dyDescent="0.25">
      <c r="A96">
        <v>1742</v>
      </c>
      <c r="B96" t="s">
        <v>12</v>
      </c>
      <c r="C96" t="s">
        <v>100</v>
      </c>
      <c r="D96" t="s">
        <v>35</v>
      </c>
      <c r="J96">
        <f t="shared" si="4"/>
        <v>0</v>
      </c>
      <c r="L96">
        <f t="shared" si="5"/>
        <v>0</v>
      </c>
    </row>
    <row r="97" spans="1:12" x14ac:dyDescent="0.25">
      <c r="A97">
        <v>1742</v>
      </c>
      <c r="B97" t="s">
        <v>82</v>
      </c>
      <c r="C97" t="s">
        <v>100</v>
      </c>
      <c r="D97" t="s">
        <v>35</v>
      </c>
      <c r="J97">
        <f t="shared" si="4"/>
        <v>0</v>
      </c>
      <c r="L97">
        <f t="shared" si="5"/>
        <v>0</v>
      </c>
    </row>
    <row r="98" spans="1:12" x14ac:dyDescent="0.25">
      <c r="A98">
        <v>1742</v>
      </c>
      <c r="B98" t="s">
        <v>34</v>
      </c>
      <c r="C98" t="s">
        <v>100</v>
      </c>
      <c r="D98" t="s">
        <v>35</v>
      </c>
      <c r="J98">
        <f t="shared" si="4"/>
        <v>0</v>
      </c>
      <c r="L98">
        <f t="shared" si="5"/>
        <v>0</v>
      </c>
    </row>
    <row r="99" spans="1:12" x14ac:dyDescent="0.25">
      <c r="A99">
        <v>1742</v>
      </c>
      <c r="B99" t="s">
        <v>13</v>
      </c>
      <c r="C99" t="s">
        <v>100</v>
      </c>
      <c r="D99" t="s">
        <v>35</v>
      </c>
      <c r="J99">
        <f t="shared" si="4"/>
        <v>0</v>
      </c>
      <c r="L99">
        <f t="shared" si="5"/>
        <v>0</v>
      </c>
    </row>
    <row r="100" spans="1:12" x14ac:dyDescent="0.25">
      <c r="A100">
        <v>1742</v>
      </c>
      <c r="B100" t="s">
        <v>14</v>
      </c>
      <c r="C100" t="s">
        <v>100</v>
      </c>
      <c r="D100" t="s">
        <v>35</v>
      </c>
      <c r="J100">
        <f t="shared" si="4"/>
        <v>0</v>
      </c>
      <c r="L100">
        <f t="shared" si="5"/>
        <v>0</v>
      </c>
    </row>
    <row r="101" spans="1:12" x14ac:dyDescent="0.25">
      <c r="A101">
        <v>1742</v>
      </c>
      <c r="B101" t="s">
        <v>23</v>
      </c>
      <c r="C101" t="s">
        <v>100</v>
      </c>
      <c r="D101" t="s">
        <v>35</v>
      </c>
      <c r="J101">
        <f t="shared" si="4"/>
        <v>0</v>
      </c>
      <c r="L101">
        <f t="shared" si="5"/>
        <v>0</v>
      </c>
    </row>
    <row r="102" spans="1:12" x14ac:dyDescent="0.25">
      <c r="A102">
        <v>1742</v>
      </c>
      <c r="B102" t="s">
        <v>27</v>
      </c>
      <c r="C102" t="s">
        <v>100</v>
      </c>
      <c r="D102" t="s">
        <v>35</v>
      </c>
      <c r="J102">
        <f t="shared" si="4"/>
        <v>0</v>
      </c>
      <c r="L102">
        <f t="shared" si="5"/>
        <v>0</v>
      </c>
    </row>
    <row r="103" spans="1:12" x14ac:dyDescent="0.25">
      <c r="A103">
        <v>1742</v>
      </c>
      <c r="B103" t="s">
        <v>15</v>
      </c>
      <c r="C103" t="s">
        <v>100</v>
      </c>
      <c r="D103" t="s">
        <v>35</v>
      </c>
      <c r="J103">
        <f t="shared" si="4"/>
        <v>0</v>
      </c>
      <c r="L103">
        <f t="shared" si="5"/>
        <v>0</v>
      </c>
    </row>
    <row r="104" spans="1:12" x14ac:dyDescent="0.25">
      <c r="A104">
        <v>1742</v>
      </c>
      <c r="B104" t="s">
        <v>93</v>
      </c>
      <c r="C104" t="s">
        <v>100</v>
      </c>
      <c r="D104" t="s">
        <v>35</v>
      </c>
      <c r="J104">
        <f t="shared" si="4"/>
        <v>0</v>
      </c>
      <c r="L104">
        <f t="shared" si="5"/>
        <v>0</v>
      </c>
    </row>
    <row r="105" spans="1:12" x14ac:dyDescent="0.25">
      <c r="A105">
        <v>1742</v>
      </c>
      <c r="B105" t="s">
        <v>42</v>
      </c>
      <c r="C105" t="s">
        <v>100</v>
      </c>
      <c r="D105" t="s">
        <v>35</v>
      </c>
      <c r="J105">
        <f t="shared" si="4"/>
        <v>0</v>
      </c>
      <c r="L105">
        <f t="shared" si="5"/>
        <v>0</v>
      </c>
    </row>
    <row r="106" spans="1:12" x14ac:dyDescent="0.25">
      <c r="A106">
        <v>1742</v>
      </c>
      <c r="B106" t="s">
        <v>83</v>
      </c>
      <c r="C106" t="s">
        <v>100</v>
      </c>
      <c r="D106" t="s">
        <v>35</v>
      </c>
      <c r="J106">
        <f t="shared" si="4"/>
        <v>0</v>
      </c>
      <c r="L106">
        <f t="shared" si="5"/>
        <v>0</v>
      </c>
    </row>
    <row r="107" spans="1:12" x14ac:dyDescent="0.25">
      <c r="A107">
        <v>1742</v>
      </c>
      <c r="B107" t="s">
        <v>47</v>
      </c>
      <c r="C107" t="s">
        <v>100</v>
      </c>
      <c r="D107" t="s">
        <v>35</v>
      </c>
      <c r="J107">
        <f t="shared" si="4"/>
        <v>0</v>
      </c>
      <c r="L107">
        <f t="shared" si="5"/>
        <v>0</v>
      </c>
    </row>
    <row r="108" spans="1:12" x14ac:dyDescent="0.25">
      <c r="A108">
        <v>1742</v>
      </c>
      <c r="B108" t="s">
        <v>16</v>
      </c>
      <c r="C108" t="s">
        <v>100</v>
      </c>
      <c r="D108" t="s">
        <v>35</v>
      </c>
      <c r="J108">
        <f t="shared" si="4"/>
        <v>0</v>
      </c>
      <c r="L108">
        <f t="shared" si="5"/>
        <v>0</v>
      </c>
    </row>
    <row r="109" spans="1:12" x14ac:dyDescent="0.25">
      <c r="A109">
        <v>1742</v>
      </c>
      <c r="B109" t="s">
        <v>17</v>
      </c>
      <c r="C109" t="s">
        <v>100</v>
      </c>
      <c r="D109" t="s">
        <v>35</v>
      </c>
      <c r="J109">
        <f t="shared" si="4"/>
        <v>0</v>
      </c>
      <c r="L109">
        <f t="shared" si="5"/>
        <v>0</v>
      </c>
    </row>
    <row r="110" spans="1:12" x14ac:dyDescent="0.25">
      <c r="A110">
        <v>1742</v>
      </c>
      <c r="B110" t="s">
        <v>18</v>
      </c>
      <c r="C110" t="s">
        <v>100</v>
      </c>
      <c r="D110" t="s">
        <v>35</v>
      </c>
      <c r="J110">
        <f t="shared" si="4"/>
        <v>0</v>
      </c>
      <c r="L110">
        <f t="shared" si="5"/>
        <v>0</v>
      </c>
    </row>
    <row r="111" spans="1:12" x14ac:dyDescent="0.25">
      <c r="A111">
        <v>1742</v>
      </c>
      <c r="B111" t="s">
        <v>26</v>
      </c>
      <c r="C111" t="s">
        <v>100</v>
      </c>
      <c r="D111" t="s">
        <v>35</v>
      </c>
      <c r="J111">
        <f t="shared" si="4"/>
        <v>0</v>
      </c>
      <c r="L111">
        <f t="shared" si="5"/>
        <v>0</v>
      </c>
    </row>
    <row r="112" spans="1:12" x14ac:dyDescent="0.25">
      <c r="A112">
        <v>1742</v>
      </c>
      <c r="B112" t="s">
        <v>84</v>
      </c>
      <c r="C112" t="s">
        <v>100</v>
      </c>
      <c r="D112" t="s">
        <v>35</v>
      </c>
      <c r="J112">
        <f t="shared" si="4"/>
        <v>0</v>
      </c>
      <c r="L112">
        <f t="shared" si="5"/>
        <v>0</v>
      </c>
    </row>
    <row r="113" spans="1:12" x14ac:dyDescent="0.25">
      <c r="A113">
        <v>1742</v>
      </c>
      <c r="B113" t="s">
        <v>19</v>
      </c>
      <c r="C113" t="s">
        <v>100</v>
      </c>
      <c r="D113" t="s">
        <v>35</v>
      </c>
      <c r="J113">
        <f t="shared" si="4"/>
        <v>0</v>
      </c>
      <c r="L113">
        <f t="shared" si="5"/>
        <v>0</v>
      </c>
    </row>
    <row r="114" spans="1:12" x14ac:dyDescent="0.25">
      <c r="A114">
        <v>1742</v>
      </c>
      <c r="B114" t="s">
        <v>45</v>
      </c>
      <c r="C114" t="s">
        <v>100</v>
      </c>
      <c r="D114" t="s">
        <v>35</v>
      </c>
      <c r="J114">
        <f t="shared" si="4"/>
        <v>0</v>
      </c>
      <c r="L114">
        <f t="shared" si="5"/>
        <v>0</v>
      </c>
    </row>
    <row r="115" spans="1:12" x14ac:dyDescent="0.25">
      <c r="A115">
        <v>1742</v>
      </c>
      <c r="B115" t="s">
        <v>85</v>
      </c>
      <c r="C115" t="s">
        <v>100</v>
      </c>
      <c r="D115" t="s">
        <v>35</v>
      </c>
      <c r="J115">
        <f t="shared" si="4"/>
        <v>0</v>
      </c>
      <c r="L115">
        <f t="shared" si="5"/>
        <v>0</v>
      </c>
    </row>
    <row r="116" spans="1:12" x14ac:dyDescent="0.25">
      <c r="A116">
        <v>1742</v>
      </c>
      <c r="B116" t="s">
        <v>54</v>
      </c>
      <c r="C116" t="s">
        <v>100</v>
      </c>
      <c r="D116" t="s">
        <v>35</v>
      </c>
      <c r="J116">
        <f t="shared" si="4"/>
        <v>0</v>
      </c>
      <c r="L116">
        <f t="shared" si="5"/>
        <v>0</v>
      </c>
    </row>
    <row r="117" spans="1:12" x14ac:dyDescent="0.25">
      <c r="A117">
        <v>1742</v>
      </c>
      <c r="B117" t="s">
        <v>95</v>
      </c>
      <c r="C117" t="s">
        <v>100</v>
      </c>
      <c r="D117" t="s">
        <v>35</v>
      </c>
      <c r="J117">
        <f t="shared" si="4"/>
        <v>0</v>
      </c>
      <c r="L117">
        <f t="shared" si="5"/>
        <v>0</v>
      </c>
    </row>
    <row r="118" spans="1:12" x14ac:dyDescent="0.25">
      <c r="A118">
        <v>1742</v>
      </c>
      <c r="B118" t="s">
        <v>20</v>
      </c>
      <c r="C118" t="s">
        <v>100</v>
      </c>
      <c r="D118" t="s">
        <v>35</v>
      </c>
      <c r="J118">
        <f t="shared" si="4"/>
        <v>0</v>
      </c>
      <c r="L118">
        <f t="shared" si="5"/>
        <v>0</v>
      </c>
    </row>
    <row r="119" spans="1:12" x14ac:dyDescent="0.25">
      <c r="A119">
        <v>1742</v>
      </c>
      <c r="B119" t="s">
        <v>21</v>
      </c>
      <c r="C119" t="s">
        <v>100</v>
      </c>
      <c r="D119" t="s">
        <v>35</v>
      </c>
      <c r="J119">
        <f t="shared" si="4"/>
        <v>0</v>
      </c>
      <c r="L119">
        <f t="shared" si="5"/>
        <v>0</v>
      </c>
    </row>
    <row r="120" spans="1:12" x14ac:dyDescent="0.25">
      <c r="A120">
        <v>1742</v>
      </c>
      <c r="B120" t="s">
        <v>22</v>
      </c>
      <c r="C120" t="s">
        <v>100</v>
      </c>
      <c r="D120" t="s">
        <v>35</v>
      </c>
      <c r="J120">
        <f t="shared" si="4"/>
        <v>0</v>
      </c>
      <c r="L120">
        <f t="shared" si="5"/>
        <v>0</v>
      </c>
    </row>
    <row r="121" spans="1:12" x14ac:dyDescent="0.25">
      <c r="A121">
        <v>1742</v>
      </c>
      <c r="B121" t="s">
        <v>61</v>
      </c>
      <c r="C121" t="s">
        <v>100</v>
      </c>
      <c r="D121" t="s">
        <v>35</v>
      </c>
      <c r="J121">
        <f t="shared" si="4"/>
        <v>0</v>
      </c>
      <c r="L121">
        <f t="shared" si="5"/>
        <v>0</v>
      </c>
    </row>
    <row r="122" spans="1:12" x14ac:dyDescent="0.25">
      <c r="A122">
        <v>1742</v>
      </c>
      <c r="B122" t="s">
        <v>91</v>
      </c>
      <c r="C122" t="s">
        <v>100</v>
      </c>
      <c r="D122" t="s">
        <v>35</v>
      </c>
      <c r="J122">
        <f t="shared" si="4"/>
        <v>0</v>
      </c>
      <c r="L122">
        <f t="shared" si="5"/>
        <v>0</v>
      </c>
    </row>
    <row r="123" spans="1:12" x14ac:dyDescent="0.25">
      <c r="A123">
        <v>1742</v>
      </c>
      <c r="B123" t="s">
        <v>98</v>
      </c>
      <c r="C123" t="s">
        <v>100</v>
      </c>
      <c r="D123" t="s">
        <v>35</v>
      </c>
      <c r="J123">
        <f t="shared" si="4"/>
        <v>0</v>
      </c>
      <c r="L123">
        <f t="shared" si="5"/>
        <v>0</v>
      </c>
    </row>
    <row r="124" spans="1:12" x14ac:dyDescent="0.25">
      <c r="A124">
        <v>1742</v>
      </c>
      <c r="B124" t="s">
        <v>87</v>
      </c>
      <c r="C124" t="s">
        <v>100</v>
      </c>
      <c r="D124" t="s">
        <v>35</v>
      </c>
      <c r="J124">
        <f t="shared" si="4"/>
        <v>0</v>
      </c>
      <c r="L124">
        <f t="shared" si="5"/>
        <v>0</v>
      </c>
    </row>
    <row r="125" spans="1:12" x14ac:dyDescent="0.25">
      <c r="A125">
        <v>1742</v>
      </c>
      <c r="B125" t="s">
        <v>62</v>
      </c>
      <c r="C125" t="s">
        <v>100</v>
      </c>
      <c r="D125" t="s">
        <v>35</v>
      </c>
      <c r="J125">
        <f t="shared" si="4"/>
        <v>0</v>
      </c>
      <c r="L125">
        <f t="shared" si="5"/>
        <v>0</v>
      </c>
    </row>
    <row r="126" spans="1:12" x14ac:dyDescent="0.25">
      <c r="A126">
        <v>1742</v>
      </c>
      <c r="B126" t="s">
        <v>88</v>
      </c>
      <c r="C126" t="s">
        <v>100</v>
      </c>
      <c r="D126" t="s">
        <v>35</v>
      </c>
      <c r="J126">
        <f t="shared" si="4"/>
        <v>0</v>
      </c>
      <c r="L126">
        <f t="shared" si="5"/>
        <v>0</v>
      </c>
    </row>
    <row r="127" spans="1:12" x14ac:dyDescent="0.25">
      <c r="A127">
        <v>1742</v>
      </c>
      <c r="B127" t="s">
        <v>63</v>
      </c>
      <c r="C127" t="s">
        <v>100</v>
      </c>
      <c r="D127" t="s">
        <v>35</v>
      </c>
      <c r="J127">
        <f t="shared" si="4"/>
        <v>0</v>
      </c>
      <c r="L127">
        <f t="shared" si="5"/>
        <v>0</v>
      </c>
    </row>
    <row r="128" spans="1:12" x14ac:dyDescent="0.25">
      <c r="A128">
        <v>1742</v>
      </c>
      <c r="B128" t="s">
        <v>89</v>
      </c>
      <c r="C128" t="s">
        <v>100</v>
      </c>
      <c r="D128" t="s">
        <v>35</v>
      </c>
      <c r="J128">
        <f t="shared" si="4"/>
        <v>0</v>
      </c>
      <c r="L128">
        <f t="shared" si="5"/>
        <v>0</v>
      </c>
    </row>
    <row r="129" spans="1:12" x14ac:dyDescent="0.25">
      <c r="A129">
        <v>1742</v>
      </c>
      <c r="B129" t="s">
        <v>70</v>
      </c>
      <c r="C129" t="s">
        <v>100</v>
      </c>
      <c r="D129" t="s">
        <v>35</v>
      </c>
      <c r="J129">
        <f t="shared" si="4"/>
        <v>0</v>
      </c>
      <c r="L129">
        <f t="shared" si="5"/>
        <v>0</v>
      </c>
    </row>
    <row r="130" spans="1:12" x14ac:dyDescent="0.25">
      <c r="A130">
        <v>1742</v>
      </c>
      <c r="B130" t="s">
        <v>64</v>
      </c>
      <c r="C130" t="s">
        <v>100</v>
      </c>
      <c r="D130" t="s">
        <v>35</v>
      </c>
      <c r="J130">
        <f t="shared" si="4"/>
        <v>0</v>
      </c>
      <c r="L130">
        <f t="shared" si="5"/>
        <v>0</v>
      </c>
    </row>
    <row r="131" spans="1:12" x14ac:dyDescent="0.25">
      <c r="A131">
        <v>1742</v>
      </c>
      <c r="B131" t="s">
        <v>65</v>
      </c>
      <c r="C131" t="s">
        <v>100</v>
      </c>
      <c r="D131" t="s">
        <v>35</v>
      </c>
      <c r="J131">
        <f t="shared" si="4"/>
        <v>0</v>
      </c>
      <c r="L131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2025-04-30T18:38:49Z</dcterms:modified>
</cp:coreProperties>
</file>