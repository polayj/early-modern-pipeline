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1425" documentId="8_{5DB238E9-8443-40F7-BB27-B6E5C8AB85EF}" xr6:coauthVersionLast="47" xr6:coauthVersionMax="47" xr10:uidLastSave="{0F247A8E-7F01-4569-9E1B-BACC91A39457}"/>
  <bookViews>
    <workbookView xWindow="28680" yWindow="2280" windowWidth="29040" windowHeight="15840" xr2:uid="{A9AB6255-FFC3-4BA2-A4C8-A2A9711B6F5F}"/>
  </bookViews>
  <sheets>
    <sheet name="Master Goods Sheet" sheetId="12" r:id="rId1"/>
    <sheet name="Antigua" sheetId="3" r:id="rId2"/>
    <sheet name="Barbados" sheetId="4" r:id="rId3"/>
    <sheet name="Bermuda" sheetId="5" r:id="rId4"/>
    <sheet name="Carolina" sheetId="6" r:id="rId5"/>
    <sheet name="Jamaica" sheetId="7" r:id="rId6"/>
    <sheet name="Mountserat" sheetId="8" r:id="rId7"/>
    <sheet name="Nevis" sheetId="9" r:id="rId8"/>
    <sheet name="St Kitts" sheetId="10" r:id="rId9"/>
    <sheet name="NewEngland" sheetId="11" r:id="rId10"/>
  </sheets>
  <definedNames>
    <definedName name="_xlnm._FilterDatabase" localSheetId="1" hidden="1">Antigua!$A$1:$O$42</definedName>
    <definedName name="_xlnm._FilterDatabase" localSheetId="2" hidden="1">Barbados!$B$1:$L$55</definedName>
    <definedName name="_xlnm._FilterDatabase" localSheetId="3" hidden="1">Bermuda!$B$1:$L$10</definedName>
    <definedName name="_xlnm._FilterDatabase" localSheetId="4" hidden="1">Carolina!$A$1:$L$16</definedName>
    <definedName name="_xlnm._FilterDatabase" localSheetId="5" hidden="1">Jamaica!$B$1:$L$53</definedName>
    <definedName name="_xlnm._FilterDatabase" localSheetId="6" hidden="1">Mountserat!$B$1:$L$31</definedName>
    <definedName name="_xlnm._FilterDatabase" localSheetId="7" hidden="1">Nevis!$B$1:$L$31</definedName>
    <definedName name="_xlnm._FilterDatabase" localSheetId="9" hidden="1">NewEngland!$B$1:$P$28</definedName>
    <definedName name="TotalTons">Barbados!$L:$L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2" l="1"/>
  <c r="C75" i="12"/>
  <c r="B75" i="12"/>
  <c r="H100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1" i="3"/>
  <c r="L102" i="3"/>
  <c r="L103" i="3"/>
  <c r="L104" i="3"/>
  <c r="L105" i="3"/>
  <c r="L106" i="3"/>
  <c r="L107" i="3"/>
  <c r="L108" i="3"/>
  <c r="L109" i="3"/>
  <c r="L110" i="3"/>
  <c r="L111" i="3"/>
  <c r="L114" i="3"/>
  <c r="L115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2" i="3"/>
  <c r="L133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L100" i="3" s="1"/>
  <c r="J101" i="3"/>
  <c r="J102" i="3"/>
  <c r="J103" i="3"/>
  <c r="J104" i="3"/>
  <c r="J105" i="3"/>
  <c r="J106" i="3"/>
  <c r="J107" i="3"/>
  <c r="J108" i="3"/>
  <c r="J109" i="3"/>
  <c r="J110" i="3"/>
  <c r="J111" i="3"/>
  <c r="J112" i="3"/>
  <c r="L112" i="3" s="1"/>
  <c r="J113" i="3"/>
  <c r="L113" i="3" s="1"/>
  <c r="J114" i="3"/>
  <c r="J115" i="3"/>
  <c r="J116" i="3"/>
  <c r="L116" i="3" s="1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L130" i="3" s="1"/>
  <c r="J131" i="3"/>
  <c r="L131" i="3" s="1"/>
  <c r="J132" i="3"/>
  <c r="J133" i="3"/>
  <c r="J134" i="3"/>
  <c r="L134" i="3" s="1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L2" i="8"/>
  <c r="J2" i="8"/>
  <c r="G33" i="7"/>
  <c r="F33" i="7"/>
  <c r="E33" i="7"/>
  <c r="G32" i="7"/>
  <c r="F32" i="7"/>
  <c r="G30" i="7"/>
  <c r="F30" i="7"/>
  <c r="L31" i="7"/>
  <c r="L34" i="7"/>
  <c r="J30" i="7"/>
  <c r="L30" i="7" s="1"/>
  <c r="J31" i="7"/>
  <c r="J32" i="7"/>
  <c r="L32" i="7" s="1"/>
  <c r="J33" i="7"/>
  <c r="L33" i="7" s="1"/>
  <c r="J34" i="7"/>
  <c r="F34" i="4"/>
  <c r="F33" i="4"/>
  <c r="F32" i="4"/>
  <c r="J34" i="4"/>
  <c r="L34" i="4"/>
  <c r="J33" i="4"/>
  <c r="L33" i="4" s="1"/>
  <c r="J32" i="4"/>
  <c r="L32" i="4" s="1"/>
  <c r="H13" i="4"/>
  <c r="J13" i="4" s="1"/>
  <c r="L13" i="4" s="1"/>
  <c r="H5" i="4"/>
  <c r="H2" i="4"/>
  <c r="J30" i="4"/>
  <c r="L30" i="4" s="1"/>
  <c r="J5" i="4"/>
  <c r="L5" i="4" s="1"/>
  <c r="J2" i="4"/>
  <c r="L2" i="4" s="1"/>
  <c r="H59" i="3"/>
  <c r="G21" i="3"/>
  <c r="F21" i="3"/>
  <c r="H27" i="3"/>
  <c r="H57" i="3"/>
  <c r="H58" i="3"/>
  <c r="G53" i="3"/>
  <c r="F53" i="3"/>
  <c r="F39" i="3"/>
  <c r="G61" i="3"/>
  <c r="F61" i="3"/>
  <c r="H16" i="3"/>
  <c r="F16" i="3"/>
  <c r="F43" i="3"/>
  <c r="H28" i="3"/>
  <c r="F28" i="3"/>
  <c r="H19" i="3"/>
  <c r="G14" i="3"/>
  <c r="F14" i="3"/>
  <c r="H56" i="3"/>
  <c r="H36" i="3"/>
  <c r="H61" i="3"/>
  <c r="F29" i="3"/>
  <c r="L11" i="3"/>
  <c r="L12" i="3"/>
  <c r="L13" i="3"/>
  <c r="L15" i="3"/>
  <c r="L17" i="3"/>
  <c r="L18" i="3"/>
  <c r="L19" i="3"/>
  <c r="L20" i="3"/>
  <c r="L21" i="3"/>
  <c r="L22" i="3"/>
  <c r="L23" i="3"/>
  <c r="L24" i="3"/>
  <c r="L25" i="3"/>
  <c r="L26" i="3"/>
  <c r="L30" i="3"/>
  <c r="L31" i="3"/>
  <c r="L32" i="3"/>
  <c r="L33" i="3"/>
  <c r="L34" i="3"/>
  <c r="L35" i="3"/>
  <c r="L37" i="3"/>
  <c r="L38" i="3"/>
  <c r="L41" i="3"/>
  <c r="L42" i="3"/>
  <c r="L44" i="3"/>
  <c r="L45" i="3"/>
  <c r="L46" i="3"/>
  <c r="L47" i="3"/>
  <c r="L48" i="3"/>
  <c r="L49" i="3"/>
  <c r="L50" i="3"/>
  <c r="L52" i="3"/>
  <c r="L54" i="3"/>
  <c r="L55" i="3"/>
  <c r="L60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J11" i="3"/>
  <c r="J12" i="3"/>
  <c r="J13" i="3"/>
  <c r="J14" i="3"/>
  <c r="L14" i="3" s="1"/>
  <c r="J15" i="3"/>
  <c r="J16" i="3"/>
  <c r="L16" i="3" s="1"/>
  <c r="J17" i="3"/>
  <c r="J18" i="3"/>
  <c r="J19" i="3"/>
  <c r="J20" i="3"/>
  <c r="J21" i="3"/>
  <c r="J22" i="3"/>
  <c r="J23" i="3"/>
  <c r="J24" i="3"/>
  <c r="J25" i="3"/>
  <c r="J26" i="3"/>
  <c r="J27" i="3"/>
  <c r="L27" i="3" s="1"/>
  <c r="J28" i="3"/>
  <c r="L28" i="3" s="1"/>
  <c r="J29" i="3"/>
  <c r="L29" i="3" s="1"/>
  <c r="J30" i="3"/>
  <c r="J31" i="3"/>
  <c r="J32" i="3"/>
  <c r="J33" i="3"/>
  <c r="J34" i="3"/>
  <c r="J35" i="3"/>
  <c r="J36" i="3"/>
  <c r="L36" i="3" s="1"/>
  <c r="J37" i="3"/>
  <c r="J38" i="3"/>
  <c r="J39" i="3"/>
  <c r="L39" i="3" s="1"/>
  <c r="J40" i="3"/>
  <c r="L40" i="3" s="1"/>
  <c r="J41" i="3"/>
  <c r="J42" i="3"/>
  <c r="J43" i="3"/>
  <c r="L43" i="3" s="1"/>
  <c r="J44" i="3"/>
  <c r="J45" i="3"/>
  <c r="J46" i="3"/>
  <c r="J47" i="3"/>
  <c r="J48" i="3"/>
  <c r="J49" i="3"/>
  <c r="J50" i="3"/>
  <c r="J51" i="3"/>
  <c r="L51" i="3" s="1"/>
  <c r="J52" i="3"/>
  <c r="J53" i="3"/>
  <c r="L53" i="3" s="1"/>
  <c r="J54" i="3"/>
  <c r="J55" i="3"/>
  <c r="J56" i="3"/>
  <c r="L56" i="3" s="1"/>
  <c r="J57" i="3"/>
  <c r="L57" i="3" s="1"/>
  <c r="J58" i="3"/>
  <c r="L58" i="3" s="1"/>
  <c r="J59" i="3"/>
  <c r="L59" i="3" s="1"/>
  <c r="J60" i="3"/>
  <c r="J61" i="3"/>
  <c r="L61" i="3" s="1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2" i="3" l="1"/>
  <c r="L2" i="3" s="1"/>
  <c r="J3" i="3"/>
  <c r="L3" i="3" s="1"/>
  <c r="B3" i="12" s="1"/>
  <c r="C3" i="12"/>
  <c r="C4" i="12"/>
  <c r="C6" i="12"/>
  <c r="C7" i="12"/>
  <c r="C8" i="12"/>
  <c r="C9" i="12"/>
  <c r="C10" i="12"/>
  <c r="C11" i="12"/>
  <c r="C12" i="12"/>
  <c r="C13" i="12"/>
  <c r="C14" i="12"/>
  <c r="C15" i="12"/>
  <c r="C17" i="12"/>
  <c r="C18" i="12"/>
  <c r="C20" i="12"/>
  <c r="C22" i="12"/>
  <c r="C23" i="12"/>
  <c r="C24" i="12"/>
  <c r="C25" i="12"/>
  <c r="C26" i="12"/>
  <c r="C30" i="12"/>
  <c r="C31" i="12"/>
  <c r="C32" i="12"/>
  <c r="C33" i="12"/>
  <c r="C34" i="12"/>
  <c r="C35" i="12"/>
  <c r="C37" i="12"/>
  <c r="C38" i="12"/>
  <c r="C41" i="12"/>
  <c r="C42" i="12"/>
  <c r="C44" i="12"/>
  <c r="C45" i="12"/>
  <c r="C46" i="12"/>
  <c r="C47" i="12"/>
  <c r="C49" i="12"/>
  <c r="C52" i="12"/>
  <c r="C54" i="12"/>
  <c r="C55" i="12"/>
  <c r="C57" i="12"/>
  <c r="C60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B9" i="12"/>
  <c r="B10" i="12"/>
  <c r="B11" i="12"/>
  <c r="B12" i="12"/>
  <c r="B13" i="12"/>
  <c r="B15" i="12"/>
  <c r="B18" i="12"/>
  <c r="B20" i="12"/>
  <c r="B22" i="12"/>
  <c r="B23" i="12"/>
  <c r="B24" i="12"/>
  <c r="B25" i="12"/>
  <c r="B26" i="12"/>
  <c r="B30" i="12"/>
  <c r="B31" i="12"/>
  <c r="B32" i="12"/>
  <c r="B33" i="12"/>
  <c r="D33" i="12" s="1"/>
  <c r="B34" i="12"/>
  <c r="B35" i="12"/>
  <c r="B37" i="12"/>
  <c r="B45" i="12"/>
  <c r="B46" i="12"/>
  <c r="B47" i="12"/>
  <c r="B49" i="12"/>
  <c r="B55" i="12"/>
  <c r="D55" i="12" s="1"/>
  <c r="B57" i="12"/>
  <c r="B60" i="12"/>
  <c r="B62" i="12"/>
  <c r="B63" i="12"/>
  <c r="B64" i="12"/>
  <c r="B65" i="12"/>
  <c r="B66" i="12"/>
  <c r="B67" i="12"/>
  <c r="B68" i="12"/>
  <c r="B69" i="12"/>
  <c r="B70" i="12"/>
  <c r="B71" i="12"/>
  <c r="B72" i="12"/>
  <c r="D72" i="12" s="1"/>
  <c r="B73" i="12"/>
  <c r="B74" i="12"/>
  <c r="H6" i="11"/>
  <c r="H5" i="9"/>
  <c r="H5" i="8"/>
  <c r="H10" i="7"/>
  <c r="J10" i="7" s="1"/>
  <c r="H10" i="4"/>
  <c r="J6" i="9"/>
  <c r="D73" i="12" l="1"/>
  <c r="D37" i="12"/>
  <c r="D22" i="12"/>
  <c r="D74" i="12"/>
  <c r="D35" i="12"/>
  <c r="D23" i="12"/>
  <c r="D70" i="12"/>
  <c r="D20" i="12"/>
  <c r="D63" i="12"/>
  <c r="D60" i="12"/>
  <c r="D26" i="12"/>
  <c r="D10" i="12"/>
  <c r="D68" i="12"/>
  <c r="D49" i="12"/>
  <c r="D12" i="12"/>
  <c r="D64" i="12"/>
  <c r="D45" i="12"/>
  <c r="D13" i="12"/>
  <c r="D24" i="12"/>
  <c r="D9" i="12"/>
  <c r="D25" i="12"/>
  <c r="D57" i="12"/>
  <c r="D71" i="12"/>
  <c r="D66" i="12"/>
  <c r="D47" i="12"/>
  <c r="D31" i="12"/>
  <c r="D15" i="12"/>
  <c r="D32" i="12"/>
  <c r="D67" i="12"/>
  <c r="D3" i="12"/>
  <c r="D46" i="12"/>
  <c r="D62" i="12"/>
  <c r="D11" i="12"/>
  <c r="D30" i="12"/>
  <c r="D65" i="12"/>
  <c r="D69" i="12"/>
  <c r="D34" i="12"/>
  <c r="D18" i="12"/>
  <c r="J12" i="11"/>
  <c r="J6" i="11"/>
  <c r="L6" i="11" s="1"/>
  <c r="J12" i="9"/>
  <c r="L12" i="9" s="1"/>
  <c r="J25" i="9"/>
  <c r="L25" i="9" s="1"/>
  <c r="J9" i="9"/>
  <c r="L9" i="9" s="1"/>
  <c r="J5" i="9"/>
  <c r="L5" i="9" s="1"/>
  <c r="J14" i="8"/>
  <c r="L14" i="8" s="1"/>
  <c r="J27" i="8"/>
  <c r="L27" i="8" s="1"/>
  <c r="J10" i="8"/>
  <c r="L10" i="8" s="1"/>
  <c r="J5" i="8"/>
  <c r="L5" i="8" s="1"/>
  <c r="J49" i="4"/>
  <c r="L49" i="4" s="1"/>
  <c r="J25" i="4"/>
  <c r="L25" i="4" s="1"/>
  <c r="J46" i="4"/>
  <c r="L46" i="4" s="1"/>
  <c r="C40" i="12" s="1"/>
  <c r="J17" i="4"/>
  <c r="L17" i="4" s="1"/>
  <c r="J15" i="4"/>
  <c r="L15" i="4" s="1"/>
  <c r="B38" i="12" s="1"/>
  <c r="D38" i="12" s="1"/>
  <c r="J10" i="4"/>
  <c r="L10" i="4" s="1"/>
  <c r="J43" i="7"/>
  <c r="L43" i="7" s="1"/>
  <c r="J15" i="7"/>
  <c r="L15" i="7" s="1"/>
  <c r="J4" i="7"/>
  <c r="L4" i="7" s="1"/>
  <c r="J27" i="9"/>
  <c r="L27" i="9" s="1"/>
  <c r="H38" i="7"/>
  <c r="J38" i="7" s="1"/>
  <c r="L38" i="7" s="1"/>
  <c r="H48" i="7"/>
  <c r="J48" i="7" s="1"/>
  <c r="L48" i="7" s="1"/>
  <c r="C56" i="12" s="1"/>
  <c r="H51" i="7"/>
  <c r="J51" i="7" s="1"/>
  <c r="L51" i="7" s="1"/>
  <c r="H41" i="7"/>
  <c r="J41" i="7" s="1"/>
  <c r="L41" i="7" s="1"/>
  <c r="F35" i="7"/>
  <c r="J35" i="7" s="1"/>
  <c r="L35" i="7" s="1"/>
  <c r="J28" i="7"/>
  <c r="L28" i="7" s="1"/>
  <c r="J42" i="7"/>
  <c r="L42" i="7" s="1"/>
  <c r="J40" i="7"/>
  <c r="L40" i="7" s="1"/>
  <c r="J39" i="7"/>
  <c r="L39" i="7" s="1"/>
  <c r="J44" i="7"/>
  <c r="L44" i="7" s="1"/>
  <c r="J53" i="7"/>
  <c r="L53" i="7" s="1"/>
  <c r="J49" i="7"/>
  <c r="L49" i="7" s="1"/>
  <c r="J47" i="7"/>
  <c r="L47" i="7" s="1"/>
  <c r="J36" i="7"/>
  <c r="L36" i="7" s="1"/>
  <c r="J37" i="7"/>
  <c r="L37" i="7" s="1"/>
  <c r="J45" i="7"/>
  <c r="L45" i="7" s="1"/>
  <c r="J46" i="7"/>
  <c r="L46" i="7" s="1"/>
  <c r="J50" i="7"/>
  <c r="L50" i="7" s="1"/>
  <c r="J52" i="7"/>
  <c r="L52" i="7" s="1"/>
  <c r="J8" i="3"/>
  <c r="L8" i="3" s="1"/>
  <c r="J28" i="11"/>
  <c r="L28" i="11" s="1"/>
  <c r="J23" i="11"/>
  <c r="L23" i="11" s="1"/>
  <c r="J27" i="11"/>
  <c r="L27" i="11" s="1"/>
  <c r="J25" i="11"/>
  <c r="L25" i="11" s="1"/>
  <c r="H19" i="11"/>
  <c r="J19" i="11" s="1"/>
  <c r="L19" i="11" s="1"/>
  <c r="F14" i="11"/>
  <c r="J14" i="11" s="1"/>
  <c r="L14" i="11" s="1"/>
  <c r="H11" i="9"/>
  <c r="F11" i="9"/>
  <c r="H15" i="9"/>
  <c r="J15" i="9" s="1"/>
  <c r="L15" i="9" s="1"/>
  <c r="F8" i="9"/>
  <c r="J8" i="9" s="1"/>
  <c r="L8" i="9" s="1"/>
  <c r="H7" i="9"/>
  <c r="J7" i="9" s="1"/>
  <c r="L7" i="9" s="1"/>
  <c r="J3" i="8"/>
  <c r="L3" i="8" s="1"/>
  <c r="J4" i="8"/>
  <c r="L4" i="8" s="1"/>
  <c r="H27" i="7"/>
  <c r="J27" i="7" s="1"/>
  <c r="L27" i="7" s="1"/>
  <c r="H21" i="7"/>
  <c r="J21" i="7" s="1"/>
  <c r="L21" i="7" s="1"/>
  <c r="B52" i="12" s="1"/>
  <c r="D52" i="12" s="1"/>
  <c r="H18" i="7"/>
  <c r="J18" i="7" s="1"/>
  <c r="L18" i="7" s="1"/>
  <c r="J5" i="7"/>
  <c r="L5" i="7" s="1"/>
  <c r="J16" i="7"/>
  <c r="L16" i="7" s="1"/>
  <c r="F11" i="7"/>
  <c r="J11" i="7" s="1"/>
  <c r="L11" i="7" s="1"/>
  <c r="F12" i="7"/>
  <c r="J12" i="7" s="1"/>
  <c r="L12" i="7" s="1"/>
  <c r="H2" i="7"/>
  <c r="J2" i="7" s="1"/>
  <c r="L2" i="7" s="1"/>
  <c r="J9" i="6"/>
  <c r="L9" i="6" s="1"/>
  <c r="J4" i="3"/>
  <c r="L4" i="3" s="1"/>
  <c r="J26" i="8"/>
  <c r="L26" i="8" s="1"/>
  <c r="J23" i="8"/>
  <c r="L23" i="8" s="1"/>
  <c r="J28" i="8"/>
  <c r="L28" i="8" s="1"/>
  <c r="J21" i="8"/>
  <c r="L21" i="8" s="1"/>
  <c r="J31" i="8"/>
  <c r="L31" i="8" s="1"/>
  <c r="J39" i="4"/>
  <c r="L39" i="4" s="1"/>
  <c r="J2" i="11"/>
  <c r="L2" i="11" s="1"/>
  <c r="J8" i="11"/>
  <c r="L8" i="11" s="1"/>
  <c r="J7" i="11"/>
  <c r="L7" i="11" s="1"/>
  <c r="J13" i="11"/>
  <c r="L13" i="11" s="1"/>
  <c r="J18" i="11"/>
  <c r="L18" i="11" s="1"/>
  <c r="J21" i="11"/>
  <c r="L21" i="11" s="1"/>
  <c r="J9" i="11"/>
  <c r="L9" i="11" s="1"/>
  <c r="J17" i="11"/>
  <c r="L17" i="11" s="1"/>
  <c r="J16" i="11"/>
  <c r="L16" i="11" s="1"/>
  <c r="J10" i="11"/>
  <c r="L10" i="11" s="1"/>
  <c r="J4" i="11"/>
  <c r="L4" i="11" s="1"/>
  <c r="J3" i="11"/>
  <c r="L3" i="11" s="1"/>
  <c r="J20" i="11"/>
  <c r="L20" i="11" s="1"/>
  <c r="J5" i="11"/>
  <c r="L5" i="11" s="1"/>
  <c r="J15" i="11"/>
  <c r="L15" i="11" s="1"/>
  <c r="L12" i="11"/>
  <c r="J24" i="11"/>
  <c r="L24" i="11" s="1"/>
  <c r="J26" i="11"/>
  <c r="L26" i="11" s="1"/>
  <c r="J22" i="11"/>
  <c r="L22" i="11" s="1"/>
  <c r="J2" i="9"/>
  <c r="L2" i="9" s="1"/>
  <c r="J7" i="8"/>
  <c r="L7" i="8" s="1"/>
  <c r="J17" i="8"/>
  <c r="L17" i="8" s="1"/>
  <c r="J6" i="8"/>
  <c r="L6" i="8" s="1"/>
  <c r="J11" i="8"/>
  <c r="L11" i="8" s="1"/>
  <c r="J12" i="8"/>
  <c r="L12" i="8" s="1"/>
  <c r="J20" i="8"/>
  <c r="L20" i="8" s="1"/>
  <c r="J8" i="8"/>
  <c r="L8" i="8" s="1"/>
  <c r="J15" i="8"/>
  <c r="L15" i="8" s="1"/>
  <c r="J16" i="8"/>
  <c r="L16" i="8" s="1"/>
  <c r="J18" i="8"/>
  <c r="L18" i="8" s="1"/>
  <c r="J13" i="8"/>
  <c r="L13" i="8" s="1"/>
  <c r="J19" i="8"/>
  <c r="L19" i="8" s="1"/>
  <c r="J24" i="8"/>
  <c r="L24" i="8" s="1"/>
  <c r="J23" i="7"/>
  <c r="L23" i="7" s="1"/>
  <c r="B54" i="12" s="1"/>
  <c r="D54" i="12" s="1"/>
  <c r="J6" i="7"/>
  <c r="L6" i="7" s="1"/>
  <c r="B17" i="12" s="1"/>
  <c r="D17" i="12" s="1"/>
  <c r="J4" i="6"/>
  <c r="L4" i="6" s="1"/>
  <c r="J2" i="5"/>
  <c r="L2" i="5" s="1"/>
  <c r="J4" i="4"/>
  <c r="L4" i="4" s="1"/>
  <c r="J30" i="9"/>
  <c r="L30" i="9" s="1"/>
  <c r="J29" i="9"/>
  <c r="L29" i="9" s="1"/>
  <c r="J21" i="9"/>
  <c r="L21" i="9" s="1"/>
  <c r="J22" i="9"/>
  <c r="L22" i="9" s="1"/>
  <c r="J28" i="9"/>
  <c r="L28" i="9" s="1"/>
  <c r="J23" i="9"/>
  <c r="L23" i="9" s="1"/>
  <c r="J31" i="9"/>
  <c r="L31" i="9" s="1"/>
  <c r="J19" i="9"/>
  <c r="L19" i="9" s="1"/>
  <c r="J26" i="9"/>
  <c r="L26" i="9" s="1"/>
  <c r="J24" i="9"/>
  <c r="L24" i="9" s="1"/>
  <c r="J20" i="9"/>
  <c r="L20" i="9" s="1"/>
  <c r="J3" i="9"/>
  <c r="L3" i="9" s="1"/>
  <c r="J17" i="9"/>
  <c r="L17" i="9" s="1"/>
  <c r="J14" i="9"/>
  <c r="L14" i="9" s="1"/>
  <c r="J4" i="9"/>
  <c r="L4" i="9" s="1"/>
  <c r="J16" i="9"/>
  <c r="L16" i="9" s="1"/>
  <c r="J13" i="9"/>
  <c r="L13" i="9" s="1"/>
  <c r="J18" i="9"/>
  <c r="L18" i="9" s="1"/>
  <c r="J10" i="9"/>
  <c r="L10" i="9" s="1"/>
  <c r="L6" i="9"/>
  <c r="J29" i="8"/>
  <c r="L29" i="8" s="1"/>
  <c r="J25" i="8"/>
  <c r="L25" i="8" s="1"/>
  <c r="J30" i="8"/>
  <c r="L30" i="8" s="1"/>
  <c r="J22" i="8"/>
  <c r="L22" i="8" s="1"/>
  <c r="J6" i="5"/>
  <c r="L6" i="5" s="1"/>
  <c r="J7" i="5"/>
  <c r="L7" i="5" s="1"/>
  <c r="J9" i="5"/>
  <c r="J10" i="5"/>
  <c r="J48" i="4"/>
  <c r="L48" i="4" s="1"/>
  <c r="C48" i="12" s="1"/>
  <c r="J53" i="4"/>
  <c r="L53" i="4" s="1"/>
  <c r="J42" i="4"/>
  <c r="L42" i="4" s="1"/>
  <c r="C29" i="12" s="1"/>
  <c r="J41" i="4"/>
  <c r="L41" i="4" s="1"/>
  <c r="J36" i="4"/>
  <c r="L36" i="4" s="1"/>
  <c r="C16" i="12" s="1"/>
  <c r="J55" i="4"/>
  <c r="L55" i="4" s="1"/>
  <c r="J47" i="4"/>
  <c r="L47" i="4" s="1"/>
  <c r="J52" i="4"/>
  <c r="L52" i="4" s="1"/>
  <c r="J35" i="4"/>
  <c r="L35" i="4" s="1"/>
  <c r="J10" i="3"/>
  <c r="L10" i="3" s="1"/>
  <c r="J7" i="3"/>
  <c r="L7" i="3" s="1"/>
  <c r="B7" i="12" s="1"/>
  <c r="D7" i="12" s="1"/>
  <c r="J9" i="3"/>
  <c r="L9" i="3" s="1"/>
  <c r="J17" i="7"/>
  <c r="L17" i="7" s="1"/>
  <c r="J29" i="7"/>
  <c r="L29" i="7" s="1"/>
  <c r="J19" i="7"/>
  <c r="L19" i="7" s="1"/>
  <c r="J8" i="7"/>
  <c r="L8" i="7" s="1"/>
  <c r="J14" i="7"/>
  <c r="L14" i="7" s="1"/>
  <c r="J6" i="6"/>
  <c r="L6" i="6" s="1"/>
  <c r="J2" i="6"/>
  <c r="L2" i="6" s="1"/>
  <c r="B16" i="12" s="1"/>
  <c r="J4" i="5"/>
  <c r="L4" i="5" s="1"/>
  <c r="J8" i="5"/>
  <c r="L8" i="5" s="1"/>
  <c r="J23" i="4"/>
  <c r="L23" i="4" s="1"/>
  <c r="J24" i="4"/>
  <c r="L24" i="4" s="1"/>
  <c r="B50" i="12" s="1"/>
  <c r="J14" i="4"/>
  <c r="L14" i="4" s="1"/>
  <c r="J9" i="4"/>
  <c r="L9" i="4" s="1"/>
  <c r="J16" i="4"/>
  <c r="L16" i="4" s="1"/>
  <c r="J8" i="6"/>
  <c r="L8" i="6" s="1"/>
  <c r="J3" i="6"/>
  <c r="L3" i="6" s="1"/>
  <c r="J7" i="6"/>
  <c r="L7" i="6" s="1"/>
  <c r="B48" i="12" s="1"/>
  <c r="J10" i="6"/>
  <c r="L10" i="6" s="1"/>
  <c r="J12" i="6"/>
  <c r="L12" i="6" s="1"/>
  <c r="J14" i="6"/>
  <c r="L14" i="6" s="1"/>
  <c r="J13" i="6"/>
  <c r="L13" i="6" s="1"/>
  <c r="C50" i="12" s="1"/>
  <c r="J11" i="6"/>
  <c r="L11" i="6" s="1"/>
  <c r="J15" i="6"/>
  <c r="L15" i="6" s="1"/>
  <c r="J16" i="6"/>
  <c r="L16" i="6" s="1"/>
  <c r="J22" i="4"/>
  <c r="L22" i="4" s="1"/>
  <c r="B44" i="12" s="1"/>
  <c r="D44" i="12" s="1"/>
  <c r="J26" i="4"/>
  <c r="L26" i="4" s="1"/>
  <c r="J27" i="4"/>
  <c r="L27" i="4" s="1"/>
  <c r="J28" i="4"/>
  <c r="L28" i="4" s="1"/>
  <c r="J19" i="4"/>
  <c r="L19" i="4" s="1"/>
  <c r="B42" i="12" s="1"/>
  <c r="D42" i="12" s="1"/>
  <c r="J7" i="4"/>
  <c r="L7" i="4" s="1"/>
  <c r="J8" i="4"/>
  <c r="L8" i="4" s="1"/>
  <c r="J6" i="4"/>
  <c r="L6" i="4" s="1"/>
  <c r="J29" i="4"/>
  <c r="L29" i="4" s="1"/>
  <c r="J45" i="4"/>
  <c r="L45" i="4" s="1"/>
  <c r="J43" i="4"/>
  <c r="L43" i="4" s="1"/>
  <c r="J50" i="4"/>
  <c r="L50" i="4" s="1"/>
  <c r="C53" i="12" s="1"/>
  <c r="J51" i="4"/>
  <c r="L51" i="4" s="1"/>
  <c r="J37" i="4"/>
  <c r="L37" i="4" s="1"/>
  <c r="C19" i="12" s="1"/>
  <c r="J38" i="4"/>
  <c r="L38" i="4" s="1"/>
  <c r="C21" i="12" s="1"/>
  <c r="J40" i="4"/>
  <c r="L40" i="4" s="1"/>
  <c r="C27" i="12" s="1"/>
  <c r="J54" i="4"/>
  <c r="L54" i="4" s="1"/>
  <c r="J11" i="11"/>
  <c r="L11" i="11" s="1"/>
  <c r="J9" i="8"/>
  <c r="L9" i="8" s="1"/>
  <c r="J3" i="7"/>
  <c r="L3" i="7" s="1"/>
  <c r="J9" i="7"/>
  <c r="L9" i="7" s="1"/>
  <c r="H3" i="10"/>
  <c r="J3" i="10" s="1"/>
  <c r="H4" i="10"/>
  <c r="J4" i="10" s="1"/>
  <c r="H5" i="10"/>
  <c r="J5" i="10" s="1"/>
  <c r="H6" i="10"/>
  <c r="J6" i="10" s="1"/>
  <c r="H7" i="10"/>
  <c r="J7" i="10" s="1"/>
  <c r="H2" i="10"/>
  <c r="J2" i="10" s="1"/>
  <c r="J20" i="7"/>
  <c r="L20" i="7" s="1"/>
  <c r="J7" i="7"/>
  <c r="L7" i="7" s="1"/>
  <c r="L10" i="7"/>
  <c r="J26" i="7"/>
  <c r="L26" i="7" s="1"/>
  <c r="J24" i="7"/>
  <c r="L24" i="7" s="1"/>
  <c r="B56" i="12" s="1"/>
  <c r="D56" i="12" s="1"/>
  <c r="J22" i="7"/>
  <c r="L22" i="7" s="1"/>
  <c r="J13" i="7"/>
  <c r="L13" i="7" s="1"/>
  <c r="J25" i="7"/>
  <c r="L25" i="7" s="1"/>
  <c r="J5" i="6"/>
  <c r="L5" i="6" s="1"/>
  <c r="J5" i="5"/>
  <c r="L5" i="5" s="1"/>
  <c r="J3" i="5"/>
  <c r="L3" i="5" s="1"/>
  <c r="J18" i="4"/>
  <c r="L18" i="4" s="1"/>
  <c r="B41" i="12" s="1"/>
  <c r="D41" i="12" s="1"/>
  <c r="J31" i="4"/>
  <c r="L31" i="4" s="1"/>
  <c r="J21" i="4"/>
  <c r="L21" i="4" s="1"/>
  <c r="J20" i="4"/>
  <c r="L20" i="4" s="1"/>
  <c r="J11" i="4"/>
  <c r="L11" i="4" s="1"/>
  <c r="J12" i="4"/>
  <c r="L12" i="4" s="1"/>
  <c r="J3" i="4"/>
  <c r="L3" i="4" s="1"/>
  <c r="J5" i="3"/>
  <c r="L5" i="3" s="1"/>
  <c r="J6" i="3"/>
  <c r="L6" i="3" s="1"/>
  <c r="B40" i="12" l="1"/>
  <c r="D40" i="12" s="1"/>
  <c r="D50" i="12"/>
  <c r="C28" i="12"/>
  <c r="B43" i="12"/>
  <c r="B28" i="12"/>
  <c r="C39" i="12"/>
  <c r="B21" i="12"/>
  <c r="D21" i="12" s="1"/>
  <c r="C36" i="12"/>
  <c r="B19" i="12"/>
  <c r="D19" i="12" s="1"/>
  <c r="B39" i="12"/>
  <c r="B36" i="12"/>
  <c r="B27" i="12"/>
  <c r="D27" i="12" s="1"/>
  <c r="C43" i="12"/>
  <c r="B53" i="12"/>
  <c r="D53" i="12" s="1"/>
  <c r="B14" i="12"/>
  <c r="D14" i="12" s="1"/>
  <c r="B51" i="12"/>
  <c r="C51" i="12"/>
  <c r="B29" i="12"/>
  <c r="D29" i="12" s="1"/>
  <c r="D16" i="12"/>
  <c r="D48" i="12"/>
  <c r="C61" i="12"/>
  <c r="C2" i="12"/>
  <c r="C5" i="12"/>
  <c r="C59" i="12"/>
  <c r="B58" i="12"/>
  <c r="B4" i="12"/>
  <c r="D4" i="12" s="1"/>
  <c r="C58" i="12"/>
  <c r="B8" i="12"/>
  <c r="D8" i="12" s="1"/>
  <c r="B59" i="12"/>
  <c r="B5" i="12"/>
  <c r="B61" i="12"/>
  <c r="B6" i="12"/>
  <c r="D6" i="12" s="1"/>
  <c r="J11" i="9"/>
  <c r="L11" i="9" s="1"/>
  <c r="B2" i="12"/>
  <c r="P11" i="11"/>
  <c r="N11" i="11"/>
  <c r="D28" i="12" l="1"/>
  <c r="D36" i="12"/>
  <c r="D39" i="12"/>
  <c r="D43" i="12"/>
  <c r="D51" i="12"/>
  <c r="D61" i="12"/>
  <c r="D2" i="12"/>
  <c r="D5" i="12"/>
  <c r="D59" i="12"/>
  <c r="D58" i="12"/>
</calcChain>
</file>

<file path=xl/sharedStrings.xml><?xml version="1.0" encoding="utf-8"?>
<sst xmlns="http://schemas.openxmlformats.org/spreadsheetml/2006/main" count="1290" uniqueCount="153">
  <si>
    <t>Items</t>
  </si>
  <si>
    <t>Import Location</t>
  </si>
  <si>
    <t>1700 Ton</t>
  </si>
  <si>
    <t>1700 hh</t>
  </si>
  <si>
    <t>1700 quarter</t>
  </si>
  <si>
    <t>Total Pounds</t>
  </si>
  <si>
    <t>Total Tons</t>
  </si>
  <si>
    <t>London</t>
  </si>
  <si>
    <t>Indigo</t>
  </si>
  <si>
    <t>Cotton</t>
  </si>
  <si>
    <t>Elephants Teeth</t>
  </si>
  <si>
    <t>Out Ports</t>
  </si>
  <si>
    <t>Bees Wax</t>
  </si>
  <si>
    <t>Succads</t>
  </si>
  <si>
    <t>Raisins</t>
  </si>
  <si>
    <t>Chocolate</t>
  </si>
  <si>
    <t>Dry Ginger</t>
  </si>
  <si>
    <t>Molasses</t>
  </si>
  <si>
    <t>Brown Sugar</t>
  </si>
  <si>
    <t>White Sugar</t>
  </si>
  <si>
    <t>Oranges</t>
  </si>
  <si>
    <t>Tobacco</t>
  </si>
  <si>
    <t>Lime Juice</t>
  </si>
  <si>
    <t>Rum</t>
  </si>
  <si>
    <t>Tortoise Shell</t>
  </si>
  <si>
    <t>Shruff</t>
  </si>
  <si>
    <t>Elephant Teeth</t>
  </si>
  <si>
    <t>Annatto</t>
  </si>
  <si>
    <t>Rice</t>
  </si>
  <si>
    <t>Sugar Loaf</t>
  </si>
  <si>
    <t>Madera Wine</t>
  </si>
  <si>
    <t>Loaf Sugar</t>
  </si>
  <si>
    <t>Bayberry Wax</t>
  </si>
  <si>
    <t>Cocoa Past</t>
  </si>
  <si>
    <t>Pimento</t>
  </si>
  <si>
    <t>1700 Stone/lb/oz?</t>
  </si>
  <si>
    <t>Sope Berries</t>
  </si>
  <si>
    <t>Lemon Juice</t>
  </si>
  <si>
    <t>Lignum Vitae</t>
  </si>
  <si>
    <t>Snuff</t>
  </si>
  <si>
    <t>Cocoa Nuts</t>
  </si>
  <si>
    <t>Not Sugar</t>
  </si>
  <si>
    <t>Sugar</t>
  </si>
  <si>
    <t>Tea</t>
  </si>
  <si>
    <t>Succand</t>
  </si>
  <si>
    <t>Corrants? Currants?</t>
  </si>
  <si>
    <t>Muscavado Sugar</t>
  </si>
  <si>
    <t>hh</t>
  </si>
  <si>
    <t>quarter</t>
  </si>
  <si>
    <t>Cockeneal</t>
  </si>
  <si>
    <t>Hopps</t>
  </si>
  <si>
    <t>20 gal</t>
  </si>
  <si>
    <t>244 gal</t>
  </si>
  <si>
    <t>1000#</t>
  </si>
  <si>
    <t>Muscovado Sugar</t>
  </si>
  <si>
    <t xml:space="preserve"> quarter</t>
  </si>
  <si>
    <t>Brandy</t>
  </si>
  <si>
    <t>40 gal</t>
  </si>
  <si>
    <t>Cascarilla</t>
  </si>
  <si>
    <t>48 gal</t>
  </si>
  <si>
    <t>Sasparilla</t>
  </si>
  <si>
    <t>Sweet Almonds</t>
  </si>
  <si>
    <t>22 gal</t>
  </si>
  <si>
    <t>31 bags</t>
  </si>
  <si>
    <t>2 bag</t>
  </si>
  <si>
    <t>Cordage</t>
  </si>
  <si>
    <t>13 gal</t>
  </si>
  <si>
    <t>69 gal</t>
  </si>
  <si>
    <t>25 gal</t>
  </si>
  <si>
    <t>1589.5 bags</t>
  </si>
  <si>
    <t>2396 gal</t>
  </si>
  <si>
    <t>139 gal</t>
  </si>
  <si>
    <t>1176 Bag</t>
  </si>
  <si>
    <t>Vinellas</t>
  </si>
  <si>
    <t>500 Bundle</t>
  </si>
  <si>
    <t>213 gal</t>
  </si>
  <si>
    <t>4 gal</t>
  </si>
  <si>
    <t>171 gal</t>
  </si>
  <si>
    <t>134 gal</t>
  </si>
  <si>
    <t>36 gal</t>
  </si>
  <si>
    <t>401 gal</t>
  </si>
  <si>
    <t>Total London</t>
  </si>
  <si>
    <t>Total Outports</t>
  </si>
  <si>
    <t>Total</t>
  </si>
  <si>
    <t>3 tun 1hh 1441 gal</t>
  </si>
  <si>
    <t>7 pipes 1hh 42 gal</t>
  </si>
  <si>
    <t>ton</t>
  </si>
  <si>
    <t>lb</t>
  </si>
  <si>
    <t>COMMODITY_NAME</t>
  </si>
  <si>
    <t>FROM_LOCATION</t>
  </si>
  <si>
    <t>TO_LOCATION</t>
  </si>
  <si>
    <t>YEAR</t>
  </si>
  <si>
    <t>Antigua</t>
  </si>
  <si>
    <t>WEIGHT</t>
  </si>
  <si>
    <t>Barbados</t>
  </si>
  <si>
    <t>Bermuda</t>
  </si>
  <si>
    <t>Carolina</t>
  </si>
  <si>
    <t>Jamaica</t>
  </si>
  <si>
    <t>Mountserat</t>
  </si>
  <si>
    <t>18bags</t>
  </si>
  <si>
    <t>Nevis</t>
  </si>
  <si>
    <t>NewEngland</t>
  </si>
  <si>
    <t>Year</t>
  </si>
  <si>
    <t>Almonds, Bitter</t>
  </si>
  <si>
    <t>Almonds, Sweet</t>
  </si>
  <si>
    <t>Aloes Epatica</t>
  </si>
  <si>
    <t>Anniseeds</t>
  </si>
  <si>
    <t>Archelia</t>
  </si>
  <si>
    <t>Bacon</t>
  </si>
  <si>
    <t>Balsam Artificial</t>
  </si>
  <si>
    <t>Balsam Natural</t>
  </si>
  <si>
    <t>Barbados Tarr</t>
  </si>
  <si>
    <t>Barrel Staves</t>
  </si>
  <si>
    <t>Bay Berries</t>
  </si>
  <si>
    <t>Brimstone</t>
  </si>
  <si>
    <t>Cassia Fistula</t>
  </si>
  <si>
    <t>Cocheneal</t>
  </si>
  <si>
    <t>Cocoa Paste</t>
  </si>
  <si>
    <t>Coffee</t>
  </si>
  <si>
    <t>Cortex Eletheria</t>
  </si>
  <si>
    <t>Cortex Peru</t>
  </si>
  <si>
    <t>Cortex Winteranus</t>
  </si>
  <si>
    <t>Green Ginger</t>
  </si>
  <si>
    <t>Guinea Grains</t>
  </si>
  <si>
    <t>Gum Guiaci</t>
  </si>
  <si>
    <t>Gum Seneca</t>
  </si>
  <si>
    <t>Hemp</t>
  </si>
  <si>
    <t>Hypococania</t>
  </si>
  <si>
    <t>Jollop</t>
  </si>
  <si>
    <t>Orchelia</t>
  </si>
  <si>
    <t>Pickles</t>
  </si>
  <si>
    <t>Pig Iron</t>
  </si>
  <si>
    <t>Port</t>
  </si>
  <si>
    <t>Smalts</t>
  </si>
  <si>
    <t>Tamarinds</t>
  </si>
  <si>
    <t>Turpentine</t>
  </si>
  <si>
    <t>Wood, Braziletto</t>
  </si>
  <si>
    <t>Wood, Cocus</t>
  </si>
  <si>
    <t>Wood, Cocoa</t>
  </si>
  <si>
    <t>Wood, Ebony</t>
  </si>
  <si>
    <t>Wood, Fustick</t>
  </si>
  <si>
    <t>Wood, Iron</t>
  </si>
  <si>
    <t>Wood, Logwood</t>
  </si>
  <si>
    <t>Wood, Mahogany</t>
  </si>
  <si>
    <t>Wood, Nicaragua</t>
  </si>
  <si>
    <t>Wood, Pidgeonwood</t>
  </si>
  <si>
    <t>Wood, Redwood</t>
  </si>
  <si>
    <t>Wood, Rosewood</t>
  </si>
  <si>
    <t>Wood, Sweetwood</t>
  </si>
  <si>
    <t>201bags</t>
  </si>
  <si>
    <t>61g</t>
  </si>
  <si>
    <t>30g</t>
  </si>
  <si>
    <t>5bags+20lb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</si>
</sst>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6191-92FB-4BEE-8AB2-E043C2551204}">
  <dimension ref="A1:D75"/>
  <sheetViews>
    <sheetView tabSelected="1" topLeftCell="A46" zoomScaleNormal="100" workbookViewId="0">
      <selection activeCell="D75" sqref="D75"/>
    </sheetView>
  </sheetViews>
  <sheetFormatPr defaultRowHeight="15" x14ac:dyDescent="0.25"/>
  <cols>
    <col min="1" max="1" width="18.85546875" customWidth="1"/>
    <col min="2" max="2" width="27.140625" customWidth="1"/>
    <col min="3" max="3" width="28.85546875" customWidth="1"/>
    <col min="4" max="4" width="23.85546875" customWidth="1"/>
  </cols>
  <sheetData>
    <row r="1" spans="1:4" x14ac:dyDescent="0.25">
      <c r="A1" t="s">
        <v>102</v>
      </c>
      <c r="B1" t="s">
        <v>81</v>
      </c>
      <c r="C1" t="s">
        <v>82</v>
      </c>
      <c r="D1" t="s">
        <v>83</v>
      </c>
    </row>
    <row r="2" spans="1:4" x14ac:dyDescent="0.25">
      <c r="A2" t="s">
        <v>103</v>
      </c>
      <c r="B2">
        <f>SUMIFS(Antigua!$L:$L, Antigua!$B:$B, $A2, Antigua!$D:$D, "London") +
SUMIFS(Barbados!$L:$L, Barbados!$B:$B, $A2, Barbados!$D:$D, "London") +
SUMIFS(Bermuda!$L:$L, Bermuda!$B:$B, $A2, Bermuda!$D:$D, "London") +
SUMIFS(Carolina!$L:$L, Carolina!$B:$B, $A2, Carolina!$D:$D, "London") +
SUMIFS(Jamaica!$L:$L, Jamaica!$B:$B, $A2, Jamaica!$D:$D, "London") + SUMIFS(Mountserat!$L:$L, Mountserat!$B:$B, $A2, Mountserat!$D:$D, "London") + SUMIFS(Nevis!$L:$L, Nevis!$B:$B, $A2, Nevis!$D:$D, "London") + SUMIFS(NewEngland!$L:$L, NewEngland!$B:$B, $A2, NewEngland!$D:$D, "London")</f>
        <v>0</v>
      </c>
      <c r="C2">
        <f>SUMIFS(Antigua!$L:$L, Antigua!$B:$B, $A2, Antigua!$D:$D, "Out Ports") +
SUMIFS(Barbados!$L:$L, Barbados!$B:$B, $A2, Barbados!$D:$D, "Out Ports") +
SUMIFS(Bermuda!$L:$L, Bermuda!$B:$B, $A2, Bermuda!$D:$D, "Out Ports") +
SUMIFS(Carolina!$L:$L, Carolina!$B:$B, $A2, Carolina!$D:$D, "Out Ports") +
SUMIFS(Jamaica!$L:$L, Jamaica!$B:$B, $A2, Jamaica!$D:$D, "Out Ports") + SUMIFS(Mountserat!$L:$L, Mountserat!$B:$B, $A2, Mountserat!$D:$D, "Out Ports") + SUMIFS(Nevis!$L:$L, Nevis!$B:$B, $A2, Nevis!$D:$D, "Out Ports") + SUMIFS(NewEngland!$L:$L, NewEngland!$B:$B, $A2, NewEngland!$D:$D, "Out Ports")</f>
        <v>0</v>
      </c>
      <c r="D2">
        <f>ROUND((B2+C2),2)</f>
        <v>0</v>
      </c>
    </row>
    <row r="3" spans="1:4" x14ac:dyDescent="0.25">
      <c r="A3" t="s">
        <v>104</v>
      </c>
      <c r="B3">
        <f>SUMIFS(Antigua!$L:$L, Antigua!$B:$B, $A3, Antigua!$D:$D, "London") +
SUMIFS(Barbados!$L:$L, Barbados!$B:$B, $A3, Barbados!$D:$D, "London") +
SUMIFS(Bermuda!$L:$L, Bermuda!$B:$B, $A3, Bermuda!$D:$D, "London") +
SUMIFS(Carolina!$L:$L, Carolina!$B:$B, $A3, Carolina!$D:$D, "London") +
SUMIFS(Jamaica!$L:$L, Jamaica!$B:$B, $A3, Jamaica!$D:$D, "London") + SUMIFS(Mountserat!$L:$L, Mountserat!$B:$B, $A3, Mountserat!$D:$D, "London") + SUMIFS(Nevis!$L:$L, Nevis!$B:$B, $A3, Nevis!$D:$D, "London") + SUMIFS(NewEngland!$L:$L, NewEngland!$B:$B, $A3, NewEngland!$D:$D, "London")</f>
        <v>2.7</v>
      </c>
      <c r="C3">
        <f>SUMIFS(Antigua!$L:$L, Antigua!$B:$B, $A3, Antigua!$D:$D, "Out Ports") +
SUMIFS(Barbados!$L:$L, Barbados!$B:$B, $A3, Barbados!$D:$D, "Out Ports") +
SUMIFS(Bermuda!$L:$L, Bermuda!$B:$B, $A3, Bermuda!$D:$D, "Out Ports") +
SUMIFS(Carolina!$L:$L, Carolina!$B:$B, $A3, Carolina!$D:$D, "Out Ports") +
SUMIFS(Jamaica!$L:$L, Jamaica!$B:$B, $A3, Jamaica!$D:$D, "Out Ports") + SUMIFS(Mountserat!$L:$L, Mountserat!$B:$B, $A3, Mountserat!$D:$D, "Out Ports") + SUMIFS(Nevis!$L:$L, Nevis!$B:$B, $A3, Nevis!$D:$D, "Out Ports") + SUMIFS(NewEngland!$L:$L, NewEngland!$B:$B, $A3, NewEngland!$D:$D, "Out Ports")</f>
        <v>0</v>
      </c>
      <c r="D3">
        <f t="shared" ref="D3:D66" si="0">ROUND((B3+C3),2)</f>
        <v>2.7</v>
      </c>
    </row>
    <row r="4" spans="1:4" x14ac:dyDescent="0.25">
      <c r="A4" t="s">
        <v>105</v>
      </c>
      <c r="B4">
        <f>SUMIFS(Antigua!$L:$L, Antigua!$B:$B, $A4, Antigua!$D:$D, "London") +
SUMIFS(Barbados!$L:$L, Barbados!$B:$B, $A4, Barbados!$D:$D, "London") +
SUMIFS(Bermuda!$L:$L, Bermuda!$B:$B, $A4, Bermuda!$D:$D, "London") +
SUMIFS(Carolina!$L:$L, Carolina!$B:$B, $A4, Carolina!$D:$D, "London") +
SUMIFS(Jamaica!$L:$L, Jamaica!$B:$B, $A4, Jamaica!$D:$D, "London") + SUMIFS(Mountserat!$L:$L, Mountserat!$B:$B, $A4, Mountserat!$D:$D, "London") + SUMIFS(Nevis!$L:$L, Nevis!$B:$B, $A4, Nevis!$D:$D, "London") + SUMIFS(NewEngland!$L:$L, NewEngland!$B:$B, $A4, NewEngland!$D:$D, "London")</f>
        <v>0.7008928571428571</v>
      </c>
      <c r="C4">
        <f>SUMIFS(Antigua!$L:$L, Antigua!$B:$B, $A4, Antigua!$D:$D, "Out Ports") +
SUMIFS(Barbados!$L:$L, Barbados!$B:$B, $A4, Barbados!$D:$D, "Out Ports") +
SUMIFS(Bermuda!$L:$L, Bermuda!$B:$B, $A4, Bermuda!$D:$D, "Out Ports") +
SUMIFS(Carolina!$L:$L, Carolina!$B:$B, $A4, Carolina!$D:$D, "Out Ports") +
SUMIFS(Jamaica!$L:$L, Jamaica!$B:$B, $A4, Jamaica!$D:$D, "Out Ports") + SUMIFS(Mountserat!$L:$L, Mountserat!$B:$B, $A4, Mountserat!$D:$D, "Out Ports") + SUMIFS(Nevis!$L:$L, Nevis!$B:$B, $A4, Nevis!$D:$D, "Out Ports") + SUMIFS(NewEngland!$L:$L, NewEngland!$B:$B, $A4, NewEngland!$D:$D, "Out Ports")</f>
        <v>0</v>
      </c>
      <c r="D4">
        <f t="shared" si="0"/>
        <v>0.7</v>
      </c>
    </row>
    <row r="5" spans="1:4" x14ac:dyDescent="0.25">
      <c r="A5" t="s">
        <v>27</v>
      </c>
      <c r="B5">
        <f>SUMIFS(Antigua!$L:$L, Antigua!$B:$B, $A5, Antigua!$D:$D, "London") +
SUMIFS(Barbados!$L:$L, Barbados!$B:$B, $A5, Barbados!$D:$D, "London") +
SUMIFS(Bermuda!$L:$L, Bermuda!$B:$B, $A5, Bermuda!$D:$D, "London") +
SUMIFS(Carolina!$L:$L, Carolina!$B:$B, $A5, Carolina!$D:$D, "London") +
SUMIFS(Jamaica!$L:$L, Jamaica!$B:$B, $A5, Jamaica!$D:$D, "London") + SUMIFS(Mountserat!$L:$L, Mountserat!$B:$B, $A5, Mountserat!$D:$D, "London") + SUMIFS(Nevis!$L:$L, Nevis!$B:$B, $A5, Nevis!$D:$D, "London") + SUMIFS(NewEngland!$L:$L, NewEngland!$B:$B, $A5, NewEngland!$D:$D, "London")</f>
        <v>1.5540178571428571</v>
      </c>
      <c r="C5">
        <f>SUMIFS(Antigua!$L:$L, Antigua!$B:$B, $A5, Antigua!$D:$D, "Out Ports") +
SUMIFS(Barbados!$L:$L, Barbados!$B:$B, $A5, Barbados!$D:$D, "Out Ports") +
SUMIFS(Bermuda!$L:$L, Bermuda!$B:$B, $A5, Bermuda!$D:$D, "Out Ports") +
SUMIFS(Carolina!$L:$L, Carolina!$B:$B, $A5, Carolina!$D:$D, "Out Ports") +
SUMIFS(Jamaica!$L:$L, Jamaica!$B:$B, $A5, Jamaica!$D:$D, "Out Ports") + SUMIFS(Mountserat!$L:$L, Mountserat!$B:$B, $A5, Mountserat!$D:$D, "Out Ports") + SUMIFS(Nevis!$L:$L, Nevis!$B:$B, $A5, Nevis!$D:$D, "Out Ports") + SUMIFS(NewEngland!$L:$L, NewEngland!$B:$B, $A5, NewEngland!$D:$D, "Out Ports")</f>
        <v>0.25</v>
      </c>
      <c r="D5">
        <f t="shared" si="0"/>
        <v>1.8</v>
      </c>
    </row>
    <row r="6" spans="1:4" x14ac:dyDescent="0.25">
      <c r="A6" t="s">
        <v>106</v>
      </c>
      <c r="B6">
        <f>SUMIFS(Antigua!$L:$L, Antigua!$B:$B, $A6, Antigua!$D:$D, "London") +
SUMIFS(Barbados!$L:$L, Barbados!$B:$B, $A6, Barbados!$D:$D, "London") +
SUMIFS(Bermuda!$L:$L, Bermuda!$B:$B, $A6, Bermuda!$D:$D, "London") +
SUMIFS(Carolina!$L:$L, Carolina!$B:$B, $A6, Carolina!$D:$D, "London") +
SUMIFS(Jamaica!$L:$L, Jamaica!$B:$B, $A6, Jamaica!$D:$D, "London") + SUMIFS(Mountserat!$L:$L, Mountserat!$B:$B, $A6, Mountserat!$D:$D, "London") + SUMIFS(Nevis!$L:$L, Nevis!$B:$B, $A6, Nevis!$D:$D, "London") + SUMIFS(NewEngland!$L:$L, NewEngland!$B:$B, $A6, NewEngland!$D:$D, "London")</f>
        <v>0</v>
      </c>
      <c r="C6">
        <f>SUMIFS(Antigua!$L:$L, Antigua!$B:$B, $A6, Antigua!$D:$D, "Out Ports") +
SUMIFS(Barbados!$L:$L, Barbados!$B:$B, $A6, Barbados!$D:$D, "Out Ports") +
SUMIFS(Bermuda!$L:$L, Bermuda!$B:$B, $A6, Bermuda!$D:$D, "Out Ports") +
SUMIFS(Carolina!$L:$L, Carolina!$B:$B, $A6, Carolina!$D:$D, "Out Ports") +
SUMIFS(Jamaica!$L:$L, Jamaica!$B:$B, $A6, Jamaica!$D:$D, "Out Ports") + SUMIFS(Mountserat!$L:$L, Mountserat!$B:$B, $A6, Mountserat!$D:$D, "Out Ports") + SUMIFS(Nevis!$L:$L, Nevis!$B:$B, $A6, Nevis!$D:$D, "Out Ports") + SUMIFS(NewEngland!$L:$L, NewEngland!$B:$B, $A6, NewEngland!$D:$D, "Out Ports")</f>
        <v>0</v>
      </c>
      <c r="D6">
        <f t="shared" si="0"/>
        <v>0</v>
      </c>
    </row>
    <row r="7" spans="1:4" x14ac:dyDescent="0.25">
      <c r="A7" t="s">
        <v>107</v>
      </c>
      <c r="B7">
        <f>SUMIFS(Antigua!$L:$L, Antigua!$B:$B, $A7, Antigua!$D:$D, "London") +
SUMIFS(Barbados!$L:$L, Barbados!$B:$B, $A7, Barbados!$D:$D, "London") +
SUMIFS(Bermuda!$L:$L, Bermuda!$B:$B, $A7, Bermuda!$D:$D, "London") +
SUMIFS(Carolina!$L:$L, Carolina!$B:$B, $A7, Carolina!$D:$D, "London") +
SUMIFS(Jamaica!$L:$L, Jamaica!$B:$B, $A7, Jamaica!$D:$D, "London") + SUMIFS(Mountserat!$L:$L, Mountserat!$B:$B, $A7, Mountserat!$D:$D, "London") + SUMIFS(Nevis!$L:$L, Nevis!$B:$B, $A7, Nevis!$D:$D, "London") + SUMIFS(NewEngland!$L:$L, NewEngland!$B:$B, $A7, NewEngland!$D:$D, "London")</f>
        <v>0</v>
      </c>
      <c r="C7">
        <f>SUMIFS(Antigua!$L:$L, Antigua!$B:$B, $A7, Antigua!$D:$D, "Out Ports") +
SUMIFS(Barbados!$L:$L, Barbados!$B:$B, $A7, Barbados!$D:$D, "Out Ports") +
SUMIFS(Bermuda!$L:$L, Bermuda!$B:$B, $A7, Bermuda!$D:$D, "Out Ports") +
SUMIFS(Carolina!$L:$L, Carolina!$B:$B, $A7, Carolina!$D:$D, "Out Ports") +
SUMIFS(Jamaica!$L:$L, Jamaica!$B:$B, $A7, Jamaica!$D:$D, "Out Ports") + SUMIFS(Mountserat!$L:$L, Mountserat!$B:$B, $A7, Mountserat!$D:$D, "Out Ports") + SUMIFS(Nevis!$L:$L, Nevis!$B:$B, $A7, Nevis!$D:$D, "Out Ports") + SUMIFS(NewEngland!$L:$L, NewEngland!$B:$B, $A7, NewEngland!$D:$D, "Out Ports")</f>
        <v>0</v>
      </c>
      <c r="D7">
        <f t="shared" si="0"/>
        <v>0</v>
      </c>
    </row>
    <row r="8" spans="1:4" x14ac:dyDescent="0.25">
      <c r="A8" t="s">
        <v>108</v>
      </c>
      <c r="B8">
        <f>SUMIFS(Antigua!$L:$L, Antigua!$B:$B, $A8, Antigua!$D:$D, "London") +
SUMIFS(Barbados!$L:$L, Barbados!$B:$B, $A8, Barbados!$D:$D, "London") +
SUMIFS(Bermuda!$L:$L, Bermuda!$B:$B, $A8, Bermuda!$D:$D, "London") +
SUMIFS(Carolina!$L:$L, Carolina!$B:$B, $A8, Carolina!$D:$D, "London") +
SUMIFS(Jamaica!$L:$L, Jamaica!$B:$B, $A8, Jamaica!$D:$D, "London") + SUMIFS(Mountserat!$L:$L, Mountserat!$B:$B, $A8, Mountserat!$D:$D, "London") + SUMIFS(Nevis!$L:$L, Nevis!$B:$B, $A8, Nevis!$D:$D, "London") + SUMIFS(NewEngland!$L:$L, NewEngland!$B:$B, $A8, NewEngland!$D:$D, "London")</f>
        <v>0</v>
      </c>
      <c r="C8">
        <f>SUMIFS(Antigua!$L:$L, Antigua!$B:$B, $A8, Antigua!$D:$D, "Out Ports") +
SUMIFS(Barbados!$L:$L, Barbados!$B:$B, $A8, Barbados!$D:$D, "Out Ports") +
SUMIFS(Bermuda!$L:$L, Bermuda!$B:$B, $A8, Bermuda!$D:$D, "Out Ports") +
SUMIFS(Carolina!$L:$L, Carolina!$B:$B, $A8, Carolina!$D:$D, "Out Ports") +
SUMIFS(Jamaica!$L:$L, Jamaica!$B:$B, $A8, Jamaica!$D:$D, "Out Ports") + SUMIFS(Mountserat!$L:$L, Mountserat!$B:$B, $A8, Mountserat!$D:$D, "Out Ports") + SUMIFS(Nevis!$L:$L, Nevis!$B:$B, $A8, Nevis!$D:$D, "Out Ports") + SUMIFS(NewEngland!$L:$L, NewEngland!$B:$B, $A8, NewEngland!$D:$D, "Out Ports")</f>
        <v>0</v>
      </c>
      <c r="D8">
        <f t="shared" si="0"/>
        <v>0</v>
      </c>
    </row>
    <row r="9" spans="1:4" x14ac:dyDescent="0.25">
      <c r="A9" t="s">
        <v>109</v>
      </c>
      <c r="B9">
        <f>SUMIFS(Antigua!$L:$L, Antigua!$B:$B, $A9, Antigua!$D:$D, "London") +
SUMIFS(Barbados!$L:$L, Barbados!$B:$B, $A9, Barbados!$D:$D, "London") +
SUMIFS(Bermuda!$L:$L, Bermuda!$B:$B, $A9, Bermuda!$D:$D, "London") +
SUMIFS(Carolina!$L:$L, Carolina!$B:$B, $A9, Carolina!$D:$D, "London") +
SUMIFS(Jamaica!$L:$L, Jamaica!$B:$B, $A9, Jamaica!$D:$D, "London") + SUMIFS(Mountserat!$L:$L, Mountserat!$B:$B, $A9, Mountserat!$D:$D, "London") + SUMIFS(Nevis!$L:$L, Nevis!$B:$B, $A9, Nevis!$D:$D, "London") + SUMIFS(NewEngland!$L:$L, NewEngland!$B:$B, $A9, NewEngland!$D:$D, "London")</f>
        <v>0</v>
      </c>
      <c r="C9">
        <f>SUMIFS(Antigua!$L:$L, Antigua!$B:$B, $A9, Antigua!$D:$D, "Out Ports") +
SUMIFS(Barbados!$L:$L, Barbados!$B:$B, $A9, Barbados!$D:$D, "Out Ports") +
SUMIFS(Bermuda!$L:$L, Bermuda!$B:$B, $A9, Bermuda!$D:$D, "Out Ports") +
SUMIFS(Carolina!$L:$L, Carolina!$B:$B, $A9, Carolina!$D:$D, "Out Ports") +
SUMIFS(Jamaica!$L:$L, Jamaica!$B:$B, $A9, Jamaica!$D:$D, "Out Ports") + SUMIFS(Mountserat!$L:$L, Mountserat!$B:$B, $A9, Mountserat!$D:$D, "Out Ports") + SUMIFS(Nevis!$L:$L, Nevis!$B:$B, $A9, Nevis!$D:$D, "Out Ports") + SUMIFS(NewEngland!$L:$L, NewEngland!$B:$B, $A9, NewEngland!$D:$D, "Out Ports")</f>
        <v>0</v>
      </c>
      <c r="D9">
        <f t="shared" si="0"/>
        <v>0</v>
      </c>
    </row>
    <row r="10" spans="1:4" x14ac:dyDescent="0.25">
      <c r="A10" t="s">
        <v>110</v>
      </c>
      <c r="B10">
        <f>SUMIFS(Antigua!$L:$L, Antigua!$B:$B, $A10, Antigua!$D:$D, "London") +
SUMIFS(Barbados!$L:$L, Barbados!$B:$B, $A10, Barbados!$D:$D, "London") +
SUMIFS(Bermuda!$L:$L, Bermuda!$B:$B, $A10, Bermuda!$D:$D, "London") +
SUMIFS(Carolina!$L:$L, Carolina!$B:$B, $A10, Carolina!$D:$D, "London") +
SUMIFS(Jamaica!$L:$L, Jamaica!$B:$B, $A10, Jamaica!$D:$D, "London") + SUMIFS(Mountserat!$L:$L, Mountserat!$B:$B, $A10, Mountserat!$D:$D, "London") + SUMIFS(Nevis!$L:$L, Nevis!$B:$B, $A10, Nevis!$D:$D, "London") + SUMIFS(NewEngland!$L:$L, NewEngland!$B:$B, $A10, NewEngland!$D:$D, "London")</f>
        <v>0</v>
      </c>
      <c r="C10">
        <f>SUMIFS(Antigua!$L:$L, Antigua!$B:$B, $A10, Antigua!$D:$D, "Out Ports") +
SUMIFS(Barbados!$L:$L, Barbados!$B:$B, $A10, Barbados!$D:$D, "Out Ports") +
SUMIFS(Bermuda!$L:$L, Bermuda!$B:$B, $A10, Bermuda!$D:$D, "Out Ports") +
SUMIFS(Carolina!$L:$L, Carolina!$B:$B, $A10, Carolina!$D:$D, "Out Ports") +
SUMIFS(Jamaica!$L:$L, Jamaica!$B:$B, $A10, Jamaica!$D:$D, "Out Ports") + SUMIFS(Mountserat!$L:$L, Mountserat!$B:$B, $A10, Mountserat!$D:$D, "Out Ports") + SUMIFS(Nevis!$L:$L, Nevis!$B:$B, $A10, Nevis!$D:$D, "Out Ports") + SUMIFS(NewEngland!$L:$L, NewEngland!$B:$B, $A10, NewEngland!$D:$D, "Out Ports")</f>
        <v>0</v>
      </c>
      <c r="D10">
        <f t="shared" si="0"/>
        <v>0</v>
      </c>
    </row>
    <row r="11" spans="1:4" x14ac:dyDescent="0.25">
      <c r="A11" t="s">
        <v>111</v>
      </c>
      <c r="B11">
        <f>SUMIFS(Antigua!$L:$L, Antigua!$B:$B, $A11, Antigua!$D:$D, "London") +
SUMIFS(Barbados!$L:$L, Barbados!$B:$B, $A11, Barbados!$D:$D, "London") +
SUMIFS(Bermuda!$L:$L, Bermuda!$B:$B, $A11, Bermuda!$D:$D, "London") +
SUMIFS(Carolina!$L:$L, Carolina!$B:$B, $A11, Carolina!$D:$D, "London") +
SUMIFS(Jamaica!$L:$L, Jamaica!$B:$B, $A11, Jamaica!$D:$D, "London") + SUMIFS(Mountserat!$L:$L, Mountserat!$B:$B, $A11, Mountserat!$D:$D, "London") + SUMIFS(Nevis!$L:$L, Nevis!$B:$B, $A11, Nevis!$D:$D, "London") + SUMIFS(NewEngland!$L:$L, NewEngland!$B:$B, $A11, NewEngland!$D:$D, "London")</f>
        <v>0</v>
      </c>
      <c r="C11">
        <f>SUMIFS(Antigua!$L:$L, Antigua!$B:$B, $A11, Antigua!$D:$D, "Out Ports") +
SUMIFS(Barbados!$L:$L, Barbados!$B:$B, $A11, Barbados!$D:$D, "Out Ports") +
SUMIFS(Bermuda!$L:$L, Bermuda!$B:$B, $A11, Bermuda!$D:$D, "Out Ports") +
SUMIFS(Carolina!$L:$L, Carolina!$B:$B, $A11, Carolina!$D:$D, "Out Ports") +
SUMIFS(Jamaica!$L:$L, Jamaica!$B:$B, $A11, Jamaica!$D:$D, "Out Ports") + SUMIFS(Mountserat!$L:$L, Mountserat!$B:$B, $A11, Mountserat!$D:$D, "Out Ports") + SUMIFS(Nevis!$L:$L, Nevis!$B:$B, $A11, Nevis!$D:$D, "Out Ports") + SUMIFS(NewEngland!$L:$L, NewEngland!$B:$B, $A11, NewEngland!$D:$D, "Out Ports")</f>
        <v>0</v>
      </c>
      <c r="D11">
        <f t="shared" si="0"/>
        <v>0</v>
      </c>
    </row>
    <row r="12" spans="1:4" x14ac:dyDescent="0.25">
      <c r="A12" t="s">
        <v>112</v>
      </c>
      <c r="B12">
        <f>SUMIFS(Antigua!$L:$L, Antigua!$B:$B, $A12, Antigua!$D:$D, "London") +
SUMIFS(Barbados!$L:$L, Barbados!$B:$B, $A12, Barbados!$D:$D, "London") +
SUMIFS(Bermuda!$L:$L, Bermuda!$B:$B, $A12, Bermuda!$D:$D, "London") +
SUMIFS(Carolina!$L:$L, Carolina!$B:$B, $A12, Carolina!$D:$D, "London") +
SUMIFS(Jamaica!$L:$L, Jamaica!$B:$B, $A12, Jamaica!$D:$D, "London") + SUMIFS(Mountserat!$L:$L, Mountserat!$B:$B, $A12, Mountserat!$D:$D, "London") + SUMIFS(Nevis!$L:$L, Nevis!$B:$B, $A12, Nevis!$D:$D, "London") + SUMIFS(NewEngland!$L:$L, NewEngland!$B:$B, $A12, NewEngland!$D:$D, "London")</f>
        <v>0</v>
      </c>
      <c r="C12">
        <f>SUMIFS(Antigua!$L:$L, Antigua!$B:$B, $A12, Antigua!$D:$D, "Out Ports") +
SUMIFS(Barbados!$L:$L, Barbados!$B:$B, $A12, Barbados!$D:$D, "Out Ports") +
SUMIFS(Bermuda!$L:$L, Bermuda!$B:$B, $A12, Bermuda!$D:$D, "Out Ports") +
SUMIFS(Carolina!$L:$L, Carolina!$B:$B, $A12, Carolina!$D:$D, "Out Ports") +
SUMIFS(Jamaica!$L:$L, Jamaica!$B:$B, $A12, Jamaica!$D:$D, "Out Ports") + SUMIFS(Mountserat!$L:$L, Mountserat!$B:$B, $A12, Mountserat!$D:$D, "Out Ports") + SUMIFS(Nevis!$L:$L, Nevis!$B:$B, $A12, Nevis!$D:$D, "Out Ports") + SUMIFS(NewEngland!$L:$L, NewEngland!$B:$B, $A12, NewEngland!$D:$D, "Out Ports")</f>
        <v>0</v>
      </c>
      <c r="D12">
        <f t="shared" si="0"/>
        <v>0</v>
      </c>
    </row>
    <row r="13" spans="1:4" x14ac:dyDescent="0.25">
      <c r="A13" t="s">
        <v>113</v>
      </c>
      <c r="B13">
        <f>SUMIFS(Antigua!$L:$L, Antigua!$B:$B, $A13, Antigua!$D:$D, "London") +
SUMIFS(Barbados!$L:$L, Barbados!$B:$B, $A13, Barbados!$D:$D, "London") +
SUMIFS(Bermuda!$L:$L, Bermuda!$B:$B, $A13, Bermuda!$D:$D, "London") +
SUMIFS(Carolina!$L:$L, Carolina!$B:$B, $A13, Carolina!$D:$D, "London") +
SUMIFS(Jamaica!$L:$L, Jamaica!$B:$B, $A13, Jamaica!$D:$D, "London") + SUMIFS(Mountserat!$L:$L, Mountserat!$B:$B, $A13, Mountserat!$D:$D, "London") + SUMIFS(Nevis!$L:$L, Nevis!$B:$B, $A13, Nevis!$D:$D, "London") + SUMIFS(NewEngland!$L:$L, NewEngland!$B:$B, $A13, NewEngland!$D:$D, "London")</f>
        <v>0</v>
      </c>
      <c r="C13">
        <f>SUMIFS(Antigua!$L:$L, Antigua!$B:$B, $A13, Antigua!$D:$D, "Out Ports") +
SUMIFS(Barbados!$L:$L, Barbados!$B:$B, $A13, Barbados!$D:$D, "Out Ports") +
SUMIFS(Bermuda!$L:$L, Bermuda!$B:$B, $A13, Bermuda!$D:$D, "Out Ports") +
SUMIFS(Carolina!$L:$L, Carolina!$B:$B, $A13, Carolina!$D:$D, "Out Ports") +
SUMIFS(Jamaica!$L:$L, Jamaica!$B:$B, $A13, Jamaica!$D:$D, "Out Ports") + SUMIFS(Mountserat!$L:$L, Mountserat!$B:$B, $A13, Mountserat!$D:$D, "Out Ports") + SUMIFS(Nevis!$L:$L, Nevis!$B:$B, $A13, Nevis!$D:$D, "Out Ports") + SUMIFS(NewEngland!$L:$L, NewEngland!$B:$B, $A13, NewEngland!$D:$D, "Out Ports")</f>
        <v>0</v>
      </c>
      <c r="D13">
        <f t="shared" si="0"/>
        <v>0</v>
      </c>
    </row>
    <row r="14" spans="1:4" x14ac:dyDescent="0.25">
      <c r="A14" t="s">
        <v>12</v>
      </c>
      <c r="B14">
        <f>SUMIFS(Antigua!$L:$L, Antigua!$B:$B, $A14, Antigua!$D:$D, "London") +
SUMIFS(Barbados!$L:$L, Barbados!$B:$B, $A14, Barbados!$D:$D, "London") +
SUMIFS(Bermuda!$L:$L, Bermuda!$B:$B, $A14, Bermuda!$D:$D, "London") +
SUMIFS(Carolina!$L:$L, Carolina!$B:$B, $A14, Carolina!$D:$D, "London") +
SUMIFS(Jamaica!$L:$L, Jamaica!$B:$B, $A14, Jamaica!$D:$D, "London") + SUMIFS(Mountserat!$L:$L, Mountserat!$B:$B, $A14, Mountserat!$D:$D, "London") + SUMIFS(Nevis!$L:$L, Nevis!$B:$B, $A14, Nevis!$D:$D, "London") + SUMIFS(NewEngland!$L:$L, NewEngland!$B:$B, $A14, NewEngland!$D:$D, "London")</f>
        <v>0.41696428571428573</v>
      </c>
      <c r="C14">
        <f>SUMIFS(Antigua!$L:$L, Antigua!$B:$B, $A14, Antigua!$D:$D, "Out Ports") +
SUMIFS(Barbados!$L:$L, Barbados!$B:$B, $A14, Barbados!$D:$D, "Out Ports") +
SUMIFS(Bermuda!$L:$L, Bermuda!$B:$B, $A14, Bermuda!$D:$D, "Out Ports") +
SUMIFS(Carolina!$L:$L, Carolina!$B:$B, $A14, Carolina!$D:$D, "Out Ports") +
SUMIFS(Jamaica!$L:$L, Jamaica!$B:$B, $A14, Jamaica!$D:$D, "Out Ports") + SUMIFS(Mountserat!$L:$L, Mountserat!$B:$B, $A14, Mountserat!$D:$D, "Out Ports") + SUMIFS(Nevis!$L:$L, Nevis!$B:$B, $A14, Nevis!$D:$D, "Out Ports") + SUMIFS(NewEngland!$L:$L, NewEngland!$B:$B, $A14, NewEngland!$D:$D, "Out Ports")</f>
        <v>0</v>
      </c>
      <c r="D14">
        <f t="shared" si="0"/>
        <v>0.42</v>
      </c>
    </row>
    <row r="15" spans="1:4" x14ac:dyDescent="0.25">
      <c r="A15" t="s">
        <v>114</v>
      </c>
      <c r="B15">
        <f>SUMIFS(Antigua!$L:$L, Antigua!$B:$B, $A15, Antigua!$D:$D, "London") +
SUMIFS(Barbados!$L:$L, Barbados!$B:$B, $A15, Barbados!$D:$D, "London") +
SUMIFS(Bermuda!$L:$L, Bermuda!$B:$B, $A15, Bermuda!$D:$D, "London") +
SUMIFS(Carolina!$L:$L, Carolina!$B:$B, $A15, Carolina!$D:$D, "London") +
SUMIFS(Jamaica!$L:$L, Jamaica!$B:$B, $A15, Jamaica!$D:$D, "London") + SUMIFS(Mountserat!$L:$L, Mountserat!$B:$B, $A15, Mountserat!$D:$D, "London") + SUMIFS(Nevis!$L:$L, Nevis!$B:$B, $A15, Nevis!$D:$D, "London") + SUMIFS(NewEngland!$L:$L, NewEngland!$B:$B, $A15, NewEngland!$D:$D, "London")</f>
        <v>0</v>
      </c>
      <c r="C15">
        <f>SUMIFS(Antigua!$L:$L, Antigua!$B:$B, $A15, Antigua!$D:$D, "Out Ports") +
SUMIFS(Barbados!$L:$L, Barbados!$B:$B, $A15, Barbados!$D:$D, "Out Ports") +
SUMIFS(Bermuda!$L:$L, Bermuda!$B:$B, $A15, Bermuda!$D:$D, "Out Ports") +
SUMIFS(Carolina!$L:$L, Carolina!$B:$B, $A15, Carolina!$D:$D, "Out Ports") +
SUMIFS(Jamaica!$L:$L, Jamaica!$B:$B, $A15, Jamaica!$D:$D, "Out Ports") + SUMIFS(Mountserat!$L:$L, Mountserat!$B:$B, $A15, Mountserat!$D:$D, "Out Ports") + SUMIFS(Nevis!$L:$L, Nevis!$B:$B, $A15, Nevis!$D:$D, "Out Ports") + SUMIFS(NewEngland!$L:$L, NewEngland!$B:$B, $A15, NewEngland!$D:$D, "Out Ports")</f>
        <v>0</v>
      </c>
      <c r="D15">
        <f t="shared" si="0"/>
        <v>0</v>
      </c>
    </row>
    <row r="16" spans="1:4" x14ac:dyDescent="0.25">
      <c r="A16" t="s">
        <v>18</v>
      </c>
      <c r="B16">
        <f>SUMIFS(Antigua!$L:$L, Antigua!$B:$B, $A16, Antigua!$D:$D, "London") +
SUMIFS(Barbados!$L:$L, Barbados!$B:$B, $A16, Barbados!$D:$D, "London") +
SUMIFS(Bermuda!$L:$L, Bermuda!$B:$B, $A16, Bermuda!$D:$D, "London") +
SUMIFS(Carolina!$L:$L, Carolina!$B:$B, $A16, Carolina!$D:$D, "London") +
SUMIFS(Jamaica!$L:$L, Jamaica!$B:$B, $A16, Jamaica!$D:$D, "London") + SUMIFS(Mountserat!$L:$L, Mountserat!$B:$B, $A16, Mountserat!$D:$D, "London") + SUMIFS(Nevis!$L:$L, Nevis!$B:$B, $A16, Nevis!$D:$D, "London") + SUMIFS(NewEngland!$L:$L, NewEngland!$B:$B, $A16, NewEngland!$D:$D, "London")</f>
        <v>2569.3821428571428</v>
      </c>
      <c r="C16">
        <f>SUMIFS(Antigua!$L:$L, Antigua!$B:$B, $A16, Antigua!$D:$D, "Out Ports") +
SUMIFS(Barbados!$L:$L, Barbados!$B:$B, $A16, Barbados!$D:$D, "Out Ports") +
SUMIFS(Bermuda!$L:$L, Bermuda!$B:$B, $A16, Bermuda!$D:$D, "Out Ports") +
SUMIFS(Carolina!$L:$L, Carolina!$B:$B, $A16, Carolina!$D:$D, "Out Ports") +
SUMIFS(Jamaica!$L:$L, Jamaica!$B:$B, $A16, Jamaica!$D:$D, "Out Ports") + SUMIFS(Mountserat!$L:$L, Mountserat!$B:$B, $A16, Mountserat!$D:$D, "Out Ports") + SUMIFS(Nevis!$L:$L, Nevis!$B:$B, $A16, Nevis!$D:$D, "Out Ports") + SUMIFS(NewEngland!$L:$L, NewEngland!$B:$B, $A16, NewEngland!$D:$D, "Out Ports")</f>
        <v>4322.5772321428567</v>
      </c>
      <c r="D16">
        <f t="shared" si="0"/>
        <v>6891.96</v>
      </c>
    </row>
    <row r="17" spans="1:4" x14ac:dyDescent="0.25">
      <c r="A17" t="s">
        <v>58</v>
      </c>
      <c r="B17">
        <f>SUMIFS(Antigua!$L:$L, Antigua!$B:$B, $A17, Antigua!$D:$D, "London") +
SUMIFS(Barbados!$L:$L, Barbados!$B:$B, $A17, Barbados!$D:$D, "London") +
SUMIFS(Bermuda!$L:$L, Bermuda!$B:$B, $A17, Bermuda!$D:$D, "London") +
SUMIFS(Carolina!$L:$L, Carolina!$B:$B, $A17, Carolina!$D:$D, "London") +
SUMIFS(Jamaica!$L:$L, Jamaica!$B:$B, $A17, Jamaica!$D:$D, "London") + SUMIFS(Mountserat!$L:$L, Mountserat!$B:$B, $A17, Mountserat!$D:$D, "London") + SUMIFS(Nevis!$L:$L, Nevis!$B:$B, $A17, Nevis!$D:$D, "London") + SUMIFS(NewEngland!$L:$L, NewEngland!$B:$B, $A17, NewEngland!$D:$D, "London")</f>
        <v>0.9799107142857143</v>
      </c>
      <c r="C17">
        <f>SUMIFS(Antigua!$L:$L, Antigua!$B:$B, $A17, Antigua!$D:$D, "Out Ports") +
SUMIFS(Barbados!$L:$L, Barbados!$B:$B, $A17, Barbados!$D:$D, "Out Ports") +
SUMIFS(Bermuda!$L:$L, Bermuda!$B:$B, $A17, Bermuda!$D:$D, "Out Ports") +
SUMIFS(Carolina!$L:$L, Carolina!$B:$B, $A17, Carolina!$D:$D, "Out Ports") +
SUMIFS(Jamaica!$L:$L, Jamaica!$B:$B, $A17, Jamaica!$D:$D, "Out Ports") + SUMIFS(Mountserat!$L:$L, Mountserat!$B:$B, $A17, Mountserat!$D:$D, "Out Ports") + SUMIFS(Nevis!$L:$L, Nevis!$B:$B, $A17, Nevis!$D:$D, "Out Ports") + SUMIFS(NewEngland!$L:$L, NewEngland!$B:$B, $A17, NewEngland!$D:$D, "Out Ports")</f>
        <v>0</v>
      </c>
      <c r="D17">
        <f t="shared" si="0"/>
        <v>0.98</v>
      </c>
    </row>
    <row r="18" spans="1:4" x14ac:dyDescent="0.25">
      <c r="A18" t="s">
        <v>115</v>
      </c>
      <c r="B18">
        <f>SUMIFS(Antigua!$L:$L, Antigua!$B:$B, $A18, Antigua!$D:$D, "London") +
SUMIFS(Barbados!$L:$L, Barbados!$B:$B, $A18, Barbados!$D:$D, "London") +
SUMIFS(Bermuda!$L:$L, Bermuda!$B:$B, $A18, Bermuda!$D:$D, "London") +
SUMIFS(Carolina!$L:$L, Carolina!$B:$B, $A18, Carolina!$D:$D, "London") +
SUMIFS(Jamaica!$L:$L, Jamaica!$B:$B, $A18, Jamaica!$D:$D, "London") + SUMIFS(Mountserat!$L:$L, Mountserat!$B:$B, $A18, Mountserat!$D:$D, "London") + SUMIFS(Nevis!$L:$L, Nevis!$B:$B, $A18, Nevis!$D:$D, "London") + SUMIFS(NewEngland!$L:$L, NewEngland!$B:$B, $A18, NewEngland!$D:$D, "London")</f>
        <v>0.61875000000000002</v>
      </c>
      <c r="C18">
        <f>SUMIFS(Antigua!$L:$L, Antigua!$B:$B, $A18, Antigua!$D:$D, "Out Ports") +
SUMIFS(Barbados!$L:$L, Barbados!$B:$B, $A18, Barbados!$D:$D, "Out Ports") +
SUMIFS(Bermuda!$L:$L, Bermuda!$B:$B, $A18, Bermuda!$D:$D, "Out Ports") +
SUMIFS(Carolina!$L:$L, Carolina!$B:$B, $A18, Carolina!$D:$D, "Out Ports") +
SUMIFS(Jamaica!$L:$L, Jamaica!$B:$B, $A18, Jamaica!$D:$D, "Out Ports") + SUMIFS(Mountserat!$L:$L, Mountserat!$B:$B, $A18, Mountserat!$D:$D, "Out Ports") + SUMIFS(Nevis!$L:$L, Nevis!$B:$B, $A18, Nevis!$D:$D, "Out Ports") + SUMIFS(NewEngland!$L:$L, NewEngland!$B:$B, $A18, NewEngland!$D:$D, "Out Ports")</f>
        <v>0</v>
      </c>
      <c r="D18">
        <f t="shared" si="0"/>
        <v>0.62</v>
      </c>
    </row>
    <row r="19" spans="1:4" x14ac:dyDescent="0.25">
      <c r="A19" t="s">
        <v>15</v>
      </c>
      <c r="B19">
        <f>SUMIFS(Antigua!$L:$L, Antigua!$B:$B, $A19, Antigua!$D:$D, "London") +
SUMIFS(Barbados!$L:$L, Barbados!$B:$B, $A19, Barbados!$D:$D, "London") +
SUMIFS(Bermuda!$L:$L, Bermuda!$B:$B, $A19, Bermuda!$D:$D, "London") +
SUMIFS(Carolina!$L:$L, Carolina!$B:$B, $A19, Carolina!$D:$D, "London") +
SUMIFS(Jamaica!$L:$L, Jamaica!$B:$B, $A19, Jamaica!$D:$D, "London") + SUMIFS(Mountserat!$L:$L, Mountserat!$B:$B, $A19, Mountserat!$D:$D, "London") + SUMIFS(Nevis!$L:$L, Nevis!$B:$B, $A19, Nevis!$D:$D, "London") + SUMIFS(NewEngland!$L:$L, NewEngland!$B:$B, $A19, NewEngland!$D:$D, "London")</f>
        <v>0.56071428571428572</v>
      </c>
      <c r="C19">
        <f>SUMIFS(Antigua!$L:$L, Antigua!$B:$B, $A19, Antigua!$D:$D, "Out Ports") +
SUMIFS(Barbados!$L:$L, Barbados!$B:$B, $A19, Barbados!$D:$D, "Out Ports") +
SUMIFS(Bermuda!$L:$L, Bermuda!$B:$B, $A19, Bermuda!$D:$D, "Out Ports") +
SUMIFS(Carolina!$L:$L, Carolina!$B:$B, $A19, Carolina!$D:$D, "Out Ports") +
SUMIFS(Jamaica!$L:$L, Jamaica!$B:$B, $A19, Jamaica!$D:$D, "Out Ports") + SUMIFS(Mountserat!$L:$L, Mountserat!$B:$B, $A19, Mountserat!$D:$D, "Out Ports") + SUMIFS(Nevis!$L:$L, Nevis!$B:$B, $A19, Nevis!$D:$D, "Out Ports") + SUMIFS(NewEngland!$L:$L, NewEngland!$B:$B, $A19, NewEngland!$D:$D, "Out Ports")</f>
        <v>3.7723214285714284E-2</v>
      </c>
      <c r="D19">
        <f t="shared" si="0"/>
        <v>0.6</v>
      </c>
    </row>
    <row r="20" spans="1:4" x14ac:dyDescent="0.25">
      <c r="A20" t="s">
        <v>116</v>
      </c>
      <c r="B20">
        <f>SUMIFS(Antigua!$L:$L, Antigua!$B:$B, $A20, Antigua!$D:$D, "London") +
SUMIFS(Barbados!$L:$L, Barbados!$B:$B, $A20, Barbados!$D:$D, "London") +
SUMIFS(Bermuda!$L:$L, Bermuda!$B:$B, $A20, Bermuda!$D:$D, "London") +
SUMIFS(Carolina!$L:$L, Carolina!$B:$B, $A20, Carolina!$D:$D, "London") +
SUMIFS(Jamaica!$L:$L, Jamaica!$B:$B, $A20, Jamaica!$D:$D, "London") + SUMIFS(Mountserat!$L:$L, Mountserat!$B:$B, $A20, Mountserat!$D:$D, "London") + SUMIFS(Nevis!$L:$L, Nevis!$B:$B, $A20, Nevis!$D:$D, "London") + SUMIFS(NewEngland!$L:$L, NewEngland!$B:$B, $A20, NewEngland!$D:$D, "London")</f>
        <v>0</v>
      </c>
      <c r="C20">
        <f>SUMIFS(Antigua!$L:$L, Antigua!$B:$B, $A20, Antigua!$D:$D, "Out Ports") +
SUMIFS(Barbados!$L:$L, Barbados!$B:$B, $A20, Barbados!$D:$D, "Out Ports") +
SUMIFS(Bermuda!$L:$L, Bermuda!$B:$B, $A20, Bermuda!$D:$D, "Out Ports") +
SUMIFS(Carolina!$L:$L, Carolina!$B:$B, $A20, Carolina!$D:$D, "Out Ports") +
SUMIFS(Jamaica!$L:$L, Jamaica!$B:$B, $A20, Jamaica!$D:$D, "Out Ports") + SUMIFS(Mountserat!$L:$L, Mountserat!$B:$B, $A20, Mountserat!$D:$D, "Out Ports") + SUMIFS(Nevis!$L:$L, Nevis!$B:$B, $A20, Nevis!$D:$D, "Out Ports") + SUMIFS(NewEngland!$L:$L, NewEngland!$B:$B, $A20, NewEngland!$D:$D, "Out Ports")</f>
        <v>0</v>
      </c>
      <c r="D20">
        <f t="shared" si="0"/>
        <v>0</v>
      </c>
    </row>
    <row r="21" spans="1:4" x14ac:dyDescent="0.25">
      <c r="A21" t="s">
        <v>40</v>
      </c>
      <c r="B21">
        <f>SUMIFS(Antigua!$L:$L, Antigua!$B:$B, $A21, Antigua!$D:$D, "London") +
SUMIFS(Barbados!$L:$L, Barbados!$B:$B, $A21, Barbados!$D:$D, "London") +
SUMIFS(Bermuda!$L:$L, Bermuda!$B:$B, $A21, Bermuda!$D:$D, "London") +
SUMIFS(Carolina!$L:$L, Carolina!$B:$B, $A21, Carolina!$D:$D, "London") +
SUMIFS(Jamaica!$L:$L, Jamaica!$B:$B, $A21, Jamaica!$D:$D, "London") + SUMIFS(Mountserat!$L:$L, Mountserat!$B:$B, $A21, Mountserat!$D:$D, "London") + SUMIFS(Nevis!$L:$L, Nevis!$B:$B, $A21, Nevis!$D:$D, "London") + SUMIFS(NewEngland!$L:$L, NewEngland!$B:$B, $A21, NewEngland!$D:$D, "London")</f>
        <v>64.032142857142858</v>
      </c>
      <c r="C21">
        <f>SUMIFS(Antigua!$L:$L, Antigua!$B:$B, $A21, Antigua!$D:$D, "Out Ports") +
SUMIFS(Barbados!$L:$L, Barbados!$B:$B, $A21, Barbados!$D:$D, "Out Ports") +
SUMIFS(Bermuda!$L:$L, Bermuda!$B:$B, $A21, Bermuda!$D:$D, "Out Ports") +
SUMIFS(Carolina!$L:$L, Carolina!$B:$B, $A21, Carolina!$D:$D, "Out Ports") +
SUMIFS(Jamaica!$L:$L, Jamaica!$B:$B, $A21, Jamaica!$D:$D, "Out Ports") + SUMIFS(Mountserat!$L:$L, Mountserat!$B:$B, $A21, Mountserat!$D:$D, "Out Ports") + SUMIFS(Nevis!$L:$L, Nevis!$B:$B, $A21, Nevis!$D:$D, "Out Ports") + SUMIFS(NewEngland!$L:$L, NewEngland!$B:$B, $A21, NewEngland!$D:$D, "Out Ports")</f>
        <v>4.112946428571429</v>
      </c>
      <c r="D21">
        <f t="shared" si="0"/>
        <v>68.150000000000006</v>
      </c>
    </row>
    <row r="22" spans="1:4" x14ac:dyDescent="0.25">
      <c r="A22" t="s">
        <v>117</v>
      </c>
      <c r="B22">
        <f>SUMIFS(Antigua!$L:$L, Antigua!$B:$B, $A22, Antigua!$D:$D, "London") +
SUMIFS(Barbados!$L:$L, Barbados!$B:$B, $A22, Barbados!$D:$D, "London") +
SUMIFS(Bermuda!$L:$L, Bermuda!$B:$B, $A22, Bermuda!$D:$D, "London") +
SUMIFS(Carolina!$L:$L, Carolina!$B:$B, $A22, Carolina!$D:$D, "London") +
SUMIFS(Jamaica!$L:$L, Jamaica!$B:$B, $A22, Jamaica!$D:$D, "London") + SUMIFS(Mountserat!$L:$L, Mountserat!$B:$B, $A22, Mountserat!$D:$D, "London") + SUMIFS(Nevis!$L:$L, Nevis!$B:$B, $A22, Nevis!$D:$D, "London") + SUMIFS(NewEngland!$L:$L, NewEngland!$B:$B, $A22, NewEngland!$D:$D, "London")</f>
        <v>0</v>
      </c>
      <c r="C22">
        <f>SUMIFS(Antigua!$L:$L, Antigua!$B:$B, $A22, Antigua!$D:$D, "Out Ports") +
SUMIFS(Barbados!$L:$L, Barbados!$B:$B, $A22, Barbados!$D:$D, "Out Ports") +
SUMIFS(Bermuda!$L:$L, Bermuda!$B:$B, $A22, Bermuda!$D:$D, "Out Ports") +
SUMIFS(Carolina!$L:$L, Carolina!$B:$B, $A22, Carolina!$D:$D, "Out Ports") +
SUMIFS(Jamaica!$L:$L, Jamaica!$B:$B, $A22, Jamaica!$D:$D, "Out Ports") + SUMIFS(Mountserat!$L:$L, Mountserat!$B:$B, $A22, Mountserat!$D:$D, "Out Ports") + SUMIFS(Nevis!$L:$L, Nevis!$B:$B, $A22, Nevis!$D:$D, "Out Ports") + SUMIFS(NewEngland!$L:$L, NewEngland!$B:$B, $A22, NewEngland!$D:$D, "Out Ports")</f>
        <v>0</v>
      </c>
      <c r="D22">
        <f t="shared" si="0"/>
        <v>0</v>
      </c>
    </row>
    <row r="23" spans="1:4" x14ac:dyDescent="0.25">
      <c r="A23" t="s">
        <v>118</v>
      </c>
      <c r="B23">
        <f>SUMIFS(Antigua!$L:$L, Antigua!$B:$B, $A23, Antigua!$D:$D, "London") +
SUMIFS(Barbados!$L:$L, Barbados!$B:$B, $A23, Barbados!$D:$D, "London") +
SUMIFS(Bermuda!$L:$L, Bermuda!$B:$B, $A23, Bermuda!$D:$D, "London") +
SUMIFS(Carolina!$L:$L, Carolina!$B:$B, $A23, Carolina!$D:$D, "London") +
SUMIFS(Jamaica!$L:$L, Jamaica!$B:$B, $A23, Jamaica!$D:$D, "London") + SUMIFS(Mountserat!$L:$L, Mountserat!$B:$B, $A23, Mountserat!$D:$D, "London") + SUMIFS(Nevis!$L:$L, Nevis!$B:$B, $A23, Nevis!$D:$D, "London") + SUMIFS(NewEngland!$L:$L, NewEngland!$B:$B, $A23, NewEngland!$D:$D, "London")</f>
        <v>0</v>
      </c>
      <c r="C23">
        <f>SUMIFS(Antigua!$L:$L, Antigua!$B:$B, $A23, Antigua!$D:$D, "Out Ports") +
SUMIFS(Barbados!$L:$L, Barbados!$B:$B, $A23, Barbados!$D:$D, "Out Ports") +
SUMIFS(Bermuda!$L:$L, Bermuda!$B:$B, $A23, Bermuda!$D:$D, "Out Ports") +
SUMIFS(Carolina!$L:$L, Carolina!$B:$B, $A23, Carolina!$D:$D, "Out Ports") +
SUMIFS(Jamaica!$L:$L, Jamaica!$B:$B, $A23, Jamaica!$D:$D, "Out Ports") + SUMIFS(Mountserat!$L:$L, Mountserat!$B:$B, $A23, Mountserat!$D:$D, "Out Ports") + SUMIFS(Nevis!$L:$L, Nevis!$B:$B, $A23, Nevis!$D:$D, "Out Ports") + SUMIFS(NewEngland!$L:$L, NewEngland!$B:$B, $A23, NewEngland!$D:$D, "Out Ports")</f>
        <v>0</v>
      </c>
      <c r="D23">
        <f t="shared" si="0"/>
        <v>0</v>
      </c>
    </row>
    <row r="24" spans="1:4" x14ac:dyDescent="0.25">
      <c r="A24" t="s">
        <v>119</v>
      </c>
      <c r="B24">
        <f>SUMIFS(Antigua!$L:$L, Antigua!$B:$B, $A24, Antigua!$D:$D, "London") +
SUMIFS(Barbados!$L:$L, Barbados!$B:$B, $A24, Barbados!$D:$D, "London") +
SUMIFS(Bermuda!$L:$L, Bermuda!$B:$B, $A24, Bermuda!$D:$D, "London") +
SUMIFS(Carolina!$L:$L, Carolina!$B:$B, $A24, Carolina!$D:$D, "London") +
SUMIFS(Jamaica!$L:$L, Jamaica!$B:$B, $A24, Jamaica!$D:$D, "London") + SUMIFS(Mountserat!$L:$L, Mountserat!$B:$B, $A24, Mountserat!$D:$D, "London") + SUMIFS(Nevis!$L:$L, Nevis!$B:$B, $A24, Nevis!$D:$D, "London") + SUMIFS(NewEngland!$L:$L, NewEngland!$B:$B, $A24, NewEngland!$D:$D, "London")</f>
        <v>0</v>
      </c>
      <c r="C24">
        <f>SUMIFS(Antigua!$L:$L, Antigua!$B:$B, $A24, Antigua!$D:$D, "Out Ports") +
SUMIFS(Barbados!$L:$L, Barbados!$B:$B, $A24, Barbados!$D:$D, "Out Ports") +
SUMIFS(Bermuda!$L:$L, Bermuda!$B:$B, $A24, Bermuda!$D:$D, "Out Ports") +
SUMIFS(Carolina!$L:$L, Carolina!$B:$B, $A24, Carolina!$D:$D, "Out Ports") +
SUMIFS(Jamaica!$L:$L, Jamaica!$B:$B, $A24, Jamaica!$D:$D, "Out Ports") + SUMIFS(Mountserat!$L:$L, Mountserat!$B:$B, $A24, Mountserat!$D:$D, "Out Ports") + SUMIFS(Nevis!$L:$L, Nevis!$B:$B, $A24, Nevis!$D:$D, "Out Ports") + SUMIFS(NewEngland!$L:$L, NewEngland!$B:$B, $A24, NewEngland!$D:$D, "Out Ports")</f>
        <v>0</v>
      </c>
      <c r="D24">
        <f t="shared" si="0"/>
        <v>0</v>
      </c>
    </row>
    <row r="25" spans="1:4" x14ac:dyDescent="0.25">
      <c r="A25" t="s">
        <v>120</v>
      </c>
      <c r="B25">
        <f>SUMIFS(Antigua!$L:$L, Antigua!$B:$B, $A25, Antigua!$D:$D, "London") +
SUMIFS(Barbados!$L:$L, Barbados!$B:$B, $A25, Barbados!$D:$D, "London") +
SUMIFS(Bermuda!$L:$L, Bermuda!$B:$B, $A25, Bermuda!$D:$D, "London") +
SUMIFS(Carolina!$L:$L, Carolina!$B:$B, $A25, Carolina!$D:$D, "London") +
SUMIFS(Jamaica!$L:$L, Jamaica!$B:$B, $A25, Jamaica!$D:$D, "London") + SUMIFS(Mountserat!$L:$L, Mountserat!$B:$B, $A25, Mountserat!$D:$D, "London") + SUMIFS(Nevis!$L:$L, Nevis!$B:$B, $A25, Nevis!$D:$D, "London") + SUMIFS(NewEngland!$L:$L, NewEngland!$B:$B, $A25, NewEngland!$D:$D, "London")</f>
        <v>0</v>
      </c>
      <c r="C25">
        <f>SUMIFS(Antigua!$L:$L, Antigua!$B:$B, $A25, Antigua!$D:$D, "Out Ports") +
SUMIFS(Barbados!$L:$L, Barbados!$B:$B, $A25, Barbados!$D:$D, "Out Ports") +
SUMIFS(Bermuda!$L:$L, Bermuda!$B:$B, $A25, Bermuda!$D:$D, "Out Ports") +
SUMIFS(Carolina!$L:$L, Carolina!$B:$B, $A25, Carolina!$D:$D, "Out Ports") +
SUMIFS(Jamaica!$L:$L, Jamaica!$B:$B, $A25, Jamaica!$D:$D, "Out Ports") + SUMIFS(Mountserat!$L:$L, Mountserat!$B:$B, $A25, Mountserat!$D:$D, "Out Ports") + SUMIFS(Nevis!$L:$L, Nevis!$B:$B, $A25, Nevis!$D:$D, "Out Ports") + SUMIFS(NewEngland!$L:$L, NewEngland!$B:$B, $A25, NewEngland!$D:$D, "Out Ports")</f>
        <v>0</v>
      </c>
      <c r="D25">
        <f t="shared" si="0"/>
        <v>0</v>
      </c>
    </row>
    <row r="26" spans="1:4" x14ac:dyDescent="0.25">
      <c r="A26" t="s">
        <v>121</v>
      </c>
      <c r="B26">
        <f>SUMIFS(Antigua!$L:$L, Antigua!$B:$B, $A26, Antigua!$D:$D, "London") +
SUMIFS(Barbados!$L:$L, Barbados!$B:$B, $A26, Barbados!$D:$D, "London") +
SUMIFS(Bermuda!$L:$L, Bermuda!$B:$B, $A26, Bermuda!$D:$D, "London") +
SUMIFS(Carolina!$L:$L, Carolina!$B:$B, $A26, Carolina!$D:$D, "London") +
SUMIFS(Jamaica!$L:$L, Jamaica!$B:$B, $A26, Jamaica!$D:$D, "London") + SUMIFS(Mountserat!$L:$L, Mountserat!$B:$B, $A26, Mountserat!$D:$D, "London") + SUMIFS(Nevis!$L:$L, Nevis!$B:$B, $A26, Nevis!$D:$D, "London") + SUMIFS(NewEngland!$L:$L, NewEngland!$B:$B, $A26, NewEngland!$D:$D, "London")</f>
        <v>0</v>
      </c>
      <c r="C26">
        <f>SUMIFS(Antigua!$L:$L, Antigua!$B:$B, $A26, Antigua!$D:$D, "Out Ports") +
SUMIFS(Barbados!$L:$L, Barbados!$B:$B, $A26, Barbados!$D:$D, "Out Ports") +
SUMIFS(Bermuda!$L:$L, Bermuda!$B:$B, $A26, Bermuda!$D:$D, "Out Ports") +
SUMIFS(Carolina!$L:$L, Carolina!$B:$B, $A26, Carolina!$D:$D, "Out Ports") +
SUMIFS(Jamaica!$L:$L, Jamaica!$B:$B, $A26, Jamaica!$D:$D, "Out Ports") + SUMIFS(Mountserat!$L:$L, Mountserat!$B:$B, $A26, Mountserat!$D:$D, "Out Ports") + SUMIFS(Nevis!$L:$L, Nevis!$B:$B, $A26, Nevis!$D:$D, "Out Ports") + SUMIFS(NewEngland!$L:$L, NewEngland!$B:$B, $A26, NewEngland!$D:$D, "Out Ports")</f>
        <v>0</v>
      </c>
      <c r="D26">
        <f t="shared" si="0"/>
        <v>0</v>
      </c>
    </row>
    <row r="27" spans="1:4" x14ac:dyDescent="0.25">
      <c r="A27" t="s">
        <v>9</v>
      </c>
      <c r="B27">
        <f>SUMIFS(Antigua!$L:$L, Antigua!$B:$B, $A27, Antigua!$D:$D, "London") +
SUMIFS(Barbados!$L:$L, Barbados!$B:$B, $A27, Barbados!$D:$D, "London") +
SUMIFS(Bermuda!$L:$L, Bermuda!$B:$B, $A27, Bermuda!$D:$D, "London") +
SUMIFS(Carolina!$L:$L, Carolina!$B:$B, $A27, Carolina!$D:$D, "London") +
SUMIFS(Jamaica!$L:$L, Jamaica!$B:$B, $A27, Jamaica!$D:$D, "London") + SUMIFS(Mountserat!$L:$L, Mountserat!$B:$B, $A27, Mountserat!$D:$D, "London") + SUMIFS(Nevis!$L:$L, Nevis!$B:$B, $A27, Nevis!$D:$D, "London") + SUMIFS(NewEngland!$L:$L, NewEngland!$B:$B, $A27, NewEngland!$D:$D, "London")</f>
        <v>269.41964285714289</v>
      </c>
      <c r="C27">
        <f>SUMIFS(Antigua!$L:$L, Antigua!$B:$B, $A27, Antigua!$D:$D, "Out Ports") +
SUMIFS(Barbados!$L:$L, Barbados!$B:$B, $A27, Barbados!$D:$D, "Out Ports") +
SUMIFS(Bermuda!$L:$L, Bermuda!$B:$B, $A27, Bermuda!$D:$D, "Out Ports") +
SUMIFS(Carolina!$L:$L, Carolina!$B:$B, $A27, Carolina!$D:$D, "Out Ports") +
SUMIFS(Jamaica!$L:$L, Jamaica!$B:$B, $A27, Jamaica!$D:$D, "Out Ports") + SUMIFS(Mountserat!$L:$L, Mountserat!$B:$B, $A27, Mountserat!$D:$D, "Out Ports") + SUMIFS(Nevis!$L:$L, Nevis!$B:$B, $A27, Nevis!$D:$D, "Out Ports") + SUMIFS(NewEngland!$L:$L, NewEngland!$B:$B, $A27, NewEngland!$D:$D, "Out Ports")</f>
        <v>85.68883928571428</v>
      </c>
      <c r="D27">
        <f t="shared" si="0"/>
        <v>355.11</v>
      </c>
    </row>
    <row r="28" spans="1:4" x14ac:dyDescent="0.25">
      <c r="A28" t="s">
        <v>16</v>
      </c>
      <c r="B28">
        <f>SUMIFS(Antigua!$L:$L, Antigua!$B:$B, $A28, Antigua!$D:$D, "London") +
SUMIFS(Barbados!$L:$L, Barbados!$B:$B, $A28, Barbados!$D:$D, "London") +
SUMIFS(Bermuda!$L:$L, Bermuda!$B:$B, $A28, Bermuda!$D:$D, "London") +
SUMIFS(Carolina!$L:$L, Carolina!$B:$B, $A28, Carolina!$D:$D, "London") +
SUMIFS(Jamaica!$L:$L, Jamaica!$B:$B, $A28, Jamaica!$D:$D, "London") + SUMIFS(Mountserat!$L:$L, Mountserat!$B:$B, $A28, Mountserat!$D:$D, "London") + SUMIFS(Nevis!$L:$L, Nevis!$B:$B, $A28, Nevis!$D:$D, "London") + SUMIFS(NewEngland!$L:$L, NewEngland!$B:$B, $A28, NewEngland!$D:$D, "London")</f>
        <v>933.11651785714287</v>
      </c>
      <c r="C28">
        <f>SUMIFS(Antigua!$L:$L, Antigua!$B:$B, $A28, Antigua!$D:$D, "Out Ports") +
SUMIFS(Barbados!$L:$L, Barbados!$B:$B, $A28, Barbados!$D:$D, "Out Ports") +
SUMIFS(Bermuda!$L:$L, Bermuda!$B:$B, $A28, Bermuda!$D:$D, "Out Ports") +
SUMIFS(Carolina!$L:$L, Carolina!$B:$B, $A28, Carolina!$D:$D, "Out Ports") +
SUMIFS(Jamaica!$L:$L, Jamaica!$B:$B, $A28, Jamaica!$D:$D, "Out Ports") + SUMIFS(Mountserat!$L:$L, Mountserat!$B:$B, $A28, Mountserat!$D:$D, "Out Ports") + SUMIFS(Nevis!$L:$L, Nevis!$B:$B, $A28, Nevis!$D:$D, "Out Ports") + SUMIFS(NewEngland!$L:$L, NewEngland!$B:$B, $A28, NewEngland!$D:$D, "Out Ports")</f>
        <v>87.8955357142857</v>
      </c>
      <c r="D28">
        <f t="shared" si="0"/>
        <v>1021.01</v>
      </c>
    </row>
    <row r="29" spans="1:4" x14ac:dyDescent="0.25">
      <c r="A29" t="s">
        <v>26</v>
      </c>
      <c r="B29">
        <f>SUMIFS(Antigua!$L:$L, Antigua!$B:$B, $A29, Antigua!$D:$D, "London") +
SUMIFS(Barbados!$L:$L, Barbados!$B:$B, $A29, Barbados!$D:$D, "London") +
SUMIFS(Bermuda!$L:$L, Bermuda!$B:$B, $A29, Bermuda!$D:$D, "London") +
SUMIFS(Carolina!$L:$L, Carolina!$B:$B, $A29, Carolina!$D:$D, "London") +
SUMIFS(Jamaica!$L:$L, Jamaica!$B:$B, $A29, Jamaica!$D:$D, "London") + SUMIFS(Mountserat!$L:$L, Mountserat!$B:$B, $A29, Mountserat!$D:$D, "London") + SUMIFS(Nevis!$L:$L, Nevis!$B:$B, $A29, Nevis!$D:$D, "London") + SUMIFS(NewEngland!$L:$L, NewEngland!$B:$B, $A29, NewEngland!$D:$D, "London")</f>
        <v>28.208035714285714</v>
      </c>
      <c r="C29">
        <f>SUMIFS(Antigua!$L:$L, Antigua!$B:$B, $A29, Antigua!$D:$D, "Out Ports") +
SUMIFS(Barbados!$L:$L, Barbados!$B:$B, $A29, Barbados!$D:$D, "Out Ports") +
SUMIFS(Bermuda!$L:$L, Bermuda!$B:$B, $A29, Bermuda!$D:$D, "Out Ports") +
SUMIFS(Carolina!$L:$L, Carolina!$B:$B, $A29, Carolina!$D:$D, "Out Ports") +
SUMIFS(Jamaica!$L:$L, Jamaica!$B:$B, $A29, Jamaica!$D:$D, "Out Ports") + SUMIFS(Mountserat!$L:$L, Mountserat!$B:$B, $A29, Mountserat!$D:$D, "Out Ports") + SUMIFS(Nevis!$L:$L, Nevis!$B:$B, $A29, Nevis!$D:$D, "Out Ports") + SUMIFS(NewEngland!$L:$L, NewEngland!$B:$B, $A29, NewEngland!$D:$D, "Out Ports")</f>
        <v>0.39866071428571431</v>
      </c>
      <c r="D29">
        <f t="shared" si="0"/>
        <v>28.61</v>
      </c>
    </row>
    <row r="30" spans="1:4" x14ac:dyDescent="0.25">
      <c r="A30" t="s">
        <v>122</v>
      </c>
      <c r="B30">
        <f>SUMIFS(Antigua!$L:$L, Antigua!$B:$B, $A30, Antigua!$D:$D, "London") +
SUMIFS(Barbados!$L:$L, Barbados!$B:$B, $A30, Barbados!$D:$D, "London") +
SUMIFS(Bermuda!$L:$L, Bermuda!$B:$B, $A30, Bermuda!$D:$D, "London") +
SUMIFS(Carolina!$L:$L, Carolina!$B:$B, $A30, Carolina!$D:$D, "London") +
SUMIFS(Jamaica!$L:$L, Jamaica!$B:$B, $A30, Jamaica!$D:$D, "London") + SUMIFS(Mountserat!$L:$L, Mountserat!$B:$B, $A30, Mountserat!$D:$D, "London") + SUMIFS(Nevis!$L:$L, Nevis!$B:$B, $A30, Nevis!$D:$D, "London") + SUMIFS(NewEngland!$L:$L, NewEngland!$B:$B, $A30, NewEngland!$D:$D, "London")</f>
        <v>0.79508928571428572</v>
      </c>
      <c r="C30">
        <f>SUMIFS(Antigua!$L:$L, Antigua!$B:$B, $A30, Antigua!$D:$D, "Out Ports") +
SUMIFS(Barbados!$L:$L, Barbados!$B:$B, $A30, Barbados!$D:$D, "Out Ports") +
SUMIFS(Bermuda!$L:$L, Bermuda!$B:$B, $A30, Bermuda!$D:$D, "Out Ports") +
SUMIFS(Carolina!$L:$L, Carolina!$B:$B, $A30, Carolina!$D:$D, "Out Ports") +
SUMIFS(Jamaica!$L:$L, Jamaica!$B:$B, $A30, Jamaica!$D:$D, "Out Ports") + SUMIFS(Mountserat!$L:$L, Mountserat!$B:$B, $A30, Mountserat!$D:$D, "Out Ports") + SUMIFS(Nevis!$L:$L, Nevis!$B:$B, $A30, Nevis!$D:$D, "Out Ports") + SUMIFS(NewEngland!$L:$L, NewEngland!$B:$B, $A30, NewEngland!$D:$D, "Out Ports")</f>
        <v>0</v>
      </c>
      <c r="D30">
        <f t="shared" si="0"/>
        <v>0.8</v>
      </c>
    </row>
    <row r="31" spans="1:4" x14ac:dyDescent="0.25">
      <c r="A31" t="s">
        <v>123</v>
      </c>
      <c r="B31">
        <f>SUMIFS(Antigua!$L:$L, Antigua!$B:$B, $A31, Antigua!$D:$D, "London") +
SUMIFS(Barbados!$L:$L, Barbados!$B:$B, $A31, Barbados!$D:$D, "London") +
SUMIFS(Bermuda!$L:$L, Bermuda!$B:$B, $A31, Bermuda!$D:$D, "London") +
SUMIFS(Carolina!$L:$L, Carolina!$B:$B, $A31, Carolina!$D:$D, "London") +
SUMIFS(Jamaica!$L:$L, Jamaica!$B:$B, $A31, Jamaica!$D:$D, "London") + SUMIFS(Mountserat!$L:$L, Mountserat!$B:$B, $A31, Mountserat!$D:$D, "London") + SUMIFS(Nevis!$L:$L, Nevis!$B:$B, $A31, Nevis!$D:$D, "London") + SUMIFS(NewEngland!$L:$L, NewEngland!$B:$B, $A31, NewEngland!$D:$D, "London")</f>
        <v>0</v>
      </c>
      <c r="C31">
        <f>SUMIFS(Antigua!$L:$L, Antigua!$B:$B, $A31, Antigua!$D:$D, "Out Ports") +
SUMIFS(Barbados!$L:$L, Barbados!$B:$B, $A31, Barbados!$D:$D, "Out Ports") +
SUMIFS(Bermuda!$L:$L, Bermuda!$B:$B, $A31, Bermuda!$D:$D, "Out Ports") +
SUMIFS(Carolina!$L:$L, Carolina!$B:$B, $A31, Carolina!$D:$D, "Out Ports") +
SUMIFS(Jamaica!$L:$L, Jamaica!$B:$B, $A31, Jamaica!$D:$D, "Out Ports") + SUMIFS(Mountserat!$L:$L, Mountserat!$B:$B, $A31, Mountserat!$D:$D, "Out Ports") + SUMIFS(Nevis!$L:$L, Nevis!$B:$B, $A31, Nevis!$D:$D, "Out Ports") + SUMIFS(NewEngland!$L:$L, NewEngland!$B:$B, $A31, NewEngland!$D:$D, "Out Ports")</f>
        <v>0</v>
      </c>
      <c r="D31">
        <f t="shared" si="0"/>
        <v>0</v>
      </c>
    </row>
    <row r="32" spans="1:4" x14ac:dyDescent="0.25">
      <c r="A32" t="s">
        <v>124</v>
      </c>
      <c r="B32">
        <f>SUMIFS(Antigua!$L:$L, Antigua!$B:$B, $A32, Antigua!$D:$D, "London") +
SUMIFS(Barbados!$L:$L, Barbados!$B:$B, $A32, Barbados!$D:$D, "London") +
SUMIFS(Bermuda!$L:$L, Bermuda!$B:$B, $A32, Bermuda!$D:$D, "London") +
SUMIFS(Carolina!$L:$L, Carolina!$B:$B, $A32, Carolina!$D:$D, "London") +
SUMIFS(Jamaica!$L:$L, Jamaica!$B:$B, $A32, Jamaica!$D:$D, "London") + SUMIFS(Mountserat!$L:$L, Mountserat!$B:$B, $A32, Mountserat!$D:$D, "London") + SUMIFS(Nevis!$L:$L, Nevis!$B:$B, $A32, Nevis!$D:$D, "London") + SUMIFS(NewEngland!$L:$L, NewEngland!$B:$B, $A32, NewEngland!$D:$D, "London")</f>
        <v>0</v>
      </c>
      <c r="C32">
        <f>SUMIFS(Antigua!$L:$L, Antigua!$B:$B, $A32, Antigua!$D:$D, "Out Ports") +
SUMIFS(Barbados!$L:$L, Barbados!$B:$B, $A32, Barbados!$D:$D, "Out Ports") +
SUMIFS(Bermuda!$L:$L, Bermuda!$B:$B, $A32, Bermuda!$D:$D, "Out Ports") +
SUMIFS(Carolina!$L:$L, Carolina!$B:$B, $A32, Carolina!$D:$D, "Out Ports") +
SUMIFS(Jamaica!$L:$L, Jamaica!$B:$B, $A32, Jamaica!$D:$D, "Out Ports") + SUMIFS(Mountserat!$L:$L, Mountserat!$B:$B, $A32, Mountserat!$D:$D, "Out Ports") + SUMIFS(Nevis!$L:$L, Nevis!$B:$B, $A32, Nevis!$D:$D, "Out Ports") + SUMIFS(NewEngland!$L:$L, NewEngland!$B:$B, $A32, NewEngland!$D:$D, "Out Ports")</f>
        <v>0</v>
      </c>
      <c r="D32">
        <f t="shared" si="0"/>
        <v>0</v>
      </c>
    </row>
    <row r="33" spans="1:4" x14ac:dyDescent="0.25">
      <c r="A33" t="s">
        <v>125</v>
      </c>
      <c r="B33">
        <f>SUMIFS(Antigua!$L:$L, Antigua!$B:$B, $A33, Antigua!$D:$D, "London") +
SUMIFS(Barbados!$L:$L, Barbados!$B:$B, $A33, Barbados!$D:$D, "London") +
SUMIFS(Bermuda!$L:$L, Bermuda!$B:$B, $A33, Bermuda!$D:$D, "London") +
SUMIFS(Carolina!$L:$L, Carolina!$B:$B, $A33, Carolina!$D:$D, "London") +
SUMIFS(Jamaica!$L:$L, Jamaica!$B:$B, $A33, Jamaica!$D:$D, "London") + SUMIFS(Mountserat!$L:$L, Mountserat!$B:$B, $A33, Mountserat!$D:$D, "London") + SUMIFS(Nevis!$L:$L, Nevis!$B:$B, $A33, Nevis!$D:$D, "London") + SUMIFS(NewEngland!$L:$L, NewEngland!$B:$B, $A33, NewEngland!$D:$D, "London")</f>
        <v>0</v>
      </c>
      <c r="C33">
        <f>SUMIFS(Antigua!$L:$L, Antigua!$B:$B, $A33, Antigua!$D:$D, "Out Ports") +
SUMIFS(Barbados!$L:$L, Barbados!$B:$B, $A33, Barbados!$D:$D, "Out Ports") +
SUMIFS(Bermuda!$L:$L, Bermuda!$B:$B, $A33, Bermuda!$D:$D, "Out Ports") +
SUMIFS(Carolina!$L:$L, Carolina!$B:$B, $A33, Carolina!$D:$D, "Out Ports") +
SUMIFS(Jamaica!$L:$L, Jamaica!$B:$B, $A33, Jamaica!$D:$D, "Out Ports") + SUMIFS(Mountserat!$L:$L, Mountserat!$B:$B, $A33, Mountserat!$D:$D, "Out Ports") + SUMIFS(Nevis!$L:$L, Nevis!$B:$B, $A33, Nevis!$D:$D, "Out Ports") + SUMIFS(NewEngland!$L:$L, NewEngland!$B:$B, $A33, NewEngland!$D:$D, "Out Ports")</f>
        <v>0</v>
      </c>
      <c r="D33">
        <f t="shared" si="0"/>
        <v>0</v>
      </c>
    </row>
    <row r="34" spans="1:4" x14ac:dyDescent="0.25">
      <c r="A34" t="s">
        <v>126</v>
      </c>
      <c r="B34">
        <f>SUMIFS(Antigua!$L:$L, Antigua!$B:$B, $A34, Antigua!$D:$D, "London") +
SUMIFS(Barbados!$L:$L, Barbados!$B:$B, $A34, Barbados!$D:$D, "London") +
SUMIFS(Bermuda!$L:$L, Bermuda!$B:$B, $A34, Bermuda!$D:$D, "London") +
SUMIFS(Carolina!$L:$L, Carolina!$B:$B, $A34, Carolina!$D:$D, "London") +
SUMIFS(Jamaica!$L:$L, Jamaica!$B:$B, $A34, Jamaica!$D:$D, "London") + SUMIFS(Mountserat!$L:$L, Mountserat!$B:$B, $A34, Mountserat!$D:$D, "London") + SUMIFS(Nevis!$L:$L, Nevis!$B:$B, $A34, Nevis!$D:$D, "London") + SUMIFS(NewEngland!$L:$L, NewEngland!$B:$B, $A34, NewEngland!$D:$D, "London")</f>
        <v>0</v>
      </c>
      <c r="C34">
        <f>SUMIFS(Antigua!$L:$L, Antigua!$B:$B, $A34, Antigua!$D:$D, "Out Ports") +
SUMIFS(Barbados!$L:$L, Barbados!$B:$B, $A34, Barbados!$D:$D, "Out Ports") +
SUMIFS(Bermuda!$L:$L, Bermuda!$B:$B, $A34, Bermuda!$D:$D, "Out Ports") +
SUMIFS(Carolina!$L:$L, Carolina!$B:$B, $A34, Carolina!$D:$D, "Out Ports") +
SUMIFS(Jamaica!$L:$L, Jamaica!$B:$B, $A34, Jamaica!$D:$D, "Out Ports") + SUMIFS(Mountserat!$L:$L, Mountserat!$B:$B, $A34, Mountserat!$D:$D, "Out Ports") + SUMIFS(Nevis!$L:$L, Nevis!$B:$B, $A34, Nevis!$D:$D, "Out Ports") + SUMIFS(NewEngland!$L:$L, NewEngland!$B:$B, $A34, NewEngland!$D:$D, "Out Ports")</f>
        <v>0</v>
      </c>
      <c r="D34">
        <f t="shared" si="0"/>
        <v>0</v>
      </c>
    </row>
    <row r="35" spans="1:4" x14ac:dyDescent="0.25">
      <c r="A35" t="s">
        <v>127</v>
      </c>
      <c r="B35">
        <f>SUMIFS(Antigua!$L:$L, Antigua!$B:$B, $A35, Antigua!$D:$D, "London") +
SUMIFS(Barbados!$L:$L, Barbados!$B:$B, $A35, Barbados!$D:$D, "London") +
SUMIFS(Bermuda!$L:$L, Bermuda!$B:$B, $A35, Bermuda!$D:$D, "London") +
SUMIFS(Carolina!$L:$L, Carolina!$B:$B, $A35, Carolina!$D:$D, "London") +
SUMIFS(Jamaica!$L:$L, Jamaica!$B:$B, $A35, Jamaica!$D:$D, "London") + SUMIFS(Mountserat!$L:$L, Mountserat!$B:$B, $A35, Mountserat!$D:$D, "London") + SUMIFS(Nevis!$L:$L, Nevis!$B:$B, $A35, Nevis!$D:$D, "London") + SUMIFS(NewEngland!$L:$L, NewEngland!$B:$B, $A35, NewEngland!$D:$D, "London")</f>
        <v>0</v>
      </c>
      <c r="C35">
        <f>SUMIFS(Antigua!$L:$L, Antigua!$B:$B, $A35, Antigua!$D:$D, "Out Ports") +
SUMIFS(Barbados!$L:$L, Barbados!$B:$B, $A35, Barbados!$D:$D, "Out Ports") +
SUMIFS(Bermuda!$L:$L, Bermuda!$B:$B, $A35, Bermuda!$D:$D, "Out Ports") +
SUMIFS(Carolina!$L:$L, Carolina!$B:$B, $A35, Carolina!$D:$D, "Out Ports") +
SUMIFS(Jamaica!$L:$L, Jamaica!$B:$B, $A35, Jamaica!$D:$D, "Out Ports") + SUMIFS(Mountserat!$L:$L, Mountserat!$B:$B, $A35, Mountserat!$D:$D, "Out Ports") + SUMIFS(Nevis!$L:$L, Nevis!$B:$B, $A35, Nevis!$D:$D, "Out Ports") + SUMIFS(NewEngland!$L:$L, NewEngland!$B:$B, $A35, NewEngland!$D:$D, "Out Ports")</f>
        <v>0</v>
      </c>
      <c r="D35">
        <f t="shared" si="0"/>
        <v>0</v>
      </c>
    </row>
    <row r="36" spans="1:4" x14ac:dyDescent="0.25">
      <c r="A36" t="s">
        <v>8</v>
      </c>
      <c r="B36">
        <f>SUMIFS(Antigua!$L:$L, Antigua!$B:$B, $A36, Antigua!$D:$D, "London") +
SUMIFS(Barbados!$L:$L, Barbados!$B:$B, $A36, Barbados!$D:$D, "London") +
SUMIFS(Bermuda!$L:$L, Bermuda!$B:$B, $A36, Bermuda!$D:$D, "London") +
SUMIFS(Carolina!$L:$L, Carolina!$B:$B, $A36, Carolina!$D:$D, "London") +
SUMIFS(Jamaica!$L:$L, Jamaica!$B:$B, $A36, Jamaica!$D:$D, "London") + SUMIFS(Mountserat!$L:$L, Mountserat!$B:$B, $A36, Mountserat!$D:$D, "London") + SUMIFS(Nevis!$L:$L, Nevis!$B:$B, $A36, Nevis!$D:$D, "London") + SUMIFS(NewEngland!$L:$L, NewEngland!$B:$B, $A36, NewEngland!$D:$D, "London")</f>
        <v>153.39955357142858</v>
      </c>
      <c r="C36">
        <f>SUMIFS(Antigua!$L:$L, Antigua!$B:$B, $A36, Antigua!$D:$D, "Out Ports") +
SUMIFS(Barbados!$L:$L, Barbados!$B:$B, $A36, Barbados!$D:$D, "Out Ports") +
SUMIFS(Bermuda!$L:$L, Bermuda!$B:$B, $A36, Bermuda!$D:$D, "Out Ports") +
SUMIFS(Carolina!$L:$L, Carolina!$B:$B, $A36, Carolina!$D:$D, "Out Ports") +
SUMIFS(Jamaica!$L:$L, Jamaica!$B:$B, $A36, Jamaica!$D:$D, "Out Ports") + SUMIFS(Mountserat!$L:$L, Mountserat!$B:$B, $A36, Mountserat!$D:$D, "Out Ports") + SUMIFS(Nevis!$L:$L, Nevis!$B:$B, $A36, Nevis!$D:$D, "Out Ports") + SUMIFS(NewEngland!$L:$L, NewEngland!$B:$B, $A36, NewEngland!$D:$D, "Out Ports")</f>
        <v>15.924330357142859</v>
      </c>
      <c r="D36">
        <f t="shared" si="0"/>
        <v>169.32</v>
      </c>
    </row>
    <row r="37" spans="1:4" x14ac:dyDescent="0.25">
      <c r="A37" t="s">
        <v>128</v>
      </c>
      <c r="B37">
        <f>SUMIFS(Antigua!$L:$L, Antigua!$B:$B, $A37, Antigua!$D:$D, "London") +
SUMIFS(Barbados!$L:$L, Barbados!$B:$B, $A37, Barbados!$D:$D, "London") +
SUMIFS(Bermuda!$L:$L, Bermuda!$B:$B, $A37, Bermuda!$D:$D, "London") +
SUMIFS(Carolina!$L:$L, Carolina!$B:$B, $A37, Carolina!$D:$D, "London") +
SUMIFS(Jamaica!$L:$L, Jamaica!$B:$B, $A37, Jamaica!$D:$D, "London") + SUMIFS(Mountserat!$L:$L, Mountserat!$B:$B, $A37, Mountserat!$D:$D, "London") + SUMIFS(Nevis!$L:$L, Nevis!$B:$B, $A37, Nevis!$D:$D, "London") + SUMIFS(NewEngland!$L:$L, NewEngland!$B:$B, $A37, NewEngland!$D:$D, "London")</f>
        <v>0</v>
      </c>
      <c r="C37">
        <f>SUMIFS(Antigua!$L:$L, Antigua!$B:$B, $A37, Antigua!$D:$D, "Out Ports") +
SUMIFS(Barbados!$L:$L, Barbados!$B:$B, $A37, Barbados!$D:$D, "Out Ports") +
SUMIFS(Bermuda!$L:$L, Bermuda!$B:$B, $A37, Bermuda!$D:$D, "Out Ports") +
SUMIFS(Carolina!$L:$L, Carolina!$B:$B, $A37, Carolina!$D:$D, "Out Ports") +
SUMIFS(Jamaica!$L:$L, Jamaica!$B:$B, $A37, Jamaica!$D:$D, "Out Ports") + SUMIFS(Mountserat!$L:$L, Mountserat!$B:$B, $A37, Mountserat!$D:$D, "Out Ports") + SUMIFS(Nevis!$L:$L, Nevis!$B:$B, $A37, Nevis!$D:$D, "Out Ports") + SUMIFS(NewEngland!$L:$L, NewEngland!$B:$B, $A37, NewEngland!$D:$D, "Out Ports")</f>
        <v>0</v>
      </c>
      <c r="D37">
        <f t="shared" si="0"/>
        <v>0</v>
      </c>
    </row>
    <row r="38" spans="1:4" x14ac:dyDescent="0.25">
      <c r="A38" t="s">
        <v>37</v>
      </c>
      <c r="B38">
        <f>SUMIFS(Antigua!$L:$L, Antigua!$B:$B, $A38, Antigua!$D:$D, "London") +
SUMIFS(Barbados!$L:$L, Barbados!$B:$B, $A38, Barbados!$D:$D, "London") +
SUMIFS(Bermuda!$L:$L, Bermuda!$B:$B, $A38, Bermuda!$D:$D, "London") +
SUMIFS(Carolina!$L:$L, Carolina!$B:$B, $A38, Carolina!$D:$D, "London") +
SUMIFS(Jamaica!$L:$L, Jamaica!$B:$B, $A38, Jamaica!$D:$D, "London") + SUMIFS(Mountserat!$L:$L, Mountserat!$B:$B, $A38, Mountserat!$D:$D, "London") + SUMIFS(Nevis!$L:$L, Nevis!$B:$B, $A38, Nevis!$D:$D, "London") + SUMIFS(NewEngland!$L:$L, NewEngland!$B:$B, $A38, NewEngland!$D:$D, "London")</f>
        <v>0.94330357142857146</v>
      </c>
      <c r="C38">
        <f>SUMIFS(Antigua!$L:$L, Antigua!$B:$B, $A38, Antigua!$D:$D, "Out Ports") +
SUMIFS(Barbados!$L:$L, Barbados!$B:$B, $A38, Barbados!$D:$D, "Out Ports") +
SUMIFS(Bermuda!$L:$L, Bermuda!$B:$B, $A38, Bermuda!$D:$D, "Out Ports") +
SUMIFS(Carolina!$L:$L, Carolina!$B:$B, $A38, Carolina!$D:$D, "Out Ports") +
SUMIFS(Jamaica!$L:$L, Jamaica!$B:$B, $A38, Jamaica!$D:$D, "Out Ports") + SUMIFS(Mountserat!$L:$L, Mountserat!$B:$B, $A38, Mountserat!$D:$D, "Out Ports") + SUMIFS(Nevis!$L:$L, Nevis!$B:$B, $A38, Nevis!$D:$D, "Out Ports") + SUMIFS(NewEngland!$L:$L, NewEngland!$B:$B, $A38, NewEngland!$D:$D, "Out Ports")</f>
        <v>0</v>
      </c>
      <c r="D38">
        <f t="shared" si="0"/>
        <v>0.94</v>
      </c>
    </row>
    <row r="39" spans="1:4" x14ac:dyDescent="0.25">
      <c r="A39" t="s">
        <v>38</v>
      </c>
      <c r="B39">
        <f>SUMIFS(Antigua!$L:$L, Antigua!$B:$B, $A39, Antigua!$D:$D, "London") +
SUMIFS(Barbados!$L:$L, Barbados!$B:$B, $A39, Barbados!$D:$D, "London") +
SUMIFS(Bermuda!$L:$L, Bermuda!$B:$B, $A39, Bermuda!$D:$D, "London") +
SUMIFS(Carolina!$L:$L, Carolina!$B:$B, $A39, Carolina!$D:$D, "London") +
SUMIFS(Jamaica!$L:$L, Jamaica!$B:$B, $A39, Jamaica!$D:$D, "London") + SUMIFS(Mountserat!$L:$L, Mountserat!$B:$B, $A39, Mountserat!$D:$D, "London") + SUMIFS(Nevis!$L:$L, Nevis!$B:$B, $A39, Nevis!$D:$D, "London") + SUMIFS(NewEngland!$L:$L, NewEngland!$B:$B, $A39, NewEngland!$D:$D, "London")</f>
        <v>319.05625000000003</v>
      </c>
      <c r="C39">
        <f>SUMIFS(Antigua!$L:$L, Antigua!$B:$B, $A39, Antigua!$D:$D, "Out Ports") +
SUMIFS(Barbados!$L:$L, Barbados!$B:$B, $A39, Barbados!$D:$D, "Out Ports") +
SUMIFS(Bermuda!$L:$L, Bermuda!$B:$B, $A39, Bermuda!$D:$D, "Out Ports") +
SUMIFS(Carolina!$L:$L, Carolina!$B:$B, $A39, Carolina!$D:$D, "Out Ports") +
SUMIFS(Jamaica!$L:$L, Jamaica!$B:$B, $A39, Jamaica!$D:$D, "Out Ports") + SUMIFS(Mountserat!$L:$L, Mountserat!$B:$B, $A39, Mountserat!$D:$D, "Out Ports") + SUMIFS(Nevis!$L:$L, Nevis!$B:$B, $A39, Nevis!$D:$D, "Out Ports") + SUMIFS(NewEngland!$L:$L, NewEngland!$B:$B, $A39, NewEngland!$D:$D, "Out Ports")</f>
        <v>27.13214285714286</v>
      </c>
      <c r="D39">
        <f t="shared" si="0"/>
        <v>346.19</v>
      </c>
    </row>
    <row r="40" spans="1:4" x14ac:dyDescent="0.25">
      <c r="A40" t="s">
        <v>22</v>
      </c>
      <c r="B40">
        <f>SUMIFS(Antigua!$L:$L, Antigua!$B:$B, $A40, Antigua!$D:$D, "London") +
SUMIFS(Barbados!$L:$L, Barbados!$B:$B, $A40, Barbados!$D:$D, "London") +
SUMIFS(Bermuda!$L:$L, Bermuda!$B:$B, $A40, Bermuda!$D:$D, "London") +
SUMIFS(Carolina!$L:$L, Carolina!$B:$B, $A40, Carolina!$D:$D, "London") +
SUMIFS(Jamaica!$L:$L, Jamaica!$B:$B, $A40, Jamaica!$D:$D, "London") + SUMIFS(Mountserat!$L:$L, Mountserat!$B:$B, $A40, Mountserat!$D:$D, "London") + SUMIFS(Nevis!$L:$L, Nevis!$B:$B, $A40, Nevis!$D:$D, "London") + SUMIFS(NewEngland!$L:$L, NewEngland!$B:$B, $A40, NewEngland!$D:$D, "London")</f>
        <v>22.439732142857142</v>
      </c>
      <c r="C40">
        <f>SUMIFS(Antigua!$L:$L, Antigua!$B:$B, $A40, Antigua!$D:$D, "Out Ports") +
SUMIFS(Barbados!$L:$L, Barbados!$B:$B, $A40, Barbados!$D:$D, "Out Ports") +
SUMIFS(Bermuda!$L:$L, Bermuda!$B:$B, $A40, Bermuda!$D:$D, "Out Ports") +
SUMIFS(Carolina!$L:$L, Carolina!$B:$B, $A40, Carolina!$D:$D, "Out Ports") +
SUMIFS(Jamaica!$L:$L, Jamaica!$B:$B, $A40, Jamaica!$D:$D, "Out Ports") + SUMIFS(Mountserat!$L:$L, Mountserat!$B:$B, $A40, Mountserat!$D:$D, "Out Ports") + SUMIFS(Nevis!$L:$L, Nevis!$B:$B, $A40, Nevis!$D:$D, "Out Ports") + SUMIFS(NewEngland!$L:$L, NewEngland!$B:$B, $A40, NewEngland!$D:$D, "Out Ports")</f>
        <v>3.7674107142857141</v>
      </c>
      <c r="D40">
        <f t="shared" si="0"/>
        <v>26.21</v>
      </c>
    </row>
    <row r="41" spans="1:4" x14ac:dyDescent="0.25">
      <c r="A41" t="s">
        <v>31</v>
      </c>
      <c r="B41">
        <f>SUMIFS(Antigua!$L:$L, Antigua!$B:$B, $A41, Antigua!$D:$D, "London") +
SUMIFS(Barbados!$L:$L, Barbados!$B:$B, $A41, Barbados!$D:$D, "London") +
SUMIFS(Bermuda!$L:$L, Bermuda!$B:$B, $A41, Bermuda!$D:$D, "London") +
SUMIFS(Carolina!$L:$L, Carolina!$B:$B, $A41, Carolina!$D:$D, "London") +
SUMIFS(Jamaica!$L:$L, Jamaica!$B:$B, $A41, Jamaica!$D:$D, "London") + SUMIFS(Mountserat!$L:$L, Mountserat!$B:$B, $A41, Mountserat!$D:$D, "London") + SUMIFS(Nevis!$L:$L, Nevis!$B:$B, $A41, Nevis!$D:$D, "London") + SUMIFS(NewEngland!$L:$L, NewEngland!$B:$B, $A41, NewEngland!$D:$D, "London")</f>
        <v>0.48035714285714287</v>
      </c>
      <c r="C41">
        <f>SUMIFS(Antigua!$L:$L, Antigua!$B:$B, $A41, Antigua!$D:$D, "Out Ports") +
SUMIFS(Barbados!$L:$L, Barbados!$B:$B, $A41, Barbados!$D:$D, "Out Ports") +
SUMIFS(Bermuda!$L:$L, Bermuda!$B:$B, $A41, Bermuda!$D:$D, "Out Ports") +
SUMIFS(Carolina!$L:$L, Carolina!$B:$B, $A41, Carolina!$D:$D, "Out Ports") +
SUMIFS(Jamaica!$L:$L, Jamaica!$B:$B, $A41, Jamaica!$D:$D, "Out Ports") + SUMIFS(Mountserat!$L:$L, Mountserat!$B:$B, $A41, Mountserat!$D:$D, "Out Ports") + SUMIFS(Nevis!$L:$L, Nevis!$B:$B, $A41, Nevis!$D:$D, "Out Ports") + SUMIFS(NewEngland!$L:$L, NewEngland!$B:$B, $A41, NewEngland!$D:$D, "Out Ports")</f>
        <v>0</v>
      </c>
      <c r="D41">
        <f t="shared" si="0"/>
        <v>0.48</v>
      </c>
    </row>
    <row r="42" spans="1:4" x14ac:dyDescent="0.25">
      <c r="A42" t="s">
        <v>30</v>
      </c>
      <c r="B42">
        <f>SUMIFS(Antigua!$L:$L, Antigua!$B:$B, $A42, Antigua!$D:$D, "London") +
SUMIFS(Barbados!$L:$L, Barbados!$B:$B, $A42, Barbados!$D:$D, "London") +
SUMIFS(Bermuda!$L:$L, Bermuda!$B:$B, $A42, Bermuda!$D:$D, "London") +
SUMIFS(Carolina!$L:$L, Carolina!$B:$B, $A42, Carolina!$D:$D, "London") +
SUMIFS(Jamaica!$L:$L, Jamaica!$B:$B, $A42, Jamaica!$D:$D, "London") + SUMIFS(Mountserat!$L:$L, Mountserat!$B:$B, $A42, Mountserat!$D:$D, "London") + SUMIFS(Nevis!$L:$L, Nevis!$B:$B, $A42, Nevis!$D:$D, "London") + SUMIFS(NewEngland!$L:$L, NewEngland!$B:$B, $A42, NewEngland!$D:$D, "London")</f>
        <v>3.7026785714285713</v>
      </c>
      <c r="C42">
        <f>SUMIFS(Antigua!$L:$L, Antigua!$B:$B, $A42, Antigua!$D:$D, "Out Ports") +
SUMIFS(Barbados!$L:$L, Barbados!$B:$B, $A42, Barbados!$D:$D, "Out Ports") +
SUMIFS(Bermuda!$L:$L, Bermuda!$B:$B, $A42, Bermuda!$D:$D, "Out Ports") +
SUMIFS(Carolina!$L:$L, Carolina!$B:$B, $A42, Carolina!$D:$D, "Out Ports") +
SUMIFS(Jamaica!$L:$L, Jamaica!$B:$B, $A42, Jamaica!$D:$D, "Out Ports") + SUMIFS(Mountserat!$L:$L, Mountserat!$B:$B, $A42, Mountserat!$D:$D, "Out Ports") + SUMIFS(Nevis!$L:$L, Nevis!$B:$B, $A42, Nevis!$D:$D, "Out Ports") + SUMIFS(NewEngland!$L:$L, NewEngland!$B:$B, $A42, NewEngland!$D:$D, "Out Ports")</f>
        <v>0</v>
      </c>
      <c r="D42">
        <f t="shared" si="0"/>
        <v>3.7</v>
      </c>
    </row>
    <row r="43" spans="1:4" x14ac:dyDescent="0.25">
      <c r="A43" t="s">
        <v>17</v>
      </c>
      <c r="B43">
        <f>SUMIFS(Antigua!$L:$L, Antigua!$B:$B, $A43, Antigua!$D:$D, "London") +
SUMIFS(Barbados!$L:$L, Barbados!$B:$B, $A43, Barbados!$D:$D, "London") +
SUMIFS(Bermuda!$L:$L, Bermuda!$B:$B, $A43, Bermuda!$D:$D, "London") +
SUMIFS(Carolina!$L:$L, Carolina!$B:$B, $A43, Carolina!$D:$D, "London") +
SUMIFS(Jamaica!$L:$L, Jamaica!$B:$B, $A43, Jamaica!$D:$D, "London") + SUMIFS(Mountserat!$L:$L, Mountserat!$B:$B, $A43, Mountserat!$D:$D, "London") + SUMIFS(Nevis!$L:$L, Nevis!$B:$B, $A43, Nevis!$D:$D, "London") + SUMIFS(NewEngland!$L:$L, NewEngland!$B:$B, $A43, NewEngland!$D:$D, "London")</f>
        <v>431.75937499999998</v>
      </c>
      <c r="C43">
        <f>SUMIFS(Antigua!$L:$L, Antigua!$B:$B, $A43, Antigua!$D:$D, "Out Ports") +
SUMIFS(Barbados!$L:$L, Barbados!$B:$B, $A43, Barbados!$D:$D, "Out Ports") +
SUMIFS(Bermuda!$L:$L, Bermuda!$B:$B, $A43, Bermuda!$D:$D, "Out Ports") +
SUMIFS(Carolina!$L:$L, Carolina!$B:$B, $A43, Carolina!$D:$D, "Out Ports") +
SUMIFS(Jamaica!$L:$L, Jamaica!$B:$B, $A43, Jamaica!$D:$D, "Out Ports") + SUMIFS(Mountserat!$L:$L, Mountserat!$B:$B, $A43, Mountserat!$D:$D, "Out Ports") + SUMIFS(Nevis!$L:$L, Nevis!$B:$B, $A43, Nevis!$D:$D, "Out Ports") + SUMIFS(NewEngland!$L:$L, NewEngland!$B:$B, $A43, NewEngland!$D:$D, "Out Ports")</f>
        <v>133.08928571428569</v>
      </c>
      <c r="D43">
        <f t="shared" si="0"/>
        <v>564.85</v>
      </c>
    </row>
    <row r="44" spans="1:4" x14ac:dyDescent="0.25">
      <c r="A44" t="s">
        <v>20</v>
      </c>
      <c r="B44">
        <f>SUMIFS(Antigua!$L:$L, Antigua!$B:$B, $A44, Antigua!$D:$D, "London") +
SUMIFS(Barbados!$L:$L, Barbados!$B:$B, $A44, Barbados!$D:$D, "London") +
SUMIFS(Bermuda!$L:$L, Bermuda!$B:$B, $A44, Bermuda!$D:$D, "London") +
SUMIFS(Carolina!$L:$L, Carolina!$B:$B, $A44, Carolina!$D:$D, "London") +
SUMIFS(Jamaica!$L:$L, Jamaica!$B:$B, $A44, Jamaica!$D:$D, "London") + SUMIFS(Mountserat!$L:$L, Mountserat!$B:$B, $A44, Mountserat!$D:$D, "London") + SUMIFS(Nevis!$L:$L, Nevis!$B:$B, $A44, Nevis!$D:$D, "London") + SUMIFS(NewEngland!$L:$L, NewEngland!$B:$B, $A44, NewEngland!$D:$D, "London")</f>
        <v>0</v>
      </c>
      <c r="C44">
        <f>SUMIFS(Antigua!$L:$L, Antigua!$B:$B, $A44, Antigua!$D:$D, "Out Ports") +
SUMIFS(Barbados!$L:$L, Barbados!$B:$B, $A44, Barbados!$D:$D, "Out Ports") +
SUMIFS(Bermuda!$L:$L, Bermuda!$B:$B, $A44, Bermuda!$D:$D, "Out Ports") +
SUMIFS(Carolina!$L:$L, Carolina!$B:$B, $A44, Carolina!$D:$D, "Out Ports") +
SUMIFS(Jamaica!$L:$L, Jamaica!$B:$B, $A44, Jamaica!$D:$D, "Out Ports") + SUMIFS(Mountserat!$L:$L, Mountserat!$B:$B, $A44, Mountserat!$D:$D, "Out Ports") + SUMIFS(Nevis!$L:$L, Nevis!$B:$B, $A44, Nevis!$D:$D, "Out Ports") + SUMIFS(NewEngland!$L:$L, NewEngland!$B:$B, $A44, NewEngland!$D:$D, "Out Ports")</f>
        <v>0</v>
      </c>
      <c r="D44">
        <f t="shared" si="0"/>
        <v>0</v>
      </c>
    </row>
    <row r="45" spans="1:4" x14ac:dyDescent="0.25">
      <c r="A45" t="s">
        <v>129</v>
      </c>
      <c r="B45">
        <f>SUMIFS(Antigua!$L:$L, Antigua!$B:$B, $A45, Antigua!$D:$D, "London") +
SUMIFS(Barbados!$L:$L, Barbados!$B:$B, $A45, Barbados!$D:$D, "London") +
SUMIFS(Bermuda!$L:$L, Bermuda!$B:$B, $A45, Bermuda!$D:$D, "London") +
SUMIFS(Carolina!$L:$L, Carolina!$B:$B, $A45, Carolina!$D:$D, "London") +
SUMIFS(Jamaica!$L:$L, Jamaica!$B:$B, $A45, Jamaica!$D:$D, "London") + SUMIFS(Mountserat!$L:$L, Mountserat!$B:$B, $A45, Mountserat!$D:$D, "London") + SUMIFS(Nevis!$L:$L, Nevis!$B:$B, $A45, Nevis!$D:$D, "London") + SUMIFS(NewEngland!$L:$L, NewEngland!$B:$B, $A45, NewEngland!$D:$D, "London")</f>
        <v>0</v>
      </c>
      <c r="C45">
        <f>SUMIFS(Antigua!$L:$L, Antigua!$B:$B, $A45, Antigua!$D:$D, "Out Ports") +
SUMIFS(Barbados!$L:$L, Barbados!$B:$B, $A45, Barbados!$D:$D, "Out Ports") +
SUMIFS(Bermuda!$L:$L, Bermuda!$B:$B, $A45, Bermuda!$D:$D, "Out Ports") +
SUMIFS(Carolina!$L:$L, Carolina!$B:$B, $A45, Carolina!$D:$D, "Out Ports") +
SUMIFS(Jamaica!$L:$L, Jamaica!$B:$B, $A45, Jamaica!$D:$D, "Out Ports") + SUMIFS(Mountserat!$L:$L, Mountserat!$B:$B, $A45, Mountserat!$D:$D, "Out Ports") + SUMIFS(Nevis!$L:$L, Nevis!$B:$B, $A45, Nevis!$D:$D, "Out Ports") + SUMIFS(NewEngland!$L:$L, NewEngland!$B:$B, $A45, NewEngland!$D:$D, "Out Ports")</f>
        <v>0</v>
      </c>
      <c r="D45">
        <f t="shared" si="0"/>
        <v>0</v>
      </c>
    </row>
    <row r="46" spans="1:4" x14ac:dyDescent="0.25">
      <c r="A46" t="s">
        <v>130</v>
      </c>
      <c r="B46">
        <f>SUMIFS(Antigua!$L:$L, Antigua!$B:$B, $A46, Antigua!$D:$D, "London") +
SUMIFS(Barbados!$L:$L, Barbados!$B:$B, $A46, Barbados!$D:$D, "London") +
SUMIFS(Bermuda!$L:$L, Bermuda!$B:$B, $A46, Bermuda!$D:$D, "London") +
SUMIFS(Carolina!$L:$L, Carolina!$B:$B, $A46, Carolina!$D:$D, "London") +
SUMIFS(Jamaica!$L:$L, Jamaica!$B:$B, $A46, Jamaica!$D:$D, "London") + SUMIFS(Mountserat!$L:$L, Mountserat!$B:$B, $A46, Mountserat!$D:$D, "London") + SUMIFS(Nevis!$L:$L, Nevis!$B:$B, $A46, Nevis!$D:$D, "London") + SUMIFS(NewEngland!$L:$L, NewEngland!$B:$B, $A46, NewEngland!$D:$D, "London")</f>
        <v>0</v>
      </c>
      <c r="C46">
        <f>SUMIFS(Antigua!$L:$L, Antigua!$B:$B, $A46, Antigua!$D:$D, "Out Ports") +
SUMIFS(Barbados!$L:$L, Barbados!$B:$B, $A46, Barbados!$D:$D, "Out Ports") +
SUMIFS(Bermuda!$L:$L, Bermuda!$B:$B, $A46, Bermuda!$D:$D, "Out Ports") +
SUMIFS(Carolina!$L:$L, Carolina!$B:$B, $A46, Carolina!$D:$D, "Out Ports") +
SUMIFS(Jamaica!$L:$L, Jamaica!$B:$B, $A46, Jamaica!$D:$D, "Out Ports") + SUMIFS(Mountserat!$L:$L, Mountserat!$B:$B, $A46, Mountserat!$D:$D, "Out Ports") + SUMIFS(Nevis!$L:$L, Nevis!$B:$B, $A46, Nevis!$D:$D, "Out Ports") + SUMIFS(NewEngland!$L:$L, NewEngland!$B:$B, $A46, NewEngland!$D:$D, "Out Ports")</f>
        <v>0</v>
      </c>
      <c r="D46">
        <f t="shared" si="0"/>
        <v>0</v>
      </c>
    </row>
    <row r="47" spans="1:4" x14ac:dyDescent="0.25">
      <c r="A47" t="s">
        <v>131</v>
      </c>
      <c r="B47">
        <f>SUMIFS(Antigua!$L:$L, Antigua!$B:$B, $A47, Antigua!$D:$D, "London") +
SUMIFS(Barbados!$L:$L, Barbados!$B:$B, $A47, Barbados!$D:$D, "London") +
SUMIFS(Bermuda!$L:$L, Bermuda!$B:$B, $A47, Bermuda!$D:$D, "London") +
SUMIFS(Carolina!$L:$L, Carolina!$B:$B, $A47, Carolina!$D:$D, "London") +
SUMIFS(Jamaica!$L:$L, Jamaica!$B:$B, $A47, Jamaica!$D:$D, "London") + SUMIFS(Mountserat!$L:$L, Mountserat!$B:$B, $A47, Mountserat!$D:$D, "London") + SUMIFS(Nevis!$L:$L, Nevis!$B:$B, $A47, Nevis!$D:$D, "London") + SUMIFS(NewEngland!$L:$L, NewEngland!$B:$B, $A47, NewEngland!$D:$D, "London")</f>
        <v>0</v>
      </c>
      <c r="C47">
        <f>SUMIFS(Antigua!$L:$L, Antigua!$B:$B, $A47, Antigua!$D:$D, "Out Ports") +
SUMIFS(Barbados!$L:$L, Barbados!$B:$B, $A47, Barbados!$D:$D, "Out Ports") +
SUMIFS(Bermuda!$L:$L, Bermuda!$B:$B, $A47, Bermuda!$D:$D, "Out Ports") +
SUMIFS(Carolina!$L:$L, Carolina!$B:$B, $A47, Carolina!$D:$D, "Out Ports") +
SUMIFS(Jamaica!$L:$L, Jamaica!$B:$B, $A47, Jamaica!$D:$D, "Out Ports") + SUMIFS(Mountserat!$L:$L, Mountserat!$B:$B, $A47, Mountserat!$D:$D, "Out Ports") + SUMIFS(Nevis!$L:$L, Nevis!$B:$B, $A47, Nevis!$D:$D, "Out Ports") + SUMIFS(NewEngland!$L:$L, NewEngland!$B:$B, $A47, NewEngland!$D:$D, "Out Ports")</f>
        <v>0</v>
      </c>
      <c r="D47">
        <f t="shared" si="0"/>
        <v>0</v>
      </c>
    </row>
    <row r="48" spans="1:4" x14ac:dyDescent="0.25">
      <c r="A48" t="s">
        <v>34</v>
      </c>
      <c r="B48">
        <f>SUMIFS(Antigua!$L:$L, Antigua!$B:$B, $A48, Antigua!$D:$D, "London") +
SUMIFS(Barbados!$L:$L, Barbados!$B:$B, $A48, Barbados!$D:$D, "London") +
SUMIFS(Bermuda!$L:$L, Bermuda!$B:$B, $A48, Bermuda!$D:$D, "London") +
SUMIFS(Carolina!$L:$L, Carolina!$B:$B, $A48, Carolina!$D:$D, "London") +
SUMIFS(Jamaica!$L:$L, Jamaica!$B:$B, $A48, Jamaica!$D:$D, "London") + SUMIFS(Mountserat!$L:$L, Mountserat!$B:$B, $A48, Mountserat!$D:$D, "London") + SUMIFS(Nevis!$L:$L, Nevis!$B:$B, $A48, Nevis!$D:$D, "London") + SUMIFS(NewEngland!$L:$L, NewEngland!$B:$B, $A48, NewEngland!$D:$D, "London")</f>
        <v>43.974107142857143</v>
      </c>
      <c r="C48">
        <f>SUMIFS(Antigua!$L:$L, Antigua!$B:$B, $A48, Antigua!$D:$D, "Out Ports") +
SUMIFS(Barbados!$L:$L, Barbados!$B:$B, $A48, Barbados!$D:$D, "Out Ports") +
SUMIFS(Bermuda!$L:$L, Bermuda!$B:$B, $A48, Bermuda!$D:$D, "Out Ports") +
SUMIFS(Carolina!$L:$L, Carolina!$B:$B, $A48, Carolina!$D:$D, "Out Ports") +
SUMIFS(Jamaica!$L:$L, Jamaica!$B:$B, $A48, Jamaica!$D:$D, "Out Ports") + SUMIFS(Mountserat!$L:$L, Mountserat!$B:$B, $A48, Mountserat!$D:$D, "Out Ports") + SUMIFS(Nevis!$L:$L, Nevis!$B:$B, $A48, Nevis!$D:$D, "Out Ports") + SUMIFS(NewEngland!$L:$L, NewEngland!$B:$B, $A48, NewEngland!$D:$D, "Out Ports")</f>
        <v>10.697767857142857</v>
      </c>
      <c r="D48">
        <f t="shared" si="0"/>
        <v>54.67</v>
      </c>
    </row>
    <row r="49" spans="1:4" x14ac:dyDescent="0.25">
      <c r="A49" t="s">
        <v>132</v>
      </c>
      <c r="B49">
        <f>SUMIFS(Antigua!$L:$L, Antigua!$B:$B, $A49, Antigua!$D:$D, "London") +
SUMIFS(Barbados!$L:$L, Barbados!$B:$B, $A49, Barbados!$D:$D, "London") +
SUMIFS(Bermuda!$L:$L, Bermuda!$B:$B, $A49, Bermuda!$D:$D, "London") +
SUMIFS(Carolina!$L:$L, Carolina!$B:$B, $A49, Carolina!$D:$D, "London") +
SUMIFS(Jamaica!$L:$L, Jamaica!$B:$B, $A49, Jamaica!$D:$D, "London") + SUMIFS(Mountserat!$L:$L, Mountserat!$B:$B, $A49, Mountserat!$D:$D, "London") + SUMIFS(Nevis!$L:$L, Nevis!$B:$B, $A49, Nevis!$D:$D, "London") + SUMIFS(NewEngland!$L:$L, NewEngland!$B:$B, $A49, NewEngland!$D:$D, "London")</f>
        <v>0</v>
      </c>
      <c r="C49">
        <f>SUMIFS(Antigua!$L:$L, Antigua!$B:$B, $A49, Antigua!$D:$D, "Out Ports") +
SUMIFS(Barbados!$L:$L, Barbados!$B:$B, $A49, Barbados!$D:$D, "Out Ports") +
SUMIFS(Bermuda!$L:$L, Bermuda!$B:$B, $A49, Bermuda!$D:$D, "Out Ports") +
SUMIFS(Carolina!$L:$L, Carolina!$B:$B, $A49, Carolina!$D:$D, "Out Ports") +
SUMIFS(Jamaica!$L:$L, Jamaica!$B:$B, $A49, Jamaica!$D:$D, "Out Ports") + SUMIFS(Mountserat!$L:$L, Mountserat!$B:$B, $A49, Mountserat!$D:$D, "Out Ports") + SUMIFS(Nevis!$L:$L, Nevis!$B:$B, $A49, Nevis!$D:$D, "Out Ports") + SUMIFS(NewEngland!$L:$L, NewEngland!$B:$B, $A49, NewEngland!$D:$D, "Out Ports")</f>
        <v>0</v>
      </c>
      <c r="D49">
        <f t="shared" si="0"/>
        <v>0</v>
      </c>
    </row>
    <row r="50" spans="1:4" x14ac:dyDescent="0.25">
      <c r="A50" t="s">
        <v>28</v>
      </c>
      <c r="B50">
        <f>SUMIFS(Antigua!$L:$L, Antigua!$B:$B, $A50, Antigua!$D:$D, "London") +
SUMIFS(Barbados!$L:$L, Barbados!$B:$B, $A50, Barbados!$D:$D, "London") +
SUMIFS(Bermuda!$L:$L, Bermuda!$B:$B, $A50, Bermuda!$D:$D, "London") +
SUMIFS(Carolina!$L:$L, Carolina!$B:$B, $A50, Carolina!$D:$D, "London") +
SUMIFS(Jamaica!$L:$L, Jamaica!$B:$B, $A50, Jamaica!$D:$D, "London") + SUMIFS(Mountserat!$L:$L, Mountserat!$B:$B, $A50, Mountserat!$D:$D, "London") + SUMIFS(Nevis!$L:$L, Nevis!$B:$B, $A50, Nevis!$D:$D, "London") + SUMIFS(NewEngland!$L:$L, NewEngland!$B:$B, $A50, NewEngland!$D:$D, "London")</f>
        <v>0.2</v>
      </c>
      <c r="C50">
        <f>SUMIFS(Antigua!$L:$L, Antigua!$B:$B, $A50, Antigua!$D:$D, "Out Ports") +
SUMIFS(Barbados!$L:$L, Barbados!$B:$B, $A50, Barbados!$D:$D, "Out Ports") +
SUMIFS(Bermuda!$L:$L, Bermuda!$B:$B, $A50, Bermuda!$D:$D, "Out Ports") +
SUMIFS(Carolina!$L:$L, Carolina!$B:$B, $A50, Carolina!$D:$D, "Out Ports") +
SUMIFS(Jamaica!$L:$L, Jamaica!$B:$B, $A50, Jamaica!$D:$D, "Out Ports") + SUMIFS(Mountserat!$L:$L, Mountserat!$B:$B, $A50, Mountserat!$D:$D, "Out Ports") + SUMIFS(Nevis!$L:$L, Nevis!$B:$B, $A50, Nevis!$D:$D, "Out Ports") + SUMIFS(NewEngland!$L:$L, NewEngland!$B:$B, $A50, NewEngland!$D:$D, "Out Ports")</f>
        <v>0</v>
      </c>
      <c r="D50">
        <f t="shared" si="0"/>
        <v>0.2</v>
      </c>
    </row>
    <row r="51" spans="1:4" x14ac:dyDescent="0.25">
      <c r="A51" t="s">
        <v>23</v>
      </c>
      <c r="B51">
        <f>SUMIFS(Antigua!$L:$L, Antigua!$B:$B, $A51, Antigua!$D:$D, "London") +
SUMIFS(Barbados!$L:$L, Barbados!$B:$B, $A51, Barbados!$D:$D, "London") +
SUMIFS(Bermuda!$L:$L, Bermuda!$B:$B, $A51, Bermuda!$D:$D, "London") +
SUMIFS(Carolina!$L:$L, Carolina!$B:$B, $A51, Carolina!$D:$D, "London") +
SUMIFS(Jamaica!$L:$L, Jamaica!$B:$B, $A51, Jamaica!$D:$D, "London") + SUMIFS(Mountserat!$L:$L, Mountserat!$B:$B, $A51, Mountserat!$D:$D, "London") + SUMIFS(Nevis!$L:$L, Nevis!$B:$B, $A51, Nevis!$D:$D, "London") + SUMIFS(NewEngland!$L:$L, NewEngland!$B:$B, $A51, NewEngland!$D:$D, "London")</f>
        <v>0.99419642857142865</v>
      </c>
      <c r="C51">
        <f>SUMIFS(Antigua!$L:$L, Antigua!$B:$B, $A51, Antigua!$D:$D, "Out Ports") +
SUMIFS(Barbados!$L:$L, Barbados!$B:$B, $A51, Barbados!$D:$D, "Out Ports") +
SUMIFS(Bermuda!$L:$L, Bermuda!$B:$B, $A51, Bermuda!$D:$D, "Out Ports") +
SUMIFS(Carolina!$L:$L, Carolina!$B:$B, $A51, Carolina!$D:$D, "Out Ports") +
SUMIFS(Jamaica!$L:$L, Jamaica!$B:$B, $A51, Jamaica!$D:$D, "Out Ports") + SUMIFS(Mountserat!$L:$L, Mountserat!$B:$B, $A51, Mountserat!$D:$D, "Out Ports") + SUMIFS(Nevis!$L:$L, Nevis!$B:$B, $A51, Nevis!$D:$D, "Out Ports") + SUMIFS(NewEngland!$L:$L, NewEngland!$B:$B, $A51, NewEngland!$D:$D, "Out Ports")</f>
        <v>0.13303571428571428</v>
      </c>
      <c r="D51">
        <f t="shared" si="0"/>
        <v>1.1299999999999999</v>
      </c>
    </row>
    <row r="52" spans="1:4" x14ac:dyDescent="0.25">
      <c r="A52" t="s">
        <v>60</v>
      </c>
      <c r="B52">
        <f>SUMIFS(Antigua!$L:$L, Antigua!$B:$B, $A52, Antigua!$D:$D, "London") +
SUMIFS(Barbados!$L:$L, Barbados!$B:$B, $A52, Barbados!$D:$D, "London") +
SUMIFS(Bermuda!$L:$L, Bermuda!$B:$B, $A52, Bermuda!$D:$D, "London") +
SUMIFS(Carolina!$L:$L, Carolina!$B:$B, $A52, Carolina!$D:$D, "London") +
SUMIFS(Jamaica!$L:$L, Jamaica!$B:$B, $A52, Jamaica!$D:$D, "London") + SUMIFS(Mountserat!$L:$L, Mountserat!$B:$B, $A52, Mountserat!$D:$D, "London") + SUMIFS(Nevis!$L:$L, Nevis!$B:$B, $A52, Nevis!$D:$D, "London") + SUMIFS(NewEngland!$L:$L, NewEngland!$B:$B, $A52, NewEngland!$D:$D, "London")</f>
        <v>4.1352678571428569</v>
      </c>
      <c r="C52">
        <f>SUMIFS(Antigua!$L:$L, Antigua!$B:$B, $A52, Antigua!$D:$D, "Out Ports") +
SUMIFS(Barbados!$L:$L, Barbados!$B:$B, $A52, Barbados!$D:$D, "Out Ports") +
SUMIFS(Bermuda!$L:$L, Bermuda!$B:$B, $A52, Bermuda!$D:$D, "Out Ports") +
SUMIFS(Carolina!$L:$L, Carolina!$B:$B, $A52, Carolina!$D:$D, "Out Ports") +
SUMIFS(Jamaica!$L:$L, Jamaica!$B:$B, $A52, Jamaica!$D:$D, "Out Ports") + SUMIFS(Mountserat!$L:$L, Mountserat!$B:$B, $A52, Mountserat!$D:$D, "Out Ports") + SUMIFS(Nevis!$L:$L, Nevis!$B:$B, $A52, Nevis!$D:$D, "Out Ports") + SUMIFS(NewEngland!$L:$L, NewEngland!$B:$B, $A52, NewEngland!$D:$D, "Out Ports")</f>
        <v>0</v>
      </c>
      <c r="D52">
        <f t="shared" si="0"/>
        <v>4.1399999999999997</v>
      </c>
    </row>
    <row r="53" spans="1:4" x14ac:dyDescent="0.25">
      <c r="A53" t="s">
        <v>25</v>
      </c>
      <c r="B53">
        <f>SUMIFS(Antigua!$L:$L, Antigua!$B:$B, $A53, Antigua!$D:$D, "London") +
SUMIFS(Barbados!$L:$L, Barbados!$B:$B, $A53, Barbados!$D:$D, "London") +
SUMIFS(Bermuda!$L:$L, Bermuda!$B:$B, $A53, Bermuda!$D:$D, "London") +
SUMIFS(Carolina!$L:$L, Carolina!$B:$B, $A53, Carolina!$D:$D, "London") +
SUMIFS(Jamaica!$L:$L, Jamaica!$B:$B, $A53, Jamaica!$D:$D, "London") + SUMIFS(Mountserat!$L:$L, Mountserat!$B:$B, $A53, Mountserat!$D:$D, "London") + SUMIFS(Nevis!$L:$L, Nevis!$B:$B, $A53, Nevis!$D:$D, "London") + SUMIFS(NewEngland!$L:$L, NewEngland!$B:$B, $A53, NewEngland!$D:$D, "London")</f>
        <v>13.859821428571431</v>
      </c>
      <c r="C53">
        <f>SUMIFS(Antigua!$L:$L, Antigua!$B:$B, $A53, Antigua!$D:$D, "Out Ports") +
SUMIFS(Barbados!$L:$L, Barbados!$B:$B, $A53, Barbados!$D:$D, "Out Ports") +
SUMIFS(Bermuda!$L:$L, Bermuda!$B:$B, $A53, Bermuda!$D:$D, "Out Ports") +
SUMIFS(Carolina!$L:$L, Carolina!$B:$B, $A53, Carolina!$D:$D, "Out Ports") +
SUMIFS(Jamaica!$L:$L, Jamaica!$B:$B, $A53, Jamaica!$D:$D, "Out Ports") + SUMIFS(Mountserat!$L:$L, Mountserat!$B:$B, $A53, Mountserat!$D:$D, "Out Ports") + SUMIFS(Nevis!$L:$L, Nevis!$B:$B, $A53, Nevis!$D:$D, "Out Ports") + SUMIFS(NewEngland!$L:$L, NewEngland!$B:$B, $A53, NewEngland!$D:$D, "Out Ports")</f>
        <v>1.1897321428571428</v>
      </c>
      <c r="D53">
        <f t="shared" si="0"/>
        <v>15.05</v>
      </c>
    </row>
    <row r="54" spans="1:4" x14ac:dyDescent="0.25">
      <c r="A54" t="s">
        <v>39</v>
      </c>
      <c r="B54">
        <f>SUMIFS(Antigua!$L:$L, Antigua!$B:$B, $A54, Antigua!$D:$D, "London") +
SUMIFS(Barbados!$L:$L, Barbados!$B:$B, $A54, Barbados!$D:$D, "London") +
SUMIFS(Bermuda!$L:$L, Bermuda!$B:$B, $A54, Bermuda!$D:$D, "London") +
SUMIFS(Carolina!$L:$L, Carolina!$B:$B, $A54, Carolina!$D:$D, "London") +
SUMIFS(Jamaica!$L:$L, Jamaica!$B:$B, $A54, Jamaica!$D:$D, "London") + SUMIFS(Mountserat!$L:$L, Mountserat!$B:$B, $A54, Mountserat!$D:$D, "London") + SUMIFS(Nevis!$L:$L, Nevis!$B:$B, $A54, Nevis!$D:$D, "London") + SUMIFS(NewEngland!$L:$L, NewEngland!$B:$B, $A54, NewEngland!$D:$D, "London")</f>
        <v>1.8749999999999999E-2</v>
      </c>
      <c r="C54">
        <f>SUMIFS(Antigua!$L:$L, Antigua!$B:$B, $A54, Antigua!$D:$D, "Out Ports") +
SUMIFS(Barbados!$L:$L, Barbados!$B:$B, $A54, Barbados!$D:$D, "Out Ports") +
SUMIFS(Bermuda!$L:$L, Bermuda!$B:$B, $A54, Bermuda!$D:$D, "Out Ports") +
SUMIFS(Carolina!$L:$L, Carolina!$B:$B, $A54, Carolina!$D:$D, "Out Ports") +
SUMIFS(Jamaica!$L:$L, Jamaica!$B:$B, $A54, Jamaica!$D:$D, "Out Ports") + SUMIFS(Mountserat!$L:$L, Mountserat!$B:$B, $A54, Mountserat!$D:$D, "Out Ports") + SUMIFS(Nevis!$L:$L, Nevis!$B:$B, $A54, Nevis!$D:$D, "Out Ports") + SUMIFS(NewEngland!$L:$L, NewEngland!$B:$B, $A54, NewEngland!$D:$D, "Out Ports")</f>
        <v>0</v>
      </c>
      <c r="D54">
        <f t="shared" si="0"/>
        <v>0.02</v>
      </c>
    </row>
    <row r="55" spans="1:4" x14ac:dyDescent="0.25">
      <c r="A55" t="s">
        <v>133</v>
      </c>
      <c r="B55">
        <f>SUMIFS(Antigua!$L:$L, Antigua!$B:$B, $A55, Antigua!$D:$D, "London") +
SUMIFS(Barbados!$L:$L, Barbados!$B:$B, $A55, Barbados!$D:$D, "London") +
SUMIFS(Bermuda!$L:$L, Bermuda!$B:$B, $A55, Bermuda!$D:$D, "London") +
SUMIFS(Carolina!$L:$L, Carolina!$B:$B, $A55, Carolina!$D:$D, "London") +
SUMIFS(Jamaica!$L:$L, Jamaica!$B:$B, $A55, Jamaica!$D:$D, "London") + SUMIFS(Mountserat!$L:$L, Mountserat!$B:$B, $A55, Mountserat!$D:$D, "London") + SUMIFS(Nevis!$L:$L, Nevis!$B:$B, $A55, Nevis!$D:$D, "London") + SUMIFS(NewEngland!$L:$L, NewEngland!$B:$B, $A55, NewEngland!$D:$D, "London")</f>
        <v>0</v>
      </c>
      <c r="C55">
        <f>SUMIFS(Antigua!$L:$L, Antigua!$B:$B, $A55, Antigua!$D:$D, "Out Ports") +
SUMIFS(Barbados!$L:$L, Barbados!$B:$B, $A55, Barbados!$D:$D, "Out Ports") +
SUMIFS(Bermuda!$L:$L, Bermuda!$B:$B, $A55, Bermuda!$D:$D, "Out Ports") +
SUMIFS(Carolina!$L:$L, Carolina!$B:$B, $A55, Carolina!$D:$D, "Out Ports") +
SUMIFS(Jamaica!$L:$L, Jamaica!$B:$B, $A55, Jamaica!$D:$D, "Out Ports") + SUMIFS(Mountserat!$L:$L, Mountserat!$B:$B, $A55, Mountserat!$D:$D, "Out Ports") + SUMIFS(Nevis!$L:$L, Nevis!$B:$B, $A55, Nevis!$D:$D, "Out Ports") + SUMIFS(NewEngland!$L:$L, NewEngland!$B:$B, $A55, NewEngland!$D:$D, "Out Ports")</f>
        <v>0</v>
      </c>
      <c r="D55">
        <f t="shared" si="0"/>
        <v>0</v>
      </c>
    </row>
    <row r="56" spans="1:4" x14ac:dyDescent="0.25">
      <c r="A56" t="s">
        <v>13</v>
      </c>
      <c r="B56">
        <f>SUMIFS(Antigua!$L:$L, Antigua!$B:$B, $A56, Antigua!$D:$D, "London") +
SUMIFS(Barbados!$L:$L, Barbados!$B:$B, $A56, Barbados!$D:$D, "London") +
SUMIFS(Bermuda!$L:$L, Bermuda!$B:$B, $A56, Bermuda!$D:$D, "London") +
SUMIFS(Carolina!$L:$L, Carolina!$B:$B, $A56, Carolina!$D:$D, "London") +
SUMIFS(Jamaica!$L:$L, Jamaica!$B:$B, $A56, Jamaica!$D:$D, "London") + SUMIFS(Mountserat!$L:$L, Mountserat!$B:$B, $A56, Mountserat!$D:$D, "London") + SUMIFS(Nevis!$L:$L, Nevis!$B:$B, $A56, Nevis!$D:$D, "London") + SUMIFS(NewEngland!$L:$L, NewEngland!$B:$B, $A56, NewEngland!$D:$D, "London")</f>
        <v>1.6459821428571431</v>
      </c>
      <c r="C56">
        <f>SUMIFS(Antigua!$L:$L, Antigua!$B:$B, $A56, Antigua!$D:$D, "Out Ports") +
SUMIFS(Barbados!$L:$L, Barbados!$B:$B, $A56, Barbados!$D:$D, "Out Ports") +
SUMIFS(Bermuda!$L:$L, Bermuda!$B:$B, $A56, Bermuda!$D:$D, "Out Ports") +
SUMIFS(Carolina!$L:$L, Carolina!$B:$B, $A56, Carolina!$D:$D, "Out Ports") +
SUMIFS(Jamaica!$L:$L, Jamaica!$B:$B, $A56, Jamaica!$D:$D, "Out Ports") + SUMIFS(Mountserat!$L:$L, Mountserat!$B:$B, $A56, Mountserat!$D:$D, "Out Ports") + SUMIFS(Nevis!$L:$L, Nevis!$B:$B, $A56, Nevis!$D:$D, "Out Ports") + SUMIFS(NewEngland!$L:$L, NewEngland!$B:$B, $A56, NewEngland!$D:$D, "Out Ports")</f>
        <v>0.4129464285714286</v>
      </c>
      <c r="D56">
        <f t="shared" si="0"/>
        <v>2.06</v>
      </c>
    </row>
    <row r="57" spans="1:4" x14ac:dyDescent="0.25">
      <c r="A57" t="s">
        <v>134</v>
      </c>
      <c r="B57">
        <f>SUMIFS(Antigua!$L:$L, Antigua!$B:$B, $A57, Antigua!$D:$D, "London") +
SUMIFS(Barbados!$L:$L, Barbados!$B:$B, $A57, Barbados!$D:$D, "London") +
SUMIFS(Bermuda!$L:$L, Bermuda!$B:$B, $A57, Bermuda!$D:$D, "London") +
SUMIFS(Carolina!$L:$L, Carolina!$B:$B, $A57, Carolina!$D:$D, "London") +
SUMIFS(Jamaica!$L:$L, Jamaica!$B:$B, $A57, Jamaica!$D:$D, "London") + SUMIFS(Mountserat!$L:$L, Mountserat!$B:$B, $A57, Mountserat!$D:$D, "London") + SUMIFS(Nevis!$L:$L, Nevis!$B:$B, $A57, Nevis!$D:$D, "London") + SUMIFS(NewEngland!$L:$L, NewEngland!$B:$B, $A57, NewEngland!$D:$D, "London")</f>
        <v>0.88303571428571426</v>
      </c>
      <c r="C57">
        <f>SUMIFS(Antigua!$L:$L, Antigua!$B:$B, $A57, Antigua!$D:$D, "Out Ports") +
SUMIFS(Barbados!$L:$L, Barbados!$B:$B, $A57, Barbados!$D:$D, "Out Ports") +
SUMIFS(Bermuda!$L:$L, Bermuda!$B:$B, $A57, Bermuda!$D:$D, "Out Ports") +
SUMIFS(Carolina!$L:$L, Carolina!$B:$B, $A57, Carolina!$D:$D, "Out Ports") +
SUMIFS(Jamaica!$L:$L, Jamaica!$B:$B, $A57, Jamaica!$D:$D, "Out Ports") + SUMIFS(Mountserat!$L:$L, Mountserat!$B:$B, $A57, Mountserat!$D:$D, "Out Ports") + SUMIFS(Nevis!$L:$L, Nevis!$B:$B, $A57, Nevis!$D:$D, "Out Ports") + SUMIFS(NewEngland!$L:$L, NewEngland!$B:$B, $A57, NewEngland!$D:$D, "Out Ports")</f>
        <v>0.15758928571428571</v>
      </c>
      <c r="D57">
        <f t="shared" si="0"/>
        <v>1.04</v>
      </c>
    </row>
    <row r="58" spans="1:4" x14ac:dyDescent="0.25">
      <c r="A58" t="s">
        <v>21</v>
      </c>
      <c r="B58">
        <f>SUMIFS(Antigua!$L:$L, Antigua!$B:$B, $A58, Antigua!$D:$D, "London") +
SUMIFS(Barbados!$L:$L, Barbados!$B:$B, $A58, Barbados!$D:$D, "London") +
SUMIFS(Bermuda!$L:$L, Bermuda!$B:$B, $A58, Bermuda!$D:$D, "London") +
SUMIFS(Carolina!$L:$L, Carolina!$B:$B, $A58, Carolina!$D:$D, "London") +
SUMIFS(Jamaica!$L:$L, Jamaica!$B:$B, $A58, Jamaica!$D:$D, "London") + SUMIFS(Mountserat!$L:$L, Mountserat!$B:$B, $A58, Mountserat!$D:$D, "London") + SUMIFS(Nevis!$L:$L, Nevis!$B:$B, $A58, Nevis!$D:$D, "London") + SUMIFS(NewEngland!$L:$L, NewEngland!$B:$B, $A58, NewEngland!$D:$D, "London")</f>
        <v>53.729017857142857</v>
      </c>
      <c r="C58">
        <f>SUMIFS(Antigua!$L:$L, Antigua!$B:$B, $A58, Antigua!$D:$D, "Out Ports") +
SUMIFS(Barbados!$L:$L, Barbados!$B:$B, $A58, Barbados!$D:$D, "Out Ports") +
SUMIFS(Bermuda!$L:$L, Bermuda!$B:$B, $A58, Bermuda!$D:$D, "Out Ports") +
SUMIFS(Carolina!$L:$L, Carolina!$B:$B, $A58, Carolina!$D:$D, "Out Ports") +
SUMIFS(Jamaica!$L:$L, Jamaica!$B:$B, $A58, Jamaica!$D:$D, "Out Ports") + SUMIFS(Mountserat!$L:$L, Mountserat!$B:$B, $A58, Mountserat!$D:$D, "Out Ports") + SUMIFS(Nevis!$L:$L, Nevis!$B:$B, $A58, Nevis!$D:$D, "Out Ports") + SUMIFS(NewEngland!$L:$L, NewEngland!$B:$B, $A58, NewEngland!$D:$D, "Out Ports")</f>
        <v>17.816071428571426</v>
      </c>
      <c r="D58">
        <f t="shared" si="0"/>
        <v>71.55</v>
      </c>
    </row>
    <row r="59" spans="1:4" x14ac:dyDescent="0.25">
      <c r="A59" t="s">
        <v>24</v>
      </c>
      <c r="B59">
        <f>SUMIFS(Antigua!$L:$L, Antigua!$B:$B, $A59, Antigua!$D:$D, "London") +
SUMIFS(Barbados!$L:$L, Barbados!$B:$B, $A59, Barbados!$D:$D, "London") +
SUMIFS(Bermuda!$L:$L, Bermuda!$B:$B, $A59, Bermuda!$D:$D, "London") +
SUMIFS(Carolina!$L:$L, Carolina!$B:$B, $A59, Carolina!$D:$D, "London") +
SUMIFS(Jamaica!$L:$L, Jamaica!$B:$B, $A59, Jamaica!$D:$D, "London") + SUMIFS(Mountserat!$L:$L, Mountserat!$B:$B, $A59, Mountserat!$D:$D, "London") + SUMIFS(Nevis!$L:$L, Nevis!$B:$B, $A59, Nevis!$D:$D, "London") + SUMIFS(NewEngland!$L:$L, NewEngland!$B:$B, $A59, NewEngland!$D:$D, "London")</f>
        <v>3.1508928571428565</v>
      </c>
      <c r="C59">
        <f>SUMIFS(Antigua!$L:$L, Antigua!$B:$B, $A59, Antigua!$D:$D, "Out Ports") +
SUMIFS(Barbados!$L:$L, Barbados!$B:$B, $A59, Barbados!$D:$D, "Out Ports") +
SUMIFS(Bermuda!$L:$L, Bermuda!$B:$B, $A59, Bermuda!$D:$D, "Out Ports") +
SUMIFS(Carolina!$L:$L, Carolina!$B:$B, $A59, Carolina!$D:$D, "Out Ports") +
SUMIFS(Jamaica!$L:$L, Jamaica!$B:$B, $A59, Jamaica!$D:$D, "Out Ports") + SUMIFS(Mountserat!$L:$L, Mountserat!$B:$B, $A59, Mountserat!$D:$D, "Out Ports") + SUMIFS(Nevis!$L:$L, Nevis!$B:$B, $A59, Nevis!$D:$D, "Out Ports") + SUMIFS(NewEngland!$L:$L, NewEngland!$B:$B, $A59, NewEngland!$D:$D, "Out Ports")</f>
        <v>0.29732142857142857</v>
      </c>
      <c r="D59">
        <f t="shared" si="0"/>
        <v>3.45</v>
      </c>
    </row>
    <row r="60" spans="1:4" x14ac:dyDescent="0.25">
      <c r="A60" t="s">
        <v>135</v>
      </c>
      <c r="B60">
        <f>SUMIFS(Antigua!$L:$L, Antigua!$B:$B, $A60, Antigua!$D:$D, "London") +
SUMIFS(Barbados!$L:$L, Barbados!$B:$B, $A60, Barbados!$D:$D, "London") +
SUMIFS(Bermuda!$L:$L, Bermuda!$B:$B, $A60, Bermuda!$D:$D, "London") +
SUMIFS(Carolina!$L:$L, Carolina!$B:$B, $A60, Carolina!$D:$D, "London") +
SUMIFS(Jamaica!$L:$L, Jamaica!$B:$B, $A60, Jamaica!$D:$D, "London") + SUMIFS(Mountserat!$L:$L, Mountserat!$B:$B, $A60, Mountserat!$D:$D, "London") + SUMIFS(Nevis!$L:$L, Nevis!$B:$B, $A60, Nevis!$D:$D, "London") + SUMIFS(NewEngland!$L:$L, NewEngland!$B:$B, $A60, NewEngland!$D:$D, "London")</f>
        <v>0.5</v>
      </c>
      <c r="C60">
        <f>SUMIFS(Antigua!$L:$L, Antigua!$B:$B, $A60, Antigua!$D:$D, "Out Ports") +
SUMIFS(Barbados!$L:$L, Barbados!$B:$B, $A60, Barbados!$D:$D, "Out Ports") +
SUMIFS(Bermuda!$L:$L, Bermuda!$B:$B, $A60, Bermuda!$D:$D, "Out Ports") +
SUMIFS(Carolina!$L:$L, Carolina!$B:$B, $A60, Carolina!$D:$D, "Out Ports") +
SUMIFS(Jamaica!$L:$L, Jamaica!$B:$B, $A60, Jamaica!$D:$D, "Out Ports") + SUMIFS(Mountserat!$L:$L, Mountserat!$B:$B, $A60, Mountserat!$D:$D, "Out Ports") + SUMIFS(Nevis!$L:$L, Nevis!$B:$B, $A60, Nevis!$D:$D, "Out Ports") + SUMIFS(NewEngland!$L:$L, NewEngland!$B:$B, $A60, NewEngland!$D:$D, "Out Ports")</f>
        <v>0</v>
      </c>
      <c r="D60">
        <f t="shared" si="0"/>
        <v>0.5</v>
      </c>
    </row>
    <row r="61" spans="1:4" x14ac:dyDescent="0.25">
      <c r="A61" t="s">
        <v>19</v>
      </c>
      <c r="B61">
        <f>SUMIFS(Antigua!$L:$L, Antigua!$B:$B, $A61, Antigua!$D:$D, "London") +
SUMIFS(Barbados!$L:$L, Barbados!$B:$B, $A61, Barbados!$D:$D, "London") +
SUMIFS(Bermuda!$L:$L, Bermuda!$B:$B, $A61, Bermuda!$D:$D, "London") +
SUMIFS(Carolina!$L:$L, Carolina!$B:$B, $A61, Carolina!$D:$D, "London") +
SUMIFS(Jamaica!$L:$L, Jamaica!$B:$B, $A61, Jamaica!$D:$D, "London") + SUMIFS(Mountserat!$L:$L, Mountserat!$B:$B, $A61, Mountserat!$D:$D, "London") + SUMIFS(Nevis!$L:$L, Nevis!$B:$B, $A61, Nevis!$D:$D, "London") + SUMIFS(NewEngland!$L:$L, NewEngland!$B:$B, $A61, NewEngland!$D:$D, "London")</f>
        <v>535.27098214285718</v>
      </c>
      <c r="C61">
        <f>SUMIFS(Antigua!$L:$L, Antigua!$B:$B, $A61, Antigua!$D:$D, "Out Ports") +
SUMIFS(Barbados!$L:$L, Barbados!$B:$B, $A61, Barbados!$D:$D, "Out Ports") +
SUMIFS(Bermuda!$L:$L, Bermuda!$B:$B, $A61, Bermuda!$D:$D, "Out Ports") +
SUMIFS(Carolina!$L:$L, Carolina!$B:$B, $A61, Carolina!$D:$D, "Out Ports") +
SUMIFS(Jamaica!$L:$L, Jamaica!$B:$B, $A61, Jamaica!$D:$D, "Out Ports") + SUMIFS(Mountserat!$L:$L, Mountserat!$B:$B, $A61, Mountserat!$D:$D, "Out Ports") + SUMIFS(Nevis!$L:$L, Nevis!$B:$B, $A61, Nevis!$D:$D, "Out Ports") + SUMIFS(NewEngland!$L:$L, NewEngland!$B:$B, $A61, NewEngland!$D:$D, "Out Ports")</f>
        <v>27.966517857142854</v>
      </c>
      <c r="D61">
        <f t="shared" si="0"/>
        <v>563.24</v>
      </c>
    </row>
    <row r="62" spans="1:4" x14ac:dyDescent="0.25">
      <c r="A62" t="s">
        <v>136</v>
      </c>
      <c r="B62">
        <f>SUMIFS(Antigua!$L:$L, Antigua!$B:$B, $A62, Antigua!$D:$D, "London") +
SUMIFS(Barbados!$L:$L, Barbados!$B:$B, $A62, Barbados!$D:$D, "London") +
SUMIFS(Bermuda!$L:$L, Bermuda!$B:$B, $A62, Bermuda!$D:$D, "London") +
SUMIFS(Carolina!$L:$L, Carolina!$B:$B, $A62, Carolina!$D:$D, "London") +
SUMIFS(Jamaica!$L:$L, Jamaica!$B:$B, $A62, Jamaica!$D:$D, "London") + SUMIFS(Mountserat!$L:$L, Mountserat!$B:$B, $A62, Mountserat!$D:$D, "London") + SUMIFS(Nevis!$L:$L, Nevis!$B:$B, $A62, Nevis!$D:$D, "London") + SUMIFS(NewEngland!$L:$L, NewEngland!$B:$B, $A62, NewEngland!$D:$D, "London")</f>
        <v>38.725000000000001</v>
      </c>
      <c r="C62">
        <f>SUMIFS(Antigua!$L:$L, Antigua!$B:$B, $A62, Antigua!$D:$D, "Out Ports") +
SUMIFS(Barbados!$L:$L, Barbados!$B:$B, $A62, Barbados!$D:$D, "Out Ports") +
SUMIFS(Bermuda!$L:$L, Bermuda!$B:$B, $A62, Bermuda!$D:$D, "Out Ports") +
SUMIFS(Carolina!$L:$L, Carolina!$B:$B, $A62, Carolina!$D:$D, "Out Ports") +
SUMIFS(Jamaica!$L:$L, Jamaica!$B:$B, $A62, Jamaica!$D:$D, "Out Ports") + SUMIFS(Mountserat!$L:$L, Mountserat!$B:$B, $A62, Mountserat!$D:$D, "Out Ports") + SUMIFS(Nevis!$L:$L, Nevis!$B:$B, $A62, Nevis!$D:$D, "Out Ports") + SUMIFS(NewEngland!$L:$L, NewEngland!$B:$B, $A62, NewEngland!$D:$D, "Out Ports")</f>
        <v>0</v>
      </c>
      <c r="D62">
        <f t="shared" si="0"/>
        <v>38.729999999999997</v>
      </c>
    </row>
    <row r="63" spans="1:4" x14ac:dyDescent="0.25">
      <c r="A63" t="s">
        <v>137</v>
      </c>
      <c r="B63">
        <f>SUMIFS(Antigua!$L:$L, Antigua!$B:$B, $A63, Antigua!$D:$D, "London") +
SUMIFS(Barbados!$L:$L, Barbados!$B:$B, $A63, Barbados!$D:$D, "London") +
SUMIFS(Bermuda!$L:$L, Bermuda!$B:$B, $A63, Bermuda!$D:$D, "London") +
SUMIFS(Carolina!$L:$L, Carolina!$B:$B, $A63, Carolina!$D:$D, "London") +
SUMIFS(Jamaica!$L:$L, Jamaica!$B:$B, $A63, Jamaica!$D:$D, "London") + SUMIFS(Mountserat!$L:$L, Mountserat!$B:$B, $A63, Mountserat!$D:$D, "London") + SUMIFS(Nevis!$L:$L, Nevis!$B:$B, $A63, Nevis!$D:$D, "London") + SUMIFS(NewEngland!$L:$L, NewEngland!$B:$B, $A63, NewEngland!$D:$D, "London")</f>
        <v>0</v>
      </c>
      <c r="C63">
        <f>SUMIFS(Antigua!$L:$L, Antigua!$B:$B, $A63, Antigua!$D:$D, "Out Ports") +
SUMIFS(Barbados!$L:$L, Barbados!$B:$B, $A63, Barbados!$D:$D, "Out Ports") +
SUMIFS(Bermuda!$L:$L, Bermuda!$B:$B, $A63, Bermuda!$D:$D, "Out Ports") +
SUMIFS(Carolina!$L:$L, Carolina!$B:$B, $A63, Carolina!$D:$D, "Out Ports") +
SUMIFS(Jamaica!$L:$L, Jamaica!$B:$B, $A63, Jamaica!$D:$D, "Out Ports") + SUMIFS(Mountserat!$L:$L, Mountserat!$B:$B, $A63, Mountserat!$D:$D, "Out Ports") + SUMIFS(Nevis!$L:$L, Nevis!$B:$B, $A63, Nevis!$D:$D, "Out Ports") + SUMIFS(NewEngland!$L:$L, NewEngland!$B:$B, $A63, NewEngland!$D:$D, "Out Ports")</f>
        <v>0</v>
      </c>
      <c r="D63">
        <f t="shared" si="0"/>
        <v>0</v>
      </c>
    </row>
    <row r="64" spans="1:4" x14ac:dyDescent="0.25">
      <c r="A64" t="s">
        <v>138</v>
      </c>
      <c r="B64">
        <f>SUMIFS(Antigua!$L:$L, Antigua!$B:$B, $A64, Antigua!$D:$D, "London") +
SUMIFS(Barbados!$L:$L, Barbados!$B:$B, $A64, Barbados!$D:$D, "London") +
SUMIFS(Bermuda!$L:$L, Bermuda!$B:$B, $A64, Bermuda!$D:$D, "London") +
SUMIFS(Carolina!$L:$L, Carolina!$B:$B, $A64, Carolina!$D:$D, "London") +
SUMIFS(Jamaica!$L:$L, Jamaica!$B:$B, $A64, Jamaica!$D:$D, "London") + SUMIFS(Mountserat!$L:$L, Mountserat!$B:$B, $A64, Mountserat!$D:$D, "London") + SUMIFS(Nevis!$L:$L, Nevis!$B:$B, $A64, Nevis!$D:$D, "London") + SUMIFS(NewEngland!$L:$L, NewEngland!$B:$B, $A64, NewEngland!$D:$D, "London")</f>
        <v>0</v>
      </c>
      <c r="C64">
        <f>SUMIFS(Antigua!$L:$L, Antigua!$B:$B, $A64, Antigua!$D:$D, "Out Ports") +
SUMIFS(Barbados!$L:$L, Barbados!$B:$B, $A64, Barbados!$D:$D, "Out Ports") +
SUMIFS(Bermuda!$L:$L, Bermuda!$B:$B, $A64, Bermuda!$D:$D, "Out Ports") +
SUMIFS(Carolina!$L:$L, Carolina!$B:$B, $A64, Carolina!$D:$D, "Out Ports") +
SUMIFS(Jamaica!$L:$L, Jamaica!$B:$B, $A64, Jamaica!$D:$D, "Out Ports") + SUMIFS(Mountserat!$L:$L, Mountserat!$B:$B, $A64, Mountserat!$D:$D, "Out Ports") + SUMIFS(Nevis!$L:$L, Nevis!$B:$B, $A64, Nevis!$D:$D, "Out Ports") + SUMIFS(NewEngland!$L:$L, NewEngland!$B:$B, $A64, NewEngland!$D:$D, "Out Ports")</f>
        <v>0</v>
      </c>
      <c r="D64">
        <f t="shared" si="0"/>
        <v>0</v>
      </c>
    </row>
    <row r="65" spans="1:4" x14ac:dyDescent="0.25">
      <c r="A65" t="s">
        <v>139</v>
      </c>
      <c r="B65">
        <f>SUMIFS(Antigua!$L:$L, Antigua!$B:$B, $A65, Antigua!$D:$D, "London") +
SUMIFS(Barbados!$L:$L, Barbados!$B:$B, $A65, Barbados!$D:$D, "London") +
SUMIFS(Bermuda!$L:$L, Bermuda!$B:$B, $A65, Bermuda!$D:$D, "London") +
SUMIFS(Carolina!$L:$L, Carolina!$B:$B, $A65, Carolina!$D:$D, "London") +
SUMIFS(Jamaica!$L:$L, Jamaica!$B:$B, $A65, Jamaica!$D:$D, "London") + SUMIFS(Mountserat!$L:$L, Mountserat!$B:$B, $A65, Mountserat!$D:$D, "London") + SUMIFS(Nevis!$L:$L, Nevis!$B:$B, $A65, Nevis!$D:$D, "London") + SUMIFS(NewEngland!$L:$L, NewEngland!$B:$B, $A65, NewEngland!$D:$D, "London")</f>
        <v>0.45</v>
      </c>
      <c r="C65">
        <f>SUMIFS(Antigua!$L:$L, Antigua!$B:$B, $A65, Antigua!$D:$D, "Out Ports") +
SUMIFS(Barbados!$L:$L, Barbados!$B:$B, $A65, Barbados!$D:$D, "Out Ports") +
SUMIFS(Bermuda!$L:$L, Bermuda!$B:$B, $A65, Bermuda!$D:$D, "Out Ports") +
SUMIFS(Carolina!$L:$L, Carolina!$B:$B, $A65, Carolina!$D:$D, "Out Ports") +
SUMIFS(Jamaica!$L:$L, Jamaica!$B:$B, $A65, Jamaica!$D:$D, "Out Ports") + SUMIFS(Mountserat!$L:$L, Mountserat!$B:$B, $A65, Mountserat!$D:$D, "Out Ports") + SUMIFS(Nevis!$L:$L, Nevis!$B:$B, $A65, Nevis!$D:$D, "Out Ports") + SUMIFS(NewEngland!$L:$L, NewEngland!$B:$B, $A65, NewEngland!$D:$D, "Out Ports")</f>
        <v>0</v>
      </c>
      <c r="D65">
        <f t="shared" si="0"/>
        <v>0.45</v>
      </c>
    </row>
    <row r="66" spans="1:4" x14ac:dyDescent="0.25">
      <c r="A66" t="s">
        <v>140</v>
      </c>
      <c r="B66">
        <f>SUMIFS(Antigua!$L:$L, Antigua!$B:$B, $A66, Antigua!$D:$D, "London") +
SUMIFS(Barbados!$L:$L, Barbados!$B:$B, $A66, Barbados!$D:$D, "London") +
SUMIFS(Bermuda!$L:$L, Bermuda!$B:$B, $A66, Bermuda!$D:$D, "London") +
SUMIFS(Carolina!$L:$L, Carolina!$B:$B, $A66, Carolina!$D:$D, "London") +
SUMIFS(Jamaica!$L:$L, Jamaica!$B:$B, $A66, Jamaica!$D:$D, "London") + SUMIFS(Mountserat!$L:$L, Mountserat!$B:$B, $A66, Mountserat!$D:$D, "London") + SUMIFS(Nevis!$L:$L, Nevis!$B:$B, $A66, Nevis!$D:$D, "London") + SUMIFS(NewEngland!$L:$L, NewEngland!$B:$B, $A66, NewEngland!$D:$D, "London")</f>
        <v>93.8</v>
      </c>
      <c r="C66">
        <f>SUMIFS(Antigua!$L:$L, Antigua!$B:$B, $A66, Antigua!$D:$D, "Out Ports") +
SUMIFS(Barbados!$L:$L, Barbados!$B:$B, $A66, Barbados!$D:$D, "Out Ports") +
SUMIFS(Bermuda!$L:$L, Bermuda!$B:$B, $A66, Bermuda!$D:$D, "Out Ports") +
SUMIFS(Carolina!$L:$L, Carolina!$B:$B, $A66, Carolina!$D:$D, "Out Ports") +
SUMIFS(Jamaica!$L:$L, Jamaica!$B:$B, $A66, Jamaica!$D:$D, "Out Ports") + SUMIFS(Mountserat!$L:$L, Mountserat!$B:$B, $A66, Mountserat!$D:$D, "Out Ports") + SUMIFS(Nevis!$L:$L, Nevis!$B:$B, $A66, Nevis!$D:$D, "Out Ports") + SUMIFS(NewEngland!$L:$L, NewEngland!$B:$B, $A66, NewEngland!$D:$D, "Out Ports")</f>
        <v>0</v>
      </c>
      <c r="D66">
        <f t="shared" si="0"/>
        <v>93.8</v>
      </c>
    </row>
    <row r="67" spans="1:4" x14ac:dyDescent="0.25">
      <c r="A67" t="s">
        <v>141</v>
      </c>
      <c r="B67">
        <f>SUMIFS(Antigua!$L:$L, Antigua!$B:$B, $A67, Antigua!$D:$D, "London") +
SUMIFS(Barbados!$L:$L, Barbados!$B:$B, $A67, Barbados!$D:$D, "London") +
SUMIFS(Bermuda!$L:$L, Bermuda!$B:$B, $A67, Bermuda!$D:$D, "London") +
SUMIFS(Carolina!$L:$L, Carolina!$B:$B, $A67, Carolina!$D:$D, "London") +
SUMIFS(Jamaica!$L:$L, Jamaica!$B:$B, $A67, Jamaica!$D:$D, "London") + SUMIFS(Mountserat!$L:$L, Mountserat!$B:$B, $A67, Mountserat!$D:$D, "London") + SUMIFS(Nevis!$L:$L, Nevis!$B:$B, $A67, Nevis!$D:$D, "London") + SUMIFS(NewEngland!$L:$L, NewEngland!$B:$B, $A67, NewEngland!$D:$D, "London")</f>
        <v>0</v>
      </c>
      <c r="C67">
        <f>SUMIFS(Antigua!$L:$L, Antigua!$B:$B, $A67, Antigua!$D:$D, "Out Ports") +
SUMIFS(Barbados!$L:$L, Barbados!$B:$B, $A67, Barbados!$D:$D, "Out Ports") +
SUMIFS(Bermuda!$L:$L, Bermuda!$B:$B, $A67, Bermuda!$D:$D, "Out Ports") +
SUMIFS(Carolina!$L:$L, Carolina!$B:$B, $A67, Carolina!$D:$D, "Out Ports") +
SUMIFS(Jamaica!$L:$L, Jamaica!$B:$B, $A67, Jamaica!$D:$D, "Out Ports") + SUMIFS(Mountserat!$L:$L, Mountserat!$B:$B, $A67, Mountserat!$D:$D, "Out Ports") + SUMIFS(Nevis!$L:$L, Nevis!$B:$B, $A67, Nevis!$D:$D, "Out Ports") + SUMIFS(NewEngland!$L:$L, NewEngland!$B:$B, $A67, NewEngland!$D:$D, "Out Ports")</f>
        <v>0</v>
      </c>
      <c r="D67">
        <f t="shared" ref="D67:D75" si="1">ROUND((B67+C67),2)</f>
        <v>0</v>
      </c>
    </row>
    <row r="68" spans="1:4" x14ac:dyDescent="0.25">
      <c r="A68" t="s">
        <v>142</v>
      </c>
      <c r="B68">
        <f>SUMIFS(Antigua!$L:$L, Antigua!$B:$B, $A68, Antigua!$D:$D, "London") +
SUMIFS(Barbados!$L:$L, Barbados!$B:$B, $A68, Barbados!$D:$D, "London") +
SUMIFS(Bermuda!$L:$L, Bermuda!$B:$B, $A68, Bermuda!$D:$D, "London") +
SUMIFS(Carolina!$L:$L, Carolina!$B:$B, $A68, Carolina!$D:$D, "London") +
SUMIFS(Jamaica!$L:$L, Jamaica!$B:$B, $A68, Jamaica!$D:$D, "London") + SUMIFS(Mountserat!$L:$L, Mountserat!$B:$B, $A68, Mountserat!$D:$D, "London") + SUMIFS(Nevis!$L:$L, Nevis!$B:$B, $A68, Nevis!$D:$D, "London") + SUMIFS(NewEngland!$L:$L, NewEngland!$B:$B, $A68, NewEngland!$D:$D, "London")</f>
        <v>845.1308035714286</v>
      </c>
      <c r="C68">
        <f>SUMIFS(Antigua!$L:$L, Antigua!$B:$B, $A68, Antigua!$D:$D, "Out Ports") +
SUMIFS(Barbados!$L:$L, Barbados!$B:$B, $A68, Barbados!$D:$D, "Out Ports") +
SUMIFS(Bermuda!$L:$L, Bermuda!$B:$B, $A68, Bermuda!$D:$D, "Out Ports") +
SUMIFS(Carolina!$L:$L, Carolina!$B:$B, $A68, Carolina!$D:$D, "Out Ports") +
SUMIFS(Jamaica!$L:$L, Jamaica!$B:$B, $A68, Jamaica!$D:$D, "Out Ports") + SUMIFS(Mountserat!$L:$L, Mountserat!$B:$B, $A68, Mountserat!$D:$D, "Out Ports") + SUMIFS(Nevis!$L:$L, Nevis!$B:$B, $A68, Nevis!$D:$D, "Out Ports") + SUMIFS(NewEngland!$L:$L, NewEngland!$B:$B, $A68, NewEngland!$D:$D, "Out Ports")</f>
        <v>0</v>
      </c>
      <c r="D68">
        <f t="shared" si="1"/>
        <v>845.13</v>
      </c>
    </row>
    <row r="69" spans="1:4" x14ac:dyDescent="0.25">
      <c r="A69" t="s">
        <v>143</v>
      </c>
      <c r="B69">
        <f>SUMIFS(Antigua!$L:$L, Antigua!$B:$B, $A69, Antigua!$D:$D, "London") +
SUMIFS(Barbados!$L:$L, Barbados!$B:$B, $A69, Barbados!$D:$D, "London") +
SUMIFS(Bermuda!$L:$L, Bermuda!$B:$B, $A69, Bermuda!$D:$D, "London") +
SUMIFS(Carolina!$L:$L, Carolina!$B:$B, $A69, Carolina!$D:$D, "London") +
SUMIFS(Jamaica!$L:$L, Jamaica!$B:$B, $A69, Jamaica!$D:$D, "London") + SUMIFS(Mountserat!$L:$L, Mountserat!$B:$B, $A69, Mountserat!$D:$D, "London") + SUMIFS(Nevis!$L:$L, Nevis!$B:$B, $A69, Nevis!$D:$D, "London") + SUMIFS(NewEngland!$L:$L, NewEngland!$B:$B, $A69, NewEngland!$D:$D, "London")</f>
        <v>0</v>
      </c>
      <c r="C69">
        <f>SUMIFS(Antigua!$L:$L, Antigua!$B:$B, $A69, Antigua!$D:$D, "Out Ports") +
SUMIFS(Barbados!$L:$L, Barbados!$B:$B, $A69, Barbados!$D:$D, "Out Ports") +
SUMIFS(Bermuda!$L:$L, Bermuda!$B:$B, $A69, Bermuda!$D:$D, "Out Ports") +
SUMIFS(Carolina!$L:$L, Carolina!$B:$B, $A69, Carolina!$D:$D, "Out Ports") +
SUMIFS(Jamaica!$L:$L, Jamaica!$B:$B, $A69, Jamaica!$D:$D, "Out Ports") + SUMIFS(Mountserat!$L:$L, Mountserat!$B:$B, $A69, Mountserat!$D:$D, "Out Ports") + SUMIFS(Nevis!$L:$L, Nevis!$B:$B, $A69, Nevis!$D:$D, "Out Ports") + SUMIFS(NewEngland!$L:$L, NewEngland!$B:$B, $A69, NewEngland!$D:$D, "Out Ports")</f>
        <v>0</v>
      </c>
      <c r="D69">
        <f t="shared" si="1"/>
        <v>0</v>
      </c>
    </row>
    <row r="70" spans="1:4" x14ac:dyDescent="0.25">
      <c r="A70" t="s">
        <v>144</v>
      </c>
      <c r="B70">
        <f>SUMIFS(Antigua!$L:$L, Antigua!$B:$B, $A70, Antigua!$D:$D, "London") +
SUMIFS(Barbados!$L:$L, Barbados!$B:$B, $A70, Barbados!$D:$D, "London") +
SUMIFS(Bermuda!$L:$L, Bermuda!$B:$B, $A70, Bermuda!$D:$D, "London") +
SUMIFS(Carolina!$L:$L, Carolina!$B:$B, $A70, Carolina!$D:$D, "London") +
SUMIFS(Jamaica!$L:$L, Jamaica!$B:$B, $A70, Jamaica!$D:$D, "London") + SUMIFS(Mountserat!$L:$L, Mountserat!$B:$B, $A70, Mountserat!$D:$D, "London") + SUMIFS(Nevis!$L:$L, Nevis!$B:$B, $A70, Nevis!$D:$D, "London") + SUMIFS(NewEngland!$L:$L, NewEngland!$B:$B, $A70, NewEngland!$D:$D, "London")</f>
        <v>0</v>
      </c>
      <c r="C70">
        <f>SUMIFS(Antigua!$L:$L, Antigua!$B:$B, $A70, Antigua!$D:$D, "Out Ports") +
SUMIFS(Barbados!$L:$L, Barbados!$B:$B, $A70, Barbados!$D:$D, "Out Ports") +
SUMIFS(Bermuda!$L:$L, Bermuda!$B:$B, $A70, Bermuda!$D:$D, "Out Ports") +
SUMIFS(Carolina!$L:$L, Carolina!$B:$B, $A70, Carolina!$D:$D, "Out Ports") +
SUMIFS(Jamaica!$L:$L, Jamaica!$B:$B, $A70, Jamaica!$D:$D, "Out Ports") + SUMIFS(Mountserat!$L:$L, Mountserat!$B:$B, $A70, Mountserat!$D:$D, "Out Ports") + SUMIFS(Nevis!$L:$L, Nevis!$B:$B, $A70, Nevis!$D:$D, "Out Ports") + SUMIFS(NewEngland!$L:$L, NewEngland!$B:$B, $A70, NewEngland!$D:$D, "Out Ports")</f>
        <v>0</v>
      </c>
      <c r="D70">
        <f t="shared" si="1"/>
        <v>0</v>
      </c>
    </row>
    <row r="71" spans="1:4" x14ac:dyDescent="0.25">
      <c r="A71" t="s">
        <v>145</v>
      </c>
      <c r="B71">
        <f>SUMIFS(Antigua!$L:$L, Antigua!$B:$B, $A71, Antigua!$D:$D, "London") +
SUMIFS(Barbados!$L:$L, Barbados!$B:$B, $A71, Barbados!$D:$D, "London") +
SUMIFS(Bermuda!$L:$L, Bermuda!$B:$B, $A71, Bermuda!$D:$D, "London") +
SUMIFS(Carolina!$L:$L, Carolina!$B:$B, $A71, Carolina!$D:$D, "London") +
SUMIFS(Jamaica!$L:$L, Jamaica!$B:$B, $A71, Jamaica!$D:$D, "London") + SUMIFS(Mountserat!$L:$L, Mountserat!$B:$B, $A71, Mountserat!$D:$D, "London") + SUMIFS(Nevis!$L:$L, Nevis!$B:$B, $A71, Nevis!$D:$D, "London") + SUMIFS(NewEngland!$L:$L, NewEngland!$B:$B, $A71, NewEngland!$D:$D, "London")</f>
        <v>0</v>
      </c>
      <c r="C71">
        <f>SUMIFS(Antigua!$L:$L, Antigua!$B:$B, $A71, Antigua!$D:$D, "Out Ports") +
SUMIFS(Barbados!$L:$L, Barbados!$B:$B, $A71, Barbados!$D:$D, "Out Ports") +
SUMIFS(Bermuda!$L:$L, Bermuda!$B:$B, $A71, Bermuda!$D:$D, "Out Ports") +
SUMIFS(Carolina!$L:$L, Carolina!$B:$B, $A71, Carolina!$D:$D, "Out Ports") +
SUMIFS(Jamaica!$L:$L, Jamaica!$B:$B, $A71, Jamaica!$D:$D, "Out Ports") + SUMIFS(Mountserat!$L:$L, Mountserat!$B:$B, $A71, Mountserat!$D:$D, "Out Ports") + SUMIFS(Nevis!$L:$L, Nevis!$B:$B, $A71, Nevis!$D:$D, "Out Ports") + SUMIFS(NewEngland!$L:$L, NewEngland!$B:$B, $A71, NewEngland!$D:$D, "Out Ports")</f>
        <v>0</v>
      </c>
      <c r="D71">
        <f t="shared" si="1"/>
        <v>0</v>
      </c>
    </row>
    <row r="72" spans="1:4" x14ac:dyDescent="0.25">
      <c r="A72" t="s">
        <v>146</v>
      </c>
      <c r="B72">
        <f>SUMIFS(Antigua!$L:$L, Antigua!$B:$B, $A72, Antigua!$D:$D, "London") +
SUMIFS(Barbados!$L:$L, Barbados!$B:$B, $A72, Barbados!$D:$D, "London") +
SUMIFS(Bermuda!$L:$L, Bermuda!$B:$B, $A72, Bermuda!$D:$D, "London") +
SUMIFS(Carolina!$L:$L, Carolina!$B:$B, $A72, Carolina!$D:$D, "London") +
SUMIFS(Jamaica!$L:$L, Jamaica!$B:$B, $A72, Jamaica!$D:$D, "London") + SUMIFS(Mountserat!$L:$L, Mountserat!$B:$B, $A72, Mountserat!$D:$D, "London") + SUMIFS(Nevis!$L:$L, Nevis!$B:$B, $A72, Nevis!$D:$D, "London") + SUMIFS(NewEngland!$L:$L, NewEngland!$B:$B, $A72, NewEngland!$D:$D, "London")</f>
        <v>2.625</v>
      </c>
      <c r="C72">
        <f>SUMIFS(Antigua!$L:$L, Antigua!$B:$B, $A72, Antigua!$D:$D, "Out Ports") +
SUMIFS(Barbados!$L:$L, Barbados!$B:$B, $A72, Barbados!$D:$D, "Out Ports") +
SUMIFS(Bermuda!$L:$L, Bermuda!$B:$B, $A72, Bermuda!$D:$D, "Out Ports") +
SUMIFS(Carolina!$L:$L, Carolina!$B:$B, $A72, Carolina!$D:$D, "Out Ports") +
SUMIFS(Jamaica!$L:$L, Jamaica!$B:$B, $A72, Jamaica!$D:$D, "Out Ports") + SUMIFS(Mountserat!$L:$L, Mountserat!$B:$B, $A72, Mountserat!$D:$D, "Out Ports") + SUMIFS(Nevis!$L:$L, Nevis!$B:$B, $A72, Nevis!$D:$D, "Out Ports") + SUMIFS(NewEngland!$L:$L, NewEngland!$B:$B, $A72, NewEngland!$D:$D, "Out Ports")</f>
        <v>0</v>
      </c>
      <c r="D72">
        <f t="shared" si="1"/>
        <v>2.63</v>
      </c>
    </row>
    <row r="73" spans="1:4" x14ac:dyDescent="0.25">
      <c r="A73" t="s">
        <v>147</v>
      </c>
      <c r="B73">
        <f>SUMIFS(Antigua!$L:$L, Antigua!$B:$B, $A73, Antigua!$D:$D, "London") +
SUMIFS(Barbados!$L:$L, Barbados!$B:$B, $A73, Barbados!$D:$D, "London") +
SUMIFS(Bermuda!$L:$L, Bermuda!$B:$B, $A73, Bermuda!$D:$D, "London") +
SUMIFS(Carolina!$L:$L, Carolina!$B:$B, $A73, Carolina!$D:$D, "London") +
SUMIFS(Jamaica!$L:$L, Jamaica!$B:$B, $A73, Jamaica!$D:$D, "London") + SUMIFS(Mountserat!$L:$L, Mountserat!$B:$B, $A73, Mountserat!$D:$D, "London") + SUMIFS(Nevis!$L:$L, Nevis!$B:$B, $A73, Nevis!$D:$D, "London") + SUMIFS(NewEngland!$L:$L, NewEngland!$B:$B, $A73, NewEngland!$D:$D, "London")</f>
        <v>0</v>
      </c>
      <c r="C73">
        <f>SUMIFS(Antigua!$L:$L, Antigua!$B:$B, $A73, Antigua!$D:$D, "Out Ports") +
SUMIFS(Barbados!$L:$L, Barbados!$B:$B, $A73, Barbados!$D:$D, "Out Ports") +
SUMIFS(Bermuda!$L:$L, Bermuda!$B:$B, $A73, Bermuda!$D:$D, "Out Ports") +
SUMIFS(Carolina!$L:$L, Carolina!$B:$B, $A73, Carolina!$D:$D, "Out Ports") +
SUMIFS(Jamaica!$L:$L, Jamaica!$B:$B, $A73, Jamaica!$D:$D, "Out Ports") + SUMIFS(Mountserat!$L:$L, Mountserat!$B:$B, $A73, Mountserat!$D:$D, "Out Ports") + SUMIFS(Nevis!$L:$L, Nevis!$B:$B, $A73, Nevis!$D:$D, "Out Ports") + SUMIFS(NewEngland!$L:$L, NewEngland!$B:$B, $A73, NewEngland!$D:$D, "Out Ports")</f>
        <v>0</v>
      </c>
      <c r="D73">
        <f t="shared" si="1"/>
        <v>0</v>
      </c>
    </row>
    <row r="74" spans="1:4" x14ac:dyDescent="0.25">
      <c r="A74" t="s">
        <v>148</v>
      </c>
      <c r="B74">
        <f>SUMIFS(Antigua!$L:$L, Antigua!$B:$B, $A74, Antigua!$D:$D, "London") +
SUMIFS(Barbados!$L:$L, Barbados!$B:$B, $A74, Barbados!$D:$D, "London") +
SUMIFS(Bermuda!$L:$L, Bermuda!$B:$B, $A74, Bermuda!$D:$D, "London") +
SUMIFS(Carolina!$L:$L, Carolina!$B:$B, $A74, Carolina!$D:$D, "London") +
SUMIFS(Jamaica!$L:$L, Jamaica!$B:$B, $A74, Jamaica!$D:$D, "London") + SUMIFS(Mountserat!$L:$L, Mountserat!$B:$B, $A74, Mountserat!$D:$D, "London") + SUMIFS(Nevis!$L:$L, Nevis!$B:$B, $A74, Nevis!$D:$D, "London") + SUMIFS(NewEngland!$L:$L, NewEngland!$B:$B, $A74, NewEngland!$D:$D, "London")</f>
        <v>0</v>
      </c>
      <c r="C74">
        <f>SUMIFS(Antigua!$L:$L, Antigua!$B:$B, $A74, Antigua!$D:$D, "Out Ports") +
SUMIFS(Barbados!$L:$L, Barbados!$B:$B, $A74, Barbados!$D:$D, "Out Ports") +
SUMIFS(Bermuda!$L:$L, Bermuda!$B:$B, $A74, Bermuda!$D:$D, "Out Ports") +
SUMIFS(Carolina!$L:$L, Carolina!$B:$B, $A74, Carolina!$D:$D, "Out Ports") +
SUMIFS(Jamaica!$L:$L, Jamaica!$B:$B, $A74, Jamaica!$D:$D, "Out Ports") + SUMIFS(Mountserat!$L:$L, Mountserat!$B:$B, $A74, Mountserat!$D:$D, "Out Ports") + SUMIFS(Nevis!$L:$L, Nevis!$B:$B, $A74, Nevis!$D:$D, "Out Ports") + SUMIFS(NewEngland!$L:$L, NewEngland!$B:$B, $A74, NewEngland!$D:$D, "Out Ports")</f>
        <v>0</v>
      </c>
      <c r="D74">
        <f t="shared" si="1"/>
        <v>0</v>
      </c>
    </row>
    <row r="75" spans="1:4" x14ac:dyDescent="0.25">
      <c r="A75" t="s">
        <v>46</v>
      </c>
      <c r="B75">
        <f>SUMIFS(Antigua!$L:$L, Antigua!$B:$B, $A75, Antigua!$D:$D, "London") +
SUMIFS(Barbados!$L:$L, Barbados!$B:$B, $A75, Barbados!$D:$D, "London") +
SUMIFS(Bermuda!$L:$L, Bermuda!$B:$B, $A75, Bermuda!$D:$D, "London") +
SUMIFS(Carolina!$L:$L, Carolina!$B:$B, $A75, Carolina!$D:$D, "London") +
SUMIFS(Jamaica!$L:$L, Jamaica!$B:$B, $A75, Jamaica!$D:$D, "London") + SUMIFS(Mountserat!$L:$L, Mountserat!$B:$B, $A75, Mountserat!$D:$D, "London") + SUMIFS(Nevis!$L:$L, Nevis!$B:$B, $A75, Nevis!$D:$D, "London") + SUMIFS(NewEngland!$L:$L, NewEngland!$B:$B, $A75, NewEngland!$D:$D, "London")</f>
        <v>16903.80892857143</v>
      </c>
      <c r="C75">
        <f>SUMIFS(Antigua!$L:$L, Antigua!$B:$B, $A75, Antigua!$D:$D, "Out Ports") +
SUMIFS(Barbados!$L:$L, Barbados!$B:$B, $A75, Barbados!$D:$D, "Out Ports") +
SUMIFS(Bermuda!$L:$L, Bermuda!$B:$B, $A75, Bermuda!$D:$D, "Out Ports") +
SUMIFS(Carolina!$L:$L, Carolina!$B:$B, $A75, Carolina!$D:$D, "Out Ports") +
SUMIFS(Jamaica!$L:$L, Jamaica!$B:$B, $A75, Jamaica!$D:$D, "Out Ports") + SUMIFS(Mountserat!$L:$L, Mountserat!$B:$B, $A75, Mountserat!$D:$D, "Out Ports") + SUMIFS(Nevis!$L:$L, Nevis!$B:$B, $A75, Nevis!$D:$D, "Out Ports") + SUMIFS(NewEngland!$L:$L, NewEngland!$B:$B, $A75, NewEngland!$D:$D, "Out Ports")</f>
        <v>0</v>
      </c>
      <c r="D75">
        <f t="shared" si="1"/>
        <v>16903.810000000001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6FA2-B6A0-4711-A44A-6CA286BF1E63}">
  <dimension ref="A1:O147"/>
  <sheetViews>
    <sheetView topLeftCell="A106" workbookViewId="0">
      <selection activeCell="H114" sqref="H114"/>
    </sheetView>
  </sheetViews>
  <sheetFormatPr defaultRowHeight="15" x14ac:dyDescent="0.25"/>
  <cols>
    <col min="2" max="2" width="20.42578125" customWidth="1"/>
    <col min="3" max="3" width="17.5703125" customWidth="1"/>
    <col min="4" max="4" width="15.85546875" customWidth="1"/>
    <col min="7" max="7" width="11.140625" customWidth="1"/>
    <col min="8" max="9" width="18.42578125" customWidth="1"/>
  </cols>
  <sheetData>
    <row r="1" spans="1:15" x14ac:dyDescent="0.25">
      <c r="A1" s="1" t="s">
        <v>91</v>
      </c>
      <c r="B1" s="1" t="s">
        <v>88</v>
      </c>
      <c r="C1" s="1" t="s">
        <v>89</v>
      </c>
      <c r="D1" s="1" t="s">
        <v>90</v>
      </c>
      <c r="E1" s="1" t="s">
        <v>86</v>
      </c>
      <c r="F1" s="1" t="s">
        <v>47</v>
      </c>
      <c r="G1" s="1" t="s">
        <v>48</v>
      </c>
      <c r="H1" s="1" t="s">
        <v>87</v>
      </c>
      <c r="I1" s="1"/>
      <c r="J1" s="1" t="s">
        <v>5</v>
      </c>
      <c r="K1" s="1"/>
      <c r="L1" s="1" t="s">
        <v>93</v>
      </c>
      <c r="O1" s="1"/>
    </row>
    <row r="2" spans="1:15" x14ac:dyDescent="0.25">
      <c r="A2">
        <v>1698</v>
      </c>
      <c r="B2" t="s">
        <v>103</v>
      </c>
      <c r="C2" t="s">
        <v>92</v>
      </c>
      <c r="D2" t="s">
        <v>7</v>
      </c>
      <c r="J2">
        <f t="shared" ref="J2:J65" si="0">(E2*2240)+(F2*112)+(G2*28)+H2</f>
        <v>0</v>
      </c>
      <c r="L2">
        <f t="shared" ref="L2:L65" si="1">J2/2240</f>
        <v>0</v>
      </c>
    </row>
    <row r="3" spans="1:15" x14ac:dyDescent="0.25">
      <c r="A3">
        <v>1698</v>
      </c>
      <c r="B3" t="s">
        <v>104</v>
      </c>
      <c r="C3" t="s">
        <v>92</v>
      </c>
      <c r="D3" t="s">
        <v>7</v>
      </c>
      <c r="J3">
        <f t="shared" si="0"/>
        <v>0</v>
      </c>
      <c r="L3">
        <f t="shared" si="1"/>
        <v>0</v>
      </c>
    </row>
    <row r="4" spans="1:15" x14ac:dyDescent="0.25">
      <c r="A4">
        <v>1698</v>
      </c>
      <c r="B4" t="s">
        <v>105</v>
      </c>
      <c r="C4" t="s">
        <v>92</v>
      </c>
      <c r="D4" t="s">
        <v>7</v>
      </c>
      <c r="J4">
        <f t="shared" si="0"/>
        <v>0</v>
      </c>
      <c r="L4">
        <f t="shared" si="1"/>
        <v>0</v>
      </c>
    </row>
    <row r="5" spans="1:15" x14ac:dyDescent="0.25">
      <c r="A5">
        <v>1698</v>
      </c>
      <c r="B5" t="s">
        <v>27</v>
      </c>
      <c r="C5" t="s">
        <v>92</v>
      </c>
      <c r="D5" t="s">
        <v>7</v>
      </c>
      <c r="J5">
        <f t="shared" si="0"/>
        <v>0</v>
      </c>
      <c r="L5">
        <f t="shared" si="1"/>
        <v>0</v>
      </c>
    </row>
    <row r="6" spans="1:15" x14ac:dyDescent="0.25">
      <c r="A6">
        <v>1698</v>
      </c>
      <c r="B6" t="s">
        <v>106</v>
      </c>
      <c r="C6" t="s">
        <v>92</v>
      </c>
      <c r="D6" t="s">
        <v>7</v>
      </c>
      <c r="J6">
        <f t="shared" si="0"/>
        <v>0</v>
      </c>
      <c r="L6">
        <f t="shared" si="1"/>
        <v>0</v>
      </c>
    </row>
    <row r="7" spans="1:15" x14ac:dyDescent="0.25">
      <c r="A7">
        <v>1698</v>
      </c>
      <c r="B7" t="s">
        <v>107</v>
      </c>
      <c r="C7" t="s">
        <v>92</v>
      </c>
      <c r="D7" t="s">
        <v>7</v>
      </c>
      <c r="J7">
        <f t="shared" si="0"/>
        <v>0</v>
      </c>
      <c r="L7">
        <f t="shared" si="1"/>
        <v>0</v>
      </c>
    </row>
    <row r="8" spans="1:15" x14ac:dyDescent="0.25">
      <c r="A8">
        <v>1698</v>
      </c>
      <c r="B8" t="s">
        <v>108</v>
      </c>
      <c r="C8" t="s">
        <v>92</v>
      </c>
      <c r="D8" t="s">
        <v>7</v>
      </c>
      <c r="J8">
        <f t="shared" si="0"/>
        <v>0</v>
      </c>
      <c r="L8">
        <f t="shared" si="1"/>
        <v>0</v>
      </c>
    </row>
    <row r="9" spans="1:15" x14ac:dyDescent="0.25">
      <c r="A9">
        <v>1698</v>
      </c>
      <c r="B9" t="s">
        <v>109</v>
      </c>
      <c r="C9" t="s">
        <v>92</v>
      </c>
      <c r="D9" t="s">
        <v>7</v>
      </c>
      <c r="J9">
        <f t="shared" si="0"/>
        <v>0</v>
      </c>
      <c r="L9">
        <f t="shared" si="1"/>
        <v>0</v>
      </c>
    </row>
    <row r="10" spans="1:15" x14ac:dyDescent="0.25">
      <c r="A10">
        <v>1698</v>
      </c>
      <c r="B10" t="s">
        <v>110</v>
      </c>
      <c r="C10" t="s">
        <v>92</v>
      </c>
      <c r="D10" t="s">
        <v>7</v>
      </c>
      <c r="J10">
        <f t="shared" si="0"/>
        <v>0</v>
      </c>
      <c r="L10">
        <f t="shared" si="1"/>
        <v>0</v>
      </c>
    </row>
    <row r="11" spans="1:15" x14ac:dyDescent="0.25">
      <c r="A11">
        <v>1698</v>
      </c>
      <c r="B11" t="s">
        <v>111</v>
      </c>
      <c r="C11" t="s">
        <v>92</v>
      </c>
      <c r="D11" t="s">
        <v>7</v>
      </c>
      <c r="J11">
        <f t="shared" si="0"/>
        <v>0</v>
      </c>
      <c r="L11">
        <f t="shared" si="1"/>
        <v>0</v>
      </c>
    </row>
    <row r="12" spans="1:15" x14ac:dyDescent="0.25">
      <c r="A12">
        <v>1698</v>
      </c>
      <c r="B12" t="s">
        <v>112</v>
      </c>
      <c r="C12" t="s">
        <v>92</v>
      </c>
      <c r="D12" t="s">
        <v>7</v>
      </c>
      <c r="J12">
        <f t="shared" si="0"/>
        <v>0</v>
      </c>
      <c r="L12">
        <f t="shared" si="1"/>
        <v>0</v>
      </c>
    </row>
    <row r="13" spans="1:15" x14ac:dyDescent="0.25">
      <c r="A13">
        <v>1698</v>
      </c>
      <c r="B13" t="s">
        <v>113</v>
      </c>
      <c r="C13" t="s">
        <v>92</v>
      </c>
      <c r="D13" t="s">
        <v>7</v>
      </c>
      <c r="J13">
        <f t="shared" si="0"/>
        <v>0</v>
      </c>
      <c r="L13">
        <f t="shared" si="1"/>
        <v>0</v>
      </c>
    </row>
    <row r="14" spans="1:15" x14ac:dyDescent="0.25">
      <c r="A14">
        <v>1698</v>
      </c>
      <c r="B14" t="s">
        <v>12</v>
      </c>
      <c r="C14" t="s">
        <v>92</v>
      </c>
      <c r="D14" t="s">
        <v>7</v>
      </c>
      <c r="F14">
        <f>3</f>
        <v>3</v>
      </c>
      <c r="G14">
        <f>1</f>
        <v>1</v>
      </c>
      <c r="J14">
        <f t="shared" si="0"/>
        <v>364</v>
      </c>
      <c r="L14">
        <f t="shared" si="1"/>
        <v>0.16250000000000001</v>
      </c>
    </row>
    <row r="15" spans="1:15" x14ac:dyDescent="0.25">
      <c r="A15">
        <v>1698</v>
      </c>
      <c r="B15" t="s">
        <v>114</v>
      </c>
      <c r="C15" t="s">
        <v>92</v>
      </c>
      <c r="D15" t="s">
        <v>7</v>
      </c>
      <c r="J15">
        <f t="shared" si="0"/>
        <v>0</v>
      </c>
      <c r="L15">
        <f t="shared" si="1"/>
        <v>0</v>
      </c>
    </row>
    <row r="16" spans="1:15" x14ac:dyDescent="0.25">
      <c r="A16">
        <v>1698</v>
      </c>
      <c r="B16" t="s">
        <v>18</v>
      </c>
      <c r="C16" t="s">
        <v>92</v>
      </c>
      <c r="D16" t="s">
        <v>7</v>
      </c>
      <c r="F16">
        <f>30116+6182</f>
        <v>36298</v>
      </c>
      <c r="G16">
        <v>2</v>
      </c>
      <c r="H16">
        <f>23+7</f>
        <v>30</v>
      </c>
      <c r="J16">
        <f t="shared" si="0"/>
        <v>4065462</v>
      </c>
      <c r="L16">
        <f t="shared" si="1"/>
        <v>1814.9383928571428</v>
      </c>
    </row>
    <row r="17" spans="1:12" x14ac:dyDescent="0.25">
      <c r="A17">
        <v>1698</v>
      </c>
      <c r="B17" t="s">
        <v>58</v>
      </c>
      <c r="C17" t="s">
        <v>92</v>
      </c>
      <c r="D17" t="s">
        <v>7</v>
      </c>
      <c r="J17">
        <f t="shared" si="0"/>
        <v>0</v>
      </c>
      <c r="L17">
        <f t="shared" si="1"/>
        <v>0</v>
      </c>
    </row>
    <row r="18" spans="1:12" x14ac:dyDescent="0.25">
      <c r="A18">
        <v>1698</v>
      </c>
      <c r="B18" t="s">
        <v>115</v>
      </c>
      <c r="C18" t="s">
        <v>92</v>
      </c>
      <c r="D18" t="s">
        <v>7</v>
      </c>
      <c r="J18">
        <f t="shared" si="0"/>
        <v>0</v>
      </c>
      <c r="L18">
        <f t="shared" si="1"/>
        <v>0</v>
      </c>
    </row>
    <row r="19" spans="1:12" x14ac:dyDescent="0.25">
      <c r="A19">
        <v>1698</v>
      </c>
      <c r="B19" t="s">
        <v>15</v>
      </c>
      <c r="C19" t="s">
        <v>92</v>
      </c>
      <c r="D19" t="s">
        <v>7</v>
      </c>
      <c r="H19">
        <f>6</f>
        <v>6</v>
      </c>
      <c r="J19">
        <f t="shared" si="0"/>
        <v>6</v>
      </c>
      <c r="L19">
        <f t="shared" si="1"/>
        <v>2.6785714285714286E-3</v>
      </c>
    </row>
    <row r="20" spans="1:12" x14ac:dyDescent="0.25">
      <c r="A20">
        <v>1698</v>
      </c>
      <c r="B20" t="s">
        <v>116</v>
      </c>
      <c r="C20" t="s">
        <v>92</v>
      </c>
      <c r="D20" t="s">
        <v>7</v>
      </c>
      <c r="J20">
        <f t="shared" si="0"/>
        <v>0</v>
      </c>
      <c r="L20">
        <f t="shared" si="1"/>
        <v>0</v>
      </c>
    </row>
    <row r="21" spans="1:12" x14ac:dyDescent="0.25">
      <c r="A21">
        <v>1698</v>
      </c>
      <c r="B21" t="s">
        <v>40</v>
      </c>
      <c r="C21" t="s">
        <v>92</v>
      </c>
      <c r="D21" t="s">
        <v>7</v>
      </c>
      <c r="F21">
        <f>20+3</f>
        <v>23</v>
      </c>
      <c r="G21">
        <f>2+4</f>
        <v>6</v>
      </c>
      <c r="J21">
        <f t="shared" si="0"/>
        <v>2744</v>
      </c>
      <c r="L21">
        <f t="shared" si="1"/>
        <v>1.2250000000000001</v>
      </c>
    </row>
    <row r="22" spans="1:12" x14ac:dyDescent="0.25">
      <c r="A22">
        <v>1698</v>
      </c>
      <c r="B22" t="s">
        <v>117</v>
      </c>
      <c r="C22" t="s">
        <v>92</v>
      </c>
      <c r="D22" t="s">
        <v>7</v>
      </c>
      <c r="J22">
        <f t="shared" si="0"/>
        <v>0</v>
      </c>
      <c r="L22">
        <f t="shared" si="1"/>
        <v>0</v>
      </c>
    </row>
    <row r="23" spans="1:12" x14ac:dyDescent="0.25">
      <c r="A23">
        <v>1698</v>
      </c>
      <c r="B23" t="s">
        <v>118</v>
      </c>
      <c r="C23" t="s">
        <v>92</v>
      </c>
      <c r="D23" t="s">
        <v>7</v>
      </c>
      <c r="J23">
        <f t="shared" si="0"/>
        <v>0</v>
      </c>
      <c r="L23">
        <f t="shared" si="1"/>
        <v>0</v>
      </c>
    </row>
    <row r="24" spans="1:12" x14ac:dyDescent="0.25">
      <c r="A24">
        <v>1698</v>
      </c>
      <c r="B24" t="s">
        <v>119</v>
      </c>
      <c r="C24" t="s">
        <v>92</v>
      </c>
      <c r="D24" t="s">
        <v>7</v>
      </c>
      <c r="J24">
        <f t="shared" si="0"/>
        <v>0</v>
      </c>
      <c r="L24">
        <f t="shared" si="1"/>
        <v>0</v>
      </c>
    </row>
    <row r="25" spans="1:12" x14ac:dyDescent="0.25">
      <c r="A25">
        <v>1698</v>
      </c>
      <c r="B25" t="s">
        <v>120</v>
      </c>
      <c r="C25" t="s">
        <v>92</v>
      </c>
      <c r="D25" t="s">
        <v>7</v>
      </c>
      <c r="J25">
        <f t="shared" si="0"/>
        <v>0</v>
      </c>
      <c r="L25">
        <f t="shared" si="1"/>
        <v>0</v>
      </c>
    </row>
    <row r="26" spans="1:12" x14ac:dyDescent="0.25">
      <c r="A26">
        <v>1698</v>
      </c>
      <c r="B26" t="s">
        <v>121</v>
      </c>
      <c r="C26" t="s">
        <v>92</v>
      </c>
      <c r="D26" t="s">
        <v>7</v>
      </c>
      <c r="J26">
        <f t="shared" si="0"/>
        <v>0</v>
      </c>
      <c r="L26">
        <f t="shared" si="1"/>
        <v>0</v>
      </c>
    </row>
    <row r="27" spans="1:12" x14ac:dyDescent="0.25">
      <c r="A27">
        <v>1698</v>
      </c>
      <c r="B27" t="s">
        <v>9</v>
      </c>
      <c r="C27" t="s">
        <v>92</v>
      </c>
      <c r="D27" t="s">
        <v>7</v>
      </c>
      <c r="H27">
        <f>201*200</f>
        <v>40200</v>
      </c>
      <c r="I27" t="s">
        <v>149</v>
      </c>
      <c r="J27">
        <f t="shared" si="0"/>
        <v>40200</v>
      </c>
      <c r="L27">
        <f t="shared" si="1"/>
        <v>17.946428571428573</v>
      </c>
    </row>
    <row r="28" spans="1:12" x14ac:dyDescent="0.25">
      <c r="A28">
        <v>1698</v>
      </c>
      <c r="B28" t="s">
        <v>16</v>
      </c>
      <c r="C28" t="s">
        <v>92</v>
      </c>
      <c r="D28" t="s">
        <v>7</v>
      </c>
      <c r="F28">
        <f>200+108</f>
        <v>308</v>
      </c>
      <c r="H28">
        <f>24+14</f>
        <v>38</v>
      </c>
      <c r="J28">
        <f t="shared" si="0"/>
        <v>34534</v>
      </c>
      <c r="L28">
        <f t="shared" si="1"/>
        <v>15.416964285714286</v>
      </c>
    </row>
    <row r="29" spans="1:12" x14ac:dyDescent="0.25">
      <c r="A29">
        <v>1698</v>
      </c>
      <c r="B29" t="s">
        <v>26</v>
      </c>
      <c r="C29" t="s">
        <v>92</v>
      </c>
      <c r="D29" t="s">
        <v>7</v>
      </c>
      <c r="F29">
        <f>7</f>
        <v>7</v>
      </c>
      <c r="G29">
        <v>2</v>
      </c>
      <c r="J29">
        <f t="shared" si="0"/>
        <v>840</v>
      </c>
      <c r="L29">
        <f t="shared" si="1"/>
        <v>0.375</v>
      </c>
    </row>
    <row r="30" spans="1:12" x14ac:dyDescent="0.25">
      <c r="A30">
        <v>1698</v>
      </c>
      <c r="B30" t="s">
        <v>122</v>
      </c>
      <c r="C30" t="s">
        <v>92</v>
      </c>
      <c r="D30" t="s">
        <v>7</v>
      </c>
      <c r="J30">
        <f t="shared" si="0"/>
        <v>0</v>
      </c>
      <c r="L30">
        <f t="shared" si="1"/>
        <v>0</v>
      </c>
    </row>
    <row r="31" spans="1:12" x14ac:dyDescent="0.25">
      <c r="A31">
        <v>1698</v>
      </c>
      <c r="B31" t="s">
        <v>123</v>
      </c>
      <c r="C31" t="s">
        <v>92</v>
      </c>
      <c r="D31" t="s">
        <v>7</v>
      </c>
      <c r="J31">
        <f t="shared" si="0"/>
        <v>0</v>
      </c>
      <c r="L31">
        <f t="shared" si="1"/>
        <v>0</v>
      </c>
    </row>
    <row r="32" spans="1:12" x14ac:dyDescent="0.25">
      <c r="A32">
        <v>1698</v>
      </c>
      <c r="B32" t="s">
        <v>124</v>
      </c>
      <c r="C32" t="s">
        <v>92</v>
      </c>
      <c r="D32" t="s">
        <v>7</v>
      </c>
      <c r="J32">
        <f t="shared" si="0"/>
        <v>0</v>
      </c>
      <c r="L32">
        <f t="shared" si="1"/>
        <v>0</v>
      </c>
    </row>
    <row r="33" spans="1:12" x14ac:dyDescent="0.25">
      <c r="A33">
        <v>1698</v>
      </c>
      <c r="B33" t="s">
        <v>125</v>
      </c>
      <c r="C33" t="s">
        <v>92</v>
      </c>
      <c r="D33" t="s">
        <v>7</v>
      </c>
      <c r="J33">
        <f t="shared" si="0"/>
        <v>0</v>
      </c>
      <c r="L33">
        <f t="shared" si="1"/>
        <v>0</v>
      </c>
    </row>
    <row r="34" spans="1:12" x14ac:dyDescent="0.25">
      <c r="A34">
        <v>1698</v>
      </c>
      <c r="B34" t="s">
        <v>126</v>
      </c>
      <c r="C34" t="s">
        <v>92</v>
      </c>
      <c r="D34" t="s">
        <v>7</v>
      </c>
      <c r="J34">
        <f t="shared" si="0"/>
        <v>0</v>
      </c>
      <c r="L34">
        <f t="shared" si="1"/>
        <v>0</v>
      </c>
    </row>
    <row r="35" spans="1:12" x14ac:dyDescent="0.25">
      <c r="A35">
        <v>1698</v>
      </c>
      <c r="B35" t="s">
        <v>127</v>
      </c>
      <c r="C35" t="s">
        <v>92</v>
      </c>
      <c r="D35" t="s">
        <v>7</v>
      </c>
      <c r="J35">
        <f t="shared" si="0"/>
        <v>0</v>
      </c>
      <c r="L35">
        <f t="shared" si="1"/>
        <v>0</v>
      </c>
    </row>
    <row r="36" spans="1:12" x14ac:dyDescent="0.25">
      <c r="A36">
        <v>1698</v>
      </c>
      <c r="B36" t="s">
        <v>8</v>
      </c>
      <c r="C36" t="s">
        <v>92</v>
      </c>
      <c r="D36" t="s">
        <v>7</v>
      </c>
      <c r="H36">
        <f>464</f>
        <v>464</v>
      </c>
      <c r="J36">
        <f t="shared" si="0"/>
        <v>464</v>
      </c>
      <c r="L36">
        <f t="shared" si="1"/>
        <v>0.20714285714285716</v>
      </c>
    </row>
    <row r="37" spans="1:12" x14ac:dyDescent="0.25">
      <c r="A37">
        <v>1698</v>
      </c>
      <c r="B37" t="s">
        <v>128</v>
      </c>
      <c r="C37" t="s">
        <v>92</v>
      </c>
      <c r="D37" t="s">
        <v>7</v>
      </c>
      <c r="J37">
        <f t="shared" si="0"/>
        <v>0</v>
      </c>
      <c r="L37">
        <f t="shared" si="1"/>
        <v>0</v>
      </c>
    </row>
    <row r="38" spans="1:12" x14ac:dyDescent="0.25">
      <c r="A38">
        <v>1698</v>
      </c>
      <c r="B38" t="s">
        <v>37</v>
      </c>
      <c r="C38" t="s">
        <v>92</v>
      </c>
      <c r="D38" t="s">
        <v>7</v>
      </c>
      <c r="J38">
        <f t="shared" si="0"/>
        <v>0</v>
      </c>
      <c r="L38">
        <f t="shared" si="1"/>
        <v>0</v>
      </c>
    </row>
    <row r="39" spans="1:12" x14ac:dyDescent="0.25">
      <c r="A39">
        <v>1698</v>
      </c>
      <c r="B39" t="s">
        <v>38</v>
      </c>
      <c r="C39" t="s">
        <v>92</v>
      </c>
      <c r="D39" t="s">
        <v>7</v>
      </c>
      <c r="F39">
        <f>3879+144</f>
        <v>4023</v>
      </c>
      <c r="G39">
        <v>2</v>
      </c>
      <c r="J39">
        <f t="shared" si="0"/>
        <v>450632</v>
      </c>
      <c r="L39">
        <f t="shared" si="1"/>
        <v>201.17500000000001</v>
      </c>
    </row>
    <row r="40" spans="1:12" x14ac:dyDescent="0.25">
      <c r="A40">
        <v>1698</v>
      </c>
      <c r="B40" t="s">
        <v>22</v>
      </c>
      <c r="C40" t="s">
        <v>92</v>
      </c>
      <c r="D40" t="s">
        <v>7</v>
      </c>
      <c r="H40">
        <v>610</v>
      </c>
      <c r="I40" t="s">
        <v>150</v>
      </c>
      <c r="J40">
        <f t="shared" si="0"/>
        <v>610</v>
      </c>
      <c r="L40">
        <f t="shared" si="1"/>
        <v>0.27232142857142855</v>
      </c>
    </row>
    <row r="41" spans="1:12" x14ac:dyDescent="0.25">
      <c r="A41">
        <v>1698</v>
      </c>
      <c r="B41" t="s">
        <v>31</v>
      </c>
      <c r="C41" t="s">
        <v>92</v>
      </c>
      <c r="D41" t="s">
        <v>7</v>
      </c>
      <c r="J41">
        <f t="shared" si="0"/>
        <v>0</v>
      </c>
      <c r="L41">
        <f t="shared" si="1"/>
        <v>0</v>
      </c>
    </row>
    <row r="42" spans="1:12" x14ac:dyDescent="0.25">
      <c r="A42">
        <v>1698</v>
      </c>
      <c r="B42" t="s">
        <v>30</v>
      </c>
      <c r="C42" t="s">
        <v>92</v>
      </c>
      <c r="D42" t="s">
        <v>7</v>
      </c>
      <c r="J42">
        <f t="shared" si="0"/>
        <v>0</v>
      </c>
      <c r="L42">
        <f t="shared" si="1"/>
        <v>0</v>
      </c>
    </row>
    <row r="43" spans="1:12" x14ac:dyDescent="0.25">
      <c r="A43">
        <v>1698</v>
      </c>
      <c r="B43" t="s">
        <v>17</v>
      </c>
      <c r="C43" t="s">
        <v>92</v>
      </c>
      <c r="D43" t="s">
        <v>7</v>
      </c>
      <c r="F43">
        <f>1151+951</f>
        <v>2102</v>
      </c>
      <c r="J43">
        <f t="shared" si="0"/>
        <v>235424</v>
      </c>
      <c r="L43">
        <f t="shared" si="1"/>
        <v>105.1</v>
      </c>
    </row>
    <row r="44" spans="1:12" x14ac:dyDescent="0.25">
      <c r="A44">
        <v>1698</v>
      </c>
      <c r="B44" t="s">
        <v>20</v>
      </c>
      <c r="C44" t="s">
        <v>92</v>
      </c>
      <c r="D44" t="s">
        <v>7</v>
      </c>
      <c r="J44">
        <f t="shared" si="0"/>
        <v>0</v>
      </c>
      <c r="L44">
        <f t="shared" si="1"/>
        <v>0</v>
      </c>
    </row>
    <row r="45" spans="1:12" x14ac:dyDescent="0.25">
      <c r="A45">
        <v>1698</v>
      </c>
      <c r="B45" t="s">
        <v>129</v>
      </c>
      <c r="C45" t="s">
        <v>92</v>
      </c>
      <c r="D45" t="s">
        <v>7</v>
      </c>
      <c r="J45">
        <f t="shared" si="0"/>
        <v>0</v>
      </c>
      <c r="L45">
        <f t="shared" si="1"/>
        <v>0</v>
      </c>
    </row>
    <row r="46" spans="1:12" x14ac:dyDescent="0.25">
      <c r="A46">
        <v>1698</v>
      </c>
      <c r="B46" t="s">
        <v>130</v>
      </c>
      <c r="C46" t="s">
        <v>92</v>
      </c>
      <c r="D46" t="s">
        <v>7</v>
      </c>
      <c r="J46">
        <f t="shared" si="0"/>
        <v>0</v>
      </c>
      <c r="L46">
        <f t="shared" si="1"/>
        <v>0</v>
      </c>
    </row>
    <row r="47" spans="1:12" x14ac:dyDescent="0.25">
      <c r="A47">
        <v>1698</v>
      </c>
      <c r="B47" t="s">
        <v>131</v>
      </c>
      <c r="C47" t="s">
        <v>92</v>
      </c>
      <c r="D47" t="s">
        <v>7</v>
      </c>
      <c r="J47">
        <f t="shared" si="0"/>
        <v>0</v>
      </c>
      <c r="L47">
        <f t="shared" si="1"/>
        <v>0</v>
      </c>
    </row>
    <row r="48" spans="1:12" x14ac:dyDescent="0.25">
      <c r="A48">
        <v>1698</v>
      </c>
      <c r="B48" t="s">
        <v>34</v>
      </c>
      <c r="C48" t="s">
        <v>92</v>
      </c>
      <c r="D48" t="s">
        <v>7</v>
      </c>
      <c r="J48">
        <f t="shared" si="0"/>
        <v>0</v>
      </c>
      <c r="L48">
        <f t="shared" si="1"/>
        <v>0</v>
      </c>
    </row>
    <row r="49" spans="1:12" x14ac:dyDescent="0.25">
      <c r="A49">
        <v>1698</v>
      </c>
      <c r="B49" t="s">
        <v>132</v>
      </c>
      <c r="C49" t="s">
        <v>92</v>
      </c>
      <c r="D49" t="s">
        <v>7</v>
      </c>
      <c r="J49">
        <f t="shared" si="0"/>
        <v>0</v>
      </c>
      <c r="L49">
        <f t="shared" si="1"/>
        <v>0</v>
      </c>
    </row>
    <row r="50" spans="1:12" x14ac:dyDescent="0.25">
      <c r="A50">
        <v>1698</v>
      </c>
      <c r="B50" t="s">
        <v>28</v>
      </c>
      <c r="C50" t="s">
        <v>92</v>
      </c>
      <c r="D50" t="s">
        <v>7</v>
      </c>
      <c r="J50">
        <f t="shared" si="0"/>
        <v>0</v>
      </c>
      <c r="L50">
        <f t="shared" si="1"/>
        <v>0</v>
      </c>
    </row>
    <row r="51" spans="1:12" x14ac:dyDescent="0.25">
      <c r="A51">
        <v>1698</v>
      </c>
      <c r="B51" t="s">
        <v>23</v>
      </c>
      <c r="C51" t="s">
        <v>92</v>
      </c>
      <c r="D51" t="s">
        <v>7</v>
      </c>
      <c r="H51">
        <v>300</v>
      </c>
      <c r="I51" t="s">
        <v>151</v>
      </c>
      <c r="J51">
        <f t="shared" si="0"/>
        <v>300</v>
      </c>
      <c r="L51">
        <f t="shared" si="1"/>
        <v>0.13392857142857142</v>
      </c>
    </row>
    <row r="52" spans="1:12" x14ac:dyDescent="0.25">
      <c r="A52">
        <v>1698</v>
      </c>
      <c r="B52" t="s">
        <v>60</v>
      </c>
      <c r="C52" t="s">
        <v>92</v>
      </c>
      <c r="D52" t="s">
        <v>7</v>
      </c>
      <c r="J52">
        <f t="shared" si="0"/>
        <v>0</v>
      </c>
      <c r="L52">
        <f t="shared" si="1"/>
        <v>0</v>
      </c>
    </row>
    <row r="53" spans="1:12" x14ac:dyDescent="0.25">
      <c r="A53">
        <v>1698</v>
      </c>
      <c r="B53" t="s">
        <v>25</v>
      </c>
      <c r="C53" t="s">
        <v>92</v>
      </c>
      <c r="D53" t="s">
        <v>7</v>
      </c>
      <c r="F53">
        <f>12+7</f>
        <v>19</v>
      </c>
      <c r="G53">
        <f>3+2</f>
        <v>5</v>
      </c>
      <c r="J53">
        <f t="shared" si="0"/>
        <v>2268</v>
      </c>
      <c r="L53">
        <f t="shared" si="1"/>
        <v>1.0125</v>
      </c>
    </row>
    <row r="54" spans="1:12" x14ac:dyDescent="0.25">
      <c r="A54">
        <v>1698</v>
      </c>
      <c r="B54" t="s">
        <v>39</v>
      </c>
      <c r="C54" t="s">
        <v>92</v>
      </c>
      <c r="D54" t="s">
        <v>7</v>
      </c>
      <c r="J54">
        <f t="shared" si="0"/>
        <v>0</v>
      </c>
      <c r="L54">
        <f t="shared" si="1"/>
        <v>0</v>
      </c>
    </row>
    <row r="55" spans="1:12" x14ac:dyDescent="0.25">
      <c r="A55">
        <v>1698</v>
      </c>
      <c r="B55" t="s">
        <v>133</v>
      </c>
      <c r="C55" t="s">
        <v>92</v>
      </c>
      <c r="D55" t="s">
        <v>7</v>
      </c>
      <c r="J55">
        <f t="shared" si="0"/>
        <v>0</v>
      </c>
      <c r="L55">
        <f t="shared" si="1"/>
        <v>0</v>
      </c>
    </row>
    <row r="56" spans="1:12" x14ac:dyDescent="0.25">
      <c r="A56">
        <v>1698</v>
      </c>
      <c r="B56" t="s">
        <v>13</v>
      </c>
      <c r="C56" t="s">
        <v>92</v>
      </c>
      <c r="D56" t="s">
        <v>7</v>
      </c>
      <c r="H56">
        <f>11</f>
        <v>11</v>
      </c>
      <c r="J56">
        <f t="shared" si="0"/>
        <v>11</v>
      </c>
      <c r="L56">
        <f t="shared" si="1"/>
        <v>4.9107142857142856E-3</v>
      </c>
    </row>
    <row r="57" spans="1:12" x14ac:dyDescent="0.25">
      <c r="A57">
        <v>1698</v>
      </c>
      <c r="B57" t="s">
        <v>134</v>
      </c>
      <c r="C57" t="s">
        <v>92</v>
      </c>
      <c r="D57" t="s">
        <v>7</v>
      </c>
      <c r="H57">
        <f>145+1833</f>
        <v>1978</v>
      </c>
      <c r="J57">
        <f t="shared" si="0"/>
        <v>1978</v>
      </c>
      <c r="L57">
        <f t="shared" si="1"/>
        <v>0.88303571428571426</v>
      </c>
    </row>
    <row r="58" spans="1:12" x14ac:dyDescent="0.25">
      <c r="A58">
        <v>1698</v>
      </c>
      <c r="B58" t="s">
        <v>21</v>
      </c>
      <c r="C58" t="s">
        <v>92</v>
      </c>
      <c r="D58" t="s">
        <v>7</v>
      </c>
      <c r="H58">
        <f>40960+780</f>
        <v>41740</v>
      </c>
      <c r="J58">
        <f t="shared" si="0"/>
        <v>41740</v>
      </c>
      <c r="L58">
        <f t="shared" si="1"/>
        <v>18.633928571428573</v>
      </c>
    </row>
    <row r="59" spans="1:12" x14ac:dyDescent="0.25">
      <c r="A59">
        <v>1698</v>
      </c>
      <c r="B59" t="s">
        <v>24</v>
      </c>
      <c r="C59" t="s">
        <v>92</v>
      </c>
      <c r="D59" t="s">
        <v>7</v>
      </c>
      <c r="H59">
        <f>4+68</f>
        <v>72</v>
      </c>
      <c r="J59">
        <f t="shared" si="0"/>
        <v>72</v>
      </c>
      <c r="L59">
        <f t="shared" si="1"/>
        <v>3.214285714285714E-2</v>
      </c>
    </row>
    <row r="60" spans="1:12" x14ac:dyDescent="0.25">
      <c r="A60">
        <v>1698</v>
      </c>
      <c r="B60" t="s">
        <v>135</v>
      </c>
      <c r="C60" t="s">
        <v>92</v>
      </c>
      <c r="D60" t="s">
        <v>7</v>
      </c>
      <c r="J60">
        <f t="shared" si="0"/>
        <v>0</v>
      </c>
      <c r="L60">
        <f t="shared" si="1"/>
        <v>0</v>
      </c>
    </row>
    <row r="61" spans="1:12" x14ac:dyDescent="0.25">
      <c r="A61">
        <v>1698</v>
      </c>
      <c r="B61" t="s">
        <v>19</v>
      </c>
      <c r="C61" t="s">
        <v>92</v>
      </c>
      <c r="D61" t="s">
        <v>7</v>
      </c>
      <c r="F61">
        <f>8+4</f>
        <v>12</v>
      </c>
      <c r="G61">
        <f>2+3</f>
        <v>5</v>
      </c>
      <c r="H61">
        <f>14</f>
        <v>14</v>
      </c>
      <c r="J61">
        <f t="shared" si="0"/>
        <v>1498</v>
      </c>
      <c r="L61">
        <f t="shared" si="1"/>
        <v>0.66874999999999996</v>
      </c>
    </row>
    <row r="62" spans="1:12" x14ac:dyDescent="0.25">
      <c r="A62">
        <v>1698</v>
      </c>
      <c r="B62" t="s">
        <v>136</v>
      </c>
      <c r="C62" t="s">
        <v>92</v>
      </c>
      <c r="D62" t="s">
        <v>7</v>
      </c>
      <c r="J62">
        <f t="shared" si="0"/>
        <v>0</v>
      </c>
      <c r="L62">
        <f t="shared" si="1"/>
        <v>0</v>
      </c>
    </row>
    <row r="63" spans="1:12" x14ac:dyDescent="0.25">
      <c r="A63">
        <v>1698</v>
      </c>
      <c r="B63" t="s">
        <v>137</v>
      </c>
      <c r="C63" t="s">
        <v>92</v>
      </c>
      <c r="D63" t="s">
        <v>7</v>
      </c>
      <c r="J63">
        <f t="shared" si="0"/>
        <v>0</v>
      </c>
      <c r="L63">
        <f t="shared" si="1"/>
        <v>0</v>
      </c>
    </row>
    <row r="64" spans="1:12" x14ac:dyDescent="0.25">
      <c r="A64">
        <v>1698</v>
      </c>
      <c r="B64" t="s">
        <v>138</v>
      </c>
      <c r="C64" t="s">
        <v>92</v>
      </c>
      <c r="D64" t="s">
        <v>7</v>
      </c>
      <c r="J64">
        <f t="shared" si="0"/>
        <v>0</v>
      </c>
      <c r="L64">
        <f t="shared" si="1"/>
        <v>0</v>
      </c>
    </row>
    <row r="65" spans="1:12" x14ac:dyDescent="0.25">
      <c r="A65">
        <v>1698</v>
      </c>
      <c r="B65" t="s">
        <v>139</v>
      </c>
      <c r="C65" t="s">
        <v>92</v>
      </c>
      <c r="D65" t="s">
        <v>7</v>
      </c>
      <c r="J65">
        <f t="shared" si="0"/>
        <v>0</v>
      </c>
      <c r="L65">
        <f t="shared" si="1"/>
        <v>0</v>
      </c>
    </row>
    <row r="66" spans="1:12" x14ac:dyDescent="0.25">
      <c r="A66">
        <v>1698</v>
      </c>
      <c r="B66" t="s">
        <v>140</v>
      </c>
      <c r="C66" t="s">
        <v>92</v>
      </c>
      <c r="D66" t="s">
        <v>7</v>
      </c>
      <c r="J66">
        <f t="shared" ref="J66:J129" si="2">(E66*2240)+(F66*112)+(G66*28)+H66</f>
        <v>0</v>
      </c>
      <c r="L66">
        <f t="shared" ref="L66:L129" si="3">J66/2240</f>
        <v>0</v>
      </c>
    </row>
    <row r="67" spans="1:12" x14ac:dyDescent="0.25">
      <c r="A67">
        <v>1698</v>
      </c>
      <c r="B67" t="s">
        <v>141</v>
      </c>
      <c r="C67" t="s">
        <v>92</v>
      </c>
      <c r="D67" t="s">
        <v>7</v>
      </c>
      <c r="J67">
        <f t="shared" si="2"/>
        <v>0</v>
      </c>
      <c r="L67">
        <f t="shared" si="3"/>
        <v>0</v>
      </c>
    </row>
    <row r="68" spans="1:12" x14ac:dyDescent="0.25">
      <c r="A68">
        <v>1698</v>
      </c>
      <c r="B68" t="s">
        <v>142</v>
      </c>
      <c r="C68" t="s">
        <v>92</v>
      </c>
      <c r="D68" t="s">
        <v>7</v>
      </c>
      <c r="J68">
        <f t="shared" si="2"/>
        <v>0</v>
      </c>
      <c r="L68">
        <f t="shared" si="3"/>
        <v>0</v>
      </c>
    </row>
    <row r="69" spans="1:12" x14ac:dyDescent="0.25">
      <c r="A69">
        <v>1698</v>
      </c>
      <c r="B69" t="s">
        <v>143</v>
      </c>
      <c r="C69" t="s">
        <v>92</v>
      </c>
      <c r="D69" t="s">
        <v>7</v>
      </c>
      <c r="J69">
        <f t="shared" si="2"/>
        <v>0</v>
      </c>
      <c r="L69">
        <f t="shared" si="3"/>
        <v>0</v>
      </c>
    </row>
    <row r="70" spans="1:12" x14ac:dyDescent="0.25">
      <c r="A70">
        <v>1698</v>
      </c>
      <c r="B70" t="s">
        <v>144</v>
      </c>
      <c r="C70" t="s">
        <v>92</v>
      </c>
      <c r="D70" t="s">
        <v>7</v>
      </c>
      <c r="J70">
        <f t="shared" si="2"/>
        <v>0</v>
      </c>
      <c r="L70">
        <f t="shared" si="3"/>
        <v>0</v>
      </c>
    </row>
    <row r="71" spans="1:12" x14ac:dyDescent="0.25">
      <c r="A71">
        <v>1698</v>
      </c>
      <c r="B71" t="s">
        <v>145</v>
      </c>
      <c r="C71" t="s">
        <v>92</v>
      </c>
      <c r="D71" t="s">
        <v>7</v>
      </c>
      <c r="J71">
        <f t="shared" si="2"/>
        <v>0</v>
      </c>
      <c r="L71">
        <f t="shared" si="3"/>
        <v>0</v>
      </c>
    </row>
    <row r="72" spans="1:12" x14ac:dyDescent="0.25">
      <c r="A72">
        <v>1698</v>
      </c>
      <c r="B72" t="s">
        <v>146</v>
      </c>
      <c r="C72" t="s">
        <v>92</v>
      </c>
      <c r="D72" t="s">
        <v>7</v>
      </c>
      <c r="J72">
        <f t="shared" si="2"/>
        <v>0</v>
      </c>
      <c r="L72">
        <f t="shared" si="3"/>
        <v>0</v>
      </c>
    </row>
    <row r="73" spans="1:12" x14ac:dyDescent="0.25">
      <c r="A73">
        <v>1698</v>
      </c>
      <c r="B73" t="s">
        <v>147</v>
      </c>
      <c r="C73" t="s">
        <v>92</v>
      </c>
      <c r="D73" t="s">
        <v>7</v>
      </c>
      <c r="J73">
        <f t="shared" si="2"/>
        <v>0</v>
      </c>
      <c r="L73">
        <f t="shared" si="3"/>
        <v>0</v>
      </c>
    </row>
    <row r="74" spans="1:12" x14ac:dyDescent="0.25">
      <c r="A74">
        <v>1698</v>
      </c>
      <c r="B74" t="s">
        <v>148</v>
      </c>
      <c r="C74" t="s">
        <v>92</v>
      </c>
      <c r="D74" t="s">
        <v>7</v>
      </c>
      <c r="J74">
        <f t="shared" si="2"/>
        <v>0</v>
      </c>
      <c r="L74">
        <f t="shared" si="3"/>
        <v>0</v>
      </c>
    </row>
    <row r="75" spans="1:12" x14ac:dyDescent="0.25">
      <c r="A75">
        <v>1698</v>
      </c>
      <c r="B75" t="s">
        <v>103</v>
      </c>
      <c r="C75" t="s">
        <v>92</v>
      </c>
      <c r="D75" t="s">
        <v>11</v>
      </c>
      <c r="J75">
        <f t="shared" si="2"/>
        <v>0</v>
      </c>
      <c r="L75">
        <f t="shared" si="3"/>
        <v>0</v>
      </c>
    </row>
    <row r="76" spans="1:12" x14ac:dyDescent="0.25">
      <c r="A76">
        <v>1698</v>
      </c>
      <c r="B76" t="s">
        <v>104</v>
      </c>
      <c r="C76" t="s">
        <v>92</v>
      </c>
      <c r="D76" t="s">
        <v>11</v>
      </c>
      <c r="J76">
        <f t="shared" si="2"/>
        <v>0</v>
      </c>
      <c r="L76">
        <f t="shared" si="3"/>
        <v>0</v>
      </c>
    </row>
    <row r="77" spans="1:12" x14ac:dyDescent="0.25">
      <c r="A77">
        <v>1698</v>
      </c>
      <c r="B77" t="s">
        <v>105</v>
      </c>
      <c r="C77" t="s">
        <v>92</v>
      </c>
      <c r="D77" t="s">
        <v>11</v>
      </c>
      <c r="J77">
        <f t="shared" si="2"/>
        <v>0</v>
      </c>
      <c r="L77">
        <f t="shared" si="3"/>
        <v>0</v>
      </c>
    </row>
    <row r="78" spans="1:12" x14ac:dyDescent="0.25">
      <c r="A78">
        <v>1698</v>
      </c>
      <c r="B78" t="s">
        <v>27</v>
      </c>
      <c r="C78" t="s">
        <v>92</v>
      </c>
      <c r="D78" t="s">
        <v>11</v>
      </c>
      <c r="J78">
        <f t="shared" si="2"/>
        <v>0</v>
      </c>
      <c r="L78">
        <f t="shared" si="3"/>
        <v>0</v>
      </c>
    </row>
    <row r="79" spans="1:12" x14ac:dyDescent="0.25">
      <c r="A79">
        <v>1698</v>
      </c>
      <c r="B79" t="s">
        <v>106</v>
      </c>
      <c r="C79" t="s">
        <v>92</v>
      </c>
      <c r="D79" t="s">
        <v>11</v>
      </c>
      <c r="J79">
        <f t="shared" si="2"/>
        <v>0</v>
      </c>
      <c r="L79">
        <f t="shared" si="3"/>
        <v>0</v>
      </c>
    </row>
    <row r="80" spans="1:12" x14ac:dyDescent="0.25">
      <c r="A80">
        <v>1698</v>
      </c>
      <c r="B80" t="s">
        <v>107</v>
      </c>
      <c r="C80" t="s">
        <v>92</v>
      </c>
      <c r="D80" t="s">
        <v>11</v>
      </c>
      <c r="J80">
        <f t="shared" si="2"/>
        <v>0</v>
      </c>
      <c r="L80">
        <f t="shared" si="3"/>
        <v>0</v>
      </c>
    </row>
    <row r="81" spans="1:12" x14ac:dyDescent="0.25">
      <c r="A81">
        <v>1698</v>
      </c>
      <c r="B81" t="s">
        <v>108</v>
      </c>
      <c r="C81" t="s">
        <v>92</v>
      </c>
      <c r="D81" t="s">
        <v>11</v>
      </c>
      <c r="J81">
        <f t="shared" si="2"/>
        <v>0</v>
      </c>
      <c r="L81">
        <f t="shared" si="3"/>
        <v>0</v>
      </c>
    </row>
    <row r="82" spans="1:12" x14ac:dyDescent="0.25">
      <c r="A82">
        <v>1698</v>
      </c>
      <c r="B82" t="s">
        <v>109</v>
      </c>
      <c r="C82" t="s">
        <v>92</v>
      </c>
      <c r="D82" t="s">
        <v>11</v>
      </c>
      <c r="J82">
        <f t="shared" si="2"/>
        <v>0</v>
      </c>
      <c r="L82">
        <f t="shared" si="3"/>
        <v>0</v>
      </c>
    </row>
    <row r="83" spans="1:12" x14ac:dyDescent="0.25">
      <c r="A83">
        <v>1698</v>
      </c>
      <c r="B83" t="s">
        <v>110</v>
      </c>
      <c r="C83" t="s">
        <v>92</v>
      </c>
      <c r="D83" t="s">
        <v>11</v>
      </c>
      <c r="J83">
        <f t="shared" si="2"/>
        <v>0</v>
      </c>
      <c r="L83">
        <f t="shared" si="3"/>
        <v>0</v>
      </c>
    </row>
    <row r="84" spans="1:12" x14ac:dyDescent="0.25">
      <c r="A84">
        <v>1698</v>
      </c>
      <c r="B84" t="s">
        <v>111</v>
      </c>
      <c r="C84" t="s">
        <v>92</v>
      </c>
      <c r="D84" t="s">
        <v>11</v>
      </c>
      <c r="J84">
        <f t="shared" si="2"/>
        <v>0</v>
      </c>
      <c r="L84">
        <f t="shared" si="3"/>
        <v>0</v>
      </c>
    </row>
    <row r="85" spans="1:12" x14ac:dyDescent="0.25">
      <c r="A85">
        <v>1698</v>
      </c>
      <c r="B85" t="s">
        <v>112</v>
      </c>
      <c r="C85" t="s">
        <v>92</v>
      </c>
      <c r="D85" t="s">
        <v>11</v>
      </c>
      <c r="J85">
        <f t="shared" si="2"/>
        <v>0</v>
      </c>
      <c r="L85">
        <f t="shared" si="3"/>
        <v>0</v>
      </c>
    </row>
    <row r="86" spans="1:12" x14ac:dyDescent="0.25">
      <c r="A86">
        <v>1698</v>
      </c>
      <c r="B86" t="s">
        <v>113</v>
      </c>
      <c r="C86" t="s">
        <v>92</v>
      </c>
      <c r="D86" t="s">
        <v>11</v>
      </c>
      <c r="J86">
        <f t="shared" si="2"/>
        <v>0</v>
      </c>
      <c r="L86">
        <f t="shared" si="3"/>
        <v>0</v>
      </c>
    </row>
    <row r="87" spans="1:12" x14ac:dyDescent="0.25">
      <c r="A87">
        <v>1698</v>
      </c>
      <c r="B87" t="s">
        <v>12</v>
      </c>
      <c r="C87" t="s">
        <v>92</v>
      </c>
      <c r="D87" t="s">
        <v>11</v>
      </c>
      <c r="J87">
        <f t="shared" si="2"/>
        <v>0</v>
      </c>
      <c r="L87">
        <f t="shared" si="3"/>
        <v>0</v>
      </c>
    </row>
    <row r="88" spans="1:12" x14ac:dyDescent="0.25">
      <c r="A88">
        <v>1698</v>
      </c>
      <c r="B88" t="s">
        <v>114</v>
      </c>
      <c r="C88" t="s">
        <v>92</v>
      </c>
      <c r="D88" t="s">
        <v>11</v>
      </c>
      <c r="J88">
        <f t="shared" si="2"/>
        <v>0</v>
      </c>
      <c r="L88">
        <f t="shared" si="3"/>
        <v>0</v>
      </c>
    </row>
    <row r="89" spans="1:12" x14ac:dyDescent="0.25">
      <c r="A89">
        <v>1698</v>
      </c>
      <c r="B89" t="s">
        <v>18</v>
      </c>
      <c r="C89" t="s">
        <v>92</v>
      </c>
      <c r="D89" t="s">
        <v>11</v>
      </c>
      <c r="F89">
        <v>4683</v>
      </c>
      <c r="G89">
        <v>2</v>
      </c>
      <c r="H89">
        <v>14</v>
      </c>
      <c r="J89">
        <f t="shared" si="2"/>
        <v>524566</v>
      </c>
      <c r="L89">
        <f t="shared" si="3"/>
        <v>234.18125000000001</v>
      </c>
    </row>
    <row r="90" spans="1:12" x14ac:dyDescent="0.25">
      <c r="A90">
        <v>1698</v>
      </c>
      <c r="B90" t="s">
        <v>58</v>
      </c>
      <c r="C90" t="s">
        <v>92</v>
      </c>
      <c r="D90" t="s">
        <v>11</v>
      </c>
      <c r="J90">
        <f t="shared" si="2"/>
        <v>0</v>
      </c>
      <c r="L90">
        <f t="shared" si="3"/>
        <v>0</v>
      </c>
    </row>
    <row r="91" spans="1:12" x14ac:dyDescent="0.25">
      <c r="A91">
        <v>1698</v>
      </c>
      <c r="B91" t="s">
        <v>115</v>
      </c>
      <c r="C91" t="s">
        <v>92</v>
      </c>
      <c r="D91" t="s">
        <v>11</v>
      </c>
      <c r="J91">
        <f t="shared" si="2"/>
        <v>0</v>
      </c>
      <c r="L91">
        <f t="shared" si="3"/>
        <v>0</v>
      </c>
    </row>
    <row r="92" spans="1:12" x14ac:dyDescent="0.25">
      <c r="A92">
        <v>1698</v>
      </c>
      <c r="B92" t="s">
        <v>15</v>
      </c>
      <c r="C92" t="s">
        <v>92</v>
      </c>
      <c r="D92" t="s">
        <v>11</v>
      </c>
      <c r="J92">
        <f t="shared" si="2"/>
        <v>0</v>
      </c>
      <c r="L92">
        <f t="shared" si="3"/>
        <v>0</v>
      </c>
    </row>
    <row r="93" spans="1:12" x14ac:dyDescent="0.25">
      <c r="A93">
        <v>1698</v>
      </c>
      <c r="B93" t="s">
        <v>116</v>
      </c>
      <c r="C93" t="s">
        <v>92</v>
      </c>
      <c r="D93" t="s">
        <v>11</v>
      </c>
      <c r="J93">
        <f t="shared" si="2"/>
        <v>0</v>
      </c>
      <c r="L93">
        <f t="shared" si="3"/>
        <v>0</v>
      </c>
    </row>
    <row r="94" spans="1:12" x14ac:dyDescent="0.25">
      <c r="A94">
        <v>1698</v>
      </c>
      <c r="B94" t="s">
        <v>40</v>
      </c>
      <c r="C94" t="s">
        <v>92</v>
      </c>
      <c r="D94" t="s">
        <v>11</v>
      </c>
      <c r="J94">
        <f t="shared" si="2"/>
        <v>0</v>
      </c>
      <c r="L94">
        <f t="shared" si="3"/>
        <v>0</v>
      </c>
    </row>
    <row r="95" spans="1:12" x14ac:dyDescent="0.25">
      <c r="A95">
        <v>1698</v>
      </c>
      <c r="B95" t="s">
        <v>117</v>
      </c>
      <c r="C95" t="s">
        <v>92</v>
      </c>
      <c r="D95" t="s">
        <v>11</v>
      </c>
      <c r="J95">
        <f t="shared" si="2"/>
        <v>0</v>
      </c>
      <c r="L95">
        <f t="shared" si="3"/>
        <v>0</v>
      </c>
    </row>
    <row r="96" spans="1:12" x14ac:dyDescent="0.25">
      <c r="A96">
        <v>1698</v>
      </c>
      <c r="B96" t="s">
        <v>118</v>
      </c>
      <c r="C96" t="s">
        <v>92</v>
      </c>
      <c r="D96" t="s">
        <v>11</v>
      </c>
      <c r="J96">
        <f t="shared" si="2"/>
        <v>0</v>
      </c>
      <c r="L96">
        <f t="shared" si="3"/>
        <v>0</v>
      </c>
    </row>
    <row r="97" spans="1:12" x14ac:dyDescent="0.25">
      <c r="A97">
        <v>1698</v>
      </c>
      <c r="B97" t="s">
        <v>119</v>
      </c>
      <c r="C97" t="s">
        <v>92</v>
      </c>
      <c r="D97" t="s">
        <v>11</v>
      </c>
      <c r="J97">
        <f t="shared" si="2"/>
        <v>0</v>
      </c>
      <c r="L97">
        <f t="shared" si="3"/>
        <v>0</v>
      </c>
    </row>
    <row r="98" spans="1:12" x14ac:dyDescent="0.25">
      <c r="A98">
        <v>1698</v>
      </c>
      <c r="B98" t="s">
        <v>120</v>
      </c>
      <c r="C98" t="s">
        <v>92</v>
      </c>
      <c r="D98" t="s">
        <v>11</v>
      </c>
      <c r="J98">
        <f t="shared" si="2"/>
        <v>0</v>
      </c>
      <c r="L98">
        <f t="shared" si="3"/>
        <v>0</v>
      </c>
    </row>
    <row r="99" spans="1:12" x14ac:dyDescent="0.25">
      <c r="A99">
        <v>1698</v>
      </c>
      <c r="B99" t="s">
        <v>121</v>
      </c>
      <c r="C99" t="s">
        <v>92</v>
      </c>
      <c r="D99" t="s">
        <v>11</v>
      </c>
      <c r="J99">
        <f t="shared" si="2"/>
        <v>0</v>
      </c>
      <c r="L99">
        <f t="shared" si="3"/>
        <v>0</v>
      </c>
    </row>
    <row r="100" spans="1:12" x14ac:dyDescent="0.25">
      <c r="A100">
        <v>1698</v>
      </c>
      <c r="B100" t="s">
        <v>9</v>
      </c>
      <c r="C100" t="s">
        <v>92</v>
      </c>
      <c r="D100" t="s">
        <v>11</v>
      </c>
      <c r="H100">
        <f>5*200+20</f>
        <v>1020</v>
      </c>
      <c r="I100" t="s">
        <v>152</v>
      </c>
      <c r="J100">
        <f t="shared" si="2"/>
        <v>1020</v>
      </c>
      <c r="L100">
        <f t="shared" si="3"/>
        <v>0.45535714285714285</v>
      </c>
    </row>
    <row r="101" spans="1:12" x14ac:dyDescent="0.25">
      <c r="A101">
        <v>1698</v>
      </c>
      <c r="B101" t="s">
        <v>16</v>
      </c>
      <c r="C101" t="s">
        <v>92</v>
      </c>
      <c r="D101" t="s">
        <v>11</v>
      </c>
      <c r="F101">
        <v>14</v>
      </c>
      <c r="G101">
        <v>1</v>
      </c>
      <c r="J101">
        <f t="shared" si="2"/>
        <v>1596</v>
      </c>
      <c r="L101">
        <f t="shared" si="3"/>
        <v>0.71250000000000002</v>
      </c>
    </row>
    <row r="102" spans="1:12" x14ac:dyDescent="0.25">
      <c r="A102">
        <v>1698</v>
      </c>
      <c r="B102" t="s">
        <v>26</v>
      </c>
      <c r="C102" t="s">
        <v>92</v>
      </c>
      <c r="D102" t="s">
        <v>11</v>
      </c>
      <c r="J102">
        <f t="shared" si="2"/>
        <v>0</v>
      </c>
      <c r="L102">
        <f t="shared" si="3"/>
        <v>0</v>
      </c>
    </row>
    <row r="103" spans="1:12" x14ac:dyDescent="0.25">
      <c r="A103">
        <v>1698</v>
      </c>
      <c r="B103" t="s">
        <v>122</v>
      </c>
      <c r="C103" t="s">
        <v>92</v>
      </c>
      <c r="D103" t="s">
        <v>11</v>
      </c>
      <c r="J103">
        <f t="shared" si="2"/>
        <v>0</v>
      </c>
      <c r="L103">
        <f t="shared" si="3"/>
        <v>0</v>
      </c>
    </row>
    <row r="104" spans="1:12" x14ac:dyDescent="0.25">
      <c r="A104">
        <v>1698</v>
      </c>
      <c r="B104" t="s">
        <v>123</v>
      </c>
      <c r="C104" t="s">
        <v>92</v>
      </c>
      <c r="D104" t="s">
        <v>11</v>
      </c>
      <c r="J104">
        <f t="shared" si="2"/>
        <v>0</v>
      </c>
      <c r="L104">
        <f t="shared" si="3"/>
        <v>0</v>
      </c>
    </row>
    <row r="105" spans="1:12" x14ac:dyDescent="0.25">
      <c r="A105">
        <v>1698</v>
      </c>
      <c r="B105" t="s">
        <v>124</v>
      </c>
      <c r="C105" t="s">
        <v>92</v>
      </c>
      <c r="D105" t="s">
        <v>11</v>
      </c>
      <c r="J105">
        <f t="shared" si="2"/>
        <v>0</v>
      </c>
      <c r="L105">
        <f t="shared" si="3"/>
        <v>0</v>
      </c>
    </row>
    <row r="106" spans="1:12" x14ac:dyDescent="0.25">
      <c r="A106">
        <v>1698</v>
      </c>
      <c r="B106" t="s">
        <v>125</v>
      </c>
      <c r="C106" t="s">
        <v>92</v>
      </c>
      <c r="D106" t="s">
        <v>11</v>
      </c>
      <c r="J106">
        <f t="shared" si="2"/>
        <v>0</v>
      </c>
      <c r="L106">
        <f t="shared" si="3"/>
        <v>0</v>
      </c>
    </row>
    <row r="107" spans="1:12" x14ac:dyDescent="0.25">
      <c r="A107">
        <v>1698</v>
      </c>
      <c r="B107" t="s">
        <v>126</v>
      </c>
      <c r="C107" t="s">
        <v>92</v>
      </c>
      <c r="D107" t="s">
        <v>11</v>
      </c>
      <c r="J107">
        <f t="shared" si="2"/>
        <v>0</v>
      </c>
      <c r="L107">
        <f t="shared" si="3"/>
        <v>0</v>
      </c>
    </row>
    <row r="108" spans="1:12" x14ac:dyDescent="0.25">
      <c r="A108">
        <v>1698</v>
      </c>
      <c r="B108" t="s">
        <v>127</v>
      </c>
      <c r="C108" t="s">
        <v>92</v>
      </c>
      <c r="D108" t="s">
        <v>11</v>
      </c>
      <c r="J108">
        <f t="shared" si="2"/>
        <v>0</v>
      </c>
      <c r="L108">
        <f t="shared" si="3"/>
        <v>0</v>
      </c>
    </row>
    <row r="109" spans="1:12" x14ac:dyDescent="0.25">
      <c r="A109">
        <v>1698</v>
      </c>
      <c r="B109" t="s">
        <v>8</v>
      </c>
      <c r="C109" t="s">
        <v>92</v>
      </c>
      <c r="D109" t="s">
        <v>11</v>
      </c>
      <c r="J109">
        <f t="shared" si="2"/>
        <v>0</v>
      </c>
      <c r="L109">
        <f t="shared" si="3"/>
        <v>0</v>
      </c>
    </row>
    <row r="110" spans="1:12" x14ac:dyDescent="0.25">
      <c r="A110">
        <v>1698</v>
      </c>
      <c r="B110" t="s">
        <v>128</v>
      </c>
      <c r="C110" t="s">
        <v>92</v>
      </c>
      <c r="D110" t="s">
        <v>11</v>
      </c>
      <c r="J110">
        <f t="shared" si="2"/>
        <v>0</v>
      </c>
      <c r="L110">
        <f t="shared" si="3"/>
        <v>0</v>
      </c>
    </row>
    <row r="111" spans="1:12" x14ac:dyDescent="0.25">
      <c r="A111">
        <v>1698</v>
      </c>
      <c r="B111" t="s">
        <v>37</v>
      </c>
      <c r="C111" t="s">
        <v>92</v>
      </c>
      <c r="D111" t="s">
        <v>11</v>
      </c>
      <c r="J111">
        <f t="shared" si="2"/>
        <v>0</v>
      </c>
      <c r="L111">
        <f t="shared" si="3"/>
        <v>0</v>
      </c>
    </row>
    <row r="112" spans="1:12" x14ac:dyDescent="0.25">
      <c r="A112">
        <v>1698</v>
      </c>
      <c r="B112" t="s">
        <v>38</v>
      </c>
      <c r="C112" t="s">
        <v>92</v>
      </c>
      <c r="D112" t="s">
        <v>11</v>
      </c>
      <c r="F112">
        <v>41</v>
      </c>
      <c r="J112">
        <f t="shared" si="2"/>
        <v>4592</v>
      </c>
      <c r="L112">
        <f t="shared" si="3"/>
        <v>2.0499999999999998</v>
      </c>
    </row>
    <row r="113" spans="1:12" x14ac:dyDescent="0.25">
      <c r="A113">
        <v>1698</v>
      </c>
      <c r="B113" t="s">
        <v>22</v>
      </c>
      <c r="C113" t="s">
        <v>92</v>
      </c>
      <c r="D113" t="s">
        <v>11</v>
      </c>
      <c r="H113">
        <v>300</v>
      </c>
      <c r="I113" t="s">
        <v>151</v>
      </c>
      <c r="J113">
        <f t="shared" si="2"/>
        <v>300</v>
      </c>
      <c r="L113">
        <f t="shared" si="3"/>
        <v>0.13392857142857142</v>
      </c>
    </row>
    <row r="114" spans="1:12" x14ac:dyDescent="0.25">
      <c r="A114">
        <v>1698</v>
      </c>
      <c r="B114" t="s">
        <v>31</v>
      </c>
      <c r="C114" t="s">
        <v>92</v>
      </c>
      <c r="D114" t="s">
        <v>11</v>
      </c>
      <c r="J114">
        <f t="shared" si="2"/>
        <v>0</v>
      </c>
      <c r="L114">
        <f t="shared" si="3"/>
        <v>0</v>
      </c>
    </row>
    <row r="115" spans="1:12" x14ac:dyDescent="0.25">
      <c r="A115">
        <v>1698</v>
      </c>
      <c r="B115" t="s">
        <v>30</v>
      </c>
      <c r="C115" t="s">
        <v>92</v>
      </c>
      <c r="D115" t="s">
        <v>11</v>
      </c>
      <c r="J115">
        <f t="shared" si="2"/>
        <v>0</v>
      </c>
      <c r="L115">
        <f t="shared" si="3"/>
        <v>0</v>
      </c>
    </row>
    <row r="116" spans="1:12" x14ac:dyDescent="0.25">
      <c r="A116">
        <v>1698</v>
      </c>
      <c r="B116" t="s">
        <v>17</v>
      </c>
      <c r="C116" t="s">
        <v>92</v>
      </c>
      <c r="D116" t="s">
        <v>11</v>
      </c>
      <c r="F116">
        <v>1086</v>
      </c>
      <c r="J116">
        <f t="shared" si="2"/>
        <v>121632</v>
      </c>
      <c r="L116">
        <f t="shared" si="3"/>
        <v>54.3</v>
      </c>
    </row>
    <row r="117" spans="1:12" x14ac:dyDescent="0.25">
      <c r="A117">
        <v>1698</v>
      </c>
      <c r="B117" t="s">
        <v>20</v>
      </c>
      <c r="C117" t="s">
        <v>92</v>
      </c>
      <c r="D117" t="s">
        <v>11</v>
      </c>
      <c r="J117">
        <f t="shared" si="2"/>
        <v>0</v>
      </c>
      <c r="L117">
        <f t="shared" si="3"/>
        <v>0</v>
      </c>
    </row>
    <row r="118" spans="1:12" x14ac:dyDescent="0.25">
      <c r="A118">
        <v>1698</v>
      </c>
      <c r="B118" t="s">
        <v>129</v>
      </c>
      <c r="C118" t="s">
        <v>92</v>
      </c>
      <c r="D118" t="s">
        <v>11</v>
      </c>
      <c r="J118">
        <f t="shared" si="2"/>
        <v>0</v>
      </c>
      <c r="L118">
        <f t="shared" si="3"/>
        <v>0</v>
      </c>
    </row>
    <row r="119" spans="1:12" x14ac:dyDescent="0.25">
      <c r="A119">
        <v>1698</v>
      </c>
      <c r="B119" t="s">
        <v>130</v>
      </c>
      <c r="C119" t="s">
        <v>92</v>
      </c>
      <c r="D119" t="s">
        <v>11</v>
      </c>
      <c r="J119">
        <f t="shared" si="2"/>
        <v>0</v>
      </c>
      <c r="L119">
        <f t="shared" si="3"/>
        <v>0</v>
      </c>
    </row>
    <row r="120" spans="1:12" x14ac:dyDescent="0.25">
      <c r="A120">
        <v>1698</v>
      </c>
      <c r="B120" t="s">
        <v>131</v>
      </c>
      <c r="C120" t="s">
        <v>92</v>
      </c>
      <c r="D120" t="s">
        <v>11</v>
      </c>
      <c r="J120">
        <f t="shared" si="2"/>
        <v>0</v>
      </c>
      <c r="L120">
        <f t="shared" si="3"/>
        <v>0</v>
      </c>
    </row>
    <row r="121" spans="1:12" x14ac:dyDescent="0.25">
      <c r="A121">
        <v>1698</v>
      </c>
      <c r="B121" t="s">
        <v>34</v>
      </c>
      <c r="C121" t="s">
        <v>92</v>
      </c>
      <c r="D121" t="s">
        <v>11</v>
      </c>
      <c r="H121">
        <v>110</v>
      </c>
      <c r="J121">
        <f t="shared" si="2"/>
        <v>110</v>
      </c>
      <c r="L121">
        <f t="shared" si="3"/>
        <v>4.9107142857142856E-2</v>
      </c>
    </row>
    <row r="122" spans="1:12" x14ac:dyDescent="0.25">
      <c r="A122">
        <v>1698</v>
      </c>
      <c r="B122" t="s">
        <v>132</v>
      </c>
      <c r="C122" t="s">
        <v>92</v>
      </c>
      <c r="D122" t="s">
        <v>11</v>
      </c>
      <c r="J122">
        <f t="shared" si="2"/>
        <v>0</v>
      </c>
      <c r="L122">
        <f t="shared" si="3"/>
        <v>0</v>
      </c>
    </row>
    <row r="123" spans="1:12" x14ac:dyDescent="0.25">
      <c r="A123">
        <v>1698</v>
      </c>
      <c r="B123" t="s">
        <v>28</v>
      </c>
      <c r="C123" t="s">
        <v>92</v>
      </c>
      <c r="D123" t="s">
        <v>11</v>
      </c>
      <c r="J123">
        <f t="shared" si="2"/>
        <v>0</v>
      </c>
      <c r="L123">
        <f t="shared" si="3"/>
        <v>0</v>
      </c>
    </row>
    <row r="124" spans="1:12" x14ac:dyDescent="0.25">
      <c r="A124">
        <v>1698</v>
      </c>
      <c r="B124" t="s">
        <v>23</v>
      </c>
      <c r="C124" t="s">
        <v>92</v>
      </c>
      <c r="D124" t="s">
        <v>11</v>
      </c>
      <c r="J124">
        <f t="shared" si="2"/>
        <v>0</v>
      </c>
      <c r="L124">
        <f t="shared" si="3"/>
        <v>0</v>
      </c>
    </row>
    <row r="125" spans="1:12" x14ac:dyDescent="0.25">
      <c r="A125">
        <v>1698</v>
      </c>
      <c r="B125" t="s">
        <v>60</v>
      </c>
      <c r="C125" t="s">
        <v>92</v>
      </c>
      <c r="D125" t="s">
        <v>11</v>
      </c>
      <c r="J125">
        <f t="shared" si="2"/>
        <v>0</v>
      </c>
      <c r="L125">
        <f t="shared" si="3"/>
        <v>0</v>
      </c>
    </row>
    <row r="126" spans="1:12" x14ac:dyDescent="0.25">
      <c r="A126">
        <v>1698</v>
      </c>
      <c r="B126" t="s">
        <v>25</v>
      </c>
      <c r="C126" t="s">
        <v>92</v>
      </c>
      <c r="D126" t="s">
        <v>11</v>
      </c>
      <c r="J126">
        <f t="shared" si="2"/>
        <v>0</v>
      </c>
      <c r="L126">
        <f t="shared" si="3"/>
        <v>0</v>
      </c>
    </row>
    <row r="127" spans="1:12" x14ac:dyDescent="0.25">
      <c r="A127">
        <v>1698</v>
      </c>
      <c r="B127" t="s">
        <v>39</v>
      </c>
      <c r="C127" t="s">
        <v>92</v>
      </c>
      <c r="D127" t="s">
        <v>11</v>
      </c>
      <c r="J127">
        <f t="shared" si="2"/>
        <v>0</v>
      </c>
      <c r="L127">
        <f t="shared" si="3"/>
        <v>0</v>
      </c>
    </row>
    <row r="128" spans="1:12" x14ac:dyDescent="0.25">
      <c r="A128">
        <v>1698</v>
      </c>
      <c r="B128" t="s">
        <v>133</v>
      </c>
      <c r="C128" t="s">
        <v>92</v>
      </c>
      <c r="D128" t="s">
        <v>11</v>
      </c>
      <c r="J128">
        <f t="shared" si="2"/>
        <v>0</v>
      </c>
      <c r="L128">
        <f t="shared" si="3"/>
        <v>0</v>
      </c>
    </row>
    <row r="129" spans="1:12" x14ac:dyDescent="0.25">
      <c r="A129">
        <v>1698</v>
      </c>
      <c r="B129" t="s">
        <v>13</v>
      </c>
      <c r="C129" t="s">
        <v>92</v>
      </c>
      <c r="D129" t="s">
        <v>11</v>
      </c>
      <c r="J129">
        <f t="shared" si="2"/>
        <v>0</v>
      </c>
      <c r="L129">
        <f t="shared" si="3"/>
        <v>0</v>
      </c>
    </row>
    <row r="130" spans="1:12" x14ac:dyDescent="0.25">
      <c r="A130">
        <v>1698</v>
      </c>
      <c r="B130" t="s">
        <v>134</v>
      </c>
      <c r="C130" t="s">
        <v>92</v>
      </c>
      <c r="D130" t="s">
        <v>11</v>
      </c>
      <c r="H130">
        <v>353</v>
      </c>
      <c r="J130">
        <f t="shared" ref="J130:J147" si="4">(E130*2240)+(F130*112)+(G130*28)+H130</f>
        <v>353</v>
      </c>
      <c r="L130">
        <f t="shared" ref="L130:L147" si="5">J130/2240</f>
        <v>0.15758928571428571</v>
      </c>
    </row>
    <row r="131" spans="1:12" x14ac:dyDescent="0.25">
      <c r="A131">
        <v>1698</v>
      </c>
      <c r="B131" t="s">
        <v>21</v>
      </c>
      <c r="C131" t="s">
        <v>92</v>
      </c>
      <c r="D131" t="s">
        <v>11</v>
      </c>
      <c r="H131">
        <v>34305</v>
      </c>
      <c r="J131">
        <f t="shared" si="4"/>
        <v>34305</v>
      </c>
      <c r="L131">
        <f t="shared" si="5"/>
        <v>15.314732142857142</v>
      </c>
    </row>
    <row r="132" spans="1:12" x14ac:dyDescent="0.25">
      <c r="A132">
        <v>1698</v>
      </c>
      <c r="B132" t="s">
        <v>24</v>
      </c>
      <c r="C132" t="s">
        <v>92</v>
      </c>
      <c r="D132" t="s">
        <v>11</v>
      </c>
      <c r="J132">
        <f t="shared" si="4"/>
        <v>0</v>
      </c>
      <c r="L132">
        <f t="shared" si="5"/>
        <v>0</v>
      </c>
    </row>
    <row r="133" spans="1:12" x14ac:dyDescent="0.25">
      <c r="A133">
        <v>1698</v>
      </c>
      <c r="B133" t="s">
        <v>135</v>
      </c>
      <c r="C133" t="s">
        <v>92</v>
      </c>
      <c r="D133" t="s">
        <v>11</v>
      </c>
      <c r="J133">
        <f t="shared" si="4"/>
        <v>0</v>
      </c>
      <c r="L133">
        <f t="shared" si="5"/>
        <v>0</v>
      </c>
    </row>
    <row r="134" spans="1:12" x14ac:dyDescent="0.25">
      <c r="A134">
        <v>1698</v>
      </c>
      <c r="B134" t="s">
        <v>19</v>
      </c>
      <c r="C134" t="s">
        <v>92</v>
      </c>
      <c r="D134" t="s">
        <v>11</v>
      </c>
      <c r="F134">
        <v>101</v>
      </c>
      <c r="G134">
        <v>3</v>
      </c>
      <c r="H134">
        <v>12</v>
      </c>
      <c r="J134">
        <f t="shared" si="4"/>
        <v>11408</v>
      </c>
      <c r="L134">
        <f t="shared" si="5"/>
        <v>5.0928571428571425</v>
      </c>
    </row>
    <row r="135" spans="1:12" x14ac:dyDescent="0.25">
      <c r="A135">
        <v>1698</v>
      </c>
      <c r="B135" t="s">
        <v>136</v>
      </c>
      <c r="C135" t="s">
        <v>92</v>
      </c>
      <c r="D135" t="s">
        <v>11</v>
      </c>
      <c r="J135">
        <f t="shared" si="4"/>
        <v>0</v>
      </c>
      <c r="L135">
        <f t="shared" si="5"/>
        <v>0</v>
      </c>
    </row>
    <row r="136" spans="1:12" x14ac:dyDescent="0.25">
      <c r="A136">
        <v>1698</v>
      </c>
      <c r="B136" t="s">
        <v>137</v>
      </c>
      <c r="C136" t="s">
        <v>92</v>
      </c>
      <c r="D136" t="s">
        <v>11</v>
      </c>
      <c r="J136">
        <f t="shared" si="4"/>
        <v>0</v>
      </c>
      <c r="L136">
        <f t="shared" si="5"/>
        <v>0</v>
      </c>
    </row>
    <row r="137" spans="1:12" x14ac:dyDescent="0.25">
      <c r="A137">
        <v>1698</v>
      </c>
      <c r="B137" t="s">
        <v>138</v>
      </c>
      <c r="C137" t="s">
        <v>92</v>
      </c>
      <c r="D137" t="s">
        <v>11</v>
      </c>
      <c r="J137">
        <f t="shared" si="4"/>
        <v>0</v>
      </c>
      <c r="L137">
        <f t="shared" si="5"/>
        <v>0</v>
      </c>
    </row>
    <row r="138" spans="1:12" x14ac:dyDescent="0.25">
      <c r="A138">
        <v>1698</v>
      </c>
      <c r="B138" t="s">
        <v>139</v>
      </c>
      <c r="C138" t="s">
        <v>92</v>
      </c>
      <c r="D138" t="s">
        <v>11</v>
      </c>
      <c r="J138">
        <f t="shared" si="4"/>
        <v>0</v>
      </c>
      <c r="L138">
        <f t="shared" si="5"/>
        <v>0</v>
      </c>
    </row>
    <row r="139" spans="1:12" x14ac:dyDescent="0.25">
      <c r="A139">
        <v>1698</v>
      </c>
      <c r="B139" t="s">
        <v>140</v>
      </c>
      <c r="C139" t="s">
        <v>92</v>
      </c>
      <c r="D139" t="s">
        <v>11</v>
      </c>
      <c r="J139">
        <f t="shared" si="4"/>
        <v>0</v>
      </c>
      <c r="L139">
        <f t="shared" si="5"/>
        <v>0</v>
      </c>
    </row>
    <row r="140" spans="1:12" x14ac:dyDescent="0.25">
      <c r="A140">
        <v>1698</v>
      </c>
      <c r="B140" t="s">
        <v>141</v>
      </c>
      <c r="C140" t="s">
        <v>92</v>
      </c>
      <c r="D140" t="s">
        <v>11</v>
      </c>
      <c r="J140">
        <f t="shared" si="4"/>
        <v>0</v>
      </c>
      <c r="L140">
        <f t="shared" si="5"/>
        <v>0</v>
      </c>
    </row>
    <row r="141" spans="1:12" x14ac:dyDescent="0.25">
      <c r="A141">
        <v>1698</v>
      </c>
      <c r="B141" t="s">
        <v>142</v>
      </c>
      <c r="C141" t="s">
        <v>92</v>
      </c>
      <c r="D141" t="s">
        <v>11</v>
      </c>
      <c r="J141">
        <f t="shared" si="4"/>
        <v>0</v>
      </c>
      <c r="L141">
        <f t="shared" si="5"/>
        <v>0</v>
      </c>
    </row>
    <row r="142" spans="1:12" x14ac:dyDescent="0.25">
      <c r="A142">
        <v>1698</v>
      </c>
      <c r="B142" t="s">
        <v>143</v>
      </c>
      <c r="C142" t="s">
        <v>92</v>
      </c>
      <c r="D142" t="s">
        <v>11</v>
      </c>
      <c r="J142">
        <f t="shared" si="4"/>
        <v>0</v>
      </c>
      <c r="L142">
        <f t="shared" si="5"/>
        <v>0</v>
      </c>
    </row>
    <row r="143" spans="1:12" x14ac:dyDescent="0.25">
      <c r="A143">
        <v>1698</v>
      </c>
      <c r="B143" t="s">
        <v>144</v>
      </c>
      <c r="C143" t="s">
        <v>92</v>
      </c>
      <c r="D143" t="s">
        <v>11</v>
      </c>
      <c r="J143">
        <f t="shared" si="4"/>
        <v>0</v>
      </c>
      <c r="L143">
        <f t="shared" si="5"/>
        <v>0</v>
      </c>
    </row>
    <row r="144" spans="1:12" x14ac:dyDescent="0.25">
      <c r="A144">
        <v>1698</v>
      </c>
      <c r="B144" t="s">
        <v>145</v>
      </c>
      <c r="C144" t="s">
        <v>92</v>
      </c>
      <c r="D144" t="s">
        <v>11</v>
      </c>
      <c r="J144">
        <f t="shared" si="4"/>
        <v>0</v>
      </c>
      <c r="L144">
        <f t="shared" si="5"/>
        <v>0</v>
      </c>
    </row>
    <row r="145" spans="1:12" x14ac:dyDescent="0.25">
      <c r="A145">
        <v>1698</v>
      </c>
      <c r="B145" t="s">
        <v>146</v>
      </c>
      <c r="C145" t="s">
        <v>92</v>
      </c>
      <c r="D145" t="s">
        <v>11</v>
      </c>
      <c r="J145">
        <f t="shared" si="4"/>
        <v>0</v>
      </c>
      <c r="L145">
        <f t="shared" si="5"/>
        <v>0</v>
      </c>
    </row>
    <row r="146" spans="1:12" x14ac:dyDescent="0.25">
      <c r="A146">
        <v>1698</v>
      </c>
      <c r="B146" t="s">
        <v>147</v>
      </c>
      <c r="C146" t="s">
        <v>92</v>
      </c>
      <c r="D146" t="s">
        <v>11</v>
      </c>
      <c r="J146">
        <f t="shared" si="4"/>
        <v>0</v>
      </c>
      <c r="L146">
        <f t="shared" si="5"/>
        <v>0</v>
      </c>
    </row>
    <row r="147" spans="1:12" x14ac:dyDescent="0.25">
      <c r="A147">
        <v>1698</v>
      </c>
      <c r="B147" t="s">
        <v>148</v>
      </c>
      <c r="C147" t="s">
        <v>92</v>
      </c>
      <c r="D147" t="s">
        <v>11</v>
      </c>
      <c r="J147">
        <f t="shared" si="4"/>
        <v>0</v>
      </c>
      <c r="L147">
        <f t="shared" si="5"/>
        <v>0</v>
      </c>
    </row>
  </sheetData>
  <autoFilter ref="A1:O42" xr:uid="{693D6FA2-B6A0-4711-A44A-6CA286BF1E63}">
    <sortState xmlns:xlrd2="http://schemas.microsoft.com/office/spreadsheetml/2017/richdata2" ref="A2:O42">
      <sortCondition ref="D1:D42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F908-12B8-4B3A-A65D-184CD229ACD4}">
  <dimension ref="A1:L55"/>
  <sheetViews>
    <sheetView topLeftCell="A25" zoomScaleNormal="100" workbookViewId="0">
      <selection activeCell="B32" sqref="B32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91</v>
      </c>
      <c r="B1" s="1" t="s">
        <v>88</v>
      </c>
      <c r="C1" s="1" t="s">
        <v>89</v>
      </c>
      <c r="D1" s="1" t="s">
        <v>90</v>
      </c>
      <c r="E1" s="1" t="s">
        <v>86</v>
      </c>
      <c r="F1" s="1" t="s">
        <v>47</v>
      </c>
      <c r="G1" s="1" t="s">
        <v>48</v>
      </c>
      <c r="H1" s="1" t="s">
        <v>87</v>
      </c>
      <c r="I1" s="1"/>
      <c r="J1" s="1" t="s">
        <v>5</v>
      </c>
      <c r="K1" s="1"/>
      <c r="L1" s="1" t="s">
        <v>93</v>
      </c>
    </row>
    <row r="2" spans="1:12" x14ac:dyDescent="0.25">
      <c r="A2">
        <v>1698</v>
      </c>
      <c r="B2" t="s">
        <v>105</v>
      </c>
      <c r="C2" t="s">
        <v>94</v>
      </c>
      <c r="D2" t="s">
        <v>7</v>
      </c>
      <c r="H2">
        <f>300+1270</f>
        <v>1570</v>
      </c>
      <c r="J2">
        <f t="shared" ref="J2" si="0">(E2*2240)+(F2*112)+(G2*28)+H2</f>
        <v>1570</v>
      </c>
      <c r="L2">
        <f t="shared" ref="L2" si="1">J2/2240</f>
        <v>0.7008928571428571</v>
      </c>
    </row>
    <row r="3" spans="1:12" x14ac:dyDescent="0.25">
      <c r="A3">
        <v>1698</v>
      </c>
      <c r="B3" t="s">
        <v>27</v>
      </c>
      <c r="C3" t="s">
        <v>94</v>
      </c>
      <c r="D3" t="s">
        <v>7</v>
      </c>
      <c r="H3">
        <v>236</v>
      </c>
      <c r="J3">
        <f t="shared" ref="J3:J43" si="2">(E3*2240)+(F3*112)+(G3*28)+H3</f>
        <v>236</v>
      </c>
      <c r="L3">
        <f t="shared" ref="L3:L43" si="3">J3/2240</f>
        <v>0.10535714285714286</v>
      </c>
    </row>
    <row r="4" spans="1:12" x14ac:dyDescent="0.25">
      <c r="A4">
        <v>1698</v>
      </c>
      <c r="B4" t="s">
        <v>12</v>
      </c>
      <c r="C4" t="s">
        <v>94</v>
      </c>
      <c r="D4" t="s">
        <v>7</v>
      </c>
      <c r="G4">
        <v>3</v>
      </c>
      <c r="J4">
        <f t="shared" si="2"/>
        <v>84</v>
      </c>
      <c r="L4">
        <f t="shared" si="3"/>
        <v>3.7499999999999999E-2</v>
      </c>
    </row>
    <row r="5" spans="1:12" x14ac:dyDescent="0.25">
      <c r="A5">
        <v>1698</v>
      </c>
      <c r="B5" t="s">
        <v>115</v>
      </c>
      <c r="C5" t="s">
        <v>94</v>
      </c>
      <c r="D5" t="s">
        <v>7</v>
      </c>
      <c r="H5">
        <f>112+1274</f>
        <v>1386</v>
      </c>
      <c r="J5">
        <f t="shared" si="2"/>
        <v>1386</v>
      </c>
      <c r="L5">
        <f t="shared" si="3"/>
        <v>0.61875000000000002</v>
      </c>
    </row>
    <row r="6" spans="1:12" x14ac:dyDescent="0.25">
      <c r="A6">
        <v>1698</v>
      </c>
      <c r="B6" t="s">
        <v>15</v>
      </c>
      <c r="C6" t="s">
        <v>94</v>
      </c>
      <c r="D6" t="s">
        <v>7</v>
      </c>
      <c r="H6">
        <v>211</v>
      </c>
      <c r="J6">
        <f t="shared" si="2"/>
        <v>211</v>
      </c>
      <c r="L6">
        <f t="shared" si="3"/>
        <v>9.419642857142857E-2</v>
      </c>
    </row>
    <row r="7" spans="1:12" x14ac:dyDescent="0.25">
      <c r="A7">
        <v>1698</v>
      </c>
      <c r="B7" t="s">
        <v>40</v>
      </c>
      <c r="C7" t="s">
        <v>94</v>
      </c>
      <c r="D7" t="s">
        <v>7</v>
      </c>
      <c r="F7">
        <v>340</v>
      </c>
      <c r="G7">
        <v>1</v>
      </c>
      <c r="H7">
        <v>30</v>
      </c>
      <c r="J7">
        <f t="shared" si="2"/>
        <v>38138</v>
      </c>
      <c r="L7">
        <f t="shared" si="3"/>
        <v>17.025892857142857</v>
      </c>
    </row>
    <row r="8" spans="1:12" x14ac:dyDescent="0.25">
      <c r="A8">
        <v>1698</v>
      </c>
      <c r="B8" t="s">
        <v>33</v>
      </c>
      <c r="C8" t="s">
        <v>94</v>
      </c>
      <c r="D8" t="s">
        <v>7</v>
      </c>
      <c r="J8">
        <f t="shared" si="2"/>
        <v>0</v>
      </c>
      <c r="L8">
        <f t="shared" si="3"/>
        <v>0</v>
      </c>
    </row>
    <row r="9" spans="1:12" x14ac:dyDescent="0.25">
      <c r="A9">
        <v>1698</v>
      </c>
      <c r="B9" t="s">
        <v>45</v>
      </c>
      <c r="C9" t="s">
        <v>94</v>
      </c>
      <c r="D9" t="s">
        <v>7</v>
      </c>
      <c r="J9">
        <f t="shared" si="2"/>
        <v>0</v>
      </c>
      <c r="L9">
        <f t="shared" si="3"/>
        <v>0</v>
      </c>
    </row>
    <row r="10" spans="1:12" x14ac:dyDescent="0.25">
      <c r="A10">
        <v>1698</v>
      </c>
      <c r="B10" t="s">
        <v>9</v>
      </c>
      <c r="C10" t="s">
        <v>94</v>
      </c>
      <c r="D10" t="s">
        <v>7</v>
      </c>
      <c r="H10">
        <f>200*1589.5</f>
        <v>317900</v>
      </c>
      <c r="I10" t="s">
        <v>69</v>
      </c>
      <c r="J10">
        <f t="shared" si="2"/>
        <v>317900</v>
      </c>
      <c r="L10">
        <f t="shared" si="3"/>
        <v>141.91964285714286</v>
      </c>
    </row>
    <row r="11" spans="1:12" x14ac:dyDescent="0.25">
      <c r="A11">
        <v>1698</v>
      </c>
      <c r="B11" t="s">
        <v>16</v>
      </c>
      <c r="C11" t="s">
        <v>94</v>
      </c>
      <c r="D11" t="s">
        <v>7</v>
      </c>
      <c r="F11">
        <v>15956</v>
      </c>
      <c r="H11">
        <v>23</v>
      </c>
      <c r="J11">
        <f t="shared" si="2"/>
        <v>1787095</v>
      </c>
      <c r="L11">
        <f t="shared" si="3"/>
        <v>797.81026785714289</v>
      </c>
    </row>
    <row r="12" spans="1:12" x14ac:dyDescent="0.25">
      <c r="A12">
        <v>1698</v>
      </c>
      <c r="B12" t="s">
        <v>26</v>
      </c>
      <c r="C12" t="s">
        <v>94</v>
      </c>
      <c r="D12" t="s">
        <v>7</v>
      </c>
      <c r="F12">
        <v>400</v>
      </c>
      <c r="G12">
        <v>2</v>
      </c>
      <c r="H12">
        <v>20</v>
      </c>
      <c r="J12">
        <f t="shared" si="2"/>
        <v>44876</v>
      </c>
      <c r="L12">
        <f t="shared" si="3"/>
        <v>20.033928571428572</v>
      </c>
    </row>
    <row r="13" spans="1:12" x14ac:dyDescent="0.25">
      <c r="A13">
        <v>1698</v>
      </c>
      <c r="B13" t="s">
        <v>122</v>
      </c>
      <c r="C13" t="s">
        <v>94</v>
      </c>
      <c r="D13" t="s">
        <v>7</v>
      </c>
      <c r="H13">
        <f>1711+70</f>
        <v>1781</v>
      </c>
      <c r="J13">
        <f t="shared" si="2"/>
        <v>1781</v>
      </c>
      <c r="L13">
        <f t="shared" si="3"/>
        <v>0.79508928571428572</v>
      </c>
    </row>
    <row r="14" spans="1:12" x14ac:dyDescent="0.25">
      <c r="A14">
        <v>1698</v>
      </c>
      <c r="B14" t="s">
        <v>8</v>
      </c>
      <c r="C14" t="s">
        <v>94</v>
      </c>
      <c r="D14" t="s">
        <v>7</v>
      </c>
      <c r="H14">
        <v>1667</v>
      </c>
      <c r="J14">
        <f t="shared" si="2"/>
        <v>1667</v>
      </c>
      <c r="L14">
        <f t="shared" si="3"/>
        <v>0.74419642857142854</v>
      </c>
    </row>
    <row r="15" spans="1:12" x14ac:dyDescent="0.25">
      <c r="A15">
        <v>1698</v>
      </c>
      <c r="B15" t="s">
        <v>37</v>
      </c>
      <c r="C15" t="s">
        <v>94</v>
      </c>
      <c r="D15" t="s">
        <v>7</v>
      </c>
      <c r="H15">
        <v>2113</v>
      </c>
      <c r="I15" t="s">
        <v>52</v>
      </c>
      <c r="J15">
        <f t="shared" si="2"/>
        <v>2113</v>
      </c>
      <c r="L15">
        <f t="shared" si="3"/>
        <v>0.94330357142857146</v>
      </c>
    </row>
    <row r="16" spans="1:12" x14ac:dyDescent="0.25">
      <c r="A16">
        <v>1698</v>
      </c>
      <c r="B16" t="s">
        <v>38</v>
      </c>
      <c r="C16" t="s">
        <v>94</v>
      </c>
      <c r="D16" t="s">
        <v>7</v>
      </c>
      <c r="F16">
        <v>225</v>
      </c>
      <c r="J16">
        <f t="shared" si="2"/>
        <v>25200</v>
      </c>
      <c r="L16">
        <f t="shared" si="3"/>
        <v>11.25</v>
      </c>
    </row>
    <row r="17" spans="1:12" x14ac:dyDescent="0.25">
      <c r="A17">
        <v>1698</v>
      </c>
      <c r="B17" t="s">
        <v>22</v>
      </c>
      <c r="C17" t="s">
        <v>94</v>
      </c>
      <c r="D17" t="s">
        <v>7</v>
      </c>
      <c r="H17">
        <v>20755</v>
      </c>
      <c r="I17" t="s">
        <v>70</v>
      </c>
      <c r="J17">
        <f t="shared" si="2"/>
        <v>20755</v>
      </c>
      <c r="L17">
        <f t="shared" si="3"/>
        <v>9.265625</v>
      </c>
    </row>
    <row r="18" spans="1:12" x14ac:dyDescent="0.25">
      <c r="A18">
        <v>1698</v>
      </c>
      <c r="B18" t="s">
        <v>31</v>
      </c>
      <c r="C18" t="s">
        <v>94</v>
      </c>
      <c r="D18" t="s">
        <v>7</v>
      </c>
      <c r="F18">
        <v>9</v>
      </c>
      <c r="G18">
        <v>2</v>
      </c>
      <c r="H18">
        <v>12</v>
      </c>
      <c r="J18">
        <f t="shared" si="2"/>
        <v>1076</v>
      </c>
      <c r="L18">
        <f t="shared" si="3"/>
        <v>0.48035714285714287</v>
      </c>
    </row>
    <row r="19" spans="1:12" x14ac:dyDescent="0.25">
      <c r="A19">
        <v>1698</v>
      </c>
      <c r="B19" t="s">
        <v>30</v>
      </c>
      <c r="C19" t="s">
        <v>94</v>
      </c>
      <c r="D19" t="s">
        <v>7</v>
      </c>
      <c r="H19">
        <v>8294</v>
      </c>
      <c r="I19" t="s">
        <v>85</v>
      </c>
      <c r="J19">
        <f t="shared" si="2"/>
        <v>8294</v>
      </c>
      <c r="L19">
        <f t="shared" si="3"/>
        <v>3.7026785714285713</v>
      </c>
    </row>
    <row r="20" spans="1:12" x14ac:dyDescent="0.25">
      <c r="A20">
        <v>1698</v>
      </c>
      <c r="B20" t="s">
        <v>17</v>
      </c>
      <c r="C20" t="s">
        <v>94</v>
      </c>
      <c r="D20" t="s">
        <v>7</v>
      </c>
      <c r="F20">
        <v>4886</v>
      </c>
      <c r="G20">
        <v>5</v>
      </c>
      <c r="H20">
        <v>14</v>
      </c>
      <c r="J20">
        <f t="shared" si="2"/>
        <v>547386</v>
      </c>
      <c r="L20">
        <f t="shared" si="3"/>
        <v>244.36875000000001</v>
      </c>
    </row>
    <row r="21" spans="1:12" x14ac:dyDescent="0.25">
      <c r="A21">
        <v>1698</v>
      </c>
      <c r="B21" t="s">
        <v>46</v>
      </c>
      <c r="C21" t="s">
        <v>94</v>
      </c>
      <c r="D21" t="s">
        <v>7</v>
      </c>
      <c r="F21">
        <v>235132</v>
      </c>
      <c r="G21">
        <v>3</v>
      </c>
      <c r="H21">
        <v>21</v>
      </c>
      <c r="J21">
        <f t="shared" si="2"/>
        <v>26334889</v>
      </c>
      <c r="L21">
        <f t="shared" si="3"/>
        <v>11756.646875</v>
      </c>
    </row>
    <row r="22" spans="1:12" x14ac:dyDescent="0.25">
      <c r="A22">
        <v>1698</v>
      </c>
      <c r="B22" t="s">
        <v>20</v>
      </c>
      <c r="C22" t="s">
        <v>94</v>
      </c>
      <c r="D22" t="s">
        <v>7</v>
      </c>
      <c r="I22" t="s">
        <v>53</v>
      </c>
      <c r="J22">
        <f t="shared" si="2"/>
        <v>0</v>
      </c>
      <c r="L22">
        <f t="shared" si="3"/>
        <v>0</v>
      </c>
    </row>
    <row r="23" spans="1:12" x14ac:dyDescent="0.25">
      <c r="A23">
        <v>1698</v>
      </c>
      <c r="B23" t="s">
        <v>14</v>
      </c>
      <c r="C23" t="s">
        <v>94</v>
      </c>
      <c r="D23" t="s">
        <v>7</v>
      </c>
      <c r="J23">
        <f t="shared" si="2"/>
        <v>0</v>
      </c>
      <c r="L23">
        <f t="shared" si="3"/>
        <v>0</v>
      </c>
    </row>
    <row r="24" spans="1:12" x14ac:dyDescent="0.25">
      <c r="A24">
        <v>1698</v>
      </c>
      <c r="B24" t="s">
        <v>28</v>
      </c>
      <c r="C24" t="s">
        <v>94</v>
      </c>
      <c r="D24" t="s">
        <v>7</v>
      </c>
      <c r="J24">
        <f t="shared" si="2"/>
        <v>0</v>
      </c>
      <c r="L24">
        <f t="shared" si="3"/>
        <v>0</v>
      </c>
    </row>
    <row r="25" spans="1:12" x14ac:dyDescent="0.25">
      <c r="A25">
        <v>1698</v>
      </c>
      <c r="B25" t="s">
        <v>23</v>
      </c>
      <c r="C25" t="s">
        <v>94</v>
      </c>
      <c r="D25" t="s">
        <v>7</v>
      </c>
      <c r="H25">
        <v>1168</v>
      </c>
      <c r="I25" t="s">
        <v>71</v>
      </c>
      <c r="J25">
        <f t="shared" si="2"/>
        <v>1168</v>
      </c>
      <c r="L25">
        <f t="shared" si="3"/>
        <v>0.52142857142857146</v>
      </c>
    </row>
    <row r="26" spans="1:12" x14ac:dyDescent="0.25">
      <c r="A26">
        <v>1698</v>
      </c>
      <c r="B26" t="s">
        <v>25</v>
      </c>
      <c r="C26" t="s">
        <v>94</v>
      </c>
      <c r="D26" t="s">
        <v>7</v>
      </c>
      <c r="F26">
        <v>158</v>
      </c>
      <c r="H26">
        <v>24</v>
      </c>
      <c r="J26">
        <f t="shared" si="2"/>
        <v>17720</v>
      </c>
      <c r="L26">
        <f t="shared" si="3"/>
        <v>7.9107142857142856</v>
      </c>
    </row>
    <row r="27" spans="1:12" x14ac:dyDescent="0.25">
      <c r="A27">
        <v>1698</v>
      </c>
      <c r="B27" t="s">
        <v>13</v>
      </c>
      <c r="C27" t="s">
        <v>94</v>
      </c>
      <c r="D27" t="s">
        <v>7</v>
      </c>
      <c r="H27">
        <v>2181</v>
      </c>
      <c r="J27">
        <f t="shared" si="2"/>
        <v>2181</v>
      </c>
      <c r="L27">
        <f t="shared" si="3"/>
        <v>0.97366071428571432</v>
      </c>
    </row>
    <row r="28" spans="1:12" x14ac:dyDescent="0.25">
      <c r="A28">
        <v>1698</v>
      </c>
      <c r="B28" t="s">
        <v>21</v>
      </c>
      <c r="C28" t="s">
        <v>94</v>
      </c>
      <c r="D28" t="s">
        <v>7</v>
      </c>
      <c r="H28">
        <v>42095</v>
      </c>
      <c r="J28">
        <f t="shared" si="2"/>
        <v>42095</v>
      </c>
      <c r="L28">
        <f t="shared" si="3"/>
        <v>18.792410714285715</v>
      </c>
    </row>
    <row r="29" spans="1:12" x14ac:dyDescent="0.25">
      <c r="A29">
        <v>1698</v>
      </c>
      <c r="B29" t="s">
        <v>24</v>
      </c>
      <c r="C29" t="s">
        <v>94</v>
      </c>
      <c r="D29" t="s">
        <v>7</v>
      </c>
      <c r="H29">
        <v>608</v>
      </c>
      <c r="J29">
        <f t="shared" si="2"/>
        <v>608</v>
      </c>
      <c r="L29">
        <f t="shared" si="3"/>
        <v>0.27142857142857141</v>
      </c>
    </row>
    <row r="30" spans="1:12" x14ac:dyDescent="0.25">
      <c r="A30">
        <v>1698</v>
      </c>
      <c r="B30" t="s">
        <v>135</v>
      </c>
      <c r="C30" t="s">
        <v>94</v>
      </c>
      <c r="D30" t="s">
        <v>7</v>
      </c>
      <c r="F30">
        <v>10</v>
      </c>
      <c r="J30">
        <f t="shared" si="2"/>
        <v>1120</v>
      </c>
      <c r="L30">
        <f t="shared" si="3"/>
        <v>0.5</v>
      </c>
    </row>
    <row r="31" spans="1:12" x14ac:dyDescent="0.25">
      <c r="A31">
        <v>1698</v>
      </c>
      <c r="B31" t="s">
        <v>19</v>
      </c>
      <c r="C31" t="s">
        <v>94</v>
      </c>
      <c r="D31" t="s">
        <v>7</v>
      </c>
      <c r="F31">
        <v>10489</v>
      </c>
      <c r="G31">
        <v>3</v>
      </c>
      <c r="H31">
        <v>26</v>
      </c>
      <c r="J31">
        <f t="shared" si="2"/>
        <v>1174878</v>
      </c>
      <c r="L31">
        <f t="shared" si="3"/>
        <v>524.49910714285716</v>
      </c>
    </row>
    <row r="32" spans="1:12" x14ac:dyDescent="0.25">
      <c r="A32">
        <v>1698</v>
      </c>
      <c r="B32" t="s">
        <v>136</v>
      </c>
      <c r="C32" t="s">
        <v>94</v>
      </c>
      <c r="D32" t="s">
        <v>7</v>
      </c>
      <c r="F32">
        <f>249+322</f>
        <v>571</v>
      </c>
      <c r="G32">
        <v>1</v>
      </c>
      <c r="J32">
        <f t="shared" si="2"/>
        <v>63980</v>
      </c>
      <c r="L32">
        <f t="shared" si="3"/>
        <v>28.5625</v>
      </c>
    </row>
    <row r="33" spans="1:12" x14ac:dyDescent="0.25">
      <c r="A33">
        <v>1698</v>
      </c>
      <c r="B33" t="s">
        <v>142</v>
      </c>
      <c r="C33" t="s">
        <v>94</v>
      </c>
      <c r="D33" t="s">
        <v>7</v>
      </c>
      <c r="F33">
        <f>115+3</f>
        <v>118</v>
      </c>
      <c r="G33">
        <v>3</v>
      </c>
      <c r="J33">
        <f t="shared" si="2"/>
        <v>13300</v>
      </c>
      <c r="L33">
        <f t="shared" si="3"/>
        <v>5.9375</v>
      </c>
    </row>
    <row r="34" spans="1:12" x14ac:dyDescent="0.25">
      <c r="A34">
        <v>1698</v>
      </c>
      <c r="B34" t="s">
        <v>146</v>
      </c>
      <c r="C34" t="s">
        <v>94</v>
      </c>
      <c r="D34" t="s">
        <v>7</v>
      </c>
      <c r="F34">
        <f>9+4</f>
        <v>13</v>
      </c>
      <c r="G34">
        <v>2</v>
      </c>
      <c r="J34">
        <f t="shared" si="2"/>
        <v>1512</v>
      </c>
      <c r="L34">
        <f t="shared" si="3"/>
        <v>0.67500000000000004</v>
      </c>
    </row>
    <row r="35" spans="1:12" x14ac:dyDescent="0.25">
      <c r="A35">
        <v>1698</v>
      </c>
      <c r="B35" t="s">
        <v>27</v>
      </c>
      <c r="C35" t="s">
        <v>94</v>
      </c>
      <c r="D35" t="s">
        <v>11</v>
      </c>
      <c r="H35">
        <v>560</v>
      </c>
      <c r="J35">
        <f t="shared" si="2"/>
        <v>560</v>
      </c>
      <c r="L35">
        <f t="shared" si="3"/>
        <v>0.25</v>
      </c>
    </row>
    <row r="36" spans="1:12" x14ac:dyDescent="0.25">
      <c r="A36">
        <v>1698</v>
      </c>
      <c r="B36" t="s">
        <v>18</v>
      </c>
      <c r="C36" t="s">
        <v>94</v>
      </c>
      <c r="D36" t="s">
        <v>11</v>
      </c>
      <c r="F36">
        <v>29134</v>
      </c>
      <c r="G36">
        <v>1</v>
      </c>
      <c r="H36">
        <v>9</v>
      </c>
      <c r="J36">
        <f t="shared" si="2"/>
        <v>3263045</v>
      </c>
      <c r="L36">
        <f t="shared" si="3"/>
        <v>1456.7165178571429</v>
      </c>
    </row>
    <row r="37" spans="1:12" x14ac:dyDescent="0.25">
      <c r="A37">
        <v>1698</v>
      </c>
      <c r="B37" t="s">
        <v>15</v>
      </c>
      <c r="C37" t="s">
        <v>94</v>
      </c>
      <c r="D37" t="s">
        <v>11</v>
      </c>
      <c r="H37">
        <v>28</v>
      </c>
      <c r="J37">
        <f t="shared" si="2"/>
        <v>28</v>
      </c>
      <c r="L37">
        <f t="shared" si="3"/>
        <v>1.2500000000000001E-2</v>
      </c>
    </row>
    <row r="38" spans="1:12" x14ac:dyDescent="0.25">
      <c r="A38">
        <v>1698</v>
      </c>
      <c r="B38" t="s">
        <v>40</v>
      </c>
      <c r="C38" t="s">
        <v>94</v>
      </c>
      <c r="D38" t="s">
        <v>11</v>
      </c>
      <c r="F38">
        <v>16</v>
      </c>
      <c r="G38">
        <v>5</v>
      </c>
      <c r="H38">
        <v>12</v>
      </c>
      <c r="J38">
        <f t="shared" si="2"/>
        <v>1944</v>
      </c>
      <c r="L38">
        <f t="shared" si="3"/>
        <v>0.86785714285714288</v>
      </c>
    </row>
    <row r="39" spans="1:12" x14ac:dyDescent="0.25">
      <c r="A39">
        <v>1698</v>
      </c>
      <c r="B39" t="s">
        <v>65</v>
      </c>
      <c r="C39" t="s">
        <v>94</v>
      </c>
      <c r="D39" t="s">
        <v>11</v>
      </c>
      <c r="F39">
        <v>11</v>
      </c>
      <c r="H39">
        <v>14</v>
      </c>
      <c r="J39">
        <f t="shared" si="2"/>
        <v>1246</v>
      </c>
      <c r="L39">
        <f t="shared" si="3"/>
        <v>0.55625000000000002</v>
      </c>
    </row>
    <row r="40" spans="1:12" x14ac:dyDescent="0.25">
      <c r="A40">
        <v>1698</v>
      </c>
      <c r="B40" t="s">
        <v>9</v>
      </c>
      <c r="C40" t="s">
        <v>94</v>
      </c>
      <c r="D40" t="s">
        <v>11</v>
      </c>
      <c r="F40">
        <v>672</v>
      </c>
      <c r="H40">
        <v>16</v>
      </c>
      <c r="J40">
        <f t="shared" si="2"/>
        <v>75280</v>
      </c>
      <c r="L40">
        <f t="shared" si="3"/>
        <v>33.607142857142854</v>
      </c>
    </row>
    <row r="41" spans="1:12" x14ac:dyDescent="0.25">
      <c r="A41">
        <v>1698</v>
      </c>
      <c r="B41" t="s">
        <v>16</v>
      </c>
      <c r="C41" t="s">
        <v>94</v>
      </c>
      <c r="D41" t="s">
        <v>11</v>
      </c>
      <c r="F41">
        <v>1354</v>
      </c>
      <c r="G41">
        <v>3</v>
      </c>
      <c r="H41">
        <v>24</v>
      </c>
      <c r="J41">
        <f t="shared" si="2"/>
        <v>151756</v>
      </c>
      <c r="L41">
        <f t="shared" si="3"/>
        <v>67.748214285714283</v>
      </c>
    </row>
    <row r="42" spans="1:12" x14ac:dyDescent="0.25">
      <c r="A42">
        <v>1698</v>
      </c>
      <c r="B42" t="s">
        <v>26</v>
      </c>
      <c r="C42" t="s">
        <v>94</v>
      </c>
      <c r="D42" t="s">
        <v>11</v>
      </c>
      <c r="J42">
        <f t="shared" si="2"/>
        <v>0</v>
      </c>
      <c r="L42">
        <f t="shared" si="3"/>
        <v>0</v>
      </c>
    </row>
    <row r="43" spans="1:12" x14ac:dyDescent="0.25">
      <c r="A43">
        <v>1698</v>
      </c>
      <c r="B43" t="s">
        <v>8</v>
      </c>
      <c r="C43" t="s">
        <v>94</v>
      </c>
      <c r="D43" t="s">
        <v>11</v>
      </c>
      <c r="H43">
        <v>1056</v>
      </c>
      <c r="J43">
        <f t="shared" si="2"/>
        <v>1056</v>
      </c>
      <c r="L43">
        <f t="shared" si="3"/>
        <v>0.47142857142857142</v>
      </c>
    </row>
    <row r="44" spans="1:12" x14ac:dyDescent="0.25">
      <c r="A44">
        <v>1698</v>
      </c>
      <c r="B44" t="s">
        <v>37</v>
      </c>
      <c r="C44" t="s">
        <v>94</v>
      </c>
      <c r="D44" t="s">
        <v>11</v>
      </c>
    </row>
    <row r="45" spans="1:12" x14ac:dyDescent="0.25">
      <c r="A45">
        <v>1698</v>
      </c>
      <c r="B45" t="s">
        <v>38</v>
      </c>
      <c r="C45" t="s">
        <v>94</v>
      </c>
      <c r="D45" t="s">
        <v>11</v>
      </c>
      <c r="F45">
        <v>62</v>
      </c>
      <c r="J45">
        <f t="shared" ref="J45:J55" si="4">(E45*2240)+(F45*112)+(G45*28)+H45</f>
        <v>6944</v>
      </c>
      <c r="L45">
        <f t="shared" ref="L45:L55" si="5">J45/2240</f>
        <v>3.1</v>
      </c>
    </row>
    <row r="46" spans="1:12" x14ac:dyDescent="0.25">
      <c r="A46">
        <v>1698</v>
      </c>
      <c r="B46" t="s">
        <v>22</v>
      </c>
      <c r="C46" t="s">
        <v>94</v>
      </c>
      <c r="D46" t="s">
        <v>11</v>
      </c>
      <c r="E46">
        <v>1</v>
      </c>
      <c r="F46">
        <v>4</v>
      </c>
      <c r="H46">
        <v>311</v>
      </c>
      <c r="I46" t="s">
        <v>79</v>
      </c>
      <c r="J46">
        <f t="shared" si="4"/>
        <v>2999</v>
      </c>
      <c r="L46">
        <f t="shared" si="5"/>
        <v>1.3388392857142857</v>
      </c>
    </row>
    <row r="47" spans="1:12" x14ac:dyDescent="0.25">
      <c r="A47">
        <v>1698</v>
      </c>
      <c r="B47" t="s">
        <v>17</v>
      </c>
      <c r="C47" t="s">
        <v>94</v>
      </c>
      <c r="D47" t="s">
        <v>11</v>
      </c>
      <c r="F47">
        <v>1460</v>
      </c>
      <c r="G47">
        <v>3</v>
      </c>
      <c r="H47">
        <v>4</v>
      </c>
      <c r="J47">
        <f t="shared" si="4"/>
        <v>163608</v>
      </c>
      <c r="L47">
        <f t="shared" si="5"/>
        <v>73.039285714285711</v>
      </c>
    </row>
    <row r="48" spans="1:12" x14ac:dyDescent="0.25">
      <c r="A48">
        <v>1698</v>
      </c>
      <c r="B48" t="s">
        <v>34</v>
      </c>
      <c r="C48" t="s">
        <v>94</v>
      </c>
      <c r="D48" t="s">
        <v>11</v>
      </c>
      <c r="J48">
        <f t="shared" si="4"/>
        <v>0</v>
      </c>
      <c r="L48">
        <f t="shared" si="5"/>
        <v>0</v>
      </c>
    </row>
    <row r="49" spans="1:12" x14ac:dyDescent="0.25">
      <c r="A49">
        <v>1698</v>
      </c>
      <c r="B49" t="s">
        <v>23</v>
      </c>
      <c r="C49" t="s">
        <v>94</v>
      </c>
      <c r="D49" t="s">
        <v>11</v>
      </c>
      <c r="H49">
        <v>168</v>
      </c>
      <c r="I49" t="s">
        <v>51</v>
      </c>
      <c r="J49">
        <f t="shared" si="4"/>
        <v>168</v>
      </c>
      <c r="L49">
        <f t="shared" si="5"/>
        <v>7.4999999999999997E-2</v>
      </c>
    </row>
    <row r="50" spans="1:12" x14ac:dyDescent="0.25">
      <c r="A50">
        <v>1698</v>
      </c>
      <c r="B50" t="s">
        <v>25</v>
      </c>
      <c r="C50" t="s">
        <v>94</v>
      </c>
      <c r="D50" t="s">
        <v>11</v>
      </c>
      <c r="F50">
        <v>1</v>
      </c>
      <c r="G50">
        <v>2</v>
      </c>
      <c r="H50">
        <v>7</v>
      </c>
      <c r="J50">
        <f t="shared" si="4"/>
        <v>175</v>
      </c>
      <c r="L50">
        <f t="shared" si="5"/>
        <v>7.8125E-2</v>
      </c>
    </row>
    <row r="51" spans="1:12" x14ac:dyDescent="0.25">
      <c r="A51">
        <v>1698</v>
      </c>
      <c r="B51" t="s">
        <v>13</v>
      </c>
      <c r="C51" t="s">
        <v>94</v>
      </c>
      <c r="D51" t="s">
        <v>11</v>
      </c>
      <c r="H51">
        <v>630</v>
      </c>
      <c r="J51">
        <f t="shared" si="4"/>
        <v>630</v>
      </c>
      <c r="L51">
        <f t="shared" si="5"/>
        <v>0.28125</v>
      </c>
    </row>
    <row r="52" spans="1:12" x14ac:dyDescent="0.25">
      <c r="A52">
        <v>1698</v>
      </c>
      <c r="B52" t="s">
        <v>29</v>
      </c>
      <c r="C52" t="s">
        <v>94</v>
      </c>
      <c r="D52" t="s">
        <v>11</v>
      </c>
      <c r="F52">
        <v>4</v>
      </c>
      <c r="G52">
        <v>3</v>
      </c>
      <c r="H52">
        <v>7</v>
      </c>
      <c r="J52">
        <f t="shared" si="4"/>
        <v>539</v>
      </c>
      <c r="L52">
        <f t="shared" si="5"/>
        <v>0.24062500000000001</v>
      </c>
    </row>
    <row r="53" spans="1:12" x14ac:dyDescent="0.25">
      <c r="A53">
        <v>1698</v>
      </c>
      <c r="B53" t="s">
        <v>21</v>
      </c>
      <c r="C53" t="s">
        <v>94</v>
      </c>
      <c r="D53" t="s">
        <v>11</v>
      </c>
      <c r="H53">
        <v>4998</v>
      </c>
      <c r="J53">
        <f t="shared" si="4"/>
        <v>4998</v>
      </c>
      <c r="L53">
        <f t="shared" si="5"/>
        <v>2.2312500000000002</v>
      </c>
    </row>
    <row r="54" spans="1:12" x14ac:dyDescent="0.25">
      <c r="A54">
        <v>1698</v>
      </c>
      <c r="B54" t="s">
        <v>24</v>
      </c>
      <c r="C54" t="s">
        <v>94</v>
      </c>
      <c r="D54" t="s">
        <v>11</v>
      </c>
      <c r="H54">
        <v>99</v>
      </c>
      <c r="J54">
        <f t="shared" si="4"/>
        <v>99</v>
      </c>
      <c r="L54">
        <f t="shared" si="5"/>
        <v>4.4196428571428574E-2</v>
      </c>
    </row>
    <row r="55" spans="1:12" x14ac:dyDescent="0.25">
      <c r="A55">
        <v>1698</v>
      </c>
      <c r="B55" t="s">
        <v>19</v>
      </c>
      <c r="C55" t="s">
        <v>94</v>
      </c>
      <c r="D55" t="s">
        <v>11</v>
      </c>
      <c r="F55">
        <v>357</v>
      </c>
      <c r="H55">
        <v>24</v>
      </c>
      <c r="J55">
        <f t="shared" si="4"/>
        <v>40008</v>
      </c>
      <c r="L55">
        <f t="shared" si="5"/>
        <v>17.860714285714284</v>
      </c>
    </row>
  </sheetData>
  <autoFilter ref="B1:L55" xr:uid="{AAD1F908-12B8-4B3A-A65D-184CD229ACD4}">
    <sortState xmlns:xlrd2="http://schemas.microsoft.com/office/spreadsheetml/2017/richdata2" ref="B2:L55">
      <sortCondition ref="D1:D5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722-BBCD-461E-A313-A1216A062DC6}">
  <dimension ref="A1:L10"/>
  <sheetViews>
    <sheetView workbookViewId="0">
      <selection activeCell="H3" sqref="H3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t="s">
        <v>91</v>
      </c>
      <c r="B1" s="1" t="s">
        <v>88</v>
      </c>
      <c r="C1" s="1" t="s">
        <v>89</v>
      </c>
      <c r="D1" s="1" t="s">
        <v>90</v>
      </c>
      <c r="E1" s="1" t="s">
        <v>86</v>
      </c>
      <c r="F1" s="1" t="s">
        <v>47</v>
      </c>
      <c r="G1" s="1" t="s">
        <v>48</v>
      </c>
      <c r="H1" s="1" t="s">
        <v>87</v>
      </c>
      <c r="I1" s="1"/>
      <c r="J1" s="1" t="s">
        <v>5</v>
      </c>
      <c r="K1" s="1"/>
      <c r="L1" s="1" t="s">
        <v>93</v>
      </c>
    </row>
    <row r="2" spans="1:12" x14ac:dyDescent="0.25">
      <c r="A2">
        <v>1698</v>
      </c>
      <c r="B2" t="s">
        <v>26</v>
      </c>
      <c r="C2" t="s">
        <v>95</v>
      </c>
      <c r="D2" t="s">
        <v>7</v>
      </c>
      <c r="F2">
        <v>2</v>
      </c>
      <c r="G2">
        <v>2</v>
      </c>
      <c r="H2">
        <v>6</v>
      </c>
      <c r="I2" s="1"/>
      <c r="J2">
        <f t="shared" ref="J2:J10" si="0">(E2*2240)+(F2*112)+(G2*28)+H2</f>
        <v>286</v>
      </c>
      <c r="K2" s="1"/>
      <c r="L2">
        <f t="shared" ref="L2:L8" si="1">J2/2240</f>
        <v>0.12767857142857142</v>
      </c>
    </row>
    <row r="3" spans="1:12" x14ac:dyDescent="0.25">
      <c r="A3">
        <v>1698</v>
      </c>
      <c r="B3" t="s">
        <v>8</v>
      </c>
      <c r="C3" t="s">
        <v>95</v>
      </c>
      <c r="D3" t="s">
        <v>7</v>
      </c>
      <c r="H3">
        <v>1284</v>
      </c>
      <c r="J3">
        <f t="shared" si="0"/>
        <v>1284</v>
      </c>
      <c r="L3">
        <f t="shared" si="1"/>
        <v>0.57321428571428568</v>
      </c>
    </row>
    <row r="4" spans="1:12" x14ac:dyDescent="0.25">
      <c r="A4">
        <v>1698</v>
      </c>
      <c r="B4" t="s">
        <v>54</v>
      </c>
      <c r="C4" t="s">
        <v>95</v>
      </c>
      <c r="D4" t="s">
        <v>7</v>
      </c>
      <c r="E4" s="1"/>
      <c r="F4">
        <v>55</v>
      </c>
      <c r="G4">
        <v>1</v>
      </c>
      <c r="H4">
        <v>9</v>
      </c>
      <c r="J4">
        <f t="shared" si="0"/>
        <v>6197</v>
      </c>
      <c r="K4" s="1"/>
      <c r="L4">
        <f t="shared" si="1"/>
        <v>2.766517857142857</v>
      </c>
    </row>
    <row r="5" spans="1:12" x14ac:dyDescent="0.25">
      <c r="A5">
        <v>1698</v>
      </c>
      <c r="B5" t="s">
        <v>25</v>
      </c>
      <c r="C5" t="s">
        <v>95</v>
      </c>
      <c r="D5" t="s">
        <v>7</v>
      </c>
      <c r="F5">
        <v>2</v>
      </c>
      <c r="G5">
        <v>3</v>
      </c>
      <c r="H5">
        <v>14</v>
      </c>
      <c r="J5">
        <f t="shared" si="0"/>
        <v>322</v>
      </c>
      <c r="L5">
        <f t="shared" si="1"/>
        <v>0.14374999999999999</v>
      </c>
    </row>
    <row r="6" spans="1:12" x14ac:dyDescent="0.25">
      <c r="A6">
        <v>1698</v>
      </c>
      <c r="B6" t="s">
        <v>21</v>
      </c>
      <c r="C6" t="s">
        <v>95</v>
      </c>
      <c r="D6" t="s">
        <v>7</v>
      </c>
      <c r="H6">
        <v>19257</v>
      </c>
      <c r="J6">
        <f t="shared" si="0"/>
        <v>19257</v>
      </c>
      <c r="L6">
        <f t="shared" si="1"/>
        <v>8.5968750000000007</v>
      </c>
    </row>
    <row r="7" spans="1:12" x14ac:dyDescent="0.25">
      <c r="A7">
        <v>1698</v>
      </c>
      <c r="B7" t="s">
        <v>24</v>
      </c>
      <c r="C7" t="s">
        <v>95</v>
      </c>
      <c r="D7" t="s">
        <v>7</v>
      </c>
      <c r="G7">
        <v>17</v>
      </c>
      <c r="J7">
        <f t="shared" si="0"/>
        <v>476</v>
      </c>
      <c r="L7">
        <f t="shared" si="1"/>
        <v>0.21249999999999999</v>
      </c>
    </row>
    <row r="8" spans="1:12" x14ac:dyDescent="0.25">
      <c r="A8">
        <v>1698</v>
      </c>
      <c r="B8" t="s">
        <v>19</v>
      </c>
      <c r="C8" t="s">
        <v>95</v>
      </c>
      <c r="D8" t="s">
        <v>7</v>
      </c>
      <c r="E8" s="1"/>
      <c r="F8">
        <v>7</v>
      </c>
      <c r="G8" s="1"/>
      <c r="H8" s="1"/>
      <c r="J8">
        <f t="shared" si="0"/>
        <v>784</v>
      </c>
      <c r="K8" s="1"/>
      <c r="L8">
        <f t="shared" si="1"/>
        <v>0.35</v>
      </c>
    </row>
    <row r="9" spans="1:12" x14ac:dyDescent="0.25">
      <c r="J9">
        <f t="shared" si="0"/>
        <v>0</v>
      </c>
    </row>
    <row r="10" spans="1:12" x14ac:dyDescent="0.25">
      <c r="J10">
        <f t="shared" si="0"/>
        <v>0</v>
      </c>
    </row>
  </sheetData>
  <autoFilter ref="B1:L10" xr:uid="{47E1E722-BBCD-461E-A313-A1216A062DC6}">
    <sortState xmlns:xlrd2="http://schemas.microsoft.com/office/spreadsheetml/2017/richdata2" ref="B2:L10">
      <sortCondition ref="B1:B10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DECF-9C4B-4D66-A34A-4FCAB8DD57FB}">
  <dimension ref="A1:L16"/>
  <sheetViews>
    <sheetView workbookViewId="0">
      <selection activeCell="G28" sqref="G28"/>
    </sheetView>
  </sheetViews>
  <sheetFormatPr defaultRowHeight="15" x14ac:dyDescent="0.25"/>
  <cols>
    <col min="2" max="3" width="18.85546875" customWidth="1"/>
    <col min="4" max="4" width="17.5703125" customWidth="1"/>
    <col min="7" max="7" width="10.42578125" customWidth="1"/>
    <col min="8" max="8" width="12.85546875" customWidth="1"/>
  </cols>
  <sheetData>
    <row r="1" spans="1:12" x14ac:dyDescent="0.25">
      <c r="A1" s="1" t="s">
        <v>91</v>
      </c>
      <c r="B1" s="1" t="s">
        <v>88</v>
      </c>
      <c r="C1" s="1" t="s">
        <v>89</v>
      </c>
      <c r="D1" s="1" t="s">
        <v>90</v>
      </c>
      <c r="E1" s="1" t="s">
        <v>86</v>
      </c>
      <c r="F1" s="1" t="s">
        <v>47</v>
      </c>
      <c r="G1" s="1" t="s">
        <v>48</v>
      </c>
      <c r="H1" s="1" t="s">
        <v>87</v>
      </c>
      <c r="I1" s="1"/>
      <c r="J1" s="1" t="s">
        <v>5</v>
      </c>
      <c r="K1" s="1"/>
      <c r="L1" s="1" t="s">
        <v>93</v>
      </c>
    </row>
    <row r="2" spans="1:12" x14ac:dyDescent="0.25">
      <c r="A2">
        <v>1698</v>
      </c>
      <c r="B2" t="s">
        <v>18</v>
      </c>
      <c r="C2" t="s">
        <v>96</v>
      </c>
      <c r="D2" t="s">
        <v>7</v>
      </c>
      <c r="J2">
        <f t="shared" ref="J2:J16" si="0">(E2*2240)+(F2*112)+(G2*28)+H2</f>
        <v>0</v>
      </c>
      <c r="L2">
        <f t="shared" ref="L2:L16" si="1">J2/2240</f>
        <v>0</v>
      </c>
    </row>
    <row r="3" spans="1:12" x14ac:dyDescent="0.25">
      <c r="A3">
        <v>1698</v>
      </c>
      <c r="B3" t="s">
        <v>40</v>
      </c>
      <c r="C3" t="s">
        <v>96</v>
      </c>
      <c r="D3" t="s">
        <v>7</v>
      </c>
      <c r="J3">
        <f t="shared" si="0"/>
        <v>0</v>
      </c>
      <c r="L3">
        <f t="shared" si="1"/>
        <v>0</v>
      </c>
    </row>
    <row r="4" spans="1:12" x14ac:dyDescent="0.25">
      <c r="A4">
        <v>1698</v>
      </c>
      <c r="B4" t="s">
        <v>16</v>
      </c>
      <c r="C4" t="s">
        <v>96</v>
      </c>
      <c r="D4" t="s">
        <v>7</v>
      </c>
      <c r="J4">
        <f t="shared" si="0"/>
        <v>0</v>
      </c>
      <c r="L4">
        <f t="shared" si="1"/>
        <v>0</v>
      </c>
    </row>
    <row r="5" spans="1:12" x14ac:dyDescent="0.25">
      <c r="A5">
        <v>1698</v>
      </c>
      <c r="B5" t="s">
        <v>26</v>
      </c>
      <c r="C5" t="s">
        <v>96</v>
      </c>
      <c r="D5" t="s">
        <v>7</v>
      </c>
      <c r="J5">
        <f t="shared" si="0"/>
        <v>0</v>
      </c>
      <c r="L5">
        <f t="shared" si="1"/>
        <v>0</v>
      </c>
    </row>
    <row r="6" spans="1:12" x14ac:dyDescent="0.25">
      <c r="A6">
        <v>1698</v>
      </c>
      <c r="B6" t="s">
        <v>8</v>
      </c>
      <c r="C6" t="s">
        <v>96</v>
      </c>
      <c r="D6" t="s">
        <v>7</v>
      </c>
      <c r="J6">
        <f t="shared" si="0"/>
        <v>0</v>
      </c>
      <c r="L6">
        <f t="shared" si="1"/>
        <v>0</v>
      </c>
    </row>
    <row r="7" spans="1:12" x14ac:dyDescent="0.25">
      <c r="A7">
        <v>1698</v>
      </c>
      <c r="B7" t="s">
        <v>34</v>
      </c>
      <c r="C7" t="s">
        <v>96</v>
      </c>
      <c r="D7" t="s">
        <v>7</v>
      </c>
      <c r="J7">
        <f t="shared" si="0"/>
        <v>0</v>
      </c>
      <c r="L7">
        <f t="shared" si="1"/>
        <v>0</v>
      </c>
    </row>
    <row r="8" spans="1:12" x14ac:dyDescent="0.25">
      <c r="A8">
        <v>1698</v>
      </c>
      <c r="B8" t="s">
        <v>28</v>
      </c>
      <c r="C8" t="s">
        <v>96</v>
      </c>
      <c r="D8" t="s">
        <v>7</v>
      </c>
      <c r="J8">
        <f t="shared" si="0"/>
        <v>0</v>
      </c>
      <c r="L8">
        <f t="shared" si="1"/>
        <v>0</v>
      </c>
    </row>
    <row r="9" spans="1:12" x14ac:dyDescent="0.25">
      <c r="A9">
        <v>1698</v>
      </c>
      <c r="B9" t="s">
        <v>21</v>
      </c>
      <c r="C9" t="s">
        <v>96</v>
      </c>
      <c r="D9" t="s">
        <v>7</v>
      </c>
      <c r="J9">
        <f t="shared" si="0"/>
        <v>0</v>
      </c>
      <c r="L9">
        <f t="shared" si="1"/>
        <v>0</v>
      </c>
    </row>
    <row r="10" spans="1:12" x14ac:dyDescent="0.25">
      <c r="A10">
        <v>1698</v>
      </c>
      <c r="B10" t="s">
        <v>24</v>
      </c>
      <c r="C10" t="s">
        <v>96</v>
      </c>
      <c r="D10" t="s">
        <v>7</v>
      </c>
      <c r="J10">
        <f t="shared" si="0"/>
        <v>0</v>
      </c>
      <c r="L10">
        <f t="shared" si="1"/>
        <v>0</v>
      </c>
    </row>
    <row r="11" spans="1:12" x14ac:dyDescent="0.25">
      <c r="A11">
        <v>1698</v>
      </c>
      <c r="B11" t="s">
        <v>18</v>
      </c>
      <c r="C11" t="s">
        <v>96</v>
      </c>
      <c r="D11" t="s">
        <v>11</v>
      </c>
      <c r="J11">
        <f t="shared" si="0"/>
        <v>0</v>
      </c>
      <c r="L11">
        <f t="shared" si="1"/>
        <v>0</v>
      </c>
    </row>
    <row r="12" spans="1:12" x14ac:dyDescent="0.25">
      <c r="A12">
        <v>1698</v>
      </c>
      <c r="B12" t="s">
        <v>34</v>
      </c>
      <c r="C12" t="s">
        <v>96</v>
      </c>
      <c r="D12" t="s">
        <v>11</v>
      </c>
      <c r="J12">
        <f t="shared" si="0"/>
        <v>0</v>
      </c>
      <c r="L12">
        <f t="shared" si="1"/>
        <v>0</v>
      </c>
    </row>
    <row r="13" spans="1:12" x14ac:dyDescent="0.25">
      <c r="A13">
        <v>1698</v>
      </c>
      <c r="B13" t="s">
        <v>28</v>
      </c>
      <c r="C13" t="s">
        <v>96</v>
      </c>
      <c r="D13" t="s">
        <v>11</v>
      </c>
      <c r="J13">
        <f t="shared" si="0"/>
        <v>0</v>
      </c>
      <c r="L13">
        <f t="shared" si="1"/>
        <v>0</v>
      </c>
    </row>
    <row r="14" spans="1:12" x14ac:dyDescent="0.25">
      <c r="A14">
        <v>1698</v>
      </c>
      <c r="B14" t="s">
        <v>21</v>
      </c>
      <c r="C14" t="s">
        <v>96</v>
      </c>
      <c r="D14" t="s">
        <v>11</v>
      </c>
      <c r="J14">
        <f t="shared" si="0"/>
        <v>0</v>
      </c>
      <c r="L14">
        <f t="shared" si="1"/>
        <v>0</v>
      </c>
    </row>
    <row r="15" spans="1:12" x14ac:dyDescent="0.25">
      <c r="A15">
        <v>1698</v>
      </c>
      <c r="B15" t="s">
        <v>24</v>
      </c>
      <c r="C15" t="s">
        <v>96</v>
      </c>
      <c r="D15" t="s">
        <v>11</v>
      </c>
      <c r="J15">
        <f t="shared" si="0"/>
        <v>0</v>
      </c>
      <c r="L15">
        <f t="shared" si="1"/>
        <v>0</v>
      </c>
    </row>
    <row r="16" spans="1:12" x14ac:dyDescent="0.25">
      <c r="J16">
        <f t="shared" si="0"/>
        <v>0</v>
      </c>
      <c r="L16">
        <f t="shared" si="1"/>
        <v>0</v>
      </c>
    </row>
  </sheetData>
  <autoFilter ref="A1:L16" xr:uid="{E339DECF-9C4B-4D66-A34A-4FCAB8DD57FB}">
    <sortState xmlns:xlrd2="http://schemas.microsoft.com/office/spreadsheetml/2017/richdata2" ref="A2:L16">
      <sortCondition ref="D1:D1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7725-5A61-4A1B-A740-CC887BCB0E68}">
  <dimension ref="A1:L53"/>
  <sheetViews>
    <sheetView topLeftCell="A4" zoomScaleNormal="100" workbookViewId="0">
      <selection activeCell="G34" sqref="G34"/>
    </sheetView>
  </sheetViews>
  <sheetFormatPr defaultRowHeight="15" x14ac:dyDescent="0.25"/>
  <cols>
    <col min="2" max="2" width="16.85546875" customWidth="1"/>
    <col min="3" max="3" width="14.140625" customWidth="1"/>
    <col min="4" max="4" width="14.5703125" customWidth="1"/>
  </cols>
  <sheetData>
    <row r="1" spans="1:12" x14ac:dyDescent="0.25">
      <c r="A1" s="1" t="s">
        <v>91</v>
      </c>
      <c r="B1" s="1" t="s">
        <v>88</v>
      </c>
      <c r="C1" s="1" t="s">
        <v>89</v>
      </c>
      <c r="D1" s="1" t="s">
        <v>90</v>
      </c>
      <c r="E1" s="1" t="s">
        <v>86</v>
      </c>
      <c r="F1" s="1" t="s">
        <v>47</v>
      </c>
      <c r="G1" s="1" t="s">
        <v>55</v>
      </c>
      <c r="H1" s="1" t="s">
        <v>87</v>
      </c>
      <c r="I1" s="1"/>
      <c r="J1" s="1" t="s">
        <v>5</v>
      </c>
      <c r="K1" s="1"/>
      <c r="L1" s="1" t="s">
        <v>93</v>
      </c>
    </row>
    <row r="2" spans="1:12" x14ac:dyDescent="0.25">
      <c r="A2">
        <v>1698</v>
      </c>
      <c r="B2" t="s">
        <v>27</v>
      </c>
      <c r="C2" t="s">
        <v>97</v>
      </c>
      <c r="D2" t="s">
        <v>7</v>
      </c>
      <c r="H2">
        <f>2725+402</f>
        <v>3127</v>
      </c>
      <c r="J2">
        <f t="shared" ref="J2:J53" si="0">(E2*2240)+(F2*112)+(G2*28)+H2</f>
        <v>3127</v>
      </c>
      <c r="L2">
        <f t="shared" ref="L2:L53" si="1">J2/2240</f>
        <v>1.3959821428571428</v>
      </c>
    </row>
    <row r="3" spans="1:12" x14ac:dyDescent="0.25">
      <c r="A3">
        <v>1698</v>
      </c>
      <c r="B3" t="s">
        <v>12</v>
      </c>
      <c r="C3" t="s">
        <v>97</v>
      </c>
      <c r="D3" t="s">
        <v>7</v>
      </c>
      <c r="F3">
        <v>4</v>
      </c>
      <c r="G3">
        <v>1</v>
      </c>
      <c r="H3">
        <v>10</v>
      </c>
      <c r="J3">
        <f t="shared" si="0"/>
        <v>486</v>
      </c>
      <c r="L3">
        <f t="shared" si="1"/>
        <v>0.21696428571428572</v>
      </c>
    </row>
    <row r="4" spans="1:12" x14ac:dyDescent="0.25">
      <c r="A4">
        <v>1698</v>
      </c>
      <c r="B4" t="s">
        <v>56</v>
      </c>
      <c r="C4" t="s">
        <v>97</v>
      </c>
      <c r="D4" t="s">
        <v>7</v>
      </c>
      <c r="H4">
        <v>346</v>
      </c>
      <c r="I4" t="s">
        <v>57</v>
      </c>
      <c r="J4">
        <f t="shared" si="0"/>
        <v>346</v>
      </c>
      <c r="L4">
        <f t="shared" si="1"/>
        <v>0.15446428571428572</v>
      </c>
    </row>
    <row r="5" spans="1:12" x14ac:dyDescent="0.25">
      <c r="A5">
        <v>1698</v>
      </c>
      <c r="B5" t="s">
        <v>18</v>
      </c>
      <c r="C5" t="s">
        <v>97</v>
      </c>
      <c r="D5" t="s">
        <v>7</v>
      </c>
      <c r="F5">
        <v>13226</v>
      </c>
      <c r="G5">
        <v>2</v>
      </c>
      <c r="H5">
        <v>7</v>
      </c>
      <c r="J5">
        <f t="shared" si="0"/>
        <v>1481375</v>
      </c>
      <c r="L5">
        <f t="shared" si="1"/>
        <v>661.328125</v>
      </c>
    </row>
    <row r="6" spans="1:12" x14ac:dyDescent="0.25">
      <c r="A6">
        <v>1698</v>
      </c>
      <c r="B6" t="s">
        <v>58</v>
      </c>
      <c r="C6" t="s">
        <v>97</v>
      </c>
      <c r="D6" t="s">
        <v>7</v>
      </c>
      <c r="H6">
        <v>2195</v>
      </c>
      <c r="J6">
        <f t="shared" si="0"/>
        <v>2195</v>
      </c>
      <c r="L6">
        <f t="shared" si="1"/>
        <v>0.9799107142857143</v>
      </c>
    </row>
    <row r="7" spans="1:12" x14ac:dyDescent="0.25">
      <c r="A7">
        <v>1698</v>
      </c>
      <c r="B7" t="s">
        <v>15</v>
      </c>
      <c r="C7" t="s">
        <v>97</v>
      </c>
      <c r="D7" t="s">
        <v>7</v>
      </c>
      <c r="H7">
        <v>839</v>
      </c>
      <c r="J7">
        <f t="shared" si="0"/>
        <v>839</v>
      </c>
      <c r="L7">
        <f t="shared" si="1"/>
        <v>0.37455357142857143</v>
      </c>
    </row>
    <row r="8" spans="1:12" x14ac:dyDescent="0.25">
      <c r="A8">
        <v>1698</v>
      </c>
      <c r="B8" t="s">
        <v>49</v>
      </c>
      <c r="C8" t="s">
        <v>97</v>
      </c>
      <c r="D8" t="s">
        <v>7</v>
      </c>
      <c r="H8">
        <v>360</v>
      </c>
      <c r="J8">
        <f t="shared" si="0"/>
        <v>360</v>
      </c>
      <c r="L8">
        <f t="shared" si="1"/>
        <v>0.16071428571428573</v>
      </c>
    </row>
    <row r="9" spans="1:12" x14ac:dyDescent="0.25">
      <c r="A9">
        <v>1698</v>
      </c>
      <c r="B9" t="s">
        <v>40</v>
      </c>
      <c r="C9" t="s">
        <v>97</v>
      </c>
      <c r="D9" t="s">
        <v>7</v>
      </c>
      <c r="F9">
        <v>890</v>
      </c>
      <c r="G9">
        <v>6</v>
      </c>
      <c r="H9">
        <v>23</v>
      </c>
      <c r="J9">
        <f t="shared" si="0"/>
        <v>99871</v>
      </c>
      <c r="L9">
        <f t="shared" si="1"/>
        <v>44.58526785714286</v>
      </c>
    </row>
    <row r="10" spans="1:12" x14ac:dyDescent="0.25">
      <c r="A10">
        <v>1698</v>
      </c>
      <c r="B10" t="s">
        <v>9</v>
      </c>
      <c r="C10" t="s">
        <v>97</v>
      </c>
      <c r="D10" t="s">
        <v>7</v>
      </c>
      <c r="H10">
        <f>1176*200</f>
        <v>235200</v>
      </c>
      <c r="I10" t="s">
        <v>72</v>
      </c>
      <c r="J10">
        <f t="shared" si="0"/>
        <v>235200</v>
      </c>
      <c r="L10">
        <f t="shared" si="1"/>
        <v>105</v>
      </c>
    </row>
    <row r="11" spans="1:12" x14ac:dyDescent="0.25">
      <c r="A11">
        <v>1698</v>
      </c>
      <c r="B11" t="s">
        <v>16</v>
      </c>
      <c r="C11" t="s">
        <v>97</v>
      </c>
      <c r="D11" t="s">
        <v>7</v>
      </c>
      <c r="F11">
        <f>1946+448</f>
        <v>2394</v>
      </c>
      <c r="G11">
        <v>5</v>
      </c>
      <c r="H11">
        <v>4</v>
      </c>
      <c r="J11">
        <f t="shared" si="0"/>
        <v>268272</v>
      </c>
      <c r="L11">
        <f t="shared" si="1"/>
        <v>119.76428571428572</v>
      </c>
    </row>
    <row r="12" spans="1:12" x14ac:dyDescent="0.25">
      <c r="A12">
        <v>1698</v>
      </c>
      <c r="B12" t="s">
        <v>26</v>
      </c>
      <c r="C12" t="s">
        <v>97</v>
      </c>
      <c r="D12" t="s">
        <v>7</v>
      </c>
      <c r="F12">
        <f>89+48</f>
        <v>137</v>
      </c>
      <c r="G12">
        <v>1</v>
      </c>
      <c r="H12">
        <v>20</v>
      </c>
      <c r="J12">
        <f t="shared" si="0"/>
        <v>15392</v>
      </c>
      <c r="L12">
        <f t="shared" si="1"/>
        <v>6.871428571428571</v>
      </c>
    </row>
    <row r="13" spans="1:12" x14ac:dyDescent="0.25">
      <c r="A13">
        <v>1698</v>
      </c>
      <c r="B13" t="s">
        <v>8</v>
      </c>
      <c r="C13" t="s">
        <v>97</v>
      </c>
      <c r="D13" t="s">
        <v>7</v>
      </c>
      <c r="H13">
        <v>328877</v>
      </c>
      <c r="J13">
        <f t="shared" si="0"/>
        <v>328877</v>
      </c>
      <c r="L13">
        <f t="shared" si="1"/>
        <v>146.82008928571429</v>
      </c>
    </row>
    <row r="14" spans="1:12" x14ac:dyDescent="0.25">
      <c r="A14">
        <v>1698</v>
      </c>
      <c r="B14" t="s">
        <v>38</v>
      </c>
      <c r="C14" t="s">
        <v>97</v>
      </c>
      <c r="D14" t="s">
        <v>7</v>
      </c>
      <c r="F14">
        <v>950</v>
      </c>
      <c r="H14">
        <v>14</v>
      </c>
      <c r="J14">
        <f t="shared" si="0"/>
        <v>106414</v>
      </c>
      <c r="L14">
        <f t="shared" si="1"/>
        <v>47.506250000000001</v>
      </c>
    </row>
    <row r="15" spans="1:12" x14ac:dyDescent="0.25">
      <c r="A15">
        <v>1698</v>
      </c>
      <c r="B15" t="s">
        <v>22</v>
      </c>
      <c r="C15" t="s">
        <v>97</v>
      </c>
      <c r="D15" t="s">
        <v>7</v>
      </c>
      <c r="H15">
        <v>23511</v>
      </c>
      <c r="I15" t="s">
        <v>84</v>
      </c>
      <c r="J15">
        <f t="shared" si="0"/>
        <v>23511</v>
      </c>
      <c r="L15">
        <f t="shared" si="1"/>
        <v>10.495982142857143</v>
      </c>
    </row>
    <row r="16" spans="1:12" x14ac:dyDescent="0.25">
      <c r="A16">
        <v>1698</v>
      </c>
      <c r="B16" t="s">
        <v>17</v>
      </c>
      <c r="C16" t="s">
        <v>97</v>
      </c>
      <c r="D16" t="s">
        <v>7</v>
      </c>
      <c r="F16">
        <v>65</v>
      </c>
      <c r="G16">
        <v>3</v>
      </c>
      <c r="J16">
        <f t="shared" si="0"/>
        <v>7364</v>
      </c>
      <c r="L16">
        <f t="shared" si="1"/>
        <v>3.2875000000000001</v>
      </c>
    </row>
    <row r="17" spans="1:12" x14ac:dyDescent="0.25">
      <c r="A17">
        <v>1698</v>
      </c>
      <c r="B17" t="s">
        <v>46</v>
      </c>
      <c r="C17" t="s">
        <v>97</v>
      </c>
      <c r="D17" t="s">
        <v>7</v>
      </c>
      <c r="F17">
        <v>86238</v>
      </c>
      <c r="G17">
        <v>2</v>
      </c>
      <c r="H17">
        <v>13</v>
      </c>
      <c r="J17">
        <f t="shared" si="0"/>
        <v>9658725</v>
      </c>
      <c r="L17">
        <f t="shared" si="1"/>
        <v>4311.9308035714284</v>
      </c>
    </row>
    <row r="18" spans="1:12" x14ac:dyDescent="0.25">
      <c r="A18">
        <v>1698</v>
      </c>
      <c r="B18" t="s">
        <v>34</v>
      </c>
      <c r="C18" t="s">
        <v>97</v>
      </c>
      <c r="D18" t="s">
        <v>7</v>
      </c>
      <c r="H18">
        <f>86074+4542</f>
        <v>90616</v>
      </c>
      <c r="J18">
        <f t="shared" si="0"/>
        <v>90616</v>
      </c>
      <c r="L18">
        <f t="shared" si="1"/>
        <v>40.453571428571429</v>
      </c>
    </row>
    <row r="19" spans="1:12" x14ac:dyDescent="0.25">
      <c r="A19">
        <v>1698</v>
      </c>
      <c r="B19" t="s">
        <v>28</v>
      </c>
      <c r="C19" t="s">
        <v>97</v>
      </c>
      <c r="D19" t="s">
        <v>7</v>
      </c>
      <c r="F19">
        <v>4</v>
      </c>
      <c r="J19">
        <f t="shared" si="0"/>
        <v>448</v>
      </c>
      <c r="L19">
        <f t="shared" si="1"/>
        <v>0.2</v>
      </c>
    </row>
    <row r="20" spans="1:12" x14ac:dyDescent="0.25">
      <c r="A20">
        <v>1698</v>
      </c>
      <c r="B20" t="s">
        <v>23</v>
      </c>
      <c r="C20" t="s">
        <v>97</v>
      </c>
      <c r="D20" t="s">
        <v>7</v>
      </c>
      <c r="H20">
        <v>499</v>
      </c>
      <c r="I20" t="s">
        <v>59</v>
      </c>
      <c r="J20">
        <f t="shared" si="0"/>
        <v>499</v>
      </c>
      <c r="L20">
        <f t="shared" si="1"/>
        <v>0.22276785714285716</v>
      </c>
    </row>
    <row r="21" spans="1:12" x14ac:dyDescent="0.25">
      <c r="A21">
        <v>1698</v>
      </c>
      <c r="B21" t="s">
        <v>60</v>
      </c>
      <c r="C21" t="s">
        <v>97</v>
      </c>
      <c r="D21" t="s">
        <v>7</v>
      </c>
      <c r="H21">
        <f>3449+5814</f>
        <v>9263</v>
      </c>
      <c r="J21">
        <f t="shared" si="0"/>
        <v>9263</v>
      </c>
      <c r="L21">
        <f t="shared" si="1"/>
        <v>4.1352678571428569</v>
      </c>
    </row>
    <row r="22" spans="1:12" x14ac:dyDescent="0.25">
      <c r="A22">
        <v>1698</v>
      </c>
      <c r="B22" t="s">
        <v>25</v>
      </c>
      <c r="C22" t="s">
        <v>97</v>
      </c>
      <c r="D22" t="s">
        <v>7</v>
      </c>
      <c r="F22">
        <v>11</v>
      </c>
      <c r="J22">
        <f t="shared" si="0"/>
        <v>1232</v>
      </c>
      <c r="L22">
        <f t="shared" si="1"/>
        <v>0.55000000000000004</v>
      </c>
    </row>
    <row r="23" spans="1:12" x14ac:dyDescent="0.25">
      <c r="A23">
        <v>1698</v>
      </c>
      <c r="B23" t="s">
        <v>39</v>
      </c>
      <c r="C23" t="s">
        <v>97</v>
      </c>
      <c r="D23" t="s">
        <v>7</v>
      </c>
      <c r="H23">
        <v>42</v>
      </c>
      <c r="J23">
        <f t="shared" si="0"/>
        <v>42</v>
      </c>
      <c r="L23">
        <f t="shared" si="1"/>
        <v>1.8749999999999999E-2</v>
      </c>
    </row>
    <row r="24" spans="1:12" x14ac:dyDescent="0.25">
      <c r="A24">
        <v>1698</v>
      </c>
      <c r="B24" t="s">
        <v>13</v>
      </c>
      <c r="C24" t="s">
        <v>97</v>
      </c>
      <c r="D24" t="s">
        <v>7</v>
      </c>
      <c r="H24">
        <v>769</v>
      </c>
      <c r="J24">
        <f t="shared" si="0"/>
        <v>769</v>
      </c>
      <c r="L24">
        <f t="shared" si="1"/>
        <v>0.34330357142857143</v>
      </c>
    </row>
    <row r="25" spans="1:12" x14ac:dyDescent="0.25">
      <c r="A25">
        <v>1698</v>
      </c>
      <c r="B25" t="s">
        <v>29</v>
      </c>
      <c r="C25" t="s">
        <v>97</v>
      </c>
      <c r="D25" t="s">
        <v>7</v>
      </c>
      <c r="F25">
        <v>1</v>
      </c>
      <c r="G25">
        <v>1</v>
      </c>
      <c r="J25">
        <f t="shared" si="0"/>
        <v>140</v>
      </c>
      <c r="L25">
        <f t="shared" si="1"/>
        <v>6.25E-2</v>
      </c>
    </row>
    <row r="26" spans="1:12" x14ac:dyDescent="0.25">
      <c r="A26">
        <v>1698</v>
      </c>
      <c r="B26" t="s">
        <v>21</v>
      </c>
      <c r="C26" t="s">
        <v>97</v>
      </c>
      <c r="D26" t="s">
        <v>7</v>
      </c>
      <c r="H26">
        <v>1898</v>
      </c>
      <c r="J26">
        <f t="shared" si="0"/>
        <v>1898</v>
      </c>
      <c r="L26">
        <f t="shared" si="1"/>
        <v>0.84732142857142856</v>
      </c>
    </row>
    <row r="27" spans="1:12" x14ac:dyDescent="0.25">
      <c r="A27">
        <v>1698</v>
      </c>
      <c r="B27" t="s">
        <v>24</v>
      </c>
      <c r="C27" t="s">
        <v>97</v>
      </c>
      <c r="D27" t="s">
        <v>7</v>
      </c>
      <c r="H27">
        <f>5089+483</f>
        <v>5572</v>
      </c>
      <c r="J27">
        <f t="shared" si="0"/>
        <v>5572</v>
      </c>
      <c r="L27">
        <f t="shared" si="1"/>
        <v>2.4874999999999998</v>
      </c>
    </row>
    <row r="28" spans="1:12" x14ac:dyDescent="0.25">
      <c r="A28">
        <v>1698</v>
      </c>
      <c r="B28" t="s">
        <v>73</v>
      </c>
      <c r="C28" t="s">
        <v>97</v>
      </c>
      <c r="D28" t="s">
        <v>7</v>
      </c>
      <c r="I28" t="s">
        <v>74</v>
      </c>
      <c r="J28">
        <f t="shared" si="0"/>
        <v>0</v>
      </c>
      <c r="L28">
        <f t="shared" si="1"/>
        <v>0</v>
      </c>
    </row>
    <row r="29" spans="1:12" x14ac:dyDescent="0.25">
      <c r="A29">
        <v>1698</v>
      </c>
      <c r="B29" t="s">
        <v>19</v>
      </c>
      <c r="C29" t="s">
        <v>97</v>
      </c>
      <c r="D29" t="s">
        <v>7</v>
      </c>
      <c r="F29">
        <v>45</v>
      </c>
      <c r="G29">
        <v>2</v>
      </c>
      <c r="H29">
        <v>38</v>
      </c>
      <c r="J29">
        <f t="shared" si="0"/>
        <v>5134</v>
      </c>
      <c r="L29">
        <f t="shared" si="1"/>
        <v>2.2919642857142857</v>
      </c>
    </row>
    <row r="30" spans="1:12" x14ac:dyDescent="0.25">
      <c r="A30">
        <v>1698</v>
      </c>
      <c r="B30" t="s">
        <v>136</v>
      </c>
      <c r="C30" t="s">
        <v>97</v>
      </c>
      <c r="D30" t="s">
        <v>7</v>
      </c>
      <c r="F30">
        <f>164+38</f>
        <v>202</v>
      </c>
      <c r="G30">
        <f>3+2</f>
        <v>5</v>
      </c>
      <c r="J30">
        <f t="shared" si="0"/>
        <v>22764</v>
      </c>
      <c r="L30">
        <f t="shared" si="1"/>
        <v>10.1625</v>
      </c>
    </row>
    <row r="31" spans="1:12" x14ac:dyDescent="0.25">
      <c r="A31">
        <v>1698</v>
      </c>
      <c r="B31" t="s">
        <v>139</v>
      </c>
      <c r="C31" t="s">
        <v>97</v>
      </c>
      <c r="D31" t="s">
        <v>7</v>
      </c>
      <c r="F31">
        <v>9</v>
      </c>
      <c r="J31">
        <f t="shared" si="0"/>
        <v>1008</v>
      </c>
      <c r="L31">
        <f t="shared" si="1"/>
        <v>0.45</v>
      </c>
    </row>
    <row r="32" spans="1:12" x14ac:dyDescent="0.25">
      <c r="A32">
        <v>1698</v>
      </c>
      <c r="B32" t="s">
        <v>140</v>
      </c>
      <c r="C32" t="s">
        <v>97</v>
      </c>
      <c r="D32" t="s">
        <v>7</v>
      </c>
      <c r="E32">
        <v>89</v>
      </c>
      <c r="F32">
        <f>11+84</f>
        <v>95</v>
      </c>
      <c r="G32">
        <f>3+1</f>
        <v>4</v>
      </c>
      <c r="J32">
        <f t="shared" si="0"/>
        <v>210112</v>
      </c>
      <c r="L32">
        <f t="shared" si="1"/>
        <v>93.8</v>
      </c>
    </row>
    <row r="33" spans="1:12" x14ac:dyDescent="0.25">
      <c r="A33">
        <v>1698</v>
      </c>
      <c r="B33" t="s">
        <v>142</v>
      </c>
      <c r="C33" t="s">
        <v>97</v>
      </c>
      <c r="D33" t="s">
        <v>7</v>
      </c>
      <c r="E33">
        <f>782+56</f>
        <v>838</v>
      </c>
      <c r="F33">
        <f>6+17</f>
        <v>23</v>
      </c>
      <c r="G33">
        <f>2+1</f>
        <v>3</v>
      </c>
      <c r="H33">
        <v>13</v>
      </c>
      <c r="J33">
        <f t="shared" si="0"/>
        <v>1879793</v>
      </c>
      <c r="L33">
        <f t="shared" si="1"/>
        <v>839.1933035714286</v>
      </c>
    </row>
    <row r="34" spans="1:12" x14ac:dyDescent="0.25">
      <c r="A34">
        <v>1698</v>
      </c>
      <c r="B34" t="s">
        <v>146</v>
      </c>
      <c r="C34" t="s">
        <v>97</v>
      </c>
      <c r="D34" t="s">
        <v>7</v>
      </c>
      <c r="E34">
        <v>1</v>
      </c>
      <c r="F34">
        <v>19</v>
      </c>
      <c r="J34">
        <f t="shared" si="0"/>
        <v>4368</v>
      </c>
      <c r="L34">
        <f t="shared" si="1"/>
        <v>1.95</v>
      </c>
    </row>
    <row r="35" spans="1:12" x14ac:dyDescent="0.25">
      <c r="A35">
        <v>1698</v>
      </c>
      <c r="B35" t="s">
        <v>18</v>
      </c>
      <c r="C35" t="s">
        <v>97</v>
      </c>
      <c r="D35" t="s">
        <v>11</v>
      </c>
      <c r="F35">
        <f>28227+4689</f>
        <v>32916</v>
      </c>
      <c r="G35">
        <v>4</v>
      </c>
      <c r="H35">
        <v>29</v>
      </c>
      <c r="J35">
        <f t="shared" si="0"/>
        <v>3686733</v>
      </c>
      <c r="L35">
        <f t="shared" si="1"/>
        <v>1645.8629464285714</v>
      </c>
    </row>
    <row r="36" spans="1:12" x14ac:dyDescent="0.25">
      <c r="A36">
        <v>1698</v>
      </c>
      <c r="B36" t="s">
        <v>15</v>
      </c>
      <c r="C36" t="s">
        <v>97</v>
      </c>
      <c r="D36" t="s">
        <v>11</v>
      </c>
      <c r="H36">
        <v>55.5</v>
      </c>
      <c r="J36">
        <f t="shared" si="0"/>
        <v>55.5</v>
      </c>
      <c r="L36">
        <f t="shared" si="1"/>
        <v>2.4776785714285713E-2</v>
      </c>
    </row>
    <row r="37" spans="1:12" x14ac:dyDescent="0.25">
      <c r="A37">
        <v>1698</v>
      </c>
      <c r="B37" t="s">
        <v>40</v>
      </c>
      <c r="C37" t="s">
        <v>97</v>
      </c>
      <c r="D37" t="s">
        <v>11</v>
      </c>
      <c r="F37">
        <v>59</v>
      </c>
      <c r="H37">
        <v>19</v>
      </c>
      <c r="J37">
        <f t="shared" si="0"/>
        <v>6627</v>
      </c>
      <c r="L37">
        <f t="shared" si="1"/>
        <v>2.9584821428571431</v>
      </c>
    </row>
    <row r="38" spans="1:12" x14ac:dyDescent="0.25">
      <c r="A38">
        <v>1698</v>
      </c>
      <c r="B38" t="s">
        <v>9</v>
      </c>
      <c r="C38" t="s">
        <v>97</v>
      </c>
      <c r="D38" t="s">
        <v>11</v>
      </c>
      <c r="F38">
        <v>957</v>
      </c>
      <c r="G38">
        <v>1</v>
      </c>
      <c r="H38">
        <f>23+2184</f>
        <v>2207</v>
      </c>
      <c r="J38">
        <f t="shared" si="0"/>
        <v>109419</v>
      </c>
      <c r="L38">
        <f t="shared" si="1"/>
        <v>48.847767857142856</v>
      </c>
    </row>
    <row r="39" spans="1:12" x14ac:dyDescent="0.25">
      <c r="A39">
        <v>1698</v>
      </c>
      <c r="B39" t="s">
        <v>16</v>
      </c>
      <c r="C39" t="s">
        <v>97</v>
      </c>
      <c r="D39" t="s">
        <v>11</v>
      </c>
      <c r="F39">
        <v>369</v>
      </c>
      <c r="G39">
        <v>2</v>
      </c>
      <c r="H39">
        <v>22</v>
      </c>
      <c r="J39">
        <f t="shared" si="0"/>
        <v>41406</v>
      </c>
      <c r="L39">
        <f t="shared" si="1"/>
        <v>18.484821428571429</v>
      </c>
    </row>
    <row r="40" spans="1:12" x14ac:dyDescent="0.25">
      <c r="A40">
        <v>1698</v>
      </c>
      <c r="B40" t="s">
        <v>26</v>
      </c>
      <c r="C40" t="s">
        <v>97</v>
      </c>
      <c r="D40" t="s">
        <v>11</v>
      </c>
      <c r="F40">
        <v>7</v>
      </c>
      <c r="G40">
        <v>3</v>
      </c>
      <c r="H40">
        <v>25</v>
      </c>
      <c r="J40">
        <f t="shared" si="0"/>
        <v>893</v>
      </c>
      <c r="L40">
        <f t="shared" si="1"/>
        <v>0.39866071428571431</v>
      </c>
    </row>
    <row r="41" spans="1:12" x14ac:dyDescent="0.25">
      <c r="A41">
        <v>1698</v>
      </c>
      <c r="B41" t="s">
        <v>8</v>
      </c>
      <c r="C41" t="s">
        <v>97</v>
      </c>
      <c r="D41" t="s">
        <v>11</v>
      </c>
      <c r="H41">
        <f>24801.5+9035</f>
        <v>33836.5</v>
      </c>
      <c r="J41">
        <f t="shared" si="0"/>
        <v>33836.5</v>
      </c>
      <c r="L41">
        <f t="shared" si="1"/>
        <v>15.105580357142857</v>
      </c>
    </row>
    <row r="42" spans="1:12" x14ac:dyDescent="0.25">
      <c r="A42">
        <v>1698</v>
      </c>
      <c r="B42" t="s">
        <v>38</v>
      </c>
      <c r="C42" t="s">
        <v>97</v>
      </c>
      <c r="D42" t="s">
        <v>11</v>
      </c>
      <c r="F42">
        <v>63</v>
      </c>
      <c r="J42">
        <f t="shared" si="0"/>
        <v>7056</v>
      </c>
      <c r="L42">
        <f t="shared" si="1"/>
        <v>3.15</v>
      </c>
    </row>
    <row r="43" spans="1:12" x14ac:dyDescent="0.25">
      <c r="A43">
        <v>1698</v>
      </c>
      <c r="B43" t="s">
        <v>22</v>
      </c>
      <c r="C43" t="s">
        <v>97</v>
      </c>
      <c r="D43" t="s">
        <v>11</v>
      </c>
      <c r="H43">
        <v>4172</v>
      </c>
      <c r="I43" t="s">
        <v>80</v>
      </c>
      <c r="J43">
        <f t="shared" si="0"/>
        <v>4172</v>
      </c>
      <c r="L43">
        <f t="shared" si="1"/>
        <v>1.8625</v>
      </c>
    </row>
    <row r="44" spans="1:12" x14ac:dyDescent="0.25">
      <c r="A44">
        <v>1698</v>
      </c>
      <c r="B44" t="s">
        <v>17</v>
      </c>
      <c r="C44" t="s">
        <v>97</v>
      </c>
      <c r="D44" t="s">
        <v>11</v>
      </c>
      <c r="F44">
        <v>16</v>
      </c>
      <c r="J44">
        <f t="shared" si="0"/>
        <v>1792</v>
      </c>
      <c r="L44">
        <f t="shared" si="1"/>
        <v>0.8</v>
      </c>
    </row>
    <row r="45" spans="1:12" x14ac:dyDescent="0.25">
      <c r="A45">
        <v>1698</v>
      </c>
      <c r="B45" t="s">
        <v>34</v>
      </c>
      <c r="C45" t="s">
        <v>97</v>
      </c>
      <c r="D45" t="s">
        <v>11</v>
      </c>
      <c r="H45">
        <v>23141</v>
      </c>
      <c r="J45">
        <f t="shared" si="0"/>
        <v>23141</v>
      </c>
      <c r="L45">
        <f t="shared" si="1"/>
        <v>10.330803571428572</v>
      </c>
    </row>
    <row r="46" spans="1:12" x14ac:dyDescent="0.25">
      <c r="A46">
        <v>1698</v>
      </c>
      <c r="B46" t="s">
        <v>23</v>
      </c>
      <c r="C46" t="s">
        <v>97</v>
      </c>
      <c r="D46" t="s">
        <v>11</v>
      </c>
      <c r="H46">
        <v>130</v>
      </c>
      <c r="I46" t="s">
        <v>66</v>
      </c>
      <c r="J46">
        <f t="shared" si="0"/>
        <v>130</v>
      </c>
      <c r="L46">
        <f t="shared" si="1"/>
        <v>5.8035714285714288E-2</v>
      </c>
    </row>
    <row r="47" spans="1:12" x14ac:dyDescent="0.25">
      <c r="A47">
        <v>1698</v>
      </c>
      <c r="B47" t="s">
        <v>25</v>
      </c>
      <c r="C47" t="s">
        <v>97</v>
      </c>
      <c r="D47" t="s">
        <v>11</v>
      </c>
      <c r="F47">
        <v>10</v>
      </c>
      <c r="G47">
        <v>3</v>
      </c>
      <c r="H47">
        <v>19</v>
      </c>
      <c r="J47">
        <f t="shared" si="0"/>
        <v>1223</v>
      </c>
      <c r="L47">
        <f t="shared" si="1"/>
        <v>0.54598214285714286</v>
      </c>
    </row>
    <row r="48" spans="1:12" x14ac:dyDescent="0.25">
      <c r="A48">
        <v>1698</v>
      </c>
      <c r="B48" t="s">
        <v>13</v>
      </c>
      <c r="C48" t="s">
        <v>97</v>
      </c>
      <c r="D48" t="s">
        <v>11</v>
      </c>
      <c r="H48">
        <f>242+53</f>
        <v>295</v>
      </c>
      <c r="J48">
        <f t="shared" si="0"/>
        <v>295</v>
      </c>
      <c r="L48">
        <f t="shared" si="1"/>
        <v>0.13169642857142858</v>
      </c>
    </row>
    <row r="49" spans="1:12" x14ac:dyDescent="0.25">
      <c r="A49">
        <v>1698</v>
      </c>
      <c r="B49" t="s">
        <v>29</v>
      </c>
      <c r="C49" t="s">
        <v>97</v>
      </c>
      <c r="D49" t="s">
        <v>11</v>
      </c>
      <c r="H49">
        <v>26</v>
      </c>
      <c r="J49">
        <f t="shared" si="0"/>
        <v>26</v>
      </c>
      <c r="L49">
        <f t="shared" si="1"/>
        <v>1.1607142857142858E-2</v>
      </c>
    </row>
    <row r="50" spans="1:12" x14ac:dyDescent="0.25">
      <c r="A50">
        <v>1698</v>
      </c>
      <c r="B50" t="s">
        <v>43</v>
      </c>
      <c r="C50" t="s">
        <v>97</v>
      </c>
      <c r="D50" t="s">
        <v>11</v>
      </c>
      <c r="J50">
        <f t="shared" si="0"/>
        <v>0</v>
      </c>
      <c r="L50">
        <f t="shared" si="1"/>
        <v>0</v>
      </c>
    </row>
    <row r="51" spans="1:12" x14ac:dyDescent="0.25">
      <c r="A51">
        <v>1698</v>
      </c>
      <c r="B51" t="s">
        <v>21</v>
      </c>
      <c r="C51" t="s">
        <v>97</v>
      </c>
      <c r="D51" t="s">
        <v>11</v>
      </c>
      <c r="H51">
        <f>270+335</f>
        <v>605</v>
      </c>
      <c r="J51">
        <f t="shared" si="0"/>
        <v>605</v>
      </c>
      <c r="L51">
        <f t="shared" si="1"/>
        <v>0.2700892857142857</v>
      </c>
    </row>
    <row r="52" spans="1:12" x14ac:dyDescent="0.25">
      <c r="A52">
        <v>1698</v>
      </c>
      <c r="B52" t="s">
        <v>24</v>
      </c>
      <c r="C52" t="s">
        <v>97</v>
      </c>
      <c r="D52" t="s">
        <v>11</v>
      </c>
      <c r="H52">
        <v>565</v>
      </c>
      <c r="J52">
        <f t="shared" si="0"/>
        <v>565</v>
      </c>
      <c r="L52">
        <f t="shared" si="1"/>
        <v>0.25223214285714285</v>
      </c>
    </row>
    <row r="53" spans="1:12" x14ac:dyDescent="0.25">
      <c r="A53">
        <v>1698</v>
      </c>
      <c r="B53" t="s">
        <v>19</v>
      </c>
      <c r="C53" t="s">
        <v>97</v>
      </c>
      <c r="D53" t="s">
        <v>11</v>
      </c>
      <c r="F53">
        <v>27</v>
      </c>
      <c r="H53">
        <v>7</v>
      </c>
      <c r="J53">
        <f t="shared" si="0"/>
        <v>3031</v>
      </c>
      <c r="L53">
        <f t="shared" si="1"/>
        <v>1.3531249999999999</v>
      </c>
    </row>
  </sheetData>
  <autoFilter ref="B1:L53" xr:uid="{8C2F7725-5A61-4A1B-A740-CC887BCB0E68}">
    <sortState xmlns:xlrd2="http://schemas.microsoft.com/office/spreadsheetml/2017/richdata2" ref="B2:L53">
      <sortCondition ref="D1:D5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339-1E58-4188-80A6-B4580F70757D}">
  <dimension ref="A1:L31"/>
  <sheetViews>
    <sheetView workbookViewId="0">
      <selection activeCell="H13" sqref="H13"/>
    </sheetView>
  </sheetViews>
  <sheetFormatPr defaultRowHeight="15" x14ac:dyDescent="0.25"/>
  <cols>
    <col min="2" max="3" width="17.28515625" customWidth="1"/>
    <col min="4" max="4" width="14.140625" customWidth="1"/>
    <col min="8" max="8" width="12.85546875" customWidth="1"/>
    <col min="9" max="9" width="11.85546875" customWidth="1"/>
  </cols>
  <sheetData>
    <row r="1" spans="1:12" x14ac:dyDescent="0.25">
      <c r="A1" s="1" t="s">
        <v>91</v>
      </c>
      <c r="B1" s="1" t="s">
        <v>88</v>
      </c>
      <c r="C1" s="1" t="s">
        <v>89</v>
      </c>
      <c r="D1" s="1" t="s">
        <v>90</v>
      </c>
      <c r="E1" s="1" t="s">
        <v>86</v>
      </c>
      <c r="F1" s="1" t="s">
        <v>47</v>
      </c>
      <c r="G1" s="1" t="s">
        <v>48</v>
      </c>
      <c r="H1" s="1" t="s">
        <v>87</v>
      </c>
      <c r="I1" s="1"/>
      <c r="J1" s="1" t="s">
        <v>5</v>
      </c>
      <c r="K1" s="1"/>
      <c r="L1" s="1" t="s">
        <v>93</v>
      </c>
    </row>
    <row r="2" spans="1:12" x14ac:dyDescent="0.25">
      <c r="A2">
        <v>1698</v>
      </c>
      <c r="B2" t="s">
        <v>104</v>
      </c>
      <c r="C2" t="s">
        <v>98</v>
      </c>
      <c r="D2" t="s">
        <v>7</v>
      </c>
      <c r="F2">
        <v>54</v>
      </c>
      <c r="J2">
        <f t="shared" ref="J2:J31" si="0">(E2*2240)+(F2*112)+(G2*28)+H2</f>
        <v>6048</v>
      </c>
      <c r="L2">
        <f t="shared" ref="L2:L31" si="1">J2/2240</f>
        <v>2.7</v>
      </c>
    </row>
    <row r="3" spans="1:12" x14ac:dyDescent="0.25">
      <c r="A3">
        <v>1698</v>
      </c>
      <c r="B3" t="s">
        <v>27</v>
      </c>
      <c r="C3" t="s">
        <v>98</v>
      </c>
      <c r="D3" t="s">
        <v>7</v>
      </c>
      <c r="H3">
        <v>16</v>
      </c>
      <c r="J3">
        <f t="shared" si="0"/>
        <v>16</v>
      </c>
      <c r="L3">
        <f t="shared" si="1"/>
        <v>7.1428571428571426E-3</v>
      </c>
    </row>
    <row r="4" spans="1:12" x14ac:dyDescent="0.25">
      <c r="A4">
        <v>1698</v>
      </c>
      <c r="B4" t="s">
        <v>18</v>
      </c>
      <c r="C4" t="s">
        <v>98</v>
      </c>
      <c r="D4" t="s">
        <v>7</v>
      </c>
      <c r="F4">
        <v>1862</v>
      </c>
      <c r="G4">
        <v>1</v>
      </c>
      <c r="H4">
        <v>7</v>
      </c>
      <c r="J4">
        <f t="shared" si="0"/>
        <v>208579</v>
      </c>
      <c r="L4">
        <f t="shared" si="1"/>
        <v>93.115624999999994</v>
      </c>
    </row>
    <row r="5" spans="1:12" x14ac:dyDescent="0.25">
      <c r="A5">
        <v>1698</v>
      </c>
      <c r="B5" t="s">
        <v>9</v>
      </c>
      <c r="C5" t="s">
        <v>98</v>
      </c>
      <c r="D5" t="s">
        <v>7</v>
      </c>
      <c r="H5">
        <f>18*200</f>
        <v>3600</v>
      </c>
      <c r="I5" t="s">
        <v>99</v>
      </c>
      <c r="J5">
        <f t="shared" si="0"/>
        <v>3600</v>
      </c>
      <c r="L5">
        <f t="shared" si="1"/>
        <v>1.6071428571428572</v>
      </c>
    </row>
    <row r="6" spans="1:12" x14ac:dyDescent="0.25">
      <c r="A6">
        <v>1698</v>
      </c>
      <c r="B6" t="s">
        <v>16</v>
      </c>
      <c r="C6" t="s">
        <v>98</v>
      </c>
      <c r="D6" t="s">
        <v>7</v>
      </c>
      <c r="F6">
        <v>2</v>
      </c>
      <c r="G6">
        <v>2</v>
      </c>
      <c r="J6">
        <f t="shared" si="0"/>
        <v>280</v>
      </c>
      <c r="L6">
        <f t="shared" si="1"/>
        <v>0.125</v>
      </c>
    </row>
    <row r="7" spans="1:12" x14ac:dyDescent="0.25">
      <c r="A7">
        <v>1698</v>
      </c>
      <c r="B7" t="s">
        <v>10</v>
      </c>
      <c r="C7" t="s">
        <v>98</v>
      </c>
      <c r="D7" t="s">
        <v>7</v>
      </c>
      <c r="F7">
        <v>14</v>
      </c>
      <c r="G7">
        <v>2</v>
      </c>
      <c r="H7">
        <v>27</v>
      </c>
      <c r="J7">
        <f t="shared" si="0"/>
        <v>1651</v>
      </c>
      <c r="L7">
        <f t="shared" si="1"/>
        <v>0.73705357142857142</v>
      </c>
    </row>
    <row r="8" spans="1:12" x14ac:dyDescent="0.25">
      <c r="A8">
        <v>1698</v>
      </c>
      <c r="B8" t="s">
        <v>8</v>
      </c>
      <c r="C8" t="s">
        <v>98</v>
      </c>
      <c r="D8" t="s">
        <v>7</v>
      </c>
      <c r="H8">
        <v>9031</v>
      </c>
      <c r="J8">
        <f t="shared" si="0"/>
        <v>9031</v>
      </c>
      <c r="L8">
        <f t="shared" si="1"/>
        <v>4.0316964285714283</v>
      </c>
    </row>
    <row r="9" spans="1:12" x14ac:dyDescent="0.25">
      <c r="A9">
        <v>1698</v>
      </c>
      <c r="B9" t="s">
        <v>38</v>
      </c>
      <c r="C9" t="s">
        <v>98</v>
      </c>
      <c r="D9" t="s">
        <v>7</v>
      </c>
      <c r="E9">
        <v>17</v>
      </c>
      <c r="F9">
        <v>19</v>
      </c>
      <c r="G9">
        <v>2</v>
      </c>
      <c r="J9">
        <f t="shared" si="0"/>
        <v>40264</v>
      </c>
      <c r="L9">
        <f t="shared" si="1"/>
        <v>17.975000000000001</v>
      </c>
    </row>
    <row r="10" spans="1:12" x14ac:dyDescent="0.25">
      <c r="A10">
        <v>1698</v>
      </c>
      <c r="B10" t="s">
        <v>22</v>
      </c>
      <c r="C10" t="s">
        <v>98</v>
      </c>
      <c r="D10" t="s">
        <v>7</v>
      </c>
      <c r="H10">
        <v>2216</v>
      </c>
      <c r="I10" t="s">
        <v>75</v>
      </c>
      <c r="J10">
        <f t="shared" si="0"/>
        <v>2216</v>
      </c>
      <c r="L10">
        <f t="shared" si="1"/>
        <v>0.98928571428571432</v>
      </c>
    </row>
    <row r="11" spans="1:12" x14ac:dyDescent="0.25">
      <c r="A11">
        <v>1698</v>
      </c>
      <c r="B11" t="s">
        <v>17</v>
      </c>
      <c r="C11" t="s">
        <v>98</v>
      </c>
      <c r="D11" t="s">
        <v>7</v>
      </c>
      <c r="F11">
        <v>2</v>
      </c>
      <c r="G11">
        <v>3</v>
      </c>
      <c r="J11">
        <f t="shared" si="0"/>
        <v>308</v>
      </c>
      <c r="L11">
        <f t="shared" si="1"/>
        <v>0.13750000000000001</v>
      </c>
    </row>
    <row r="12" spans="1:12" x14ac:dyDescent="0.25">
      <c r="A12">
        <v>1698</v>
      </c>
      <c r="B12" t="s">
        <v>54</v>
      </c>
      <c r="C12" t="s">
        <v>98</v>
      </c>
      <c r="D12" t="s">
        <v>7</v>
      </c>
      <c r="F12">
        <v>15209</v>
      </c>
      <c r="G12">
        <v>3</v>
      </c>
      <c r="J12">
        <f t="shared" si="0"/>
        <v>1703492</v>
      </c>
      <c r="L12">
        <f t="shared" si="1"/>
        <v>760.48749999999995</v>
      </c>
    </row>
    <row r="13" spans="1:12" x14ac:dyDescent="0.25">
      <c r="A13">
        <v>1698</v>
      </c>
      <c r="B13" t="s">
        <v>34</v>
      </c>
      <c r="C13" t="s">
        <v>98</v>
      </c>
      <c r="D13" t="s">
        <v>7</v>
      </c>
      <c r="H13">
        <v>3934</v>
      </c>
      <c r="J13">
        <f t="shared" si="0"/>
        <v>3934</v>
      </c>
      <c r="L13">
        <f t="shared" si="1"/>
        <v>1.7562500000000001</v>
      </c>
    </row>
    <row r="14" spans="1:12" x14ac:dyDescent="0.25">
      <c r="A14">
        <v>1698</v>
      </c>
      <c r="B14" t="s">
        <v>23</v>
      </c>
      <c r="C14" t="s">
        <v>98</v>
      </c>
      <c r="D14" t="s">
        <v>7</v>
      </c>
      <c r="H14">
        <v>220</v>
      </c>
      <c r="I14" t="s">
        <v>62</v>
      </c>
      <c r="J14">
        <f t="shared" si="0"/>
        <v>220</v>
      </c>
      <c r="L14">
        <f t="shared" si="1"/>
        <v>9.8214285714285712E-2</v>
      </c>
    </row>
    <row r="15" spans="1:12" x14ac:dyDescent="0.25">
      <c r="A15">
        <v>1698</v>
      </c>
      <c r="B15" t="s">
        <v>25</v>
      </c>
      <c r="C15" t="s">
        <v>98</v>
      </c>
      <c r="D15" t="s">
        <v>7</v>
      </c>
      <c r="F15">
        <v>16</v>
      </c>
      <c r="G15">
        <v>1</v>
      </c>
      <c r="J15">
        <f t="shared" si="0"/>
        <v>1820</v>
      </c>
      <c r="L15">
        <f t="shared" si="1"/>
        <v>0.8125</v>
      </c>
    </row>
    <row r="16" spans="1:12" x14ac:dyDescent="0.25">
      <c r="A16">
        <v>1698</v>
      </c>
      <c r="B16" t="s">
        <v>13</v>
      </c>
      <c r="C16" t="s">
        <v>98</v>
      </c>
      <c r="D16" t="s">
        <v>7</v>
      </c>
      <c r="H16">
        <v>229</v>
      </c>
      <c r="J16">
        <f t="shared" si="0"/>
        <v>229</v>
      </c>
      <c r="L16">
        <f t="shared" si="1"/>
        <v>0.10223214285714285</v>
      </c>
    </row>
    <row r="17" spans="1:12" x14ac:dyDescent="0.25">
      <c r="A17">
        <v>1698</v>
      </c>
      <c r="B17" t="s">
        <v>61</v>
      </c>
      <c r="C17" t="s">
        <v>98</v>
      </c>
      <c r="D17" t="s">
        <v>7</v>
      </c>
      <c r="F17">
        <v>54</v>
      </c>
      <c r="J17">
        <f t="shared" si="0"/>
        <v>6048</v>
      </c>
      <c r="L17">
        <f t="shared" si="1"/>
        <v>2.7</v>
      </c>
    </row>
    <row r="18" spans="1:12" x14ac:dyDescent="0.25">
      <c r="A18">
        <v>1698</v>
      </c>
      <c r="B18" t="s">
        <v>21</v>
      </c>
      <c r="C18" t="s">
        <v>98</v>
      </c>
      <c r="D18" t="s">
        <v>7</v>
      </c>
      <c r="J18">
        <f t="shared" si="0"/>
        <v>0</v>
      </c>
      <c r="L18">
        <f t="shared" si="1"/>
        <v>0</v>
      </c>
    </row>
    <row r="19" spans="1:12" x14ac:dyDescent="0.25">
      <c r="A19">
        <v>1698</v>
      </c>
      <c r="B19" t="s">
        <v>24</v>
      </c>
      <c r="C19" t="s">
        <v>98</v>
      </c>
      <c r="D19" t="s">
        <v>7</v>
      </c>
      <c r="H19">
        <v>64</v>
      </c>
      <c r="J19">
        <f t="shared" si="0"/>
        <v>64</v>
      </c>
      <c r="L19">
        <f t="shared" si="1"/>
        <v>2.8571428571428571E-2</v>
      </c>
    </row>
    <row r="20" spans="1:12" x14ac:dyDescent="0.25">
      <c r="A20">
        <v>1698</v>
      </c>
      <c r="B20" t="s">
        <v>19</v>
      </c>
      <c r="C20" t="s">
        <v>98</v>
      </c>
      <c r="D20" t="s">
        <v>7</v>
      </c>
      <c r="F20">
        <v>3</v>
      </c>
      <c r="H20">
        <v>14</v>
      </c>
      <c r="J20">
        <f t="shared" si="0"/>
        <v>350</v>
      </c>
      <c r="L20">
        <f t="shared" si="1"/>
        <v>0.15625</v>
      </c>
    </row>
    <row r="21" spans="1:12" x14ac:dyDescent="0.25">
      <c r="A21">
        <v>1698</v>
      </c>
      <c r="B21" t="s">
        <v>18</v>
      </c>
      <c r="C21" t="s">
        <v>98</v>
      </c>
      <c r="D21" t="s">
        <v>11</v>
      </c>
      <c r="F21">
        <v>6834</v>
      </c>
      <c r="G21">
        <v>3</v>
      </c>
      <c r="H21">
        <v>5</v>
      </c>
      <c r="J21">
        <f t="shared" si="0"/>
        <v>765497</v>
      </c>
      <c r="L21">
        <f t="shared" si="1"/>
        <v>341.73973214285712</v>
      </c>
    </row>
    <row r="22" spans="1:12" x14ac:dyDescent="0.25">
      <c r="A22">
        <v>1698</v>
      </c>
      <c r="B22" t="s">
        <v>9</v>
      </c>
      <c r="C22" t="s">
        <v>98</v>
      </c>
      <c r="D22" t="s">
        <v>11</v>
      </c>
      <c r="F22">
        <v>39</v>
      </c>
      <c r="G22">
        <v>2</v>
      </c>
      <c r="J22">
        <f t="shared" si="0"/>
        <v>4424</v>
      </c>
      <c r="L22">
        <f t="shared" si="1"/>
        <v>1.9750000000000001</v>
      </c>
    </row>
    <row r="23" spans="1:12" x14ac:dyDescent="0.25">
      <c r="A23">
        <v>1698</v>
      </c>
      <c r="B23" t="s">
        <v>16</v>
      </c>
      <c r="C23" t="s">
        <v>98</v>
      </c>
      <c r="D23" t="s">
        <v>11</v>
      </c>
      <c r="F23">
        <v>12</v>
      </c>
      <c r="J23">
        <f t="shared" si="0"/>
        <v>1344</v>
      </c>
      <c r="L23">
        <f t="shared" si="1"/>
        <v>0.6</v>
      </c>
    </row>
    <row r="24" spans="1:12" x14ac:dyDescent="0.25">
      <c r="A24">
        <v>1698</v>
      </c>
      <c r="B24" t="s">
        <v>10</v>
      </c>
      <c r="C24" t="s">
        <v>98</v>
      </c>
      <c r="D24" t="s">
        <v>11</v>
      </c>
      <c r="J24">
        <f t="shared" si="0"/>
        <v>0</v>
      </c>
      <c r="L24">
        <f t="shared" si="1"/>
        <v>0</v>
      </c>
    </row>
    <row r="25" spans="1:12" x14ac:dyDescent="0.25">
      <c r="A25">
        <v>1698</v>
      </c>
      <c r="B25" t="s">
        <v>8</v>
      </c>
      <c r="C25" t="s">
        <v>98</v>
      </c>
      <c r="D25" t="s">
        <v>11</v>
      </c>
      <c r="H25">
        <v>698</v>
      </c>
      <c r="J25">
        <f t="shared" si="0"/>
        <v>698</v>
      </c>
      <c r="L25">
        <f t="shared" si="1"/>
        <v>0.31160714285714286</v>
      </c>
    </row>
    <row r="26" spans="1:12" x14ac:dyDescent="0.25">
      <c r="A26">
        <v>1698</v>
      </c>
      <c r="B26" t="s">
        <v>38</v>
      </c>
      <c r="C26" t="s">
        <v>98</v>
      </c>
      <c r="D26" t="s">
        <v>11</v>
      </c>
      <c r="E26">
        <v>7</v>
      </c>
      <c r="F26">
        <v>12</v>
      </c>
      <c r="G26">
        <v>1</v>
      </c>
      <c r="J26">
        <f t="shared" si="0"/>
        <v>17052</v>
      </c>
      <c r="L26">
        <f t="shared" si="1"/>
        <v>7.6124999999999998</v>
      </c>
    </row>
    <row r="27" spans="1:12" x14ac:dyDescent="0.25">
      <c r="A27">
        <v>1698</v>
      </c>
      <c r="B27" t="s">
        <v>22</v>
      </c>
      <c r="C27" t="s">
        <v>98</v>
      </c>
      <c r="D27" t="s">
        <v>11</v>
      </c>
      <c r="H27">
        <v>718</v>
      </c>
      <c r="I27" t="s">
        <v>67</v>
      </c>
      <c r="J27">
        <f t="shared" si="0"/>
        <v>718</v>
      </c>
      <c r="L27">
        <f t="shared" si="1"/>
        <v>0.32053571428571431</v>
      </c>
    </row>
    <row r="28" spans="1:12" x14ac:dyDescent="0.25">
      <c r="A28">
        <v>1698</v>
      </c>
      <c r="B28" t="s">
        <v>17</v>
      </c>
      <c r="C28" t="s">
        <v>98</v>
      </c>
      <c r="D28" t="s">
        <v>11</v>
      </c>
      <c r="J28">
        <f t="shared" si="0"/>
        <v>0</v>
      </c>
      <c r="L28">
        <f t="shared" si="1"/>
        <v>0</v>
      </c>
    </row>
    <row r="29" spans="1:12" x14ac:dyDescent="0.25">
      <c r="A29">
        <v>1698</v>
      </c>
      <c r="B29" t="s">
        <v>34</v>
      </c>
      <c r="C29" t="s">
        <v>98</v>
      </c>
      <c r="D29" t="s">
        <v>11</v>
      </c>
      <c r="H29">
        <v>712</v>
      </c>
      <c r="J29">
        <f t="shared" si="0"/>
        <v>712</v>
      </c>
      <c r="L29">
        <f t="shared" si="1"/>
        <v>0.31785714285714284</v>
      </c>
    </row>
    <row r="30" spans="1:12" x14ac:dyDescent="0.25">
      <c r="A30">
        <v>1698</v>
      </c>
      <c r="B30" t="s">
        <v>25</v>
      </c>
      <c r="C30" t="s">
        <v>98</v>
      </c>
      <c r="D30" t="s">
        <v>11</v>
      </c>
      <c r="F30">
        <v>1</v>
      </c>
      <c r="J30">
        <f t="shared" si="0"/>
        <v>112</v>
      </c>
      <c r="L30">
        <f t="shared" si="1"/>
        <v>0.05</v>
      </c>
    </row>
    <row r="31" spans="1:12" x14ac:dyDescent="0.25">
      <c r="A31">
        <v>1698</v>
      </c>
      <c r="B31" t="s">
        <v>19</v>
      </c>
      <c r="C31" t="s">
        <v>98</v>
      </c>
      <c r="D31" t="s">
        <v>11</v>
      </c>
      <c r="F31">
        <v>1</v>
      </c>
      <c r="G31">
        <v>1</v>
      </c>
      <c r="H31">
        <v>7</v>
      </c>
      <c r="J31">
        <f t="shared" si="0"/>
        <v>147</v>
      </c>
      <c r="L31">
        <f t="shared" si="1"/>
        <v>6.5625000000000003E-2</v>
      </c>
    </row>
  </sheetData>
  <autoFilter ref="B1:L31" xr:uid="{782A6339-1E58-4188-80A6-B4580F70757D}">
    <sortState xmlns:xlrd2="http://schemas.microsoft.com/office/spreadsheetml/2017/richdata2" ref="B2:L31">
      <sortCondition ref="D1:D3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4C2D-B143-49EB-AE6F-B3BFFAC00D68}">
  <dimension ref="A1:L31"/>
  <sheetViews>
    <sheetView workbookViewId="0">
      <selection activeCell="H6" sqref="H6"/>
    </sheetView>
  </sheetViews>
  <sheetFormatPr defaultRowHeight="15" x14ac:dyDescent="0.25"/>
  <cols>
    <col min="2" max="2" width="19.140625" customWidth="1"/>
    <col min="3" max="3" width="15.85546875" customWidth="1"/>
    <col min="4" max="4" width="18.140625" customWidth="1"/>
    <col min="8" max="8" width="14.42578125" customWidth="1"/>
  </cols>
  <sheetData>
    <row r="1" spans="1:12" x14ac:dyDescent="0.25">
      <c r="A1" s="1" t="s">
        <v>91</v>
      </c>
      <c r="B1" s="1" t="s">
        <v>88</v>
      </c>
      <c r="C1" s="1" t="s">
        <v>89</v>
      </c>
      <c r="D1" s="1" t="s">
        <v>90</v>
      </c>
      <c r="E1" s="1" t="s">
        <v>86</v>
      </c>
      <c r="F1" s="1" t="s">
        <v>47</v>
      </c>
      <c r="G1" s="1" t="s">
        <v>48</v>
      </c>
      <c r="H1" s="1" t="s">
        <v>87</v>
      </c>
      <c r="I1" s="1"/>
      <c r="J1" s="1" t="s">
        <v>5</v>
      </c>
      <c r="K1" s="1"/>
      <c r="L1" s="1" t="s">
        <v>6</v>
      </c>
    </row>
    <row r="2" spans="1:12" x14ac:dyDescent="0.25">
      <c r="A2">
        <v>1698</v>
      </c>
      <c r="B2" t="s">
        <v>27</v>
      </c>
      <c r="C2" t="s">
        <v>100</v>
      </c>
      <c r="D2" t="s">
        <v>7</v>
      </c>
      <c r="E2" s="1"/>
      <c r="F2" s="1"/>
      <c r="G2" s="1"/>
      <c r="H2">
        <v>40</v>
      </c>
      <c r="I2" s="1"/>
      <c r="J2">
        <f>(E2*2240)+(F2*112)+(G2*28)+H2</f>
        <v>40</v>
      </c>
      <c r="K2" s="1"/>
      <c r="L2">
        <f t="shared" ref="L2:L31" si="0">J2/2240</f>
        <v>1.7857142857142856E-2</v>
      </c>
    </row>
    <row r="3" spans="1:12" x14ac:dyDescent="0.25">
      <c r="A3">
        <v>1698</v>
      </c>
      <c r="B3" t="s">
        <v>15</v>
      </c>
      <c r="C3" t="s">
        <v>100</v>
      </c>
      <c r="D3" t="s">
        <v>7</v>
      </c>
      <c r="H3">
        <v>200</v>
      </c>
      <c r="J3">
        <f t="shared" ref="J3:J31" si="1">(E3*2240)+(F3*112)+(G3*28)+(H3)</f>
        <v>200</v>
      </c>
      <c r="L3">
        <f t="shared" si="0"/>
        <v>8.9285714285714288E-2</v>
      </c>
    </row>
    <row r="4" spans="1:12" x14ac:dyDescent="0.25">
      <c r="A4">
        <v>1698</v>
      </c>
      <c r="B4" t="s">
        <v>40</v>
      </c>
      <c r="C4" t="s">
        <v>100</v>
      </c>
      <c r="D4" t="s">
        <v>7</v>
      </c>
      <c r="F4">
        <v>10</v>
      </c>
      <c r="G4">
        <v>3</v>
      </c>
      <c r="H4">
        <v>1</v>
      </c>
      <c r="J4">
        <f t="shared" si="1"/>
        <v>1205</v>
      </c>
      <c r="L4">
        <f t="shared" si="0"/>
        <v>0.5379464285714286</v>
      </c>
    </row>
    <row r="5" spans="1:12" x14ac:dyDescent="0.25">
      <c r="A5">
        <v>1698</v>
      </c>
      <c r="B5" t="s">
        <v>9</v>
      </c>
      <c r="C5" t="s">
        <v>100</v>
      </c>
      <c r="D5" t="s">
        <v>7</v>
      </c>
      <c r="H5">
        <f>31*200</f>
        <v>6200</v>
      </c>
      <c r="I5" t="s">
        <v>63</v>
      </c>
      <c r="J5">
        <f t="shared" si="1"/>
        <v>6200</v>
      </c>
      <c r="L5">
        <f t="shared" si="0"/>
        <v>2.7678571428571428</v>
      </c>
    </row>
    <row r="6" spans="1:12" x14ac:dyDescent="0.25">
      <c r="A6">
        <v>1698</v>
      </c>
      <c r="B6" t="s">
        <v>26</v>
      </c>
      <c r="C6" t="s">
        <v>100</v>
      </c>
      <c r="D6" t="s">
        <v>7</v>
      </c>
      <c r="F6">
        <v>16</v>
      </c>
      <c r="J6">
        <f t="shared" si="1"/>
        <v>1792</v>
      </c>
      <c r="L6">
        <f t="shared" si="0"/>
        <v>0.8</v>
      </c>
    </row>
    <row r="7" spans="1:12" x14ac:dyDescent="0.25">
      <c r="A7">
        <v>1698</v>
      </c>
      <c r="B7" t="s">
        <v>8</v>
      </c>
      <c r="C7" t="s">
        <v>100</v>
      </c>
      <c r="D7" t="s">
        <v>7</v>
      </c>
      <c r="H7">
        <f>693+190</f>
        <v>883</v>
      </c>
      <c r="J7">
        <f t="shared" si="1"/>
        <v>883</v>
      </c>
      <c r="L7">
        <f t="shared" si="0"/>
        <v>0.39419642857142856</v>
      </c>
    </row>
    <row r="8" spans="1:12" x14ac:dyDescent="0.25">
      <c r="A8">
        <v>1698</v>
      </c>
      <c r="B8" t="s">
        <v>38</v>
      </c>
      <c r="C8" t="s">
        <v>100</v>
      </c>
      <c r="D8" t="s">
        <v>7</v>
      </c>
      <c r="E8">
        <v>10</v>
      </c>
      <c r="F8">
        <f>459+7</f>
        <v>466</v>
      </c>
      <c r="G8">
        <v>2</v>
      </c>
      <c r="J8">
        <f t="shared" si="1"/>
        <v>74648</v>
      </c>
      <c r="L8">
        <f t="shared" si="0"/>
        <v>33.325000000000003</v>
      </c>
    </row>
    <row r="9" spans="1:12" x14ac:dyDescent="0.25">
      <c r="A9">
        <v>1698</v>
      </c>
      <c r="B9" t="s">
        <v>22</v>
      </c>
      <c r="C9" t="s">
        <v>100</v>
      </c>
      <c r="D9" t="s">
        <v>7</v>
      </c>
      <c r="H9">
        <v>1779</v>
      </c>
      <c r="I9" t="s">
        <v>77</v>
      </c>
      <c r="J9">
        <f t="shared" si="1"/>
        <v>1779</v>
      </c>
      <c r="L9">
        <f t="shared" si="0"/>
        <v>0.79419642857142858</v>
      </c>
    </row>
    <row r="10" spans="1:12" x14ac:dyDescent="0.25">
      <c r="A10">
        <v>1698</v>
      </c>
      <c r="B10" t="s">
        <v>17</v>
      </c>
      <c r="C10" t="s">
        <v>100</v>
      </c>
      <c r="D10" t="s">
        <v>7</v>
      </c>
      <c r="J10">
        <f t="shared" si="1"/>
        <v>0</v>
      </c>
      <c r="L10">
        <f t="shared" si="0"/>
        <v>0</v>
      </c>
    </row>
    <row r="11" spans="1:12" x14ac:dyDescent="0.25">
      <c r="A11">
        <v>1698</v>
      </c>
      <c r="B11" t="s">
        <v>54</v>
      </c>
      <c r="C11" t="s">
        <v>100</v>
      </c>
      <c r="D11" t="s">
        <v>7</v>
      </c>
      <c r="F11">
        <f>40761+5088</f>
        <v>45849</v>
      </c>
      <c r="G11">
        <v>2</v>
      </c>
      <c r="H11">
        <f>15+24</f>
        <v>39</v>
      </c>
      <c r="J11">
        <f t="shared" si="1"/>
        <v>5135183</v>
      </c>
      <c r="L11">
        <f t="shared" si="0"/>
        <v>2292.4924107142856</v>
      </c>
    </row>
    <row r="12" spans="1:12" x14ac:dyDescent="0.25">
      <c r="A12">
        <v>1698</v>
      </c>
      <c r="B12" t="s">
        <v>23</v>
      </c>
      <c r="C12" t="s">
        <v>100</v>
      </c>
      <c r="D12" t="s">
        <v>7</v>
      </c>
      <c r="H12">
        <v>40</v>
      </c>
      <c r="I12" t="s">
        <v>76</v>
      </c>
      <c r="J12">
        <f t="shared" si="1"/>
        <v>40</v>
      </c>
      <c r="L12">
        <f t="shared" si="0"/>
        <v>1.7857142857142856E-2</v>
      </c>
    </row>
    <row r="13" spans="1:12" x14ac:dyDescent="0.25">
      <c r="A13">
        <v>1698</v>
      </c>
      <c r="B13" t="s">
        <v>25</v>
      </c>
      <c r="C13" t="s">
        <v>100</v>
      </c>
      <c r="D13" t="s">
        <v>7</v>
      </c>
      <c r="F13">
        <v>21</v>
      </c>
      <c r="G13">
        <v>5</v>
      </c>
      <c r="J13">
        <f t="shared" si="1"/>
        <v>2492</v>
      </c>
      <c r="L13">
        <f t="shared" si="0"/>
        <v>1.1125</v>
      </c>
    </row>
    <row r="14" spans="1:12" x14ac:dyDescent="0.25">
      <c r="A14">
        <v>1698</v>
      </c>
      <c r="B14" t="s">
        <v>36</v>
      </c>
      <c r="C14" t="s">
        <v>100</v>
      </c>
      <c r="D14" t="s">
        <v>7</v>
      </c>
      <c r="F14">
        <v>6</v>
      </c>
      <c r="G14">
        <v>6</v>
      </c>
      <c r="J14">
        <f t="shared" si="1"/>
        <v>840</v>
      </c>
      <c r="L14">
        <f t="shared" si="0"/>
        <v>0.375</v>
      </c>
    </row>
    <row r="15" spans="1:12" x14ac:dyDescent="0.25">
      <c r="A15">
        <v>1698</v>
      </c>
      <c r="B15" t="s">
        <v>13</v>
      </c>
      <c r="C15" t="s">
        <v>100</v>
      </c>
      <c r="D15" t="s">
        <v>7</v>
      </c>
      <c r="H15">
        <f>226+69</f>
        <v>295</v>
      </c>
      <c r="J15">
        <f t="shared" si="1"/>
        <v>295</v>
      </c>
      <c r="L15">
        <f t="shared" si="0"/>
        <v>0.13169642857142858</v>
      </c>
    </row>
    <row r="16" spans="1:12" x14ac:dyDescent="0.25">
      <c r="A16">
        <v>1698</v>
      </c>
      <c r="B16" t="s">
        <v>21</v>
      </c>
      <c r="C16" t="s">
        <v>100</v>
      </c>
      <c r="D16" t="s">
        <v>7</v>
      </c>
      <c r="J16">
        <f t="shared" si="1"/>
        <v>0</v>
      </c>
      <c r="L16">
        <f t="shared" si="0"/>
        <v>0</v>
      </c>
    </row>
    <row r="17" spans="1:12" x14ac:dyDescent="0.25">
      <c r="A17">
        <v>1698</v>
      </c>
      <c r="B17" t="s">
        <v>24</v>
      </c>
      <c r="C17" t="s">
        <v>100</v>
      </c>
      <c r="D17" t="s">
        <v>7</v>
      </c>
      <c r="H17">
        <v>58</v>
      </c>
      <c r="J17">
        <f t="shared" si="1"/>
        <v>58</v>
      </c>
      <c r="L17">
        <f t="shared" si="0"/>
        <v>2.5892857142857145E-2</v>
      </c>
    </row>
    <row r="18" spans="1:12" x14ac:dyDescent="0.25">
      <c r="A18">
        <v>1698</v>
      </c>
      <c r="B18" t="s">
        <v>19</v>
      </c>
      <c r="C18" t="s">
        <v>100</v>
      </c>
      <c r="D18" t="s">
        <v>7</v>
      </c>
      <c r="H18">
        <v>21</v>
      </c>
      <c r="J18">
        <f t="shared" si="1"/>
        <v>21</v>
      </c>
      <c r="L18">
        <f t="shared" si="0"/>
        <v>9.3749999999999997E-3</v>
      </c>
    </row>
    <row r="19" spans="1:12" x14ac:dyDescent="0.25">
      <c r="A19">
        <v>1698</v>
      </c>
      <c r="B19" t="s">
        <v>18</v>
      </c>
      <c r="C19" t="s">
        <v>100</v>
      </c>
      <c r="D19" t="s">
        <v>11</v>
      </c>
      <c r="F19">
        <v>11899</v>
      </c>
      <c r="G19">
        <v>3</v>
      </c>
      <c r="H19">
        <v>21</v>
      </c>
      <c r="J19">
        <f t="shared" si="1"/>
        <v>1332793</v>
      </c>
      <c r="L19">
        <f t="shared" si="0"/>
        <v>594.99687500000005</v>
      </c>
    </row>
    <row r="20" spans="1:12" x14ac:dyDescent="0.25">
      <c r="A20">
        <v>1698</v>
      </c>
      <c r="B20" t="s">
        <v>15</v>
      </c>
      <c r="C20" t="s">
        <v>100</v>
      </c>
      <c r="D20" t="s">
        <v>11</v>
      </c>
      <c r="H20">
        <v>1</v>
      </c>
      <c r="J20">
        <f t="shared" si="1"/>
        <v>1</v>
      </c>
      <c r="L20">
        <f t="shared" si="0"/>
        <v>4.4642857142857141E-4</v>
      </c>
    </row>
    <row r="21" spans="1:12" x14ac:dyDescent="0.25">
      <c r="A21">
        <v>1698</v>
      </c>
      <c r="B21" t="s">
        <v>40</v>
      </c>
      <c r="C21" t="s">
        <v>100</v>
      </c>
      <c r="D21" t="s">
        <v>11</v>
      </c>
      <c r="F21">
        <v>4</v>
      </c>
      <c r="G21">
        <v>1</v>
      </c>
      <c r="H21">
        <v>5</v>
      </c>
      <c r="J21">
        <f t="shared" si="1"/>
        <v>481</v>
      </c>
      <c r="L21">
        <f t="shared" si="0"/>
        <v>0.21473214285714284</v>
      </c>
    </row>
    <row r="22" spans="1:12" x14ac:dyDescent="0.25">
      <c r="A22">
        <v>1698</v>
      </c>
      <c r="B22" t="s">
        <v>9</v>
      </c>
      <c r="C22" t="s">
        <v>100</v>
      </c>
      <c r="D22" t="s">
        <v>11</v>
      </c>
      <c r="H22">
        <v>1800</v>
      </c>
      <c r="J22">
        <f t="shared" si="1"/>
        <v>1800</v>
      </c>
      <c r="L22">
        <f t="shared" si="0"/>
        <v>0.8035714285714286</v>
      </c>
    </row>
    <row r="23" spans="1:12" x14ac:dyDescent="0.25">
      <c r="A23">
        <v>1698</v>
      </c>
      <c r="B23" t="s">
        <v>8</v>
      </c>
      <c r="C23" t="s">
        <v>100</v>
      </c>
      <c r="D23" t="s">
        <v>11</v>
      </c>
      <c r="H23">
        <v>80</v>
      </c>
      <c r="J23">
        <f t="shared" si="1"/>
        <v>80</v>
      </c>
      <c r="L23">
        <f t="shared" si="0"/>
        <v>3.5714285714285712E-2</v>
      </c>
    </row>
    <row r="24" spans="1:12" x14ac:dyDescent="0.25">
      <c r="A24">
        <v>1698</v>
      </c>
      <c r="B24" t="s">
        <v>38</v>
      </c>
      <c r="C24" t="s">
        <v>100</v>
      </c>
      <c r="D24" t="s">
        <v>11</v>
      </c>
      <c r="F24">
        <v>224</v>
      </c>
      <c r="G24">
        <v>1</v>
      </c>
      <c r="H24">
        <v>16</v>
      </c>
      <c r="J24">
        <f t="shared" si="1"/>
        <v>25132</v>
      </c>
      <c r="L24">
        <f t="shared" si="0"/>
        <v>11.219642857142857</v>
      </c>
    </row>
    <row r="25" spans="1:12" x14ac:dyDescent="0.25">
      <c r="A25">
        <v>1698</v>
      </c>
      <c r="B25" t="s">
        <v>22</v>
      </c>
      <c r="C25" t="s">
        <v>100</v>
      </c>
      <c r="D25" t="s">
        <v>11</v>
      </c>
      <c r="H25">
        <v>250</v>
      </c>
      <c r="I25" t="s">
        <v>68</v>
      </c>
      <c r="J25">
        <f t="shared" si="1"/>
        <v>250</v>
      </c>
      <c r="L25">
        <f t="shared" si="0"/>
        <v>0.11160714285714286</v>
      </c>
    </row>
    <row r="26" spans="1:12" x14ac:dyDescent="0.25">
      <c r="A26">
        <v>1698</v>
      </c>
      <c r="B26" t="s">
        <v>17</v>
      </c>
      <c r="C26" t="s">
        <v>100</v>
      </c>
      <c r="D26" t="s">
        <v>11</v>
      </c>
      <c r="F26">
        <v>13</v>
      </c>
      <c r="G26">
        <v>1</v>
      </c>
      <c r="J26">
        <f t="shared" si="1"/>
        <v>1484</v>
      </c>
      <c r="L26">
        <f t="shared" si="0"/>
        <v>0.66249999999999998</v>
      </c>
    </row>
    <row r="27" spans="1:12" x14ac:dyDescent="0.25">
      <c r="A27">
        <v>1698</v>
      </c>
      <c r="B27" t="s">
        <v>54</v>
      </c>
      <c r="C27" t="s">
        <v>100</v>
      </c>
      <c r="D27" t="s">
        <v>11</v>
      </c>
      <c r="F27">
        <v>1171</v>
      </c>
      <c r="G27">
        <v>1</v>
      </c>
      <c r="J27">
        <f t="shared" si="1"/>
        <v>131180</v>
      </c>
      <c r="L27">
        <f t="shared" si="0"/>
        <v>58.5625</v>
      </c>
    </row>
    <row r="28" spans="1:12" x14ac:dyDescent="0.25">
      <c r="A28">
        <v>1698</v>
      </c>
      <c r="B28" t="s">
        <v>25</v>
      </c>
      <c r="C28" t="s">
        <v>100</v>
      </c>
      <c r="D28" t="s">
        <v>11</v>
      </c>
      <c r="F28">
        <v>10</v>
      </c>
      <c r="G28">
        <v>1</v>
      </c>
      <c r="H28">
        <v>7</v>
      </c>
      <c r="J28">
        <f t="shared" si="1"/>
        <v>1155</v>
      </c>
      <c r="L28">
        <f t="shared" si="0"/>
        <v>0.515625</v>
      </c>
    </row>
    <row r="29" spans="1:12" x14ac:dyDescent="0.25">
      <c r="A29">
        <v>1698</v>
      </c>
      <c r="B29" t="s">
        <v>44</v>
      </c>
      <c r="C29" t="s">
        <v>100</v>
      </c>
      <c r="D29" t="s">
        <v>11</v>
      </c>
      <c r="H29">
        <v>134</v>
      </c>
      <c r="J29">
        <f t="shared" si="1"/>
        <v>134</v>
      </c>
      <c r="L29">
        <f t="shared" si="0"/>
        <v>5.9821428571428574E-2</v>
      </c>
    </row>
    <row r="30" spans="1:12" x14ac:dyDescent="0.25">
      <c r="A30">
        <v>1698</v>
      </c>
      <c r="B30" t="s">
        <v>24</v>
      </c>
      <c r="C30" t="s">
        <v>100</v>
      </c>
      <c r="D30" t="s">
        <v>11</v>
      </c>
      <c r="H30">
        <v>2</v>
      </c>
      <c r="J30">
        <f t="shared" si="1"/>
        <v>2</v>
      </c>
      <c r="L30">
        <f t="shared" si="0"/>
        <v>8.9285714285714283E-4</v>
      </c>
    </row>
    <row r="31" spans="1:12" x14ac:dyDescent="0.25">
      <c r="A31">
        <v>1698</v>
      </c>
      <c r="B31" t="s">
        <v>19</v>
      </c>
      <c r="C31" t="s">
        <v>100</v>
      </c>
      <c r="D31" t="s">
        <v>11</v>
      </c>
      <c r="F31">
        <v>1</v>
      </c>
      <c r="H31">
        <v>22</v>
      </c>
      <c r="J31">
        <f t="shared" si="1"/>
        <v>134</v>
      </c>
      <c r="L31">
        <f t="shared" si="0"/>
        <v>5.9821428571428574E-2</v>
      </c>
    </row>
  </sheetData>
  <autoFilter ref="B1:L31" xr:uid="{DF3C4C2D-B143-49EB-AE6F-B3BFFAC00D68}">
    <sortState xmlns:xlrd2="http://schemas.microsoft.com/office/spreadsheetml/2017/richdata2" ref="B2:L31">
      <sortCondition ref="D1:D3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E782-642A-4A69-B3C3-AA33FAF53666}">
  <dimension ref="A1:J7"/>
  <sheetViews>
    <sheetView workbookViewId="0">
      <selection activeCell="H2" sqref="H2"/>
    </sheetView>
  </sheetViews>
  <sheetFormatPr defaultRowHeight="15" x14ac:dyDescent="0.25"/>
  <cols>
    <col min="1" max="1" width="17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/>
      <c r="H1" s="1" t="s">
        <v>5</v>
      </c>
      <c r="I1" s="1"/>
      <c r="J1" s="1" t="s">
        <v>6</v>
      </c>
    </row>
    <row r="2" spans="1:10" x14ac:dyDescent="0.25">
      <c r="A2" t="s">
        <v>26</v>
      </c>
      <c r="B2" t="s">
        <v>7</v>
      </c>
      <c r="H2">
        <f>(C2*2240)+(D2*112)+(E2*28)+(F2/16)</f>
        <v>0</v>
      </c>
      <c r="J2">
        <f>H2/2240</f>
        <v>0</v>
      </c>
    </row>
    <row r="3" spans="1:10" x14ac:dyDescent="0.25">
      <c r="A3" t="s">
        <v>17</v>
      </c>
      <c r="B3" t="s">
        <v>7</v>
      </c>
      <c r="H3">
        <f t="shared" ref="H3:H7" si="0">(C3*2240)+(D3*112)+(E3*28)+(F3/16)</f>
        <v>0</v>
      </c>
      <c r="J3">
        <f t="shared" ref="J3:J7" si="1">H3/2240</f>
        <v>0</v>
      </c>
    </row>
    <row r="4" spans="1:10" x14ac:dyDescent="0.25">
      <c r="A4" t="s">
        <v>18</v>
      </c>
      <c r="B4" t="s">
        <v>7</v>
      </c>
      <c r="H4">
        <f t="shared" si="0"/>
        <v>0</v>
      </c>
      <c r="J4">
        <f t="shared" si="1"/>
        <v>0</v>
      </c>
    </row>
    <row r="5" spans="1:10" x14ac:dyDescent="0.25">
      <c r="A5" t="s">
        <v>8</v>
      </c>
      <c r="B5" t="s">
        <v>7</v>
      </c>
      <c r="H5">
        <f t="shared" si="0"/>
        <v>0</v>
      </c>
      <c r="J5">
        <f t="shared" si="1"/>
        <v>0</v>
      </c>
    </row>
    <row r="6" spans="1:10" x14ac:dyDescent="0.25">
      <c r="A6" t="s">
        <v>9</v>
      </c>
      <c r="B6" t="s">
        <v>7</v>
      </c>
      <c r="H6">
        <f t="shared" si="0"/>
        <v>0</v>
      </c>
      <c r="J6">
        <f t="shared" si="1"/>
        <v>0</v>
      </c>
    </row>
    <row r="7" spans="1:10" x14ac:dyDescent="0.25">
      <c r="A7" t="s">
        <v>40</v>
      </c>
      <c r="B7" t="s">
        <v>7</v>
      </c>
      <c r="H7">
        <f t="shared" si="0"/>
        <v>0</v>
      </c>
      <c r="J7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6D79-299E-4BDC-A30E-5252DE375C36}">
  <dimension ref="A1:P28"/>
  <sheetViews>
    <sheetView workbookViewId="0">
      <selection activeCell="H7" sqref="H7"/>
    </sheetView>
  </sheetViews>
  <sheetFormatPr defaultRowHeight="15" x14ac:dyDescent="0.25"/>
  <cols>
    <col min="2" max="2" width="17.42578125" customWidth="1"/>
    <col min="3" max="3" width="15" customWidth="1"/>
    <col min="4" max="4" width="14.5703125" customWidth="1"/>
  </cols>
  <sheetData>
    <row r="1" spans="1:16" x14ac:dyDescent="0.25">
      <c r="A1" s="1" t="s">
        <v>91</v>
      </c>
      <c r="B1" s="1" t="s">
        <v>88</v>
      </c>
      <c r="C1" s="1" t="s">
        <v>89</v>
      </c>
      <c r="D1" s="1" t="s">
        <v>90</v>
      </c>
      <c r="E1" s="1" t="s">
        <v>86</v>
      </c>
      <c r="F1" s="1" t="s">
        <v>47</v>
      </c>
      <c r="G1" s="1" t="s">
        <v>48</v>
      </c>
      <c r="H1" s="1" t="s">
        <v>87</v>
      </c>
      <c r="I1" s="1"/>
      <c r="J1" s="1" t="s">
        <v>5</v>
      </c>
      <c r="K1" s="1"/>
      <c r="L1" s="1" t="s">
        <v>6</v>
      </c>
      <c r="N1" t="s">
        <v>41</v>
      </c>
      <c r="P1" t="s">
        <v>42</v>
      </c>
    </row>
    <row r="2" spans="1:16" x14ac:dyDescent="0.25">
      <c r="A2">
        <v>1698</v>
      </c>
      <c r="B2" t="s">
        <v>27</v>
      </c>
      <c r="C2" t="s">
        <v>101</v>
      </c>
      <c r="D2" t="s">
        <v>7</v>
      </c>
      <c r="H2">
        <v>62</v>
      </c>
      <c r="J2">
        <f t="shared" ref="J2:J28" si="0">(E2*2240)+(F2*112)+(G2*28)+H2</f>
        <v>62</v>
      </c>
      <c r="K2" s="1"/>
      <c r="L2">
        <f t="shared" ref="L2:L28" si="1">J2/2240</f>
        <v>2.7678571428571427E-2</v>
      </c>
    </row>
    <row r="3" spans="1:16" x14ac:dyDescent="0.25">
      <c r="A3">
        <v>1698</v>
      </c>
      <c r="B3" t="s">
        <v>32</v>
      </c>
      <c r="C3" t="s">
        <v>101</v>
      </c>
      <c r="D3" t="s">
        <v>7</v>
      </c>
      <c r="H3">
        <v>3572</v>
      </c>
      <c r="J3">
        <f t="shared" si="0"/>
        <v>3572</v>
      </c>
      <c r="L3">
        <f t="shared" si="1"/>
        <v>1.5946428571428573</v>
      </c>
    </row>
    <row r="4" spans="1:16" x14ac:dyDescent="0.25">
      <c r="A4">
        <v>1698</v>
      </c>
      <c r="B4" t="s">
        <v>15</v>
      </c>
      <c r="C4" t="s">
        <v>101</v>
      </c>
      <c r="D4" t="s">
        <v>7</v>
      </c>
      <c r="J4">
        <f t="shared" si="0"/>
        <v>0</v>
      </c>
      <c r="L4">
        <f t="shared" si="1"/>
        <v>0</v>
      </c>
    </row>
    <row r="5" spans="1:16" x14ac:dyDescent="0.25">
      <c r="A5">
        <v>1698</v>
      </c>
      <c r="B5" t="s">
        <v>40</v>
      </c>
      <c r="C5" t="s">
        <v>101</v>
      </c>
      <c r="D5" t="s">
        <v>7</v>
      </c>
      <c r="F5">
        <v>12</v>
      </c>
      <c r="G5">
        <v>4</v>
      </c>
      <c r="H5">
        <v>18</v>
      </c>
      <c r="J5">
        <f t="shared" si="0"/>
        <v>1474</v>
      </c>
      <c r="L5">
        <f t="shared" si="1"/>
        <v>0.65803571428571428</v>
      </c>
    </row>
    <row r="6" spans="1:16" x14ac:dyDescent="0.25">
      <c r="A6">
        <v>1698</v>
      </c>
      <c r="B6" t="s">
        <v>9</v>
      </c>
      <c r="C6" t="s">
        <v>101</v>
      </c>
      <c r="D6" t="s">
        <v>7</v>
      </c>
      <c r="H6">
        <f>2*200</f>
        <v>400</v>
      </c>
      <c r="I6" t="s">
        <v>64</v>
      </c>
      <c r="J6">
        <f t="shared" si="0"/>
        <v>400</v>
      </c>
      <c r="L6">
        <f t="shared" si="1"/>
        <v>0.17857142857142858</v>
      </c>
    </row>
    <row r="7" spans="1:16" x14ac:dyDescent="0.25">
      <c r="A7">
        <v>1698</v>
      </c>
      <c r="B7" t="s">
        <v>16</v>
      </c>
      <c r="C7" t="s">
        <v>101</v>
      </c>
      <c r="D7" t="s">
        <v>7</v>
      </c>
      <c r="J7">
        <f t="shared" si="0"/>
        <v>0</v>
      </c>
      <c r="K7" s="1"/>
      <c r="L7">
        <f t="shared" si="1"/>
        <v>0</v>
      </c>
    </row>
    <row r="8" spans="1:16" x14ac:dyDescent="0.25">
      <c r="A8">
        <v>1698</v>
      </c>
      <c r="B8" t="s">
        <v>26</v>
      </c>
      <c r="C8" t="s">
        <v>101</v>
      </c>
      <c r="D8" t="s">
        <v>7</v>
      </c>
      <c r="J8">
        <f t="shared" si="0"/>
        <v>0</v>
      </c>
      <c r="K8" s="1"/>
      <c r="L8">
        <f t="shared" si="1"/>
        <v>0</v>
      </c>
    </row>
    <row r="9" spans="1:16" x14ac:dyDescent="0.25">
      <c r="A9">
        <v>1698</v>
      </c>
      <c r="B9" t="s">
        <v>50</v>
      </c>
      <c r="C9" t="s">
        <v>101</v>
      </c>
      <c r="D9" t="s">
        <v>7</v>
      </c>
      <c r="F9">
        <v>80</v>
      </c>
      <c r="G9">
        <v>1</v>
      </c>
      <c r="H9">
        <v>9</v>
      </c>
      <c r="J9">
        <f t="shared" si="0"/>
        <v>8997</v>
      </c>
      <c r="L9">
        <f t="shared" si="1"/>
        <v>4.0165178571428575</v>
      </c>
    </row>
    <row r="10" spans="1:16" x14ac:dyDescent="0.25">
      <c r="A10">
        <v>1698</v>
      </c>
      <c r="B10" t="s">
        <v>8</v>
      </c>
      <c r="C10" t="s">
        <v>101</v>
      </c>
      <c r="D10" t="s">
        <v>7</v>
      </c>
      <c r="H10">
        <v>1409</v>
      </c>
      <c r="J10">
        <f t="shared" si="0"/>
        <v>1409</v>
      </c>
      <c r="L10">
        <f t="shared" si="1"/>
        <v>0.62901785714285718</v>
      </c>
    </row>
    <row r="11" spans="1:16" x14ac:dyDescent="0.25">
      <c r="A11">
        <v>1698</v>
      </c>
      <c r="B11" t="s">
        <v>38</v>
      </c>
      <c r="C11" t="s">
        <v>101</v>
      </c>
      <c r="D11" t="s">
        <v>7</v>
      </c>
      <c r="F11">
        <v>156</v>
      </c>
      <c r="G11">
        <v>2</v>
      </c>
      <c r="J11">
        <f t="shared" si="0"/>
        <v>17528</v>
      </c>
      <c r="K11" s="1"/>
      <c r="L11">
        <f t="shared" si="1"/>
        <v>7.8250000000000002</v>
      </c>
      <c r="N11">
        <f>L11+L13+L14+L19+L20+L21+L22+L23+L25+L26+L27+L28+L29+L12+L31+L35+L37</f>
        <v>994.13973214285716</v>
      </c>
      <c r="P11">
        <f>L15+L16+L17+L18+L32+L33+L34</f>
        <v>4.2035714285714283</v>
      </c>
    </row>
    <row r="12" spans="1:16" x14ac:dyDescent="0.25">
      <c r="A12">
        <v>1698</v>
      </c>
      <c r="B12" t="s">
        <v>22</v>
      </c>
      <c r="C12" t="s">
        <v>101</v>
      </c>
      <c r="D12" t="s">
        <v>7</v>
      </c>
      <c r="H12">
        <v>1394</v>
      </c>
      <c r="I12" t="s">
        <v>78</v>
      </c>
      <c r="J12">
        <f t="shared" si="0"/>
        <v>1394</v>
      </c>
      <c r="L12">
        <f t="shared" si="1"/>
        <v>0.62232142857142858</v>
      </c>
    </row>
    <row r="13" spans="1:16" x14ac:dyDescent="0.25">
      <c r="A13">
        <v>1698</v>
      </c>
      <c r="B13" t="s">
        <v>17</v>
      </c>
      <c r="C13" t="s">
        <v>101</v>
      </c>
      <c r="D13" t="s">
        <v>7</v>
      </c>
      <c r="F13">
        <v>1577</v>
      </c>
      <c r="G13">
        <v>1</v>
      </c>
      <c r="H13">
        <v>7</v>
      </c>
      <c r="J13">
        <f t="shared" si="0"/>
        <v>176659</v>
      </c>
      <c r="L13">
        <f t="shared" si="1"/>
        <v>78.865624999999994</v>
      </c>
    </row>
    <row r="14" spans="1:16" x14ac:dyDescent="0.25">
      <c r="A14">
        <v>1698</v>
      </c>
      <c r="B14" t="s">
        <v>46</v>
      </c>
      <c r="C14" t="s">
        <v>101</v>
      </c>
      <c r="D14" t="s">
        <v>7</v>
      </c>
      <c r="F14">
        <f>14760+1944</f>
        <v>16704</v>
      </c>
      <c r="G14">
        <v>1</v>
      </c>
      <c r="H14">
        <v>42</v>
      </c>
      <c r="J14">
        <f t="shared" si="0"/>
        <v>1870918</v>
      </c>
      <c r="L14">
        <f t="shared" si="1"/>
        <v>835.23125000000005</v>
      </c>
    </row>
    <row r="15" spans="1:16" x14ac:dyDescent="0.25">
      <c r="A15">
        <v>1698</v>
      </c>
      <c r="B15" t="s">
        <v>34</v>
      </c>
      <c r="C15" t="s">
        <v>101</v>
      </c>
      <c r="D15" t="s">
        <v>7</v>
      </c>
      <c r="H15">
        <v>3952</v>
      </c>
      <c r="J15">
        <f t="shared" si="0"/>
        <v>3952</v>
      </c>
      <c r="L15">
        <f t="shared" si="1"/>
        <v>1.7642857142857142</v>
      </c>
    </row>
    <row r="16" spans="1:16" x14ac:dyDescent="0.25">
      <c r="A16">
        <v>1698</v>
      </c>
      <c r="B16" t="s">
        <v>25</v>
      </c>
      <c r="C16" t="s">
        <v>101</v>
      </c>
      <c r="D16" t="s">
        <v>7</v>
      </c>
      <c r="F16">
        <v>46</v>
      </c>
      <c r="G16">
        <v>1</v>
      </c>
      <c r="H16">
        <v>12</v>
      </c>
      <c r="J16">
        <f t="shared" si="0"/>
        <v>5192</v>
      </c>
      <c r="L16">
        <f t="shared" si="1"/>
        <v>2.3178571428571431</v>
      </c>
    </row>
    <row r="17" spans="1:12" x14ac:dyDescent="0.25">
      <c r="A17">
        <v>1698</v>
      </c>
      <c r="B17" t="s">
        <v>13</v>
      </c>
      <c r="C17" t="s">
        <v>101</v>
      </c>
      <c r="D17" t="s">
        <v>7</v>
      </c>
      <c r="H17">
        <v>202</v>
      </c>
      <c r="J17">
        <f t="shared" si="0"/>
        <v>202</v>
      </c>
      <c r="L17">
        <f t="shared" si="1"/>
        <v>9.0178571428571427E-2</v>
      </c>
    </row>
    <row r="18" spans="1:12" x14ac:dyDescent="0.25">
      <c r="A18">
        <v>1698</v>
      </c>
      <c r="B18" t="s">
        <v>29</v>
      </c>
      <c r="C18" t="s">
        <v>101</v>
      </c>
      <c r="D18" t="s">
        <v>7</v>
      </c>
      <c r="G18">
        <v>2</v>
      </c>
      <c r="H18">
        <v>14</v>
      </c>
      <c r="J18">
        <f t="shared" si="0"/>
        <v>70</v>
      </c>
      <c r="L18">
        <f t="shared" si="1"/>
        <v>3.125E-2</v>
      </c>
    </row>
    <row r="19" spans="1:12" x14ac:dyDescent="0.25">
      <c r="A19">
        <v>1698</v>
      </c>
      <c r="B19" t="s">
        <v>21</v>
      </c>
      <c r="C19" t="s">
        <v>101</v>
      </c>
      <c r="D19" t="s">
        <v>7</v>
      </c>
      <c r="H19">
        <f>15354+9</f>
        <v>15363</v>
      </c>
      <c r="J19">
        <f t="shared" si="0"/>
        <v>15363</v>
      </c>
      <c r="L19">
        <f t="shared" si="1"/>
        <v>6.8584821428571425</v>
      </c>
    </row>
    <row r="20" spans="1:12" x14ac:dyDescent="0.25">
      <c r="A20">
        <v>1698</v>
      </c>
      <c r="B20" t="s">
        <v>24</v>
      </c>
      <c r="C20" t="s">
        <v>101</v>
      </c>
      <c r="D20" t="s">
        <v>7</v>
      </c>
      <c r="H20">
        <v>208</v>
      </c>
      <c r="J20">
        <f t="shared" si="0"/>
        <v>208</v>
      </c>
      <c r="L20">
        <f t="shared" si="1"/>
        <v>9.285714285714286E-2</v>
      </c>
    </row>
    <row r="21" spans="1:12" x14ac:dyDescent="0.25">
      <c r="A21">
        <v>1698</v>
      </c>
      <c r="B21" t="s">
        <v>19</v>
      </c>
      <c r="C21" t="s">
        <v>101</v>
      </c>
      <c r="D21" t="s">
        <v>7</v>
      </c>
      <c r="F21">
        <v>145</v>
      </c>
      <c r="G21">
        <v>3</v>
      </c>
      <c r="H21">
        <v>18</v>
      </c>
      <c r="J21">
        <f t="shared" si="0"/>
        <v>16342</v>
      </c>
      <c r="L21">
        <f t="shared" si="1"/>
        <v>7.2955357142857142</v>
      </c>
    </row>
    <row r="22" spans="1:12" x14ac:dyDescent="0.25">
      <c r="A22">
        <v>1698</v>
      </c>
      <c r="B22" t="s">
        <v>18</v>
      </c>
      <c r="C22" t="s">
        <v>101</v>
      </c>
      <c r="D22" t="s">
        <v>11</v>
      </c>
      <c r="F22">
        <v>981</v>
      </c>
      <c r="G22">
        <v>2</v>
      </c>
      <c r="H22">
        <v>11</v>
      </c>
      <c r="J22">
        <f t="shared" si="0"/>
        <v>109939</v>
      </c>
      <c r="L22">
        <f t="shared" si="1"/>
        <v>49.079910714285717</v>
      </c>
    </row>
    <row r="23" spans="1:12" x14ac:dyDescent="0.25">
      <c r="A23">
        <v>1698</v>
      </c>
      <c r="B23" t="s">
        <v>40</v>
      </c>
      <c r="C23" t="s">
        <v>101</v>
      </c>
      <c r="D23" t="s">
        <v>11</v>
      </c>
      <c r="F23">
        <v>1</v>
      </c>
      <c r="G23">
        <v>1</v>
      </c>
      <c r="H23">
        <v>21</v>
      </c>
      <c r="J23">
        <f t="shared" si="0"/>
        <v>161</v>
      </c>
      <c r="L23">
        <f t="shared" si="1"/>
        <v>7.1874999999999994E-2</v>
      </c>
    </row>
    <row r="24" spans="1:12" x14ac:dyDescent="0.25">
      <c r="A24">
        <v>1698</v>
      </c>
      <c r="B24" t="s">
        <v>16</v>
      </c>
      <c r="C24" t="s">
        <v>101</v>
      </c>
      <c r="D24" t="s">
        <v>11</v>
      </c>
      <c r="F24">
        <v>7</v>
      </c>
      <c r="J24">
        <f t="shared" si="0"/>
        <v>784</v>
      </c>
      <c r="L24">
        <f t="shared" si="1"/>
        <v>0.35</v>
      </c>
    </row>
    <row r="25" spans="1:12" x14ac:dyDescent="0.25">
      <c r="A25">
        <v>1698</v>
      </c>
      <c r="B25" t="s">
        <v>50</v>
      </c>
      <c r="C25" t="s">
        <v>101</v>
      </c>
      <c r="D25" t="s">
        <v>11</v>
      </c>
      <c r="F25">
        <v>7</v>
      </c>
      <c r="G25">
        <v>2</v>
      </c>
      <c r="J25">
        <f t="shared" si="0"/>
        <v>840</v>
      </c>
      <c r="L25">
        <f t="shared" si="1"/>
        <v>0.375</v>
      </c>
    </row>
    <row r="26" spans="1:12" x14ac:dyDescent="0.25">
      <c r="A26">
        <v>1698</v>
      </c>
      <c r="B26" t="s">
        <v>17</v>
      </c>
      <c r="C26" t="s">
        <v>101</v>
      </c>
      <c r="D26" t="s">
        <v>11</v>
      </c>
      <c r="F26">
        <v>85</v>
      </c>
      <c r="G26">
        <v>3</v>
      </c>
      <c r="J26">
        <f t="shared" si="0"/>
        <v>9604</v>
      </c>
      <c r="L26">
        <f t="shared" si="1"/>
        <v>4.2874999999999996</v>
      </c>
    </row>
    <row r="27" spans="1:12" x14ac:dyDescent="0.25">
      <c r="A27">
        <v>1698</v>
      </c>
      <c r="B27" t="s">
        <v>21</v>
      </c>
      <c r="C27" t="s">
        <v>101</v>
      </c>
      <c r="D27" t="s">
        <v>11</v>
      </c>
      <c r="J27">
        <f t="shared" si="0"/>
        <v>0</v>
      </c>
      <c r="L27">
        <f t="shared" si="1"/>
        <v>0</v>
      </c>
    </row>
    <row r="28" spans="1:12" x14ac:dyDescent="0.25">
      <c r="A28">
        <v>1698</v>
      </c>
      <c r="B28" t="s">
        <v>19</v>
      </c>
      <c r="C28" t="s">
        <v>101</v>
      </c>
      <c r="D28" t="s">
        <v>11</v>
      </c>
      <c r="F28">
        <v>70</v>
      </c>
      <c r="G28">
        <v>2</v>
      </c>
      <c r="H28">
        <v>21</v>
      </c>
      <c r="J28">
        <f t="shared" si="0"/>
        <v>7917</v>
      </c>
      <c r="L28">
        <f t="shared" si="1"/>
        <v>3.5343749999999998</v>
      </c>
    </row>
  </sheetData>
  <autoFilter ref="B1:P28" xr:uid="{C20D6D79-299E-4BDC-A30E-5252DE375C36}">
    <sortState xmlns:xlrd2="http://schemas.microsoft.com/office/spreadsheetml/2017/richdata2" ref="B2:P28">
      <sortCondition ref="D1:D2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Master Goods Sheet</vt:lpstr>
      <vt:lpstr>Antigua</vt:lpstr>
      <vt:lpstr>Barbados</vt:lpstr>
      <vt:lpstr>Bermuda</vt:lpstr>
      <vt:lpstr>Carolina</vt:lpstr>
      <vt:lpstr>Jamaica</vt:lpstr>
      <vt:lpstr>Mountserat</vt:lpstr>
      <vt:lpstr>Nevis</vt:lpstr>
      <vt:lpstr>St Kitts</vt:lpstr>
      <vt:lpstr>NewEngland</vt:lpstr>
      <vt:lpstr>TotalTons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2024-09-24T19:25:05Z</dcterms:created>
  <dcterms:modified xsi:type="dcterms:W3CDTF">2025-05-01T19:20:23Z</dcterms:modified>
</cp:coreProperties>
</file>