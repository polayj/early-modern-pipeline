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13" documentId="8_{ED647353-180A-4930-8631-A16521A869EA}" xr6:coauthVersionLast="47" xr6:coauthVersionMax="47" xr10:uidLastSave="{DA180BCB-7907-41C9-9C45-B87E68CA9409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Barbados!$A$1:$N$53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H18" i="7"/>
  <c r="H53" i="6"/>
  <c r="H19" i="6"/>
  <c r="H22" i="5"/>
  <c r="H5" i="4"/>
  <c r="H19" i="3"/>
  <c r="H11" i="2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L22" i="5" s="1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L36" i="5" s="1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L19" i="6" s="1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L35" i="6" s="1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L53" i="6" s="1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L34" i="7" s="1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L37" i="8" s="1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8" i="3"/>
  <c r="L30" i="3"/>
  <c r="L31" i="3"/>
  <c r="L33" i="3"/>
  <c r="L34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5" i="3"/>
  <c r="L77" i="3"/>
  <c r="L78" i="3"/>
  <c r="L79" i="3"/>
  <c r="L80" i="3"/>
  <c r="L81" i="3"/>
  <c r="L82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L19" i="3" s="1"/>
  <c r="J20" i="3"/>
  <c r="J21" i="3"/>
  <c r="J22" i="3"/>
  <c r="J23" i="3"/>
  <c r="J24" i="3"/>
  <c r="J25" i="3"/>
  <c r="J26" i="3"/>
  <c r="J27" i="3"/>
  <c r="L27" i="3" s="1"/>
  <c r="J28" i="3"/>
  <c r="J29" i="3"/>
  <c r="L29" i="3" s="1"/>
  <c r="J30" i="3"/>
  <c r="J31" i="3"/>
  <c r="J32" i="3"/>
  <c r="L32" i="3" s="1"/>
  <c r="J33" i="3"/>
  <c r="J34" i="3"/>
  <c r="J35" i="3"/>
  <c r="L35" i="3" s="1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L74" i="3" s="1"/>
  <c r="J75" i="3"/>
  <c r="J76" i="3"/>
  <c r="L76" i="3" s="1"/>
  <c r="J77" i="3"/>
  <c r="J78" i="3"/>
  <c r="J79" i="3"/>
  <c r="J80" i="3"/>
  <c r="J81" i="3"/>
  <c r="J82" i="3"/>
  <c r="J83" i="3"/>
  <c r="L83" i="3" s="1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L3" i="2"/>
  <c r="L4" i="2"/>
  <c r="L5" i="2"/>
  <c r="L6" i="2"/>
  <c r="L7" i="2"/>
  <c r="L8" i="2"/>
  <c r="L9" i="2"/>
  <c r="L10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4" i="2"/>
  <c r="L55" i="2"/>
  <c r="L56" i="2"/>
  <c r="L57" i="2"/>
  <c r="L58" i="2"/>
  <c r="L59" i="2"/>
  <c r="L60" i="2"/>
  <c r="L61" i="2"/>
  <c r="L62" i="2"/>
  <c r="L63" i="2"/>
  <c r="L64" i="2"/>
  <c r="J3" i="2"/>
  <c r="J4" i="2"/>
  <c r="J5" i="2"/>
  <c r="J6" i="2"/>
  <c r="J7" i="2"/>
  <c r="J8" i="2"/>
  <c r="J9" i="2"/>
  <c r="J10" i="2"/>
  <c r="J11" i="2"/>
  <c r="L11" i="2" s="1"/>
  <c r="J12" i="2"/>
  <c r="J13" i="2"/>
  <c r="J14" i="2"/>
  <c r="J15" i="2"/>
  <c r="J16" i="2"/>
  <c r="J17" i="2"/>
  <c r="J18" i="2"/>
  <c r="J19" i="2"/>
  <c r="L19" i="2" s="1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L53" i="2" s="1"/>
  <c r="J54" i="2"/>
  <c r="J55" i="2"/>
  <c r="J56" i="2"/>
  <c r="J57" i="2"/>
  <c r="J58" i="2"/>
  <c r="J59" i="2"/>
  <c r="J60" i="2"/>
  <c r="J61" i="2"/>
  <c r="J62" i="2"/>
  <c r="J63" i="2"/>
  <c r="J64" i="2"/>
  <c r="L10" i="4"/>
  <c r="L11" i="4"/>
  <c r="J10" i="4"/>
  <c r="J11" i="4"/>
  <c r="L18" i="4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2" i="4"/>
  <c r="L12" i="4" s="1"/>
  <c r="J13" i="4"/>
  <c r="L13" i="4" s="1"/>
  <c r="J14" i="4"/>
  <c r="L14" i="4" s="1"/>
  <c r="J15" i="4"/>
  <c r="L15" i="4" s="1"/>
  <c r="J16" i="4"/>
  <c r="L16" i="4" s="1"/>
  <c r="J17" i="4"/>
  <c r="L17" i="4" s="1"/>
  <c r="J18" i="4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21" i="1" l="1"/>
  <c r="D20" i="1"/>
  <c r="D19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<sst xmlns="http://schemas.openxmlformats.org/spreadsheetml/2006/main" count="2183" uniqueCount="152">
  <si>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</si>
  <si>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</si>
  <si>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</si>
  <si>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</si>
  <si>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</si>
  <si>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</si>
  <si>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</si>
  <si>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</si>
  <si>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</si>
  <si>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</si>
  <si>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</si>
  <si>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</si>
  <si>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</si>
  <si>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</si>
  <si>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</si>
  <si>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</si>
  <si>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</si>
  <si>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</si>
  <si>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</si>
  <si>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</si>
  <si>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</si>
  <si>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</si>
  <si>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</si>
  <si>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</si>
  <si>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</si>
  <si>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</si>
  <si>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</si>
  <si>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</si>
  <si>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</si>
  <si>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</si>
  <si>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</si>
  <si>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</si>
  <si>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</si>
  <si>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</si>
  <si>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</si>
  <si>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</si>
  <si>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</si>
  <si>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</si>
  <si>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</si>
  <si>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</si>
  <si>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</si>
  <si>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</si>
  <si>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</si>
  <si>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</si>
  <si>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</si>
  <si>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</si>
  <si>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</si>
  <si>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</si>
  <si>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</si>
  <si>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</si>
  <si>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</si>
  <si>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</si>
  <si>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</si>
  <si>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</si>
  <si>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</si>
  <si>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</si>
  <si>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</si>
  <si>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</si>
  <si>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</si>
  <si>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</si>
  <si>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</si>
  <si>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</si>
  <si>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</si>
  <si>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</si>
  <si>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</si>
  <si>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</si>
  <si>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</si>
  <si>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</si>
  <si>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</si>
  <si>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</si>
  <si>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</si>
  <si>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</si>
  <si>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</si>
  <si>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</si>
  <si>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</si>
  <si>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</si>
  <si>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</si>
  <si>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</si>
  <si>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</si>
  <si>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</si>
  <si>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</si>
  <si>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</si>
  <si>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</si>
  <si>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</si>
  <si>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</si>
  <si>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</si>
  <si>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</si>
  <si>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</si>
  <si>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</si>
  <si>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</si>
  <si>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</si>
  <si>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</si>
  <si>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</si>
  <si>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</si>
  <si>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</si>
  <si>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</si>
  <si>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</si>
  <si>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</si>
  <si>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</si>
  <si>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</si>
  <si>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</si>
  <si>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</si>
  <si>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</si>
  <si>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</si>
  <si>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</si>
  <si>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</si>
  <si>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Balsam, Natural</t>
  </si>
  <si>
    <t>98g</t>
  </si>
  <si>
    <t>30.5g</t>
  </si>
  <si>
    <t>14t 25g</t>
  </si>
  <si>
    <t>693bags</t>
  </si>
  <si>
    <t>3841g</t>
  </si>
  <si>
    <t>104g</t>
  </si>
  <si>
    <t>37829g</t>
  </si>
  <si>
    <t>32t 1h 8g</t>
  </si>
  <si>
    <t>526bags</t>
  </si>
  <si>
    <t>11.5g</t>
  </si>
  <si>
    <t>91g</t>
  </si>
  <si>
    <t>2bags</t>
  </si>
  <si>
    <t>342g</t>
  </si>
  <si>
    <t>19g</t>
  </si>
  <si>
    <t>41413.5g</t>
  </si>
  <si>
    <t>15t 2h 60g</t>
  </si>
  <si>
    <t>388bags</t>
  </si>
  <si>
    <t>163g</t>
  </si>
  <si>
    <t>5g</t>
  </si>
  <si>
    <t>2304g</t>
  </si>
  <si>
    <t>2g</t>
  </si>
  <si>
    <t>31bags</t>
  </si>
  <si>
    <t>3g</t>
  </si>
  <si>
    <t>560.5g</t>
  </si>
  <si>
    <t>1t 2h 12g</t>
  </si>
  <si>
    <t>6.5g</t>
  </si>
  <si>
    <t>5201.5g</t>
  </si>
  <si>
    <t>2t 3h 39g</t>
  </si>
  <si>
    <t>618bags</t>
  </si>
  <si>
    <t>210g</t>
  </si>
  <si>
    <t>1.5g</t>
  </si>
  <si>
    <t>5902g</t>
  </si>
  <si>
    <t>1t 14g</t>
  </si>
  <si>
    <t>520g</t>
  </si>
  <si>
    <t>1g</t>
  </si>
  <si>
    <t>9417g</t>
  </si>
  <si>
    <t>1t 43.5g</t>
  </si>
  <si>
    <t>81g</t>
  </si>
  <si>
    <t>7g</t>
  </si>
  <si>
    <t>14467g</t>
  </si>
  <si>
    <t>2t 2h 54g</t>
  </si>
  <si>
    <t>22g</t>
  </si>
  <si>
    <t>13bags</t>
  </si>
  <si>
    <t>85.75g</t>
  </si>
  <si>
    <t>230.75g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</si>
</sst>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7" sqref="D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5.7142857142857141E-2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5.7142857142857141E-2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4.1281250000000007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4.1281250000000007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25294.273660714287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6744.4125000000004</v>
      </c>
      <c r="D4">
        <f t="shared" si="0"/>
        <v>32038.686160714286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120.38303571428571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9.6058035714285701</v>
      </c>
      <c r="D6">
        <f t="shared" si="0"/>
        <v>129.98883928571428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201.78571428571428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174.88303571428574</v>
      </c>
      <c r="D7">
        <f t="shared" si="0"/>
        <v>376.66875000000005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268.80133928571428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238.74866071428573</v>
      </c>
      <c r="D8">
        <f t="shared" si="0"/>
        <v>507.55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32.627678571428575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18.283928571428575</v>
      </c>
      <c r="D9">
        <f t="shared" si="0"/>
        <v>50.91160714285715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66.910491071428567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61.220089285714288</v>
      </c>
      <c r="D10">
        <f t="shared" si="0"/>
        <v>128.13058035714286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84.15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96.986160714285717</v>
      </c>
      <c r="D11">
        <f t="shared" si="0"/>
        <v>181.13616071428572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19.843750000000004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3.6212053571428569</v>
      </c>
      <c r="D12">
        <f t="shared" si="0"/>
        <v>23.464955357142859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0.84375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9.3549107142857135</v>
      </c>
      <c r="D13">
        <f t="shared" si="0"/>
        <v>10.198660714285714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58.82276785714285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64.051785714285714</v>
      </c>
      <c r="D14">
        <f t="shared" si="0"/>
        <v>122.87455357142856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44.566071428571433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0.25089285714285714</v>
      </c>
      <c r="D15">
        <f t="shared" si="0"/>
        <v>44.816964285714292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389.92098214285716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134.5185267857143</v>
      </c>
      <c r="D16">
        <f t="shared" si="0"/>
        <v>524.43950892857151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6.0098214285714286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1.422767857142857</v>
      </c>
      <c r="D17">
        <f t="shared" si="0"/>
        <v>7.4325892857142861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2.5799107142857149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9.330357142857143E-2</v>
      </c>
      <c r="D18">
        <f t="shared" si="0"/>
        <v>2.6732142857142862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10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3.5535714285714288</v>
      </c>
      <c r="D19">
        <f t="shared" si="0"/>
        <v>13.553571428571429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1.075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0.29776785714285714</v>
      </c>
      <c r="D20">
        <f t="shared" si="0"/>
        <v>1.3727678571428572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0.19196428571428573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0.12232142857142857</v>
      </c>
      <c r="D25">
        <f t="shared" si="0"/>
        <v>0.31428571428571428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75.327232142857127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5.561830357142858</v>
      </c>
      <c r="D26">
        <f t="shared" si="0"/>
        <v>80.88906249999998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1.5</v>
      </c>
      <c r="D27">
        <f t="shared" si="0"/>
        <v>6.5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1167.4348214285715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483.77767857142862</v>
      </c>
      <c r="D28">
        <f t="shared" si="0"/>
        <v>1651.2125000000001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475.31473214285717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516.97991071428567</v>
      </c>
      <c r="D29">
        <f t="shared" si="0"/>
        <v>992.29464285714289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47.751785714285717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76.305357142857133</v>
      </c>
      <c r="D30">
        <f t="shared" si="0"/>
        <v>124.05714285714285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4"/>
  <sheetViews>
    <sheetView workbookViewId="0">
      <selection activeCell="H12" sqref="H12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1727</v>
      </c>
      <c r="B2" t="s">
        <v>38</v>
      </c>
      <c r="C2" t="s">
        <v>55</v>
      </c>
      <c r="D2" t="s">
        <v>33</v>
      </c>
      <c r="J2">
        <f t="shared" ref="J2:J64" si="0">(E2*2240)+(F2*112)+(G2*28)+H2</f>
        <v>0</v>
      </c>
      <c r="L2">
        <f t="shared" ref="L2:L64" si="1">J2/2240</f>
        <v>0</v>
      </c>
    </row>
    <row r="3" spans="1:15" x14ac:dyDescent="0.25">
      <c r="A3">
        <v>1727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1727</v>
      </c>
      <c r="B4" t="s">
        <v>106</v>
      </c>
      <c r="C4" t="s">
        <v>55</v>
      </c>
      <c r="D4" t="s">
        <v>33</v>
      </c>
      <c r="H4">
        <v>604</v>
      </c>
      <c r="J4">
        <f t="shared" si="0"/>
        <v>604</v>
      </c>
      <c r="L4">
        <f t="shared" si="1"/>
        <v>0.26964285714285713</v>
      </c>
    </row>
    <row r="5" spans="1:15" x14ac:dyDescent="0.25">
      <c r="A5">
        <v>1727</v>
      </c>
      <c r="B5" t="s">
        <v>5</v>
      </c>
      <c r="C5" t="s">
        <v>55</v>
      </c>
      <c r="D5" t="s">
        <v>33</v>
      </c>
      <c r="F5">
        <v>69</v>
      </c>
      <c r="J5">
        <f t="shared" si="0"/>
        <v>7728</v>
      </c>
      <c r="L5">
        <f t="shared" si="1"/>
        <v>3.45</v>
      </c>
    </row>
    <row r="6" spans="1:15" x14ac:dyDescent="0.25">
      <c r="A6">
        <v>1727</v>
      </c>
      <c r="B6" t="s">
        <v>6</v>
      </c>
      <c r="C6" t="s">
        <v>55</v>
      </c>
      <c r="D6" t="s">
        <v>33</v>
      </c>
      <c r="F6">
        <v>76941</v>
      </c>
      <c r="H6">
        <v>2</v>
      </c>
      <c r="J6">
        <f t="shared" si="0"/>
        <v>8617394</v>
      </c>
      <c r="L6">
        <f t="shared" si="1"/>
        <v>3847.050892857143</v>
      </c>
    </row>
    <row r="7" spans="1:15" x14ac:dyDescent="0.25">
      <c r="A7">
        <v>1727</v>
      </c>
      <c r="B7" t="s">
        <v>7</v>
      </c>
      <c r="C7" t="s">
        <v>55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1727</v>
      </c>
      <c r="B8" t="s">
        <v>8</v>
      </c>
      <c r="C8" t="s">
        <v>55</v>
      </c>
      <c r="D8" t="s">
        <v>33</v>
      </c>
      <c r="F8">
        <v>1007</v>
      </c>
      <c r="G8">
        <v>1</v>
      </c>
      <c r="H8">
        <v>20</v>
      </c>
      <c r="J8">
        <f t="shared" si="0"/>
        <v>112832</v>
      </c>
      <c r="L8">
        <f t="shared" si="1"/>
        <v>50.371428571428574</v>
      </c>
    </row>
    <row r="9" spans="1:15" x14ac:dyDescent="0.25">
      <c r="A9">
        <v>1727</v>
      </c>
      <c r="B9" t="s">
        <v>81</v>
      </c>
      <c r="C9" t="s">
        <v>55</v>
      </c>
      <c r="D9" t="s">
        <v>33</v>
      </c>
      <c r="H9">
        <v>25606</v>
      </c>
      <c r="J9">
        <f t="shared" si="0"/>
        <v>25606</v>
      </c>
      <c r="L9">
        <f t="shared" si="1"/>
        <v>11.43125</v>
      </c>
    </row>
    <row r="10" spans="1:15" x14ac:dyDescent="0.25">
      <c r="A10">
        <v>1727</v>
      </c>
      <c r="B10" t="s">
        <v>48</v>
      </c>
      <c r="C10" t="s">
        <v>55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1727</v>
      </c>
      <c r="B11" t="s">
        <v>9</v>
      </c>
      <c r="C11" t="s">
        <v>55</v>
      </c>
      <c r="D11" t="s">
        <v>33</v>
      </c>
      <c r="H11">
        <f>693*200</f>
        <v>138600</v>
      </c>
      <c r="I11" t="s">
        <v>110</v>
      </c>
      <c r="J11">
        <f t="shared" si="0"/>
        <v>138600</v>
      </c>
      <c r="L11">
        <f t="shared" si="1"/>
        <v>61.875</v>
      </c>
    </row>
    <row r="12" spans="1:15" x14ac:dyDescent="0.25">
      <c r="A12">
        <v>1727</v>
      </c>
      <c r="B12" t="s">
        <v>10</v>
      </c>
      <c r="C12" t="s">
        <v>55</v>
      </c>
      <c r="D12" t="s">
        <v>33</v>
      </c>
      <c r="F12">
        <v>323</v>
      </c>
      <c r="H12">
        <v>26</v>
      </c>
      <c r="J12">
        <f t="shared" si="0"/>
        <v>36202</v>
      </c>
      <c r="L12">
        <f t="shared" si="1"/>
        <v>16.161607142857143</v>
      </c>
    </row>
    <row r="13" spans="1:15" x14ac:dyDescent="0.25">
      <c r="A13">
        <v>1727</v>
      </c>
      <c r="B13" t="s">
        <v>11</v>
      </c>
      <c r="C13" t="s">
        <v>55</v>
      </c>
      <c r="D13" t="s">
        <v>33</v>
      </c>
      <c r="F13">
        <v>200</v>
      </c>
      <c r="H13">
        <v>17</v>
      </c>
      <c r="J13">
        <f t="shared" si="0"/>
        <v>22417</v>
      </c>
      <c r="L13">
        <f t="shared" si="1"/>
        <v>10.007589285714285</v>
      </c>
    </row>
    <row r="14" spans="1:15" x14ac:dyDescent="0.25">
      <c r="A14">
        <v>1727</v>
      </c>
      <c r="B14" t="s">
        <v>41</v>
      </c>
      <c r="C14" t="s">
        <v>55</v>
      </c>
      <c r="D14" t="s">
        <v>33</v>
      </c>
      <c r="H14">
        <v>6</v>
      </c>
      <c r="J14">
        <f t="shared" si="0"/>
        <v>6</v>
      </c>
      <c r="L14">
        <f t="shared" si="1"/>
        <v>2.6785714285714286E-3</v>
      </c>
    </row>
    <row r="15" spans="1:15" x14ac:dyDescent="0.25">
      <c r="A15">
        <v>1727</v>
      </c>
      <c r="B15" t="s">
        <v>12</v>
      </c>
      <c r="C15" t="s">
        <v>55</v>
      </c>
      <c r="D15" t="s">
        <v>33</v>
      </c>
      <c r="H15">
        <v>7100</v>
      </c>
      <c r="J15">
        <f t="shared" si="0"/>
        <v>7100</v>
      </c>
      <c r="L15">
        <f t="shared" si="1"/>
        <v>3.1696428571428572</v>
      </c>
    </row>
    <row r="16" spans="1:15" x14ac:dyDescent="0.25">
      <c r="A16">
        <v>1727</v>
      </c>
      <c r="B16" t="s">
        <v>34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1727</v>
      </c>
      <c r="B17" t="s">
        <v>13</v>
      </c>
      <c r="C17" t="s">
        <v>55</v>
      </c>
      <c r="D17" t="s">
        <v>33</v>
      </c>
      <c r="E17">
        <v>9</v>
      </c>
      <c r="F17">
        <v>14</v>
      </c>
      <c r="J17">
        <f t="shared" si="0"/>
        <v>21728</v>
      </c>
      <c r="L17">
        <f t="shared" si="1"/>
        <v>9.6999999999999993</v>
      </c>
    </row>
    <row r="18" spans="1:12" x14ac:dyDescent="0.25">
      <c r="A18">
        <v>1727</v>
      </c>
      <c r="B18" t="s">
        <v>14</v>
      </c>
      <c r="C18" t="s">
        <v>55</v>
      </c>
      <c r="D18" t="s">
        <v>33</v>
      </c>
      <c r="H18">
        <v>980</v>
      </c>
      <c r="I18" t="s">
        <v>107</v>
      </c>
      <c r="J18">
        <f t="shared" si="0"/>
        <v>980</v>
      </c>
      <c r="L18">
        <f t="shared" si="1"/>
        <v>0.4375</v>
      </c>
    </row>
    <row r="19" spans="1:12" x14ac:dyDescent="0.25">
      <c r="A19">
        <v>1727</v>
      </c>
      <c r="B19" t="s">
        <v>27</v>
      </c>
      <c r="C19" t="s">
        <v>55</v>
      </c>
      <c r="D19" t="s">
        <v>33</v>
      </c>
      <c r="H19">
        <v>35539</v>
      </c>
      <c r="I19" t="s">
        <v>109</v>
      </c>
      <c r="J19">
        <f t="shared" si="0"/>
        <v>35539</v>
      </c>
      <c r="L19">
        <f t="shared" si="1"/>
        <v>15.865625</v>
      </c>
    </row>
    <row r="20" spans="1:12" x14ac:dyDescent="0.25">
      <c r="A20">
        <v>1727</v>
      </c>
      <c r="B20" t="s">
        <v>15</v>
      </c>
      <c r="C20" t="s">
        <v>55</v>
      </c>
      <c r="D20" t="s">
        <v>33</v>
      </c>
      <c r="F20">
        <v>3</v>
      </c>
      <c r="H20">
        <v>14</v>
      </c>
      <c r="J20">
        <f t="shared" si="0"/>
        <v>350</v>
      </c>
      <c r="L20">
        <f t="shared" si="1"/>
        <v>0.15625</v>
      </c>
    </row>
    <row r="21" spans="1:12" x14ac:dyDescent="0.25">
      <c r="A21">
        <v>1727</v>
      </c>
      <c r="B21" t="s">
        <v>49</v>
      </c>
      <c r="C21" t="s">
        <v>55</v>
      </c>
      <c r="D21" t="s">
        <v>33</v>
      </c>
      <c r="H21">
        <v>305</v>
      </c>
      <c r="I21" t="s">
        <v>108</v>
      </c>
      <c r="J21">
        <f t="shared" si="0"/>
        <v>305</v>
      </c>
      <c r="L21">
        <f t="shared" si="1"/>
        <v>0.13616071428571427</v>
      </c>
    </row>
    <row r="22" spans="1:12" x14ac:dyDescent="0.25">
      <c r="A22">
        <v>1727</v>
      </c>
      <c r="B22" t="s">
        <v>16</v>
      </c>
      <c r="C22" t="s">
        <v>55</v>
      </c>
      <c r="D22" t="s">
        <v>33</v>
      </c>
      <c r="H22">
        <v>100</v>
      </c>
      <c r="J22">
        <f t="shared" si="0"/>
        <v>100</v>
      </c>
      <c r="L22">
        <f t="shared" si="1"/>
        <v>4.4642857142857144E-2</v>
      </c>
    </row>
    <row r="23" spans="1:12" x14ac:dyDescent="0.25">
      <c r="A23">
        <v>1727</v>
      </c>
      <c r="B23" t="s">
        <v>17</v>
      </c>
      <c r="C23" t="s">
        <v>55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1727</v>
      </c>
      <c r="B24" t="s">
        <v>18</v>
      </c>
      <c r="C24" t="s">
        <v>55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1727</v>
      </c>
      <c r="B25" t="s">
        <v>19</v>
      </c>
      <c r="C25" t="s">
        <v>55</v>
      </c>
      <c r="D25" t="s">
        <v>33</v>
      </c>
      <c r="G25">
        <v>1</v>
      </c>
      <c r="H25">
        <v>7</v>
      </c>
      <c r="J25">
        <f t="shared" si="0"/>
        <v>35</v>
      </c>
      <c r="L25">
        <f t="shared" si="1"/>
        <v>1.5625E-2</v>
      </c>
    </row>
    <row r="26" spans="1:12" x14ac:dyDescent="0.25">
      <c r="A26">
        <v>1727</v>
      </c>
      <c r="B26" t="s">
        <v>47</v>
      </c>
      <c r="C26" t="s">
        <v>55</v>
      </c>
      <c r="D26" t="s">
        <v>33</v>
      </c>
      <c r="H26">
        <v>6217</v>
      </c>
      <c r="J26">
        <f t="shared" si="0"/>
        <v>6217</v>
      </c>
      <c r="L26">
        <f t="shared" si="1"/>
        <v>2.7754464285714286</v>
      </c>
    </row>
    <row r="27" spans="1:12" x14ac:dyDescent="0.25">
      <c r="A27">
        <v>1727</v>
      </c>
      <c r="B27" t="s">
        <v>56</v>
      </c>
      <c r="C27" t="s">
        <v>55</v>
      </c>
      <c r="D27" t="s">
        <v>33</v>
      </c>
      <c r="H27">
        <v>934</v>
      </c>
      <c r="J27">
        <f t="shared" si="0"/>
        <v>934</v>
      </c>
      <c r="L27">
        <f t="shared" si="1"/>
        <v>0.41696428571428573</v>
      </c>
    </row>
    <row r="28" spans="1:12" x14ac:dyDescent="0.25">
      <c r="A28">
        <v>1727</v>
      </c>
      <c r="B28" t="s">
        <v>102</v>
      </c>
      <c r="C28" t="s">
        <v>55</v>
      </c>
      <c r="D28" t="s">
        <v>33</v>
      </c>
      <c r="H28">
        <v>16</v>
      </c>
      <c r="J28">
        <f t="shared" si="0"/>
        <v>16</v>
      </c>
      <c r="L28">
        <f t="shared" si="1"/>
        <v>7.1428571428571426E-3</v>
      </c>
    </row>
    <row r="29" spans="1:12" x14ac:dyDescent="0.25">
      <c r="A29">
        <v>1727</v>
      </c>
      <c r="B29" t="s">
        <v>20</v>
      </c>
      <c r="C29" t="s">
        <v>55</v>
      </c>
      <c r="D29" t="s">
        <v>33</v>
      </c>
      <c r="H29">
        <v>22000</v>
      </c>
      <c r="J29">
        <f t="shared" si="0"/>
        <v>22000</v>
      </c>
      <c r="L29">
        <f t="shared" si="1"/>
        <v>9.8214285714285712</v>
      </c>
    </row>
    <row r="30" spans="1:12" x14ac:dyDescent="0.25">
      <c r="A30">
        <v>1727</v>
      </c>
      <c r="B30" t="s">
        <v>21</v>
      </c>
      <c r="C30" t="s">
        <v>55</v>
      </c>
      <c r="D30" t="s">
        <v>33</v>
      </c>
      <c r="H30">
        <v>68</v>
      </c>
      <c r="J30">
        <f t="shared" si="0"/>
        <v>68</v>
      </c>
      <c r="L30">
        <f t="shared" si="1"/>
        <v>3.0357142857142857E-2</v>
      </c>
    </row>
    <row r="31" spans="1:12" x14ac:dyDescent="0.25">
      <c r="A31">
        <v>1727</v>
      </c>
      <c r="B31" t="s">
        <v>94</v>
      </c>
      <c r="C31" t="s">
        <v>55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1727</v>
      </c>
      <c r="B32" t="s">
        <v>22</v>
      </c>
      <c r="C32" t="s">
        <v>55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1727</v>
      </c>
      <c r="B33" t="s">
        <v>64</v>
      </c>
      <c r="C33" t="s">
        <v>55</v>
      </c>
      <c r="D33" t="s">
        <v>33</v>
      </c>
      <c r="E33">
        <v>175</v>
      </c>
      <c r="F33">
        <v>8</v>
      </c>
      <c r="G33">
        <v>2</v>
      </c>
      <c r="H33">
        <v>14</v>
      </c>
      <c r="J33">
        <f t="shared" si="0"/>
        <v>392966</v>
      </c>
      <c r="L33">
        <f t="shared" si="1"/>
        <v>175.43125000000001</v>
      </c>
    </row>
    <row r="34" spans="1:12" x14ac:dyDescent="0.25">
      <c r="A34">
        <v>1727</v>
      </c>
      <c r="B34" t="s">
        <v>93</v>
      </c>
      <c r="C34" t="s">
        <v>55</v>
      </c>
      <c r="D34" t="s">
        <v>33</v>
      </c>
      <c r="F34">
        <v>2</v>
      </c>
      <c r="G34">
        <v>7</v>
      </c>
      <c r="H34">
        <v>2</v>
      </c>
      <c r="J34">
        <f t="shared" si="0"/>
        <v>422</v>
      </c>
      <c r="L34">
        <f t="shared" si="1"/>
        <v>0.18839285714285714</v>
      </c>
    </row>
    <row r="35" spans="1:12" x14ac:dyDescent="0.25">
      <c r="A35">
        <v>1727</v>
      </c>
      <c r="B35" t="s">
        <v>66</v>
      </c>
      <c r="C35" t="s">
        <v>55</v>
      </c>
      <c r="D35" t="s">
        <v>33</v>
      </c>
      <c r="F35">
        <v>19</v>
      </c>
      <c r="G35">
        <v>10</v>
      </c>
      <c r="J35">
        <f t="shared" si="0"/>
        <v>2408</v>
      </c>
      <c r="L35">
        <f t="shared" si="1"/>
        <v>1.075</v>
      </c>
    </row>
    <row r="36" spans="1:12" x14ac:dyDescent="0.25">
      <c r="A36">
        <v>1727</v>
      </c>
      <c r="B36" t="s">
        <v>5</v>
      </c>
      <c r="C36" t="s">
        <v>55</v>
      </c>
      <c r="D36" t="s">
        <v>35</v>
      </c>
      <c r="J36">
        <f t="shared" si="0"/>
        <v>0</v>
      </c>
      <c r="L36">
        <f t="shared" si="1"/>
        <v>0</v>
      </c>
    </row>
    <row r="37" spans="1:12" x14ac:dyDescent="0.25">
      <c r="A37">
        <v>1727</v>
      </c>
      <c r="B37" t="s">
        <v>6</v>
      </c>
      <c r="C37" t="s">
        <v>55</v>
      </c>
      <c r="D37" t="s">
        <v>35</v>
      </c>
      <c r="F37">
        <v>19171</v>
      </c>
      <c r="H37">
        <v>23</v>
      </c>
      <c r="J37">
        <f t="shared" si="0"/>
        <v>2147175</v>
      </c>
      <c r="L37">
        <f t="shared" si="1"/>
        <v>958.56026785714289</v>
      </c>
    </row>
    <row r="38" spans="1:12" x14ac:dyDescent="0.25">
      <c r="A38">
        <v>1727</v>
      </c>
      <c r="B38" t="s">
        <v>37</v>
      </c>
      <c r="C38" t="s">
        <v>55</v>
      </c>
      <c r="D38" t="s">
        <v>35</v>
      </c>
      <c r="J38">
        <f t="shared" si="0"/>
        <v>0</v>
      </c>
      <c r="L38">
        <f t="shared" si="1"/>
        <v>0</v>
      </c>
    </row>
    <row r="39" spans="1:12" x14ac:dyDescent="0.25">
      <c r="A39">
        <v>1727</v>
      </c>
      <c r="B39" t="s">
        <v>8</v>
      </c>
      <c r="C39" t="s">
        <v>55</v>
      </c>
      <c r="D39" t="s">
        <v>35</v>
      </c>
      <c r="F39">
        <v>19</v>
      </c>
      <c r="G39">
        <v>1</v>
      </c>
      <c r="H39">
        <v>3</v>
      </c>
      <c r="J39">
        <f t="shared" si="0"/>
        <v>2159</v>
      </c>
      <c r="L39">
        <f t="shared" si="1"/>
        <v>0.96383928571428568</v>
      </c>
    </row>
    <row r="40" spans="1:12" x14ac:dyDescent="0.25">
      <c r="A40">
        <v>1727</v>
      </c>
      <c r="B40" t="s">
        <v>9</v>
      </c>
      <c r="C40" t="s">
        <v>55</v>
      </c>
      <c r="D40" t="s">
        <v>35</v>
      </c>
      <c r="F40">
        <v>1430</v>
      </c>
      <c r="G40">
        <v>1</v>
      </c>
      <c r="H40">
        <v>3</v>
      </c>
      <c r="J40">
        <f t="shared" si="0"/>
        <v>160191</v>
      </c>
      <c r="L40">
        <f t="shared" si="1"/>
        <v>71.513839285714283</v>
      </c>
    </row>
    <row r="41" spans="1:12" x14ac:dyDescent="0.25">
      <c r="A41">
        <v>1727</v>
      </c>
      <c r="B41" t="s">
        <v>10</v>
      </c>
      <c r="C41" t="s">
        <v>55</v>
      </c>
      <c r="D41" t="s">
        <v>35</v>
      </c>
      <c r="F41">
        <v>527</v>
      </c>
      <c r="G41">
        <v>2</v>
      </c>
      <c r="J41">
        <f t="shared" si="0"/>
        <v>59080</v>
      </c>
      <c r="L41">
        <f t="shared" si="1"/>
        <v>26.375</v>
      </c>
    </row>
    <row r="42" spans="1:12" x14ac:dyDescent="0.25">
      <c r="A42">
        <v>1727</v>
      </c>
      <c r="B42" t="s">
        <v>11</v>
      </c>
      <c r="C42" t="s">
        <v>55</v>
      </c>
      <c r="D42" t="s">
        <v>35</v>
      </c>
      <c r="F42">
        <v>2</v>
      </c>
      <c r="G42">
        <v>3</v>
      </c>
      <c r="H42">
        <v>8</v>
      </c>
      <c r="J42">
        <f t="shared" si="0"/>
        <v>316</v>
      </c>
      <c r="L42">
        <f t="shared" si="1"/>
        <v>0.14107142857142857</v>
      </c>
    </row>
    <row r="43" spans="1:12" x14ac:dyDescent="0.25">
      <c r="A43">
        <v>1727</v>
      </c>
      <c r="B43" t="s">
        <v>36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1727</v>
      </c>
      <c r="B44" t="s">
        <v>41</v>
      </c>
      <c r="C44" t="s">
        <v>55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1727</v>
      </c>
      <c r="B45" t="s">
        <v>12</v>
      </c>
      <c r="C45" t="s">
        <v>55</v>
      </c>
      <c r="D45" t="s">
        <v>35</v>
      </c>
      <c r="H45">
        <v>255</v>
      </c>
      <c r="J45">
        <f t="shared" si="0"/>
        <v>255</v>
      </c>
      <c r="L45">
        <f t="shared" si="1"/>
        <v>0.11383928571428571</v>
      </c>
    </row>
    <row r="46" spans="1:12" x14ac:dyDescent="0.25">
      <c r="A46">
        <v>1727</v>
      </c>
      <c r="B46" t="s">
        <v>13</v>
      </c>
      <c r="C46" t="s">
        <v>55</v>
      </c>
      <c r="D46" t="s">
        <v>35</v>
      </c>
      <c r="F46">
        <v>1411</v>
      </c>
      <c r="G46">
        <v>2</v>
      </c>
      <c r="H46">
        <v>16</v>
      </c>
      <c r="J46">
        <f t="shared" si="0"/>
        <v>158104</v>
      </c>
      <c r="L46">
        <f t="shared" si="1"/>
        <v>70.582142857142856</v>
      </c>
    </row>
    <row r="47" spans="1:12" x14ac:dyDescent="0.25">
      <c r="A47">
        <v>1727</v>
      </c>
      <c r="B47" t="s">
        <v>14</v>
      </c>
      <c r="C47" t="s">
        <v>55</v>
      </c>
      <c r="D47" t="s">
        <v>35</v>
      </c>
      <c r="H47">
        <v>2100.5</v>
      </c>
      <c r="I47" t="s">
        <v>136</v>
      </c>
      <c r="J47">
        <f t="shared" si="0"/>
        <v>2100.5</v>
      </c>
      <c r="L47">
        <f t="shared" si="1"/>
        <v>0.93772321428571426</v>
      </c>
    </row>
    <row r="48" spans="1:12" x14ac:dyDescent="0.25">
      <c r="A48">
        <v>1727</v>
      </c>
      <c r="B48" t="s">
        <v>27</v>
      </c>
      <c r="C48" t="s">
        <v>55</v>
      </c>
      <c r="D48" t="s">
        <v>35</v>
      </c>
      <c r="H48">
        <v>2660.5</v>
      </c>
      <c r="I48" t="s">
        <v>139</v>
      </c>
      <c r="J48">
        <f t="shared" si="0"/>
        <v>2660.5</v>
      </c>
      <c r="L48">
        <f t="shared" si="1"/>
        <v>1.1877232142857144</v>
      </c>
    </row>
    <row r="49" spans="1:12" x14ac:dyDescent="0.25">
      <c r="A49">
        <v>1727</v>
      </c>
      <c r="B49" t="s">
        <v>15</v>
      </c>
      <c r="C49" t="s">
        <v>55</v>
      </c>
      <c r="D49" t="s">
        <v>35</v>
      </c>
      <c r="F49">
        <v>183</v>
      </c>
      <c r="H49">
        <v>2</v>
      </c>
      <c r="J49">
        <f t="shared" si="0"/>
        <v>20498</v>
      </c>
      <c r="L49">
        <f t="shared" si="1"/>
        <v>9.1508928571428569</v>
      </c>
    </row>
    <row r="50" spans="1:12" x14ac:dyDescent="0.25">
      <c r="A50">
        <v>1727</v>
      </c>
      <c r="B50" t="s">
        <v>49</v>
      </c>
      <c r="C50" t="s">
        <v>55</v>
      </c>
      <c r="D50" t="s">
        <v>35</v>
      </c>
      <c r="H50">
        <v>15</v>
      </c>
      <c r="I50" t="s">
        <v>137</v>
      </c>
      <c r="J50">
        <f t="shared" si="0"/>
        <v>15</v>
      </c>
      <c r="L50">
        <f t="shared" si="1"/>
        <v>6.6964285714285711E-3</v>
      </c>
    </row>
    <row r="51" spans="1:12" x14ac:dyDescent="0.25">
      <c r="A51">
        <v>1727</v>
      </c>
      <c r="B51" t="s">
        <v>16</v>
      </c>
      <c r="C51" t="s">
        <v>55</v>
      </c>
      <c r="D51" t="s">
        <v>35</v>
      </c>
      <c r="H51">
        <v>1414</v>
      </c>
      <c r="J51">
        <f t="shared" si="0"/>
        <v>1414</v>
      </c>
      <c r="L51">
        <f t="shared" si="1"/>
        <v>0.63124999999999998</v>
      </c>
    </row>
    <row r="52" spans="1:12" x14ac:dyDescent="0.25">
      <c r="A52">
        <v>1727</v>
      </c>
      <c r="B52" t="s">
        <v>17</v>
      </c>
      <c r="C52" t="s">
        <v>55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1727</v>
      </c>
      <c r="B53" t="s">
        <v>18</v>
      </c>
      <c r="C53" t="s">
        <v>55</v>
      </c>
      <c r="D53" t="s">
        <v>35</v>
      </c>
      <c r="H53">
        <v>59035</v>
      </c>
      <c r="I53" t="s">
        <v>138</v>
      </c>
      <c r="J53">
        <f t="shared" si="0"/>
        <v>59035</v>
      </c>
      <c r="L53">
        <f t="shared" si="1"/>
        <v>26.354910714285715</v>
      </c>
    </row>
    <row r="54" spans="1:12" x14ac:dyDescent="0.25">
      <c r="A54">
        <v>1727</v>
      </c>
      <c r="B54" t="s">
        <v>19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1727</v>
      </c>
      <c r="B55" t="s">
        <v>56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1727</v>
      </c>
      <c r="B56" t="s">
        <v>102</v>
      </c>
      <c r="C56" t="s">
        <v>55</v>
      </c>
      <c r="D56" t="s">
        <v>35</v>
      </c>
      <c r="H56">
        <v>20</v>
      </c>
      <c r="J56">
        <f t="shared" si="0"/>
        <v>20</v>
      </c>
      <c r="L56">
        <f t="shared" si="1"/>
        <v>8.9285714285714281E-3</v>
      </c>
    </row>
    <row r="57" spans="1:12" x14ac:dyDescent="0.25">
      <c r="A57">
        <v>1727</v>
      </c>
      <c r="B57" t="s">
        <v>20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1727</v>
      </c>
      <c r="B58" t="s">
        <v>21</v>
      </c>
      <c r="C58" t="s">
        <v>55</v>
      </c>
      <c r="D58" t="s">
        <v>35</v>
      </c>
      <c r="H58">
        <v>16</v>
      </c>
      <c r="J58">
        <f t="shared" si="0"/>
        <v>16</v>
      </c>
      <c r="L58">
        <f t="shared" si="1"/>
        <v>7.1428571428571426E-3</v>
      </c>
    </row>
    <row r="59" spans="1:12" x14ac:dyDescent="0.25">
      <c r="A59">
        <v>1727</v>
      </c>
      <c r="B59" t="s">
        <v>95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1727</v>
      </c>
      <c r="B60" t="s">
        <v>22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1727</v>
      </c>
      <c r="B61" t="s">
        <v>63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1727</v>
      </c>
      <c r="B62" t="s">
        <v>96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1727</v>
      </c>
      <c r="B63" t="s">
        <v>64</v>
      </c>
      <c r="C63" t="s">
        <v>55</v>
      </c>
      <c r="D63" t="s">
        <v>35</v>
      </c>
      <c r="E63">
        <v>134</v>
      </c>
      <c r="F63">
        <v>4</v>
      </c>
      <c r="G63">
        <v>2</v>
      </c>
      <c r="H63">
        <v>2</v>
      </c>
      <c r="J63">
        <f t="shared" si="0"/>
        <v>300666</v>
      </c>
      <c r="L63">
        <f t="shared" si="1"/>
        <v>134.22589285714287</v>
      </c>
    </row>
    <row r="64" spans="1:12" x14ac:dyDescent="0.25">
      <c r="A64">
        <v>1727</v>
      </c>
      <c r="B64" t="s">
        <v>65</v>
      </c>
      <c r="C64" t="s">
        <v>55</v>
      </c>
      <c r="D64" t="s">
        <v>35</v>
      </c>
      <c r="J64">
        <f t="shared" si="0"/>
        <v>0</v>
      </c>
      <c r="L64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8"/>
  <sheetViews>
    <sheetView topLeftCell="A19"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1727</v>
      </c>
      <c r="B2" t="s">
        <v>57</v>
      </c>
      <c r="C2" t="s">
        <v>58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1727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1727</v>
      </c>
      <c r="B4" t="s">
        <v>38</v>
      </c>
      <c r="C4" t="s">
        <v>58</v>
      </c>
      <c r="D4" t="s">
        <v>33</v>
      </c>
      <c r="H4">
        <v>7444</v>
      </c>
      <c r="J4">
        <f t="shared" si="0"/>
        <v>7444</v>
      </c>
      <c r="L4">
        <f t="shared" si="1"/>
        <v>3.3232142857142857</v>
      </c>
    </row>
    <row r="5" spans="1:12" x14ac:dyDescent="0.25">
      <c r="A5">
        <v>1727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1727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1727</v>
      </c>
      <c r="B7" t="s">
        <v>97</v>
      </c>
      <c r="C7" t="s">
        <v>58</v>
      </c>
      <c r="D7" t="s">
        <v>33</v>
      </c>
      <c r="H7">
        <v>634</v>
      </c>
      <c r="J7">
        <f t="shared" si="0"/>
        <v>634</v>
      </c>
      <c r="L7">
        <f t="shared" si="1"/>
        <v>0.28303571428571428</v>
      </c>
    </row>
    <row r="8" spans="1:12" x14ac:dyDescent="0.25">
      <c r="A8">
        <v>1727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1727</v>
      </c>
      <c r="B9" t="s">
        <v>5</v>
      </c>
      <c r="C9" t="s">
        <v>58</v>
      </c>
      <c r="D9" t="s">
        <v>33</v>
      </c>
      <c r="F9">
        <v>1</v>
      </c>
      <c r="H9">
        <v>5</v>
      </c>
      <c r="J9">
        <f t="shared" si="0"/>
        <v>117</v>
      </c>
      <c r="L9">
        <f t="shared" si="1"/>
        <v>5.2232142857142859E-2</v>
      </c>
    </row>
    <row r="10" spans="1:12" x14ac:dyDescent="0.25">
      <c r="A10">
        <v>1727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1727</v>
      </c>
      <c r="B11" t="s">
        <v>6</v>
      </c>
      <c r="C11" t="s">
        <v>58</v>
      </c>
      <c r="D11" t="s">
        <v>33</v>
      </c>
      <c r="F11">
        <v>122730</v>
      </c>
      <c r="H11">
        <v>17</v>
      </c>
      <c r="J11">
        <f t="shared" si="0"/>
        <v>13745777</v>
      </c>
      <c r="L11">
        <f t="shared" si="1"/>
        <v>6136.5075892857139</v>
      </c>
    </row>
    <row r="12" spans="1:12" x14ac:dyDescent="0.25">
      <c r="A12">
        <v>1727</v>
      </c>
      <c r="B12" t="s">
        <v>62</v>
      </c>
      <c r="C12" t="s">
        <v>58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1727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1727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1727</v>
      </c>
      <c r="B15" t="s">
        <v>8</v>
      </c>
      <c r="C15" t="s">
        <v>58</v>
      </c>
      <c r="D15" t="s">
        <v>33</v>
      </c>
      <c r="F15">
        <v>270</v>
      </c>
      <c r="H15">
        <v>20</v>
      </c>
      <c r="J15">
        <f t="shared" si="0"/>
        <v>30260</v>
      </c>
      <c r="L15">
        <f t="shared" si="1"/>
        <v>13.508928571428571</v>
      </c>
    </row>
    <row r="16" spans="1:12" x14ac:dyDescent="0.25">
      <c r="A16">
        <v>1727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1727</v>
      </c>
      <c r="B17" t="s">
        <v>80</v>
      </c>
      <c r="C17" t="s">
        <v>58</v>
      </c>
      <c r="D17" t="s">
        <v>33</v>
      </c>
      <c r="H17">
        <v>11</v>
      </c>
      <c r="J17">
        <f t="shared" si="0"/>
        <v>11</v>
      </c>
      <c r="L17">
        <f t="shared" si="1"/>
        <v>4.9107142857142856E-3</v>
      </c>
    </row>
    <row r="18" spans="1:12" x14ac:dyDescent="0.25">
      <c r="A18">
        <v>1727</v>
      </c>
      <c r="B18" t="s">
        <v>81</v>
      </c>
      <c r="C18" t="s">
        <v>58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1727</v>
      </c>
      <c r="B19" t="s">
        <v>9</v>
      </c>
      <c r="C19" t="s">
        <v>58</v>
      </c>
      <c r="D19" t="s">
        <v>33</v>
      </c>
      <c r="H19">
        <f>526*200</f>
        <v>105200</v>
      </c>
      <c r="I19" t="s">
        <v>115</v>
      </c>
      <c r="J19">
        <f t="shared" si="0"/>
        <v>105200</v>
      </c>
      <c r="L19">
        <f t="shared" si="1"/>
        <v>46.964285714285715</v>
      </c>
    </row>
    <row r="20" spans="1:12" x14ac:dyDescent="0.25">
      <c r="A20">
        <v>1727</v>
      </c>
      <c r="B20" t="s">
        <v>10</v>
      </c>
      <c r="C20" t="s">
        <v>58</v>
      </c>
      <c r="D20" t="s">
        <v>33</v>
      </c>
      <c r="F20">
        <v>2023</v>
      </c>
      <c r="G20">
        <v>3</v>
      </c>
      <c r="H20">
        <v>25</v>
      </c>
      <c r="J20">
        <f t="shared" si="0"/>
        <v>226685</v>
      </c>
      <c r="L20">
        <f t="shared" si="1"/>
        <v>101.19866071428571</v>
      </c>
    </row>
    <row r="21" spans="1:12" x14ac:dyDescent="0.25">
      <c r="A21">
        <v>1727</v>
      </c>
      <c r="B21" t="s">
        <v>11</v>
      </c>
      <c r="C21" t="s">
        <v>58</v>
      </c>
      <c r="D21" t="s">
        <v>33</v>
      </c>
      <c r="F21">
        <v>264</v>
      </c>
      <c r="G21">
        <v>1</v>
      </c>
      <c r="H21">
        <v>8</v>
      </c>
      <c r="J21">
        <f t="shared" si="0"/>
        <v>29604</v>
      </c>
      <c r="L21">
        <f t="shared" si="1"/>
        <v>13.216071428571428</v>
      </c>
    </row>
    <row r="22" spans="1:12" x14ac:dyDescent="0.25">
      <c r="A22">
        <v>1727</v>
      </c>
      <c r="B22" t="s">
        <v>41</v>
      </c>
      <c r="C22" t="s">
        <v>58</v>
      </c>
      <c r="D22" t="s">
        <v>33</v>
      </c>
      <c r="H22">
        <v>727</v>
      </c>
      <c r="J22">
        <f t="shared" si="0"/>
        <v>727</v>
      </c>
      <c r="L22">
        <f t="shared" si="1"/>
        <v>0.32455357142857144</v>
      </c>
    </row>
    <row r="23" spans="1:12" x14ac:dyDescent="0.25">
      <c r="A23">
        <v>1727</v>
      </c>
      <c r="B23" t="s">
        <v>46</v>
      </c>
      <c r="C23" t="s">
        <v>58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1727</v>
      </c>
      <c r="B24" t="s">
        <v>12</v>
      </c>
      <c r="C24" t="s">
        <v>58</v>
      </c>
      <c r="D24" t="s">
        <v>33</v>
      </c>
      <c r="H24">
        <v>1160</v>
      </c>
      <c r="J24">
        <f t="shared" si="0"/>
        <v>1160</v>
      </c>
      <c r="L24">
        <f t="shared" si="1"/>
        <v>0.5178571428571429</v>
      </c>
    </row>
    <row r="25" spans="1:12" x14ac:dyDescent="0.25">
      <c r="A25">
        <v>1727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1727</v>
      </c>
      <c r="B26" t="s">
        <v>13</v>
      </c>
      <c r="C26" t="s">
        <v>58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1727</v>
      </c>
      <c r="B27" t="s">
        <v>14</v>
      </c>
      <c r="C27" t="s">
        <v>58</v>
      </c>
      <c r="D27" t="s">
        <v>33</v>
      </c>
      <c r="H27">
        <v>38420</v>
      </c>
      <c r="I27" t="s">
        <v>111</v>
      </c>
      <c r="J27">
        <f t="shared" si="0"/>
        <v>38420</v>
      </c>
      <c r="L27">
        <f t="shared" si="1"/>
        <v>17.151785714285715</v>
      </c>
    </row>
    <row r="28" spans="1:12" x14ac:dyDescent="0.25">
      <c r="A28">
        <v>1727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1727</v>
      </c>
      <c r="B29" t="s">
        <v>27</v>
      </c>
      <c r="C29" t="s">
        <v>58</v>
      </c>
      <c r="D29" t="s">
        <v>33</v>
      </c>
      <c r="H29">
        <v>81371</v>
      </c>
      <c r="I29" t="s">
        <v>114</v>
      </c>
      <c r="J29">
        <f t="shared" si="0"/>
        <v>81371</v>
      </c>
      <c r="L29">
        <f t="shared" si="1"/>
        <v>36.326339285714283</v>
      </c>
    </row>
    <row r="30" spans="1:12" x14ac:dyDescent="0.25">
      <c r="A30">
        <v>1727</v>
      </c>
      <c r="B30" t="s">
        <v>15</v>
      </c>
      <c r="C30" t="s">
        <v>58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1727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1727</v>
      </c>
      <c r="B32" t="s">
        <v>49</v>
      </c>
      <c r="C32" t="s">
        <v>58</v>
      </c>
      <c r="D32" t="s">
        <v>33</v>
      </c>
      <c r="H32">
        <v>1040</v>
      </c>
      <c r="I32" t="s">
        <v>112</v>
      </c>
      <c r="J32">
        <f t="shared" si="0"/>
        <v>1040</v>
      </c>
      <c r="L32">
        <f t="shared" si="1"/>
        <v>0.4642857142857143</v>
      </c>
    </row>
    <row r="33" spans="1:12" x14ac:dyDescent="0.25">
      <c r="A33">
        <v>1727</v>
      </c>
      <c r="B33" t="s">
        <v>16</v>
      </c>
      <c r="C33" t="s">
        <v>58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1727</v>
      </c>
      <c r="B34" t="s">
        <v>17</v>
      </c>
      <c r="C34" t="s">
        <v>58</v>
      </c>
      <c r="D34" t="s">
        <v>33</v>
      </c>
      <c r="H34">
        <v>120</v>
      </c>
      <c r="J34">
        <f t="shared" si="0"/>
        <v>120</v>
      </c>
      <c r="L34">
        <f t="shared" si="1"/>
        <v>5.3571428571428568E-2</v>
      </c>
    </row>
    <row r="35" spans="1:12" x14ac:dyDescent="0.25">
      <c r="A35">
        <v>1727</v>
      </c>
      <c r="B35" t="s">
        <v>18</v>
      </c>
      <c r="C35" t="s">
        <v>58</v>
      </c>
      <c r="D35" t="s">
        <v>33</v>
      </c>
      <c r="H35">
        <v>378387</v>
      </c>
      <c r="I35" t="s">
        <v>113</v>
      </c>
      <c r="J35">
        <f t="shared" si="0"/>
        <v>378387</v>
      </c>
      <c r="L35">
        <f t="shared" si="1"/>
        <v>168.92276785714284</v>
      </c>
    </row>
    <row r="36" spans="1:12" x14ac:dyDescent="0.25">
      <c r="A36">
        <v>1727</v>
      </c>
      <c r="B36" t="s">
        <v>26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1727</v>
      </c>
      <c r="B37" t="s">
        <v>19</v>
      </c>
      <c r="C37" t="s">
        <v>58</v>
      </c>
      <c r="D37" t="s">
        <v>33</v>
      </c>
      <c r="F37">
        <v>27</v>
      </c>
      <c r="G37">
        <v>2</v>
      </c>
      <c r="J37">
        <f t="shared" si="0"/>
        <v>3080</v>
      </c>
      <c r="L37">
        <f t="shared" si="1"/>
        <v>1.375</v>
      </c>
    </row>
    <row r="38" spans="1:12" x14ac:dyDescent="0.25">
      <c r="A38">
        <v>1727</v>
      </c>
      <c r="B38" t="s">
        <v>47</v>
      </c>
      <c r="C38" t="s">
        <v>58</v>
      </c>
      <c r="D38" t="s">
        <v>33</v>
      </c>
      <c r="H38">
        <v>2</v>
      </c>
      <c r="J38">
        <f t="shared" si="0"/>
        <v>2</v>
      </c>
      <c r="L38">
        <f t="shared" si="1"/>
        <v>8.9285714285714283E-4</v>
      </c>
    </row>
    <row r="39" spans="1:12" x14ac:dyDescent="0.25">
      <c r="A39">
        <v>1727</v>
      </c>
      <c r="B39" t="s">
        <v>56</v>
      </c>
      <c r="C39" t="s">
        <v>58</v>
      </c>
      <c r="D39" t="s">
        <v>33</v>
      </c>
      <c r="H39">
        <v>2865</v>
      </c>
      <c r="J39">
        <f t="shared" si="0"/>
        <v>2865</v>
      </c>
      <c r="L39">
        <f t="shared" si="1"/>
        <v>1.2790178571428572</v>
      </c>
    </row>
    <row r="40" spans="1:12" x14ac:dyDescent="0.25">
      <c r="A40">
        <v>1727</v>
      </c>
      <c r="B40" t="s">
        <v>102</v>
      </c>
      <c r="C40" t="s">
        <v>58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1727</v>
      </c>
      <c r="B41" t="s">
        <v>20</v>
      </c>
      <c r="C41" t="s">
        <v>58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1727</v>
      </c>
      <c r="B42" t="s">
        <v>21</v>
      </c>
      <c r="C42" t="s">
        <v>58</v>
      </c>
      <c r="D42" t="s">
        <v>33</v>
      </c>
      <c r="H42">
        <v>34</v>
      </c>
      <c r="J42">
        <f t="shared" si="0"/>
        <v>34</v>
      </c>
      <c r="L42">
        <f t="shared" si="1"/>
        <v>1.5178571428571428E-2</v>
      </c>
    </row>
    <row r="43" spans="1:12" x14ac:dyDescent="0.25">
      <c r="A43">
        <v>1727</v>
      </c>
      <c r="B43" t="s">
        <v>22</v>
      </c>
      <c r="C43" t="s">
        <v>58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1727</v>
      </c>
      <c r="B44" t="s">
        <v>63</v>
      </c>
      <c r="C44" t="s">
        <v>58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1727</v>
      </c>
      <c r="B45" t="s">
        <v>64</v>
      </c>
      <c r="C45" t="s">
        <v>58</v>
      </c>
      <c r="D45" t="s">
        <v>33</v>
      </c>
      <c r="E45">
        <v>358</v>
      </c>
      <c r="F45">
        <v>3</v>
      </c>
      <c r="G45">
        <v>1</v>
      </c>
      <c r="H45">
        <v>15</v>
      </c>
      <c r="J45">
        <f t="shared" si="0"/>
        <v>802299</v>
      </c>
      <c r="L45">
        <f t="shared" si="1"/>
        <v>358.16919642857141</v>
      </c>
    </row>
    <row r="46" spans="1:12" x14ac:dyDescent="0.25">
      <c r="A46">
        <v>1727</v>
      </c>
      <c r="B46" t="s">
        <v>65</v>
      </c>
      <c r="C46" t="s">
        <v>58</v>
      </c>
      <c r="D46" t="s">
        <v>33</v>
      </c>
      <c r="E46">
        <v>123</v>
      </c>
      <c r="J46">
        <f t="shared" si="0"/>
        <v>275520</v>
      </c>
      <c r="L46">
        <f t="shared" si="1"/>
        <v>123</v>
      </c>
    </row>
    <row r="47" spans="1:12" x14ac:dyDescent="0.25">
      <c r="A47">
        <v>1727</v>
      </c>
      <c r="B47" t="s">
        <v>73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1727</v>
      </c>
      <c r="B48" t="s">
        <v>66</v>
      </c>
      <c r="C48" t="s">
        <v>58</v>
      </c>
      <c r="D48" t="s">
        <v>33</v>
      </c>
      <c r="F48">
        <v>2</v>
      </c>
      <c r="G48">
        <v>2</v>
      </c>
      <c r="H48">
        <v>4</v>
      </c>
      <c r="J48">
        <f t="shared" si="0"/>
        <v>284</v>
      </c>
      <c r="L48">
        <f t="shared" si="1"/>
        <v>0.12678571428571428</v>
      </c>
    </row>
    <row r="49" spans="1:12" x14ac:dyDescent="0.25">
      <c r="A49">
        <v>1727</v>
      </c>
      <c r="B49" t="s">
        <v>67</v>
      </c>
      <c r="C49" t="s">
        <v>58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1727</v>
      </c>
      <c r="B50" t="s">
        <v>57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1727</v>
      </c>
      <c r="B51" t="s">
        <v>59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1727</v>
      </c>
      <c r="B52" t="s">
        <v>38</v>
      </c>
      <c r="C52" t="s">
        <v>58</v>
      </c>
      <c r="D52" t="s">
        <v>35</v>
      </c>
      <c r="H52">
        <v>2323</v>
      </c>
      <c r="J52">
        <f t="shared" si="0"/>
        <v>2323</v>
      </c>
      <c r="L52">
        <f t="shared" si="1"/>
        <v>1.0370535714285714</v>
      </c>
    </row>
    <row r="53" spans="1:12" x14ac:dyDescent="0.25">
      <c r="A53">
        <v>1727</v>
      </c>
      <c r="B53" t="s">
        <v>4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1727</v>
      </c>
      <c r="B54" t="s">
        <v>60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1727</v>
      </c>
      <c r="B55" t="s">
        <v>97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1727</v>
      </c>
      <c r="B56" t="s">
        <v>45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1727</v>
      </c>
      <c r="B57" t="s">
        <v>5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1727</v>
      </c>
      <c r="B58" t="s">
        <v>61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1727</v>
      </c>
      <c r="B59" t="s">
        <v>6</v>
      </c>
      <c r="C59" t="s">
        <v>58</v>
      </c>
      <c r="D59" t="s">
        <v>35</v>
      </c>
      <c r="F59">
        <v>41283</v>
      </c>
      <c r="G59">
        <v>1</v>
      </c>
      <c r="H59">
        <v>21</v>
      </c>
      <c r="J59">
        <f t="shared" si="0"/>
        <v>4623745</v>
      </c>
      <c r="L59">
        <f t="shared" si="1"/>
        <v>2064.171875</v>
      </c>
    </row>
    <row r="60" spans="1:12" x14ac:dyDescent="0.25">
      <c r="A60">
        <v>1727</v>
      </c>
      <c r="B60" t="s">
        <v>62</v>
      </c>
      <c r="C60" t="s">
        <v>58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1727</v>
      </c>
      <c r="B61" t="s">
        <v>40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1727</v>
      </c>
      <c r="B62" t="s">
        <v>39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1727</v>
      </c>
      <c r="B63" t="s">
        <v>8</v>
      </c>
      <c r="C63" t="s">
        <v>58</v>
      </c>
      <c r="D63" t="s">
        <v>35</v>
      </c>
      <c r="F63">
        <v>153</v>
      </c>
      <c r="G63">
        <v>2</v>
      </c>
      <c r="H63">
        <v>15</v>
      </c>
      <c r="J63">
        <f t="shared" si="0"/>
        <v>17207</v>
      </c>
      <c r="L63">
        <f t="shared" si="1"/>
        <v>7.6816964285714286</v>
      </c>
    </row>
    <row r="64" spans="1:12" x14ac:dyDescent="0.25">
      <c r="A64">
        <v>1727</v>
      </c>
      <c r="B64" t="s">
        <v>42</v>
      </c>
      <c r="C64" t="s">
        <v>58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1727</v>
      </c>
      <c r="B65" t="s">
        <v>9</v>
      </c>
      <c r="C65" t="s">
        <v>58</v>
      </c>
      <c r="D65" t="s">
        <v>35</v>
      </c>
      <c r="H65">
        <v>100440</v>
      </c>
      <c r="J65">
        <f t="shared" si="0"/>
        <v>100440</v>
      </c>
      <c r="L65">
        <f t="shared" si="1"/>
        <v>44.839285714285715</v>
      </c>
    </row>
    <row r="66" spans="1:12" x14ac:dyDescent="0.25">
      <c r="A66">
        <v>1727</v>
      </c>
      <c r="B66" t="s">
        <v>10</v>
      </c>
      <c r="C66" t="s">
        <v>58</v>
      </c>
      <c r="D66" t="s">
        <v>35</v>
      </c>
      <c r="F66">
        <v>639</v>
      </c>
      <c r="J66">
        <f t="shared" si="0"/>
        <v>71568</v>
      </c>
      <c r="L66">
        <f t="shared" si="1"/>
        <v>31.95</v>
      </c>
    </row>
    <row r="67" spans="1:12" x14ac:dyDescent="0.25">
      <c r="A67">
        <v>1727</v>
      </c>
      <c r="B67" t="s">
        <v>11</v>
      </c>
      <c r="C67" t="s">
        <v>58</v>
      </c>
      <c r="D67" t="s">
        <v>35</v>
      </c>
      <c r="F67">
        <v>272</v>
      </c>
      <c r="G67">
        <v>3</v>
      </c>
      <c r="H67">
        <v>16</v>
      </c>
      <c r="J67">
        <f t="shared" ref="J67:J98" si="2">(E67*2240)+(F67*112)+(G67*28)+H67</f>
        <v>30564</v>
      </c>
      <c r="L67">
        <f t="shared" ref="L67:L98" si="3">J67/2240</f>
        <v>13.644642857142857</v>
      </c>
    </row>
    <row r="68" spans="1:12" x14ac:dyDescent="0.25">
      <c r="A68">
        <v>1727</v>
      </c>
      <c r="B68" t="s">
        <v>41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1727</v>
      </c>
      <c r="B69" t="s">
        <v>82</v>
      </c>
      <c r="C69" t="s">
        <v>58</v>
      </c>
      <c r="D69" t="s">
        <v>35</v>
      </c>
      <c r="H69">
        <v>2290</v>
      </c>
      <c r="J69">
        <f t="shared" si="2"/>
        <v>2290</v>
      </c>
      <c r="L69">
        <f t="shared" si="3"/>
        <v>1.0223214285714286</v>
      </c>
    </row>
    <row r="70" spans="1:12" x14ac:dyDescent="0.25">
      <c r="A70">
        <v>1727</v>
      </c>
      <c r="B70" t="s">
        <v>46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1727</v>
      </c>
      <c r="B71" t="s">
        <v>12</v>
      </c>
      <c r="C71" t="s">
        <v>58</v>
      </c>
      <c r="D71" t="s">
        <v>35</v>
      </c>
      <c r="H71">
        <v>1632</v>
      </c>
      <c r="J71">
        <f t="shared" si="2"/>
        <v>1632</v>
      </c>
      <c r="L71">
        <f t="shared" si="3"/>
        <v>0.72857142857142854</v>
      </c>
    </row>
    <row r="72" spans="1:12" x14ac:dyDescent="0.25">
      <c r="A72">
        <v>1727</v>
      </c>
      <c r="B72" t="s">
        <v>34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1727</v>
      </c>
      <c r="B73" t="s">
        <v>13</v>
      </c>
      <c r="C73" t="s">
        <v>58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1727</v>
      </c>
      <c r="B74" t="s">
        <v>14</v>
      </c>
      <c r="C74" t="s">
        <v>58</v>
      </c>
      <c r="D74" t="s">
        <v>35</v>
      </c>
      <c r="H74">
        <v>5201</v>
      </c>
      <c r="I74" t="s">
        <v>140</v>
      </c>
      <c r="J74">
        <f t="shared" si="2"/>
        <v>5201</v>
      </c>
      <c r="L74">
        <f t="shared" si="3"/>
        <v>2.3218749999999999</v>
      </c>
    </row>
    <row r="75" spans="1:12" x14ac:dyDescent="0.25">
      <c r="A75">
        <v>1727</v>
      </c>
      <c r="B75" t="s">
        <v>23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1727</v>
      </c>
      <c r="B76" t="s">
        <v>27</v>
      </c>
      <c r="C76" t="s">
        <v>58</v>
      </c>
      <c r="D76" t="s">
        <v>35</v>
      </c>
      <c r="H76">
        <v>2956</v>
      </c>
      <c r="I76" t="s">
        <v>143</v>
      </c>
      <c r="J76">
        <f t="shared" si="2"/>
        <v>2956</v>
      </c>
      <c r="L76">
        <f t="shared" si="3"/>
        <v>1.3196428571428571</v>
      </c>
    </row>
    <row r="77" spans="1:12" x14ac:dyDescent="0.25">
      <c r="A77">
        <v>1727</v>
      </c>
      <c r="B77" t="s">
        <v>15</v>
      </c>
      <c r="C77" t="s">
        <v>58</v>
      </c>
      <c r="D77" t="s">
        <v>35</v>
      </c>
      <c r="F77">
        <v>4</v>
      </c>
      <c r="H77">
        <v>9</v>
      </c>
      <c r="J77">
        <f t="shared" si="2"/>
        <v>457</v>
      </c>
      <c r="L77">
        <f t="shared" si="3"/>
        <v>0.20401785714285714</v>
      </c>
    </row>
    <row r="78" spans="1:12" x14ac:dyDescent="0.25">
      <c r="A78">
        <v>1727</v>
      </c>
      <c r="B78" t="s">
        <v>98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1727</v>
      </c>
      <c r="B79" t="s">
        <v>44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1727</v>
      </c>
      <c r="B80" t="s">
        <v>49</v>
      </c>
      <c r="C80" t="s">
        <v>58</v>
      </c>
      <c r="D80" t="s">
        <v>35</v>
      </c>
      <c r="H80">
        <v>10</v>
      </c>
      <c r="I80" t="s">
        <v>141</v>
      </c>
      <c r="J80">
        <f t="shared" si="2"/>
        <v>10</v>
      </c>
      <c r="L80">
        <f t="shared" si="3"/>
        <v>4.464285714285714E-3</v>
      </c>
    </row>
    <row r="81" spans="1:12" x14ac:dyDescent="0.25">
      <c r="A81">
        <v>1727</v>
      </c>
      <c r="B81" t="s">
        <v>16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1727</v>
      </c>
      <c r="B82" t="s">
        <v>17</v>
      </c>
      <c r="C82" t="s">
        <v>58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1727</v>
      </c>
      <c r="B83" t="s">
        <v>18</v>
      </c>
      <c r="C83" t="s">
        <v>58</v>
      </c>
      <c r="D83" t="s">
        <v>35</v>
      </c>
      <c r="H83">
        <v>94194</v>
      </c>
      <c r="I83" t="s">
        <v>142</v>
      </c>
      <c r="J83">
        <f t="shared" si="2"/>
        <v>94194</v>
      </c>
      <c r="L83">
        <f t="shared" si="3"/>
        <v>42.050892857142856</v>
      </c>
    </row>
    <row r="84" spans="1:12" x14ac:dyDescent="0.25">
      <c r="A84">
        <v>1727</v>
      </c>
      <c r="B84" t="s">
        <v>26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1727</v>
      </c>
      <c r="B85" t="s">
        <v>19</v>
      </c>
      <c r="C85" t="s">
        <v>58</v>
      </c>
      <c r="D85" t="s">
        <v>35</v>
      </c>
      <c r="F85">
        <v>11</v>
      </c>
      <c r="G85">
        <v>3</v>
      </c>
      <c r="H85">
        <v>27</v>
      </c>
      <c r="J85">
        <f t="shared" si="2"/>
        <v>1343</v>
      </c>
      <c r="L85">
        <f t="shared" si="3"/>
        <v>0.59955357142857146</v>
      </c>
    </row>
    <row r="86" spans="1:12" x14ac:dyDescent="0.25">
      <c r="A86">
        <v>1727</v>
      </c>
      <c r="B86" t="s">
        <v>47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1727</v>
      </c>
      <c r="B87" t="s">
        <v>56</v>
      </c>
      <c r="C87" t="s">
        <v>58</v>
      </c>
      <c r="D87" t="s">
        <v>35</v>
      </c>
      <c r="H87">
        <v>126</v>
      </c>
      <c r="J87">
        <f t="shared" si="2"/>
        <v>126</v>
      </c>
      <c r="L87">
        <f t="shared" si="3"/>
        <v>5.6250000000000001E-2</v>
      </c>
    </row>
    <row r="88" spans="1:12" x14ac:dyDescent="0.25">
      <c r="A88">
        <v>1727</v>
      </c>
      <c r="B88" t="s">
        <v>102</v>
      </c>
      <c r="C88" t="s">
        <v>58</v>
      </c>
      <c r="D88" t="s">
        <v>35</v>
      </c>
      <c r="H88">
        <v>15</v>
      </c>
      <c r="J88">
        <f t="shared" si="2"/>
        <v>15</v>
      </c>
      <c r="L88">
        <f t="shared" si="3"/>
        <v>6.6964285714285711E-3</v>
      </c>
    </row>
    <row r="89" spans="1:12" x14ac:dyDescent="0.25">
      <c r="A89">
        <v>1727</v>
      </c>
      <c r="B89" t="s">
        <v>20</v>
      </c>
      <c r="C89" t="s">
        <v>58</v>
      </c>
      <c r="D89" t="s">
        <v>35</v>
      </c>
      <c r="H89">
        <v>4960</v>
      </c>
      <c r="J89">
        <f t="shared" si="2"/>
        <v>4960</v>
      </c>
      <c r="L89">
        <f t="shared" si="3"/>
        <v>2.2142857142857144</v>
      </c>
    </row>
    <row r="90" spans="1:12" x14ac:dyDescent="0.25">
      <c r="A90">
        <v>1727</v>
      </c>
      <c r="B90" t="s">
        <v>21</v>
      </c>
      <c r="C90" t="s">
        <v>58</v>
      </c>
      <c r="D90" t="s">
        <v>35</v>
      </c>
      <c r="H90">
        <v>29</v>
      </c>
      <c r="J90">
        <f t="shared" si="2"/>
        <v>29</v>
      </c>
      <c r="L90">
        <f t="shared" si="3"/>
        <v>1.2946428571428572E-2</v>
      </c>
    </row>
    <row r="91" spans="1:12" x14ac:dyDescent="0.25">
      <c r="A91">
        <v>1727</v>
      </c>
      <c r="B91" t="s">
        <v>22</v>
      </c>
      <c r="C91" t="s">
        <v>58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1727</v>
      </c>
      <c r="B92" t="s">
        <v>63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1727</v>
      </c>
      <c r="B93" t="s">
        <v>64</v>
      </c>
      <c r="C93" t="s">
        <v>58</v>
      </c>
      <c r="D93" t="s">
        <v>35</v>
      </c>
      <c r="E93">
        <v>159</v>
      </c>
      <c r="F93">
        <v>16</v>
      </c>
      <c r="H93">
        <v>22</v>
      </c>
      <c r="J93">
        <f t="shared" si="2"/>
        <v>357974</v>
      </c>
      <c r="L93">
        <f t="shared" si="3"/>
        <v>159.80982142857144</v>
      </c>
    </row>
    <row r="94" spans="1:12" x14ac:dyDescent="0.25">
      <c r="A94">
        <v>1727</v>
      </c>
      <c r="B94" t="s">
        <v>65</v>
      </c>
      <c r="C94" t="s">
        <v>58</v>
      </c>
      <c r="D94" t="s">
        <v>35</v>
      </c>
      <c r="E94">
        <v>2</v>
      </c>
      <c r="J94">
        <f t="shared" si="2"/>
        <v>4480</v>
      </c>
      <c r="L94">
        <f t="shared" si="3"/>
        <v>2</v>
      </c>
    </row>
    <row r="95" spans="1:12" x14ac:dyDescent="0.25">
      <c r="A95">
        <v>1727</v>
      </c>
      <c r="B95" t="s">
        <v>93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1727</v>
      </c>
      <c r="B96" t="s">
        <v>73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1727</v>
      </c>
      <c r="B97" t="s">
        <v>66</v>
      </c>
      <c r="C97" t="s">
        <v>58</v>
      </c>
      <c r="D97" t="s">
        <v>35</v>
      </c>
      <c r="E97">
        <v>26</v>
      </c>
      <c r="F97">
        <v>10</v>
      </c>
      <c r="J97">
        <f t="shared" si="2"/>
        <v>59360</v>
      </c>
      <c r="L97">
        <f t="shared" si="3"/>
        <v>26.5</v>
      </c>
    </row>
    <row r="98" spans="1:12" x14ac:dyDescent="0.25">
      <c r="A98">
        <v>1727</v>
      </c>
      <c r="B98" t="s">
        <v>67</v>
      </c>
      <c r="C98" t="s">
        <v>58</v>
      </c>
      <c r="D98" t="s">
        <v>35</v>
      </c>
      <c r="J98">
        <f t="shared" si="2"/>
        <v>0</v>
      </c>
      <c r="L98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5"/>
  <sheetViews>
    <sheetView workbookViewId="0">
      <selection activeCell="H6" sqref="H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1727</v>
      </c>
      <c r="B2" t="s">
        <v>68</v>
      </c>
      <c r="C2" t="s">
        <v>69</v>
      </c>
      <c r="D2" t="s">
        <v>33</v>
      </c>
      <c r="J2">
        <f t="shared" ref="J2:J25" si="0">(E2*2240)+(F2*112)+(G2*28)+H2</f>
        <v>0</v>
      </c>
      <c r="L2">
        <f t="shared" ref="L2:L25" si="1">J2/2240</f>
        <v>0</v>
      </c>
    </row>
    <row r="3" spans="1:12" x14ac:dyDescent="0.25">
      <c r="A3">
        <v>1727</v>
      </c>
      <c r="B3" t="s">
        <v>6</v>
      </c>
      <c r="C3" t="s">
        <v>69</v>
      </c>
      <c r="D3" t="s">
        <v>33</v>
      </c>
      <c r="E3" s="1"/>
      <c r="F3">
        <v>127</v>
      </c>
      <c r="G3">
        <v>2</v>
      </c>
      <c r="I3" s="1"/>
      <c r="J3">
        <f t="shared" si="0"/>
        <v>14280</v>
      </c>
      <c r="K3" s="1"/>
      <c r="L3">
        <f t="shared" si="1"/>
        <v>6.375</v>
      </c>
    </row>
    <row r="4" spans="1:12" x14ac:dyDescent="0.25">
      <c r="A4">
        <v>1727</v>
      </c>
      <c r="B4" t="s">
        <v>8</v>
      </c>
      <c r="C4" t="s">
        <v>69</v>
      </c>
      <c r="D4" t="s">
        <v>33</v>
      </c>
      <c r="E4" s="1"/>
      <c r="F4">
        <v>1</v>
      </c>
      <c r="G4">
        <v>3</v>
      </c>
      <c r="H4">
        <v>16</v>
      </c>
      <c r="I4" s="1"/>
      <c r="J4">
        <f t="shared" si="0"/>
        <v>212</v>
      </c>
      <c r="K4" s="1"/>
      <c r="L4">
        <f t="shared" si="1"/>
        <v>9.464285714285714E-2</v>
      </c>
    </row>
    <row r="5" spans="1:12" x14ac:dyDescent="0.25">
      <c r="A5">
        <v>1727</v>
      </c>
      <c r="B5" t="s">
        <v>9</v>
      </c>
      <c r="C5" t="s">
        <v>69</v>
      </c>
      <c r="D5" t="s">
        <v>33</v>
      </c>
      <c r="H5">
        <f>2*200</f>
        <v>400</v>
      </c>
      <c r="I5" t="s">
        <v>118</v>
      </c>
      <c r="J5">
        <f t="shared" si="0"/>
        <v>400</v>
      </c>
      <c r="L5">
        <f t="shared" si="1"/>
        <v>0.17857142857142858</v>
      </c>
    </row>
    <row r="6" spans="1:12" x14ac:dyDescent="0.25">
      <c r="A6">
        <v>1727</v>
      </c>
      <c r="B6" t="s">
        <v>12</v>
      </c>
      <c r="C6" t="s">
        <v>69</v>
      </c>
      <c r="D6" t="s">
        <v>33</v>
      </c>
      <c r="H6">
        <v>6760</v>
      </c>
      <c r="J6">
        <f t="shared" si="0"/>
        <v>6760</v>
      </c>
      <c r="L6">
        <f t="shared" si="1"/>
        <v>3.0178571428571428</v>
      </c>
    </row>
    <row r="7" spans="1:12" x14ac:dyDescent="0.25">
      <c r="A7">
        <v>1727</v>
      </c>
      <c r="B7" t="s">
        <v>27</v>
      </c>
      <c r="C7" t="s">
        <v>69</v>
      </c>
      <c r="D7" t="s">
        <v>33</v>
      </c>
      <c r="H7">
        <v>910</v>
      </c>
      <c r="I7" t="s">
        <v>117</v>
      </c>
      <c r="J7">
        <f t="shared" si="0"/>
        <v>910</v>
      </c>
      <c r="K7" s="1"/>
      <c r="L7">
        <f t="shared" si="1"/>
        <v>0.40625</v>
      </c>
    </row>
    <row r="8" spans="1:12" x14ac:dyDescent="0.25">
      <c r="A8">
        <v>1727</v>
      </c>
      <c r="B8" t="s">
        <v>17</v>
      </c>
      <c r="C8" t="s">
        <v>69</v>
      </c>
      <c r="D8" t="s">
        <v>33</v>
      </c>
      <c r="F8">
        <v>890</v>
      </c>
      <c r="G8">
        <v>1</v>
      </c>
      <c r="J8">
        <f t="shared" si="0"/>
        <v>99708</v>
      </c>
      <c r="K8" s="1"/>
      <c r="L8">
        <f t="shared" si="1"/>
        <v>44.512500000000003</v>
      </c>
    </row>
    <row r="9" spans="1:12" x14ac:dyDescent="0.25">
      <c r="A9">
        <v>1727</v>
      </c>
      <c r="B9" t="s">
        <v>18</v>
      </c>
      <c r="C9" t="s">
        <v>69</v>
      </c>
      <c r="D9" t="s">
        <v>33</v>
      </c>
      <c r="H9">
        <v>115</v>
      </c>
      <c r="I9" t="s">
        <v>116</v>
      </c>
      <c r="J9">
        <f t="shared" si="0"/>
        <v>115</v>
      </c>
      <c r="L9">
        <f t="shared" si="1"/>
        <v>5.1339285714285712E-2</v>
      </c>
    </row>
    <row r="10" spans="1:12" x14ac:dyDescent="0.25">
      <c r="A10">
        <v>1727</v>
      </c>
      <c r="B10" t="s">
        <v>56</v>
      </c>
      <c r="C10" t="s">
        <v>69</v>
      </c>
      <c r="D10" t="s">
        <v>33</v>
      </c>
      <c r="H10">
        <v>31</v>
      </c>
      <c r="J10">
        <f t="shared" si="0"/>
        <v>31</v>
      </c>
      <c r="L10">
        <f t="shared" si="1"/>
        <v>1.3839285714285714E-2</v>
      </c>
    </row>
    <row r="11" spans="1:12" x14ac:dyDescent="0.25">
      <c r="A11">
        <v>1727</v>
      </c>
      <c r="B11" t="s">
        <v>20</v>
      </c>
      <c r="C11" t="s">
        <v>69</v>
      </c>
      <c r="D11" t="s">
        <v>33</v>
      </c>
      <c r="H11">
        <v>400</v>
      </c>
      <c r="J11">
        <f t="shared" si="0"/>
        <v>400</v>
      </c>
      <c r="L11">
        <f t="shared" si="1"/>
        <v>0.17857142857142858</v>
      </c>
    </row>
    <row r="12" spans="1:12" x14ac:dyDescent="0.25">
      <c r="A12">
        <v>1727</v>
      </c>
      <c r="B12" t="s">
        <v>21</v>
      </c>
      <c r="C12" t="s">
        <v>69</v>
      </c>
      <c r="D12" t="s">
        <v>33</v>
      </c>
      <c r="H12">
        <v>80</v>
      </c>
      <c r="J12">
        <f t="shared" si="0"/>
        <v>80</v>
      </c>
      <c r="L12">
        <f t="shared" si="1"/>
        <v>3.5714285714285712E-2</v>
      </c>
    </row>
    <row r="13" spans="1:12" x14ac:dyDescent="0.25">
      <c r="A13">
        <v>1727</v>
      </c>
      <c r="B13" t="s">
        <v>63</v>
      </c>
      <c r="C13" t="s">
        <v>69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1727</v>
      </c>
      <c r="B14" t="s">
        <v>65</v>
      </c>
      <c r="C14" t="s">
        <v>69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1727</v>
      </c>
      <c r="B15" t="s">
        <v>6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1727</v>
      </c>
      <c r="B16" t="s">
        <v>12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1727</v>
      </c>
      <c r="B17" t="s">
        <v>43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1727</v>
      </c>
      <c r="B18" t="s">
        <v>27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1727</v>
      </c>
      <c r="B19" t="s">
        <v>17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1727</v>
      </c>
      <c r="B20" t="s">
        <v>19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1727</v>
      </c>
      <c r="B21" t="s">
        <v>56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1727</v>
      </c>
      <c r="B22" t="s">
        <v>9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1727</v>
      </c>
      <c r="B23" t="s">
        <v>8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1727</v>
      </c>
      <c r="B24" t="s">
        <v>63</v>
      </c>
      <c r="C24" t="s">
        <v>69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1727</v>
      </c>
      <c r="B25" t="s">
        <v>65</v>
      </c>
      <c r="C25" t="s">
        <v>69</v>
      </c>
      <c r="D25" t="s">
        <v>35</v>
      </c>
      <c r="J25">
        <f t="shared" si="0"/>
        <v>0</v>
      </c>
      <c r="L25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22" zoomScaleNormal="100" workbookViewId="0">
      <selection activeCell="H23" sqref="H2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1727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1727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1727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1727</v>
      </c>
      <c r="B5" t="s">
        <v>4</v>
      </c>
      <c r="C5" t="s">
        <v>70</v>
      </c>
      <c r="D5" t="s">
        <v>33</v>
      </c>
      <c r="H5">
        <v>128</v>
      </c>
      <c r="J5">
        <f t="shared" si="0"/>
        <v>128</v>
      </c>
      <c r="L5">
        <f t="shared" si="1"/>
        <v>5.7142857142857141E-2</v>
      </c>
    </row>
    <row r="6" spans="1:12" x14ac:dyDescent="0.25">
      <c r="A6">
        <v>1727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1727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1727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1727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1727</v>
      </c>
      <c r="B10" t="s">
        <v>5</v>
      </c>
      <c r="C10" t="s">
        <v>70</v>
      </c>
      <c r="D10" t="s">
        <v>33</v>
      </c>
      <c r="F10">
        <v>12</v>
      </c>
      <c r="G10">
        <v>2</v>
      </c>
      <c r="H10">
        <v>2</v>
      </c>
      <c r="J10">
        <f t="shared" si="0"/>
        <v>1402</v>
      </c>
      <c r="L10">
        <f t="shared" si="1"/>
        <v>0.62589285714285714</v>
      </c>
    </row>
    <row r="11" spans="1:12" x14ac:dyDescent="0.25">
      <c r="A11">
        <v>1727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1727</v>
      </c>
      <c r="B12" t="s">
        <v>6</v>
      </c>
      <c r="C12" t="s">
        <v>70</v>
      </c>
      <c r="D12" t="s">
        <v>33</v>
      </c>
      <c r="F12">
        <v>124153</v>
      </c>
      <c r="H12">
        <v>9</v>
      </c>
      <c r="J12">
        <f t="shared" si="0"/>
        <v>13905145</v>
      </c>
      <c r="L12">
        <f t="shared" si="1"/>
        <v>6207.6540178571431</v>
      </c>
    </row>
    <row r="13" spans="1:12" x14ac:dyDescent="0.25">
      <c r="A13">
        <v>1727</v>
      </c>
      <c r="B13" t="s">
        <v>103</v>
      </c>
      <c r="C13" t="s">
        <v>70</v>
      </c>
      <c r="D13" t="s">
        <v>33</v>
      </c>
      <c r="H13">
        <v>180</v>
      </c>
      <c r="J13">
        <f t="shared" si="0"/>
        <v>180</v>
      </c>
      <c r="L13">
        <f t="shared" si="1"/>
        <v>8.0357142857142863E-2</v>
      </c>
    </row>
    <row r="14" spans="1:12" x14ac:dyDescent="0.25">
      <c r="A14">
        <v>1727</v>
      </c>
      <c r="B14" t="s">
        <v>62</v>
      </c>
      <c r="C14" t="s">
        <v>70</v>
      </c>
      <c r="D14" t="s">
        <v>33</v>
      </c>
      <c r="H14">
        <v>55</v>
      </c>
      <c r="J14">
        <f t="shared" si="0"/>
        <v>55</v>
      </c>
      <c r="L14">
        <f t="shared" si="1"/>
        <v>2.4553571428571428E-2</v>
      </c>
    </row>
    <row r="15" spans="1:12" x14ac:dyDescent="0.25">
      <c r="A15">
        <v>1727</v>
      </c>
      <c r="B15" t="s">
        <v>40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1727</v>
      </c>
      <c r="B16" t="s">
        <v>39</v>
      </c>
      <c r="C16" t="s">
        <v>70</v>
      </c>
      <c r="D16" t="s">
        <v>33</v>
      </c>
      <c r="H16">
        <v>500</v>
      </c>
      <c r="J16">
        <f t="shared" si="0"/>
        <v>500</v>
      </c>
      <c r="L16">
        <f t="shared" si="1"/>
        <v>0.22321428571428573</v>
      </c>
    </row>
    <row r="17" spans="1:12" x14ac:dyDescent="0.25">
      <c r="A17">
        <v>1727</v>
      </c>
      <c r="B17" t="s">
        <v>8</v>
      </c>
      <c r="C17" t="s">
        <v>70</v>
      </c>
      <c r="D17" t="s">
        <v>33</v>
      </c>
      <c r="F17">
        <v>74</v>
      </c>
      <c r="G17">
        <v>2</v>
      </c>
      <c r="H17">
        <v>26</v>
      </c>
      <c r="J17">
        <f t="shared" si="0"/>
        <v>8370</v>
      </c>
      <c r="L17">
        <f t="shared" si="1"/>
        <v>3.7366071428571428</v>
      </c>
    </row>
    <row r="18" spans="1:12" x14ac:dyDescent="0.25">
      <c r="A18">
        <v>1727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1727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1727</v>
      </c>
      <c r="B20" t="s">
        <v>81</v>
      </c>
      <c r="C20" t="s">
        <v>70</v>
      </c>
      <c r="D20" t="s">
        <v>33</v>
      </c>
      <c r="H20">
        <v>38822</v>
      </c>
      <c r="J20">
        <f t="shared" si="0"/>
        <v>38822</v>
      </c>
      <c r="L20">
        <f t="shared" si="1"/>
        <v>17.331250000000001</v>
      </c>
    </row>
    <row r="21" spans="1:12" x14ac:dyDescent="0.25">
      <c r="A21">
        <v>1727</v>
      </c>
      <c r="B21" t="s">
        <v>48</v>
      </c>
      <c r="C21" t="s">
        <v>70</v>
      </c>
      <c r="D21" t="s">
        <v>33</v>
      </c>
      <c r="H21">
        <v>5812</v>
      </c>
      <c r="J21">
        <f t="shared" si="0"/>
        <v>5812</v>
      </c>
      <c r="L21">
        <f t="shared" si="1"/>
        <v>2.594642857142857</v>
      </c>
    </row>
    <row r="22" spans="1:12" x14ac:dyDescent="0.25">
      <c r="A22">
        <v>1727</v>
      </c>
      <c r="B22" t="s">
        <v>9</v>
      </c>
      <c r="C22" t="s">
        <v>70</v>
      </c>
      <c r="D22" t="s">
        <v>33</v>
      </c>
      <c r="H22">
        <f>388*200</f>
        <v>77600</v>
      </c>
      <c r="I22" t="s">
        <v>123</v>
      </c>
      <c r="J22">
        <f t="shared" si="0"/>
        <v>77600</v>
      </c>
      <c r="L22">
        <f t="shared" si="1"/>
        <v>34.642857142857146</v>
      </c>
    </row>
    <row r="23" spans="1:12" x14ac:dyDescent="0.25">
      <c r="A23">
        <v>1727</v>
      </c>
      <c r="B23" t="s">
        <v>10</v>
      </c>
      <c r="C23" t="s">
        <v>70</v>
      </c>
      <c r="D23" t="s">
        <v>33</v>
      </c>
      <c r="F23">
        <v>3028</v>
      </c>
      <c r="G23">
        <v>3</v>
      </c>
      <c r="H23">
        <v>8</v>
      </c>
      <c r="J23">
        <f t="shared" si="0"/>
        <v>339228</v>
      </c>
      <c r="L23">
        <f t="shared" si="1"/>
        <v>151.44107142857143</v>
      </c>
    </row>
    <row r="24" spans="1:12" x14ac:dyDescent="0.25">
      <c r="A24">
        <v>1727</v>
      </c>
      <c r="B24" t="s">
        <v>11</v>
      </c>
      <c r="C24" t="s">
        <v>70</v>
      </c>
      <c r="D24" t="s">
        <v>33</v>
      </c>
      <c r="F24">
        <v>135</v>
      </c>
      <c r="G24">
        <v>2</v>
      </c>
      <c r="H24">
        <v>13</v>
      </c>
      <c r="J24">
        <f t="shared" si="0"/>
        <v>15189</v>
      </c>
      <c r="L24">
        <f t="shared" si="1"/>
        <v>6.7808035714285717</v>
      </c>
    </row>
    <row r="25" spans="1:12" x14ac:dyDescent="0.25">
      <c r="A25">
        <v>1727</v>
      </c>
      <c r="B25" t="s">
        <v>41</v>
      </c>
      <c r="C25" t="s">
        <v>70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1727</v>
      </c>
      <c r="B26" t="s">
        <v>82</v>
      </c>
      <c r="C26" t="s">
        <v>70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1727</v>
      </c>
      <c r="B27" t="s">
        <v>83</v>
      </c>
      <c r="C27" t="s">
        <v>70</v>
      </c>
      <c r="D27" t="s">
        <v>33</v>
      </c>
      <c r="H27">
        <v>1002</v>
      </c>
      <c r="J27">
        <f t="shared" si="0"/>
        <v>1002</v>
      </c>
      <c r="L27">
        <f t="shared" si="1"/>
        <v>0.44732142857142859</v>
      </c>
    </row>
    <row r="28" spans="1:12" x14ac:dyDescent="0.25">
      <c r="A28">
        <v>1727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1727</v>
      </c>
      <c r="B29" t="s">
        <v>104</v>
      </c>
      <c r="C29" t="s">
        <v>70</v>
      </c>
      <c r="D29" t="s">
        <v>33</v>
      </c>
      <c r="H29">
        <v>278</v>
      </c>
      <c r="J29">
        <f t="shared" si="0"/>
        <v>278</v>
      </c>
      <c r="L29">
        <f t="shared" si="1"/>
        <v>0.12410714285714286</v>
      </c>
    </row>
    <row r="30" spans="1:12" x14ac:dyDescent="0.25">
      <c r="A30">
        <v>1727</v>
      </c>
      <c r="B30" t="s">
        <v>12</v>
      </c>
      <c r="C30" t="s">
        <v>70</v>
      </c>
      <c r="D30" t="s">
        <v>33</v>
      </c>
      <c r="H30">
        <v>130177.5</v>
      </c>
      <c r="J30">
        <f t="shared" si="0"/>
        <v>130177.5</v>
      </c>
      <c r="L30">
        <f t="shared" si="1"/>
        <v>58.114955357142854</v>
      </c>
    </row>
    <row r="31" spans="1:12" x14ac:dyDescent="0.25">
      <c r="A31">
        <v>1727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1727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1727</v>
      </c>
      <c r="B33" t="s">
        <v>13</v>
      </c>
      <c r="C33" t="s">
        <v>70</v>
      </c>
      <c r="D33" t="s">
        <v>33</v>
      </c>
      <c r="E33">
        <v>57</v>
      </c>
      <c r="F33">
        <v>4</v>
      </c>
      <c r="J33">
        <f t="shared" si="0"/>
        <v>128128</v>
      </c>
      <c r="L33">
        <f t="shared" si="1"/>
        <v>57.2</v>
      </c>
    </row>
    <row r="34" spans="1:12" x14ac:dyDescent="0.25">
      <c r="A34">
        <v>1727</v>
      </c>
      <c r="B34" t="s">
        <v>14</v>
      </c>
      <c r="C34" t="s">
        <v>70</v>
      </c>
      <c r="D34" t="s">
        <v>33</v>
      </c>
      <c r="H34">
        <v>3420</v>
      </c>
      <c r="I34" t="s">
        <v>119</v>
      </c>
      <c r="J34">
        <f t="shared" si="0"/>
        <v>3420</v>
      </c>
      <c r="L34">
        <f t="shared" si="1"/>
        <v>1.5267857142857142</v>
      </c>
    </row>
    <row r="35" spans="1:12" x14ac:dyDescent="0.25">
      <c r="A35">
        <v>1727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1727</v>
      </c>
      <c r="B36" t="s">
        <v>27</v>
      </c>
      <c r="C36" t="s">
        <v>70</v>
      </c>
      <c r="D36" t="s">
        <v>33</v>
      </c>
      <c r="H36">
        <v>39670</v>
      </c>
      <c r="I36" t="s">
        <v>122</v>
      </c>
      <c r="J36">
        <f t="shared" si="0"/>
        <v>39670</v>
      </c>
      <c r="L36">
        <f t="shared" si="1"/>
        <v>17.709821428571427</v>
      </c>
    </row>
    <row r="37" spans="1:12" x14ac:dyDescent="0.25">
      <c r="A37">
        <v>1727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1727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1727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1727</v>
      </c>
      <c r="B40" t="s">
        <v>49</v>
      </c>
      <c r="C40" t="s">
        <v>70</v>
      </c>
      <c r="D40" t="s">
        <v>33</v>
      </c>
      <c r="H40">
        <v>190</v>
      </c>
      <c r="I40" t="s">
        <v>120</v>
      </c>
      <c r="J40">
        <f t="shared" si="0"/>
        <v>190</v>
      </c>
      <c r="L40">
        <f t="shared" si="1"/>
        <v>8.4821428571428575E-2</v>
      </c>
    </row>
    <row r="41" spans="1:12" x14ac:dyDescent="0.25">
      <c r="A41">
        <v>1727</v>
      </c>
      <c r="B41" t="s">
        <v>16</v>
      </c>
      <c r="C41" t="s">
        <v>70</v>
      </c>
      <c r="D41" t="s">
        <v>33</v>
      </c>
      <c r="H41">
        <v>124502</v>
      </c>
      <c r="J41">
        <f t="shared" si="0"/>
        <v>124502</v>
      </c>
      <c r="L41">
        <f t="shared" si="1"/>
        <v>55.581249999999997</v>
      </c>
    </row>
    <row r="42" spans="1:12" x14ac:dyDescent="0.25">
      <c r="A42">
        <v>1727</v>
      </c>
      <c r="B42" t="s">
        <v>17</v>
      </c>
      <c r="C42" t="s">
        <v>70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1727</v>
      </c>
      <c r="B43" t="s">
        <v>18</v>
      </c>
      <c r="C43" t="s">
        <v>70</v>
      </c>
      <c r="D43" t="s">
        <v>33</v>
      </c>
      <c r="H43">
        <v>414241</v>
      </c>
      <c r="I43" t="s">
        <v>121</v>
      </c>
      <c r="J43">
        <f t="shared" si="0"/>
        <v>414241</v>
      </c>
      <c r="L43">
        <f t="shared" si="1"/>
        <v>184.92901785714287</v>
      </c>
    </row>
    <row r="44" spans="1:12" x14ac:dyDescent="0.25">
      <c r="A44">
        <v>1727</v>
      </c>
      <c r="B44" t="s">
        <v>26</v>
      </c>
      <c r="C44" t="s">
        <v>70</v>
      </c>
      <c r="D44" t="s">
        <v>33</v>
      </c>
      <c r="H44">
        <v>430</v>
      </c>
      <c r="J44">
        <f t="shared" si="0"/>
        <v>430</v>
      </c>
      <c r="L44">
        <f t="shared" si="1"/>
        <v>0.19196428571428573</v>
      </c>
    </row>
    <row r="45" spans="1:12" x14ac:dyDescent="0.25">
      <c r="A45">
        <v>1727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1727</v>
      </c>
      <c r="B46" t="s">
        <v>19</v>
      </c>
      <c r="C46" t="s">
        <v>70</v>
      </c>
      <c r="D46" t="s">
        <v>33</v>
      </c>
      <c r="F46">
        <v>77</v>
      </c>
      <c r="G46">
        <v>1</v>
      </c>
      <c r="H46">
        <v>22</v>
      </c>
      <c r="J46">
        <f t="shared" si="0"/>
        <v>8674</v>
      </c>
      <c r="L46">
        <f t="shared" si="1"/>
        <v>3.8723214285714285</v>
      </c>
    </row>
    <row r="47" spans="1:12" x14ac:dyDescent="0.25">
      <c r="A47">
        <v>1727</v>
      </c>
      <c r="B47" t="s">
        <v>47</v>
      </c>
      <c r="C47" t="s">
        <v>70</v>
      </c>
      <c r="D47" t="s">
        <v>33</v>
      </c>
      <c r="H47">
        <v>19196</v>
      </c>
      <c r="J47">
        <f t="shared" si="0"/>
        <v>19196</v>
      </c>
      <c r="L47">
        <f t="shared" si="1"/>
        <v>8.569642857142858</v>
      </c>
    </row>
    <row r="48" spans="1:12" x14ac:dyDescent="0.25">
      <c r="A48">
        <v>1727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1727</v>
      </c>
      <c r="B49" t="s">
        <v>56</v>
      </c>
      <c r="C49" t="s">
        <v>70</v>
      </c>
      <c r="D49" t="s">
        <v>33</v>
      </c>
      <c r="H49">
        <v>1330</v>
      </c>
      <c r="J49">
        <f t="shared" si="0"/>
        <v>1330</v>
      </c>
      <c r="L49">
        <f t="shared" si="1"/>
        <v>0.59375</v>
      </c>
    </row>
    <row r="50" spans="1:12" x14ac:dyDescent="0.25">
      <c r="A50">
        <v>1727</v>
      </c>
      <c r="B50" t="s">
        <v>102</v>
      </c>
      <c r="C50" t="s">
        <v>70</v>
      </c>
      <c r="D50" t="s">
        <v>33</v>
      </c>
      <c r="H50">
        <v>307</v>
      </c>
      <c r="J50">
        <f t="shared" si="0"/>
        <v>307</v>
      </c>
      <c r="L50">
        <f t="shared" si="1"/>
        <v>0.13705357142857144</v>
      </c>
    </row>
    <row r="51" spans="1:12" x14ac:dyDescent="0.25">
      <c r="A51">
        <v>1727</v>
      </c>
      <c r="B51" t="s">
        <v>20</v>
      </c>
      <c r="C51" t="s">
        <v>70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1727</v>
      </c>
      <c r="B52" t="s">
        <v>21</v>
      </c>
      <c r="C52" t="s">
        <v>70</v>
      </c>
      <c r="D52" t="s">
        <v>33</v>
      </c>
      <c r="H52">
        <v>2226</v>
      </c>
      <c r="J52">
        <f t="shared" si="0"/>
        <v>2226</v>
      </c>
      <c r="L52">
        <f t="shared" si="1"/>
        <v>0.99375000000000002</v>
      </c>
    </row>
    <row r="53" spans="1:12" x14ac:dyDescent="0.25">
      <c r="A53">
        <v>1727</v>
      </c>
      <c r="B53" t="s">
        <v>22</v>
      </c>
      <c r="C53" t="s">
        <v>70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1727</v>
      </c>
      <c r="B54" t="s">
        <v>63</v>
      </c>
      <c r="C54" t="s">
        <v>70</v>
      </c>
      <c r="D54" t="s">
        <v>33</v>
      </c>
      <c r="E54">
        <v>5</v>
      </c>
      <c r="J54">
        <f t="shared" si="0"/>
        <v>11200</v>
      </c>
      <c r="L54">
        <f t="shared" si="1"/>
        <v>5</v>
      </c>
    </row>
    <row r="55" spans="1:12" x14ac:dyDescent="0.25">
      <c r="A55">
        <v>1727</v>
      </c>
      <c r="B55" t="s">
        <v>105</v>
      </c>
      <c r="C55" t="s">
        <v>70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1727</v>
      </c>
      <c r="B56" t="s">
        <v>91</v>
      </c>
      <c r="C56" t="s">
        <v>70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1727</v>
      </c>
      <c r="B57" t="s">
        <v>64</v>
      </c>
      <c r="C57" t="s">
        <v>70</v>
      </c>
      <c r="D57" t="s">
        <v>33</v>
      </c>
      <c r="E57">
        <v>204</v>
      </c>
      <c r="F57">
        <v>2</v>
      </c>
      <c r="G57">
        <v>2</v>
      </c>
      <c r="H57">
        <v>12</v>
      </c>
      <c r="J57">
        <f t="shared" si="0"/>
        <v>457252</v>
      </c>
      <c r="L57">
        <f t="shared" si="1"/>
        <v>204.13035714285715</v>
      </c>
    </row>
    <row r="58" spans="1:12" x14ac:dyDescent="0.25">
      <c r="A58">
        <v>1727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1727</v>
      </c>
      <c r="B59" t="s">
        <v>65</v>
      </c>
      <c r="C59" t="s">
        <v>70</v>
      </c>
      <c r="D59" t="s">
        <v>33</v>
      </c>
      <c r="E59">
        <v>352</v>
      </c>
      <c r="F59">
        <v>6</v>
      </c>
      <c r="G59">
        <v>1</v>
      </c>
      <c r="H59">
        <v>5</v>
      </c>
      <c r="J59">
        <f t="shared" si="0"/>
        <v>789185</v>
      </c>
      <c r="L59">
        <f t="shared" si="1"/>
        <v>352.31473214285717</v>
      </c>
    </row>
    <row r="60" spans="1:12" x14ac:dyDescent="0.25">
      <c r="A60">
        <v>1727</v>
      </c>
      <c r="B60" t="s">
        <v>93</v>
      </c>
      <c r="C60" t="s">
        <v>70</v>
      </c>
      <c r="D60" t="s">
        <v>33</v>
      </c>
      <c r="E60">
        <v>105</v>
      </c>
      <c r="F60">
        <v>9</v>
      </c>
      <c r="J60">
        <f t="shared" si="0"/>
        <v>236208</v>
      </c>
      <c r="L60">
        <f t="shared" si="1"/>
        <v>105.45</v>
      </c>
    </row>
    <row r="61" spans="1:12" x14ac:dyDescent="0.25">
      <c r="A61">
        <v>1727</v>
      </c>
      <c r="B61" t="s">
        <v>73</v>
      </c>
      <c r="C61" t="s">
        <v>70</v>
      </c>
      <c r="D61" t="s">
        <v>33</v>
      </c>
      <c r="E61">
        <v>5</v>
      </c>
      <c r="F61">
        <v>3</v>
      </c>
      <c r="G61">
        <v>2</v>
      </c>
      <c r="H61">
        <v>13</v>
      </c>
      <c r="J61">
        <f t="shared" si="0"/>
        <v>11605</v>
      </c>
      <c r="L61">
        <f t="shared" si="1"/>
        <v>5.1808035714285712</v>
      </c>
    </row>
    <row r="62" spans="1:12" x14ac:dyDescent="0.25">
      <c r="A62">
        <v>1727</v>
      </c>
      <c r="B62" t="s">
        <v>66</v>
      </c>
      <c r="C62" t="s">
        <v>70</v>
      </c>
      <c r="D62" t="s">
        <v>33</v>
      </c>
      <c r="E62">
        <v>29</v>
      </c>
      <c r="F62">
        <v>11</v>
      </c>
      <c r="J62">
        <f t="shared" si="0"/>
        <v>66192</v>
      </c>
      <c r="L62">
        <f t="shared" si="1"/>
        <v>29.55</v>
      </c>
    </row>
    <row r="63" spans="1:12" x14ac:dyDescent="0.25">
      <c r="A63">
        <v>1727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1727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1727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1727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1727</v>
      </c>
      <c r="B67" t="s">
        <v>4</v>
      </c>
      <c r="C67" t="s">
        <v>70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1727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1727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1727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1727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1727</v>
      </c>
      <c r="B72" t="s">
        <v>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1727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1727</v>
      </c>
      <c r="B74" t="s">
        <v>6</v>
      </c>
      <c r="C74" t="s">
        <v>70</v>
      </c>
      <c r="D74" t="s">
        <v>35</v>
      </c>
      <c r="F74">
        <v>52077</v>
      </c>
      <c r="G74">
        <v>1</v>
      </c>
      <c r="H74">
        <v>14</v>
      </c>
      <c r="J74">
        <f t="shared" si="2"/>
        <v>5832666</v>
      </c>
      <c r="L74">
        <f t="shared" si="3"/>
        <v>2603.8687500000001</v>
      </c>
    </row>
    <row r="75" spans="1:12" x14ac:dyDescent="0.25">
      <c r="A75">
        <v>1727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1727</v>
      </c>
      <c r="B76" t="s">
        <v>40</v>
      </c>
      <c r="C76" t="s">
        <v>70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1727</v>
      </c>
      <c r="B77" t="s">
        <v>39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1727</v>
      </c>
      <c r="B78" t="s">
        <v>8</v>
      </c>
      <c r="C78" t="s">
        <v>70</v>
      </c>
      <c r="D78" t="s">
        <v>35</v>
      </c>
      <c r="F78">
        <v>19</v>
      </c>
      <c r="H78">
        <v>23</v>
      </c>
      <c r="J78">
        <f t="shared" si="2"/>
        <v>2151</v>
      </c>
      <c r="L78">
        <f t="shared" si="3"/>
        <v>0.96026785714285712</v>
      </c>
    </row>
    <row r="79" spans="1:12" x14ac:dyDescent="0.25">
      <c r="A79">
        <v>1727</v>
      </c>
      <c r="B79" t="s">
        <v>42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1727</v>
      </c>
      <c r="B80" t="s">
        <v>80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1727</v>
      </c>
      <c r="B81" t="s">
        <v>81</v>
      </c>
      <c r="C81" t="s">
        <v>70</v>
      </c>
      <c r="D81" t="s">
        <v>35</v>
      </c>
      <c r="H81">
        <v>276</v>
      </c>
      <c r="J81">
        <f t="shared" si="2"/>
        <v>276</v>
      </c>
      <c r="L81">
        <f t="shared" si="3"/>
        <v>0.12321428571428572</v>
      </c>
    </row>
    <row r="82" spans="1:12" x14ac:dyDescent="0.25">
      <c r="A82">
        <v>1727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1727</v>
      </c>
      <c r="B83" t="s">
        <v>9</v>
      </c>
      <c r="C83" t="s">
        <v>70</v>
      </c>
      <c r="D83" t="s">
        <v>35</v>
      </c>
      <c r="F83">
        <v>798</v>
      </c>
      <c r="G83">
        <v>3</v>
      </c>
      <c r="H83">
        <v>3</v>
      </c>
      <c r="J83">
        <f t="shared" si="2"/>
        <v>89463</v>
      </c>
      <c r="L83">
        <f t="shared" si="3"/>
        <v>39.938839285714288</v>
      </c>
    </row>
    <row r="84" spans="1:12" x14ac:dyDescent="0.25">
      <c r="A84">
        <v>1727</v>
      </c>
      <c r="B84" t="s">
        <v>10</v>
      </c>
      <c r="C84" t="s">
        <v>70</v>
      </c>
      <c r="D84" t="s">
        <v>35</v>
      </c>
      <c r="F84">
        <v>3608</v>
      </c>
      <c r="G84">
        <v>1</v>
      </c>
      <c r="H84">
        <v>25</v>
      </c>
      <c r="J84">
        <f t="shared" si="2"/>
        <v>404149</v>
      </c>
      <c r="L84">
        <f t="shared" si="3"/>
        <v>180.42366071428572</v>
      </c>
    </row>
    <row r="85" spans="1:12" x14ac:dyDescent="0.25">
      <c r="A85">
        <v>1727</v>
      </c>
      <c r="B85" t="s">
        <v>11</v>
      </c>
      <c r="C85" t="s">
        <v>70</v>
      </c>
      <c r="D85" t="s">
        <v>35</v>
      </c>
      <c r="F85">
        <v>88</v>
      </c>
      <c r="G85">
        <v>1</v>
      </c>
      <c r="H85">
        <v>4</v>
      </c>
      <c r="J85">
        <f t="shared" si="2"/>
        <v>9888</v>
      </c>
      <c r="L85">
        <f t="shared" si="3"/>
        <v>4.4142857142857146</v>
      </c>
    </row>
    <row r="86" spans="1:12" x14ac:dyDescent="0.25">
      <c r="A86">
        <v>1727</v>
      </c>
      <c r="B86" t="s">
        <v>41</v>
      </c>
      <c r="C86" t="s">
        <v>70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1727</v>
      </c>
      <c r="B87" t="s">
        <v>82</v>
      </c>
      <c r="C87" t="s">
        <v>70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1727</v>
      </c>
      <c r="B88" t="s">
        <v>83</v>
      </c>
      <c r="C88" t="s">
        <v>70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1727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1727</v>
      </c>
      <c r="B90" t="s">
        <v>104</v>
      </c>
      <c r="C90" t="s">
        <v>70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1727</v>
      </c>
      <c r="B91" t="s">
        <v>12</v>
      </c>
      <c r="C91" t="s">
        <v>70</v>
      </c>
      <c r="D91" t="s">
        <v>35</v>
      </c>
      <c r="H91">
        <v>134890</v>
      </c>
      <c r="J91">
        <f t="shared" si="2"/>
        <v>134890</v>
      </c>
      <c r="L91">
        <f t="shared" si="3"/>
        <v>60.21875</v>
      </c>
    </row>
    <row r="92" spans="1:12" x14ac:dyDescent="0.25">
      <c r="A92">
        <v>1727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1727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1727</v>
      </c>
      <c r="B94" t="s">
        <v>13</v>
      </c>
      <c r="C94" t="s">
        <v>70</v>
      </c>
      <c r="D94" t="s">
        <v>35</v>
      </c>
      <c r="F94">
        <v>323</v>
      </c>
      <c r="H94">
        <v>19</v>
      </c>
      <c r="J94">
        <f t="shared" si="2"/>
        <v>36195</v>
      </c>
      <c r="L94">
        <f t="shared" si="3"/>
        <v>16.158482142857142</v>
      </c>
    </row>
    <row r="95" spans="1:12" x14ac:dyDescent="0.25">
      <c r="A95">
        <v>1727</v>
      </c>
      <c r="B95" t="s">
        <v>14</v>
      </c>
      <c r="C95" t="s">
        <v>70</v>
      </c>
      <c r="D95" t="s">
        <v>35</v>
      </c>
      <c r="H95">
        <v>810</v>
      </c>
      <c r="I95" t="s">
        <v>144</v>
      </c>
      <c r="J95">
        <f t="shared" si="2"/>
        <v>810</v>
      </c>
      <c r="L95">
        <f t="shared" si="3"/>
        <v>0.36160714285714285</v>
      </c>
    </row>
    <row r="96" spans="1:12" x14ac:dyDescent="0.25">
      <c r="A96">
        <v>1727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1727</v>
      </c>
      <c r="B97" t="s">
        <v>27</v>
      </c>
      <c r="C97" t="s">
        <v>70</v>
      </c>
      <c r="D97" t="s">
        <v>35</v>
      </c>
      <c r="H97">
        <v>6842</v>
      </c>
      <c r="I97" t="s">
        <v>147</v>
      </c>
      <c r="J97">
        <f t="shared" si="2"/>
        <v>6842</v>
      </c>
      <c r="L97">
        <f t="shared" si="3"/>
        <v>3.0544642857142859</v>
      </c>
    </row>
    <row r="98" spans="1:12" x14ac:dyDescent="0.25">
      <c r="A98">
        <v>1727</v>
      </c>
      <c r="B98" t="s">
        <v>15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1727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1727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1727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1727</v>
      </c>
      <c r="B102" t="s">
        <v>49</v>
      </c>
      <c r="C102" t="s">
        <v>70</v>
      </c>
      <c r="D102" t="s">
        <v>35</v>
      </c>
      <c r="H102">
        <v>70</v>
      </c>
      <c r="I102" t="s">
        <v>145</v>
      </c>
      <c r="J102">
        <f t="shared" si="2"/>
        <v>70</v>
      </c>
      <c r="L102">
        <f t="shared" si="3"/>
        <v>3.125E-2</v>
      </c>
    </row>
    <row r="103" spans="1:12" x14ac:dyDescent="0.25">
      <c r="A103">
        <v>1727</v>
      </c>
      <c r="B103" t="s">
        <v>16</v>
      </c>
      <c r="C103" t="s">
        <v>70</v>
      </c>
      <c r="D103" t="s">
        <v>35</v>
      </c>
      <c r="H103">
        <v>141863</v>
      </c>
      <c r="J103">
        <f t="shared" si="2"/>
        <v>141863</v>
      </c>
      <c r="L103">
        <f t="shared" si="3"/>
        <v>63.331696428571426</v>
      </c>
    </row>
    <row r="104" spans="1:12" x14ac:dyDescent="0.25">
      <c r="A104">
        <v>1727</v>
      </c>
      <c r="B104" t="s">
        <v>17</v>
      </c>
      <c r="C104" t="s">
        <v>70</v>
      </c>
      <c r="D104" t="s">
        <v>35</v>
      </c>
      <c r="F104">
        <v>5</v>
      </c>
      <c r="H104">
        <v>2</v>
      </c>
      <c r="J104">
        <f t="shared" si="2"/>
        <v>562</v>
      </c>
      <c r="L104">
        <f t="shared" si="3"/>
        <v>0.25089285714285714</v>
      </c>
    </row>
    <row r="105" spans="1:12" x14ac:dyDescent="0.25">
      <c r="A105">
        <v>1727</v>
      </c>
      <c r="B105" t="s">
        <v>18</v>
      </c>
      <c r="C105" t="s">
        <v>70</v>
      </c>
      <c r="D105" t="s">
        <v>35</v>
      </c>
      <c r="H105">
        <v>144707</v>
      </c>
      <c r="I105" t="s">
        <v>146</v>
      </c>
      <c r="J105">
        <f t="shared" si="2"/>
        <v>144707</v>
      </c>
      <c r="L105">
        <f t="shared" si="3"/>
        <v>64.601339285714289</v>
      </c>
    </row>
    <row r="106" spans="1:12" x14ac:dyDescent="0.25">
      <c r="A106">
        <v>1727</v>
      </c>
      <c r="B106" t="s">
        <v>26</v>
      </c>
      <c r="C106" t="s">
        <v>70</v>
      </c>
      <c r="D106" t="s">
        <v>35</v>
      </c>
      <c r="H106">
        <v>274</v>
      </c>
      <c r="J106">
        <f t="shared" si="2"/>
        <v>274</v>
      </c>
      <c r="L106">
        <f t="shared" si="3"/>
        <v>0.12232142857142857</v>
      </c>
    </row>
    <row r="107" spans="1:12" x14ac:dyDescent="0.25">
      <c r="A107">
        <v>1727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1727</v>
      </c>
      <c r="B108" t="s">
        <v>19</v>
      </c>
      <c r="C108" t="s">
        <v>70</v>
      </c>
      <c r="D108" t="s">
        <v>35</v>
      </c>
      <c r="F108">
        <v>7</v>
      </c>
      <c r="G108">
        <v>3</v>
      </c>
      <c r="H108">
        <v>24</v>
      </c>
      <c r="J108">
        <f t="shared" si="2"/>
        <v>892</v>
      </c>
      <c r="L108">
        <f t="shared" si="3"/>
        <v>0.39821428571428569</v>
      </c>
    </row>
    <row r="109" spans="1:12" x14ac:dyDescent="0.25">
      <c r="A109">
        <v>1727</v>
      </c>
      <c r="B109" t="s">
        <v>47</v>
      </c>
      <c r="C109" t="s">
        <v>70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1727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1727</v>
      </c>
      <c r="B111" t="s">
        <v>56</v>
      </c>
      <c r="C111" t="s">
        <v>70</v>
      </c>
      <c r="D111" t="s">
        <v>35</v>
      </c>
      <c r="H111">
        <v>83</v>
      </c>
      <c r="J111">
        <f t="shared" si="2"/>
        <v>83</v>
      </c>
      <c r="L111">
        <f t="shared" si="3"/>
        <v>3.7053571428571429E-2</v>
      </c>
    </row>
    <row r="112" spans="1:12" x14ac:dyDescent="0.25">
      <c r="A112">
        <v>1727</v>
      </c>
      <c r="B112" t="s">
        <v>102</v>
      </c>
      <c r="C112" t="s">
        <v>70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1727</v>
      </c>
      <c r="B113" t="s">
        <v>20</v>
      </c>
      <c r="C113" t="s">
        <v>70</v>
      </c>
      <c r="D113" t="s">
        <v>35</v>
      </c>
      <c r="H113">
        <v>3000</v>
      </c>
      <c r="J113">
        <f t="shared" si="2"/>
        <v>3000</v>
      </c>
      <c r="L113">
        <f t="shared" si="3"/>
        <v>1.3392857142857142</v>
      </c>
    </row>
    <row r="114" spans="1:12" x14ac:dyDescent="0.25">
      <c r="A114">
        <v>1727</v>
      </c>
      <c r="B114" t="s">
        <v>21</v>
      </c>
      <c r="C114" t="s">
        <v>70</v>
      </c>
      <c r="D114" t="s">
        <v>35</v>
      </c>
      <c r="H114">
        <v>622</v>
      </c>
      <c r="J114">
        <f t="shared" si="2"/>
        <v>622</v>
      </c>
      <c r="L114">
        <f t="shared" si="3"/>
        <v>0.27767857142857144</v>
      </c>
    </row>
    <row r="115" spans="1:12" x14ac:dyDescent="0.25">
      <c r="A115">
        <v>1727</v>
      </c>
      <c r="B115" t="s">
        <v>22</v>
      </c>
      <c r="C115" t="s">
        <v>70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1727</v>
      </c>
      <c r="B116" t="s">
        <v>63</v>
      </c>
      <c r="C116" t="s">
        <v>70</v>
      </c>
      <c r="D116" t="s">
        <v>35</v>
      </c>
      <c r="E116">
        <v>1</v>
      </c>
      <c r="F116">
        <v>10</v>
      </c>
      <c r="J116">
        <f t="shared" si="2"/>
        <v>3360</v>
      </c>
      <c r="L116">
        <f t="shared" si="3"/>
        <v>1.5</v>
      </c>
    </row>
    <row r="117" spans="1:12" x14ac:dyDescent="0.25">
      <c r="A117">
        <v>1727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1727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1727</v>
      </c>
      <c r="B119" t="s">
        <v>91</v>
      </c>
      <c r="C119" t="s">
        <v>70</v>
      </c>
      <c r="D119" t="s">
        <v>35</v>
      </c>
      <c r="E119">
        <v>32</v>
      </c>
      <c r="F119">
        <v>9</v>
      </c>
      <c r="G119">
        <v>2</v>
      </c>
      <c r="H119">
        <v>15</v>
      </c>
      <c r="J119">
        <f t="shared" si="2"/>
        <v>72759</v>
      </c>
      <c r="L119">
        <f t="shared" si="3"/>
        <v>32.481696428571432</v>
      </c>
    </row>
    <row r="120" spans="1:12" x14ac:dyDescent="0.25">
      <c r="A120">
        <v>1727</v>
      </c>
      <c r="B120" t="s">
        <v>64</v>
      </c>
      <c r="C120" t="s">
        <v>70</v>
      </c>
      <c r="D120" t="s">
        <v>35</v>
      </c>
      <c r="E120">
        <v>52</v>
      </c>
      <c r="F120">
        <v>10</v>
      </c>
      <c r="H120">
        <v>17</v>
      </c>
      <c r="J120">
        <f t="shared" si="2"/>
        <v>117617</v>
      </c>
      <c r="L120">
        <f t="shared" si="3"/>
        <v>52.507589285714289</v>
      </c>
    </row>
    <row r="121" spans="1:12" x14ac:dyDescent="0.25">
      <c r="A121">
        <v>1727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1727</v>
      </c>
      <c r="B122" t="s">
        <v>65</v>
      </c>
      <c r="C122" t="s">
        <v>70</v>
      </c>
      <c r="D122" t="s">
        <v>35</v>
      </c>
      <c r="E122">
        <v>514</v>
      </c>
      <c r="F122">
        <v>19</v>
      </c>
      <c r="G122">
        <v>2</v>
      </c>
      <c r="H122">
        <v>11</v>
      </c>
      <c r="J122">
        <f t="shared" si="2"/>
        <v>1153555</v>
      </c>
      <c r="L122">
        <f t="shared" si="3"/>
        <v>514.97991071428567</v>
      </c>
    </row>
    <row r="123" spans="1:12" x14ac:dyDescent="0.25">
      <c r="A123">
        <v>1727</v>
      </c>
      <c r="B123" t="s">
        <v>93</v>
      </c>
      <c r="C123" t="s">
        <v>70</v>
      </c>
      <c r="D123" t="s">
        <v>35</v>
      </c>
      <c r="E123">
        <v>28</v>
      </c>
      <c r="F123">
        <v>4</v>
      </c>
      <c r="G123">
        <v>2</v>
      </c>
      <c r="H123">
        <v>24</v>
      </c>
      <c r="J123">
        <f t="shared" si="2"/>
        <v>63248</v>
      </c>
      <c r="L123">
        <f t="shared" si="3"/>
        <v>28.235714285714284</v>
      </c>
    </row>
    <row r="124" spans="1:12" x14ac:dyDescent="0.25">
      <c r="A124">
        <v>1727</v>
      </c>
      <c r="B124" t="s">
        <v>73</v>
      </c>
      <c r="C124" t="s">
        <v>70</v>
      </c>
      <c r="D124" t="s">
        <v>35</v>
      </c>
      <c r="E124">
        <v>40</v>
      </c>
      <c r="F124">
        <v>17</v>
      </c>
      <c r="H124">
        <v>4</v>
      </c>
      <c r="J124">
        <f t="shared" si="2"/>
        <v>91508</v>
      </c>
      <c r="L124">
        <f t="shared" si="3"/>
        <v>40.851785714285711</v>
      </c>
    </row>
    <row r="125" spans="1:12" x14ac:dyDescent="0.25">
      <c r="A125">
        <v>1727</v>
      </c>
      <c r="B125" t="s">
        <v>66</v>
      </c>
      <c r="C125" t="s">
        <v>70</v>
      </c>
      <c r="D125" t="s">
        <v>35</v>
      </c>
      <c r="E125">
        <v>49</v>
      </c>
      <c r="F125">
        <v>16</v>
      </c>
      <c r="H125">
        <v>12</v>
      </c>
      <c r="J125">
        <f t="shared" si="2"/>
        <v>111564</v>
      </c>
      <c r="L125">
        <f t="shared" si="3"/>
        <v>49.80535714285714</v>
      </c>
    </row>
    <row r="126" spans="1:12" x14ac:dyDescent="0.25">
      <c r="A126">
        <v>1727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1727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1727</v>
      </c>
      <c r="B3" t="s">
        <v>59</v>
      </c>
      <c r="C3" t="s">
        <v>75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1727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1727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1727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1727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1727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1727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1727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1727</v>
      </c>
      <c r="B11" t="s">
        <v>6</v>
      </c>
      <c r="C11" t="s">
        <v>75</v>
      </c>
      <c r="D11" t="s">
        <v>33</v>
      </c>
      <c r="F11">
        <v>31175</v>
      </c>
      <c r="G11">
        <v>3</v>
      </c>
      <c r="H11">
        <v>20</v>
      </c>
      <c r="J11">
        <f t="shared" si="0"/>
        <v>3491704</v>
      </c>
      <c r="L11">
        <f t="shared" si="1"/>
        <v>1558.7964285714286</v>
      </c>
    </row>
    <row r="12" spans="1:12" x14ac:dyDescent="0.25">
      <c r="A12">
        <v>1727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1727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1727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1727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1727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1727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1727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1727</v>
      </c>
      <c r="B19" t="s">
        <v>9</v>
      </c>
      <c r="C19" t="s">
        <v>75</v>
      </c>
      <c r="D19" t="s">
        <v>33</v>
      </c>
      <c r="H19">
        <f>31*200</f>
        <v>6200</v>
      </c>
      <c r="I19" t="s">
        <v>128</v>
      </c>
      <c r="J19">
        <f t="shared" si="0"/>
        <v>6200</v>
      </c>
      <c r="L19">
        <f t="shared" si="1"/>
        <v>2.7678571428571428</v>
      </c>
    </row>
    <row r="20" spans="1:12" x14ac:dyDescent="0.25">
      <c r="A20">
        <v>1727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1727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1727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1727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1727</v>
      </c>
      <c r="B24" t="s">
        <v>12</v>
      </c>
      <c r="C24" t="s">
        <v>75</v>
      </c>
      <c r="D24" t="s">
        <v>33</v>
      </c>
      <c r="H24">
        <v>2070</v>
      </c>
      <c r="J24">
        <f t="shared" si="0"/>
        <v>2070</v>
      </c>
      <c r="L24">
        <f t="shared" si="1"/>
        <v>0.9241071428571429</v>
      </c>
    </row>
    <row r="25" spans="1:12" x14ac:dyDescent="0.25">
      <c r="A25">
        <v>1727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1727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1727</v>
      </c>
      <c r="B27" t="s">
        <v>14</v>
      </c>
      <c r="C27" t="s">
        <v>75</v>
      </c>
      <c r="D27" t="s">
        <v>33</v>
      </c>
      <c r="H27">
        <v>1630</v>
      </c>
      <c r="I27" t="s">
        <v>124</v>
      </c>
      <c r="J27">
        <f t="shared" si="0"/>
        <v>1630</v>
      </c>
      <c r="L27">
        <f t="shared" si="1"/>
        <v>0.7276785714285714</v>
      </c>
    </row>
    <row r="28" spans="1:12" x14ac:dyDescent="0.25">
      <c r="A28">
        <v>1727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1727</v>
      </c>
      <c r="B29" t="s">
        <v>27</v>
      </c>
      <c r="C29" t="s">
        <v>75</v>
      </c>
      <c r="D29" t="s">
        <v>33</v>
      </c>
      <c r="H29">
        <v>20</v>
      </c>
      <c r="I29" t="s">
        <v>127</v>
      </c>
      <c r="J29">
        <f t="shared" si="0"/>
        <v>20</v>
      </c>
      <c r="L29">
        <f t="shared" si="1"/>
        <v>8.9285714285714281E-3</v>
      </c>
    </row>
    <row r="30" spans="1:12" x14ac:dyDescent="0.25">
      <c r="A30">
        <v>1727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1727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1727</v>
      </c>
      <c r="B32" t="s">
        <v>49</v>
      </c>
      <c r="C32" t="s">
        <v>75</v>
      </c>
      <c r="D32" t="s">
        <v>33</v>
      </c>
      <c r="H32">
        <v>50</v>
      </c>
      <c r="I32" t="s">
        <v>125</v>
      </c>
      <c r="J32">
        <f t="shared" si="0"/>
        <v>50</v>
      </c>
      <c r="L32">
        <f t="shared" si="1"/>
        <v>2.2321428571428572E-2</v>
      </c>
    </row>
    <row r="33" spans="1:12" x14ac:dyDescent="0.25">
      <c r="A33">
        <v>1727</v>
      </c>
      <c r="B33" t="s">
        <v>16</v>
      </c>
      <c r="C33" t="s">
        <v>75</v>
      </c>
      <c r="D33" t="s">
        <v>33</v>
      </c>
      <c r="H33">
        <v>6565</v>
      </c>
      <c r="J33">
        <f t="shared" si="0"/>
        <v>6565</v>
      </c>
      <c r="L33">
        <f t="shared" si="1"/>
        <v>2.9308035714285716</v>
      </c>
    </row>
    <row r="34" spans="1:12" x14ac:dyDescent="0.25">
      <c r="A34">
        <v>1727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1727</v>
      </c>
      <c r="B35" t="s">
        <v>18</v>
      </c>
      <c r="C35" t="s">
        <v>75</v>
      </c>
      <c r="D35" t="s">
        <v>33</v>
      </c>
      <c r="H35">
        <v>23046</v>
      </c>
      <c r="I35" t="s">
        <v>126</v>
      </c>
      <c r="J35">
        <f t="shared" si="0"/>
        <v>23046</v>
      </c>
      <c r="L35">
        <f t="shared" si="1"/>
        <v>10.288392857142858</v>
      </c>
    </row>
    <row r="36" spans="1:12" x14ac:dyDescent="0.25">
      <c r="A36">
        <v>1727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1727</v>
      </c>
      <c r="B37" t="s">
        <v>19</v>
      </c>
      <c r="C37" t="s">
        <v>75</v>
      </c>
      <c r="D37" t="s">
        <v>33</v>
      </c>
      <c r="F37">
        <v>9</v>
      </c>
      <c r="G37">
        <v>3</v>
      </c>
      <c r="H37">
        <v>21</v>
      </c>
      <c r="J37">
        <f t="shared" si="0"/>
        <v>1113</v>
      </c>
      <c r="L37">
        <f t="shared" si="1"/>
        <v>0.49687500000000001</v>
      </c>
    </row>
    <row r="38" spans="1:12" x14ac:dyDescent="0.25">
      <c r="A38">
        <v>1727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1727</v>
      </c>
      <c r="B39" t="s">
        <v>56</v>
      </c>
      <c r="C39" t="s">
        <v>75</v>
      </c>
      <c r="D39" t="s">
        <v>33</v>
      </c>
      <c r="H39">
        <v>90</v>
      </c>
      <c r="J39">
        <f t="shared" si="0"/>
        <v>90</v>
      </c>
      <c r="L39">
        <f t="shared" si="1"/>
        <v>4.0178571428571432E-2</v>
      </c>
    </row>
    <row r="40" spans="1:12" x14ac:dyDescent="0.25">
      <c r="A40">
        <v>1727</v>
      </c>
      <c r="B40" t="s">
        <v>102</v>
      </c>
      <c r="C40" t="s">
        <v>75</v>
      </c>
      <c r="D40" t="s">
        <v>33</v>
      </c>
      <c r="H40">
        <v>19</v>
      </c>
      <c r="J40">
        <f t="shared" si="0"/>
        <v>19</v>
      </c>
      <c r="L40">
        <f t="shared" si="1"/>
        <v>8.4821428571428565E-3</v>
      </c>
    </row>
    <row r="41" spans="1:12" x14ac:dyDescent="0.25">
      <c r="A41">
        <v>1727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1727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1727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1727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1727</v>
      </c>
      <c r="B45" t="s">
        <v>64</v>
      </c>
      <c r="C45" t="s">
        <v>75</v>
      </c>
      <c r="D45" t="s">
        <v>33</v>
      </c>
      <c r="E45">
        <v>15</v>
      </c>
      <c r="J45">
        <f t="shared" si="0"/>
        <v>33600</v>
      </c>
      <c r="L45">
        <f t="shared" si="1"/>
        <v>15</v>
      </c>
    </row>
    <row r="46" spans="1:12" x14ac:dyDescent="0.25">
      <c r="A46">
        <v>1727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1727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1727</v>
      </c>
      <c r="B48" t="s">
        <v>66</v>
      </c>
      <c r="C48" t="s">
        <v>75</v>
      </c>
      <c r="D48" t="s">
        <v>33</v>
      </c>
      <c r="E48">
        <v>16</v>
      </c>
      <c r="J48">
        <f t="shared" si="0"/>
        <v>35840</v>
      </c>
      <c r="L48">
        <f t="shared" si="1"/>
        <v>16</v>
      </c>
    </row>
    <row r="49" spans="1:12" x14ac:dyDescent="0.25">
      <c r="A49">
        <v>1727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1727</v>
      </c>
      <c r="B50" t="s">
        <v>6</v>
      </c>
      <c r="C50" t="s">
        <v>75</v>
      </c>
      <c r="D50" t="s">
        <v>35</v>
      </c>
      <c r="F50">
        <v>1513</v>
      </c>
      <c r="G50">
        <v>3</v>
      </c>
      <c r="H50">
        <v>27</v>
      </c>
      <c r="J50">
        <f t="shared" si="0"/>
        <v>169567</v>
      </c>
      <c r="L50">
        <f t="shared" si="1"/>
        <v>75.699553571428567</v>
      </c>
    </row>
    <row r="51" spans="1:12" x14ac:dyDescent="0.25">
      <c r="A51">
        <v>1727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1727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1727</v>
      </c>
      <c r="B53" t="s">
        <v>9</v>
      </c>
      <c r="C53" t="s">
        <v>75</v>
      </c>
      <c r="D53" t="s">
        <v>35</v>
      </c>
      <c r="H53">
        <f>13*200</f>
        <v>2600</v>
      </c>
      <c r="I53" t="s">
        <v>149</v>
      </c>
      <c r="J53">
        <f t="shared" si="0"/>
        <v>2600</v>
      </c>
      <c r="L53">
        <f t="shared" si="1"/>
        <v>1.1607142857142858</v>
      </c>
    </row>
    <row r="54" spans="1:12" x14ac:dyDescent="0.25">
      <c r="A54">
        <v>1727</v>
      </c>
      <c r="B54" t="s">
        <v>10</v>
      </c>
      <c r="C54" t="s">
        <v>75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1727</v>
      </c>
      <c r="B55" t="s">
        <v>11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1727</v>
      </c>
      <c r="B56" t="s">
        <v>12</v>
      </c>
      <c r="C56" t="s">
        <v>75</v>
      </c>
      <c r="D56" t="s">
        <v>35</v>
      </c>
      <c r="H56">
        <v>176</v>
      </c>
      <c r="J56">
        <f t="shared" si="0"/>
        <v>176</v>
      </c>
      <c r="L56">
        <f t="shared" si="1"/>
        <v>7.857142857142857E-2</v>
      </c>
    </row>
    <row r="57" spans="1:12" x14ac:dyDescent="0.25">
      <c r="A57">
        <v>1727</v>
      </c>
      <c r="B57" t="s">
        <v>13</v>
      </c>
      <c r="C57" t="s">
        <v>75</v>
      </c>
      <c r="D57" t="s">
        <v>35</v>
      </c>
      <c r="E57">
        <v>5</v>
      </c>
      <c r="F57">
        <v>7</v>
      </c>
      <c r="G57">
        <v>3</v>
      </c>
      <c r="H57">
        <v>20</v>
      </c>
      <c r="J57">
        <f t="shared" si="0"/>
        <v>12088</v>
      </c>
      <c r="L57">
        <f t="shared" si="1"/>
        <v>5.3964285714285714</v>
      </c>
    </row>
    <row r="58" spans="1:12" x14ac:dyDescent="0.25">
      <c r="A58">
        <v>1727</v>
      </c>
      <c r="B58" t="s">
        <v>14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1727</v>
      </c>
      <c r="B59" t="s">
        <v>27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1727</v>
      </c>
      <c r="B60" t="s">
        <v>15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1727</v>
      </c>
      <c r="B61" t="s">
        <v>16</v>
      </c>
      <c r="C61" t="s">
        <v>75</v>
      </c>
      <c r="D61" t="s">
        <v>35</v>
      </c>
      <c r="H61">
        <v>199</v>
      </c>
      <c r="J61">
        <f t="shared" si="0"/>
        <v>199</v>
      </c>
      <c r="L61">
        <f t="shared" si="1"/>
        <v>8.8839285714285718E-2</v>
      </c>
    </row>
    <row r="62" spans="1:12" x14ac:dyDescent="0.25">
      <c r="A62">
        <v>1727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1727</v>
      </c>
      <c r="B63" t="s">
        <v>18</v>
      </c>
      <c r="C63" t="s">
        <v>75</v>
      </c>
      <c r="D63" t="s">
        <v>35</v>
      </c>
      <c r="H63">
        <v>220</v>
      </c>
      <c r="I63" t="s">
        <v>148</v>
      </c>
      <c r="J63">
        <f t="shared" si="0"/>
        <v>220</v>
      </c>
      <c r="L63">
        <f t="shared" si="1"/>
        <v>9.8214285714285712E-2</v>
      </c>
    </row>
    <row r="64" spans="1:12" x14ac:dyDescent="0.25">
      <c r="A64">
        <v>1727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1727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1727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1727</v>
      </c>
      <c r="B67" t="s">
        <v>22</v>
      </c>
      <c r="C67" t="s">
        <v>75</v>
      </c>
      <c r="D67" t="s">
        <v>35</v>
      </c>
      <c r="J67">
        <f t="shared" ref="J67:J69" si="2">(E67*2240)+(F67*112)+(G67*28)+H67</f>
        <v>0</v>
      </c>
      <c r="L67">
        <f t="shared" ref="L67:L69" si="3">J67/2240</f>
        <v>0</v>
      </c>
    </row>
    <row r="68" spans="1:12" x14ac:dyDescent="0.25">
      <c r="A68">
        <v>1727</v>
      </c>
      <c r="B68" t="s">
        <v>64</v>
      </c>
      <c r="C68" t="s">
        <v>75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1727</v>
      </c>
      <c r="B69" t="s">
        <v>66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topLeftCell="A18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1727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1727</v>
      </c>
      <c r="B3" t="s">
        <v>59</v>
      </c>
      <c r="C3" t="s">
        <v>76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1727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1727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1727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1727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1727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1727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1727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1727</v>
      </c>
      <c r="B11" t="s">
        <v>6</v>
      </c>
      <c r="C11" t="s">
        <v>76</v>
      </c>
      <c r="D11" t="s">
        <v>33</v>
      </c>
      <c r="F11">
        <v>21692</v>
      </c>
      <c r="H11">
        <v>17</v>
      </c>
      <c r="J11">
        <f t="shared" si="0"/>
        <v>2429521</v>
      </c>
      <c r="L11">
        <f t="shared" si="1"/>
        <v>1084.6075892857143</v>
      </c>
    </row>
    <row r="12" spans="1:12" x14ac:dyDescent="0.25">
      <c r="A12">
        <v>1727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1727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1727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1727</v>
      </c>
      <c r="B15" t="s">
        <v>8</v>
      </c>
      <c r="C15" t="s">
        <v>76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1727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1727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1727</v>
      </c>
      <c r="B18" t="s">
        <v>9</v>
      </c>
      <c r="C18" t="s">
        <v>76</v>
      </c>
      <c r="D18" t="s">
        <v>33</v>
      </c>
      <c r="H18">
        <f>2*200</f>
        <v>400</v>
      </c>
      <c r="I18" t="s">
        <v>118</v>
      </c>
      <c r="J18">
        <f t="shared" si="0"/>
        <v>400</v>
      </c>
      <c r="L18">
        <f t="shared" si="1"/>
        <v>0.17857142857142858</v>
      </c>
    </row>
    <row r="19" spans="1:12" x14ac:dyDescent="0.25">
      <c r="A19">
        <v>1727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1727</v>
      </c>
      <c r="B20" t="s">
        <v>11</v>
      </c>
      <c r="C20" t="s">
        <v>76</v>
      </c>
      <c r="D20" t="s">
        <v>33</v>
      </c>
      <c r="F20">
        <v>4</v>
      </c>
      <c r="G20">
        <v>2</v>
      </c>
      <c r="H20">
        <v>17</v>
      </c>
      <c r="J20">
        <f t="shared" si="0"/>
        <v>521</v>
      </c>
      <c r="L20">
        <f t="shared" si="1"/>
        <v>0.23258928571428572</v>
      </c>
    </row>
    <row r="21" spans="1:12" x14ac:dyDescent="0.25">
      <c r="A21">
        <v>1727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1727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1727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1727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1727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1727</v>
      </c>
      <c r="B26" t="s">
        <v>14</v>
      </c>
      <c r="C26" t="s">
        <v>76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1727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1727</v>
      </c>
      <c r="B28" t="s">
        <v>27</v>
      </c>
      <c r="C28" t="s">
        <v>76</v>
      </c>
      <c r="D28" t="s">
        <v>33</v>
      </c>
      <c r="H28">
        <v>3901</v>
      </c>
      <c r="I28" t="s">
        <v>131</v>
      </c>
      <c r="J28">
        <f t="shared" si="0"/>
        <v>3901</v>
      </c>
      <c r="L28">
        <f t="shared" si="1"/>
        <v>1.7415178571428571</v>
      </c>
    </row>
    <row r="29" spans="1:12" x14ac:dyDescent="0.25">
      <c r="A29">
        <v>1727</v>
      </c>
      <c r="B29" t="s">
        <v>15</v>
      </c>
      <c r="C29" t="s">
        <v>76</v>
      </c>
      <c r="D29" t="s">
        <v>33</v>
      </c>
      <c r="F29">
        <v>4</v>
      </c>
      <c r="J29">
        <f t="shared" si="0"/>
        <v>448</v>
      </c>
      <c r="L29">
        <f t="shared" si="1"/>
        <v>0.2</v>
      </c>
    </row>
    <row r="30" spans="1:12" x14ac:dyDescent="0.25">
      <c r="A30">
        <v>1727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1727</v>
      </c>
      <c r="B31" t="s">
        <v>49</v>
      </c>
      <c r="C31" t="s">
        <v>76</v>
      </c>
      <c r="D31" t="s">
        <v>33</v>
      </c>
      <c r="H31">
        <v>30</v>
      </c>
      <c r="I31" t="s">
        <v>129</v>
      </c>
      <c r="J31">
        <f t="shared" si="0"/>
        <v>30</v>
      </c>
      <c r="L31">
        <f t="shared" si="1"/>
        <v>1.3392857142857142E-2</v>
      </c>
    </row>
    <row r="32" spans="1:12" x14ac:dyDescent="0.25">
      <c r="A32">
        <v>1727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1727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1727</v>
      </c>
      <c r="B34" t="s">
        <v>18</v>
      </c>
      <c r="C34" t="s">
        <v>76</v>
      </c>
      <c r="D34" t="s">
        <v>33</v>
      </c>
      <c r="H34">
        <v>5606</v>
      </c>
      <c r="I34" t="s">
        <v>130</v>
      </c>
      <c r="J34">
        <f t="shared" si="0"/>
        <v>5606</v>
      </c>
      <c r="L34">
        <f t="shared" si="1"/>
        <v>2.5026785714285715</v>
      </c>
    </row>
    <row r="35" spans="1:12" x14ac:dyDescent="0.25">
      <c r="A35">
        <v>1727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1727</v>
      </c>
      <c r="B36" t="s">
        <v>19</v>
      </c>
      <c r="C36" t="s">
        <v>76</v>
      </c>
      <c r="D36" t="s">
        <v>33</v>
      </c>
      <c r="F36">
        <v>1</v>
      </c>
      <c r="G36">
        <v>3</v>
      </c>
      <c r="J36">
        <f t="shared" si="0"/>
        <v>196</v>
      </c>
      <c r="L36">
        <f t="shared" si="1"/>
        <v>8.7499999999999994E-2</v>
      </c>
    </row>
    <row r="37" spans="1:12" x14ac:dyDescent="0.25">
      <c r="A37">
        <v>1727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1727</v>
      </c>
      <c r="B38" t="s">
        <v>56</v>
      </c>
      <c r="C38" t="s">
        <v>76</v>
      </c>
      <c r="D38" t="s">
        <v>33</v>
      </c>
      <c r="H38">
        <v>43</v>
      </c>
      <c r="J38">
        <f t="shared" si="0"/>
        <v>43</v>
      </c>
      <c r="L38">
        <f t="shared" si="1"/>
        <v>1.9196428571428573E-2</v>
      </c>
    </row>
    <row r="39" spans="1:12" x14ac:dyDescent="0.25">
      <c r="A39">
        <v>1727</v>
      </c>
      <c r="B39" t="s">
        <v>102</v>
      </c>
      <c r="C39" t="s">
        <v>76</v>
      </c>
      <c r="D39" t="s">
        <v>33</v>
      </c>
      <c r="H39">
        <v>47</v>
      </c>
      <c r="J39">
        <f t="shared" si="0"/>
        <v>47</v>
      </c>
      <c r="L39">
        <f t="shared" si="1"/>
        <v>2.0982142857142855E-2</v>
      </c>
    </row>
    <row r="40" spans="1:12" x14ac:dyDescent="0.25">
      <c r="A40">
        <v>1727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1727</v>
      </c>
      <c r="B41" t="s">
        <v>21</v>
      </c>
      <c r="C41" t="s">
        <v>76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1727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1727</v>
      </c>
      <c r="B43" t="s">
        <v>63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1727</v>
      </c>
      <c r="B44" t="s">
        <v>64</v>
      </c>
      <c r="C44" t="s">
        <v>76</v>
      </c>
      <c r="D44" t="s">
        <v>33</v>
      </c>
      <c r="E44">
        <v>11</v>
      </c>
      <c r="J44">
        <f t="shared" si="0"/>
        <v>24640</v>
      </c>
      <c r="L44">
        <f t="shared" si="1"/>
        <v>11</v>
      </c>
    </row>
    <row r="45" spans="1:12" x14ac:dyDescent="0.25">
      <c r="A45">
        <v>1727</v>
      </c>
      <c r="B45" t="s">
        <v>65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1727</v>
      </c>
      <c r="B46" t="s">
        <v>73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1727</v>
      </c>
      <c r="B47" t="s">
        <v>66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1727</v>
      </c>
      <c r="B48" t="s">
        <v>67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1727</v>
      </c>
      <c r="B49" t="s">
        <v>5</v>
      </c>
      <c r="C49" t="s">
        <v>76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1727</v>
      </c>
      <c r="B50" t="s">
        <v>6</v>
      </c>
      <c r="C50" t="s">
        <v>76</v>
      </c>
      <c r="D50" t="s">
        <v>35</v>
      </c>
      <c r="F50">
        <v>8541</v>
      </c>
      <c r="G50">
        <v>2</v>
      </c>
      <c r="H50">
        <v>5</v>
      </c>
      <c r="J50">
        <f t="shared" si="0"/>
        <v>956653</v>
      </c>
      <c r="L50">
        <f t="shared" si="1"/>
        <v>427.07723214285716</v>
      </c>
    </row>
    <row r="51" spans="1:12" x14ac:dyDescent="0.25">
      <c r="A51">
        <v>1727</v>
      </c>
      <c r="B51" t="s">
        <v>7</v>
      </c>
      <c r="C51" t="s">
        <v>76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1727</v>
      </c>
      <c r="B52" t="s">
        <v>8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1727</v>
      </c>
      <c r="B53" t="s">
        <v>9</v>
      </c>
      <c r="C53" t="s">
        <v>76</v>
      </c>
      <c r="D53" t="s">
        <v>35</v>
      </c>
      <c r="H53">
        <v>624</v>
      </c>
      <c r="J53">
        <f t="shared" si="0"/>
        <v>624</v>
      </c>
      <c r="L53">
        <f t="shared" si="1"/>
        <v>0.27857142857142858</v>
      </c>
    </row>
    <row r="54" spans="1:12" x14ac:dyDescent="0.25">
      <c r="A54">
        <v>1727</v>
      </c>
      <c r="B54" t="s">
        <v>10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1727</v>
      </c>
      <c r="B55" t="s">
        <v>11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1727</v>
      </c>
      <c r="B56" t="s">
        <v>12</v>
      </c>
      <c r="C56" t="s">
        <v>76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1727</v>
      </c>
      <c r="B57" t="s">
        <v>13</v>
      </c>
      <c r="C57" t="s">
        <v>76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1727</v>
      </c>
      <c r="B58" t="s">
        <v>14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1727</v>
      </c>
      <c r="B59" t="s">
        <v>27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1727</v>
      </c>
      <c r="B60" t="s">
        <v>15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1727</v>
      </c>
      <c r="B61" t="s">
        <v>17</v>
      </c>
      <c r="C61" t="s">
        <v>76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1727</v>
      </c>
      <c r="B62" t="s">
        <v>18</v>
      </c>
      <c r="C62" t="s">
        <v>76</v>
      </c>
      <c r="D62" t="s">
        <v>35</v>
      </c>
      <c r="H62">
        <v>857.5</v>
      </c>
      <c r="I62" t="s">
        <v>150</v>
      </c>
      <c r="J62">
        <f t="shared" si="0"/>
        <v>857.5</v>
      </c>
      <c r="L62">
        <f t="shared" si="1"/>
        <v>0.3828125</v>
      </c>
    </row>
    <row r="63" spans="1:12" x14ac:dyDescent="0.25">
      <c r="A63">
        <v>1727</v>
      </c>
      <c r="B63" t="s">
        <v>19</v>
      </c>
      <c r="C63" t="s">
        <v>76</v>
      </c>
      <c r="D63" t="s">
        <v>35</v>
      </c>
      <c r="G63">
        <v>2</v>
      </c>
      <c r="J63">
        <f t="shared" si="0"/>
        <v>56</v>
      </c>
      <c r="L63">
        <f t="shared" si="1"/>
        <v>2.5000000000000001E-2</v>
      </c>
    </row>
    <row r="64" spans="1:12" x14ac:dyDescent="0.25">
      <c r="A64">
        <v>1727</v>
      </c>
      <c r="B64" t="s">
        <v>56</v>
      </c>
      <c r="C64" t="s">
        <v>76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1727</v>
      </c>
      <c r="B65" t="s">
        <v>102</v>
      </c>
      <c r="C65" t="s">
        <v>76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1727</v>
      </c>
      <c r="B66" t="s">
        <v>21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1727</v>
      </c>
      <c r="B67" t="s">
        <v>22</v>
      </c>
      <c r="C67" t="s">
        <v>76</v>
      </c>
      <c r="D67" t="s">
        <v>35</v>
      </c>
      <c r="J67">
        <f t="shared" ref="J67:J68" si="2">(E67*2240)+(F67*112)+(G67*28)+H67</f>
        <v>0</v>
      </c>
      <c r="L67">
        <f t="shared" ref="L67:L68" si="3">J67/2240</f>
        <v>0</v>
      </c>
    </row>
    <row r="68" spans="1:12" x14ac:dyDescent="0.25">
      <c r="A68">
        <v>1727</v>
      </c>
      <c r="B68" t="s">
        <v>64</v>
      </c>
      <c r="C68" t="s">
        <v>76</v>
      </c>
      <c r="D68" t="s">
        <v>35</v>
      </c>
      <c r="E68">
        <v>21</v>
      </c>
      <c r="F68">
        <v>12</v>
      </c>
      <c r="G68">
        <v>3</v>
      </c>
      <c r="H68">
        <v>24</v>
      </c>
      <c r="J68">
        <f t="shared" si="2"/>
        <v>48492</v>
      </c>
      <c r="L68">
        <f t="shared" si="3"/>
        <v>21.648214285714285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2"/>
  <sheetViews>
    <sheetView topLeftCell="A19"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1727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1727</v>
      </c>
      <c r="B3" t="s">
        <v>59</v>
      </c>
      <c r="C3" t="s">
        <v>77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1727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1727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1727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1727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1727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1727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1727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1727</v>
      </c>
      <c r="B11" t="s">
        <v>6</v>
      </c>
      <c r="C11" t="s">
        <v>77</v>
      </c>
      <c r="D11" t="s">
        <v>33</v>
      </c>
      <c r="F11">
        <v>129065</v>
      </c>
      <c r="G11">
        <v>2</v>
      </c>
      <c r="H11">
        <v>16</v>
      </c>
      <c r="J11">
        <f t="shared" si="0"/>
        <v>14455352</v>
      </c>
      <c r="L11">
        <f t="shared" si="1"/>
        <v>6453.2821428571433</v>
      </c>
    </row>
    <row r="12" spans="1:12" x14ac:dyDescent="0.25">
      <c r="A12">
        <v>1727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1727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1727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1727</v>
      </c>
      <c r="B15" t="s">
        <v>8</v>
      </c>
      <c r="C15" t="s">
        <v>77</v>
      </c>
      <c r="D15" t="s">
        <v>33</v>
      </c>
      <c r="F15">
        <v>1053</v>
      </c>
      <c r="G15">
        <v>1</v>
      </c>
      <c r="H15">
        <v>20</v>
      </c>
      <c r="J15">
        <f t="shared" si="0"/>
        <v>117984</v>
      </c>
      <c r="L15">
        <f t="shared" si="1"/>
        <v>52.671428571428571</v>
      </c>
    </row>
    <row r="16" spans="1:12" x14ac:dyDescent="0.25">
      <c r="A16">
        <v>1727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1727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1727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1727</v>
      </c>
      <c r="B19" t="s">
        <v>9</v>
      </c>
      <c r="C19" t="s">
        <v>77</v>
      </c>
      <c r="D19" t="s">
        <v>33</v>
      </c>
      <c r="H19">
        <f>618*200</f>
        <v>123600</v>
      </c>
      <c r="I19" t="s">
        <v>135</v>
      </c>
      <c r="J19">
        <f t="shared" si="0"/>
        <v>123600</v>
      </c>
      <c r="L19">
        <f t="shared" si="1"/>
        <v>55.178571428571431</v>
      </c>
    </row>
    <row r="20" spans="1:12" x14ac:dyDescent="0.25">
      <c r="A20">
        <v>1727</v>
      </c>
      <c r="B20" t="s">
        <v>10</v>
      </c>
      <c r="C20" t="s">
        <v>77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1727</v>
      </c>
      <c r="B21" t="s">
        <v>11</v>
      </c>
      <c r="C21" t="s">
        <v>77</v>
      </c>
      <c r="D21" t="s">
        <v>33</v>
      </c>
      <c r="F21">
        <v>47</v>
      </c>
      <c r="G21">
        <v>3</v>
      </c>
      <c r="H21">
        <v>7</v>
      </c>
      <c r="J21">
        <f t="shared" si="0"/>
        <v>5355</v>
      </c>
      <c r="L21">
        <f t="shared" si="1"/>
        <v>2.390625</v>
      </c>
    </row>
    <row r="22" spans="1:12" x14ac:dyDescent="0.25">
      <c r="A22">
        <v>1727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1727</v>
      </c>
      <c r="B23" t="s">
        <v>82</v>
      </c>
      <c r="C23" t="s">
        <v>77</v>
      </c>
      <c r="D23" t="s">
        <v>33</v>
      </c>
      <c r="H23">
        <v>212</v>
      </c>
      <c r="J23">
        <f t="shared" si="0"/>
        <v>212</v>
      </c>
      <c r="L23">
        <f t="shared" si="1"/>
        <v>9.464285714285714E-2</v>
      </c>
    </row>
    <row r="24" spans="1:12" x14ac:dyDescent="0.25">
      <c r="A24">
        <v>1727</v>
      </c>
      <c r="B24" t="s">
        <v>46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1727</v>
      </c>
      <c r="B25" t="s">
        <v>12</v>
      </c>
      <c r="C25" t="s">
        <v>77</v>
      </c>
      <c r="D25" t="s">
        <v>33</v>
      </c>
      <c r="H25">
        <v>2612</v>
      </c>
      <c r="J25">
        <f t="shared" si="0"/>
        <v>2612</v>
      </c>
      <c r="L25">
        <f t="shared" si="1"/>
        <v>1.1660714285714286</v>
      </c>
    </row>
    <row r="26" spans="1:12" x14ac:dyDescent="0.25">
      <c r="A26">
        <v>1727</v>
      </c>
      <c r="B26" t="s">
        <v>34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1727</v>
      </c>
      <c r="B27" t="s">
        <v>13</v>
      </c>
      <c r="C27" t="s">
        <v>77</v>
      </c>
      <c r="D27" t="s">
        <v>33</v>
      </c>
      <c r="E27">
        <v>17</v>
      </c>
      <c r="F27">
        <v>5</v>
      </c>
      <c r="J27">
        <f t="shared" si="0"/>
        <v>38640</v>
      </c>
      <c r="L27">
        <f t="shared" si="1"/>
        <v>17.25</v>
      </c>
    </row>
    <row r="28" spans="1:12" x14ac:dyDescent="0.25">
      <c r="A28">
        <v>1727</v>
      </c>
      <c r="B28" t="s">
        <v>14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1727</v>
      </c>
      <c r="B29" t="s">
        <v>23</v>
      </c>
      <c r="C29" t="s">
        <v>77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1727</v>
      </c>
      <c r="B30" t="s">
        <v>27</v>
      </c>
      <c r="C30" t="s">
        <v>77</v>
      </c>
      <c r="D30" t="s">
        <v>33</v>
      </c>
      <c r="H30">
        <v>7322</v>
      </c>
      <c r="I30" t="s">
        <v>134</v>
      </c>
      <c r="J30">
        <f t="shared" si="0"/>
        <v>7322</v>
      </c>
      <c r="L30">
        <f t="shared" si="1"/>
        <v>3.2687499999999998</v>
      </c>
    </row>
    <row r="31" spans="1:12" x14ac:dyDescent="0.25">
      <c r="A31">
        <v>1727</v>
      </c>
      <c r="B31" t="s">
        <v>15</v>
      </c>
      <c r="C31" t="s">
        <v>77</v>
      </c>
      <c r="D31" t="s">
        <v>33</v>
      </c>
      <c r="F31">
        <v>9</v>
      </c>
      <c r="G31">
        <v>3</v>
      </c>
      <c r="J31">
        <f t="shared" si="0"/>
        <v>1092</v>
      </c>
      <c r="L31">
        <f t="shared" si="1"/>
        <v>0.48749999999999999</v>
      </c>
    </row>
    <row r="32" spans="1:12" x14ac:dyDescent="0.25">
      <c r="A32">
        <v>1727</v>
      </c>
      <c r="B32" t="s">
        <v>44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1727</v>
      </c>
      <c r="B33" t="s">
        <v>49</v>
      </c>
      <c r="C33" t="s">
        <v>77</v>
      </c>
      <c r="D33" t="s">
        <v>33</v>
      </c>
      <c r="H33">
        <v>65</v>
      </c>
      <c r="I33" t="s">
        <v>132</v>
      </c>
      <c r="J33">
        <f t="shared" si="0"/>
        <v>65</v>
      </c>
      <c r="L33">
        <f t="shared" si="1"/>
        <v>2.9017857142857144E-2</v>
      </c>
    </row>
    <row r="34" spans="1:12" x14ac:dyDescent="0.25">
      <c r="A34">
        <v>1727</v>
      </c>
      <c r="B34" t="s">
        <v>16</v>
      </c>
      <c r="C34" t="s">
        <v>77</v>
      </c>
      <c r="D34" t="s">
        <v>33</v>
      </c>
      <c r="H34">
        <v>596</v>
      </c>
      <c r="J34">
        <f t="shared" si="0"/>
        <v>596</v>
      </c>
      <c r="L34">
        <f t="shared" si="1"/>
        <v>0.26607142857142857</v>
      </c>
    </row>
    <row r="35" spans="1:12" x14ac:dyDescent="0.25">
      <c r="A35">
        <v>1727</v>
      </c>
      <c r="B35" t="s">
        <v>100</v>
      </c>
      <c r="C35" t="s">
        <v>77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1727</v>
      </c>
      <c r="B36" t="s">
        <v>17</v>
      </c>
      <c r="C36" t="s">
        <v>77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1727</v>
      </c>
      <c r="B37" t="s">
        <v>18</v>
      </c>
      <c r="C37" t="s">
        <v>77</v>
      </c>
      <c r="D37" t="s">
        <v>33</v>
      </c>
      <c r="H37">
        <v>52028</v>
      </c>
      <c r="I37" t="s">
        <v>133</v>
      </c>
      <c r="J37">
        <f t="shared" si="0"/>
        <v>52028</v>
      </c>
      <c r="L37">
        <f t="shared" si="1"/>
        <v>23.226785714285715</v>
      </c>
    </row>
    <row r="38" spans="1:12" x14ac:dyDescent="0.25">
      <c r="A38">
        <v>1727</v>
      </c>
      <c r="B38" t="s">
        <v>72</v>
      </c>
      <c r="C38" t="s">
        <v>77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1727</v>
      </c>
      <c r="B39" t="s">
        <v>19</v>
      </c>
      <c r="C39" t="s">
        <v>77</v>
      </c>
      <c r="D39" t="s">
        <v>33</v>
      </c>
      <c r="F39">
        <v>3</v>
      </c>
      <c r="G39">
        <v>1</v>
      </c>
      <c r="J39">
        <f t="shared" si="0"/>
        <v>364</v>
      </c>
      <c r="L39">
        <f t="shared" si="1"/>
        <v>0.16250000000000001</v>
      </c>
    </row>
    <row r="40" spans="1:12" x14ac:dyDescent="0.25">
      <c r="A40">
        <v>1727</v>
      </c>
      <c r="B40" t="s">
        <v>47</v>
      </c>
      <c r="C40" t="s">
        <v>77</v>
      </c>
      <c r="D40" t="s">
        <v>33</v>
      </c>
      <c r="H40">
        <v>17</v>
      </c>
      <c r="J40">
        <f t="shared" si="0"/>
        <v>17</v>
      </c>
      <c r="L40">
        <f t="shared" si="1"/>
        <v>7.5892857142857142E-3</v>
      </c>
    </row>
    <row r="41" spans="1:12" x14ac:dyDescent="0.25">
      <c r="A41">
        <v>1727</v>
      </c>
      <c r="B41" t="s">
        <v>56</v>
      </c>
      <c r="C41" t="s">
        <v>77</v>
      </c>
      <c r="D41" t="s">
        <v>33</v>
      </c>
      <c r="H41">
        <v>486</v>
      </c>
      <c r="J41">
        <f t="shared" si="0"/>
        <v>486</v>
      </c>
      <c r="L41">
        <f t="shared" si="1"/>
        <v>0.21696428571428572</v>
      </c>
    </row>
    <row r="42" spans="1:12" x14ac:dyDescent="0.25">
      <c r="A42">
        <v>1727</v>
      </c>
      <c r="B42" t="s">
        <v>102</v>
      </c>
      <c r="C42" t="s">
        <v>77</v>
      </c>
      <c r="D42" t="s">
        <v>33</v>
      </c>
      <c r="H42">
        <v>46</v>
      </c>
      <c r="J42">
        <f t="shared" si="0"/>
        <v>46</v>
      </c>
      <c r="L42">
        <f t="shared" si="1"/>
        <v>2.0535714285714286E-2</v>
      </c>
    </row>
    <row r="43" spans="1:12" x14ac:dyDescent="0.25">
      <c r="A43">
        <v>1727</v>
      </c>
      <c r="B43" t="s">
        <v>20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1727</v>
      </c>
      <c r="B44" t="s">
        <v>21</v>
      </c>
      <c r="C44" t="s">
        <v>77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1727</v>
      </c>
      <c r="B45" t="s">
        <v>22</v>
      </c>
      <c r="C45" t="s">
        <v>77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1727</v>
      </c>
      <c r="B46" t="s">
        <v>63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1727</v>
      </c>
      <c r="B47" t="s">
        <v>64</v>
      </c>
      <c r="C47" t="s">
        <v>77</v>
      </c>
      <c r="D47" t="s">
        <v>33</v>
      </c>
      <c r="E47">
        <v>403</v>
      </c>
      <c r="F47">
        <v>14</v>
      </c>
      <c r="H47">
        <v>9</v>
      </c>
      <c r="J47">
        <f t="shared" si="0"/>
        <v>904297</v>
      </c>
      <c r="L47">
        <f t="shared" si="1"/>
        <v>403.70401785714284</v>
      </c>
    </row>
    <row r="48" spans="1:12" x14ac:dyDescent="0.25">
      <c r="A48">
        <v>1727</v>
      </c>
      <c r="B48" t="s">
        <v>65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1727</v>
      </c>
      <c r="B49" t="s">
        <v>73</v>
      </c>
      <c r="C49" t="s">
        <v>77</v>
      </c>
      <c r="D49" t="s">
        <v>33</v>
      </c>
      <c r="E49">
        <v>13</v>
      </c>
      <c r="J49">
        <f t="shared" si="0"/>
        <v>29120</v>
      </c>
      <c r="L49">
        <f t="shared" si="1"/>
        <v>13</v>
      </c>
    </row>
    <row r="50" spans="1:12" x14ac:dyDescent="0.25">
      <c r="A50">
        <v>1727</v>
      </c>
      <c r="B50" t="s">
        <v>66</v>
      </c>
      <c r="C50" t="s">
        <v>77</v>
      </c>
      <c r="D50" t="s">
        <v>33</v>
      </c>
      <c r="E50">
        <v>1</v>
      </c>
      <c r="J50">
        <f t="shared" si="0"/>
        <v>2240</v>
      </c>
      <c r="L50">
        <f t="shared" si="1"/>
        <v>1</v>
      </c>
    </row>
    <row r="51" spans="1:12" x14ac:dyDescent="0.25">
      <c r="A51">
        <v>1727</v>
      </c>
      <c r="B51" t="s">
        <v>67</v>
      </c>
      <c r="C51" t="s">
        <v>77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1727</v>
      </c>
      <c r="B52" t="s">
        <v>6</v>
      </c>
      <c r="C52" t="s">
        <v>77</v>
      </c>
      <c r="D52" t="s">
        <v>35</v>
      </c>
      <c r="F52">
        <v>12300</v>
      </c>
      <c r="G52">
        <v>2</v>
      </c>
      <c r="H52">
        <v>22</v>
      </c>
      <c r="J52">
        <f t="shared" si="0"/>
        <v>1377678</v>
      </c>
      <c r="L52">
        <f t="shared" si="1"/>
        <v>615.03482142857138</v>
      </c>
    </row>
    <row r="53" spans="1:12" x14ac:dyDescent="0.25">
      <c r="A53">
        <v>1727</v>
      </c>
      <c r="B53" t="s">
        <v>7</v>
      </c>
      <c r="C53" t="s">
        <v>77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1727</v>
      </c>
      <c r="B54" t="s">
        <v>8</v>
      </c>
      <c r="C54" t="s">
        <v>77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1727</v>
      </c>
      <c r="B55" t="s">
        <v>9</v>
      </c>
      <c r="C55" t="s">
        <v>77</v>
      </c>
      <c r="D55" t="s">
        <v>35</v>
      </c>
      <c r="F55">
        <v>343</v>
      </c>
      <c r="H55">
        <v>4</v>
      </c>
      <c r="J55">
        <f t="shared" si="0"/>
        <v>38420</v>
      </c>
      <c r="L55">
        <f t="shared" si="1"/>
        <v>17.151785714285715</v>
      </c>
    </row>
    <row r="56" spans="1:12" x14ac:dyDescent="0.25">
      <c r="A56">
        <v>1727</v>
      </c>
      <c r="B56" t="s">
        <v>10</v>
      </c>
      <c r="C56" t="s">
        <v>77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1727</v>
      </c>
      <c r="B57" t="s">
        <v>11</v>
      </c>
      <c r="C57" t="s">
        <v>77</v>
      </c>
      <c r="D57" t="s">
        <v>35</v>
      </c>
      <c r="F57">
        <v>1</v>
      </c>
      <c r="G57">
        <v>2</v>
      </c>
      <c r="H57">
        <v>20</v>
      </c>
      <c r="J57">
        <f t="shared" si="0"/>
        <v>188</v>
      </c>
      <c r="L57">
        <f t="shared" si="1"/>
        <v>8.3928571428571422E-2</v>
      </c>
    </row>
    <row r="58" spans="1:12" x14ac:dyDescent="0.25">
      <c r="A58">
        <v>1727</v>
      </c>
      <c r="B58" t="s">
        <v>82</v>
      </c>
      <c r="C58" t="s">
        <v>77</v>
      </c>
      <c r="D58" t="s">
        <v>35</v>
      </c>
      <c r="H58">
        <v>316</v>
      </c>
      <c r="J58">
        <f t="shared" si="0"/>
        <v>316</v>
      </c>
      <c r="L58">
        <f t="shared" si="1"/>
        <v>0.14107142857142857</v>
      </c>
    </row>
    <row r="59" spans="1:12" x14ac:dyDescent="0.25">
      <c r="A59">
        <v>1727</v>
      </c>
      <c r="B59" t="s">
        <v>12</v>
      </c>
      <c r="C59" t="s">
        <v>77</v>
      </c>
      <c r="D59" t="s">
        <v>35</v>
      </c>
      <c r="H59">
        <v>180</v>
      </c>
      <c r="J59">
        <f t="shared" si="0"/>
        <v>180</v>
      </c>
      <c r="L59">
        <f t="shared" si="1"/>
        <v>8.0357142857142863E-2</v>
      </c>
    </row>
    <row r="60" spans="1:12" x14ac:dyDescent="0.25">
      <c r="A60">
        <v>1727</v>
      </c>
      <c r="B60" t="s">
        <v>13</v>
      </c>
      <c r="C60" t="s">
        <v>77</v>
      </c>
      <c r="D60" t="s">
        <v>35</v>
      </c>
      <c r="E60">
        <v>4</v>
      </c>
      <c r="F60">
        <v>16</v>
      </c>
      <c r="G60">
        <v>3</v>
      </c>
      <c r="H60">
        <v>26</v>
      </c>
      <c r="J60">
        <f t="shared" si="0"/>
        <v>10862</v>
      </c>
      <c r="L60">
        <f t="shared" si="1"/>
        <v>4.8491071428571431</v>
      </c>
    </row>
    <row r="61" spans="1:12" x14ac:dyDescent="0.25">
      <c r="A61">
        <v>1727</v>
      </c>
      <c r="B61" t="s">
        <v>14</v>
      </c>
      <c r="C61" t="s">
        <v>77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1727</v>
      </c>
      <c r="B62" t="s">
        <v>27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1727</v>
      </c>
      <c r="B63" t="s">
        <v>15</v>
      </c>
      <c r="C63" t="s">
        <v>77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1727</v>
      </c>
      <c r="B64" t="s">
        <v>17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1727</v>
      </c>
      <c r="B65" t="s">
        <v>18</v>
      </c>
      <c r="C65" t="s">
        <v>77</v>
      </c>
      <c r="D65" t="s">
        <v>35</v>
      </c>
      <c r="H65">
        <v>2308</v>
      </c>
      <c r="I65" t="s">
        <v>151</v>
      </c>
      <c r="J65">
        <f t="shared" si="0"/>
        <v>2308</v>
      </c>
      <c r="L65">
        <f t="shared" si="1"/>
        <v>1.0303571428571427</v>
      </c>
    </row>
    <row r="66" spans="1:12" x14ac:dyDescent="0.25">
      <c r="A66">
        <v>1727</v>
      </c>
      <c r="B66" t="s">
        <v>19</v>
      </c>
      <c r="C66" t="s">
        <v>77</v>
      </c>
      <c r="D66" t="s">
        <v>35</v>
      </c>
      <c r="F66">
        <v>8</v>
      </c>
      <c r="J66">
        <f t="shared" si="0"/>
        <v>896</v>
      </c>
      <c r="L66">
        <f t="shared" si="1"/>
        <v>0.4</v>
      </c>
    </row>
    <row r="67" spans="1:12" x14ac:dyDescent="0.25">
      <c r="A67">
        <v>1727</v>
      </c>
      <c r="B67" t="s">
        <v>56</v>
      </c>
      <c r="C67" t="s">
        <v>77</v>
      </c>
      <c r="D67" t="s">
        <v>35</v>
      </c>
      <c r="J67">
        <f t="shared" ref="J67:J72" si="2">(E67*2240)+(F67*112)+(G67*28)+H67</f>
        <v>0</v>
      </c>
      <c r="L67">
        <f t="shared" ref="L67:L72" si="3">J67/2240</f>
        <v>0</v>
      </c>
    </row>
    <row r="68" spans="1:12" x14ac:dyDescent="0.25">
      <c r="A68">
        <v>1727</v>
      </c>
      <c r="B68" t="s">
        <v>20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1727</v>
      </c>
      <c r="B69" t="s">
        <v>21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1727</v>
      </c>
      <c r="B70" t="s">
        <v>22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1727</v>
      </c>
      <c r="B71" t="s">
        <v>64</v>
      </c>
      <c r="C71" t="s">
        <v>77</v>
      </c>
      <c r="D71" t="s">
        <v>35</v>
      </c>
      <c r="E71">
        <v>115</v>
      </c>
      <c r="F71">
        <v>11</v>
      </c>
      <c r="G71">
        <v>2</v>
      </c>
      <c r="H71">
        <v>25</v>
      </c>
      <c r="J71">
        <f t="shared" si="2"/>
        <v>258913</v>
      </c>
      <c r="L71">
        <f t="shared" si="3"/>
        <v>115.58616071428571</v>
      </c>
    </row>
    <row r="72" spans="1:12" x14ac:dyDescent="0.25">
      <c r="A72">
        <v>1727</v>
      </c>
      <c r="B72" t="s">
        <v>66</v>
      </c>
      <c r="C72" t="s">
        <v>77</v>
      </c>
      <c r="D72" t="s">
        <v>35</v>
      </c>
      <c r="J72">
        <f t="shared" si="2"/>
        <v>0</v>
      </c>
      <c r="L72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2025-04-29T19:12:08Z</dcterms:modified>
</cp:coreProperties>
</file>