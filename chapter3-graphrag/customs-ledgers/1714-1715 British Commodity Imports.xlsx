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102" documentId="8_{28EA6294-9C29-4F5E-A4EB-11EE8514FBAF}" xr6:coauthVersionLast="47" xr6:coauthVersionMax="47" xr10:uidLastSave="{25E6E68A-4D6B-4C5D-A963-11E4CB8CCC23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Barbados!$A$1:$N$53</definedName>
    <definedName name="_xlnm._FilterDatabase" localSheetId="5" hidden="1">Jamaica!$A$1:$O$61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8" i="5" l="1"/>
  <c r="L118" i="5" s="1"/>
  <c r="J72" i="5"/>
  <c r="L72" i="5" s="1"/>
  <c r="J82" i="3"/>
  <c r="L82" i="3" s="1"/>
  <c r="J117" i="2"/>
  <c r="L117" i="2" s="1"/>
  <c r="J54" i="11"/>
  <c r="L54" i="11" s="1"/>
  <c r="J10" i="11"/>
  <c r="L10" i="11" s="1"/>
  <c r="J54" i="5"/>
  <c r="L54" i="5" s="1"/>
  <c r="J8" i="5"/>
  <c r="L8" i="5" s="1"/>
  <c r="J14" i="4"/>
  <c r="L14" i="4" s="1"/>
  <c r="J16" i="4"/>
  <c r="L16" i="4" s="1"/>
  <c r="J12" i="4"/>
  <c r="L12" i="4" s="1"/>
  <c r="J9" i="4"/>
  <c r="L9" i="4" s="1"/>
  <c r="J6" i="4"/>
  <c r="L6" i="4" s="1"/>
  <c r="J22" i="3"/>
  <c r="L22" i="3" s="1"/>
  <c r="J29" i="2"/>
  <c r="L29" i="2" s="1"/>
  <c r="J8" i="2"/>
  <c r="L8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L68" i="8"/>
  <c r="J68" i="8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J112" i="7"/>
  <c r="L112" i="7" s="1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J104" i="7"/>
  <c r="L104" i="7" s="1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L32" i="7"/>
  <c r="J32" i="7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J20" i="7"/>
  <c r="L20" i="7" s="1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L116" i="6"/>
  <c r="J116" i="6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J108" i="6"/>
  <c r="L108" i="6" s="1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J87" i="6"/>
  <c r="L87" i="6" s="1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L68" i="6"/>
  <c r="J68" i="6"/>
  <c r="J67" i="6"/>
  <c r="L67" i="6" s="1"/>
  <c r="J66" i="6"/>
  <c r="L66" i="6" s="1"/>
  <c r="J65" i="6"/>
  <c r="L65" i="6" s="1"/>
  <c r="J64" i="6"/>
  <c r="L64" i="6" s="1"/>
  <c r="J63" i="6"/>
  <c r="L63" i="6" s="1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L55" i="6"/>
  <c r="J55" i="6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J44" i="6"/>
  <c r="L44" i="6" s="1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8" i="2"/>
  <c r="L118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3" i="3"/>
  <c r="L23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3" i="3"/>
  <c r="L83" i="3" s="1"/>
  <c r="J84" i="3"/>
  <c r="L84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3" i="4"/>
  <c r="L13" i="4" s="1"/>
  <c r="J15" i="4"/>
  <c r="L15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3" i="5"/>
  <c r="L3" i="5" s="1"/>
  <c r="J4" i="5"/>
  <c r="L4" i="5" s="1"/>
  <c r="J5" i="5"/>
  <c r="L5" i="5" s="1"/>
  <c r="J6" i="5"/>
  <c r="L6" i="5" s="1"/>
  <c r="J7" i="5"/>
  <c r="L7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5" i="5"/>
  <c r="L55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3" i="5"/>
  <c r="L73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D5" i="1" s="1"/>
  <c r="B26" i="1"/>
  <c r="B13" i="1"/>
  <c r="D13" i="1" s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4" i="1" l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<sst xmlns="http://schemas.openxmlformats.org/spreadsheetml/2006/main" count="3456" uniqueCount="140">
  <si>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</si>
  <si>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</si>
  <si>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</si>
  <si>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</si>
  <si>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</si>
  <si>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</si>
  <si>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</si>
  <si>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</si>
  <si>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</si>
  <si>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</si>
  <si>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</si>
  <si>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</si>
  <si>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</si>
  <si>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</si>
  <si>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</si>
  <si>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</si>
  <si>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</si>
  <si>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</si>
  <si>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</si>
  <si>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</si>
  <si>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</si>
  <si>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</si>
  <si>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</si>
  <si>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</si>
  <si>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</si>
  <si>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</si>
  <si>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</si>
  <si>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</si>
  <si>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</si>
  <si>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</si>
  <si>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</si>
  <si>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</si>
  <si>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</si>
  <si>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</si>
  <si>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</si>
  <si>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</si>
  <si>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</si>
  <si>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</si>
  <si>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</si>
  <si>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</si>
  <si>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</si>
  <si>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</si>
  <si>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</si>
  <si>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</si>
  <si>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</si>
  <si>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</si>
  <si>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</si>
  <si>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</si>
  <si>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</si>
  <si>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</si>
  <si>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</si>
  <si>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</si>
  <si>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</si>
  <si>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</si>
  <si>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</si>
  <si>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</si>
  <si>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</si>
  <si>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</si>
  <si>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</si>
  <si>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</si>
  <si>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</si>
  <si>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</si>
  <si>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</si>
  <si>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</si>
  <si>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</si>
  <si>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</si>
  <si>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</si>
  <si>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</si>
  <si>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</si>
  <si>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</si>
  <si>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</si>
  <si>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</si>
  <si>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</si>
  <si>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</si>
  <si>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</si>
  <si>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</si>
  <si>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</si>
  <si>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</si>
  <si>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</si>
  <si>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</si>
  <si>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</si>
  <si>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</si>
  <si>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</si>
  <si>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</si>
  <si>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</si>
  <si>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</si>
  <si>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</si>
  <si>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</si>
  <si>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</si>
  <si>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</si>
  <si>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</si>
  <si>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</si>
  <si>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</si>
  <si>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</si>
  <si>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</si>
  <si>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</si>
  <si>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</si>
  <si>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</si>
  <si>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</si>
  <si>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</si>
  <si>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</si>
  <si>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</si>
  <si>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9t 1h 32g</t>
  </si>
  <si>
    <t>4339g</t>
  </si>
  <si>
    <t>Gum Seneca</t>
  </si>
  <si>
    <t>40t 21g</t>
  </si>
  <si>
    <t>1901g</t>
  </si>
  <si>
    <t>14481.75g</t>
  </si>
  <si>
    <t>14t 2h 3g</t>
  </si>
  <si>
    <t>1023g</t>
  </si>
  <si>
    <t>9130.5g</t>
  </si>
  <si>
    <t>75g</t>
  </si>
  <si>
    <t>330g</t>
  </si>
  <si>
    <t>Gum Guiaci</t>
  </si>
  <si>
    <t>1t 2h 39g</t>
  </si>
  <si>
    <t>95g</t>
  </si>
  <si>
    <t>21g</t>
  </si>
  <si>
    <t>65.5g</t>
  </si>
  <si>
    <t>Beaver Skins</t>
  </si>
  <si>
    <t>50g</t>
  </si>
  <si>
    <t>198g</t>
  </si>
  <si>
    <t>Whalefins</t>
  </si>
  <si>
    <t>3h 54g</t>
  </si>
  <si>
    <t>1752.5g</t>
  </si>
  <si>
    <t>Potatoes</t>
  </si>
  <si>
    <t>1t 36g</t>
  </si>
  <si>
    <t>2032.5g</t>
  </si>
  <si>
    <t>2050g</t>
  </si>
  <si>
    <t>1h 28g</t>
  </si>
  <si>
    <t>2036g</t>
  </si>
  <si>
    <t>3125.5g</t>
  </si>
  <si>
    <t>115g</t>
  </si>
  <si>
    <t>88g</t>
  </si>
  <si>
    <t>1t 23g</t>
  </si>
  <si>
    <t>30g</t>
  </si>
  <si>
    <t>111g</t>
  </si>
  <si>
    <t>64g</t>
  </si>
  <si>
    <t>2.5g</t>
  </si>
  <si>
    <t>35g</t>
  </si>
  <si>
    <t>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</si>
</sst>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D2" sqref="D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0.15178571428571427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0.15178571428571427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6.25E-2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</v>
      </c>
      <c r="D3">
        <f t="shared" ref="D3:D31" si="0">B3+C3</f>
        <v>6.25E-2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24636.73392857143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6092.3589285714297</v>
      </c>
      <c r="D4">
        <f t="shared" si="0"/>
        <v>30729.092857142859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3.3482142857142856E-2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3.3482142857142856E-2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23.735714285714288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0.46919642857142857</v>
      </c>
      <c r="D6">
        <f t="shared" si="0"/>
        <v>24.204910714285717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323.21428571428572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277.54642857142863</v>
      </c>
      <c r="D7">
        <f t="shared" si="0"/>
        <v>600.76071428571436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272.20758928571428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47.581696428571426</v>
      </c>
      <c r="D8">
        <f t="shared" si="0"/>
        <v>319.78928571428571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16.691964285714285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14.224107142857143</v>
      </c>
      <c r="D9">
        <f t="shared" si="0"/>
        <v>30.916071428571428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45.103571428571435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18.170535714285712</v>
      </c>
      <c r="D10">
        <f t="shared" si="0"/>
        <v>63.274107142857147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83.171875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6.1245535714285717</v>
      </c>
      <c r="D11">
        <f t="shared" si="0"/>
        <v>89.296428571428578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13.391741071428571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19.037946428571431</v>
      </c>
      <c r="D12">
        <f t="shared" si="0"/>
        <v>32.4296875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45.616964285714289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10.429910714285715</v>
      </c>
      <c r="D13">
        <f t="shared" si="0"/>
        <v>56.046875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49.22901785714285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40.882142857142853</v>
      </c>
      <c r="D14">
        <f t="shared" si="0"/>
        <v>90.111160714285703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35.691517857142856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18.471875000000001</v>
      </c>
      <c r="D15">
        <f t="shared" si="0"/>
        <v>54.163392857142853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127.88861607142856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22.952232142857142</v>
      </c>
      <c r="D16">
        <f t="shared" si="0"/>
        <v>150.8408482142857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9.3316964285714281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0.3950892857142857</v>
      </c>
      <c r="D17">
        <f t="shared" si="0"/>
        <v>9.7267857142857146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1.1236607142857142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0.14330357142857145</v>
      </c>
      <c r="D18">
        <f t="shared" si="0"/>
        <v>1.2669642857142858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4.3263392857142859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0.4910714285714286</v>
      </c>
      <c r="D19">
        <f t="shared" si="0"/>
        <v>4.8174107142857148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2.0017857142857145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0.51495535714285712</v>
      </c>
      <c r="D20">
        <f t="shared" si="0"/>
        <v>2.5167410714285716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33.624553571428571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0.43973214285714285</v>
      </c>
      <c r="D21">
        <f t="shared" si="0"/>
        <v>34.064285714285717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33.809821428571432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33.809821428571432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86.22276785714287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4.1970982142857141</v>
      </c>
      <c r="D26">
        <f t="shared" si="0"/>
        <v>90.419866071428586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76.474999999999994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25.046428571428571</v>
      </c>
      <c r="D27">
        <f t="shared" si="0"/>
        <v>101.52142857142857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1723.3794642857144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770.41517857142856</v>
      </c>
      <c r="D28">
        <f t="shared" si="0"/>
        <v>2493.7946428571431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1550.2459821428572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739.48883928571433</v>
      </c>
      <c r="D29">
        <f t="shared" si="0"/>
        <v>2289.7348214285716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44.765625000000007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36.272321428571431</v>
      </c>
      <c r="D30">
        <f t="shared" si="0"/>
        <v>81.037946428571445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5.637053571428571</v>
      </c>
      <c r="D31">
        <f t="shared" si="0"/>
        <v>5.637053571428571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113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29"/>
  <sheetViews>
    <sheetView workbookViewId="0">
      <selection activeCell="S18" sqref="S1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1715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1715</v>
      </c>
      <c r="B3" t="s">
        <v>57</v>
      </c>
      <c r="C3" t="s">
        <v>53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1715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1715</v>
      </c>
      <c r="B5" t="s">
        <v>4</v>
      </c>
      <c r="C5" t="s">
        <v>53</v>
      </c>
      <c r="D5" t="s">
        <v>33</v>
      </c>
      <c r="H5">
        <v>240</v>
      </c>
      <c r="J5">
        <f t="shared" si="0"/>
        <v>240</v>
      </c>
      <c r="L5">
        <f t="shared" si="1"/>
        <v>0.10714285714285714</v>
      </c>
    </row>
    <row r="6" spans="1:15" x14ac:dyDescent="0.25">
      <c r="A6">
        <v>1715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1715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1715</v>
      </c>
      <c r="B8" t="s">
        <v>101</v>
      </c>
      <c r="C8" t="s">
        <v>53</v>
      </c>
      <c r="D8" t="s">
        <v>33</v>
      </c>
      <c r="H8">
        <v>20</v>
      </c>
      <c r="J8">
        <f t="shared" si="0"/>
        <v>20</v>
      </c>
      <c r="L8">
        <f t="shared" si="1"/>
        <v>8.9285714285714281E-3</v>
      </c>
    </row>
    <row r="9" spans="1:15" x14ac:dyDescent="0.25">
      <c r="A9">
        <v>1715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1715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1715</v>
      </c>
      <c r="B11" t="s">
        <v>5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1715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1715</v>
      </c>
      <c r="B13" t="s">
        <v>6</v>
      </c>
      <c r="C13" t="s">
        <v>53</v>
      </c>
      <c r="D13" t="s">
        <v>33</v>
      </c>
      <c r="F13">
        <v>93664</v>
      </c>
      <c r="G13">
        <v>1</v>
      </c>
      <c r="H13">
        <v>14</v>
      </c>
      <c r="J13">
        <f t="shared" si="0"/>
        <v>10490410</v>
      </c>
      <c r="L13">
        <f t="shared" si="1"/>
        <v>4683.21875</v>
      </c>
    </row>
    <row r="14" spans="1:15" x14ac:dyDescent="0.25">
      <c r="A14">
        <v>1715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1715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1715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1715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1715</v>
      </c>
      <c r="B18" t="s">
        <v>8</v>
      </c>
      <c r="C18" t="s">
        <v>53</v>
      </c>
      <c r="D18" t="s">
        <v>33</v>
      </c>
      <c r="F18">
        <v>1</v>
      </c>
      <c r="G18">
        <v>1</v>
      </c>
      <c r="H18">
        <v>2</v>
      </c>
      <c r="J18">
        <f t="shared" si="0"/>
        <v>142</v>
      </c>
      <c r="L18">
        <f t="shared" si="1"/>
        <v>6.339285714285714E-2</v>
      </c>
    </row>
    <row r="19" spans="1:12" x14ac:dyDescent="0.25">
      <c r="A19">
        <v>1715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1715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1715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1715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1715</v>
      </c>
      <c r="B23" t="s">
        <v>9</v>
      </c>
      <c r="C23" t="s">
        <v>53</v>
      </c>
      <c r="D23" t="s">
        <v>33</v>
      </c>
      <c r="H23">
        <v>163167</v>
      </c>
      <c r="J23">
        <f t="shared" si="0"/>
        <v>163167</v>
      </c>
      <c r="L23">
        <f t="shared" si="1"/>
        <v>72.84241071428572</v>
      </c>
    </row>
    <row r="24" spans="1:12" x14ac:dyDescent="0.25">
      <c r="A24">
        <v>1715</v>
      </c>
      <c r="B24" t="s">
        <v>10</v>
      </c>
      <c r="C24" t="s">
        <v>53</v>
      </c>
      <c r="D24" t="s">
        <v>33</v>
      </c>
      <c r="F24">
        <v>216</v>
      </c>
      <c r="G24">
        <v>3</v>
      </c>
      <c r="H24">
        <v>1</v>
      </c>
      <c r="J24">
        <f t="shared" si="0"/>
        <v>24277</v>
      </c>
      <c r="L24">
        <f t="shared" si="1"/>
        <v>10.837946428571428</v>
      </c>
    </row>
    <row r="25" spans="1:12" x14ac:dyDescent="0.25">
      <c r="A25">
        <v>1715</v>
      </c>
      <c r="B25" t="s">
        <v>11</v>
      </c>
      <c r="C25" t="s">
        <v>53</v>
      </c>
      <c r="D25" t="s">
        <v>33</v>
      </c>
      <c r="F25">
        <v>29</v>
      </c>
      <c r="G25">
        <v>3</v>
      </c>
      <c r="H25">
        <v>14</v>
      </c>
      <c r="J25">
        <f t="shared" si="0"/>
        <v>3346</v>
      </c>
      <c r="L25">
        <f t="shared" si="1"/>
        <v>1.4937499999999999</v>
      </c>
    </row>
    <row r="26" spans="1:12" x14ac:dyDescent="0.25">
      <c r="A26">
        <v>1715</v>
      </c>
      <c r="B26" t="s">
        <v>39</v>
      </c>
      <c r="C26" t="s">
        <v>53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1715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1715</v>
      </c>
      <c r="B28" t="s">
        <v>113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1715</v>
      </c>
      <c r="B29" t="s">
        <v>104</v>
      </c>
      <c r="C29" t="s">
        <v>53</v>
      </c>
      <c r="D29" t="s">
        <v>33</v>
      </c>
      <c r="G29">
        <v>2</v>
      </c>
      <c r="J29">
        <f t="shared" si="0"/>
        <v>56</v>
      </c>
      <c r="L29">
        <f t="shared" si="1"/>
        <v>2.5000000000000001E-2</v>
      </c>
    </row>
    <row r="30" spans="1:12" x14ac:dyDescent="0.25">
      <c r="A30">
        <v>1715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1715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1715</v>
      </c>
      <c r="B32" t="s">
        <v>12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1715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1715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1715</v>
      </c>
      <c r="B35" t="s">
        <v>13</v>
      </c>
      <c r="C35" t="s">
        <v>53</v>
      </c>
      <c r="D35" t="s">
        <v>33</v>
      </c>
      <c r="E35">
        <v>44</v>
      </c>
      <c r="F35">
        <v>15</v>
      </c>
      <c r="G35">
        <v>2</v>
      </c>
      <c r="H35">
        <v>7</v>
      </c>
      <c r="J35">
        <f t="shared" si="0"/>
        <v>100303</v>
      </c>
      <c r="L35">
        <f t="shared" si="1"/>
        <v>44.778125000000003</v>
      </c>
    </row>
    <row r="36" spans="1:12" x14ac:dyDescent="0.25">
      <c r="A36">
        <v>1715</v>
      </c>
      <c r="B36" t="s">
        <v>14</v>
      </c>
      <c r="C36" t="s">
        <v>53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1715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1715</v>
      </c>
      <c r="B38" t="s">
        <v>27</v>
      </c>
      <c r="C38" t="s">
        <v>53</v>
      </c>
      <c r="D38" t="s">
        <v>33</v>
      </c>
      <c r="H38">
        <v>23636</v>
      </c>
      <c r="I38" t="s">
        <v>102</v>
      </c>
      <c r="J38">
        <f t="shared" si="0"/>
        <v>23636</v>
      </c>
      <c r="L38">
        <f t="shared" si="1"/>
        <v>10.551785714285714</v>
      </c>
    </row>
    <row r="39" spans="1:12" x14ac:dyDescent="0.25">
      <c r="A39">
        <v>1715</v>
      </c>
      <c r="B39" t="s">
        <v>15</v>
      </c>
      <c r="C39" t="s">
        <v>53</v>
      </c>
      <c r="D39" t="s">
        <v>33</v>
      </c>
      <c r="F39">
        <v>446</v>
      </c>
      <c r="G39">
        <v>2</v>
      </c>
      <c r="H39">
        <v>21</v>
      </c>
      <c r="J39">
        <f t="shared" si="0"/>
        <v>50029</v>
      </c>
      <c r="L39">
        <f t="shared" si="1"/>
        <v>22.334375000000001</v>
      </c>
    </row>
    <row r="40" spans="1:12" x14ac:dyDescent="0.25">
      <c r="A40">
        <v>1715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1715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1715</v>
      </c>
      <c r="B42" t="s">
        <v>47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1715</v>
      </c>
      <c r="B43" t="s">
        <v>16</v>
      </c>
      <c r="C43" t="s">
        <v>53</v>
      </c>
      <c r="D43" t="s">
        <v>33</v>
      </c>
      <c r="H43">
        <v>90</v>
      </c>
      <c r="J43">
        <f t="shared" si="0"/>
        <v>90</v>
      </c>
      <c r="L43">
        <f t="shared" si="1"/>
        <v>4.0178571428571432E-2</v>
      </c>
    </row>
    <row r="44" spans="1:12" x14ac:dyDescent="0.25">
      <c r="A44">
        <v>1715</v>
      </c>
      <c r="B44" t="s">
        <v>17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1715</v>
      </c>
      <c r="B45" t="s">
        <v>18</v>
      </c>
      <c r="C45" t="s">
        <v>53</v>
      </c>
      <c r="D45" t="s">
        <v>33</v>
      </c>
      <c r="H45">
        <v>43401</v>
      </c>
      <c r="I45" t="s">
        <v>103</v>
      </c>
      <c r="J45">
        <f t="shared" si="0"/>
        <v>43401</v>
      </c>
      <c r="L45">
        <f t="shared" si="1"/>
        <v>19.375446428571429</v>
      </c>
    </row>
    <row r="46" spans="1:12" x14ac:dyDescent="0.25">
      <c r="A46">
        <v>1715</v>
      </c>
      <c r="B46" t="s">
        <v>26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1715</v>
      </c>
      <c r="B47" t="s">
        <v>84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1715</v>
      </c>
      <c r="B48" t="s">
        <v>19</v>
      </c>
      <c r="C48" t="s">
        <v>53</v>
      </c>
      <c r="D48" t="s">
        <v>33</v>
      </c>
      <c r="F48">
        <v>44</v>
      </c>
      <c r="G48">
        <v>2</v>
      </c>
      <c r="H48">
        <v>26</v>
      </c>
      <c r="J48">
        <f t="shared" si="0"/>
        <v>5010</v>
      </c>
      <c r="L48">
        <f t="shared" si="1"/>
        <v>2.2366071428571428</v>
      </c>
    </row>
    <row r="49" spans="1:12" x14ac:dyDescent="0.25">
      <c r="A49">
        <v>1715</v>
      </c>
      <c r="B49" t="s">
        <v>45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1715</v>
      </c>
      <c r="B50" t="s">
        <v>85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1715</v>
      </c>
      <c r="B51" t="s">
        <v>54</v>
      </c>
      <c r="C51" t="s">
        <v>53</v>
      </c>
      <c r="D51" t="s">
        <v>33</v>
      </c>
      <c r="H51">
        <v>493</v>
      </c>
      <c r="J51">
        <f t="shared" si="0"/>
        <v>493</v>
      </c>
      <c r="L51">
        <f t="shared" si="1"/>
        <v>0.22008928571428571</v>
      </c>
    </row>
    <row r="52" spans="1:12" x14ac:dyDescent="0.25">
      <c r="A52">
        <v>1715</v>
      </c>
      <c r="B52" t="s">
        <v>95</v>
      </c>
      <c r="C52" t="s">
        <v>53</v>
      </c>
      <c r="D52" t="s">
        <v>33</v>
      </c>
      <c r="H52">
        <v>71</v>
      </c>
      <c r="J52">
        <f t="shared" si="0"/>
        <v>71</v>
      </c>
      <c r="L52">
        <f t="shared" si="1"/>
        <v>3.169642857142857E-2</v>
      </c>
    </row>
    <row r="53" spans="1:12" x14ac:dyDescent="0.25">
      <c r="A53">
        <v>1715</v>
      </c>
      <c r="B53" t="s">
        <v>20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1715</v>
      </c>
      <c r="B54" t="s">
        <v>21</v>
      </c>
      <c r="C54" t="s">
        <v>53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1715</v>
      </c>
      <c r="B55" t="s">
        <v>22</v>
      </c>
      <c r="C55" t="s">
        <v>53</v>
      </c>
      <c r="D55" t="s">
        <v>33</v>
      </c>
      <c r="F55">
        <v>1</v>
      </c>
      <c r="J55">
        <f t="shared" si="0"/>
        <v>112</v>
      </c>
      <c r="L55">
        <f t="shared" si="1"/>
        <v>0.05</v>
      </c>
    </row>
    <row r="56" spans="1:12" x14ac:dyDescent="0.25">
      <c r="A56">
        <v>1715</v>
      </c>
      <c r="B56" t="s">
        <v>61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1715</v>
      </c>
      <c r="B57" t="s">
        <v>99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1715</v>
      </c>
      <c r="B58" t="s">
        <v>87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1715</v>
      </c>
      <c r="B59" t="s">
        <v>62</v>
      </c>
      <c r="C59" t="s">
        <v>53</v>
      </c>
      <c r="D59" t="s">
        <v>33</v>
      </c>
      <c r="E59">
        <v>5</v>
      </c>
      <c r="F59">
        <v>4</v>
      </c>
      <c r="G59">
        <v>1</v>
      </c>
      <c r="J59">
        <f t="shared" si="0"/>
        <v>11676</v>
      </c>
      <c r="L59">
        <f t="shared" si="1"/>
        <v>5.2125000000000004</v>
      </c>
    </row>
    <row r="60" spans="1:12" x14ac:dyDescent="0.25">
      <c r="A60">
        <v>1715</v>
      </c>
      <c r="B60" t="s">
        <v>88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1715</v>
      </c>
      <c r="B61" t="s">
        <v>63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1715</v>
      </c>
      <c r="B62" t="s">
        <v>89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1715</v>
      </c>
      <c r="B63" t="s">
        <v>70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1715</v>
      </c>
      <c r="B64" t="s">
        <v>64</v>
      </c>
      <c r="C64" t="s">
        <v>53</v>
      </c>
      <c r="D64" t="s">
        <v>33</v>
      </c>
      <c r="E64">
        <v>3</v>
      </c>
      <c r="F64">
        <v>10</v>
      </c>
      <c r="G64">
        <v>3</v>
      </c>
      <c r="J64">
        <f t="shared" si="0"/>
        <v>7924</v>
      </c>
      <c r="L64">
        <f t="shared" si="1"/>
        <v>3.5375000000000001</v>
      </c>
    </row>
    <row r="65" spans="1:12" x14ac:dyDescent="0.25">
      <c r="A65">
        <v>1715</v>
      </c>
      <c r="B65" t="s">
        <v>65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1715</v>
      </c>
      <c r="B66" t="s">
        <v>55</v>
      </c>
      <c r="C66" t="s">
        <v>53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1715</v>
      </c>
      <c r="B67" t="s">
        <v>57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1715</v>
      </c>
      <c r="B68" t="s">
        <v>36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1715</v>
      </c>
      <c r="B69" t="s">
        <v>4</v>
      </c>
      <c r="C69" t="s">
        <v>53</v>
      </c>
      <c r="D69" t="s">
        <v>35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1:12" x14ac:dyDescent="0.25">
      <c r="A70">
        <v>1715</v>
      </c>
      <c r="B70" t="s">
        <v>58</v>
      </c>
      <c r="C70" t="s">
        <v>53</v>
      </c>
      <c r="D70" t="s">
        <v>35</v>
      </c>
      <c r="F70">
        <v>3</v>
      </c>
      <c r="J70">
        <f t="shared" si="2"/>
        <v>336</v>
      </c>
      <c r="L70">
        <f t="shared" si="3"/>
        <v>0.15</v>
      </c>
    </row>
    <row r="71" spans="1:12" x14ac:dyDescent="0.25">
      <c r="A71">
        <v>1715</v>
      </c>
      <c r="B71" t="s">
        <v>69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1715</v>
      </c>
      <c r="B72" t="s">
        <v>43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1715</v>
      </c>
      <c r="B73" t="s">
        <v>76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1715</v>
      </c>
      <c r="B74" t="s">
        <v>5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1715</v>
      </c>
      <c r="B75" t="s">
        <v>59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1715</v>
      </c>
      <c r="B76" t="s">
        <v>6</v>
      </c>
      <c r="C76" t="s">
        <v>53</v>
      </c>
      <c r="D76" t="s">
        <v>35</v>
      </c>
      <c r="F76">
        <v>15800</v>
      </c>
      <c r="G76">
        <v>3</v>
      </c>
      <c r="H76">
        <v>21</v>
      </c>
      <c r="J76">
        <f t="shared" si="2"/>
        <v>1769705</v>
      </c>
      <c r="L76">
        <f t="shared" si="3"/>
        <v>790.046875</v>
      </c>
    </row>
    <row r="77" spans="1:12" x14ac:dyDescent="0.25">
      <c r="A77">
        <v>1715</v>
      </c>
      <c r="B77" t="s">
        <v>60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1715</v>
      </c>
      <c r="B78" t="s">
        <v>7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1715</v>
      </c>
      <c r="B79" t="s">
        <v>37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1715</v>
      </c>
      <c r="B80" t="s">
        <v>8</v>
      </c>
      <c r="C80" t="s">
        <v>53</v>
      </c>
      <c r="D80" t="s">
        <v>35</v>
      </c>
      <c r="F80">
        <v>1</v>
      </c>
      <c r="G80">
        <v>1</v>
      </c>
      <c r="H80">
        <v>10</v>
      </c>
      <c r="J80">
        <f t="shared" si="2"/>
        <v>150</v>
      </c>
      <c r="L80">
        <f t="shared" si="3"/>
        <v>6.6964285714285712E-2</v>
      </c>
    </row>
    <row r="81" spans="1:12" x14ac:dyDescent="0.25">
      <c r="A81">
        <v>1715</v>
      </c>
      <c r="B81" t="s">
        <v>40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1715</v>
      </c>
      <c r="B82" t="s">
        <v>77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1715</v>
      </c>
      <c r="B83" t="s">
        <v>78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1715</v>
      </c>
      <c r="B84" t="s">
        <v>46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1715</v>
      </c>
      <c r="B85" t="s">
        <v>9</v>
      </c>
      <c r="C85" t="s">
        <v>53</v>
      </c>
      <c r="D85" t="s">
        <v>35</v>
      </c>
      <c r="H85">
        <v>127996</v>
      </c>
      <c r="J85">
        <f t="shared" si="2"/>
        <v>127996</v>
      </c>
      <c r="L85">
        <f t="shared" si="3"/>
        <v>57.141071428571429</v>
      </c>
    </row>
    <row r="86" spans="1:12" x14ac:dyDescent="0.25">
      <c r="A86">
        <v>1715</v>
      </c>
      <c r="B86" t="s">
        <v>10</v>
      </c>
      <c r="C86" t="s">
        <v>53</v>
      </c>
      <c r="D86" t="s">
        <v>35</v>
      </c>
      <c r="F86">
        <v>27</v>
      </c>
      <c r="G86">
        <v>3</v>
      </c>
      <c r="J86">
        <f t="shared" si="2"/>
        <v>3108</v>
      </c>
      <c r="L86">
        <f t="shared" si="3"/>
        <v>1.3875</v>
      </c>
    </row>
    <row r="87" spans="1:12" x14ac:dyDescent="0.25">
      <c r="A87">
        <v>1715</v>
      </c>
      <c r="B87" t="s">
        <v>11</v>
      </c>
      <c r="C87" t="s">
        <v>53</v>
      </c>
      <c r="D87" t="s">
        <v>35</v>
      </c>
      <c r="F87">
        <v>39</v>
      </c>
      <c r="H87">
        <v>1</v>
      </c>
      <c r="J87">
        <f t="shared" si="2"/>
        <v>4369</v>
      </c>
      <c r="L87">
        <f t="shared" si="3"/>
        <v>1.9504464285714285</v>
      </c>
    </row>
    <row r="88" spans="1:12" x14ac:dyDescent="0.25">
      <c r="A88">
        <v>1715</v>
      </c>
      <c r="B88" t="s">
        <v>39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1715</v>
      </c>
      <c r="B89" t="s">
        <v>79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1715</v>
      </c>
      <c r="B90" t="s">
        <v>113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1715</v>
      </c>
      <c r="B91" t="s">
        <v>44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1715</v>
      </c>
      <c r="B92" t="s">
        <v>97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1715</v>
      </c>
      <c r="B93" t="s">
        <v>12</v>
      </c>
      <c r="C93" t="s">
        <v>53</v>
      </c>
      <c r="D93" t="s">
        <v>35</v>
      </c>
      <c r="H93">
        <v>37</v>
      </c>
      <c r="J93">
        <f t="shared" si="2"/>
        <v>37</v>
      </c>
      <c r="L93">
        <f t="shared" si="3"/>
        <v>1.6517857142857143E-2</v>
      </c>
    </row>
    <row r="94" spans="1:12" x14ac:dyDescent="0.25">
      <c r="A94">
        <v>1715</v>
      </c>
      <c r="B94" t="s">
        <v>82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1715</v>
      </c>
      <c r="B95" t="s">
        <v>34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1715</v>
      </c>
      <c r="B96" t="s">
        <v>13</v>
      </c>
      <c r="C96" t="s">
        <v>53</v>
      </c>
      <c r="D96" t="s">
        <v>35</v>
      </c>
      <c r="F96">
        <v>115</v>
      </c>
      <c r="G96">
        <v>2</v>
      </c>
      <c r="H96">
        <v>27</v>
      </c>
      <c r="J96">
        <f t="shared" si="2"/>
        <v>12963</v>
      </c>
      <c r="L96">
        <f t="shared" si="3"/>
        <v>5.7870535714285714</v>
      </c>
    </row>
    <row r="97" spans="1:12" x14ac:dyDescent="0.25">
      <c r="A97">
        <v>1715</v>
      </c>
      <c r="B97" t="s">
        <v>14</v>
      </c>
      <c r="C97" t="s">
        <v>53</v>
      </c>
      <c r="D97" t="s">
        <v>35</v>
      </c>
      <c r="H97">
        <v>500</v>
      </c>
      <c r="I97" t="s">
        <v>119</v>
      </c>
      <c r="J97">
        <f t="shared" si="2"/>
        <v>500</v>
      </c>
      <c r="L97">
        <f t="shared" si="3"/>
        <v>0.22321428571428573</v>
      </c>
    </row>
    <row r="98" spans="1:12" x14ac:dyDescent="0.25">
      <c r="A98">
        <v>1715</v>
      </c>
      <c r="B98" t="s">
        <v>23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1715</v>
      </c>
      <c r="B99" t="s">
        <v>27</v>
      </c>
      <c r="C99" t="s">
        <v>53</v>
      </c>
      <c r="D99" t="s">
        <v>35</v>
      </c>
      <c r="H99">
        <v>2430.5</v>
      </c>
      <c r="I99" t="s">
        <v>122</v>
      </c>
      <c r="J99">
        <f t="shared" si="2"/>
        <v>2430.5</v>
      </c>
      <c r="L99">
        <f t="shared" si="3"/>
        <v>1.0850446428571427</v>
      </c>
    </row>
    <row r="100" spans="1:12" x14ac:dyDescent="0.25">
      <c r="A100">
        <v>1715</v>
      </c>
      <c r="B100" t="s">
        <v>15</v>
      </c>
      <c r="C100" t="s">
        <v>53</v>
      </c>
      <c r="D100" t="s">
        <v>35</v>
      </c>
      <c r="F100">
        <v>135</v>
      </c>
      <c r="G100">
        <v>2</v>
      </c>
      <c r="H100">
        <v>12</v>
      </c>
      <c r="J100">
        <f t="shared" si="2"/>
        <v>15188</v>
      </c>
      <c r="L100">
        <f t="shared" si="3"/>
        <v>6.7803571428571425</v>
      </c>
    </row>
    <row r="101" spans="1:12" x14ac:dyDescent="0.25">
      <c r="A101">
        <v>1715</v>
      </c>
      <c r="B101" t="s">
        <v>93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1715</v>
      </c>
      <c r="B102" t="s">
        <v>42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1715</v>
      </c>
      <c r="B103" t="s">
        <v>83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1715</v>
      </c>
      <c r="B104" t="s">
        <v>47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1715</v>
      </c>
      <c r="B105" t="s">
        <v>16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1715</v>
      </c>
      <c r="B106" t="s">
        <v>17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1715</v>
      </c>
      <c r="B107" t="s">
        <v>18</v>
      </c>
      <c r="C107" t="s">
        <v>53</v>
      </c>
      <c r="D107" t="s">
        <v>35</v>
      </c>
      <c r="H107">
        <v>17529.5</v>
      </c>
      <c r="I107" t="s">
        <v>123</v>
      </c>
      <c r="J107">
        <f t="shared" si="2"/>
        <v>17529.5</v>
      </c>
      <c r="L107">
        <f t="shared" si="3"/>
        <v>7.8256696428571431</v>
      </c>
    </row>
    <row r="108" spans="1:12" x14ac:dyDescent="0.25">
      <c r="A108">
        <v>1715</v>
      </c>
      <c r="B108" t="s">
        <v>26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1715</v>
      </c>
      <c r="B109" t="s">
        <v>84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1715</v>
      </c>
      <c r="B110" t="s">
        <v>19</v>
      </c>
      <c r="C110" t="s">
        <v>53</v>
      </c>
      <c r="D110" t="s">
        <v>35</v>
      </c>
      <c r="F110">
        <v>4</v>
      </c>
      <c r="G110">
        <v>3</v>
      </c>
      <c r="H110">
        <v>7</v>
      </c>
      <c r="J110">
        <f t="shared" si="2"/>
        <v>539</v>
      </c>
      <c r="L110">
        <f t="shared" si="3"/>
        <v>0.24062500000000001</v>
      </c>
    </row>
    <row r="111" spans="1:12" x14ac:dyDescent="0.25">
      <c r="A111">
        <v>1715</v>
      </c>
      <c r="B111" t="s">
        <v>45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1715</v>
      </c>
      <c r="B112" t="s">
        <v>85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1715</v>
      </c>
      <c r="B113" t="s">
        <v>54</v>
      </c>
      <c r="C113" t="s">
        <v>53</v>
      </c>
      <c r="D113" t="s">
        <v>35</v>
      </c>
      <c r="H113">
        <v>46</v>
      </c>
      <c r="J113">
        <f t="shared" si="2"/>
        <v>46</v>
      </c>
      <c r="L113">
        <f t="shared" si="3"/>
        <v>2.0535714285714286E-2</v>
      </c>
    </row>
    <row r="114" spans="1:12" x14ac:dyDescent="0.25">
      <c r="A114">
        <v>1715</v>
      </c>
      <c r="B114" t="s">
        <v>95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1715</v>
      </c>
      <c r="B115" t="s">
        <v>20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1715</v>
      </c>
      <c r="B116" t="s">
        <v>21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1715</v>
      </c>
      <c r="B117" t="s">
        <v>121</v>
      </c>
      <c r="C117" t="s">
        <v>53</v>
      </c>
      <c r="D117" t="s">
        <v>35</v>
      </c>
      <c r="G117">
        <v>1</v>
      </c>
      <c r="H117">
        <v>22</v>
      </c>
      <c r="J117">
        <f t="shared" si="2"/>
        <v>50</v>
      </c>
      <c r="L117">
        <f t="shared" si="3"/>
        <v>2.2321428571428572E-2</v>
      </c>
    </row>
    <row r="118" spans="1:12" x14ac:dyDescent="0.25">
      <c r="A118">
        <v>1715</v>
      </c>
      <c r="B118" t="s">
        <v>22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1715</v>
      </c>
      <c r="B119" t="s">
        <v>61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1715</v>
      </c>
      <c r="B120" t="s">
        <v>91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1715</v>
      </c>
      <c r="B121" t="s">
        <v>98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1715</v>
      </c>
      <c r="B122" t="s">
        <v>87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1715</v>
      </c>
      <c r="B123" t="s">
        <v>62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1715</v>
      </c>
      <c r="B124" t="s">
        <v>88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1715</v>
      </c>
      <c r="B125" t="s">
        <v>63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1715</v>
      </c>
      <c r="B126" t="s">
        <v>89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1715</v>
      </c>
      <c r="B127" t="s">
        <v>70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1715</v>
      </c>
      <c r="B128" t="s">
        <v>64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1715</v>
      </c>
      <c r="B129" t="s">
        <v>65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9"/>
  <sheetViews>
    <sheetView workbookViewId="0">
      <selection activeCell="E2" sqref="E2:I10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1715</v>
      </c>
      <c r="B2" t="s">
        <v>55</v>
      </c>
      <c r="C2" t="s">
        <v>56</v>
      </c>
      <c r="D2" t="s">
        <v>33</v>
      </c>
      <c r="J2">
        <f t="shared" ref="J2:J66" si="0">(E2*2240)+(F2*112)+(G2*28)+H2</f>
        <v>0</v>
      </c>
      <c r="L2">
        <f t="shared" ref="L2:L66" si="1">J2/2240</f>
        <v>0</v>
      </c>
    </row>
    <row r="3" spans="1:12" x14ac:dyDescent="0.25">
      <c r="A3">
        <v>1715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1715</v>
      </c>
      <c r="B4" t="s">
        <v>36</v>
      </c>
      <c r="C4" t="s">
        <v>56</v>
      </c>
      <c r="D4" t="s">
        <v>33</v>
      </c>
      <c r="H4">
        <v>22010</v>
      </c>
      <c r="J4">
        <f t="shared" si="0"/>
        <v>22010</v>
      </c>
      <c r="L4">
        <f t="shared" si="1"/>
        <v>9.8258928571428577</v>
      </c>
    </row>
    <row r="5" spans="1:12" x14ac:dyDescent="0.25">
      <c r="A5">
        <v>1715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1715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1715</v>
      </c>
      <c r="B7" t="s">
        <v>92</v>
      </c>
      <c r="C7" t="s">
        <v>56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1715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1715</v>
      </c>
      <c r="B9" t="s">
        <v>5</v>
      </c>
      <c r="C9" t="s">
        <v>56</v>
      </c>
      <c r="D9" t="s">
        <v>33</v>
      </c>
      <c r="F9">
        <v>1</v>
      </c>
      <c r="G9">
        <v>1</v>
      </c>
      <c r="J9">
        <f t="shared" si="0"/>
        <v>140</v>
      </c>
      <c r="L9">
        <f t="shared" si="1"/>
        <v>6.25E-2</v>
      </c>
    </row>
    <row r="10" spans="1:12" x14ac:dyDescent="0.25">
      <c r="A10">
        <v>1715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1715</v>
      </c>
      <c r="B11" t="s">
        <v>6</v>
      </c>
      <c r="C11" t="s">
        <v>56</v>
      </c>
      <c r="D11" t="s">
        <v>33</v>
      </c>
      <c r="F11">
        <v>214695</v>
      </c>
      <c r="G11">
        <v>3</v>
      </c>
      <c r="J11">
        <f t="shared" si="0"/>
        <v>24045924</v>
      </c>
      <c r="L11">
        <f t="shared" si="1"/>
        <v>10734.7875</v>
      </c>
    </row>
    <row r="12" spans="1:12" x14ac:dyDescent="0.25">
      <c r="A12">
        <v>1715</v>
      </c>
      <c r="B12" t="s">
        <v>60</v>
      </c>
      <c r="C12" t="s">
        <v>56</v>
      </c>
      <c r="D12" t="s">
        <v>33</v>
      </c>
      <c r="H12">
        <v>248</v>
      </c>
      <c r="J12">
        <f t="shared" si="0"/>
        <v>248</v>
      </c>
      <c r="L12">
        <f t="shared" si="1"/>
        <v>0.11071428571428571</v>
      </c>
    </row>
    <row r="13" spans="1:12" x14ac:dyDescent="0.25">
      <c r="A13">
        <v>1715</v>
      </c>
      <c r="B13" t="s">
        <v>7</v>
      </c>
      <c r="C13" t="s">
        <v>56</v>
      </c>
      <c r="D13" t="s">
        <v>33</v>
      </c>
      <c r="H13">
        <v>17</v>
      </c>
      <c r="J13">
        <f t="shared" si="0"/>
        <v>17</v>
      </c>
      <c r="L13">
        <f t="shared" si="1"/>
        <v>7.5892857142857142E-3</v>
      </c>
    </row>
    <row r="14" spans="1:12" x14ac:dyDescent="0.25">
      <c r="A14">
        <v>1715</v>
      </c>
      <c r="B14" t="s">
        <v>37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1715</v>
      </c>
      <c r="B15" t="s">
        <v>8</v>
      </c>
      <c r="C15" t="s">
        <v>56</v>
      </c>
      <c r="D15" t="s">
        <v>33</v>
      </c>
      <c r="F15">
        <v>407</v>
      </c>
      <c r="G15">
        <v>1</v>
      </c>
      <c r="H15">
        <v>26</v>
      </c>
      <c r="J15">
        <f t="shared" si="0"/>
        <v>45638</v>
      </c>
      <c r="L15">
        <f t="shared" si="1"/>
        <v>20.374107142857142</v>
      </c>
    </row>
    <row r="16" spans="1:12" x14ac:dyDescent="0.25">
      <c r="A16">
        <v>1715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1715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1715</v>
      </c>
      <c r="B18" t="s">
        <v>9</v>
      </c>
      <c r="C18" t="s">
        <v>56</v>
      </c>
      <c r="D18" t="s">
        <v>33</v>
      </c>
      <c r="H18">
        <v>210619</v>
      </c>
      <c r="J18">
        <f t="shared" si="0"/>
        <v>210619</v>
      </c>
      <c r="L18">
        <f t="shared" si="1"/>
        <v>94.026339285714286</v>
      </c>
    </row>
    <row r="19" spans="1:12" x14ac:dyDescent="0.25">
      <c r="A19">
        <v>1715</v>
      </c>
      <c r="B19" t="s">
        <v>10</v>
      </c>
      <c r="C19" t="s">
        <v>56</v>
      </c>
      <c r="D19" t="s">
        <v>33</v>
      </c>
      <c r="F19">
        <v>1864</v>
      </c>
      <c r="G19">
        <v>3</v>
      </c>
      <c r="H19">
        <v>1</v>
      </c>
      <c r="J19">
        <f t="shared" si="0"/>
        <v>208853</v>
      </c>
      <c r="L19">
        <f t="shared" si="1"/>
        <v>93.237946428571433</v>
      </c>
    </row>
    <row r="20" spans="1:12" x14ac:dyDescent="0.25">
      <c r="A20">
        <v>1715</v>
      </c>
      <c r="B20" t="s">
        <v>11</v>
      </c>
      <c r="C20" t="s">
        <v>56</v>
      </c>
      <c r="D20" t="s">
        <v>33</v>
      </c>
      <c r="F20">
        <v>146</v>
      </c>
      <c r="G20">
        <v>3</v>
      </c>
      <c r="H20">
        <v>9</v>
      </c>
      <c r="J20">
        <f t="shared" si="0"/>
        <v>16445</v>
      </c>
      <c r="L20">
        <f t="shared" si="1"/>
        <v>7.3415178571428568</v>
      </c>
    </row>
    <row r="21" spans="1:12" x14ac:dyDescent="0.25">
      <c r="A21">
        <v>1715</v>
      </c>
      <c r="B21" t="s">
        <v>39</v>
      </c>
      <c r="C21" t="s">
        <v>56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1715</v>
      </c>
      <c r="B22" t="s">
        <v>104</v>
      </c>
      <c r="C22" t="s">
        <v>56</v>
      </c>
      <c r="D22" t="s">
        <v>33</v>
      </c>
      <c r="G22">
        <v>2</v>
      </c>
      <c r="J22">
        <f t="shared" si="0"/>
        <v>56</v>
      </c>
      <c r="L22">
        <f t="shared" si="1"/>
        <v>2.5000000000000001E-2</v>
      </c>
    </row>
    <row r="23" spans="1:12" x14ac:dyDescent="0.25">
      <c r="A23">
        <v>1715</v>
      </c>
      <c r="B23" t="s">
        <v>44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1715</v>
      </c>
      <c r="B24" t="s">
        <v>12</v>
      </c>
      <c r="C24" t="s">
        <v>56</v>
      </c>
      <c r="D24" t="s">
        <v>33</v>
      </c>
      <c r="H24">
        <v>1756</v>
      </c>
      <c r="J24">
        <f t="shared" si="0"/>
        <v>1756</v>
      </c>
      <c r="L24">
        <f t="shared" si="1"/>
        <v>0.78392857142857142</v>
      </c>
    </row>
    <row r="25" spans="1:12" x14ac:dyDescent="0.25">
      <c r="A25">
        <v>1715</v>
      </c>
      <c r="B25" t="s">
        <v>34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1715</v>
      </c>
      <c r="B26" t="s">
        <v>13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1715</v>
      </c>
      <c r="B27" t="s">
        <v>14</v>
      </c>
      <c r="C27" t="s">
        <v>56</v>
      </c>
      <c r="D27" t="s">
        <v>33</v>
      </c>
      <c r="H27">
        <v>19015</v>
      </c>
      <c r="I27" t="s">
        <v>106</v>
      </c>
      <c r="J27">
        <f t="shared" si="0"/>
        <v>19015</v>
      </c>
      <c r="L27">
        <f t="shared" si="1"/>
        <v>8.4888392857142865</v>
      </c>
    </row>
    <row r="28" spans="1:12" x14ac:dyDescent="0.25">
      <c r="A28">
        <v>1715</v>
      </c>
      <c r="B28" t="s">
        <v>23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1715</v>
      </c>
      <c r="B29" t="s">
        <v>27</v>
      </c>
      <c r="C29" t="s">
        <v>56</v>
      </c>
      <c r="D29" t="s">
        <v>33</v>
      </c>
      <c r="H29">
        <v>101036</v>
      </c>
      <c r="I29" t="s">
        <v>105</v>
      </c>
      <c r="J29">
        <f t="shared" si="0"/>
        <v>101036</v>
      </c>
      <c r="L29">
        <f t="shared" si="1"/>
        <v>45.105357142857144</v>
      </c>
    </row>
    <row r="30" spans="1:12" x14ac:dyDescent="0.25">
      <c r="A30">
        <v>1715</v>
      </c>
      <c r="B30" t="s">
        <v>15</v>
      </c>
      <c r="C30" t="s">
        <v>56</v>
      </c>
      <c r="D30" t="s">
        <v>33</v>
      </c>
      <c r="F30">
        <v>378</v>
      </c>
      <c r="G30">
        <v>1</v>
      </c>
      <c r="H30">
        <v>17</v>
      </c>
      <c r="J30">
        <f t="shared" si="0"/>
        <v>42381</v>
      </c>
      <c r="L30">
        <f t="shared" si="1"/>
        <v>18.920089285714287</v>
      </c>
    </row>
    <row r="31" spans="1:12" x14ac:dyDescent="0.25">
      <c r="A31">
        <v>1715</v>
      </c>
      <c r="B31" t="s">
        <v>42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1715</v>
      </c>
      <c r="B32" t="s">
        <v>47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1715</v>
      </c>
      <c r="B33" t="s">
        <v>16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1715</v>
      </c>
      <c r="B34" t="s">
        <v>17</v>
      </c>
      <c r="C34" t="s">
        <v>56</v>
      </c>
      <c r="D34" t="s">
        <v>33</v>
      </c>
      <c r="F34">
        <v>146</v>
      </c>
      <c r="H34">
        <v>21</v>
      </c>
      <c r="J34">
        <f t="shared" si="0"/>
        <v>16373</v>
      </c>
      <c r="L34">
        <f t="shared" si="1"/>
        <v>7.3093750000000002</v>
      </c>
    </row>
    <row r="35" spans="1:12" x14ac:dyDescent="0.25">
      <c r="A35">
        <v>1715</v>
      </c>
      <c r="B35" t="s">
        <v>18</v>
      </c>
      <c r="C35" t="s">
        <v>56</v>
      </c>
      <c r="D35" t="s">
        <v>33</v>
      </c>
      <c r="H35">
        <v>144854.5</v>
      </c>
      <c r="I35" t="s">
        <v>107</v>
      </c>
      <c r="J35">
        <f t="shared" si="0"/>
        <v>144854.5</v>
      </c>
      <c r="L35">
        <f t="shared" si="1"/>
        <v>64.667187499999997</v>
      </c>
    </row>
    <row r="36" spans="1:12" x14ac:dyDescent="0.25">
      <c r="A36">
        <v>1715</v>
      </c>
      <c r="B36" t="s">
        <v>26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1715</v>
      </c>
      <c r="B37" t="s">
        <v>19</v>
      </c>
      <c r="C37" t="s">
        <v>56</v>
      </c>
      <c r="D37" t="s">
        <v>33</v>
      </c>
      <c r="F37">
        <v>48</v>
      </c>
      <c r="G37">
        <v>2</v>
      </c>
      <c r="H37">
        <v>25</v>
      </c>
      <c r="J37">
        <f t="shared" si="0"/>
        <v>5457</v>
      </c>
      <c r="L37">
        <f t="shared" si="1"/>
        <v>2.4361607142857142</v>
      </c>
    </row>
    <row r="38" spans="1:12" x14ac:dyDescent="0.25">
      <c r="A38">
        <v>1715</v>
      </c>
      <c r="B38" t="s">
        <v>45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1715</v>
      </c>
      <c r="B39" t="s">
        <v>54</v>
      </c>
      <c r="C39" t="s">
        <v>56</v>
      </c>
      <c r="D39" t="s">
        <v>33</v>
      </c>
      <c r="H39">
        <v>1385</v>
      </c>
      <c r="J39">
        <f t="shared" si="0"/>
        <v>1385</v>
      </c>
      <c r="L39">
        <f t="shared" si="1"/>
        <v>0.6183035714285714</v>
      </c>
    </row>
    <row r="40" spans="1:12" x14ac:dyDescent="0.25">
      <c r="A40">
        <v>1715</v>
      </c>
      <c r="B40" t="s">
        <v>95</v>
      </c>
      <c r="C40" t="s">
        <v>56</v>
      </c>
      <c r="D40" t="s">
        <v>33</v>
      </c>
      <c r="H40">
        <v>201</v>
      </c>
      <c r="J40">
        <f t="shared" si="0"/>
        <v>201</v>
      </c>
      <c r="L40">
        <f t="shared" si="1"/>
        <v>8.9732142857142858E-2</v>
      </c>
    </row>
    <row r="41" spans="1:12" x14ac:dyDescent="0.25">
      <c r="A41">
        <v>1715</v>
      </c>
      <c r="B41" t="s">
        <v>20</v>
      </c>
      <c r="C41" t="s">
        <v>56</v>
      </c>
      <c r="D41" t="s">
        <v>33</v>
      </c>
      <c r="H41">
        <v>8793</v>
      </c>
      <c r="J41">
        <f t="shared" si="0"/>
        <v>8793</v>
      </c>
      <c r="L41">
        <f t="shared" si="1"/>
        <v>3.9254464285714286</v>
      </c>
    </row>
    <row r="42" spans="1:12" x14ac:dyDescent="0.25">
      <c r="A42">
        <v>1715</v>
      </c>
      <c r="B42" t="s">
        <v>21</v>
      </c>
      <c r="C42" t="s">
        <v>56</v>
      </c>
      <c r="D42" t="s">
        <v>33</v>
      </c>
      <c r="H42">
        <v>84</v>
      </c>
      <c r="J42">
        <f t="shared" si="0"/>
        <v>84</v>
      </c>
      <c r="L42">
        <f t="shared" si="1"/>
        <v>3.7499999999999999E-2</v>
      </c>
    </row>
    <row r="43" spans="1:12" x14ac:dyDescent="0.25">
      <c r="A43">
        <v>1715</v>
      </c>
      <c r="B43" t="s">
        <v>22</v>
      </c>
      <c r="C43" t="s">
        <v>56</v>
      </c>
      <c r="D43" t="s">
        <v>33</v>
      </c>
      <c r="F43">
        <v>662</v>
      </c>
      <c r="H43">
        <v>26</v>
      </c>
      <c r="J43">
        <f t="shared" si="0"/>
        <v>74170</v>
      </c>
      <c r="L43">
        <f t="shared" si="1"/>
        <v>33.111607142857146</v>
      </c>
    </row>
    <row r="44" spans="1:12" x14ac:dyDescent="0.25">
      <c r="A44">
        <v>1715</v>
      </c>
      <c r="B44" t="s">
        <v>61</v>
      </c>
      <c r="C44" t="s">
        <v>56</v>
      </c>
      <c r="D44" t="s">
        <v>33</v>
      </c>
      <c r="E44">
        <v>20</v>
      </c>
      <c r="J44">
        <f t="shared" si="0"/>
        <v>44800</v>
      </c>
      <c r="L44">
        <f t="shared" si="1"/>
        <v>20</v>
      </c>
    </row>
    <row r="45" spans="1:12" x14ac:dyDescent="0.25">
      <c r="A45">
        <v>1715</v>
      </c>
      <c r="B45" t="s">
        <v>62</v>
      </c>
      <c r="C45" t="s">
        <v>56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1715</v>
      </c>
      <c r="B46" t="s">
        <v>63</v>
      </c>
      <c r="C46" t="s">
        <v>56</v>
      </c>
      <c r="D46" t="s">
        <v>33</v>
      </c>
      <c r="E46">
        <v>138</v>
      </c>
      <c r="F46">
        <v>2</v>
      </c>
      <c r="G46">
        <v>1</v>
      </c>
      <c r="H46">
        <v>20</v>
      </c>
      <c r="J46">
        <f t="shared" si="0"/>
        <v>309392</v>
      </c>
      <c r="L46">
        <f t="shared" si="1"/>
        <v>138.12142857142857</v>
      </c>
    </row>
    <row r="47" spans="1:12" x14ac:dyDescent="0.25">
      <c r="A47">
        <v>1715</v>
      </c>
      <c r="B47" t="s">
        <v>70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1715</v>
      </c>
      <c r="B48" t="s">
        <v>64</v>
      </c>
      <c r="C48" t="s">
        <v>56</v>
      </c>
      <c r="D48" t="s">
        <v>33</v>
      </c>
      <c r="E48">
        <v>32</v>
      </c>
      <c r="F48">
        <v>16</v>
      </c>
      <c r="H48">
        <v>7</v>
      </c>
      <c r="J48">
        <f t="shared" si="0"/>
        <v>73479</v>
      </c>
      <c r="L48">
        <f t="shared" si="1"/>
        <v>32.803125000000001</v>
      </c>
    </row>
    <row r="49" spans="1:12" x14ac:dyDescent="0.25">
      <c r="A49">
        <v>1715</v>
      </c>
      <c r="B49" t="s">
        <v>65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1715</v>
      </c>
      <c r="B50" t="s">
        <v>55</v>
      </c>
      <c r="C50" t="s">
        <v>56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1715</v>
      </c>
      <c r="B51" t="s">
        <v>57</v>
      </c>
      <c r="C51" t="s">
        <v>56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1715</v>
      </c>
      <c r="B52" t="s">
        <v>36</v>
      </c>
      <c r="C52" t="s">
        <v>56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1715</v>
      </c>
      <c r="B53" t="s">
        <v>4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1715</v>
      </c>
      <c r="B54" t="s">
        <v>58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1715</v>
      </c>
      <c r="B55" t="s">
        <v>92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1715</v>
      </c>
      <c r="B56" t="s">
        <v>43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1715</v>
      </c>
      <c r="B57" t="s">
        <v>5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1715</v>
      </c>
      <c r="B58" t="s">
        <v>59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1715</v>
      </c>
      <c r="B59" t="s">
        <v>6</v>
      </c>
      <c r="C59" t="s">
        <v>56</v>
      </c>
      <c r="D59" t="s">
        <v>35</v>
      </c>
      <c r="F59">
        <v>44747</v>
      </c>
      <c r="G59">
        <v>2</v>
      </c>
      <c r="H59">
        <v>4</v>
      </c>
      <c r="J59">
        <f t="shared" si="0"/>
        <v>5011724</v>
      </c>
      <c r="L59">
        <f t="shared" si="1"/>
        <v>2237.3767857142857</v>
      </c>
    </row>
    <row r="60" spans="1:12" x14ac:dyDescent="0.25">
      <c r="A60">
        <v>1715</v>
      </c>
      <c r="B60" t="s">
        <v>60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1715</v>
      </c>
      <c r="B61" t="s">
        <v>38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1715</v>
      </c>
      <c r="B62" t="s">
        <v>37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1715</v>
      </c>
      <c r="B63" t="s">
        <v>8</v>
      </c>
      <c r="C63" t="s">
        <v>56</v>
      </c>
      <c r="D63" t="s">
        <v>35</v>
      </c>
      <c r="F63">
        <v>3</v>
      </c>
      <c r="G63">
        <v>2</v>
      </c>
      <c r="H63">
        <v>18</v>
      </c>
      <c r="J63">
        <f t="shared" si="0"/>
        <v>410</v>
      </c>
      <c r="L63">
        <f t="shared" si="1"/>
        <v>0.18303571428571427</v>
      </c>
    </row>
    <row r="64" spans="1:12" x14ac:dyDescent="0.25">
      <c r="A64">
        <v>1715</v>
      </c>
      <c r="B64" t="s">
        <v>40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1715</v>
      </c>
      <c r="B65" t="s">
        <v>9</v>
      </c>
      <c r="C65" t="s">
        <v>56</v>
      </c>
      <c r="D65" t="s">
        <v>35</v>
      </c>
      <c r="H65">
        <v>116046</v>
      </c>
      <c r="J65">
        <f t="shared" si="0"/>
        <v>116046</v>
      </c>
      <c r="L65">
        <f t="shared" si="1"/>
        <v>51.806249999999999</v>
      </c>
    </row>
    <row r="66" spans="1:12" x14ac:dyDescent="0.25">
      <c r="A66">
        <v>1715</v>
      </c>
      <c r="B66" t="s">
        <v>10</v>
      </c>
      <c r="C66" t="s">
        <v>56</v>
      </c>
      <c r="D66" t="s">
        <v>35</v>
      </c>
      <c r="F66">
        <v>255</v>
      </c>
      <c r="H66">
        <v>14</v>
      </c>
      <c r="J66">
        <f t="shared" si="0"/>
        <v>28574</v>
      </c>
      <c r="L66">
        <f t="shared" si="1"/>
        <v>12.75625</v>
      </c>
    </row>
    <row r="67" spans="1:12" x14ac:dyDescent="0.25">
      <c r="A67">
        <v>1715</v>
      </c>
      <c r="B67" t="s">
        <v>11</v>
      </c>
      <c r="C67" t="s">
        <v>56</v>
      </c>
      <c r="D67" t="s">
        <v>35</v>
      </c>
      <c r="F67">
        <v>150</v>
      </c>
      <c r="H67">
        <v>21</v>
      </c>
      <c r="J67">
        <f t="shared" ref="J67:J99" si="2">(E67*2240)+(F67*112)+(G67*28)+H67</f>
        <v>16821</v>
      </c>
      <c r="L67">
        <f t="shared" ref="L67:L99" si="3">J67/2240</f>
        <v>7.5093750000000004</v>
      </c>
    </row>
    <row r="68" spans="1:12" x14ac:dyDescent="0.25">
      <c r="A68">
        <v>1715</v>
      </c>
      <c r="B68" t="s">
        <v>39</v>
      </c>
      <c r="C68" t="s">
        <v>56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1715</v>
      </c>
      <c r="B69" t="s">
        <v>79</v>
      </c>
      <c r="C69" t="s">
        <v>56</v>
      </c>
      <c r="D69" t="s">
        <v>35</v>
      </c>
      <c r="H69">
        <v>17938</v>
      </c>
      <c r="J69">
        <f t="shared" si="2"/>
        <v>17938</v>
      </c>
      <c r="L69">
        <f t="shared" si="3"/>
        <v>8.0080357142857146</v>
      </c>
    </row>
    <row r="70" spans="1:12" x14ac:dyDescent="0.25">
      <c r="A70">
        <v>1715</v>
      </c>
      <c r="B70" t="s">
        <v>44</v>
      </c>
      <c r="C70" t="s">
        <v>56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1715</v>
      </c>
      <c r="B71" t="s">
        <v>12</v>
      </c>
      <c r="C71" t="s">
        <v>56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1715</v>
      </c>
      <c r="B72" t="s">
        <v>34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1715</v>
      </c>
      <c r="B73" t="s">
        <v>13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1715</v>
      </c>
      <c r="B74" t="s">
        <v>14</v>
      </c>
      <c r="C74" t="s">
        <v>56</v>
      </c>
      <c r="D74" t="s">
        <v>35</v>
      </c>
      <c r="H74">
        <v>20330</v>
      </c>
      <c r="I74" t="s">
        <v>126</v>
      </c>
      <c r="J74">
        <f t="shared" si="2"/>
        <v>20330</v>
      </c>
      <c r="L74">
        <f t="shared" si="3"/>
        <v>9.0758928571428577</v>
      </c>
    </row>
    <row r="75" spans="1:12" x14ac:dyDescent="0.25">
      <c r="A75">
        <v>1715</v>
      </c>
      <c r="B75" t="s">
        <v>23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1715</v>
      </c>
      <c r="B76" t="s">
        <v>27</v>
      </c>
      <c r="C76" t="s">
        <v>56</v>
      </c>
      <c r="D76" t="s">
        <v>35</v>
      </c>
      <c r="H76">
        <v>2880.5</v>
      </c>
      <c r="I76" t="s">
        <v>125</v>
      </c>
      <c r="J76">
        <f t="shared" si="2"/>
        <v>2880.5</v>
      </c>
      <c r="L76">
        <f t="shared" si="3"/>
        <v>1.2859375</v>
      </c>
    </row>
    <row r="77" spans="1:12" x14ac:dyDescent="0.25">
      <c r="A77">
        <v>1715</v>
      </c>
      <c r="B77" t="s">
        <v>15</v>
      </c>
      <c r="C77" t="s">
        <v>56</v>
      </c>
      <c r="D77" t="s">
        <v>35</v>
      </c>
      <c r="F77">
        <v>8</v>
      </c>
      <c r="H77">
        <v>27</v>
      </c>
      <c r="J77">
        <f t="shared" si="2"/>
        <v>923</v>
      </c>
      <c r="L77">
        <f t="shared" si="3"/>
        <v>0.41205357142857141</v>
      </c>
    </row>
    <row r="78" spans="1:12" x14ac:dyDescent="0.25">
      <c r="A78">
        <v>1715</v>
      </c>
      <c r="B78" t="s">
        <v>93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1715</v>
      </c>
      <c r="B79" t="s">
        <v>42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1715</v>
      </c>
      <c r="B80" t="s">
        <v>47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1715</v>
      </c>
      <c r="B81" t="s">
        <v>16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1715</v>
      </c>
      <c r="B82" t="s">
        <v>124</v>
      </c>
      <c r="C82" t="s">
        <v>56</v>
      </c>
      <c r="D82" t="s">
        <v>35</v>
      </c>
      <c r="F82">
        <v>1</v>
      </c>
      <c r="J82">
        <f t="shared" si="2"/>
        <v>112</v>
      </c>
      <c r="L82">
        <f t="shared" si="3"/>
        <v>0.05</v>
      </c>
    </row>
    <row r="83" spans="1:12" x14ac:dyDescent="0.25">
      <c r="A83">
        <v>1715</v>
      </c>
      <c r="B83" t="s">
        <v>17</v>
      </c>
      <c r="C83" t="s">
        <v>56</v>
      </c>
      <c r="D83" t="s">
        <v>35</v>
      </c>
      <c r="F83">
        <v>4</v>
      </c>
      <c r="J83">
        <f t="shared" si="2"/>
        <v>448</v>
      </c>
      <c r="L83">
        <f t="shared" si="3"/>
        <v>0.2</v>
      </c>
    </row>
    <row r="84" spans="1:12" x14ac:dyDescent="0.25">
      <c r="A84">
        <v>1715</v>
      </c>
      <c r="B84" t="s">
        <v>18</v>
      </c>
      <c r="C84" t="s">
        <v>56</v>
      </c>
      <c r="D84" t="s">
        <v>35</v>
      </c>
      <c r="I84" t="s">
        <v>127</v>
      </c>
      <c r="J84">
        <f t="shared" si="2"/>
        <v>0</v>
      </c>
      <c r="L84">
        <f t="shared" si="3"/>
        <v>0</v>
      </c>
    </row>
    <row r="85" spans="1:12" x14ac:dyDescent="0.25">
      <c r="A85">
        <v>1715</v>
      </c>
      <c r="B85" t="s">
        <v>26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1715</v>
      </c>
      <c r="B86" t="s">
        <v>19</v>
      </c>
      <c r="C86" t="s">
        <v>56</v>
      </c>
      <c r="D86" t="s">
        <v>35</v>
      </c>
      <c r="F86">
        <v>2</v>
      </c>
      <c r="G86">
        <v>1</v>
      </c>
      <c r="H86">
        <v>8</v>
      </c>
      <c r="J86">
        <f t="shared" si="2"/>
        <v>260</v>
      </c>
      <c r="L86">
        <f t="shared" si="3"/>
        <v>0.11607142857142858</v>
      </c>
    </row>
    <row r="87" spans="1:12" x14ac:dyDescent="0.25">
      <c r="A87">
        <v>1715</v>
      </c>
      <c r="B87" t="s">
        <v>45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1715</v>
      </c>
      <c r="B88" t="s">
        <v>54</v>
      </c>
      <c r="C88" t="s">
        <v>56</v>
      </c>
      <c r="D88" t="s">
        <v>35</v>
      </c>
      <c r="H88">
        <v>48</v>
      </c>
      <c r="J88">
        <f t="shared" si="2"/>
        <v>48</v>
      </c>
      <c r="L88">
        <f t="shared" si="3"/>
        <v>2.1428571428571429E-2</v>
      </c>
    </row>
    <row r="89" spans="1:12" x14ac:dyDescent="0.25">
      <c r="A89">
        <v>1715</v>
      </c>
      <c r="B89" t="s">
        <v>95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1715</v>
      </c>
      <c r="B90" t="s">
        <v>20</v>
      </c>
      <c r="C90" t="s">
        <v>56</v>
      </c>
      <c r="D90" t="s">
        <v>35</v>
      </c>
      <c r="H90">
        <v>230</v>
      </c>
      <c r="J90">
        <f t="shared" si="2"/>
        <v>230</v>
      </c>
      <c r="L90">
        <f t="shared" si="3"/>
        <v>0.10267857142857142</v>
      </c>
    </row>
    <row r="91" spans="1:12" x14ac:dyDescent="0.25">
      <c r="A91">
        <v>1715</v>
      </c>
      <c r="B91" t="s">
        <v>21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1715</v>
      </c>
      <c r="B92" t="s">
        <v>22</v>
      </c>
      <c r="C92" t="s">
        <v>56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1715</v>
      </c>
      <c r="B93" t="s">
        <v>61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1715</v>
      </c>
      <c r="B94" t="s">
        <v>62</v>
      </c>
      <c r="C94" t="s">
        <v>56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1715</v>
      </c>
      <c r="B95" t="s">
        <v>63</v>
      </c>
      <c r="C95" t="s">
        <v>56</v>
      </c>
      <c r="D95" t="s">
        <v>35</v>
      </c>
      <c r="E95">
        <v>196</v>
      </c>
      <c r="G95">
        <v>1</v>
      </c>
      <c r="H95">
        <v>26</v>
      </c>
      <c r="J95">
        <f t="shared" si="2"/>
        <v>439094</v>
      </c>
      <c r="L95">
        <f t="shared" si="3"/>
        <v>196.02410714285713</v>
      </c>
    </row>
    <row r="96" spans="1:12" x14ac:dyDescent="0.25">
      <c r="A96">
        <v>1715</v>
      </c>
      <c r="B96" t="s">
        <v>89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1715</v>
      </c>
      <c r="B97" t="s">
        <v>70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1715</v>
      </c>
      <c r="B98" t="s">
        <v>64</v>
      </c>
      <c r="C98" t="s">
        <v>56</v>
      </c>
      <c r="D98" t="s">
        <v>35</v>
      </c>
      <c r="E98">
        <v>6</v>
      </c>
      <c r="F98">
        <v>7</v>
      </c>
      <c r="H98">
        <v>4</v>
      </c>
      <c r="J98">
        <f t="shared" si="2"/>
        <v>14228</v>
      </c>
      <c r="L98">
        <f t="shared" si="3"/>
        <v>6.3517857142857146</v>
      </c>
    </row>
    <row r="99" spans="1:12" x14ac:dyDescent="0.25">
      <c r="A99">
        <v>1715</v>
      </c>
      <c r="B99" t="s">
        <v>65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</sheetData>
  <autoFilter ref="A1:N53" xr:uid="{AAD1F908-12B8-4B3A-A65D-184CD229ACD4}">
    <sortState xmlns:xlrd2="http://schemas.microsoft.com/office/spreadsheetml/2017/richdata2" ref="A2:N53">
      <sortCondition ref="B1:B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8"/>
  <sheetViews>
    <sheetView workbookViewId="0">
      <selection activeCell="E2" sqref="E2:I25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1715</v>
      </c>
      <c r="B2" t="s">
        <v>66</v>
      </c>
      <c r="C2" t="s">
        <v>67</v>
      </c>
      <c r="D2" t="s">
        <v>33</v>
      </c>
      <c r="J2">
        <f t="shared" ref="J2:J28" si="0">(E2*2240)+(F2*112)+(G2*28)+H2</f>
        <v>0</v>
      </c>
      <c r="L2">
        <f t="shared" ref="L2:L28" si="1">J2/2240</f>
        <v>0</v>
      </c>
    </row>
    <row r="3" spans="1:12" x14ac:dyDescent="0.25">
      <c r="A3">
        <v>1715</v>
      </c>
      <c r="B3" t="s">
        <v>6</v>
      </c>
      <c r="C3" t="s">
        <v>67</v>
      </c>
      <c r="D3" t="s">
        <v>33</v>
      </c>
      <c r="E3" s="1"/>
      <c r="F3">
        <v>12</v>
      </c>
      <c r="G3">
        <v>2</v>
      </c>
      <c r="I3" s="1"/>
      <c r="J3">
        <f t="shared" si="0"/>
        <v>1400</v>
      </c>
      <c r="K3" s="1"/>
      <c r="L3">
        <f t="shared" si="1"/>
        <v>0.625</v>
      </c>
    </row>
    <row r="4" spans="1:12" x14ac:dyDescent="0.25">
      <c r="A4">
        <v>1715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1715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1715</v>
      </c>
      <c r="B6" t="s">
        <v>11</v>
      </c>
      <c r="C6" t="s">
        <v>67</v>
      </c>
      <c r="D6" t="s">
        <v>33</v>
      </c>
      <c r="H6">
        <v>14</v>
      </c>
      <c r="J6">
        <f t="shared" si="0"/>
        <v>14</v>
      </c>
      <c r="L6">
        <f t="shared" si="1"/>
        <v>6.2500000000000003E-3</v>
      </c>
    </row>
    <row r="7" spans="1:12" x14ac:dyDescent="0.25">
      <c r="A7">
        <v>1715</v>
      </c>
      <c r="B7" t="s">
        <v>12</v>
      </c>
      <c r="C7" t="s">
        <v>67</v>
      </c>
      <c r="D7" t="s">
        <v>33</v>
      </c>
      <c r="H7">
        <v>343</v>
      </c>
      <c r="J7">
        <f t="shared" si="0"/>
        <v>343</v>
      </c>
      <c r="L7">
        <f t="shared" si="1"/>
        <v>0.15312500000000001</v>
      </c>
    </row>
    <row r="8" spans="1:12" x14ac:dyDescent="0.25">
      <c r="A8">
        <v>1715</v>
      </c>
      <c r="B8" t="s">
        <v>27</v>
      </c>
      <c r="C8" t="s">
        <v>67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1715</v>
      </c>
      <c r="B9" t="s">
        <v>15</v>
      </c>
      <c r="C9" t="s">
        <v>67</v>
      </c>
      <c r="D9" t="s">
        <v>33</v>
      </c>
      <c r="F9">
        <v>19</v>
      </c>
      <c r="G9">
        <v>2</v>
      </c>
      <c r="J9">
        <f t="shared" si="0"/>
        <v>2184</v>
      </c>
      <c r="K9" s="1"/>
      <c r="L9">
        <f t="shared" si="1"/>
        <v>0.97499999999999998</v>
      </c>
    </row>
    <row r="10" spans="1:12" x14ac:dyDescent="0.25">
      <c r="A10">
        <v>1715</v>
      </c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1715</v>
      </c>
      <c r="B11" t="s">
        <v>18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1715</v>
      </c>
      <c r="B12" t="s">
        <v>19</v>
      </c>
      <c r="C12" t="s">
        <v>67</v>
      </c>
      <c r="D12" t="s">
        <v>33</v>
      </c>
      <c r="F12">
        <v>3</v>
      </c>
      <c r="J12">
        <f t="shared" si="0"/>
        <v>336</v>
      </c>
      <c r="L12">
        <f t="shared" si="1"/>
        <v>0.15</v>
      </c>
    </row>
    <row r="13" spans="1:12" x14ac:dyDescent="0.25">
      <c r="A13">
        <v>1715</v>
      </c>
      <c r="B13" t="s">
        <v>21</v>
      </c>
      <c r="C13" t="s">
        <v>67</v>
      </c>
      <c r="D13" t="s">
        <v>33</v>
      </c>
      <c r="F13">
        <v>2</v>
      </c>
      <c r="J13">
        <f t="shared" si="0"/>
        <v>224</v>
      </c>
      <c r="L13">
        <f t="shared" si="1"/>
        <v>0.1</v>
      </c>
    </row>
    <row r="14" spans="1:12" x14ac:dyDescent="0.25">
      <c r="A14">
        <v>1715</v>
      </c>
      <c r="B14" t="s">
        <v>90</v>
      </c>
      <c r="C14" t="s">
        <v>67</v>
      </c>
      <c r="D14" t="s">
        <v>33</v>
      </c>
      <c r="F14">
        <v>181</v>
      </c>
      <c r="J14">
        <f t="shared" si="0"/>
        <v>20272</v>
      </c>
      <c r="L14">
        <f t="shared" si="1"/>
        <v>9.0500000000000007</v>
      </c>
    </row>
    <row r="15" spans="1:12" x14ac:dyDescent="0.25">
      <c r="A15">
        <v>1715</v>
      </c>
      <c r="B15" t="s">
        <v>61</v>
      </c>
      <c r="C15" t="s">
        <v>67</v>
      </c>
      <c r="D15" t="s">
        <v>33</v>
      </c>
      <c r="E15">
        <v>14</v>
      </c>
      <c r="F15">
        <v>8</v>
      </c>
      <c r="G15">
        <v>2</v>
      </c>
      <c r="J15">
        <f t="shared" si="0"/>
        <v>32312</v>
      </c>
      <c r="L15">
        <f t="shared" si="1"/>
        <v>14.425000000000001</v>
      </c>
    </row>
    <row r="16" spans="1:12" x14ac:dyDescent="0.25">
      <c r="A16">
        <v>1715</v>
      </c>
      <c r="B16" t="s">
        <v>62</v>
      </c>
      <c r="C16" t="s">
        <v>67</v>
      </c>
      <c r="D16" t="s">
        <v>33</v>
      </c>
      <c r="E16">
        <v>16</v>
      </c>
      <c r="J16">
        <f t="shared" si="0"/>
        <v>35840</v>
      </c>
      <c r="L16">
        <f t="shared" si="1"/>
        <v>16</v>
      </c>
    </row>
    <row r="17" spans="1:12" x14ac:dyDescent="0.25">
      <c r="A17">
        <v>1715</v>
      </c>
      <c r="B17" t="s">
        <v>63</v>
      </c>
      <c r="C17" t="s">
        <v>67</v>
      </c>
      <c r="D17" t="s">
        <v>33</v>
      </c>
      <c r="E17">
        <v>2</v>
      </c>
      <c r="F17">
        <v>5</v>
      </c>
      <c r="G17">
        <v>3</v>
      </c>
      <c r="J17">
        <f t="shared" si="0"/>
        <v>5124</v>
      </c>
      <c r="L17">
        <f t="shared" si="1"/>
        <v>2.2875000000000001</v>
      </c>
    </row>
    <row r="18" spans="1:12" x14ac:dyDescent="0.25">
      <c r="A18">
        <v>1715</v>
      </c>
      <c r="B18" t="s">
        <v>6</v>
      </c>
      <c r="C18" t="s">
        <v>67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1715</v>
      </c>
      <c r="B19" t="s">
        <v>12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1715</v>
      </c>
      <c r="B20" t="s">
        <v>41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1715</v>
      </c>
      <c r="B21" t="s">
        <v>27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1715</v>
      </c>
      <c r="B22" t="s">
        <v>17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1715</v>
      </c>
      <c r="B23" t="s">
        <v>19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1715</v>
      </c>
      <c r="B24" t="s">
        <v>54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1715</v>
      </c>
      <c r="B25" t="s">
        <v>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1715</v>
      </c>
      <c r="B26" t="s">
        <v>8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1715</v>
      </c>
      <c r="B27" t="s">
        <v>61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1715</v>
      </c>
      <c r="B28" t="s">
        <v>63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0"/>
  <sheetViews>
    <sheetView topLeftCell="A96" zoomScaleNormal="100" workbookViewId="0">
      <selection activeCell="I130" sqref="E2:I13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1715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1715</v>
      </c>
      <c r="B3" t="s">
        <v>57</v>
      </c>
      <c r="C3" t="s">
        <v>68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2" x14ac:dyDescent="0.25">
      <c r="A4">
        <v>1715</v>
      </c>
      <c r="B4" t="s">
        <v>36</v>
      </c>
      <c r="C4" t="s">
        <v>68</v>
      </c>
      <c r="D4" t="s">
        <v>33</v>
      </c>
      <c r="H4">
        <v>300</v>
      </c>
      <c r="J4">
        <f t="shared" si="0"/>
        <v>300</v>
      </c>
      <c r="L4">
        <f t="shared" si="1"/>
        <v>0.13392857142857142</v>
      </c>
    </row>
    <row r="5" spans="1:12" x14ac:dyDescent="0.25">
      <c r="A5">
        <v>1715</v>
      </c>
      <c r="B5" t="s">
        <v>4</v>
      </c>
      <c r="C5" t="s">
        <v>68</v>
      </c>
      <c r="D5" t="s">
        <v>33</v>
      </c>
      <c r="H5">
        <v>100</v>
      </c>
      <c r="J5">
        <f t="shared" si="0"/>
        <v>100</v>
      </c>
      <c r="L5">
        <f t="shared" si="1"/>
        <v>4.4642857142857144E-2</v>
      </c>
    </row>
    <row r="6" spans="1:12" x14ac:dyDescent="0.25">
      <c r="A6">
        <v>1715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1715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1715</v>
      </c>
      <c r="B8" t="s">
        <v>101</v>
      </c>
      <c r="C8" t="s">
        <v>68</v>
      </c>
      <c r="D8" t="s">
        <v>33</v>
      </c>
      <c r="H8">
        <v>1294.5</v>
      </c>
      <c r="J8">
        <f t="shared" si="0"/>
        <v>1294.5</v>
      </c>
      <c r="L8">
        <f t="shared" si="1"/>
        <v>0.57790178571428574</v>
      </c>
    </row>
    <row r="9" spans="1:12" x14ac:dyDescent="0.25">
      <c r="A9">
        <v>1715</v>
      </c>
      <c r="B9" t="s">
        <v>43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1715</v>
      </c>
      <c r="B10" t="s">
        <v>76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1715</v>
      </c>
      <c r="B11" t="s">
        <v>5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1715</v>
      </c>
      <c r="B12" t="s">
        <v>59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1715</v>
      </c>
      <c r="B13" t="s">
        <v>6</v>
      </c>
      <c r="C13" t="s">
        <v>68</v>
      </c>
      <c r="D13" t="s">
        <v>33</v>
      </c>
      <c r="F13">
        <v>96416</v>
      </c>
      <c r="G13">
        <v>1</v>
      </c>
      <c r="H13">
        <v>10</v>
      </c>
      <c r="J13">
        <f t="shared" si="0"/>
        <v>10798630</v>
      </c>
      <c r="L13">
        <f t="shared" si="1"/>
        <v>4820.8169642857147</v>
      </c>
    </row>
    <row r="14" spans="1:12" x14ac:dyDescent="0.25">
      <c r="A14">
        <v>1715</v>
      </c>
      <c r="B14" t="s">
        <v>96</v>
      </c>
      <c r="C14" t="s">
        <v>68</v>
      </c>
      <c r="D14" t="s">
        <v>33</v>
      </c>
      <c r="H14">
        <v>1782</v>
      </c>
      <c r="J14">
        <f t="shared" si="0"/>
        <v>1782</v>
      </c>
      <c r="L14">
        <f t="shared" si="1"/>
        <v>0.79553571428571423</v>
      </c>
    </row>
    <row r="15" spans="1:12" x14ac:dyDescent="0.25">
      <c r="A15">
        <v>1715</v>
      </c>
      <c r="B15" t="s">
        <v>60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1715</v>
      </c>
      <c r="B16" t="s">
        <v>7</v>
      </c>
      <c r="C16" t="s">
        <v>68</v>
      </c>
      <c r="D16" t="s">
        <v>33</v>
      </c>
      <c r="H16">
        <v>58</v>
      </c>
      <c r="J16">
        <f t="shared" si="0"/>
        <v>58</v>
      </c>
      <c r="L16">
        <f t="shared" si="1"/>
        <v>2.5892857142857145E-2</v>
      </c>
    </row>
    <row r="17" spans="1:12" x14ac:dyDescent="0.25">
      <c r="A17">
        <v>1715</v>
      </c>
      <c r="B17" t="s">
        <v>37</v>
      </c>
      <c r="C17" t="s">
        <v>68</v>
      </c>
      <c r="D17" t="s">
        <v>33</v>
      </c>
      <c r="H17">
        <v>61</v>
      </c>
      <c r="J17">
        <f t="shared" si="0"/>
        <v>61</v>
      </c>
      <c r="L17">
        <f t="shared" si="1"/>
        <v>2.7232142857142858E-2</v>
      </c>
    </row>
    <row r="18" spans="1:12" x14ac:dyDescent="0.25">
      <c r="A18">
        <v>1715</v>
      </c>
      <c r="B18" t="s">
        <v>8</v>
      </c>
      <c r="C18" t="s">
        <v>68</v>
      </c>
      <c r="D18" t="s">
        <v>33</v>
      </c>
      <c r="F18">
        <v>64</v>
      </c>
      <c r="G18">
        <v>3</v>
      </c>
      <c r="H18">
        <v>24</v>
      </c>
      <c r="J18">
        <f t="shared" si="0"/>
        <v>7276</v>
      </c>
      <c r="L18">
        <f t="shared" si="1"/>
        <v>3.2482142857142855</v>
      </c>
    </row>
    <row r="19" spans="1:12" x14ac:dyDescent="0.25">
      <c r="A19">
        <v>1715</v>
      </c>
      <c r="B19" t="s">
        <v>40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1715</v>
      </c>
      <c r="B20" t="s">
        <v>77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1715</v>
      </c>
      <c r="B21" t="s">
        <v>78</v>
      </c>
      <c r="C21" t="s">
        <v>68</v>
      </c>
      <c r="D21" t="s">
        <v>33</v>
      </c>
      <c r="H21">
        <v>25750</v>
      </c>
      <c r="J21">
        <f t="shared" si="0"/>
        <v>25750</v>
      </c>
      <c r="L21">
        <f t="shared" si="1"/>
        <v>11.495535714285714</v>
      </c>
    </row>
    <row r="22" spans="1:12" x14ac:dyDescent="0.25">
      <c r="A22">
        <v>1715</v>
      </c>
      <c r="B22" t="s">
        <v>46</v>
      </c>
      <c r="C22" t="s">
        <v>68</v>
      </c>
      <c r="D22" t="s">
        <v>33</v>
      </c>
      <c r="H22">
        <v>1361</v>
      </c>
      <c r="J22">
        <f t="shared" si="0"/>
        <v>1361</v>
      </c>
      <c r="L22">
        <f t="shared" si="1"/>
        <v>0.60758928571428572</v>
      </c>
    </row>
    <row r="23" spans="1:12" x14ac:dyDescent="0.25">
      <c r="A23">
        <v>1715</v>
      </c>
      <c r="B23" t="s">
        <v>9</v>
      </c>
      <c r="C23" t="s">
        <v>68</v>
      </c>
      <c r="D23" t="s">
        <v>33</v>
      </c>
      <c r="H23">
        <v>281406</v>
      </c>
      <c r="J23">
        <f t="shared" si="0"/>
        <v>281406</v>
      </c>
      <c r="L23">
        <f t="shared" si="1"/>
        <v>125.62767857142858</v>
      </c>
    </row>
    <row r="24" spans="1:12" x14ac:dyDescent="0.25">
      <c r="A24">
        <v>1715</v>
      </c>
      <c r="B24" t="s">
        <v>10</v>
      </c>
      <c r="C24" t="s">
        <v>68</v>
      </c>
      <c r="D24" t="s">
        <v>33</v>
      </c>
      <c r="F24">
        <v>3361</v>
      </c>
      <c r="G24">
        <v>6</v>
      </c>
      <c r="H24">
        <v>15</v>
      </c>
      <c r="J24">
        <f t="shared" si="0"/>
        <v>376615</v>
      </c>
      <c r="L24">
        <f t="shared" si="1"/>
        <v>168.13169642857142</v>
      </c>
    </row>
    <row r="25" spans="1:12" x14ac:dyDescent="0.25">
      <c r="A25">
        <v>1715</v>
      </c>
      <c r="B25" t="s">
        <v>11</v>
      </c>
      <c r="C25" t="s">
        <v>68</v>
      </c>
      <c r="D25" t="s">
        <v>33</v>
      </c>
      <c r="F25">
        <v>92</v>
      </c>
      <c r="G25">
        <v>3</v>
      </c>
      <c r="H25">
        <v>6</v>
      </c>
      <c r="J25">
        <f t="shared" si="0"/>
        <v>10394</v>
      </c>
      <c r="L25">
        <f t="shared" si="1"/>
        <v>4.6401785714285717</v>
      </c>
    </row>
    <row r="26" spans="1:12" x14ac:dyDescent="0.25">
      <c r="A26">
        <v>1715</v>
      </c>
      <c r="B26" t="s">
        <v>39</v>
      </c>
      <c r="C26" t="s">
        <v>68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1715</v>
      </c>
      <c r="B27" t="s">
        <v>79</v>
      </c>
      <c r="C27" t="s">
        <v>68</v>
      </c>
      <c r="D27" t="s">
        <v>33</v>
      </c>
      <c r="H27">
        <v>1977</v>
      </c>
      <c r="J27">
        <f t="shared" si="0"/>
        <v>1977</v>
      </c>
      <c r="L27">
        <f t="shared" si="1"/>
        <v>0.88258928571428574</v>
      </c>
    </row>
    <row r="28" spans="1:12" x14ac:dyDescent="0.25">
      <c r="A28">
        <v>1715</v>
      </c>
      <c r="B28" t="s">
        <v>113</v>
      </c>
      <c r="C28" t="s">
        <v>68</v>
      </c>
      <c r="D28" t="s">
        <v>33</v>
      </c>
      <c r="H28">
        <v>18</v>
      </c>
      <c r="J28">
        <f t="shared" si="0"/>
        <v>18</v>
      </c>
      <c r="L28">
        <f t="shared" si="1"/>
        <v>8.0357142857142849E-3</v>
      </c>
    </row>
    <row r="29" spans="1:12" x14ac:dyDescent="0.25">
      <c r="A29">
        <v>1715</v>
      </c>
      <c r="B29" t="s">
        <v>44</v>
      </c>
      <c r="C29" t="s">
        <v>68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1715</v>
      </c>
      <c r="B30" t="s">
        <v>97</v>
      </c>
      <c r="C30" t="s">
        <v>68</v>
      </c>
      <c r="D30" t="s">
        <v>33</v>
      </c>
      <c r="H30">
        <v>109</v>
      </c>
      <c r="J30">
        <f t="shared" si="0"/>
        <v>109</v>
      </c>
      <c r="L30">
        <f t="shared" si="1"/>
        <v>4.8660714285714286E-2</v>
      </c>
    </row>
    <row r="31" spans="1:12" x14ac:dyDescent="0.25">
      <c r="A31">
        <v>1715</v>
      </c>
      <c r="B31" t="s">
        <v>12</v>
      </c>
      <c r="C31" t="s">
        <v>68</v>
      </c>
      <c r="D31" t="s">
        <v>33</v>
      </c>
      <c r="H31">
        <v>73335</v>
      </c>
      <c r="J31">
        <f t="shared" si="0"/>
        <v>73335</v>
      </c>
      <c r="L31">
        <f t="shared" si="1"/>
        <v>32.738839285714285</v>
      </c>
    </row>
    <row r="32" spans="1:12" x14ac:dyDescent="0.25">
      <c r="A32">
        <v>1715</v>
      </c>
      <c r="B32" t="s">
        <v>82</v>
      </c>
      <c r="C32" t="s">
        <v>68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1715</v>
      </c>
      <c r="B33" t="s">
        <v>34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1715</v>
      </c>
      <c r="B34" t="s">
        <v>13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1715</v>
      </c>
      <c r="B35" t="s">
        <v>14</v>
      </c>
      <c r="C35" t="s">
        <v>68</v>
      </c>
      <c r="D35" t="s">
        <v>33</v>
      </c>
      <c r="H35">
        <v>10232.5</v>
      </c>
      <c r="I35" t="s">
        <v>109</v>
      </c>
      <c r="J35">
        <f t="shared" si="0"/>
        <v>10232.5</v>
      </c>
      <c r="L35">
        <f t="shared" si="1"/>
        <v>4.5680803571428568</v>
      </c>
    </row>
    <row r="36" spans="1:12" x14ac:dyDescent="0.25">
      <c r="A36">
        <v>1715</v>
      </c>
      <c r="B36" t="s">
        <v>23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1715</v>
      </c>
      <c r="B37" t="s">
        <v>27</v>
      </c>
      <c r="C37" t="s">
        <v>68</v>
      </c>
      <c r="D37" t="s">
        <v>33</v>
      </c>
      <c r="H37">
        <v>63586</v>
      </c>
      <c r="I37" t="s">
        <v>108</v>
      </c>
      <c r="J37">
        <f t="shared" si="0"/>
        <v>63586</v>
      </c>
      <c r="L37">
        <f t="shared" si="1"/>
        <v>28.386607142857144</v>
      </c>
    </row>
    <row r="38" spans="1:12" x14ac:dyDescent="0.25">
      <c r="A38">
        <v>1715</v>
      </c>
      <c r="B38" t="s">
        <v>15</v>
      </c>
      <c r="C38" t="s">
        <v>68</v>
      </c>
      <c r="D38" t="s">
        <v>33</v>
      </c>
      <c r="F38">
        <v>40</v>
      </c>
      <c r="G38">
        <v>2</v>
      </c>
      <c r="J38">
        <f t="shared" si="0"/>
        <v>4536</v>
      </c>
      <c r="L38">
        <f t="shared" si="1"/>
        <v>2.0249999999999999</v>
      </c>
    </row>
    <row r="39" spans="1:12" x14ac:dyDescent="0.25">
      <c r="A39">
        <v>1715</v>
      </c>
      <c r="B39" t="s">
        <v>42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1715</v>
      </c>
      <c r="B40" t="s">
        <v>83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1715</v>
      </c>
      <c r="B41" t="s">
        <v>47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1715</v>
      </c>
      <c r="B42" t="s">
        <v>16</v>
      </c>
      <c r="C42" t="s">
        <v>68</v>
      </c>
      <c r="D42" t="s">
        <v>33</v>
      </c>
      <c r="H42">
        <v>107293</v>
      </c>
      <c r="J42">
        <f t="shared" si="0"/>
        <v>107293</v>
      </c>
      <c r="L42">
        <f t="shared" si="1"/>
        <v>47.898660714285711</v>
      </c>
    </row>
    <row r="43" spans="1:12" x14ac:dyDescent="0.25">
      <c r="A43">
        <v>1715</v>
      </c>
      <c r="B43" t="s">
        <v>17</v>
      </c>
      <c r="C43" t="s">
        <v>68</v>
      </c>
      <c r="D43" t="s">
        <v>33</v>
      </c>
      <c r="F43">
        <v>567</v>
      </c>
      <c r="G43">
        <v>2</v>
      </c>
      <c r="H43">
        <v>16</v>
      </c>
      <c r="J43">
        <f t="shared" si="0"/>
        <v>63576</v>
      </c>
      <c r="L43">
        <f t="shared" si="1"/>
        <v>28.382142857142856</v>
      </c>
    </row>
    <row r="44" spans="1:12" x14ac:dyDescent="0.25">
      <c r="A44">
        <v>1715</v>
      </c>
      <c r="B44" t="s">
        <v>18</v>
      </c>
      <c r="C44" t="s">
        <v>68</v>
      </c>
      <c r="D44" t="s">
        <v>33</v>
      </c>
      <c r="H44">
        <v>91328.5</v>
      </c>
      <c r="I44" t="s">
        <v>110</v>
      </c>
      <c r="J44">
        <f t="shared" si="0"/>
        <v>91328.5</v>
      </c>
      <c r="L44">
        <f t="shared" si="1"/>
        <v>40.771651785714283</v>
      </c>
    </row>
    <row r="45" spans="1:12" x14ac:dyDescent="0.25">
      <c r="A45">
        <v>1715</v>
      </c>
      <c r="B45" t="s">
        <v>26</v>
      </c>
      <c r="C45" t="s">
        <v>68</v>
      </c>
      <c r="D45" t="s">
        <v>33</v>
      </c>
      <c r="H45">
        <v>75734</v>
      </c>
      <c r="J45">
        <f t="shared" si="0"/>
        <v>75734</v>
      </c>
      <c r="L45">
        <f t="shared" si="1"/>
        <v>33.809821428571432</v>
      </c>
    </row>
    <row r="46" spans="1:12" x14ac:dyDescent="0.25">
      <c r="A46">
        <v>1715</v>
      </c>
      <c r="B46" t="s">
        <v>84</v>
      </c>
      <c r="C46" t="s">
        <v>68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1715</v>
      </c>
      <c r="B47" t="s">
        <v>19</v>
      </c>
      <c r="C47" t="s">
        <v>68</v>
      </c>
      <c r="D47" t="s">
        <v>33</v>
      </c>
      <c r="F47">
        <v>69</v>
      </c>
      <c r="G47">
        <v>1</v>
      </c>
      <c r="H47">
        <v>25</v>
      </c>
      <c r="J47">
        <f t="shared" si="0"/>
        <v>7781</v>
      </c>
      <c r="L47">
        <f t="shared" si="1"/>
        <v>3.4736607142857143</v>
      </c>
    </row>
    <row r="48" spans="1:12" x14ac:dyDescent="0.25">
      <c r="A48">
        <v>1715</v>
      </c>
      <c r="B48" t="s">
        <v>45</v>
      </c>
      <c r="C48" t="s">
        <v>68</v>
      </c>
      <c r="D48" t="s">
        <v>33</v>
      </c>
      <c r="H48">
        <v>158</v>
      </c>
      <c r="J48">
        <f t="shared" si="0"/>
        <v>158</v>
      </c>
      <c r="L48">
        <f t="shared" si="1"/>
        <v>7.0535714285714285E-2</v>
      </c>
    </row>
    <row r="49" spans="1:12" x14ac:dyDescent="0.25">
      <c r="A49">
        <v>1715</v>
      </c>
      <c r="B49" t="s">
        <v>85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1715</v>
      </c>
      <c r="B50" t="s">
        <v>54</v>
      </c>
      <c r="C50" t="s">
        <v>68</v>
      </c>
      <c r="D50" t="s">
        <v>33</v>
      </c>
      <c r="H50">
        <v>609</v>
      </c>
      <c r="J50">
        <f t="shared" si="0"/>
        <v>609</v>
      </c>
      <c r="L50">
        <f t="shared" si="1"/>
        <v>0.27187499999999998</v>
      </c>
    </row>
    <row r="51" spans="1:12" x14ac:dyDescent="0.25">
      <c r="A51">
        <v>1715</v>
      </c>
      <c r="B51" t="s">
        <v>95</v>
      </c>
      <c r="C51" t="s">
        <v>68</v>
      </c>
      <c r="D51" t="s">
        <v>33</v>
      </c>
      <c r="H51">
        <v>198</v>
      </c>
      <c r="J51">
        <f t="shared" si="0"/>
        <v>198</v>
      </c>
      <c r="L51">
        <f t="shared" si="1"/>
        <v>8.8392857142857148E-2</v>
      </c>
    </row>
    <row r="52" spans="1:12" x14ac:dyDescent="0.25">
      <c r="A52">
        <v>1715</v>
      </c>
      <c r="B52" t="s">
        <v>20</v>
      </c>
      <c r="C52" t="s">
        <v>68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1715</v>
      </c>
      <c r="B53" t="s">
        <v>21</v>
      </c>
      <c r="C53" t="s">
        <v>68</v>
      </c>
      <c r="D53" t="s">
        <v>33</v>
      </c>
      <c r="H53">
        <v>4106</v>
      </c>
      <c r="J53">
        <f t="shared" si="0"/>
        <v>4106</v>
      </c>
      <c r="L53">
        <f t="shared" si="1"/>
        <v>1.8330357142857143</v>
      </c>
    </row>
    <row r="54" spans="1:12" x14ac:dyDescent="0.25">
      <c r="A54">
        <v>1715</v>
      </c>
      <c r="B54" t="s">
        <v>90</v>
      </c>
      <c r="C54" t="s">
        <v>68</v>
      </c>
      <c r="D54" t="s">
        <v>33</v>
      </c>
      <c r="F54">
        <v>54</v>
      </c>
      <c r="J54">
        <f t="shared" si="0"/>
        <v>6048</v>
      </c>
      <c r="L54">
        <f t="shared" si="1"/>
        <v>2.7</v>
      </c>
    </row>
    <row r="55" spans="1:12" x14ac:dyDescent="0.25">
      <c r="A55">
        <v>1715</v>
      </c>
      <c r="B55" t="s">
        <v>22</v>
      </c>
      <c r="C55" t="s">
        <v>68</v>
      </c>
      <c r="D55" t="s">
        <v>33</v>
      </c>
      <c r="F55">
        <v>3</v>
      </c>
      <c r="G55">
        <v>2</v>
      </c>
      <c r="H55">
        <v>15</v>
      </c>
      <c r="J55">
        <f t="shared" si="0"/>
        <v>407</v>
      </c>
      <c r="L55">
        <f t="shared" si="1"/>
        <v>0.18169642857142856</v>
      </c>
    </row>
    <row r="56" spans="1:12" x14ac:dyDescent="0.25">
      <c r="A56">
        <v>1715</v>
      </c>
      <c r="B56" t="s">
        <v>61</v>
      </c>
      <c r="C56" t="s">
        <v>68</v>
      </c>
      <c r="D56" t="s">
        <v>33</v>
      </c>
      <c r="E56">
        <v>38</v>
      </c>
      <c r="F56">
        <v>1</v>
      </c>
      <c r="J56">
        <f t="shared" si="0"/>
        <v>85232</v>
      </c>
      <c r="L56">
        <f t="shared" si="1"/>
        <v>38.049999999999997</v>
      </c>
    </row>
    <row r="57" spans="1:12" x14ac:dyDescent="0.25">
      <c r="A57">
        <v>1715</v>
      </c>
      <c r="B57" t="s">
        <v>98</v>
      </c>
      <c r="C57" t="s">
        <v>68</v>
      </c>
      <c r="D57" t="s">
        <v>33</v>
      </c>
      <c r="E57">
        <v>31</v>
      </c>
      <c r="F57">
        <v>18</v>
      </c>
      <c r="H57">
        <v>18</v>
      </c>
      <c r="J57">
        <f t="shared" si="0"/>
        <v>71474</v>
      </c>
      <c r="L57">
        <f t="shared" si="1"/>
        <v>31.908035714285713</v>
      </c>
    </row>
    <row r="58" spans="1:12" x14ac:dyDescent="0.25">
      <c r="A58">
        <v>1715</v>
      </c>
      <c r="B58" t="s">
        <v>87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1715</v>
      </c>
      <c r="B59" t="s">
        <v>62</v>
      </c>
      <c r="C59" t="s">
        <v>68</v>
      </c>
      <c r="D59" t="s">
        <v>33</v>
      </c>
      <c r="E59">
        <v>1685</v>
      </c>
      <c r="F59">
        <v>3</v>
      </c>
      <c r="G59">
        <v>1</v>
      </c>
      <c r="H59">
        <v>10</v>
      </c>
      <c r="J59">
        <f t="shared" si="0"/>
        <v>3774774</v>
      </c>
      <c r="L59">
        <f t="shared" si="1"/>
        <v>1685.1669642857144</v>
      </c>
    </row>
    <row r="60" spans="1:12" x14ac:dyDescent="0.25">
      <c r="A60">
        <v>1715</v>
      </c>
      <c r="B60" t="s">
        <v>88</v>
      </c>
      <c r="C60" t="s">
        <v>68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1715</v>
      </c>
      <c r="B61" t="s">
        <v>63</v>
      </c>
      <c r="C61" t="s">
        <v>68</v>
      </c>
      <c r="D61" t="s">
        <v>33</v>
      </c>
      <c r="E61">
        <v>1241</v>
      </c>
      <c r="F61">
        <v>19</v>
      </c>
      <c r="H61">
        <v>20</v>
      </c>
      <c r="J61">
        <f t="shared" si="0"/>
        <v>2781988</v>
      </c>
      <c r="L61">
        <f t="shared" si="1"/>
        <v>1241.9589285714285</v>
      </c>
    </row>
    <row r="62" spans="1:12" x14ac:dyDescent="0.25">
      <c r="A62">
        <v>1715</v>
      </c>
      <c r="B62" t="s">
        <v>89</v>
      </c>
      <c r="C62" t="s">
        <v>68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1715</v>
      </c>
      <c r="B63" t="s">
        <v>70</v>
      </c>
      <c r="C63" t="s">
        <v>68</v>
      </c>
      <c r="D63" t="s">
        <v>33</v>
      </c>
      <c r="E63">
        <v>138</v>
      </c>
      <c r="F63">
        <v>9</v>
      </c>
      <c r="G63">
        <v>3</v>
      </c>
      <c r="H63">
        <v>21</v>
      </c>
      <c r="J63">
        <f t="shared" si="0"/>
        <v>310233</v>
      </c>
      <c r="L63">
        <f t="shared" si="1"/>
        <v>138.49687499999999</v>
      </c>
    </row>
    <row r="64" spans="1:12" x14ac:dyDescent="0.25">
      <c r="A64">
        <v>1715</v>
      </c>
      <c r="B64" t="s">
        <v>64</v>
      </c>
      <c r="C64" t="s">
        <v>68</v>
      </c>
      <c r="D64" t="s">
        <v>33</v>
      </c>
      <c r="E64">
        <v>2</v>
      </c>
      <c r="F64">
        <v>15</v>
      </c>
      <c r="G64">
        <v>3</v>
      </c>
      <c r="J64">
        <f t="shared" si="0"/>
        <v>6244</v>
      </c>
      <c r="L64">
        <f t="shared" si="1"/>
        <v>2.7875000000000001</v>
      </c>
    </row>
    <row r="65" spans="1:12" x14ac:dyDescent="0.25">
      <c r="A65">
        <v>1715</v>
      </c>
      <c r="B65" t="s">
        <v>65</v>
      </c>
      <c r="C65" t="s">
        <v>68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1715</v>
      </c>
      <c r="B66" t="s">
        <v>55</v>
      </c>
      <c r="C66" t="s">
        <v>68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1715</v>
      </c>
      <c r="B67" t="s">
        <v>57</v>
      </c>
      <c r="C67" t="s">
        <v>68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1715</v>
      </c>
      <c r="B68" t="s">
        <v>36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1715</v>
      </c>
      <c r="B69" t="s">
        <v>4</v>
      </c>
      <c r="C69" t="s">
        <v>68</v>
      </c>
      <c r="D69" t="s">
        <v>35</v>
      </c>
      <c r="J69">
        <f t="shared" ref="J69:J130" si="2">(E69*2240)+(F69*112)+(G69*28)+H69</f>
        <v>0</v>
      </c>
      <c r="L69">
        <f t="shared" ref="L69:L130" si="3">J69/2240</f>
        <v>0</v>
      </c>
    </row>
    <row r="70" spans="1:12" x14ac:dyDescent="0.25">
      <c r="A70">
        <v>1715</v>
      </c>
      <c r="B70" t="s">
        <v>58</v>
      </c>
      <c r="C70" t="s">
        <v>68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1715</v>
      </c>
      <c r="B71" t="s">
        <v>69</v>
      </c>
      <c r="C71" t="s">
        <v>68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1715</v>
      </c>
      <c r="B72" t="s">
        <v>101</v>
      </c>
      <c r="C72" t="s">
        <v>68</v>
      </c>
      <c r="D72" t="s">
        <v>35</v>
      </c>
      <c r="H72">
        <v>70</v>
      </c>
      <c r="J72">
        <f t="shared" si="2"/>
        <v>70</v>
      </c>
      <c r="L72">
        <f t="shared" si="3"/>
        <v>3.125E-2</v>
      </c>
    </row>
    <row r="73" spans="1:12" x14ac:dyDescent="0.25">
      <c r="A73">
        <v>1715</v>
      </c>
      <c r="B73" t="s">
        <v>43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1715</v>
      </c>
      <c r="B74" t="s">
        <v>76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1715</v>
      </c>
      <c r="B75" t="s">
        <v>5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1715</v>
      </c>
      <c r="B76" t="s">
        <v>59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1715</v>
      </c>
      <c r="B77" t="s">
        <v>6</v>
      </c>
      <c r="C77" t="s">
        <v>68</v>
      </c>
      <c r="D77" t="s">
        <v>35</v>
      </c>
      <c r="F77">
        <v>31330</v>
      </c>
      <c r="G77">
        <v>3</v>
      </c>
      <c r="H77">
        <v>16</v>
      </c>
      <c r="J77">
        <f t="shared" si="2"/>
        <v>3509060</v>
      </c>
      <c r="L77">
        <f t="shared" si="3"/>
        <v>1566.5446428571429</v>
      </c>
    </row>
    <row r="78" spans="1:12" x14ac:dyDescent="0.25">
      <c r="A78">
        <v>1715</v>
      </c>
      <c r="B78" t="s">
        <v>60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1715</v>
      </c>
      <c r="B79" t="s">
        <v>38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1715</v>
      </c>
      <c r="B80" t="s">
        <v>37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1715</v>
      </c>
      <c r="B81" t="s">
        <v>8</v>
      </c>
      <c r="C81" t="s">
        <v>68</v>
      </c>
      <c r="D81" t="s">
        <v>35</v>
      </c>
      <c r="F81">
        <v>4</v>
      </c>
      <c r="G81">
        <v>1</v>
      </c>
      <c r="H81">
        <v>15</v>
      </c>
      <c r="J81">
        <f t="shared" si="2"/>
        <v>491</v>
      </c>
      <c r="L81">
        <f t="shared" si="3"/>
        <v>0.21919642857142857</v>
      </c>
    </row>
    <row r="82" spans="1:12" x14ac:dyDescent="0.25">
      <c r="A82">
        <v>1715</v>
      </c>
      <c r="B82" t="s">
        <v>40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1715</v>
      </c>
      <c r="B83" t="s">
        <v>77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1715</v>
      </c>
      <c r="B84" t="s">
        <v>78</v>
      </c>
      <c r="C84" t="s">
        <v>68</v>
      </c>
      <c r="D84" t="s">
        <v>35</v>
      </c>
      <c r="H84">
        <v>18766</v>
      </c>
      <c r="J84">
        <f t="shared" si="2"/>
        <v>18766</v>
      </c>
      <c r="L84">
        <f t="shared" si="3"/>
        <v>8.3776785714285715</v>
      </c>
    </row>
    <row r="85" spans="1:12" x14ac:dyDescent="0.25">
      <c r="A85">
        <v>1715</v>
      </c>
      <c r="B85" t="s">
        <v>46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1715</v>
      </c>
      <c r="B86" t="s">
        <v>9</v>
      </c>
      <c r="C86" t="s">
        <v>68</v>
      </c>
      <c r="D86" t="s">
        <v>35</v>
      </c>
      <c r="H86">
        <v>258702</v>
      </c>
      <c r="J86">
        <f t="shared" si="2"/>
        <v>258702</v>
      </c>
      <c r="L86">
        <f t="shared" si="3"/>
        <v>115.49196428571429</v>
      </c>
    </row>
    <row r="87" spans="1:12" x14ac:dyDescent="0.25">
      <c r="A87">
        <v>1715</v>
      </c>
      <c r="B87" t="s">
        <v>10</v>
      </c>
      <c r="C87" t="s">
        <v>68</v>
      </c>
      <c r="D87" t="s">
        <v>35</v>
      </c>
      <c r="F87">
        <v>668</v>
      </c>
      <c r="G87">
        <v>3</v>
      </c>
      <c r="H87">
        <v>1</v>
      </c>
      <c r="J87">
        <f t="shared" si="2"/>
        <v>74901</v>
      </c>
      <c r="L87">
        <f t="shared" si="3"/>
        <v>33.437946428571429</v>
      </c>
    </row>
    <row r="88" spans="1:12" x14ac:dyDescent="0.25">
      <c r="A88">
        <v>1715</v>
      </c>
      <c r="B88" t="s">
        <v>11</v>
      </c>
      <c r="C88" t="s">
        <v>68</v>
      </c>
      <c r="D88" t="s">
        <v>35</v>
      </c>
      <c r="F88">
        <v>1</v>
      </c>
      <c r="G88">
        <v>3</v>
      </c>
      <c r="H88">
        <v>21</v>
      </c>
      <c r="J88">
        <f t="shared" si="2"/>
        <v>217</v>
      </c>
      <c r="L88">
        <f t="shared" si="3"/>
        <v>9.6875000000000003E-2</v>
      </c>
    </row>
    <row r="89" spans="1:12" x14ac:dyDescent="0.25">
      <c r="A89">
        <v>1715</v>
      </c>
      <c r="B89" t="s">
        <v>39</v>
      </c>
      <c r="C89" t="s">
        <v>68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1715</v>
      </c>
      <c r="B90" t="s">
        <v>79</v>
      </c>
      <c r="C90" t="s">
        <v>68</v>
      </c>
      <c r="D90" t="s">
        <v>35</v>
      </c>
      <c r="H90">
        <v>25</v>
      </c>
      <c r="J90">
        <f t="shared" si="2"/>
        <v>25</v>
      </c>
      <c r="L90">
        <f t="shared" si="3"/>
        <v>1.1160714285714286E-2</v>
      </c>
    </row>
    <row r="91" spans="1:12" x14ac:dyDescent="0.25">
      <c r="A91">
        <v>1715</v>
      </c>
      <c r="B91" t="s">
        <v>113</v>
      </c>
      <c r="C91" t="s">
        <v>68</v>
      </c>
      <c r="D91" t="s">
        <v>35</v>
      </c>
      <c r="H91">
        <v>146</v>
      </c>
      <c r="J91">
        <f t="shared" si="2"/>
        <v>146</v>
      </c>
      <c r="L91">
        <f t="shared" si="3"/>
        <v>6.5178571428571433E-2</v>
      </c>
    </row>
    <row r="92" spans="1:12" x14ac:dyDescent="0.25">
      <c r="A92">
        <v>1715</v>
      </c>
      <c r="B92" t="s">
        <v>44</v>
      </c>
      <c r="C92" t="s">
        <v>68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1715</v>
      </c>
      <c r="B93" t="s">
        <v>97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1715</v>
      </c>
      <c r="B94" t="s">
        <v>12</v>
      </c>
      <c r="C94" t="s">
        <v>68</v>
      </c>
      <c r="D94" t="s">
        <v>35</v>
      </c>
      <c r="H94">
        <v>33165</v>
      </c>
      <c r="J94">
        <f t="shared" si="2"/>
        <v>33165</v>
      </c>
      <c r="L94">
        <f t="shared" si="3"/>
        <v>14.805803571428571</v>
      </c>
    </row>
    <row r="95" spans="1:12" x14ac:dyDescent="0.25">
      <c r="A95">
        <v>1715</v>
      </c>
      <c r="B95" t="s">
        <v>82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1715</v>
      </c>
      <c r="B96" t="s">
        <v>34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1715</v>
      </c>
      <c r="B97" t="s">
        <v>13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1715</v>
      </c>
      <c r="B98" t="s">
        <v>14</v>
      </c>
      <c r="C98" t="s">
        <v>68</v>
      </c>
      <c r="D98" t="s">
        <v>35</v>
      </c>
      <c r="H98">
        <v>20365</v>
      </c>
      <c r="I98" t="s">
        <v>129</v>
      </c>
      <c r="J98">
        <f t="shared" si="2"/>
        <v>20365</v>
      </c>
      <c r="L98">
        <f t="shared" si="3"/>
        <v>9.0915178571428577</v>
      </c>
    </row>
    <row r="99" spans="1:12" x14ac:dyDescent="0.25">
      <c r="A99">
        <v>1715</v>
      </c>
      <c r="B99" t="s">
        <v>23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1715</v>
      </c>
      <c r="B100" t="s">
        <v>27</v>
      </c>
      <c r="C100" t="s">
        <v>68</v>
      </c>
      <c r="D100" t="s">
        <v>35</v>
      </c>
      <c r="H100">
        <v>840</v>
      </c>
      <c r="I100" t="s">
        <v>128</v>
      </c>
      <c r="J100">
        <f t="shared" si="2"/>
        <v>840</v>
      </c>
      <c r="L100">
        <f t="shared" si="3"/>
        <v>0.375</v>
      </c>
    </row>
    <row r="101" spans="1:12" x14ac:dyDescent="0.25">
      <c r="A101">
        <v>1715</v>
      </c>
      <c r="B101" t="s">
        <v>15</v>
      </c>
      <c r="C101" t="s">
        <v>68</v>
      </c>
      <c r="D101" t="s">
        <v>35</v>
      </c>
      <c r="F101">
        <v>64</v>
      </c>
      <c r="G101">
        <v>3</v>
      </c>
      <c r="J101">
        <f t="shared" si="2"/>
        <v>7252</v>
      </c>
      <c r="L101">
        <f t="shared" si="3"/>
        <v>3.2374999999999998</v>
      </c>
    </row>
    <row r="102" spans="1:12" x14ac:dyDescent="0.25">
      <c r="A102">
        <v>1715</v>
      </c>
      <c r="B102" t="s">
        <v>93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1715</v>
      </c>
      <c r="B103" t="s">
        <v>42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1715</v>
      </c>
      <c r="B104" t="s">
        <v>83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1715</v>
      </c>
      <c r="B105" t="s">
        <v>47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1715</v>
      </c>
      <c r="B106" t="s">
        <v>16</v>
      </c>
      <c r="C106" t="s">
        <v>68</v>
      </c>
      <c r="D106" t="s">
        <v>35</v>
      </c>
      <c r="H106">
        <v>89170</v>
      </c>
      <c r="J106">
        <f t="shared" si="2"/>
        <v>89170</v>
      </c>
      <c r="L106">
        <f t="shared" si="3"/>
        <v>39.808035714285715</v>
      </c>
    </row>
    <row r="107" spans="1:12" x14ac:dyDescent="0.25">
      <c r="A107">
        <v>1715</v>
      </c>
      <c r="B107" t="s">
        <v>17</v>
      </c>
      <c r="C107" t="s">
        <v>68</v>
      </c>
      <c r="D107" t="s">
        <v>35</v>
      </c>
      <c r="F107">
        <v>365</v>
      </c>
      <c r="G107">
        <v>1</v>
      </c>
      <c r="H107">
        <v>21</v>
      </c>
      <c r="J107">
        <f t="shared" si="2"/>
        <v>40929</v>
      </c>
      <c r="L107">
        <f t="shared" si="3"/>
        <v>18.271875000000001</v>
      </c>
    </row>
    <row r="108" spans="1:12" x14ac:dyDescent="0.25">
      <c r="A108">
        <v>1715</v>
      </c>
      <c r="B108" t="s">
        <v>18</v>
      </c>
      <c r="C108" t="s">
        <v>68</v>
      </c>
      <c r="D108" t="s">
        <v>35</v>
      </c>
      <c r="H108">
        <v>31263</v>
      </c>
      <c r="I108" t="s">
        <v>130</v>
      </c>
      <c r="J108">
        <f t="shared" si="2"/>
        <v>31263</v>
      </c>
      <c r="L108">
        <f t="shared" si="3"/>
        <v>13.956696428571428</v>
      </c>
    </row>
    <row r="109" spans="1:12" x14ac:dyDescent="0.25">
      <c r="A109">
        <v>1715</v>
      </c>
      <c r="B109" t="s">
        <v>26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1715</v>
      </c>
      <c r="B110" t="s">
        <v>84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1715</v>
      </c>
      <c r="B111" t="s">
        <v>19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1715</v>
      </c>
      <c r="B112" t="s">
        <v>45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1715</v>
      </c>
      <c r="B113" t="s">
        <v>85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1715</v>
      </c>
      <c r="B114" t="s">
        <v>54</v>
      </c>
      <c r="C114" t="s">
        <v>68</v>
      </c>
      <c r="D114" t="s">
        <v>35</v>
      </c>
      <c r="H114">
        <v>200</v>
      </c>
      <c r="J114">
        <f t="shared" si="2"/>
        <v>200</v>
      </c>
      <c r="L114">
        <f t="shared" si="3"/>
        <v>8.9285714285714288E-2</v>
      </c>
    </row>
    <row r="115" spans="1:12" x14ac:dyDescent="0.25">
      <c r="A115">
        <v>1715</v>
      </c>
      <c r="B115" t="s">
        <v>95</v>
      </c>
      <c r="C115" t="s">
        <v>68</v>
      </c>
      <c r="D115" t="s">
        <v>35</v>
      </c>
      <c r="H115">
        <v>77</v>
      </c>
      <c r="J115">
        <f t="shared" si="2"/>
        <v>77</v>
      </c>
      <c r="L115">
        <f t="shared" si="3"/>
        <v>3.4375000000000003E-2</v>
      </c>
    </row>
    <row r="116" spans="1:12" x14ac:dyDescent="0.25">
      <c r="A116">
        <v>1715</v>
      </c>
      <c r="B116" t="s">
        <v>20</v>
      </c>
      <c r="C116" t="s">
        <v>68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1715</v>
      </c>
      <c r="B117" t="s">
        <v>21</v>
      </c>
      <c r="C117" t="s">
        <v>68</v>
      </c>
      <c r="D117" t="s">
        <v>35</v>
      </c>
      <c r="H117">
        <v>1113.5</v>
      </c>
      <c r="J117">
        <f t="shared" si="2"/>
        <v>1113.5</v>
      </c>
      <c r="L117">
        <f t="shared" si="3"/>
        <v>0.49709821428571427</v>
      </c>
    </row>
    <row r="118" spans="1:12" x14ac:dyDescent="0.25">
      <c r="A118">
        <v>1715</v>
      </c>
      <c r="B118" t="s">
        <v>90</v>
      </c>
      <c r="C118" t="s">
        <v>68</v>
      </c>
      <c r="D118" t="s">
        <v>35</v>
      </c>
      <c r="F118">
        <v>5</v>
      </c>
      <c r="H118">
        <v>4</v>
      </c>
      <c r="J118">
        <f t="shared" si="2"/>
        <v>564</v>
      </c>
      <c r="L118">
        <f t="shared" si="3"/>
        <v>0.25178571428571428</v>
      </c>
    </row>
    <row r="119" spans="1:12" x14ac:dyDescent="0.25">
      <c r="A119">
        <v>1715</v>
      </c>
      <c r="B119" t="s">
        <v>22</v>
      </c>
      <c r="C119" t="s">
        <v>68</v>
      </c>
      <c r="D119" t="s">
        <v>35</v>
      </c>
      <c r="G119">
        <v>2</v>
      </c>
      <c r="H119">
        <v>10</v>
      </c>
      <c r="J119">
        <f t="shared" si="2"/>
        <v>66</v>
      </c>
      <c r="L119">
        <f t="shared" si="3"/>
        <v>2.9464285714285714E-2</v>
      </c>
    </row>
    <row r="120" spans="1:12" x14ac:dyDescent="0.25">
      <c r="A120">
        <v>1715</v>
      </c>
      <c r="B120" t="s">
        <v>61</v>
      </c>
      <c r="C120" t="s">
        <v>68</v>
      </c>
      <c r="D120" t="s">
        <v>35</v>
      </c>
      <c r="E120">
        <v>21</v>
      </c>
      <c r="G120">
        <v>3</v>
      </c>
      <c r="H120">
        <v>20</v>
      </c>
      <c r="J120">
        <f t="shared" si="2"/>
        <v>47144</v>
      </c>
      <c r="L120">
        <f t="shared" si="3"/>
        <v>21.046428571428571</v>
      </c>
    </row>
    <row r="121" spans="1:12" x14ac:dyDescent="0.25">
      <c r="A121">
        <v>1715</v>
      </c>
      <c r="B121" t="s">
        <v>91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1715</v>
      </c>
      <c r="B122" t="s">
        <v>98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1715</v>
      </c>
      <c r="B123" t="s">
        <v>87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1715</v>
      </c>
      <c r="B124" t="s">
        <v>62</v>
      </c>
      <c r="C124" t="s">
        <v>68</v>
      </c>
      <c r="D124" t="s">
        <v>35</v>
      </c>
      <c r="E124">
        <v>753</v>
      </c>
      <c r="F124">
        <v>8</v>
      </c>
      <c r="G124">
        <v>1</v>
      </c>
      <c r="H124">
        <v>6</v>
      </c>
      <c r="J124">
        <f t="shared" si="2"/>
        <v>1687650</v>
      </c>
      <c r="L124">
        <f t="shared" si="3"/>
        <v>753.41517857142856</v>
      </c>
    </row>
    <row r="125" spans="1:12" x14ac:dyDescent="0.25">
      <c r="A125">
        <v>1715</v>
      </c>
      <c r="B125" t="s">
        <v>88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1715</v>
      </c>
      <c r="B126" t="s">
        <v>63</v>
      </c>
      <c r="C126" t="s">
        <v>68</v>
      </c>
      <c r="D126" t="s">
        <v>35</v>
      </c>
      <c r="E126">
        <v>538</v>
      </c>
      <c r="F126">
        <v>15</v>
      </c>
      <c r="H126">
        <v>12</v>
      </c>
      <c r="J126">
        <f t="shared" si="2"/>
        <v>1206812</v>
      </c>
      <c r="L126">
        <f t="shared" si="3"/>
        <v>538.75535714285718</v>
      </c>
    </row>
    <row r="127" spans="1:12" x14ac:dyDescent="0.25">
      <c r="A127">
        <v>1715</v>
      </c>
      <c r="B127" t="s">
        <v>89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1715</v>
      </c>
      <c r="B128" t="s">
        <v>70</v>
      </c>
      <c r="C128" t="s">
        <v>68</v>
      </c>
      <c r="D128" t="s">
        <v>35</v>
      </c>
      <c r="E128">
        <v>24</v>
      </c>
      <c r="F128">
        <v>2</v>
      </c>
      <c r="H128">
        <v>18</v>
      </c>
      <c r="J128">
        <f t="shared" si="2"/>
        <v>54002</v>
      </c>
      <c r="L128">
        <f t="shared" si="3"/>
        <v>24.108035714285716</v>
      </c>
    </row>
    <row r="129" spans="1:12" x14ac:dyDescent="0.25">
      <c r="A129">
        <v>1715</v>
      </c>
      <c r="B129" t="s">
        <v>64</v>
      </c>
      <c r="C129" t="s">
        <v>68</v>
      </c>
      <c r="D129" t="s">
        <v>35</v>
      </c>
      <c r="E129">
        <v>24</v>
      </c>
      <c r="F129">
        <v>2</v>
      </c>
      <c r="G129">
        <v>2</v>
      </c>
      <c r="H129">
        <v>21</v>
      </c>
      <c r="J129">
        <f t="shared" si="2"/>
        <v>54061</v>
      </c>
      <c r="L129">
        <f t="shared" si="3"/>
        <v>24.134374999999999</v>
      </c>
    </row>
    <row r="130" spans="1:12" x14ac:dyDescent="0.25">
      <c r="A130">
        <v>1715</v>
      </c>
      <c r="B130" t="s">
        <v>65</v>
      </c>
      <c r="C130" t="s">
        <v>68</v>
      </c>
      <c r="D130" t="s">
        <v>35</v>
      </c>
      <c r="E130">
        <v>5</v>
      </c>
      <c r="F130">
        <v>12</v>
      </c>
      <c r="G130">
        <v>2</v>
      </c>
      <c r="H130">
        <v>27</v>
      </c>
      <c r="J130">
        <f t="shared" si="2"/>
        <v>12627</v>
      </c>
      <c r="L130">
        <f t="shared" si="3"/>
        <v>5.637053571428571</v>
      </c>
    </row>
  </sheetData>
  <autoFilter ref="A1:O61" xr:uid="{8C2F7725-5A61-4A1B-A740-CC887BCB0E68}">
    <sortState xmlns:xlrd2="http://schemas.microsoft.com/office/spreadsheetml/2017/richdata2" ref="A2:O61">
      <sortCondition ref="B1:B6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92" workbookViewId="0">
      <selection activeCell="I126" sqref="E2:I12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1715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1715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1715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1715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1715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1715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1715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1715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1715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1715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1715</v>
      </c>
      <c r="B12" t="s">
        <v>6</v>
      </c>
      <c r="C12" t="s">
        <v>72</v>
      </c>
      <c r="D12" t="s">
        <v>33</v>
      </c>
      <c r="F12">
        <v>12288</v>
      </c>
      <c r="G12">
        <v>3</v>
      </c>
      <c r="J12">
        <f t="shared" si="0"/>
        <v>1376340</v>
      </c>
      <c r="L12">
        <f t="shared" si="1"/>
        <v>614.4375</v>
      </c>
    </row>
    <row r="13" spans="1:15" x14ac:dyDescent="0.25">
      <c r="A13">
        <v>1715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1715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1715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1715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1715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1715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1715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1715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1715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1715</v>
      </c>
      <c r="B22" t="s">
        <v>9</v>
      </c>
      <c r="C22" t="s">
        <v>72</v>
      </c>
      <c r="D22" t="s">
        <v>33</v>
      </c>
      <c r="H22">
        <v>2688</v>
      </c>
      <c r="J22">
        <f t="shared" si="0"/>
        <v>2688</v>
      </c>
      <c r="L22">
        <f t="shared" si="1"/>
        <v>1.2</v>
      </c>
    </row>
    <row r="23" spans="1:12" x14ac:dyDescent="0.25">
      <c r="A23">
        <v>1715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1715</v>
      </c>
      <c r="B24" t="s">
        <v>11</v>
      </c>
      <c r="C24" t="s">
        <v>72</v>
      </c>
      <c r="D24" t="s">
        <v>33</v>
      </c>
      <c r="F24">
        <v>16</v>
      </c>
      <c r="G24">
        <v>3</v>
      </c>
      <c r="J24">
        <f t="shared" si="0"/>
        <v>1876</v>
      </c>
      <c r="L24">
        <f t="shared" si="1"/>
        <v>0.83750000000000002</v>
      </c>
    </row>
    <row r="25" spans="1:12" x14ac:dyDescent="0.25">
      <c r="A25">
        <v>1715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1715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1715</v>
      </c>
      <c r="B27" t="s">
        <v>113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1715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1715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1715</v>
      </c>
      <c r="B30" t="s">
        <v>12</v>
      </c>
      <c r="C30" t="s">
        <v>72</v>
      </c>
      <c r="D30" t="s">
        <v>33</v>
      </c>
      <c r="H30">
        <v>23791</v>
      </c>
      <c r="J30">
        <f t="shared" si="0"/>
        <v>23791</v>
      </c>
      <c r="L30">
        <f t="shared" si="1"/>
        <v>10.620982142857143</v>
      </c>
    </row>
    <row r="31" spans="1:12" x14ac:dyDescent="0.25">
      <c r="A31">
        <v>1715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1715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1715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1715</v>
      </c>
      <c r="B34" t="s">
        <v>14</v>
      </c>
      <c r="C34" t="s">
        <v>72</v>
      </c>
      <c r="D34" t="s">
        <v>33</v>
      </c>
      <c r="H34">
        <v>750</v>
      </c>
      <c r="I34" t="s">
        <v>111</v>
      </c>
      <c r="J34">
        <f t="shared" si="0"/>
        <v>750</v>
      </c>
      <c r="L34">
        <f t="shared" si="1"/>
        <v>0.33482142857142855</v>
      </c>
    </row>
    <row r="35" spans="1:12" x14ac:dyDescent="0.25">
      <c r="A35">
        <v>1715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1715</v>
      </c>
      <c r="B36" t="s">
        <v>27</v>
      </c>
      <c r="C36" t="s">
        <v>72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1715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1715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1715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1715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1715</v>
      </c>
      <c r="B41" t="s">
        <v>16</v>
      </c>
      <c r="C41" t="s">
        <v>72</v>
      </c>
      <c r="D41" t="s">
        <v>33</v>
      </c>
      <c r="H41">
        <v>1054</v>
      </c>
      <c r="J41">
        <f t="shared" si="0"/>
        <v>1054</v>
      </c>
      <c r="L41">
        <f t="shared" si="1"/>
        <v>0.47053571428571428</v>
      </c>
    </row>
    <row r="42" spans="1:12" x14ac:dyDescent="0.25">
      <c r="A42">
        <v>1715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1715</v>
      </c>
      <c r="B43" t="s">
        <v>18</v>
      </c>
      <c r="C43" t="s">
        <v>72</v>
      </c>
      <c r="D43" t="s">
        <v>33</v>
      </c>
      <c r="H43">
        <v>3301</v>
      </c>
      <c r="I43" t="s">
        <v>112</v>
      </c>
      <c r="J43">
        <f t="shared" si="0"/>
        <v>3301</v>
      </c>
      <c r="L43">
        <f t="shared" si="1"/>
        <v>1.4736607142857143</v>
      </c>
    </row>
    <row r="44" spans="1:12" x14ac:dyDescent="0.25">
      <c r="A44">
        <v>1715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1715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1715</v>
      </c>
      <c r="B46" t="s">
        <v>19</v>
      </c>
      <c r="C46" t="s">
        <v>72</v>
      </c>
      <c r="D46" t="s">
        <v>33</v>
      </c>
      <c r="F46">
        <v>2</v>
      </c>
      <c r="J46">
        <f t="shared" si="0"/>
        <v>224</v>
      </c>
      <c r="L46">
        <f t="shared" si="1"/>
        <v>0.1</v>
      </c>
    </row>
    <row r="47" spans="1:12" x14ac:dyDescent="0.25">
      <c r="A47">
        <v>1715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1715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1715</v>
      </c>
      <c r="B49" t="s">
        <v>54</v>
      </c>
      <c r="C49" t="s">
        <v>72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1715</v>
      </c>
      <c r="B50" t="s">
        <v>95</v>
      </c>
      <c r="C50" t="s">
        <v>72</v>
      </c>
      <c r="D50" t="s">
        <v>33</v>
      </c>
      <c r="H50">
        <v>22</v>
      </c>
      <c r="J50">
        <f t="shared" si="0"/>
        <v>22</v>
      </c>
      <c r="L50">
        <f t="shared" si="1"/>
        <v>9.8214285714285712E-3</v>
      </c>
    </row>
    <row r="51" spans="1:12" x14ac:dyDescent="0.25">
      <c r="A51">
        <v>1715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1715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1715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1715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1715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1715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1715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1715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1715</v>
      </c>
      <c r="B59" t="s">
        <v>63</v>
      </c>
      <c r="C59" t="s">
        <v>72</v>
      </c>
      <c r="D59" t="s">
        <v>33</v>
      </c>
      <c r="F59">
        <v>17</v>
      </c>
      <c r="G59">
        <v>3</v>
      </c>
      <c r="H59">
        <v>14</v>
      </c>
      <c r="J59">
        <f t="shared" si="0"/>
        <v>2002</v>
      </c>
      <c r="L59">
        <f t="shared" si="1"/>
        <v>0.89375000000000004</v>
      </c>
    </row>
    <row r="60" spans="1:12" x14ac:dyDescent="0.25">
      <c r="A60">
        <v>1715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1715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1715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1715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1715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1715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1715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1715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1715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1715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1715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1715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1715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1715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1715</v>
      </c>
      <c r="B74" t="s">
        <v>6</v>
      </c>
      <c r="C74" t="s">
        <v>72</v>
      </c>
      <c r="D74" t="s">
        <v>35</v>
      </c>
      <c r="F74">
        <v>7108</v>
      </c>
      <c r="G74">
        <v>2</v>
      </c>
      <c r="H74">
        <v>19</v>
      </c>
      <c r="J74">
        <f t="shared" si="2"/>
        <v>796171</v>
      </c>
      <c r="L74">
        <f t="shared" si="3"/>
        <v>355.43348214285714</v>
      </c>
    </row>
    <row r="75" spans="1:12" x14ac:dyDescent="0.25">
      <c r="A75">
        <v>1715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1715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1715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1715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1715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1715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1715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1715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1715</v>
      </c>
      <c r="B83" t="s">
        <v>9</v>
      </c>
      <c r="C83" t="s">
        <v>72</v>
      </c>
      <c r="D83" t="s">
        <v>35</v>
      </c>
      <c r="H83">
        <v>15456</v>
      </c>
      <c r="J83">
        <f t="shared" si="2"/>
        <v>15456</v>
      </c>
      <c r="L83">
        <f t="shared" si="3"/>
        <v>6.9</v>
      </c>
    </row>
    <row r="84" spans="1:12" x14ac:dyDescent="0.25">
      <c r="A84">
        <v>1715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1715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1715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1715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1715</v>
      </c>
      <c r="B88" t="s">
        <v>113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1715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1715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1715</v>
      </c>
      <c r="B91" t="s">
        <v>12</v>
      </c>
      <c r="C91" t="s">
        <v>72</v>
      </c>
      <c r="D91" t="s">
        <v>35</v>
      </c>
      <c r="H91">
        <v>5757</v>
      </c>
      <c r="J91">
        <f t="shared" si="2"/>
        <v>5757</v>
      </c>
      <c r="L91">
        <f t="shared" si="3"/>
        <v>2.5700892857142859</v>
      </c>
    </row>
    <row r="92" spans="1:12" x14ac:dyDescent="0.25">
      <c r="A92">
        <v>1715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1715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1715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1715</v>
      </c>
      <c r="B95" t="s">
        <v>14</v>
      </c>
      <c r="C95" t="s">
        <v>72</v>
      </c>
      <c r="D95" t="s">
        <v>35</v>
      </c>
      <c r="H95">
        <v>1150</v>
      </c>
      <c r="I95" t="s">
        <v>131</v>
      </c>
      <c r="J95">
        <f t="shared" si="2"/>
        <v>1150</v>
      </c>
      <c r="L95">
        <f t="shared" si="3"/>
        <v>0.5133928571428571</v>
      </c>
    </row>
    <row r="96" spans="1:12" x14ac:dyDescent="0.25">
      <c r="A96">
        <v>1715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1715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1715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1715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1715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1715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1715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1715</v>
      </c>
      <c r="B103" t="s">
        <v>16</v>
      </c>
      <c r="C103" t="s">
        <v>72</v>
      </c>
      <c r="D103" t="s">
        <v>35</v>
      </c>
      <c r="H103">
        <v>906</v>
      </c>
      <c r="J103">
        <f t="shared" si="2"/>
        <v>906</v>
      </c>
      <c r="L103">
        <f t="shared" si="3"/>
        <v>0.40446428571428572</v>
      </c>
    </row>
    <row r="104" spans="1:12" x14ac:dyDescent="0.25">
      <c r="A104">
        <v>1715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1715</v>
      </c>
      <c r="B105" t="s">
        <v>18</v>
      </c>
      <c r="C105" t="s">
        <v>72</v>
      </c>
      <c r="D105" t="s">
        <v>35</v>
      </c>
      <c r="I105" t="s">
        <v>132</v>
      </c>
      <c r="J105">
        <f t="shared" si="2"/>
        <v>0</v>
      </c>
      <c r="L105">
        <f t="shared" si="3"/>
        <v>0</v>
      </c>
    </row>
    <row r="106" spans="1:12" x14ac:dyDescent="0.25">
      <c r="A106">
        <v>1715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1715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1715</v>
      </c>
      <c r="B108" t="s">
        <v>19</v>
      </c>
      <c r="C108" t="s">
        <v>72</v>
      </c>
      <c r="D108" t="s">
        <v>35</v>
      </c>
      <c r="G108">
        <v>3</v>
      </c>
      <c r="H108">
        <v>2</v>
      </c>
      <c r="J108">
        <f t="shared" si="2"/>
        <v>86</v>
      </c>
      <c r="L108">
        <f t="shared" si="3"/>
        <v>3.8392857142857145E-2</v>
      </c>
    </row>
    <row r="109" spans="1:12" x14ac:dyDescent="0.25">
      <c r="A109">
        <v>1715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1715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1715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1715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1715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1715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1715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1715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1715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1715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1715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1715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1715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1715</v>
      </c>
      <c r="B122" t="s">
        <v>63</v>
      </c>
      <c r="C122" t="s">
        <v>72</v>
      </c>
      <c r="D122" t="s">
        <v>35</v>
      </c>
      <c r="F122">
        <v>79</v>
      </c>
      <c r="J122">
        <f t="shared" si="2"/>
        <v>8848</v>
      </c>
      <c r="L122">
        <f t="shared" si="3"/>
        <v>3.95</v>
      </c>
    </row>
    <row r="123" spans="1:12" x14ac:dyDescent="0.25">
      <c r="A123">
        <v>1715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1715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1715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1715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92" workbookViewId="0">
      <selection activeCell="I126" sqref="E2:I12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1715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1715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1715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1715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1715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1715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1715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1715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1715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1715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1715</v>
      </c>
      <c r="B12" t="s">
        <v>6</v>
      </c>
      <c r="C12" t="s">
        <v>73</v>
      </c>
      <c r="D12" t="s">
        <v>33</v>
      </c>
      <c r="F12">
        <v>40130</v>
      </c>
      <c r="G12">
        <v>1</v>
      </c>
      <c r="J12">
        <f t="shared" si="0"/>
        <v>4494588</v>
      </c>
      <c r="L12">
        <f t="shared" si="1"/>
        <v>2006.5125</v>
      </c>
    </row>
    <row r="13" spans="1:15" x14ac:dyDescent="0.25">
      <c r="A13">
        <v>1715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1715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1715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1715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1715</v>
      </c>
      <c r="B17" t="s">
        <v>8</v>
      </c>
      <c r="C17" t="s">
        <v>73</v>
      </c>
      <c r="D17" t="s">
        <v>33</v>
      </c>
      <c r="F17">
        <v>1</v>
      </c>
      <c r="J17">
        <f t="shared" si="0"/>
        <v>112</v>
      </c>
      <c r="L17">
        <f t="shared" si="1"/>
        <v>0.05</v>
      </c>
    </row>
    <row r="18" spans="1:12" x14ac:dyDescent="0.25">
      <c r="A18">
        <v>1715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1715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1715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1715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1715</v>
      </c>
      <c r="B22" t="s">
        <v>9</v>
      </c>
      <c r="C22" t="s">
        <v>73</v>
      </c>
      <c r="D22" t="s">
        <v>33</v>
      </c>
      <c r="H22">
        <v>31336</v>
      </c>
      <c r="J22">
        <f t="shared" si="0"/>
        <v>31336</v>
      </c>
      <c r="L22">
        <f t="shared" si="1"/>
        <v>13.989285714285714</v>
      </c>
    </row>
    <row r="23" spans="1:12" x14ac:dyDescent="0.25">
      <c r="A23">
        <v>1715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1715</v>
      </c>
      <c r="B24" t="s">
        <v>11</v>
      </c>
      <c r="C24" t="s">
        <v>73</v>
      </c>
      <c r="D24" t="s">
        <v>33</v>
      </c>
      <c r="F24">
        <v>19</v>
      </c>
      <c r="G24">
        <v>3</v>
      </c>
      <c r="H24">
        <v>27</v>
      </c>
      <c r="J24">
        <f t="shared" si="0"/>
        <v>2239</v>
      </c>
      <c r="L24">
        <f t="shared" si="1"/>
        <v>0.99955357142857137</v>
      </c>
    </row>
    <row r="25" spans="1:12" x14ac:dyDescent="0.25">
      <c r="A25">
        <v>1715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1715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1715</v>
      </c>
      <c r="B27" t="s">
        <v>113</v>
      </c>
      <c r="C27" t="s">
        <v>73</v>
      </c>
      <c r="D27" t="s">
        <v>33</v>
      </c>
      <c r="H27">
        <v>5</v>
      </c>
      <c r="J27">
        <f t="shared" si="0"/>
        <v>5</v>
      </c>
      <c r="L27">
        <f t="shared" si="1"/>
        <v>2.232142857142857E-3</v>
      </c>
    </row>
    <row r="28" spans="1:12" x14ac:dyDescent="0.25">
      <c r="A28">
        <v>1715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1715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1715</v>
      </c>
      <c r="B30" t="s">
        <v>12</v>
      </c>
      <c r="C30" t="s">
        <v>73</v>
      </c>
      <c r="D30" t="s">
        <v>33</v>
      </c>
      <c r="H30">
        <v>632</v>
      </c>
      <c r="J30">
        <f t="shared" si="0"/>
        <v>632</v>
      </c>
      <c r="L30">
        <f t="shared" si="1"/>
        <v>0.28214285714285714</v>
      </c>
    </row>
    <row r="31" spans="1:12" x14ac:dyDescent="0.25">
      <c r="A31">
        <v>1715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1715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1715</v>
      </c>
      <c r="B33" t="s">
        <v>13</v>
      </c>
      <c r="C33" t="s">
        <v>73</v>
      </c>
      <c r="D33" t="s">
        <v>33</v>
      </c>
      <c r="F33">
        <v>321</v>
      </c>
      <c r="G33">
        <v>3</v>
      </c>
      <c r="H33">
        <v>14</v>
      </c>
      <c r="J33">
        <f t="shared" si="0"/>
        <v>36050</v>
      </c>
      <c r="L33">
        <f t="shared" si="1"/>
        <v>16.09375</v>
      </c>
    </row>
    <row r="34" spans="1:12" x14ac:dyDescent="0.25">
      <c r="A34">
        <v>1715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1715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1715</v>
      </c>
      <c r="B36" t="s">
        <v>27</v>
      </c>
      <c r="C36" t="s">
        <v>73</v>
      </c>
      <c r="D36" t="s">
        <v>33</v>
      </c>
      <c r="H36">
        <v>4171</v>
      </c>
      <c r="I36" t="s">
        <v>114</v>
      </c>
      <c r="J36">
        <f t="shared" si="0"/>
        <v>4171</v>
      </c>
      <c r="L36">
        <f t="shared" si="1"/>
        <v>1.8620535714285715</v>
      </c>
    </row>
    <row r="37" spans="1:12" x14ac:dyDescent="0.25">
      <c r="A37">
        <v>1715</v>
      </c>
      <c r="B37" t="s">
        <v>15</v>
      </c>
      <c r="C37" t="s">
        <v>73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1715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1715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1715</v>
      </c>
      <c r="B40" t="s">
        <v>47</v>
      </c>
      <c r="C40" t="s">
        <v>73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1715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1715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1715</v>
      </c>
      <c r="B43" t="s">
        <v>18</v>
      </c>
      <c r="C43" t="s">
        <v>73</v>
      </c>
      <c r="D43" t="s">
        <v>33</v>
      </c>
      <c r="H43">
        <v>950</v>
      </c>
      <c r="I43" t="s">
        <v>115</v>
      </c>
      <c r="J43">
        <f t="shared" si="0"/>
        <v>950</v>
      </c>
      <c r="L43">
        <f t="shared" si="1"/>
        <v>0.42410714285714285</v>
      </c>
    </row>
    <row r="44" spans="1:12" x14ac:dyDescent="0.25">
      <c r="A44">
        <v>1715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1715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1715</v>
      </c>
      <c r="B46" t="s">
        <v>19</v>
      </c>
      <c r="C46" t="s">
        <v>73</v>
      </c>
      <c r="D46" t="s">
        <v>33</v>
      </c>
      <c r="F46">
        <v>14</v>
      </c>
      <c r="G46">
        <v>2</v>
      </c>
      <c r="H46">
        <v>9</v>
      </c>
      <c r="J46">
        <f t="shared" si="0"/>
        <v>1633</v>
      </c>
      <c r="L46">
        <f t="shared" si="1"/>
        <v>0.72901785714285716</v>
      </c>
    </row>
    <row r="47" spans="1:12" x14ac:dyDescent="0.25">
      <c r="A47">
        <v>1715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1715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1715</v>
      </c>
      <c r="B49" t="s">
        <v>54</v>
      </c>
      <c r="C49" t="s">
        <v>73</v>
      </c>
      <c r="D49" t="s">
        <v>33</v>
      </c>
      <c r="H49">
        <v>30</v>
      </c>
      <c r="J49">
        <f t="shared" si="0"/>
        <v>30</v>
      </c>
      <c r="L49">
        <f t="shared" si="1"/>
        <v>1.3392857142857142E-2</v>
      </c>
    </row>
    <row r="50" spans="1:12" x14ac:dyDescent="0.25">
      <c r="A50">
        <v>1715</v>
      </c>
      <c r="B50" t="s">
        <v>95</v>
      </c>
      <c r="C50" t="s">
        <v>73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1715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1715</v>
      </c>
      <c r="B52" t="s">
        <v>21</v>
      </c>
      <c r="C52" t="s">
        <v>73</v>
      </c>
      <c r="D52" t="s">
        <v>33</v>
      </c>
      <c r="H52">
        <v>30</v>
      </c>
      <c r="J52">
        <f t="shared" si="0"/>
        <v>30</v>
      </c>
      <c r="L52">
        <f t="shared" si="1"/>
        <v>1.3392857142857142E-2</v>
      </c>
    </row>
    <row r="53" spans="1:12" x14ac:dyDescent="0.25">
      <c r="A53">
        <v>1715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1715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1715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1715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1715</v>
      </c>
      <c r="B57" t="s">
        <v>62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1715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1715</v>
      </c>
      <c r="B59" t="s">
        <v>63</v>
      </c>
      <c r="C59" t="s">
        <v>73</v>
      </c>
      <c r="D59" t="s">
        <v>33</v>
      </c>
      <c r="E59">
        <v>73</v>
      </c>
      <c r="F59">
        <v>3</v>
      </c>
      <c r="J59">
        <f t="shared" si="0"/>
        <v>163856</v>
      </c>
      <c r="L59">
        <f t="shared" si="1"/>
        <v>73.150000000000006</v>
      </c>
    </row>
    <row r="60" spans="1:12" x14ac:dyDescent="0.25">
      <c r="A60">
        <v>1715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1715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1715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1715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1715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1715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1715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1715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1715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1715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1715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1715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1715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1715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1715</v>
      </c>
      <c r="B74" t="s">
        <v>6</v>
      </c>
      <c r="C74" t="s">
        <v>73</v>
      </c>
      <c r="D74" t="s">
        <v>35</v>
      </c>
      <c r="F74">
        <v>17953</v>
      </c>
      <c r="G74">
        <v>2</v>
      </c>
      <c r="H74">
        <v>7</v>
      </c>
      <c r="J74">
        <f t="shared" si="2"/>
        <v>2010799</v>
      </c>
      <c r="L74">
        <f t="shared" si="3"/>
        <v>897.67812500000002</v>
      </c>
    </row>
    <row r="75" spans="1:12" x14ac:dyDescent="0.25">
      <c r="A75">
        <v>1715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1715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1715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1715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1715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1715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1715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1715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1715</v>
      </c>
      <c r="B83" t="s">
        <v>9</v>
      </c>
      <c r="C83" t="s">
        <v>73</v>
      </c>
      <c r="D83" t="s">
        <v>35</v>
      </c>
      <c r="H83">
        <v>73725</v>
      </c>
      <c r="J83">
        <f t="shared" si="2"/>
        <v>73725</v>
      </c>
      <c r="L83">
        <f t="shared" si="3"/>
        <v>32.912946428571431</v>
      </c>
    </row>
    <row r="84" spans="1:12" x14ac:dyDescent="0.25">
      <c r="A84">
        <v>1715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1715</v>
      </c>
      <c r="B85" t="s">
        <v>11</v>
      </c>
      <c r="C85" t="s">
        <v>73</v>
      </c>
      <c r="D85" t="s">
        <v>35</v>
      </c>
      <c r="F85">
        <v>93</v>
      </c>
      <c r="G85">
        <v>1</v>
      </c>
      <c r="H85">
        <v>11</v>
      </c>
      <c r="J85">
        <f t="shared" si="2"/>
        <v>10455</v>
      </c>
      <c r="L85">
        <f t="shared" si="3"/>
        <v>4.6674107142857144</v>
      </c>
    </row>
    <row r="86" spans="1:12" x14ac:dyDescent="0.25">
      <c r="A86">
        <v>1715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1715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1715</v>
      </c>
      <c r="B88" t="s">
        <v>113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1715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1715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1715</v>
      </c>
      <c r="B91" t="s">
        <v>12</v>
      </c>
      <c r="C91" t="s">
        <v>73</v>
      </c>
      <c r="D91" t="s">
        <v>35</v>
      </c>
      <c r="H91">
        <v>712</v>
      </c>
      <c r="J91">
        <f t="shared" si="2"/>
        <v>712</v>
      </c>
      <c r="L91">
        <f t="shared" si="3"/>
        <v>0.31785714285714284</v>
      </c>
    </row>
    <row r="92" spans="1:12" x14ac:dyDescent="0.25">
      <c r="A92">
        <v>1715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1715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1715</v>
      </c>
      <c r="B94" t="s">
        <v>13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1715</v>
      </c>
      <c r="B95" t="s">
        <v>14</v>
      </c>
      <c r="C95" t="s">
        <v>73</v>
      </c>
      <c r="D95" t="s">
        <v>35</v>
      </c>
      <c r="H95">
        <v>300</v>
      </c>
      <c r="I95" t="s">
        <v>134</v>
      </c>
      <c r="J95">
        <f t="shared" si="2"/>
        <v>300</v>
      </c>
      <c r="L95">
        <f t="shared" si="3"/>
        <v>0.13392857142857142</v>
      </c>
    </row>
    <row r="96" spans="1:12" x14ac:dyDescent="0.25">
      <c r="A96">
        <v>1715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1715</v>
      </c>
      <c r="B97" t="s">
        <v>27</v>
      </c>
      <c r="C97" t="s">
        <v>73</v>
      </c>
      <c r="D97" t="s">
        <v>35</v>
      </c>
      <c r="H97">
        <v>2750.5</v>
      </c>
      <c r="I97" t="s">
        <v>133</v>
      </c>
      <c r="J97">
        <f t="shared" si="2"/>
        <v>2750.5</v>
      </c>
      <c r="L97">
        <f t="shared" si="3"/>
        <v>1.2279017857142858</v>
      </c>
    </row>
    <row r="98" spans="1:12" x14ac:dyDescent="0.25">
      <c r="A98">
        <v>1715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1715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1715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1715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1715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1715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1715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1715</v>
      </c>
      <c r="B105" t="s">
        <v>18</v>
      </c>
      <c r="C105" t="s">
        <v>73</v>
      </c>
      <c r="D105" t="s">
        <v>35</v>
      </c>
      <c r="I105" t="s">
        <v>135</v>
      </c>
      <c r="J105">
        <f t="shared" si="2"/>
        <v>0</v>
      </c>
      <c r="L105">
        <f t="shared" si="3"/>
        <v>0</v>
      </c>
    </row>
    <row r="106" spans="1:12" x14ac:dyDescent="0.25">
      <c r="A106">
        <v>1715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1715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1715</v>
      </c>
      <c r="B108" t="s">
        <v>19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1715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1715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1715</v>
      </c>
      <c r="B111" t="s">
        <v>54</v>
      </c>
      <c r="C111" t="s">
        <v>73</v>
      </c>
      <c r="D111" t="s">
        <v>35</v>
      </c>
      <c r="H111">
        <v>27</v>
      </c>
      <c r="J111">
        <f t="shared" si="2"/>
        <v>27</v>
      </c>
      <c r="L111">
        <f t="shared" si="3"/>
        <v>1.2053571428571429E-2</v>
      </c>
    </row>
    <row r="112" spans="1:12" x14ac:dyDescent="0.25">
      <c r="A112">
        <v>1715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1715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1715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1715</v>
      </c>
      <c r="B115" t="s">
        <v>22</v>
      </c>
      <c r="C115" t="s">
        <v>73</v>
      </c>
      <c r="D115" t="s">
        <v>35</v>
      </c>
      <c r="F115">
        <v>8</v>
      </c>
      <c r="H115">
        <v>23</v>
      </c>
      <c r="J115">
        <f t="shared" si="2"/>
        <v>919</v>
      </c>
      <c r="L115">
        <f t="shared" si="3"/>
        <v>0.41026785714285713</v>
      </c>
    </row>
    <row r="116" spans="1:12" x14ac:dyDescent="0.25">
      <c r="A116">
        <v>1715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1715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1715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1715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1715</v>
      </c>
      <c r="B120" t="s">
        <v>62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1715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1715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1715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1715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1715</v>
      </c>
      <c r="B125" t="s">
        <v>64</v>
      </c>
      <c r="C125" t="s">
        <v>73</v>
      </c>
      <c r="D125" t="s">
        <v>35</v>
      </c>
      <c r="F125">
        <v>115</v>
      </c>
      <c r="G125">
        <v>2</v>
      </c>
      <c r="H125">
        <v>25</v>
      </c>
      <c r="J125">
        <f t="shared" si="2"/>
        <v>12961</v>
      </c>
      <c r="L125">
        <f t="shared" si="3"/>
        <v>5.7861607142857139</v>
      </c>
    </row>
    <row r="126" spans="1:12" x14ac:dyDescent="0.25">
      <c r="A126">
        <v>1715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6"/>
  <sheetViews>
    <sheetView topLeftCell="A92" workbookViewId="0">
      <selection activeCell="I126" sqref="E2:I12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1715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1715</v>
      </c>
      <c r="B3" t="s">
        <v>57</v>
      </c>
      <c r="C3" t="s">
        <v>74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1715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1715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1715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1715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1715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1715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1715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1715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1715</v>
      </c>
      <c r="B12" t="s">
        <v>6</v>
      </c>
      <c r="C12" t="s">
        <v>74</v>
      </c>
      <c r="D12" t="s">
        <v>33</v>
      </c>
      <c r="F12">
        <v>34203</v>
      </c>
      <c r="G12">
        <v>3</v>
      </c>
      <c r="H12">
        <v>17</v>
      </c>
      <c r="J12">
        <f t="shared" si="0"/>
        <v>3830837</v>
      </c>
      <c r="L12">
        <f t="shared" si="1"/>
        <v>1710.1950892857142</v>
      </c>
    </row>
    <row r="13" spans="1:15" x14ac:dyDescent="0.25">
      <c r="A13">
        <v>1715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1715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1715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1715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1715</v>
      </c>
      <c r="B17" t="s">
        <v>8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1715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1715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1715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1715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1715</v>
      </c>
      <c r="B22" t="s">
        <v>9</v>
      </c>
      <c r="C22" t="s">
        <v>74</v>
      </c>
      <c r="D22" t="s">
        <v>33</v>
      </c>
      <c r="H22">
        <v>34184</v>
      </c>
      <c r="J22">
        <f t="shared" si="0"/>
        <v>34184</v>
      </c>
      <c r="L22">
        <f t="shared" si="1"/>
        <v>15.260714285714286</v>
      </c>
    </row>
    <row r="23" spans="1:12" x14ac:dyDescent="0.25">
      <c r="A23">
        <v>1715</v>
      </c>
      <c r="B23" t="s">
        <v>10</v>
      </c>
      <c r="C23" t="s">
        <v>74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1715</v>
      </c>
      <c r="B24" t="s">
        <v>11</v>
      </c>
      <c r="C24" t="s">
        <v>74</v>
      </c>
      <c r="D24" t="s">
        <v>33</v>
      </c>
      <c r="F24">
        <v>27</v>
      </c>
      <c r="G24">
        <v>1</v>
      </c>
      <c r="H24">
        <v>24</v>
      </c>
      <c r="J24">
        <f t="shared" si="0"/>
        <v>3076</v>
      </c>
      <c r="L24">
        <f t="shared" si="1"/>
        <v>1.3732142857142857</v>
      </c>
    </row>
    <row r="25" spans="1:12" x14ac:dyDescent="0.25">
      <c r="A25">
        <v>1715</v>
      </c>
      <c r="B25" t="s">
        <v>39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1715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1715</v>
      </c>
      <c r="B27" t="s">
        <v>113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1715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1715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1715</v>
      </c>
      <c r="B30" t="s">
        <v>12</v>
      </c>
      <c r="C30" t="s">
        <v>74</v>
      </c>
      <c r="D30" t="s">
        <v>33</v>
      </c>
      <c r="H30">
        <v>144</v>
      </c>
      <c r="J30">
        <f t="shared" si="0"/>
        <v>144</v>
      </c>
      <c r="L30">
        <f t="shared" si="1"/>
        <v>6.4285714285714279E-2</v>
      </c>
    </row>
    <row r="31" spans="1:12" x14ac:dyDescent="0.25">
      <c r="A31">
        <v>1715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1715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1715</v>
      </c>
      <c r="B33" t="s">
        <v>13</v>
      </c>
      <c r="C33" t="s">
        <v>74</v>
      </c>
      <c r="D33" t="s">
        <v>33</v>
      </c>
      <c r="E33">
        <v>21</v>
      </c>
      <c r="F33">
        <v>19</v>
      </c>
      <c r="G33">
        <v>1</v>
      </c>
      <c r="J33">
        <f t="shared" si="0"/>
        <v>49196</v>
      </c>
      <c r="L33">
        <f t="shared" si="1"/>
        <v>21.962499999999999</v>
      </c>
    </row>
    <row r="34" spans="1:12" x14ac:dyDescent="0.25">
      <c r="A34">
        <v>1715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1715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1715</v>
      </c>
      <c r="B36" t="s">
        <v>27</v>
      </c>
      <c r="C36" t="s">
        <v>74</v>
      </c>
      <c r="D36" t="s">
        <v>33</v>
      </c>
      <c r="H36">
        <v>210</v>
      </c>
      <c r="I36" t="s">
        <v>116</v>
      </c>
      <c r="J36">
        <f t="shared" si="0"/>
        <v>210</v>
      </c>
      <c r="L36">
        <f t="shared" si="1"/>
        <v>9.375E-2</v>
      </c>
    </row>
    <row r="37" spans="1:12" x14ac:dyDescent="0.25">
      <c r="A37">
        <v>1715</v>
      </c>
      <c r="B37" t="s">
        <v>15</v>
      </c>
      <c r="C37" t="s">
        <v>74</v>
      </c>
      <c r="D37" t="s">
        <v>33</v>
      </c>
      <c r="F37">
        <v>27</v>
      </c>
      <c r="G37">
        <v>1</v>
      </c>
      <c r="J37">
        <f t="shared" si="0"/>
        <v>3052</v>
      </c>
      <c r="L37">
        <f t="shared" si="1"/>
        <v>1.3625</v>
      </c>
    </row>
    <row r="38" spans="1:12" x14ac:dyDescent="0.25">
      <c r="A38">
        <v>1715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1715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1715</v>
      </c>
      <c r="B40" t="s">
        <v>47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1715</v>
      </c>
      <c r="B41" t="s">
        <v>16</v>
      </c>
      <c r="C41" t="s">
        <v>74</v>
      </c>
      <c r="D41" t="s">
        <v>33</v>
      </c>
      <c r="H41">
        <v>336</v>
      </c>
      <c r="J41">
        <f t="shared" si="0"/>
        <v>336</v>
      </c>
      <c r="L41">
        <f t="shared" si="1"/>
        <v>0.15</v>
      </c>
    </row>
    <row r="42" spans="1:12" x14ac:dyDescent="0.25">
      <c r="A42">
        <v>1715</v>
      </c>
      <c r="B42" t="s">
        <v>17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1715</v>
      </c>
      <c r="B43" t="s">
        <v>18</v>
      </c>
      <c r="C43" t="s">
        <v>74</v>
      </c>
      <c r="D43" t="s">
        <v>33</v>
      </c>
      <c r="H43">
        <v>655</v>
      </c>
      <c r="I43" t="s">
        <v>117</v>
      </c>
      <c r="J43">
        <f t="shared" si="0"/>
        <v>655</v>
      </c>
      <c r="L43">
        <f t="shared" si="1"/>
        <v>0.2924107142857143</v>
      </c>
    </row>
    <row r="44" spans="1:12" x14ac:dyDescent="0.25">
      <c r="A44">
        <v>1715</v>
      </c>
      <c r="B44" t="s">
        <v>26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1715</v>
      </c>
      <c r="B45" t="s">
        <v>84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1715</v>
      </c>
      <c r="B46" t="s">
        <v>19</v>
      </c>
      <c r="C46" t="s">
        <v>74</v>
      </c>
      <c r="D46" t="s">
        <v>33</v>
      </c>
      <c r="F46">
        <v>4</v>
      </c>
      <c r="H46">
        <v>14</v>
      </c>
      <c r="J46">
        <f t="shared" si="0"/>
        <v>462</v>
      </c>
      <c r="L46">
        <f t="shared" si="1"/>
        <v>0.20624999999999999</v>
      </c>
    </row>
    <row r="47" spans="1:12" x14ac:dyDescent="0.25">
      <c r="A47">
        <v>1715</v>
      </c>
      <c r="B47" t="s">
        <v>45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1715</v>
      </c>
      <c r="B48" t="s">
        <v>85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1715</v>
      </c>
      <c r="B49" t="s">
        <v>54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1715</v>
      </c>
      <c r="B50" t="s">
        <v>95</v>
      </c>
      <c r="C50" t="s">
        <v>74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1715</v>
      </c>
      <c r="B51" t="s">
        <v>20</v>
      </c>
      <c r="C51" t="s">
        <v>74</v>
      </c>
      <c r="D51" t="s">
        <v>33</v>
      </c>
      <c r="H51">
        <v>28</v>
      </c>
      <c r="J51">
        <f t="shared" si="0"/>
        <v>28</v>
      </c>
      <c r="L51">
        <f t="shared" si="1"/>
        <v>1.2500000000000001E-2</v>
      </c>
    </row>
    <row r="52" spans="1:12" x14ac:dyDescent="0.25">
      <c r="A52">
        <v>1715</v>
      </c>
      <c r="B52" t="s">
        <v>21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1715</v>
      </c>
      <c r="B53" t="s">
        <v>22</v>
      </c>
      <c r="C53" t="s">
        <v>74</v>
      </c>
      <c r="D53" t="s">
        <v>33</v>
      </c>
      <c r="F53">
        <v>5</v>
      </c>
      <c r="G53">
        <v>2</v>
      </c>
      <c r="H53">
        <v>14</v>
      </c>
      <c r="J53">
        <f t="shared" si="0"/>
        <v>630</v>
      </c>
      <c r="L53">
        <f t="shared" si="1"/>
        <v>0.28125</v>
      </c>
    </row>
    <row r="54" spans="1:12" x14ac:dyDescent="0.25">
      <c r="A54">
        <v>1715</v>
      </c>
      <c r="B54" t="s">
        <v>61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1715</v>
      </c>
      <c r="B55" t="s">
        <v>99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1715</v>
      </c>
      <c r="B56" t="s">
        <v>87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1715</v>
      </c>
      <c r="B57" t="s">
        <v>62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1715</v>
      </c>
      <c r="B58" t="s">
        <v>88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1715</v>
      </c>
      <c r="B59" t="s">
        <v>63</v>
      </c>
      <c r="C59" t="s">
        <v>74</v>
      </c>
      <c r="D59" t="s">
        <v>33</v>
      </c>
      <c r="E59">
        <v>93</v>
      </c>
      <c r="F59">
        <v>1</v>
      </c>
      <c r="G59">
        <v>2</v>
      </c>
      <c r="J59">
        <f t="shared" si="0"/>
        <v>208488</v>
      </c>
      <c r="L59">
        <f t="shared" si="1"/>
        <v>93.075000000000003</v>
      </c>
    </row>
    <row r="60" spans="1:12" x14ac:dyDescent="0.25">
      <c r="A60">
        <v>1715</v>
      </c>
      <c r="B60" t="s">
        <v>89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1715</v>
      </c>
      <c r="B61" t="s">
        <v>70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1715</v>
      </c>
      <c r="B62" t="s">
        <v>64</v>
      </c>
      <c r="C62" t="s">
        <v>74</v>
      </c>
      <c r="D62" t="s">
        <v>33</v>
      </c>
      <c r="E62">
        <v>5</v>
      </c>
      <c r="F62">
        <v>12</v>
      </c>
      <c r="G62">
        <v>3</v>
      </c>
      <c r="J62">
        <f t="shared" si="0"/>
        <v>12628</v>
      </c>
      <c r="L62">
        <f t="shared" si="1"/>
        <v>5.6375000000000002</v>
      </c>
    </row>
    <row r="63" spans="1:12" x14ac:dyDescent="0.25">
      <c r="A63">
        <v>1715</v>
      </c>
      <c r="B63" t="s">
        <v>65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1715</v>
      </c>
      <c r="B64" t="s">
        <v>55</v>
      </c>
      <c r="C64" t="s">
        <v>74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1715</v>
      </c>
      <c r="B65" t="s">
        <v>57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1715</v>
      </c>
      <c r="B66" t="s">
        <v>36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1715</v>
      </c>
      <c r="B67" t="s">
        <v>4</v>
      </c>
      <c r="C67" t="s">
        <v>74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1715</v>
      </c>
      <c r="B68" t="s">
        <v>58</v>
      </c>
      <c r="C68" t="s">
        <v>74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1715</v>
      </c>
      <c r="B69" t="s">
        <v>69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1715</v>
      </c>
      <c r="B70" t="s">
        <v>43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1715</v>
      </c>
      <c r="B71" t="s">
        <v>76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1715</v>
      </c>
      <c r="B72" t="s">
        <v>5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1715</v>
      </c>
      <c r="B73" t="s">
        <v>59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1715</v>
      </c>
      <c r="B74" t="s">
        <v>6</v>
      </c>
      <c r="C74" t="s">
        <v>74</v>
      </c>
      <c r="D74" t="s">
        <v>35</v>
      </c>
      <c r="F74">
        <v>3582</v>
      </c>
      <c r="G74">
        <v>3</v>
      </c>
      <c r="H74">
        <v>2</v>
      </c>
      <c r="J74">
        <f t="shared" si="2"/>
        <v>401270</v>
      </c>
      <c r="L74">
        <f t="shared" si="3"/>
        <v>179.13839285714286</v>
      </c>
    </row>
    <row r="75" spans="1:12" x14ac:dyDescent="0.25">
      <c r="A75">
        <v>1715</v>
      </c>
      <c r="B75" t="s">
        <v>60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1715</v>
      </c>
      <c r="B76" t="s">
        <v>7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1715</v>
      </c>
      <c r="B77" t="s">
        <v>37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1715</v>
      </c>
      <c r="B78" t="s">
        <v>8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1715</v>
      </c>
      <c r="B79" t="s">
        <v>40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1715</v>
      </c>
      <c r="B80" t="s">
        <v>77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1715</v>
      </c>
      <c r="B81" t="s">
        <v>78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1715</v>
      </c>
      <c r="B82" t="s">
        <v>46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1715</v>
      </c>
      <c r="B83" t="s">
        <v>9</v>
      </c>
      <c r="C83" t="s">
        <v>74</v>
      </c>
      <c r="D83" t="s">
        <v>35</v>
      </c>
      <c r="H83">
        <v>29179</v>
      </c>
      <c r="J83">
        <f t="shared" si="2"/>
        <v>29179</v>
      </c>
      <c r="L83">
        <f t="shared" si="3"/>
        <v>13.026339285714286</v>
      </c>
    </row>
    <row r="84" spans="1:12" x14ac:dyDescent="0.25">
      <c r="A84">
        <v>1715</v>
      </c>
      <c r="B84" t="s">
        <v>10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1715</v>
      </c>
      <c r="B85" t="s">
        <v>11</v>
      </c>
      <c r="C85" t="s">
        <v>74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1715</v>
      </c>
      <c r="B86" t="s">
        <v>39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1715</v>
      </c>
      <c r="B87" t="s">
        <v>79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1715</v>
      </c>
      <c r="B88" t="s">
        <v>113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1715</v>
      </c>
      <c r="B89" t="s">
        <v>44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1715</v>
      </c>
      <c r="B90" t="s">
        <v>97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1715</v>
      </c>
      <c r="B91" t="s">
        <v>12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1715</v>
      </c>
      <c r="B92" t="s">
        <v>82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1715</v>
      </c>
      <c r="B93" t="s">
        <v>34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1715</v>
      </c>
      <c r="B94" t="s">
        <v>13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1715</v>
      </c>
      <c r="B95" t="s">
        <v>14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1715</v>
      </c>
      <c r="B96" t="s">
        <v>23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1715</v>
      </c>
      <c r="B97" t="s">
        <v>27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1715</v>
      </c>
      <c r="B98" t="s">
        <v>15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1715</v>
      </c>
      <c r="B99" t="s">
        <v>93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1715</v>
      </c>
      <c r="B100" t="s">
        <v>42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1715</v>
      </c>
      <c r="B101" t="s">
        <v>83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1715</v>
      </c>
      <c r="B102" t="s">
        <v>47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1715</v>
      </c>
      <c r="B103" t="s">
        <v>16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1715</v>
      </c>
      <c r="B104" t="s">
        <v>17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1715</v>
      </c>
      <c r="B105" t="s">
        <v>18</v>
      </c>
      <c r="C105" t="s">
        <v>74</v>
      </c>
      <c r="D105" t="s">
        <v>35</v>
      </c>
      <c r="H105">
        <v>640</v>
      </c>
      <c r="I105" t="s">
        <v>136</v>
      </c>
      <c r="J105">
        <f t="shared" si="2"/>
        <v>640</v>
      </c>
      <c r="L105">
        <f t="shared" si="3"/>
        <v>0.2857142857142857</v>
      </c>
    </row>
    <row r="106" spans="1:12" x14ac:dyDescent="0.25">
      <c r="A106">
        <v>1715</v>
      </c>
      <c r="B106" t="s">
        <v>26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1715</v>
      </c>
      <c r="B107" t="s">
        <v>84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1715</v>
      </c>
      <c r="B108" t="s">
        <v>19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1715</v>
      </c>
      <c r="B109" t="s">
        <v>45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1715</v>
      </c>
      <c r="B110" t="s">
        <v>85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1715</v>
      </c>
      <c r="B111" t="s">
        <v>54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1715</v>
      </c>
      <c r="B112" t="s">
        <v>95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1715</v>
      </c>
      <c r="B113" t="s">
        <v>20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1715</v>
      </c>
      <c r="B114" t="s">
        <v>21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1715</v>
      </c>
      <c r="B115" t="s">
        <v>22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1715</v>
      </c>
      <c r="B116" t="s">
        <v>61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1715</v>
      </c>
      <c r="B117" t="s">
        <v>91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1715</v>
      </c>
      <c r="B118" t="s">
        <v>98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1715</v>
      </c>
      <c r="B119" t="s">
        <v>87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1715</v>
      </c>
      <c r="B120" t="s">
        <v>62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1715</v>
      </c>
      <c r="B121" t="s">
        <v>88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1715</v>
      </c>
      <c r="B122" t="s">
        <v>63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1715</v>
      </c>
      <c r="B123" t="s">
        <v>89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1715</v>
      </c>
      <c r="B124" t="s">
        <v>70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1715</v>
      </c>
      <c r="B125" t="s">
        <v>64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1715</v>
      </c>
      <c r="B126" t="s">
        <v>65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113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113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94" workbookViewId="0">
      <selection activeCell="I128" sqref="E2:I12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1715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1715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1715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1715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1715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1715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1715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1715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1715</v>
      </c>
      <c r="B10" t="s">
        <v>118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1715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1715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1715</v>
      </c>
      <c r="B13" t="s">
        <v>6</v>
      </c>
      <c r="C13" t="s">
        <v>100</v>
      </c>
      <c r="D13" t="s">
        <v>33</v>
      </c>
      <c r="F13">
        <v>1322</v>
      </c>
      <c r="G13">
        <v>3</v>
      </c>
      <c r="H13">
        <v>7</v>
      </c>
      <c r="J13">
        <f t="shared" si="0"/>
        <v>148155</v>
      </c>
      <c r="L13">
        <f t="shared" si="1"/>
        <v>66.140625</v>
      </c>
    </row>
    <row r="14" spans="1:15" x14ac:dyDescent="0.25">
      <c r="A14">
        <v>1715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1715</v>
      </c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1715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1715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1715</v>
      </c>
      <c r="B18" t="s">
        <v>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1715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1715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1715</v>
      </c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1715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1715</v>
      </c>
      <c r="B23" t="s">
        <v>9</v>
      </c>
      <c r="C23" t="s">
        <v>100</v>
      </c>
      <c r="D23" t="s">
        <v>33</v>
      </c>
      <c r="H23">
        <v>600</v>
      </c>
      <c r="J23">
        <f t="shared" si="0"/>
        <v>600</v>
      </c>
      <c r="L23">
        <f t="shared" si="1"/>
        <v>0.26785714285714285</v>
      </c>
    </row>
    <row r="24" spans="1:12" x14ac:dyDescent="0.25">
      <c r="A24">
        <v>1715</v>
      </c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1715</v>
      </c>
      <c r="B25" t="s">
        <v>11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1715</v>
      </c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1715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1715</v>
      </c>
      <c r="B28" t="s">
        <v>113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1715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1715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1715</v>
      </c>
      <c r="B31" t="s">
        <v>12</v>
      </c>
      <c r="C31" t="s">
        <v>100</v>
      </c>
      <c r="D31" t="s">
        <v>33</v>
      </c>
      <c r="H31">
        <v>1031</v>
      </c>
      <c r="J31">
        <f t="shared" si="0"/>
        <v>1031</v>
      </c>
      <c r="L31">
        <f t="shared" si="1"/>
        <v>0.46026785714285712</v>
      </c>
    </row>
    <row r="32" spans="1:12" x14ac:dyDescent="0.25">
      <c r="A32">
        <v>1715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1715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1715</v>
      </c>
      <c r="B34" t="s">
        <v>13</v>
      </c>
      <c r="C34" t="s">
        <v>100</v>
      </c>
      <c r="D34" t="s">
        <v>33</v>
      </c>
      <c r="F34">
        <v>6</v>
      </c>
      <c r="G34">
        <v>3</v>
      </c>
      <c r="J34">
        <f t="shared" si="0"/>
        <v>756</v>
      </c>
      <c r="L34">
        <f t="shared" si="1"/>
        <v>0.33750000000000002</v>
      </c>
    </row>
    <row r="35" spans="1:12" x14ac:dyDescent="0.25">
      <c r="A35">
        <v>1715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1715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1715</v>
      </c>
      <c r="B37" t="s">
        <v>27</v>
      </c>
      <c r="C37" t="s">
        <v>100</v>
      </c>
      <c r="D37" t="s">
        <v>33</v>
      </c>
      <c r="H37">
        <v>500</v>
      </c>
      <c r="I37" t="s">
        <v>119</v>
      </c>
      <c r="J37">
        <f t="shared" si="0"/>
        <v>500</v>
      </c>
      <c r="L37">
        <f t="shared" si="1"/>
        <v>0.22321428571428573</v>
      </c>
    </row>
    <row r="38" spans="1:12" x14ac:dyDescent="0.25">
      <c r="A38">
        <v>1715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1715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1715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1715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1715</v>
      </c>
      <c r="B42" t="s">
        <v>16</v>
      </c>
      <c r="C42" t="s">
        <v>100</v>
      </c>
      <c r="D42" t="s">
        <v>33</v>
      </c>
      <c r="H42">
        <v>1500</v>
      </c>
      <c r="J42">
        <f t="shared" si="0"/>
        <v>1500</v>
      </c>
      <c r="L42">
        <f t="shared" si="1"/>
        <v>0.6696428571428571</v>
      </c>
    </row>
    <row r="43" spans="1:12" x14ac:dyDescent="0.25">
      <c r="A43">
        <v>1715</v>
      </c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1715</v>
      </c>
      <c r="B44" t="s">
        <v>18</v>
      </c>
      <c r="C44" t="s">
        <v>100</v>
      </c>
      <c r="D44" t="s">
        <v>33</v>
      </c>
      <c r="H44">
        <v>1980.5</v>
      </c>
      <c r="I44" t="s">
        <v>120</v>
      </c>
      <c r="J44">
        <f t="shared" si="0"/>
        <v>1980.5</v>
      </c>
      <c r="L44">
        <f t="shared" si="1"/>
        <v>0.88415178571428577</v>
      </c>
    </row>
    <row r="45" spans="1:12" x14ac:dyDescent="0.25">
      <c r="A45">
        <v>1715</v>
      </c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1715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1715</v>
      </c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1715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1715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1715</v>
      </c>
      <c r="B50" t="s">
        <v>54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1715</v>
      </c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1715</v>
      </c>
      <c r="B52" t="s">
        <v>20</v>
      </c>
      <c r="C52" t="s">
        <v>100</v>
      </c>
      <c r="D52" t="s">
        <v>33</v>
      </c>
      <c r="H52">
        <v>870</v>
      </c>
      <c r="J52">
        <f t="shared" si="0"/>
        <v>870</v>
      </c>
      <c r="L52">
        <f t="shared" si="1"/>
        <v>0.38839285714285715</v>
      </c>
    </row>
    <row r="53" spans="1:12" x14ac:dyDescent="0.25">
      <c r="A53">
        <v>1715</v>
      </c>
      <c r="B53" t="s">
        <v>21</v>
      </c>
      <c r="C53" t="s">
        <v>100</v>
      </c>
      <c r="D53" t="s">
        <v>33</v>
      </c>
      <c r="H53">
        <v>40</v>
      </c>
      <c r="J53">
        <f t="shared" si="0"/>
        <v>40</v>
      </c>
      <c r="L53">
        <f t="shared" si="1"/>
        <v>1.7857142857142856E-2</v>
      </c>
    </row>
    <row r="54" spans="1:12" x14ac:dyDescent="0.25">
      <c r="A54">
        <v>1715</v>
      </c>
      <c r="B54" t="s">
        <v>90</v>
      </c>
      <c r="C54" t="s">
        <v>100</v>
      </c>
      <c r="D54" t="s">
        <v>33</v>
      </c>
      <c r="F54">
        <v>50</v>
      </c>
      <c r="J54">
        <f t="shared" si="0"/>
        <v>5600</v>
      </c>
      <c r="L54">
        <f t="shared" si="1"/>
        <v>2.5</v>
      </c>
    </row>
    <row r="55" spans="1:12" x14ac:dyDescent="0.25">
      <c r="A55">
        <v>1715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1715</v>
      </c>
      <c r="B56" t="s">
        <v>61</v>
      </c>
      <c r="C56" t="s">
        <v>100</v>
      </c>
      <c r="D56" t="s">
        <v>33</v>
      </c>
      <c r="E56">
        <v>4</v>
      </c>
      <c r="J56">
        <f t="shared" si="0"/>
        <v>8960</v>
      </c>
      <c r="L56">
        <f t="shared" si="1"/>
        <v>4</v>
      </c>
    </row>
    <row r="57" spans="1:12" x14ac:dyDescent="0.25">
      <c r="A57">
        <v>1715</v>
      </c>
      <c r="B57" t="s">
        <v>98</v>
      </c>
      <c r="C57" t="s">
        <v>100</v>
      </c>
      <c r="D57" t="s">
        <v>33</v>
      </c>
      <c r="E57">
        <v>4</v>
      </c>
      <c r="J57">
        <f t="shared" si="0"/>
        <v>8960</v>
      </c>
      <c r="L57">
        <f t="shared" si="1"/>
        <v>4</v>
      </c>
    </row>
    <row r="58" spans="1:12" x14ac:dyDescent="0.25">
      <c r="A58">
        <v>1715</v>
      </c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1715</v>
      </c>
      <c r="B59" t="s">
        <v>62</v>
      </c>
      <c r="C59" t="s">
        <v>100</v>
      </c>
      <c r="D59" t="s">
        <v>33</v>
      </c>
      <c r="E59">
        <v>17</v>
      </c>
      <c r="J59">
        <f t="shared" si="0"/>
        <v>38080</v>
      </c>
      <c r="L59">
        <f t="shared" si="1"/>
        <v>17</v>
      </c>
    </row>
    <row r="60" spans="1:12" x14ac:dyDescent="0.25">
      <c r="A60">
        <v>1715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1715</v>
      </c>
      <c r="B61" t="s">
        <v>63</v>
      </c>
      <c r="C61" t="s">
        <v>100</v>
      </c>
      <c r="D61" t="s">
        <v>33</v>
      </c>
      <c r="F61">
        <v>15</v>
      </c>
      <c r="H61">
        <v>21</v>
      </c>
      <c r="J61">
        <f t="shared" si="0"/>
        <v>1701</v>
      </c>
      <c r="L61">
        <f t="shared" si="1"/>
        <v>0.75937500000000002</v>
      </c>
    </row>
    <row r="62" spans="1:12" x14ac:dyDescent="0.25">
      <c r="A62">
        <v>1715</v>
      </c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1715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1715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1715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1715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1715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1715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1715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1715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1715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1715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1715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1715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1715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1715</v>
      </c>
      <c r="B76" t="s">
        <v>6</v>
      </c>
      <c r="C76" t="s">
        <v>100</v>
      </c>
      <c r="D76" t="s">
        <v>35</v>
      </c>
      <c r="F76">
        <v>1</v>
      </c>
      <c r="H76">
        <v>21</v>
      </c>
      <c r="J76">
        <f t="shared" si="2"/>
        <v>133</v>
      </c>
      <c r="L76">
        <f t="shared" si="3"/>
        <v>5.9374999999999997E-2</v>
      </c>
    </row>
    <row r="77" spans="1:12" x14ac:dyDescent="0.25">
      <c r="A77">
        <v>1715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1715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1715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1715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1715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1715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1715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1715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1715</v>
      </c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1715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1715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1715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1715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1715</v>
      </c>
      <c r="B90" t="s">
        <v>113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1715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1715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1715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1715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1715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1715</v>
      </c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1715</v>
      </c>
      <c r="B97" t="s">
        <v>14</v>
      </c>
      <c r="C97" t="s">
        <v>100</v>
      </c>
      <c r="D97" t="s">
        <v>35</v>
      </c>
      <c r="H97">
        <v>350</v>
      </c>
      <c r="I97" t="s">
        <v>138</v>
      </c>
      <c r="J97">
        <f t="shared" si="2"/>
        <v>350</v>
      </c>
      <c r="L97">
        <f t="shared" si="3"/>
        <v>0.15625</v>
      </c>
    </row>
    <row r="98" spans="1:12" x14ac:dyDescent="0.25">
      <c r="A98">
        <v>1715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1715</v>
      </c>
      <c r="B99" t="s">
        <v>27</v>
      </c>
      <c r="C99" t="s">
        <v>100</v>
      </c>
      <c r="D99" t="s">
        <v>35</v>
      </c>
      <c r="H99">
        <v>25</v>
      </c>
      <c r="I99" t="s">
        <v>137</v>
      </c>
      <c r="J99">
        <f t="shared" si="2"/>
        <v>25</v>
      </c>
      <c r="L99">
        <f t="shared" si="3"/>
        <v>1.1160714285714286E-2</v>
      </c>
    </row>
    <row r="100" spans="1:12" x14ac:dyDescent="0.25">
      <c r="A100">
        <v>1715</v>
      </c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1715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1715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1715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1715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1715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1715</v>
      </c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1715</v>
      </c>
      <c r="B107" t="s">
        <v>18</v>
      </c>
      <c r="C107" t="s">
        <v>100</v>
      </c>
      <c r="D107" t="s">
        <v>35</v>
      </c>
      <c r="H107">
        <v>100</v>
      </c>
      <c r="I107" t="s">
        <v>139</v>
      </c>
      <c r="J107">
        <f t="shared" si="2"/>
        <v>100</v>
      </c>
      <c r="L107">
        <f t="shared" si="3"/>
        <v>4.4642857142857144E-2</v>
      </c>
    </row>
    <row r="108" spans="1:12" x14ac:dyDescent="0.25">
      <c r="A108">
        <v>1715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1715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1715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1715</v>
      </c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1715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1715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1715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1715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1715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1715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1715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1715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1715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1715</v>
      </c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1715</v>
      </c>
      <c r="B122" t="s">
        <v>62</v>
      </c>
      <c r="C122" t="s">
        <v>100</v>
      </c>
      <c r="D122" t="s">
        <v>35</v>
      </c>
      <c r="F122">
        <v>6</v>
      </c>
      <c r="G122">
        <v>1</v>
      </c>
      <c r="H122">
        <v>13</v>
      </c>
      <c r="J122">
        <f t="shared" si="2"/>
        <v>713</v>
      </c>
      <c r="L122">
        <f t="shared" si="3"/>
        <v>0.31830357142857141</v>
      </c>
    </row>
    <row r="123" spans="1:12" x14ac:dyDescent="0.25">
      <c r="A123">
        <v>1715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1715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1715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1715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1715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1715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AEE87A22-5AF0-4C36-A30F-43C156F74D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7B6EBE-EFD6-43EB-94FC-0ECB0A27F2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F74A77-4989-4F38-A9F9-800E8B5BF546}">
  <ds:schemaRefs>
    <ds:schemaRef ds:uri="http://schemas.openxmlformats.org/package/2006/metadata/core-properties"/>
    <ds:schemaRef ds:uri="cefc4363-6422-4cdd-96f6-49f865293ffe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2025-04-27T19:17:38Z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