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62" documentId="8_{80CE1C8A-74F0-45B9-AE66-398D2DF12CDC}" xr6:coauthVersionLast="47" xr6:coauthVersionMax="47" xr10:uidLastSave="{5F2BB73E-3720-43B0-B712-35737E236D65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Barbados!$A$1:$N$56</definedName>
    <definedName name="_xlnm._FilterDatabase" localSheetId="5" hidden="1">Jamaica!$A$1:$O$66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1" l="1"/>
  <c r="H85" i="8"/>
  <c r="H84" i="7"/>
  <c r="H84" i="6"/>
  <c r="H91" i="5"/>
  <c r="H68" i="3"/>
  <c r="L83" i="3"/>
  <c r="J83" i="3"/>
  <c r="H88" i="2"/>
  <c r="H22" i="8"/>
  <c r="L43" i="8"/>
  <c r="J43" i="8"/>
  <c r="J27" i="8"/>
  <c r="L27" i="8" s="1"/>
  <c r="H22" i="7"/>
  <c r="L42" i="7"/>
  <c r="J42" i="7"/>
  <c r="H22" i="6"/>
  <c r="J42" i="6"/>
  <c r="L42" i="6" s="1"/>
  <c r="H26" i="5"/>
  <c r="L61" i="5"/>
  <c r="J61" i="5"/>
  <c r="H35" i="5"/>
  <c r="J31" i="5"/>
  <c r="L31" i="5" s="1"/>
  <c r="J11" i="5"/>
  <c r="L11" i="5" s="1"/>
  <c r="J9" i="5"/>
  <c r="L9" i="5" s="1"/>
  <c r="J7" i="5"/>
  <c r="L7" i="5" s="1"/>
  <c r="L13" i="4"/>
  <c r="J13" i="4"/>
  <c r="H20" i="3"/>
  <c r="J24" i="3"/>
  <c r="L24" i="3" s="1"/>
  <c r="J7" i="3"/>
  <c r="L7" i="3" s="1"/>
  <c r="J18" i="3"/>
  <c r="L18" i="3" s="1"/>
  <c r="H24" i="2"/>
  <c r="L45" i="2"/>
  <c r="J45" i="2"/>
  <c r="J57" i="2"/>
  <c r="L57" i="2" s="1"/>
  <c r="J8" i="2"/>
  <c r="L8" i="2" s="1"/>
  <c r="J123" i="5"/>
  <c r="L123" i="5" s="1"/>
  <c r="J77" i="5"/>
  <c r="L77" i="5" s="1"/>
  <c r="J86" i="3"/>
  <c r="L86" i="3" s="1"/>
  <c r="J120" i="2"/>
  <c r="L120" i="2" s="1"/>
  <c r="L54" i="11"/>
  <c r="J54" i="11"/>
  <c r="J10" i="11"/>
  <c r="L10" i="11" s="1"/>
  <c r="J58" i="5"/>
  <c r="L58" i="5" s="1"/>
  <c r="J10" i="5"/>
  <c r="L10" i="5" s="1"/>
  <c r="J15" i="4"/>
  <c r="L15" i="4" s="1"/>
  <c r="J17" i="4"/>
  <c r="L17" i="4" s="1"/>
  <c r="J12" i="4"/>
  <c r="L12" i="4" s="1"/>
  <c r="J9" i="4"/>
  <c r="L9" i="4" s="1"/>
  <c r="J6" i="4"/>
  <c r="L6" i="4" s="1"/>
  <c r="J25" i="3"/>
  <c r="L25" i="3" s="1"/>
  <c r="J30" i="2"/>
  <c r="L30" i="2" s="1"/>
  <c r="J9" i="2"/>
  <c r="L9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7" i="7"/>
  <c r="L127" i="7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L113" i="7"/>
  <c r="J113" i="7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L105" i="7"/>
  <c r="J105" i="7"/>
  <c r="J104" i="7"/>
  <c r="L104" i="7" s="1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L64" i="6"/>
  <c r="J64" i="6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2" i="3"/>
  <c r="L22" i="3" s="1"/>
  <c r="J23" i="3"/>
  <c r="L23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4" i="3"/>
  <c r="L84" i="3" s="1"/>
  <c r="J85" i="3"/>
  <c r="L85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4" i="4"/>
  <c r="L14" i="4" s="1"/>
  <c r="J16" i="4"/>
  <c r="L16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8" i="5"/>
  <c r="L8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7" i="5"/>
  <c r="L57" i="5" s="1"/>
  <c r="J59" i="5"/>
  <c r="L59" i="5" s="1"/>
  <c r="J60" i="5"/>
  <c r="L60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D13" i="1" s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<sst xmlns="http://schemas.openxmlformats.org/spreadsheetml/2006/main" count="3523" uniqueCount="167">
  <si>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</si>
  <si>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</si>
  <si>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</si>
  <si>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</si>
  <si>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</si>
  <si>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</si>
  <si>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</si>
  <si>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</si>
  <si>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</si>
  <si>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</si>
  <si>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</si>
  <si>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</si>
  <si>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</si>
  <si>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</si>
  <si>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</si>
  <si>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</si>
  <si>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</si>
  <si>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</si>
  <si>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</si>
  <si>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</si>
  <si>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</si>
  <si>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</si>
  <si>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</si>
  <si>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</si>
  <si>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</si>
  <si>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</si>
  <si>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</si>
  <si>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</si>
  <si>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</si>
  <si>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</si>
  <si>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</si>
  <si>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</si>
  <si>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</si>
  <si>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</si>
  <si>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</si>
  <si>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</si>
  <si>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</si>
  <si>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</si>
  <si>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</si>
  <si>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</si>
  <si>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</si>
  <si>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</si>
  <si>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</si>
  <si>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</si>
  <si>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</si>
  <si>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</si>
  <si>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</si>
  <si>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</si>
  <si>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</si>
  <si>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</si>
  <si>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</si>
  <si>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</si>
  <si>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</si>
  <si>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</si>
  <si>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</si>
  <si>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</si>
  <si>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</si>
  <si>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</si>
  <si>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</si>
  <si>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</si>
  <si>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</si>
  <si>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</si>
  <si>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</si>
  <si>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</si>
  <si>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</si>
  <si>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</si>
  <si>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</si>
  <si>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</si>
  <si>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</si>
  <si>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</si>
  <si>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</si>
  <si>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</si>
  <si>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</si>
  <si>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</si>
  <si>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</si>
  <si>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</si>
  <si>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</si>
  <si>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</si>
  <si>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</si>
  <si>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</si>
  <si>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</si>
  <si>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</si>
  <si>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</si>
  <si>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</si>
  <si>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</si>
  <si>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</si>
  <si>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</si>
  <si>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</si>
  <si>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</si>
  <si>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</si>
  <si>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</si>
  <si>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</si>
  <si>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</si>
  <si>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</si>
  <si>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</si>
  <si>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</si>
  <si>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</si>
  <si>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</si>
  <si>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</si>
  <si>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</si>
  <si>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</si>
  <si>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</si>
  <si>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</si>
  <si>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</si>
  <si>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</si>
  <si>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</si>
  <si>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</si>
  <si>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Balsam Capavia</t>
  </si>
  <si>
    <t>8g</t>
  </si>
  <si>
    <t>15471g</t>
  </si>
  <si>
    <t>15t 8g</t>
  </si>
  <si>
    <t>600.25bags</t>
  </si>
  <si>
    <t>64.5g</t>
  </si>
  <si>
    <t>6557.75g</t>
  </si>
  <si>
    <t>222t 1h 56g</t>
  </si>
  <si>
    <t>254bags+91lb</t>
  </si>
  <si>
    <t>35g</t>
  </si>
  <si>
    <t>Archelia</t>
  </si>
  <si>
    <t>Balsam Artificial</t>
  </si>
  <si>
    <t>Barbados Tarr</t>
  </si>
  <si>
    <t>Gum Copal</t>
  </si>
  <si>
    <t>Jollop</t>
  </si>
  <si>
    <t>31049g</t>
  </si>
  <si>
    <t>41.5g</t>
  </si>
  <si>
    <t>149137g</t>
  </si>
  <si>
    <t>50t 2h 30g</t>
  </si>
  <si>
    <t>Wood, Camwood</t>
  </si>
  <si>
    <t>Wood, Pidgeonwood</t>
  </si>
  <si>
    <t>587bags+83lb</t>
  </si>
  <si>
    <t>1140g</t>
  </si>
  <si>
    <t>3085g</t>
  </si>
  <si>
    <t>10t 1h 44g</t>
  </si>
  <si>
    <t>Port</t>
  </si>
  <si>
    <t>27t 3h 17g</t>
  </si>
  <si>
    <t>293bags+14lb</t>
  </si>
  <si>
    <t>2g</t>
  </si>
  <si>
    <t>396g</t>
  </si>
  <si>
    <t>2t 3h 51g</t>
  </si>
  <si>
    <t>171bags+112lb</t>
  </si>
  <si>
    <t>Gum Elemni</t>
  </si>
  <si>
    <t>12g</t>
  </si>
  <si>
    <t>3376.5g</t>
  </si>
  <si>
    <t>161t 3h 61g</t>
  </si>
  <si>
    <t>466bags+8lb</t>
  </si>
  <si>
    <t>58g</t>
  </si>
  <si>
    <t>5572.5g</t>
  </si>
  <si>
    <t>4t 3h</t>
  </si>
  <si>
    <t>1705bags+28lb</t>
  </si>
  <si>
    <t>Orchal</t>
  </si>
  <si>
    <t>5g</t>
  </si>
  <si>
    <t>8342g</t>
  </si>
  <si>
    <t>8t 3h 37g</t>
  </si>
  <si>
    <t>1047bags+141lb</t>
  </si>
  <si>
    <t>1331g</t>
  </si>
  <si>
    <t>58350.5g</t>
  </si>
  <si>
    <t>7t 2h 24g</t>
  </si>
  <si>
    <t>1945bags+41lb</t>
  </si>
  <si>
    <t>39g</t>
  </si>
  <si>
    <t>7432g</t>
  </si>
  <si>
    <t>204g</t>
  </si>
  <si>
    <t>631.25bags</t>
  </si>
  <si>
    <t>45g</t>
  </si>
  <si>
    <t>53.5bags</t>
  </si>
  <si>
    <t>881g</t>
  </si>
  <si>
    <t>1t 1h 23g</t>
  </si>
  <si>
    <t>625bags</t>
  </si>
  <si>
    <t>101.5bags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</si>
</sst>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2.8062500000000004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6.9642857142857145E-2</v>
      </c>
      <c r="D3">
        <f t="shared" ref="D3:D31" si="0">B3+C3</f>
        <v>2.8758928571428575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31651.934375000001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11515.181250000001</v>
      </c>
      <c r="D4">
        <f t="shared" si="0"/>
        <v>43167.115625000006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3.6732142857142858</v>
      </c>
      <c r="D6">
        <f t="shared" si="0"/>
        <v>3.6732142857142858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211.85624999999999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536.41071428571433</v>
      </c>
      <c r="D7">
        <f t="shared" si="0"/>
        <v>748.26696428571427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1036.621875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682.0839285714286</v>
      </c>
      <c r="D8">
        <f t="shared" si="0"/>
        <v>1718.7058035714285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93.679017857142853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39.705803571428575</v>
      </c>
      <c r="D9">
        <f t="shared" si="0"/>
        <v>133.38482142857143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24.331250000000001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12.408035714285715</v>
      </c>
      <c r="D10">
        <f t="shared" si="0"/>
        <v>36.739285714285714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75.575000000000003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26.974553571428572</v>
      </c>
      <c r="D11">
        <f t="shared" si="0"/>
        <v>102.54955357142858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143.73794642857141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6.1176339285714292</v>
      </c>
      <c r="D12">
        <f t="shared" si="0"/>
        <v>149.85558035714283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1.1785714285714286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1.1785714285714286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156.90625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94.85892857142855</v>
      </c>
      <c r="D14">
        <f t="shared" si="0"/>
        <v>251.76517857142855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6.6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0</v>
      </c>
      <c r="D15">
        <f t="shared" si="0"/>
        <v>6.6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795.20959821428562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360.27566964285705</v>
      </c>
      <c r="D16">
        <f t="shared" si="0"/>
        <v>1155.4852678571426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3.110267857142857</v>
      </c>
      <c r="D17">
        <f t="shared" si="0"/>
        <v>3.110267857142857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2.1316964285714284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0.11383928571428573</v>
      </c>
      <c r="D18">
        <f t="shared" si="0"/>
        <v>2.245535714285714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0.32232142857142859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</v>
      </c>
      <c r="D19">
        <f t="shared" si="0"/>
        <v>0.32232142857142859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2.6687499999999997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0.20758928571428573</v>
      </c>
      <c r="D20">
        <f t="shared" si="0"/>
        <v>2.8763392857142853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27.766964285714284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27.766964285714284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271.37321428571425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26.323883928571426</v>
      </c>
      <c r="D26">
        <f t="shared" si="0"/>
        <v>297.69709821428569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103.03303571428572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36</v>
      </c>
      <c r="D27">
        <f t="shared" si="0"/>
        <v>139.03303571428572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349.24107142857144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191.68080357142856</v>
      </c>
      <c r="D28">
        <f t="shared" si="0"/>
        <v>540.921875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581.49285714285713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362.34866071428576</v>
      </c>
      <c r="D29">
        <f t="shared" si="0"/>
        <v>943.84151785714289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28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43.475446428571431</v>
      </c>
      <c r="D30">
        <f t="shared" si="0"/>
        <v>71.475446428571431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2"/>
  <sheetViews>
    <sheetView topLeftCell="A105" zoomScaleNormal="100" workbookViewId="0">
      <selection activeCell="H111" sqref="H111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1738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1738</v>
      </c>
      <c r="B3" t="s">
        <v>57</v>
      </c>
      <c r="C3" t="s">
        <v>53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5" x14ac:dyDescent="0.25">
      <c r="A4">
        <v>1738</v>
      </c>
      <c r="B4" t="s">
        <v>36</v>
      </c>
      <c r="C4" t="s">
        <v>53</v>
      </c>
      <c r="D4" t="s">
        <v>33</v>
      </c>
      <c r="H4">
        <v>20</v>
      </c>
      <c r="J4">
        <f t="shared" si="0"/>
        <v>20</v>
      </c>
      <c r="L4">
        <f t="shared" si="1"/>
        <v>8.9285714285714281E-3</v>
      </c>
    </row>
    <row r="5" spans="1:15" x14ac:dyDescent="0.25">
      <c r="A5">
        <v>1738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1738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1738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1738</v>
      </c>
      <c r="B8" t="s">
        <v>107</v>
      </c>
      <c r="C8" t="s">
        <v>53</v>
      </c>
      <c r="D8" t="s">
        <v>33</v>
      </c>
      <c r="H8">
        <v>429</v>
      </c>
      <c r="J8">
        <f t="shared" si="0"/>
        <v>429</v>
      </c>
      <c r="L8">
        <f t="shared" si="1"/>
        <v>0.19151785714285716</v>
      </c>
    </row>
    <row r="9" spans="1:15" x14ac:dyDescent="0.25">
      <c r="A9">
        <v>1738</v>
      </c>
      <c r="B9" t="s">
        <v>101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1738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1738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1738</v>
      </c>
      <c r="B12" t="s">
        <v>5</v>
      </c>
      <c r="C12" t="s">
        <v>53</v>
      </c>
      <c r="D12" t="s">
        <v>33</v>
      </c>
      <c r="F12">
        <v>2</v>
      </c>
      <c r="G12">
        <v>1</v>
      </c>
      <c r="H12">
        <v>21</v>
      </c>
      <c r="J12">
        <f t="shared" si="0"/>
        <v>273</v>
      </c>
      <c r="L12">
        <f t="shared" si="1"/>
        <v>0.121875</v>
      </c>
    </row>
    <row r="13" spans="1:15" x14ac:dyDescent="0.25">
      <c r="A13">
        <v>1738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1738</v>
      </c>
      <c r="B14" t="s">
        <v>6</v>
      </c>
      <c r="C14" t="s">
        <v>53</v>
      </c>
      <c r="D14" t="s">
        <v>33</v>
      </c>
      <c r="F14">
        <v>108065</v>
      </c>
      <c r="G14">
        <v>1</v>
      </c>
      <c r="H14">
        <v>26</v>
      </c>
      <c r="J14">
        <f t="shared" si="0"/>
        <v>12103334</v>
      </c>
      <c r="L14">
        <f t="shared" si="1"/>
        <v>5403.2741071428572</v>
      </c>
    </row>
    <row r="15" spans="1:15" x14ac:dyDescent="0.25">
      <c r="A15">
        <v>1738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1738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1738</v>
      </c>
      <c r="B19" t="s">
        <v>8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1738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77</v>
      </c>
      <c r="C21" t="s">
        <v>53</v>
      </c>
      <c r="D21" t="s">
        <v>33</v>
      </c>
      <c r="F21">
        <v>2</v>
      </c>
      <c r="G21">
        <v>3</v>
      </c>
      <c r="H21">
        <v>18</v>
      </c>
      <c r="J21">
        <f t="shared" si="0"/>
        <v>326</v>
      </c>
      <c r="L21">
        <f t="shared" si="1"/>
        <v>0.1455357142857143</v>
      </c>
    </row>
    <row r="22" spans="1:12" x14ac:dyDescent="0.25">
      <c r="A22">
        <v>1738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1738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1738</v>
      </c>
      <c r="B24" t="s">
        <v>9</v>
      </c>
      <c r="C24" t="s">
        <v>53</v>
      </c>
      <c r="D24" t="s">
        <v>33</v>
      </c>
      <c r="H24">
        <f>600.25*200</f>
        <v>120050</v>
      </c>
      <c r="I24" t="s">
        <v>111</v>
      </c>
      <c r="J24">
        <f t="shared" si="0"/>
        <v>120050</v>
      </c>
      <c r="L24">
        <f t="shared" si="1"/>
        <v>53.59375</v>
      </c>
    </row>
    <row r="25" spans="1:12" x14ac:dyDescent="0.25">
      <c r="A25">
        <v>1738</v>
      </c>
      <c r="B25" t="s">
        <v>10</v>
      </c>
      <c r="C25" t="s">
        <v>53</v>
      </c>
      <c r="D25" t="s">
        <v>33</v>
      </c>
      <c r="F25">
        <v>2526</v>
      </c>
      <c r="G25">
        <v>1</v>
      </c>
      <c r="H25">
        <v>17</v>
      </c>
      <c r="J25">
        <f t="shared" si="0"/>
        <v>282957</v>
      </c>
      <c r="L25">
        <f t="shared" si="1"/>
        <v>126.32008928571429</v>
      </c>
    </row>
    <row r="26" spans="1:12" x14ac:dyDescent="0.25">
      <c r="A26">
        <v>1738</v>
      </c>
      <c r="B26" t="s">
        <v>11</v>
      </c>
      <c r="C26" t="s">
        <v>53</v>
      </c>
      <c r="D26" t="s">
        <v>33</v>
      </c>
      <c r="F26">
        <v>101</v>
      </c>
      <c r="J26">
        <f t="shared" si="0"/>
        <v>11312</v>
      </c>
      <c r="L26">
        <f t="shared" si="1"/>
        <v>5.05</v>
      </c>
    </row>
    <row r="27" spans="1:12" x14ac:dyDescent="0.25">
      <c r="A27">
        <v>1738</v>
      </c>
      <c r="B27" t="s">
        <v>39</v>
      </c>
      <c r="C27" t="s">
        <v>53</v>
      </c>
      <c r="D27" t="s">
        <v>33</v>
      </c>
      <c r="H27">
        <v>164</v>
      </c>
      <c r="J27">
        <f t="shared" si="0"/>
        <v>164</v>
      </c>
      <c r="L27">
        <f t="shared" si="1"/>
        <v>7.3214285714285718E-2</v>
      </c>
    </row>
    <row r="28" spans="1:12" x14ac:dyDescent="0.25">
      <c r="A28">
        <v>1738</v>
      </c>
      <c r="B28" t="s">
        <v>79</v>
      </c>
      <c r="C28" t="s">
        <v>53</v>
      </c>
      <c r="D28" t="s">
        <v>33</v>
      </c>
      <c r="H28">
        <v>5278</v>
      </c>
      <c r="J28">
        <f t="shared" si="0"/>
        <v>5278</v>
      </c>
      <c r="L28">
        <f t="shared" si="1"/>
        <v>2.3562500000000002</v>
      </c>
    </row>
    <row r="29" spans="1:12" x14ac:dyDescent="0.25">
      <c r="A29">
        <v>1738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1738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1738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1738</v>
      </c>
      <c r="B33" t="s">
        <v>12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1738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1738</v>
      </c>
      <c r="B36" t="s">
        <v>13</v>
      </c>
      <c r="C36" t="s">
        <v>53</v>
      </c>
      <c r="D36" t="s">
        <v>33</v>
      </c>
      <c r="E36">
        <v>31</v>
      </c>
      <c r="J36">
        <f t="shared" si="0"/>
        <v>69440</v>
      </c>
      <c r="L36">
        <f t="shared" si="1"/>
        <v>31</v>
      </c>
    </row>
    <row r="37" spans="1:12" x14ac:dyDescent="0.25">
      <c r="A37">
        <v>1738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1738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1738</v>
      </c>
      <c r="B39" t="s">
        <v>27</v>
      </c>
      <c r="C39" t="s">
        <v>53</v>
      </c>
      <c r="D39" t="s">
        <v>33</v>
      </c>
      <c r="H39">
        <v>37889.5</v>
      </c>
      <c r="I39" t="s">
        <v>110</v>
      </c>
      <c r="J39">
        <f t="shared" si="0"/>
        <v>37889.5</v>
      </c>
      <c r="L39">
        <f t="shared" si="1"/>
        <v>16.914955357142858</v>
      </c>
    </row>
    <row r="40" spans="1:12" x14ac:dyDescent="0.25">
      <c r="A40">
        <v>1738</v>
      </c>
      <c r="B40" t="s">
        <v>15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1738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1738</v>
      </c>
      <c r="B43" t="s">
        <v>47</v>
      </c>
      <c r="C43" t="s">
        <v>53</v>
      </c>
      <c r="D43" t="s">
        <v>33</v>
      </c>
      <c r="H43">
        <v>80</v>
      </c>
      <c r="I43" t="s">
        <v>108</v>
      </c>
      <c r="J43">
        <f t="shared" si="0"/>
        <v>80</v>
      </c>
      <c r="L43">
        <f t="shared" si="1"/>
        <v>3.5714285714285712E-2</v>
      </c>
    </row>
    <row r="44" spans="1:12" x14ac:dyDescent="0.25">
      <c r="A44">
        <v>1738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1738</v>
      </c>
      <c r="B45" t="s">
        <v>106</v>
      </c>
      <c r="C45" t="s">
        <v>53</v>
      </c>
      <c r="D45" t="s">
        <v>33</v>
      </c>
      <c r="G45">
        <v>2</v>
      </c>
      <c r="J45">
        <f t="shared" si="0"/>
        <v>56</v>
      </c>
      <c r="L45">
        <f t="shared" si="1"/>
        <v>2.5000000000000001E-2</v>
      </c>
    </row>
    <row r="46" spans="1:12" x14ac:dyDescent="0.25">
      <c r="A46">
        <v>1738</v>
      </c>
      <c r="B46" t="s">
        <v>17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18</v>
      </c>
      <c r="C47" t="s">
        <v>53</v>
      </c>
      <c r="D47" t="s">
        <v>33</v>
      </c>
      <c r="H47">
        <v>154749.5</v>
      </c>
      <c r="I47" t="s">
        <v>109</v>
      </c>
      <c r="J47">
        <f t="shared" si="0"/>
        <v>154749.5</v>
      </c>
      <c r="L47">
        <f t="shared" si="1"/>
        <v>69.08459821428572</v>
      </c>
    </row>
    <row r="48" spans="1:12" x14ac:dyDescent="0.25">
      <c r="A48">
        <v>1738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1738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1738</v>
      </c>
      <c r="B51" t="s">
        <v>45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1738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1738</v>
      </c>
      <c r="B53" t="s">
        <v>54</v>
      </c>
      <c r="C53" t="s">
        <v>53</v>
      </c>
      <c r="D53" t="s">
        <v>33</v>
      </c>
      <c r="H53">
        <v>658</v>
      </c>
      <c r="J53">
        <f t="shared" si="0"/>
        <v>658</v>
      </c>
      <c r="L53">
        <f t="shared" si="1"/>
        <v>0.29375000000000001</v>
      </c>
    </row>
    <row r="54" spans="1:12" x14ac:dyDescent="0.25">
      <c r="A54">
        <v>1738</v>
      </c>
      <c r="B54" t="s">
        <v>95</v>
      </c>
      <c r="C54" t="s">
        <v>53</v>
      </c>
      <c r="D54" t="s">
        <v>33</v>
      </c>
      <c r="H54">
        <v>141</v>
      </c>
      <c r="J54">
        <f t="shared" si="0"/>
        <v>141</v>
      </c>
      <c r="L54">
        <f t="shared" si="1"/>
        <v>6.294642857142857E-2</v>
      </c>
    </row>
    <row r="55" spans="1:12" x14ac:dyDescent="0.25">
      <c r="A55">
        <v>1738</v>
      </c>
      <c r="B55" t="s">
        <v>20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1738</v>
      </c>
      <c r="B56" t="s">
        <v>21</v>
      </c>
      <c r="C56" t="s">
        <v>53</v>
      </c>
      <c r="D56" t="s">
        <v>33</v>
      </c>
      <c r="H56">
        <v>13</v>
      </c>
      <c r="J56">
        <f t="shared" si="0"/>
        <v>13</v>
      </c>
      <c r="L56">
        <f t="shared" si="1"/>
        <v>5.8035714285714288E-3</v>
      </c>
    </row>
    <row r="57" spans="1:12" x14ac:dyDescent="0.25">
      <c r="A57">
        <v>1738</v>
      </c>
      <c r="B57" t="s">
        <v>90</v>
      </c>
      <c r="C57" t="s">
        <v>53</v>
      </c>
      <c r="D57" t="s">
        <v>33</v>
      </c>
      <c r="F57">
        <v>80</v>
      </c>
      <c r="J57">
        <f t="shared" si="0"/>
        <v>8960</v>
      </c>
      <c r="L57">
        <f t="shared" si="1"/>
        <v>4</v>
      </c>
    </row>
    <row r="58" spans="1:12" x14ac:dyDescent="0.25">
      <c r="A58">
        <v>1738</v>
      </c>
      <c r="B58" t="s">
        <v>22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61</v>
      </c>
      <c r="C59" t="s">
        <v>53</v>
      </c>
      <c r="D59" t="s">
        <v>33</v>
      </c>
      <c r="E59">
        <v>3</v>
      </c>
      <c r="J59">
        <f t="shared" si="0"/>
        <v>6720</v>
      </c>
      <c r="L59">
        <f t="shared" si="1"/>
        <v>3</v>
      </c>
    </row>
    <row r="60" spans="1:12" x14ac:dyDescent="0.25">
      <c r="A60">
        <v>1738</v>
      </c>
      <c r="B60" t="s">
        <v>99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87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1738</v>
      </c>
      <c r="B62" t="s">
        <v>62</v>
      </c>
      <c r="C62" t="s">
        <v>53</v>
      </c>
      <c r="D62" t="s">
        <v>33</v>
      </c>
      <c r="E62">
        <v>57</v>
      </c>
      <c r="F62">
        <v>3</v>
      </c>
      <c r="H62">
        <v>8</v>
      </c>
      <c r="J62">
        <f t="shared" si="0"/>
        <v>128024</v>
      </c>
      <c r="L62">
        <f t="shared" si="1"/>
        <v>57.153571428571432</v>
      </c>
    </row>
    <row r="63" spans="1:12" x14ac:dyDescent="0.25">
      <c r="A63">
        <v>1738</v>
      </c>
      <c r="B63" t="s">
        <v>88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1738</v>
      </c>
      <c r="B64" t="s">
        <v>63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1738</v>
      </c>
      <c r="B65" t="s">
        <v>89</v>
      </c>
      <c r="C65" t="s">
        <v>53</v>
      </c>
      <c r="D65" t="s">
        <v>33</v>
      </c>
      <c r="E65">
        <v>10</v>
      </c>
      <c r="J65">
        <f t="shared" si="0"/>
        <v>22400</v>
      </c>
      <c r="L65">
        <f t="shared" si="1"/>
        <v>10</v>
      </c>
    </row>
    <row r="66" spans="1:12" x14ac:dyDescent="0.25">
      <c r="A66">
        <v>1738</v>
      </c>
      <c r="B66" t="s">
        <v>70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64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65</v>
      </c>
      <c r="C68" t="s">
        <v>53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1738</v>
      </c>
      <c r="B69" t="s">
        <v>55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1738</v>
      </c>
      <c r="B70" t="s">
        <v>57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1738</v>
      </c>
      <c r="B71" t="s">
        <v>36</v>
      </c>
      <c r="C71" t="s">
        <v>53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1738</v>
      </c>
      <c r="B72" t="s">
        <v>4</v>
      </c>
      <c r="C72" t="s">
        <v>53</v>
      </c>
      <c r="D72" t="s">
        <v>35</v>
      </c>
      <c r="J72">
        <f t="shared" ref="J72:J132" si="2">(E72*2240)+(F72*112)+(G72*28)+H72</f>
        <v>0</v>
      </c>
      <c r="L72">
        <f t="shared" ref="L72:L132" si="3">J72/2240</f>
        <v>0</v>
      </c>
    </row>
    <row r="73" spans="1:12" x14ac:dyDescent="0.25">
      <c r="A73">
        <v>1738</v>
      </c>
      <c r="B73" t="s">
        <v>58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69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1738</v>
      </c>
      <c r="B75" t="s">
        <v>43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1738</v>
      </c>
      <c r="B76" t="s">
        <v>76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1738</v>
      </c>
      <c r="B77" t="s">
        <v>5</v>
      </c>
      <c r="C77" t="s">
        <v>53</v>
      </c>
      <c r="D77" t="s">
        <v>35</v>
      </c>
      <c r="F77">
        <v>1</v>
      </c>
      <c r="G77">
        <v>1</v>
      </c>
      <c r="H77">
        <v>16</v>
      </c>
      <c r="J77">
        <f t="shared" si="2"/>
        <v>156</v>
      </c>
      <c r="L77">
        <f t="shared" si="3"/>
        <v>6.9642857142857145E-2</v>
      </c>
    </row>
    <row r="78" spans="1:12" x14ac:dyDescent="0.25">
      <c r="A78">
        <v>1738</v>
      </c>
      <c r="B78" t="s">
        <v>59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6</v>
      </c>
      <c r="C79" t="s">
        <v>53</v>
      </c>
      <c r="D79" t="s">
        <v>35</v>
      </c>
      <c r="F79">
        <v>38335</v>
      </c>
      <c r="G79">
        <v>1</v>
      </c>
      <c r="H79">
        <v>25</v>
      </c>
      <c r="J79">
        <f t="shared" si="2"/>
        <v>4293573</v>
      </c>
      <c r="L79">
        <f t="shared" si="3"/>
        <v>1916.7736607142858</v>
      </c>
    </row>
    <row r="80" spans="1:12" x14ac:dyDescent="0.25">
      <c r="A80">
        <v>1738</v>
      </c>
      <c r="B80" t="s">
        <v>60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37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40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1738</v>
      </c>
      <c r="B85" t="s">
        <v>77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1738</v>
      </c>
      <c r="B86" t="s">
        <v>78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1738</v>
      </c>
      <c r="B87" t="s">
        <v>46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9</v>
      </c>
      <c r="C88" t="s">
        <v>53</v>
      </c>
      <c r="D88" t="s">
        <v>35</v>
      </c>
      <c r="H88">
        <f>1705*200+28</f>
        <v>341028</v>
      </c>
      <c r="I88" t="s">
        <v>147</v>
      </c>
      <c r="J88">
        <f t="shared" si="2"/>
        <v>341028</v>
      </c>
      <c r="L88">
        <f t="shared" si="3"/>
        <v>152.24464285714285</v>
      </c>
    </row>
    <row r="89" spans="1:12" x14ac:dyDescent="0.25">
      <c r="A89">
        <v>1738</v>
      </c>
      <c r="B89" t="s">
        <v>10</v>
      </c>
      <c r="C89" t="s">
        <v>53</v>
      </c>
      <c r="D89" t="s">
        <v>35</v>
      </c>
      <c r="F89">
        <v>2464</v>
      </c>
      <c r="G89">
        <v>3</v>
      </c>
      <c r="H89">
        <v>6</v>
      </c>
      <c r="J89">
        <f t="shared" si="2"/>
        <v>276058</v>
      </c>
      <c r="L89">
        <f t="shared" si="3"/>
        <v>123.24017857142857</v>
      </c>
    </row>
    <row r="90" spans="1:12" x14ac:dyDescent="0.25">
      <c r="A90">
        <v>1738</v>
      </c>
      <c r="B90" t="s">
        <v>11</v>
      </c>
      <c r="C90" t="s">
        <v>53</v>
      </c>
      <c r="D90" t="s">
        <v>35</v>
      </c>
      <c r="F90">
        <v>70</v>
      </c>
      <c r="G90">
        <v>1</v>
      </c>
      <c r="H90">
        <v>4</v>
      </c>
      <c r="J90">
        <f t="shared" si="2"/>
        <v>7872</v>
      </c>
      <c r="L90">
        <f t="shared" si="3"/>
        <v>3.5142857142857142</v>
      </c>
    </row>
    <row r="91" spans="1:12" x14ac:dyDescent="0.25">
      <c r="A91">
        <v>1738</v>
      </c>
      <c r="B91" t="s">
        <v>39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79</v>
      </c>
      <c r="C92" t="s">
        <v>53</v>
      </c>
      <c r="D92" t="s">
        <v>35</v>
      </c>
      <c r="H92">
        <v>1146</v>
      </c>
      <c r="J92">
        <f t="shared" si="2"/>
        <v>1146</v>
      </c>
      <c r="L92">
        <f t="shared" si="3"/>
        <v>0.51160714285714282</v>
      </c>
    </row>
    <row r="93" spans="1:12" x14ac:dyDescent="0.25">
      <c r="A93">
        <v>1738</v>
      </c>
      <c r="B93" t="s">
        <v>103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1738</v>
      </c>
      <c r="B94" t="s">
        <v>44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97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1738</v>
      </c>
      <c r="B96" t="s">
        <v>12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1738</v>
      </c>
      <c r="B97" t="s">
        <v>82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34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1738</v>
      </c>
      <c r="B99" t="s">
        <v>13</v>
      </c>
      <c r="C99" t="s">
        <v>53</v>
      </c>
      <c r="D99" t="s">
        <v>35</v>
      </c>
      <c r="E99">
        <v>1</v>
      </c>
      <c r="J99">
        <f t="shared" si="2"/>
        <v>2240</v>
      </c>
      <c r="L99">
        <f t="shared" si="3"/>
        <v>1</v>
      </c>
    </row>
    <row r="100" spans="1:12" x14ac:dyDescent="0.25">
      <c r="A100">
        <v>1738</v>
      </c>
      <c r="B100" t="s">
        <v>14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23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27</v>
      </c>
      <c r="C102" t="s">
        <v>53</v>
      </c>
      <c r="D102" t="s">
        <v>35</v>
      </c>
      <c r="H102">
        <v>11973</v>
      </c>
      <c r="I102" t="s">
        <v>146</v>
      </c>
      <c r="J102">
        <f t="shared" si="2"/>
        <v>11973</v>
      </c>
      <c r="L102">
        <f t="shared" si="3"/>
        <v>5.3450892857142858</v>
      </c>
    </row>
    <row r="103" spans="1:12" x14ac:dyDescent="0.25">
      <c r="A103">
        <v>1738</v>
      </c>
      <c r="B103" t="s">
        <v>15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1738</v>
      </c>
      <c r="B104" t="s">
        <v>93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1738</v>
      </c>
      <c r="B105" t="s">
        <v>42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1738</v>
      </c>
      <c r="B106" t="s">
        <v>83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1738</v>
      </c>
      <c r="B107" t="s">
        <v>47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1738</v>
      </c>
      <c r="B108" t="s">
        <v>16</v>
      </c>
      <c r="C108" t="s">
        <v>53</v>
      </c>
      <c r="D108" t="s">
        <v>35</v>
      </c>
      <c r="H108">
        <v>292</v>
      </c>
      <c r="J108">
        <f t="shared" si="2"/>
        <v>292</v>
      </c>
      <c r="L108">
        <f t="shared" si="3"/>
        <v>0.13035714285714287</v>
      </c>
    </row>
    <row r="109" spans="1:12" x14ac:dyDescent="0.25">
      <c r="A109">
        <v>1738</v>
      </c>
      <c r="B109" t="s">
        <v>17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18</v>
      </c>
      <c r="C110" t="s">
        <v>53</v>
      </c>
      <c r="D110" t="s">
        <v>35</v>
      </c>
      <c r="H110">
        <v>55739.5</v>
      </c>
      <c r="I110" t="s">
        <v>145</v>
      </c>
      <c r="J110">
        <f t="shared" si="2"/>
        <v>55739.5</v>
      </c>
      <c r="L110">
        <f t="shared" si="3"/>
        <v>24.883705357142858</v>
      </c>
    </row>
    <row r="111" spans="1:12" x14ac:dyDescent="0.25">
      <c r="A111">
        <v>1738</v>
      </c>
      <c r="B111" t="s">
        <v>26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1738</v>
      </c>
      <c r="B112" t="s">
        <v>84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1738</v>
      </c>
      <c r="B113" t="s">
        <v>19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1738</v>
      </c>
      <c r="B114" t="s">
        <v>45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85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54</v>
      </c>
      <c r="C116" t="s">
        <v>53</v>
      </c>
      <c r="D116" t="s">
        <v>35</v>
      </c>
      <c r="H116">
        <v>26</v>
      </c>
      <c r="J116">
        <f t="shared" si="2"/>
        <v>26</v>
      </c>
      <c r="L116">
        <f t="shared" si="3"/>
        <v>1.1607142857142858E-2</v>
      </c>
    </row>
    <row r="117" spans="1:12" x14ac:dyDescent="0.25">
      <c r="A117">
        <v>1738</v>
      </c>
      <c r="B117" t="s">
        <v>95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20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21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1738</v>
      </c>
      <c r="B120" t="s">
        <v>105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1738</v>
      </c>
      <c r="B121" t="s">
        <v>22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61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1738</v>
      </c>
      <c r="B123" t="s">
        <v>91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98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1738</v>
      </c>
      <c r="B125" t="s">
        <v>87</v>
      </c>
      <c r="C125" t="s">
        <v>53</v>
      </c>
      <c r="D125" t="s">
        <v>35</v>
      </c>
      <c r="E125">
        <v>5</v>
      </c>
      <c r="F125">
        <v>4</v>
      </c>
      <c r="J125">
        <f t="shared" si="2"/>
        <v>11648</v>
      </c>
      <c r="L125">
        <f t="shared" si="3"/>
        <v>5.2</v>
      </c>
    </row>
    <row r="126" spans="1:12" x14ac:dyDescent="0.25">
      <c r="A126">
        <v>1738</v>
      </c>
      <c r="B126" t="s">
        <v>62</v>
      </c>
      <c r="C126" t="s">
        <v>53</v>
      </c>
      <c r="D126" t="s">
        <v>35</v>
      </c>
      <c r="E126">
        <v>7</v>
      </c>
      <c r="F126">
        <v>13</v>
      </c>
      <c r="G126">
        <v>3</v>
      </c>
      <c r="H126">
        <v>13</v>
      </c>
      <c r="J126">
        <f t="shared" si="2"/>
        <v>17233</v>
      </c>
      <c r="L126">
        <f t="shared" si="3"/>
        <v>7.6933035714285714</v>
      </c>
    </row>
    <row r="127" spans="1:12" x14ac:dyDescent="0.25">
      <c r="A127">
        <v>1738</v>
      </c>
      <c r="B127" t="s">
        <v>88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1738</v>
      </c>
      <c r="B128" t="s">
        <v>63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1738</v>
      </c>
      <c r="B129" t="s">
        <v>89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1738</v>
      </c>
      <c r="B130" t="s">
        <v>70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1738</v>
      </c>
      <c r="B131" t="s">
        <v>64</v>
      </c>
      <c r="C131" t="s">
        <v>53</v>
      </c>
      <c r="D131" t="s">
        <v>35</v>
      </c>
      <c r="E131">
        <v>3</v>
      </c>
      <c r="J131">
        <f t="shared" si="2"/>
        <v>6720</v>
      </c>
      <c r="L131">
        <f t="shared" si="3"/>
        <v>3</v>
      </c>
    </row>
    <row r="132" spans="1:12" x14ac:dyDescent="0.25">
      <c r="A132">
        <v>1738</v>
      </c>
      <c r="B132" t="s">
        <v>65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3"/>
  <sheetViews>
    <sheetView topLeftCell="A65" workbookViewId="0">
      <selection activeCell="H89" sqref="H8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1738</v>
      </c>
      <c r="B2" t="s">
        <v>55</v>
      </c>
      <c r="C2" t="s">
        <v>56</v>
      </c>
      <c r="D2" t="s">
        <v>33</v>
      </c>
      <c r="J2">
        <f t="shared" ref="J2:J69" si="0">(E2*2240)+(F2*112)+(G2*28)+H2</f>
        <v>0</v>
      </c>
      <c r="L2">
        <f t="shared" ref="L2:L69" si="1">J2/2240</f>
        <v>0</v>
      </c>
    </row>
    <row r="3" spans="1:12" x14ac:dyDescent="0.25">
      <c r="A3">
        <v>1738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1738</v>
      </c>
      <c r="B4" t="s">
        <v>36</v>
      </c>
      <c r="C4" t="s">
        <v>56</v>
      </c>
      <c r="D4" t="s">
        <v>33</v>
      </c>
      <c r="H4">
        <v>34718</v>
      </c>
      <c r="J4">
        <f t="shared" si="0"/>
        <v>34718</v>
      </c>
      <c r="L4">
        <f t="shared" si="1"/>
        <v>15.499107142857143</v>
      </c>
    </row>
    <row r="5" spans="1:12" x14ac:dyDescent="0.25">
      <c r="A5">
        <v>1738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1738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1738</v>
      </c>
      <c r="B7" t="s">
        <v>107</v>
      </c>
      <c r="C7" t="s">
        <v>56</v>
      </c>
      <c r="D7" t="s">
        <v>33</v>
      </c>
      <c r="H7">
        <v>295</v>
      </c>
      <c r="J7">
        <f t="shared" si="0"/>
        <v>295</v>
      </c>
      <c r="L7">
        <f t="shared" si="1"/>
        <v>0.13169642857142858</v>
      </c>
    </row>
    <row r="8" spans="1:12" x14ac:dyDescent="0.25">
      <c r="A8">
        <v>1738</v>
      </c>
      <c r="B8" t="s">
        <v>92</v>
      </c>
      <c r="C8" t="s">
        <v>56</v>
      </c>
      <c r="D8" t="s">
        <v>33</v>
      </c>
      <c r="H8">
        <v>1649</v>
      </c>
      <c r="J8">
        <f t="shared" si="0"/>
        <v>1649</v>
      </c>
      <c r="L8">
        <f t="shared" si="1"/>
        <v>0.73616071428571428</v>
      </c>
    </row>
    <row r="9" spans="1:12" x14ac:dyDescent="0.25">
      <c r="A9">
        <v>1738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1738</v>
      </c>
      <c r="B10" t="s">
        <v>5</v>
      </c>
      <c r="C10" t="s">
        <v>56</v>
      </c>
      <c r="D10" t="s">
        <v>33</v>
      </c>
      <c r="F10">
        <v>53</v>
      </c>
      <c r="G10">
        <v>2</v>
      </c>
      <c r="H10">
        <v>21</v>
      </c>
      <c r="J10">
        <f t="shared" si="0"/>
        <v>6013</v>
      </c>
      <c r="L10">
        <f t="shared" si="1"/>
        <v>2.6843750000000002</v>
      </c>
    </row>
    <row r="11" spans="1:12" x14ac:dyDescent="0.25">
      <c r="A11">
        <v>1738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1738</v>
      </c>
      <c r="B12" t="s">
        <v>6</v>
      </c>
      <c r="C12" t="s">
        <v>56</v>
      </c>
      <c r="D12" t="s">
        <v>33</v>
      </c>
      <c r="F12">
        <v>94153</v>
      </c>
      <c r="G12">
        <v>1</v>
      </c>
      <c r="H12">
        <v>2</v>
      </c>
      <c r="J12">
        <f t="shared" si="0"/>
        <v>10545166</v>
      </c>
      <c r="L12">
        <f t="shared" si="1"/>
        <v>4707.6633928571428</v>
      </c>
    </row>
    <row r="13" spans="1:12" x14ac:dyDescent="0.25">
      <c r="A13">
        <v>1738</v>
      </c>
      <c r="B13" t="s">
        <v>60</v>
      </c>
      <c r="C13" t="s">
        <v>56</v>
      </c>
      <c r="D13" t="s">
        <v>33</v>
      </c>
      <c r="H13">
        <v>1396</v>
      </c>
      <c r="J13">
        <f t="shared" si="0"/>
        <v>1396</v>
      </c>
      <c r="L13">
        <f t="shared" si="1"/>
        <v>0.62321428571428572</v>
      </c>
    </row>
    <row r="14" spans="1:12" x14ac:dyDescent="0.25">
      <c r="A14">
        <v>1738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1738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1738</v>
      </c>
      <c r="B16" t="s">
        <v>8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77</v>
      </c>
      <c r="C18" t="s">
        <v>56</v>
      </c>
      <c r="D18" t="s">
        <v>33</v>
      </c>
      <c r="F18">
        <v>21</v>
      </c>
      <c r="G18">
        <v>3</v>
      </c>
      <c r="H18">
        <v>8</v>
      </c>
      <c r="J18">
        <f t="shared" si="0"/>
        <v>2444</v>
      </c>
      <c r="L18">
        <f t="shared" si="1"/>
        <v>1.0910714285714285</v>
      </c>
    </row>
    <row r="19" spans="1:12" x14ac:dyDescent="0.25">
      <c r="A19">
        <v>1738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1738</v>
      </c>
      <c r="B20" t="s">
        <v>9</v>
      </c>
      <c r="C20" t="s">
        <v>56</v>
      </c>
      <c r="D20" t="s">
        <v>33</v>
      </c>
      <c r="H20">
        <f>254*200+91</f>
        <v>50891</v>
      </c>
      <c r="I20" t="s">
        <v>115</v>
      </c>
      <c r="J20">
        <f t="shared" si="0"/>
        <v>50891</v>
      </c>
      <c r="L20">
        <f t="shared" si="1"/>
        <v>22.719196428571429</v>
      </c>
    </row>
    <row r="21" spans="1:12" x14ac:dyDescent="0.25">
      <c r="A21">
        <v>1738</v>
      </c>
      <c r="B21" t="s">
        <v>10</v>
      </c>
      <c r="C21" t="s">
        <v>56</v>
      </c>
      <c r="D21" t="s">
        <v>33</v>
      </c>
      <c r="F21">
        <v>3165</v>
      </c>
      <c r="G21">
        <v>2</v>
      </c>
      <c r="H21">
        <v>5</v>
      </c>
      <c r="J21">
        <f t="shared" si="0"/>
        <v>354541</v>
      </c>
      <c r="L21">
        <f t="shared" si="1"/>
        <v>158.27723214285714</v>
      </c>
    </row>
    <row r="22" spans="1:12" x14ac:dyDescent="0.25">
      <c r="A22">
        <v>1738</v>
      </c>
      <c r="B22" t="s">
        <v>11</v>
      </c>
      <c r="C22" t="s">
        <v>56</v>
      </c>
      <c r="D22" t="s">
        <v>33</v>
      </c>
      <c r="F22">
        <v>1442</v>
      </c>
      <c r="G22">
        <v>2</v>
      </c>
      <c r="H22">
        <v>9</v>
      </c>
      <c r="J22">
        <f t="shared" si="0"/>
        <v>161569</v>
      </c>
      <c r="L22">
        <f t="shared" si="1"/>
        <v>72.129017857142856</v>
      </c>
    </row>
    <row r="23" spans="1:12" x14ac:dyDescent="0.25">
      <c r="A23">
        <v>1738</v>
      </c>
      <c r="B23" t="s">
        <v>39</v>
      </c>
      <c r="C23" t="s">
        <v>56</v>
      </c>
      <c r="D23" t="s">
        <v>33</v>
      </c>
      <c r="H23">
        <v>776</v>
      </c>
      <c r="J23">
        <f t="shared" si="0"/>
        <v>776</v>
      </c>
      <c r="L23">
        <f t="shared" si="1"/>
        <v>0.34642857142857142</v>
      </c>
    </row>
    <row r="24" spans="1:12" x14ac:dyDescent="0.25">
      <c r="A24">
        <v>1738</v>
      </c>
      <c r="B24" t="s">
        <v>79</v>
      </c>
      <c r="C24" t="s">
        <v>56</v>
      </c>
      <c r="D24" t="s">
        <v>33</v>
      </c>
      <c r="H24">
        <v>724</v>
      </c>
      <c r="J24">
        <f t="shared" si="0"/>
        <v>724</v>
      </c>
      <c r="L24">
        <f t="shared" si="1"/>
        <v>0.32321428571428573</v>
      </c>
    </row>
    <row r="25" spans="1:12" x14ac:dyDescent="0.25">
      <c r="A25">
        <v>1738</v>
      </c>
      <c r="B25" t="s">
        <v>102</v>
      </c>
      <c r="C25" t="s">
        <v>56</v>
      </c>
      <c r="D25" t="s">
        <v>33</v>
      </c>
      <c r="F25">
        <v>8</v>
      </c>
      <c r="J25">
        <f t="shared" si="0"/>
        <v>896</v>
      </c>
      <c r="L25">
        <f t="shared" si="1"/>
        <v>0.4</v>
      </c>
    </row>
    <row r="26" spans="1:12" x14ac:dyDescent="0.25">
      <c r="A26">
        <v>1738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1738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1738</v>
      </c>
      <c r="B29" t="s">
        <v>13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14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1738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1738</v>
      </c>
      <c r="B32" t="s">
        <v>27</v>
      </c>
      <c r="C32" t="s">
        <v>56</v>
      </c>
      <c r="D32" t="s">
        <v>33</v>
      </c>
      <c r="I32" t="s">
        <v>114</v>
      </c>
      <c r="J32">
        <f t="shared" si="0"/>
        <v>0</v>
      </c>
      <c r="L32">
        <f t="shared" si="1"/>
        <v>0</v>
      </c>
    </row>
    <row r="33" spans="1:12" x14ac:dyDescent="0.25">
      <c r="A33">
        <v>1738</v>
      </c>
      <c r="B33" t="s">
        <v>15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1738</v>
      </c>
      <c r="B35" t="s">
        <v>47</v>
      </c>
      <c r="C35" t="s">
        <v>56</v>
      </c>
      <c r="D35" t="s">
        <v>33</v>
      </c>
      <c r="H35">
        <v>645</v>
      </c>
      <c r="I35" t="s">
        <v>112</v>
      </c>
      <c r="J35">
        <f t="shared" si="0"/>
        <v>645</v>
      </c>
      <c r="L35">
        <f t="shared" si="1"/>
        <v>0.28794642857142855</v>
      </c>
    </row>
    <row r="36" spans="1:12" x14ac:dyDescent="0.25">
      <c r="A36">
        <v>1738</v>
      </c>
      <c r="B36" t="s">
        <v>16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1738</v>
      </c>
      <c r="B37" t="s">
        <v>17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1738</v>
      </c>
      <c r="B38" t="s">
        <v>18</v>
      </c>
      <c r="C38" t="s">
        <v>56</v>
      </c>
      <c r="D38" t="s">
        <v>33</v>
      </c>
      <c r="H38">
        <v>65594.5</v>
      </c>
      <c r="I38" t="s">
        <v>113</v>
      </c>
      <c r="J38">
        <f t="shared" si="0"/>
        <v>65594.5</v>
      </c>
      <c r="L38">
        <f t="shared" si="1"/>
        <v>29.283258928571428</v>
      </c>
    </row>
    <row r="39" spans="1:12" x14ac:dyDescent="0.25">
      <c r="A39">
        <v>1738</v>
      </c>
      <c r="B39" t="s">
        <v>26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1738</v>
      </c>
      <c r="B40" t="s">
        <v>19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45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1738</v>
      </c>
      <c r="B42" t="s">
        <v>54</v>
      </c>
      <c r="C42" t="s">
        <v>56</v>
      </c>
      <c r="D42" t="s">
        <v>33</v>
      </c>
      <c r="H42">
        <v>1923</v>
      </c>
      <c r="J42">
        <f t="shared" si="0"/>
        <v>1923</v>
      </c>
      <c r="L42">
        <f t="shared" si="1"/>
        <v>0.85848214285714286</v>
      </c>
    </row>
    <row r="43" spans="1:12" x14ac:dyDescent="0.25">
      <c r="A43">
        <v>1738</v>
      </c>
      <c r="B43" t="s">
        <v>95</v>
      </c>
      <c r="C43" t="s">
        <v>56</v>
      </c>
      <c r="D43" t="s">
        <v>33</v>
      </c>
      <c r="H43">
        <v>1895</v>
      </c>
      <c r="J43">
        <f t="shared" si="0"/>
        <v>1895</v>
      </c>
      <c r="L43">
        <f t="shared" si="1"/>
        <v>0.8459821428571429</v>
      </c>
    </row>
    <row r="44" spans="1:12" x14ac:dyDescent="0.25">
      <c r="A44">
        <v>1738</v>
      </c>
      <c r="B44" t="s">
        <v>20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1738</v>
      </c>
      <c r="B45" t="s">
        <v>21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1738</v>
      </c>
      <c r="B46" t="s">
        <v>22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61</v>
      </c>
      <c r="C47" t="s">
        <v>56</v>
      </c>
      <c r="D47" t="s">
        <v>33</v>
      </c>
      <c r="E47">
        <v>6</v>
      </c>
      <c r="J47">
        <f t="shared" si="0"/>
        <v>13440</v>
      </c>
      <c r="L47">
        <f t="shared" si="1"/>
        <v>6</v>
      </c>
    </row>
    <row r="48" spans="1:12" x14ac:dyDescent="0.25">
      <c r="A48">
        <v>1738</v>
      </c>
      <c r="B48" t="s">
        <v>62</v>
      </c>
      <c r="C48" t="s">
        <v>56</v>
      </c>
      <c r="D48" t="s">
        <v>33</v>
      </c>
      <c r="E48">
        <v>65</v>
      </c>
      <c r="F48">
        <v>6</v>
      </c>
      <c r="J48">
        <f t="shared" si="0"/>
        <v>146272</v>
      </c>
      <c r="L48">
        <f t="shared" si="1"/>
        <v>65.3</v>
      </c>
    </row>
    <row r="49" spans="1:12" x14ac:dyDescent="0.25">
      <c r="A49">
        <v>1738</v>
      </c>
      <c r="B49" t="s">
        <v>63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70</v>
      </c>
      <c r="C50" t="s">
        <v>56</v>
      </c>
      <c r="D50" t="s">
        <v>33</v>
      </c>
      <c r="E50">
        <v>25</v>
      </c>
      <c r="F50">
        <v>15</v>
      </c>
      <c r="J50">
        <f t="shared" si="0"/>
        <v>57680</v>
      </c>
      <c r="L50">
        <f t="shared" si="1"/>
        <v>25.75</v>
      </c>
    </row>
    <row r="51" spans="1:12" x14ac:dyDescent="0.25">
      <c r="A51">
        <v>1738</v>
      </c>
      <c r="B51" t="s">
        <v>64</v>
      </c>
      <c r="C51" t="s">
        <v>56</v>
      </c>
      <c r="D51" t="s">
        <v>33</v>
      </c>
      <c r="E51">
        <v>16</v>
      </c>
      <c r="J51">
        <f t="shared" si="0"/>
        <v>35840</v>
      </c>
      <c r="L51">
        <f t="shared" si="1"/>
        <v>16</v>
      </c>
    </row>
    <row r="52" spans="1:12" x14ac:dyDescent="0.25">
      <c r="A52">
        <v>1738</v>
      </c>
      <c r="B52" t="s">
        <v>65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1738</v>
      </c>
      <c r="B53" t="s">
        <v>55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1738</v>
      </c>
      <c r="B54" t="s">
        <v>57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1738</v>
      </c>
      <c r="B55" t="s">
        <v>36</v>
      </c>
      <c r="C55" t="s">
        <v>56</v>
      </c>
      <c r="D55" t="s">
        <v>35</v>
      </c>
      <c r="H55">
        <v>36</v>
      </c>
      <c r="J55">
        <f t="shared" si="0"/>
        <v>36</v>
      </c>
      <c r="L55">
        <f t="shared" si="1"/>
        <v>1.607142857142857E-2</v>
      </c>
    </row>
    <row r="56" spans="1:12" x14ac:dyDescent="0.25">
      <c r="A56">
        <v>1738</v>
      </c>
      <c r="B56" t="s">
        <v>4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1738</v>
      </c>
      <c r="B57" t="s">
        <v>58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1738</v>
      </c>
      <c r="B58" t="s">
        <v>92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43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1738</v>
      </c>
      <c r="B60" t="s">
        <v>5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59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1738</v>
      </c>
      <c r="B62" t="s">
        <v>6</v>
      </c>
      <c r="C62" t="s">
        <v>56</v>
      </c>
      <c r="D62" t="s">
        <v>35</v>
      </c>
      <c r="F62">
        <v>29745</v>
      </c>
      <c r="G62">
        <v>3</v>
      </c>
      <c r="H62">
        <v>24</v>
      </c>
      <c r="J62">
        <f t="shared" si="0"/>
        <v>3331548</v>
      </c>
      <c r="L62">
        <f t="shared" si="1"/>
        <v>1487.2982142857143</v>
      </c>
    </row>
    <row r="63" spans="1:12" x14ac:dyDescent="0.25">
      <c r="A63">
        <v>1738</v>
      </c>
      <c r="B63" t="s">
        <v>60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1738</v>
      </c>
      <c r="B64" t="s">
        <v>38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1738</v>
      </c>
      <c r="B65" t="s">
        <v>37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40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9</v>
      </c>
      <c r="C68" t="s">
        <v>56</v>
      </c>
      <c r="D68" t="s">
        <v>35</v>
      </c>
      <c r="H68">
        <f>1047*200+141</f>
        <v>209541</v>
      </c>
      <c r="I68" t="s">
        <v>152</v>
      </c>
      <c r="J68">
        <f t="shared" si="0"/>
        <v>209541</v>
      </c>
      <c r="L68">
        <f t="shared" si="1"/>
        <v>93.545089285714283</v>
      </c>
    </row>
    <row r="69" spans="1:12" x14ac:dyDescent="0.25">
      <c r="A69">
        <v>1738</v>
      </c>
      <c r="B69" t="s">
        <v>10</v>
      </c>
      <c r="C69" t="s">
        <v>56</v>
      </c>
      <c r="D69" t="s">
        <v>35</v>
      </c>
      <c r="F69">
        <v>280</v>
      </c>
      <c r="H69">
        <v>10</v>
      </c>
      <c r="J69">
        <f t="shared" si="0"/>
        <v>31370</v>
      </c>
      <c r="L69">
        <f t="shared" si="1"/>
        <v>14.004464285714286</v>
      </c>
    </row>
    <row r="70" spans="1:12" x14ac:dyDescent="0.25">
      <c r="A70">
        <v>1738</v>
      </c>
      <c r="B70" t="s">
        <v>11</v>
      </c>
      <c r="C70" t="s">
        <v>56</v>
      </c>
      <c r="D70" t="s">
        <v>35</v>
      </c>
      <c r="F70">
        <v>88</v>
      </c>
      <c r="H70">
        <v>10</v>
      </c>
      <c r="J70">
        <f t="shared" ref="J70:J103" si="2">(E70*2240)+(F70*112)+(G70*28)+H70</f>
        <v>9866</v>
      </c>
      <c r="L70">
        <f t="shared" ref="L70:L103" si="3">J70/2240</f>
        <v>4.4044642857142859</v>
      </c>
    </row>
    <row r="71" spans="1:12" x14ac:dyDescent="0.25">
      <c r="A71">
        <v>1738</v>
      </c>
      <c r="B71" t="s">
        <v>39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1738</v>
      </c>
      <c r="B72" t="s">
        <v>79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1738</v>
      </c>
      <c r="B73" t="s">
        <v>44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12</v>
      </c>
      <c r="C74" t="s">
        <v>56</v>
      </c>
      <c r="D74" t="s">
        <v>35</v>
      </c>
      <c r="H74">
        <v>300</v>
      </c>
      <c r="J74">
        <f t="shared" si="2"/>
        <v>300</v>
      </c>
      <c r="L74">
        <f t="shared" si="3"/>
        <v>0.13392857142857142</v>
      </c>
    </row>
    <row r="75" spans="1:12" x14ac:dyDescent="0.25">
      <c r="A75">
        <v>1738</v>
      </c>
      <c r="B75" t="s">
        <v>34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1738</v>
      </c>
      <c r="B76" t="s">
        <v>13</v>
      </c>
      <c r="C76" t="s">
        <v>56</v>
      </c>
      <c r="D76" t="s">
        <v>35</v>
      </c>
      <c r="E76">
        <v>2</v>
      </c>
      <c r="J76">
        <f t="shared" si="2"/>
        <v>4480</v>
      </c>
      <c r="L76">
        <f t="shared" si="3"/>
        <v>2</v>
      </c>
    </row>
    <row r="77" spans="1:12" x14ac:dyDescent="0.25">
      <c r="A77">
        <v>1738</v>
      </c>
      <c r="B77" t="s">
        <v>14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23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27</v>
      </c>
      <c r="C79" t="s">
        <v>56</v>
      </c>
      <c r="D79" t="s">
        <v>35</v>
      </c>
      <c r="H79">
        <v>22426</v>
      </c>
      <c r="I79" t="s">
        <v>151</v>
      </c>
      <c r="J79">
        <f t="shared" si="2"/>
        <v>22426</v>
      </c>
      <c r="L79">
        <f t="shared" si="3"/>
        <v>10.011607142857143</v>
      </c>
    </row>
    <row r="80" spans="1:12" x14ac:dyDescent="0.25">
      <c r="A80">
        <v>1738</v>
      </c>
      <c r="B80" t="s">
        <v>15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93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42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148</v>
      </c>
      <c r="C83" t="s">
        <v>56</v>
      </c>
      <c r="D83" t="s">
        <v>35</v>
      </c>
      <c r="F83">
        <v>5</v>
      </c>
      <c r="J83">
        <f t="shared" si="2"/>
        <v>560</v>
      </c>
      <c r="L83">
        <f t="shared" si="3"/>
        <v>0.25</v>
      </c>
    </row>
    <row r="84" spans="1:12" x14ac:dyDescent="0.25">
      <c r="A84">
        <v>1738</v>
      </c>
      <c r="B84" t="s">
        <v>47</v>
      </c>
      <c r="C84" t="s">
        <v>56</v>
      </c>
      <c r="D84" t="s">
        <v>35</v>
      </c>
      <c r="H84">
        <v>50</v>
      </c>
      <c r="I84" t="s">
        <v>149</v>
      </c>
      <c r="J84">
        <f t="shared" si="2"/>
        <v>50</v>
      </c>
      <c r="L84">
        <f t="shared" si="3"/>
        <v>2.2321428571428572E-2</v>
      </c>
    </row>
    <row r="85" spans="1:12" x14ac:dyDescent="0.25">
      <c r="A85">
        <v>1738</v>
      </c>
      <c r="B85" t="s">
        <v>16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1738</v>
      </c>
      <c r="B86" t="s">
        <v>106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1738</v>
      </c>
      <c r="B87" t="s">
        <v>17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18</v>
      </c>
      <c r="C88" t="s">
        <v>56</v>
      </c>
      <c r="D88" t="s">
        <v>35</v>
      </c>
      <c r="H88">
        <v>83441.5</v>
      </c>
      <c r="I88" t="s">
        <v>150</v>
      </c>
      <c r="J88">
        <f t="shared" si="2"/>
        <v>83441.5</v>
      </c>
      <c r="L88">
        <f t="shared" si="3"/>
        <v>37.25066964285714</v>
      </c>
    </row>
    <row r="89" spans="1:12" x14ac:dyDescent="0.25">
      <c r="A89">
        <v>1738</v>
      </c>
      <c r="B89" t="s">
        <v>26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19</v>
      </c>
      <c r="C90" t="s">
        <v>56</v>
      </c>
      <c r="D90" t="s">
        <v>35</v>
      </c>
      <c r="F90">
        <v>3</v>
      </c>
      <c r="G90">
        <v>2</v>
      </c>
      <c r="H90">
        <v>12</v>
      </c>
      <c r="J90">
        <f t="shared" si="2"/>
        <v>404</v>
      </c>
      <c r="L90">
        <f t="shared" si="3"/>
        <v>0.18035714285714285</v>
      </c>
    </row>
    <row r="91" spans="1:12" x14ac:dyDescent="0.25">
      <c r="A91">
        <v>1738</v>
      </c>
      <c r="B91" t="s">
        <v>45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54</v>
      </c>
      <c r="C92" t="s">
        <v>56</v>
      </c>
      <c r="D92" t="s">
        <v>35</v>
      </c>
      <c r="H92">
        <v>74</v>
      </c>
      <c r="J92">
        <f t="shared" si="2"/>
        <v>74</v>
      </c>
      <c r="L92">
        <f t="shared" si="3"/>
        <v>3.3035714285714286E-2</v>
      </c>
    </row>
    <row r="93" spans="1:12" x14ac:dyDescent="0.25">
      <c r="A93">
        <v>1738</v>
      </c>
      <c r="B93" t="s">
        <v>95</v>
      </c>
      <c r="C93" t="s">
        <v>56</v>
      </c>
      <c r="D93" t="s">
        <v>35</v>
      </c>
      <c r="H93">
        <v>14</v>
      </c>
      <c r="J93">
        <f t="shared" si="2"/>
        <v>14</v>
      </c>
      <c r="L93">
        <f t="shared" si="3"/>
        <v>6.2500000000000003E-3</v>
      </c>
    </row>
    <row r="94" spans="1:12" x14ac:dyDescent="0.25">
      <c r="A94">
        <v>1738</v>
      </c>
      <c r="B94" t="s">
        <v>20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21</v>
      </c>
      <c r="C95" t="s">
        <v>56</v>
      </c>
      <c r="D95" t="s">
        <v>35</v>
      </c>
      <c r="H95">
        <v>15</v>
      </c>
      <c r="J95">
        <f t="shared" si="2"/>
        <v>15</v>
      </c>
      <c r="L95">
        <f t="shared" si="3"/>
        <v>6.6964285714285711E-3</v>
      </c>
    </row>
    <row r="96" spans="1:12" x14ac:dyDescent="0.25">
      <c r="A96">
        <v>1738</v>
      </c>
      <c r="B96" t="s">
        <v>22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1738</v>
      </c>
      <c r="B97" t="s">
        <v>61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62</v>
      </c>
      <c r="C98" t="s">
        <v>56</v>
      </c>
      <c r="D98" t="s">
        <v>35</v>
      </c>
      <c r="E98">
        <v>25</v>
      </c>
      <c r="F98">
        <v>16</v>
      </c>
      <c r="J98">
        <f t="shared" si="2"/>
        <v>57792</v>
      </c>
      <c r="L98">
        <f t="shared" si="3"/>
        <v>25.8</v>
      </c>
    </row>
    <row r="99" spans="1:12" x14ac:dyDescent="0.25">
      <c r="A99">
        <v>1738</v>
      </c>
      <c r="B99" t="s">
        <v>63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1738</v>
      </c>
      <c r="B100" t="s">
        <v>89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70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64</v>
      </c>
      <c r="C102" t="s">
        <v>56</v>
      </c>
      <c r="D102" t="s">
        <v>35</v>
      </c>
      <c r="E102">
        <v>26</v>
      </c>
      <c r="F102">
        <v>2</v>
      </c>
      <c r="G102">
        <v>3</v>
      </c>
      <c r="H102">
        <v>12</v>
      </c>
      <c r="J102">
        <f t="shared" si="2"/>
        <v>58560</v>
      </c>
      <c r="L102">
        <f t="shared" si="3"/>
        <v>26.142857142857142</v>
      </c>
    </row>
    <row r="103" spans="1:12" x14ac:dyDescent="0.25">
      <c r="A103">
        <v>1738</v>
      </c>
      <c r="B103" t="s">
        <v>65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</sheetData>
  <autoFilter ref="A1:N56" xr:uid="{AAD1F908-12B8-4B3A-A65D-184CD229ACD4}">
    <sortState xmlns:xlrd2="http://schemas.microsoft.com/office/spreadsheetml/2017/richdata2" ref="A2:N56">
      <sortCondition ref="B1:B5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E19" sqref="E1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1738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1738</v>
      </c>
      <c r="B3" t="s">
        <v>6</v>
      </c>
      <c r="C3" t="s">
        <v>67</v>
      </c>
      <c r="D3" t="s">
        <v>33</v>
      </c>
      <c r="E3" s="1"/>
      <c r="F3">
        <v>112</v>
      </c>
      <c r="G3">
        <v>3</v>
      </c>
      <c r="I3" s="1"/>
      <c r="J3">
        <f t="shared" si="0"/>
        <v>12628</v>
      </c>
      <c r="K3" s="1"/>
      <c r="L3">
        <f t="shared" si="1"/>
        <v>5.6375000000000002</v>
      </c>
    </row>
    <row r="4" spans="1:12" x14ac:dyDescent="0.25">
      <c r="A4">
        <v>1738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1738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1738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1738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1738</v>
      </c>
      <c r="B8" t="s">
        <v>27</v>
      </c>
      <c r="C8" t="s">
        <v>67</v>
      </c>
      <c r="D8" t="s">
        <v>33</v>
      </c>
      <c r="H8">
        <v>350</v>
      </c>
      <c r="I8" t="s">
        <v>116</v>
      </c>
      <c r="J8">
        <f t="shared" si="0"/>
        <v>350</v>
      </c>
      <c r="K8" s="1"/>
      <c r="L8">
        <f t="shared" si="1"/>
        <v>0.15625</v>
      </c>
    </row>
    <row r="9" spans="1:12" x14ac:dyDescent="0.25">
      <c r="A9">
        <v>1738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1738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1738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1738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1738</v>
      </c>
      <c r="B13" t="s">
        <v>54</v>
      </c>
      <c r="C13" t="s">
        <v>67</v>
      </c>
      <c r="D13" t="s">
        <v>33</v>
      </c>
      <c r="H13">
        <v>20</v>
      </c>
      <c r="J13">
        <f t="shared" si="0"/>
        <v>20</v>
      </c>
      <c r="L13">
        <f t="shared" si="1"/>
        <v>8.9285714285714281E-3</v>
      </c>
    </row>
    <row r="14" spans="1:12" x14ac:dyDescent="0.25">
      <c r="A14">
        <v>1738</v>
      </c>
      <c r="B14" t="s">
        <v>21</v>
      </c>
      <c r="C14" t="s">
        <v>67</v>
      </c>
      <c r="D14" t="s">
        <v>33</v>
      </c>
      <c r="H14">
        <v>54</v>
      </c>
      <c r="J14">
        <f t="shared" si="0"/>
        <v>54</v>
      </c>
      <c r="L14">
        <f t="shared" si="1"/>
        <v>2.4107142857142858E-2</v>
      </c>
    </row>
    <row r="15" spans="1:12" x14ac:dyDescent="0.25">
      <c r="A15">
        <v>1738</v>
      </c>
      <c r="B15" t="s">
        <v>90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1738</v>
      </c>
      <c r="B16" t="s">
        <v>61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62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63</v>
      </c>
      <c r="C18" t="s">
        <v>67</v>
      </c>
      <c r="D18" t="s">
        <v>33</v>
      </c>
      <c r="E18">
        <v>116</v>
      </c>
      <c r="J18">
        <f t="shared" si="0"/>
        <v>259840</v>
      </c>
      <c r="L18">
        <f t="shared" si="1"/>
        <v>116</v>
      </c>
    </row>
    <row r="19" spans="1:12" x14ac:dyDescent="0.25">
      <c r="A19">
        <v>1738</v>
      </c>
      <c r="B19" t="s">
        <v>6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1738</v>
      </c>
      <c r="B20" t="s">
        <v>12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41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27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1738</v>
      </c>
      <c r="B23" t="s">
        <v>17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1738</v>
      </c>
      <c r="B24" t="s">
        <v>19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1738</v>
      </c>
      <c r="B25" t="s">
        <v>54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1738</v>
      </c>
      <c r="B26" t="s">
        <v>9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8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1738</v>
      </c>
      <c r="B28" t="s">
        <v>61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1738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5"/>
  <sheetViews>
    <sheetView topLeftCell="A116" zoomScaleNormal="100" workbookViewId="0">
      <selection activeCell="H114" sqref="H11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1738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1738</v>
      </c>
      <c r="B3" t="s">
        <v>57</v>
      </c>
      <c r="C3" t="s">
        <v>68</v>
      </c>
      <c r="D3" t="s">
        <v>33</v>
      </c>
      <c r="J3">
        <f t="shared" ref="J3:J73" si="0">(E3*2240)+(F3*112)+(G3*28)+H3</f>
        <v>0</v>
      </c>
      <c r="L3">
        <f t="shared" ref="L3:L73" si="1">J3/2240</f>
        <v>0</v>
      </c>
    </row>
    <row r="4" spans="1:12" x14ac:dyDescent="0.25">
      <c r="A4">
        <v>1738</v>
      </c>
      <c r="B4" t="s">
        <v>36</v>
      </c>
      <c r="C4" t="s">
        <v>68</v>
      </c>
      <c r="D4" t="s">
        <v>33</v>
      </c>
      <c r="H4">
        <v>300</v>
      </c>
      <c r="J4">
        <f t="shared" si="0"/>
        <v>300</v>
      </c>
      <c r="L4">
        <f t="shared" si="1"/>
        <v>0.13392857142857142</v>
      </c>
    </row>
    <row r="5" spans="1:12" x14ac:dyDescent="0.25">
      <c r="A5">
        <v>1738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1738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1738</v>
      </c>
      <c r="B7" t="s">
        <v>117</v>
      </c>
      <c r="C7" t="s">
        <v>68</v>
      </c>
      <c r="D7" t="s">
        <v>33</v>
      </c>
      <c r="F7">
        <v>4</v>
      </c>
      <c r="J7">
        <f t="shared" si="0"/>
        <v>448</v>
      </c>
      <c r="L7">
        <f t="shared" si="1"/>
        <v>0.2</v>
      </c>
    </row>
    <row r="8" spans="1:12" x14ac:dyDescent="0.25">
      <c r="A8">
        <v>1738</v>
      </c>
      <c r="B8" t="s">
        <v>69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1738</v>
      </c>
      <c r="B9" t="s">
        <v>118</v>
      </c>
      <c r="C9" t="s">
        <v>68</v>
      </c>
      <c r="D9" t="s">
        <v>33</v>
      </c>
      <c r="H9">
        <v>536</v>
      </c>
      <c r="J9">
        <f t="shared" si="0"/>
        <v>536</v>
      </c>
      <c r="L9">
        <f t="shared" si="1"/>
        <v>0.2392857142857143</v>
      </c>
    </row>
    <row r="10" spans="1:12" x14ac:dyDescent="0.25">
      <c r="A10">
        <v>1738</v>
      </c>
      <c r="B10" t="s">
        <v>101</v>
      </c>
      <c r="C10" t="s">
        <v>68</v>
      </c>
      <c r="D10" t="s">
        <v>33</v>
      </c>
      <c r="H10">
        <v>21</v>
      </c>
      <c r="J10">
        <f t="shared" si="0"/>
        <v>21</v>
      </c>
      <c r="L10">
        <f t="shared" si="1"/>
        <v>9.3749999999999997E-3</v>
      </c>
    </row>
    <row r="11" spans="1:12" x14ac:dyDescent="0.25">
      <c r="A11">
        <v>1738</v>
      </c>
      <c r="B11" t="s">
        <v>119</v>
      </c>
      <c r="C11" t="s">
        <v>68</v>
      </c>
      <c r="D11" t="s">
        <v>33</v>
      </c>
      <c r="H11">
        <v>407</v>
      </c>
      <c r="J11">
        <f t="shared" si="0"/>
        <v>407</v>
      </c>
      <c r="L11">
        <f t="shared" si="1"/>
        <v>0.18169642857142856</v>
      </c>
    </row>
    <row r="12" spans="1:12" x14ac:dyDescent="0.25">
      <c r="A12">
        <v>1738</v>
      </c>
      <c r="B12" t="s">
        <v>43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1738</v>
      </c>
      <c r="B13" t="s">
        <v>76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1738</v>
      </c>
      <c r="B14" t="s">
        <v>5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1738</v>
      </c>
      <c r="B15" t="s">
        <v>59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1738</v>
      </c>
      <c r="B16" t="s">
        <v>6</v>
      </c>
      <c r="C16" t="s">
        <v>68</v>
      </c>
      <c r="D16" t="s">
        <v>33</v>
      </c>
      <c r="F16">
        <v>218968</v>
      </c>
      <c r="G16">
        <v>2</v>
      </c>
      <c r="H16">
        <v>18</v>
      </c>
      <c r="J16">
        <f t="shared" si="0"/>
        <v>24524490</v>
      </c>
      <c r="L16">
        <f t="shared" si="1"/>
        <v>10948.433035714286</v>
      </c>
    </row>
    <row r="17" spans="1:12" x14ac:dyDescent="0.25">
      <c r="A17">
        <v>1738</v>
      </c>
      <c r="B17" t="s">
        <v>96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60</v>
      </c>
      <c r="C18" t="s">
        <v>68</v>
      </c>
      <c r="D18" t="s">
        <v>33</v>
      </c>
      <c r="H18">
        <v>168</v>
      </c>
      <c r="J18">
        <f t="shared" si="0"/>
        <v>168</v>
      </c>
      <c r="L18">
        <f t="shared" si="1"/>
        <v>7.4999999999999997E-2</v>
      </c>
    </row>
    <row r="19" spans="1:12" x14ac:dyDescent="0.25">
      <c r="A19">
        <v>1738</v>
      </c>
      <c r="B19" t="s">
        <v>7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1738</v>
      </c>
      <c r="B20" t="s">
        <v>37</v>
      </c>
      <c r="C20" t="s">
        <v>68</v>
      </c>
      <c r="D20" t="s">
        <v>33</v>
      </c>
      <c r="H20">
        <v>200</v>
      </c>
      <c r="J20">
        <f t="shared" si="0"/>
        <v>200</v>
      </c>
      <c r="L20">
        <f t="shared" si="1"/>
        <v>8.9285714285714288E-2</v>
      </c>
    </row>
    <row r="21" spans="1:12" x14ac:dyDescent="0.25">
      <c r="A21">
        <v>1738</v>
      </c>
      <c r="B21" t="s">
        <v>8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40</v>
      </c>
      <c r="C22" t="s">
        <v>68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1738</v>
      </c>
      <c r="B23" t="s">
        <v>77</v>
      </c>
      <c r="C23" t="s">
        <v>68</v>
      </c>
      <c r="D23" t="s">
        <v>33</v>
      </c>
      <c r="F23">
        <v>2247</v>
      </c>
      <c r="G23">
        <v>3</v>
      </c>
      <c r="H23">
        <v>9</v>
      </c>
      <c r="J23">
        <f t="shared" si="0"/>
        <v>251757</v>
      </c>
      <c r="L23">
        <f t="shared" si="1"/>
        <v>112.39151785714286</v>
      </c>
    </row>
    <row r="24" spans="1:12" x14ac:dyDescent="0.25">
      <c r="A24">
        <v>1738</v>
      </c>
      <c r="B24" t="s">
        <v>78</v>
      </c>
      <c r="C24" t="s">
        <v>68</v>
      </c>
      <c r="D24" t="s">
        <v>33</v>
      </c>
      <c r="H24">
        <v>158918</v>
      </c>
      <c r="J24">
        <f t="shared" si="0"/>
        <v>158918</v>
      </c>
      <c r="L24">
        <f t="shared" si="1"/>
        <v>70.945535714285711</v>
      </c>
    </row>
    <row r="25" spans="1:12" x14ac:dyDescent="0.25">
      <c r="A25">
        <v>1738</v>
      </c>
      <c r="B25" t="s">
        <v>46</v>
      </c>
      <c r="C25" t="s">
        <v>68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1738</v>
      </c>
      <c r="B26" t="s">
        <v>9</v>
      </c>
      <c r="C26" t="s">
        <v>68</v>
      </c>
      <c r="D26" t="s">
        <v>33</v>
      </c>
      <c r="H26">
        <f>587*200+83</f>
        <v>117483</v>
      </c>
      <c r="I26" t="s">
        <v>128</v>
      </c>
      <c r="J26">
        <f t="shared" si="0"/>
        <v>117483</v>
      </c>
      <c r="L26">
        <f t="shared" si="1"/>
        <v>52.447767857142857</v>
      </c>
    </row>
    <row r="27" spans="1:12" x14ac:dyDescent="0.25">
      <c r="A27">
        <v>1738</v>
      </c>
      <c r="B27" t="s">
        <v>10</v>
      </c>
      <c r="C27" t="s">
        <v>68</v>
      </c>
      <c r="D27" t="s">
        <v>33</v>
      </c>
      <c r="F27">
        <v>15037</v>
      </c>
      <c r="G27">
        <v>3</v>
      </c>
      <c r="H27">
        <v>27</v>
      </c>
      <c r="J27">
        <f t="shared" si="0"/>
        <v>1684255</v>
      </c>
      <c r="L27">
        <f t="shared" si="1"/>
        <v>751.89955357142856</v>
      </c>
    </row>
    <row r="28" spans="1:12" x14ac:dyDescent="0.25">
      <c r="A28">
        <v>1738</v>
      </c>
      <c r="B28" t="s">
        <v>11</v>
      </c>
      <c r="C28" t="s">
        <v>68</v>
      </c>
      <c r="D28" t="s">
        <v>33</v>
      </c>
      <c r="F28">
        <v>139</v>
      </c>
      <c r="G28">
        <v>3</v>
      </c>
      <c r="H28">
        <v>9</v>
      </c>
      <c r="J28">
        <f t="shared" si="0"/>
        <v>15661</v>
      </c>
      <c r="L28">
        <f t="shared" si="1"/>
        <v>6.9915178571428571</v>
      </c>
    </row>
    <row r="29" spans="1:12" x14ac:dyDescent="0.25">
      <c r="A29">
        <v>1738</v>
      </c>
      <c r="B29" t="s">
        <v>39</v>
      </c>
      <c r="C29" t="s">
        <v>68</v>
      </c>
      <c r="D29" t="s">
        <v>33</v>
      </c>
      <c r="H29">
        <v>135</v>
      </c>
      <c r="J29">
        <f t="shared" si="0"/>
        <v>135</v>
      </c>
      <c r="L29">
        <f t="shared" si="1"/>
        <v>6.0267857142857144E-2</v>
      </c>
    </row>
    <row r="30" spans="1:12" x14ac:dyDescent="0.25">
      <c r="A30">
        <v>1738</v>
      </c>
      <c r="B30" t="s">
        <v>79</v>
      </c>
      <c r="C30" t="s">
        <v>68</v>
      </c>
      <c r="D30" t="s">
        <v>33</v>
      </c>
      <c r="H30">
        <v>60</v>
      </c>
      <c r="J30">
        <f t="shared" si="0"/>
        <v>60</v>
      </c>
      <c r="L30">
        <f t="shared" si="1"/>
        <v>2.6785714285714284E-2</v>
      </c>
    </row>
    <row r="31" spans="1:12" x14ac:dyDescent="0.25">
      <c r="A31">
        <v>1738</v>
      </c>
      <c r="B31" t="s">
        <v>120</v>
      </c>
      <c r="C31" t="s">
        <v>68</v>
      </c>
      <c r="D31" t="s">
        <v>33</v>
      </c>
      <c r="H31">
        <v>558</v>
      </c>
      <c r="J31">
        <f t="shared" si="0"/>
        <v>558</v>
      </c>
      <c r="L31">
        <f t="shared" si="1"/>
        <v>0.24910714285714286</v>
      </c>
    </row>
    <row r="32" spans="1:12" x14ac:dyDescent="0.25">
      <c r="A32">
        <v>1738</v>
      </c>
      <c r="B32" t="s">
        <v>103</v>
      </c>
      <c r="C32" t="s">
        <v>68</v>
      </c>
      <c r="D32" t="s">
        <v>33</v>
      </c>
      <c r="H32">
        <v>4077</v>
      </c>
      <c r="J32">
        <f t="shared" si="0"/>
        <v>4077</v>
      </c>
      <c r="L32">
        <f t="shared" si="1"/>
        <v>1.8200892857142856</v>
      </c>
    </row>
    <row r="33" spans="1:12" x14ac:dyDescent="0.25">
      <c r="A33">
        <v>1738</v>
      </c>
      <c r="B33" t="s">
        <v>44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97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1738</v>
      </c>
      <c r="B35" t="s">
        <v>12</v>
      </c>
      <c r="C35" t="s">
        <v>68</v>
      </c>
      <c r="D35" t="s">
        <v>33</v>
      </c>
      <c r="H35">
        <f>1839+50955</f>
        <v>52794</v>
      </c>
      <c r="J35">
        <f t="shared" si="0"/>
        <v>52794</v>
      </c>
      <c r="L35">
        <f t="shared" si="1"/>
        <v>23.568750000000001</v>
      </c>
    </row>
    <row r="36" spans="1:12" x14ac:dyDescent="0.25">
      <c r="A36">
        <v>1738</v>
      </c>
      <c r="B36" t="s">
        <v>121</v>
      </c>
      <c r="C36" t="s">
        <v>68</v>
      </c>
      <c r="D36" t="s">
        <v>33</v>
      </c>
      <c r="H36">
        <v>115</v>
      </c>
      <c r="J36">
        <f t="shared" si="0"/>
        <v>115</v>
      </c>
      <c r="L36">
        <f t="shared" si="1"/>
        <v>5.1339285714285712E-2</v>
      </c>
    </row>
    <row r="37" spans="1:12" x14ac:dyDescent="0.25">
      <c r="A37">
        <v>1738</v>
      </c>
      <c r="B37" t="s">
        <v>34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1738</v>
      </c>
      <c r="B38" t="s">
        <v>13</v>
      </c>
      <c r="C38" t="s">
        <v>68</v>
      </c>
      <c r="D38" t="s">
        <v>33</v>
      </c>
      <c r="E38">
        <v>37</v>
      </c>
      <c r="F38">
        <v>9</v>
      </c>
      <c r="G38">
        <v>2</v>
      </c>
      <c r="H38">
        <v>4</v>
      </c>
      <c r="J38">
        <f t="shared" si="0"/>
        <v>83948</v>
      </c>
      <c r="L38">
        <f t="shared" si="1"/>
        <v>37.476785714285711</v>
      </c>
    </row>
    <row r="39" spans="1:12" x14ac:dyDescent="0.25">
      <c r="A39">
        <v>1738</v>
      </c>
      <c r="B39" t="s">
        <v>14</v>
      </c>
      <c r="C39" t="s">
        <v>68</v>
      </c>
      <c r="D39" t="s">
        <v>33</v>
      </c>
      <c r="H39">
        <v>310570</v>
      </c>
      <c r="I39" t="s">
        <v>122</v>
      </c>
      <c r="J39">
        <f t="shared" si="0"/>
        <v>310570</v>
      </c>
      <c r="L39">
        <f t="shared" si="1"/>
        <v>138.64732142857142</v>
      </c>
    </row>
    <row r="40" spans="1:12" x14ac:dyDescent="0.25">
      <c r="A40">
        <v>1738</v>
      </c>
      <c r="B40" t="s">
        <v>23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27</v>
      </c>
      <c r="C41" t="s">
        <v>68</v>
      </c>
      <c r="D41" t="s">
        <v>33</v>
      </c>
      <c r="H41">
        <v>127593</v>
      </c>
      <c r="I41" t="s">
        <v>125</v>
      </c>
      <c r="J41">
        <f t="shared" si="0"/>
        <v>127593</v>
      </c>
      <c r="L41">
        <f t="shared" si="1"/>
        <v>56.961160714285711</v>
      </c>
    </row>
    <row r="42" spans="1:12" x14ac:dyDescent="0.25">
      <c r="A42">
        <v>1738</v>
      </c>
      <c r="B42" t="s">
        <v>15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1738</v>
      </c>
      <c r="B43" t="s">
        <v>42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1738</v>
      </c>
      <c r="B44" t="s">
        <v>83</v>
      </c>
      <c r="C44" t="s">
        <v>68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1738</v>
      </c>
      <c r="B45" t="s">
        <v>47</v>
      </c>
      <c r="C45" t="s">
        <v>68</v>
      </c>
      <c r="D45" t="s">
        <v>33</v>
      </c>
      <c r="H45">
        <v>415</v>
      </c>
      <c r="I45" t="s">
        <v>123</v>
      </c>
      <c r="J45">
        <f t="shared" si="0"/>
        <v>415</v>
      </c>
      <c r="L45">
        <f t="shared" si="1"/>
        <v>0.18526785714285715</v>
      </c>
    </row>
    <row r="46" spans="1:12" x14ac:dyDescent="0.25">
      <c r="A46">
        <v>1738</v>
      </c>
      <c r="B46" t="s">
        <v>16</v>
      </c>
      <c r="C46" t="s">
        <v>68</v>
      </c>
      <c r="D46" t="s">
        <v>33</v>
      </c>
      <c r="H46">
        <v>346671</v>
      </c>
      <c r="J46">
        <f t="shared" si="0"/>
        <v>346671</v>
      </c>
      <c r="L46">
        <f t="shared" si="1"/>
        <v>154.76383928571428</v>
      </c>
    </row>
    <row r="47" spans="1:12" x14ac:dyDescent="0.25">
      <c r="A47">
        <v>1738</v>
      </c>
      <c r="B47" t="s">
        <v>17</v>
      </c>
      <c r="C47" t="s">
        <v>68</v>
      </c>
      <c r="D47" t="s">
        <v>33</v>
      </c>
      <c r="F47">
        <v>132</v>
      </c>
      <c r="J47">
        <f t="shared" si="0"/>
        <v>14784</v>
      </c>
      <c r="L47">
        <f t="shared" si="1"/>
        <v>6.6</v>
      </c>
    </row>
    <row r="48" spans="1:12" x14ac:dyDescent="0.25">
      <c r="A48">
        <v>1738</v>
      </c>
      <c r="B48" t="s">
        <v>18</v>
      </c>
      <c r="C48" t="s">
        <v>68</v>
      </c>
      <c r="D48" t="s">
        <v>33</v>
      </c>
      <c r="H48">
        <v>1491753</v>
      </c>
      <c r="I48" t="s">
        <v>124</v>
      </c>
      <c r="J48">
        <f t="shared" si="0"/>
        <v>1491753</v>
      </c>
      <c r="L48">
        <f t="shared" si="1"/>
        <v>665.96116071428571</v>
      </c>
    </row>
    <row r="49" spans="1:12" x14ac:dyDescent="0.25">
      <c r="A49">
        <v>1738</v>
      </c>
      <c r="B49" t="s">
        <v>26</v>
      </c>
      <c r="C49" t="s">
        <v>68</v>
      </c>
      <c r="D49" t="s">
        <v>33</v>
      </c>
      <c r="H49">
        <v>62198</v>
      </c>
      <c r="J49">
        <f t="shared" si="0"/>
        <v>62198</v>
      </c>
      <c r="L49">
        <f t="shared" si="1"/>
        <v>27.766964285714284</v>
      </c>
    </row>
    <row r="50" spans="1:12" x14ac:dyDescent="0.25">
      <c r="A50">
        <v>1738</v>
      </c>
      <c r="B50" t="s">
        <v>84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1738</v>
      </c>
      <c r="B51" t="s">
        <v>19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1738</v>
      </c>
      <c r="B52" t="s">
        <v>45</v>
      </c>
      <c r="C52" t="s">
        <v>68</v>
      </c>
      <c r="D52" t="s">
        <v>33</v>
      </c>
      <c r="H52">
        <v>67</v>
      </c>
      <c r="J52">
        <f t="shared" si="0"/>
        <v>67</v>
      </c>
      <c r="L52">
        <f t="shared" si="1"/>
        <v>2.9910714285714287E-2</v>
      </c>
    </row>
    <row r="53" spans="1:12" x14ac:dyDescent="0.25">
      <c r="A53">
        <v>1738</v>
      </c>
      <c r="B53" t="s">
        <v>85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1738</v>
      </c>
      <c r="B54" t="s">
        <v>54</v>
      </c>
      <c r="C54" t="s">
        <v>68</v>
      </c>
      <c r="D54" t="s">
        <v>33</v>
      </c>
      <c r="H54">
        <v>1842</v>
      </c>
      <c r="J54">
        <f t="shared" si="0"/>
        <v>1842</v>
      </c>
      <c r="L54">
        <f t="shared" si="1"/>
        <v>0.82232142857142854</v>
      </c>
    </row>
    <row r="55" spans="1:12" x14ac:dyDescent="0.25">
      <c r="A55">
        <v>1738</v>
      </c>
      <c r="B55" t="s">
        <v>95</v>
      </c>
      <c r="C55" t="s">
        <v>68</v>
      </c>
      <c r="D55" t="s">
        <v>33</v>
      </c>
      <c r="H55">
        <v>1319</v>
      </c>
      <c r="J55">
        <f t="shared" si="0"/>
        <v>1319</v>
      </c>
      <c r="L55">
        <f t="shared" si="1"/>
        <v>0.58883928571428568</v>
      </c>
    </row>
    <row r="56" spans="1:12" x14ac:dyDescent="0.25">
      <c r="A56">
        <v>1738</v>
      </c>
      <c r="B56" t="s">
        <v>20</v>
      </c>
      <c r="C56" t="s">
        <v>68</v>
      </c>
      <c r="D56" t="s">
        <v>33</v>
      </c>
      <c r="H56">
        <v>722</v>
      </c>
      <c r="J56">
        <f t="shared" si="0"/>
        <v>722</v>
      </c>
      <c r="L56">
        <f t="shared" si="1"/>
        <v>0.32232142857142859</v>
      </c>
    </row>
    <row r="57" spans="1:12" x14ac:dyDescent="0.25">
      <c r="A57">
        <v>1738</v>
      </c>
      <c r="B57" t="s">
        <v>21</v>
      </c>
      <c r="C57" t="s">
        <v>68</v>
      </c>
      <c r="D57" t="s">
        <v>33</v>
      </c>
      <c r="H57">
        <v>5882</v>
      </c>
      <c r="J57">
        <f t="shared" si="0"/>
        <v>5882</v>
      </c>
      <c r="L57">
        <f t="shared" si="1"/>
        <v>2.625892857142857</v>
      </c>
    </row>
    <row r="58" spans="1:12" x14ac:dyDescent="0.25">
      <c r="A58">
        <v>1738</v>
      </c>
      <c r="B58" t="s">
        <v>90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22</v>
      </c>
      <c r="C59" t="s">
        <v>68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1738</v>
      </c>
      <c r="B60" t="s">
        <v>61</v>
      </c>
      <c r="C60" t="s">
        <v>68</v>
      </c>
      <c r="D60" t="s">
        <v>33</v>
      </c>
      <c r="E60">
        <v>56</v>
      </c>
      <c r="F60">
        <v>15</v>
      </c>
      <c r="J60">
        <f t="shared" si="0"/>
        <v>127120</v>
      </c>
      <c r="L60">
        <f t="shared" si="1"/>
        <v>56.75</v>
      </c>
    </row>
    <row r="61" spans="1:12" x14ac:dyDescent="0.25">
      <c r="A61">
        <v>1738</v>
      </c>
      <c r="B61" t="s">
        <v>126</v>
      </c>
      <c r="C61" t="s">
        <v>68</v>
      </c>
      <c r="D61" t="s">
        <v>33</v>
      </c>
      <c r="E61">
        <v>2</v>
      </c>
      <c r="F61">
        <v>10</v>
      </c>
      <c r="J61">
        <f t="shared" si="0"/>
        <v>5600</v>
      </c>
      <c r="L61">
        <f t="shared" si="1"/>
        <v>2.5</v>
      </c>
    </row>
    <row r="62" spans="1:12" x14ac:dyDescent="0.25">
      <c r="A62">
        <v>1738</v>
      </c>
      <c r="B62" t="s">
        <v>98</v>
      </c>
      <c r="C62" t="s">
        <v>68</v>
      </c>
      <c r="D62" t="s">
        <v>33</v>
      </c>
      <c r="E62">
        <v>108</v>
      </c>
      <c r="F62">
        <v>6</v>
      </c>
      <c r="H62">
        <v>25</v>
      </c>
      <c r="J62">
        <f t="shared" si="0"/>
        <v>242617</v>
      </c>
      <c r="L62">
        <f t="shared" si="1"/>
        <v>108.31116071428572</v>
      </c>
    </row>
    <row r="63" spans="1:12" x14ac:dyDescent="0.25">
      <c r="A63">
        <v>1738</v>
      </c>
      <c r="B63" t="s">
        <v>87</v>
      </c>
      <c r="C63" t="s">
        <v>68</v>
      </c>
      <c r="D63" t="s">
        <v>33</v>
      </c>
      <c r="E63">
        <v>78</v>
      </c>
      <c r="G63">
        <v>3</v>
      </c>
      <c r="J63">
        <f t="shared" si="0"/>
        <v>174804</v>
      </c>
      <c r="L63">
        <f t="shared" si="1"/>
        <v>78.037499999999994</v>
      </c>
    </row>
    <row r="64" spans="1:12" x14ac:dyDescent="0.25">
      <c r="A64">
        <v>1738</v>
      </c>
      <c r="B64" t="s">
        <v>62</v>
      </c>
      <c r="C64" t="s">
        <v>68</v>
      </c>
      <c r="D64" t="s">
        <v>33</v>
      </c>
      <c r="E64">
        <v>171</v>
      </c>
      <c r="F64">
        <v>15</v>
      </c>
      <c r="G64">
        <v>3</v>
      </c>
      <c r="J64">
        <f t="shared" si="0"/>
        <v>384804</v>
      </c>
      <c r="L64">
        <f t="shared" si="1"/>
        <v>171.78749999999999</v>
      </c>
    </row>
    <row r="65" spans="1:12" x14ac:dyDescent="0.25">
      <c r="A65">
        <v>1738</v>
      </c>
      <c r="B65" t="s">
        <v>88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63</v>
      </c>
      <c r="C66" t="s">
        <v>68</v>
      </c>
      <c r="D66" t="s">
        <v>33</v>
      </c>
      <c r="E66">
        <v>465</v>
      </c>
      <c r="F66">
        <v>9</v>
      </c>
      <c r="G66">
        <v>3</v>
      </c>
      <c r="H66">
        <v>12</v>
      </c>
      <c r="J66">
        <f t="shared" si="0"/>
        <v>1042704</v>
      </c>
      <c r="L66">
        <f t="shared" si="1"/>
        <v>465.49285714285713</v>
      </c>
    </row>
    <row r="67" spans="1:12" x14ac:dyDescent="0.25">
      <c r="A67">
        <v>1738</v>
      </c>
      <c r="B67" t="s">
        <v>89</v>
      </c>
      <c r="C67" t="s">
        <v>68</v>
      </c>
      <c r="D67" t="s">
        <v>33</v>
      </c>
      <c r="E67">
        <v>1292</v>
      </c>
      <c r="H67">
        <v>8300</v>
      </c>
      <c r="J67">
        <f t="shared" si="0"/>
        <v>2902380</v>
      </c>
      <c r="L67">
        <f t="shared" si="1"/>
        <v>1295.7053571428571</v>
      </c>
    </row>
    <row r="68" spans="1:12" x14ac:dyDescent="0.25">
      <c r="A68">
        <v>1738</v>
      </c>
      <c r="B68" t="s">
        <v>70</v>
      </c>
      <c r="C68" t="s">
        <v>68</v>
      </c>
      <c r="D68" t="s">
        <v>33</v>
      </c>
      <c r="E68">
        <v>142</v>
      </c>
      <c r="F68">
        <v>6</v>
      </c>
      <c r="G68">
        <v>2</v>
      </c>
      <c r="J68">
        <f t="shared" si="0"/>
        <v>318808</v>
      </c>
      <c r="L68">
        <f t="shared" si="1"/>
        <v>142.32499999999999</v>
      </c>
    </row>
    <row r="69" spans="1:12" x14ac:dyDescent="0.25">
      <c r="A69">
        <v>1738</v>
      </c>
      <c r="B69" t="s">
        <v>64</v>
      </c>
      <c r="C69" t="s">
        <v>68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1738</v>
      </c>
      <c r="B70" t="s">
        <v>127</v>
      </c>
      <c r="C70" t="s">
        <v>68</v>
      </c>
      <c r="D70" t="s">
        <v>33</v>
      </c>
      <c r="E70">
        <v>3</v>
      </c>
      <c r="J70">
        <f t="shared" si="0"/>
        <v>6720</v>
      </c>
      <c r="L70">
        <f t="shared" si="1"/>
        <v>3</v>
      </c>
    </row>
    <row r="71" spans="1:12" x14ac:dyDescent="0.25">
      <c r="A71">
        <v>1738</v>
      </c>
      <c r="B71" t="s">
        <v>55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1738</v>
      </c>
      <c r="B72" t="s">
        <v>57</v>
      </c>
      <c r="C72" t="s">
        <v>68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1738</v>
      </c>
      <c r="B73" t="s">
        <v>36</v>
      </c>
      <c r="C73" t="s">
        <v>68</v>
      </c>
      <c r="D73" t="s">
        <v>35</v>
      </c>
      <c r="J73">
        <f t="shared" si="0"/>
        <v>0</v>
      </c>
      <c r="L73">
        <f t="shared" si="1"/>
        <v>0</v>
      </c>
    </row>
    <row r="74" spans="1:12" x14ac:dyDescent="0.25">
      <c r="A74">
        <v>1738</v>
      </c>
      <c r="B74" t="s">
        <v>4</v>
      </c>
      <c r="C74" t="s">
        <v>68</v>
      </c>
      <c r="D74" t="s">
        <v>35</v>
      </c>
      <c r="J74">
        <f t="shared" ref="J74:J135" si="2">(E74*2240)+(F74*112)+(G74*28)+H74</f>
        <v>0</v>
      </c>
      <c r="L74">
        <f t="shared" ref="L74:L135" si="3">J74/2240</f>
        <v>0</v>
      </c>
    </row>
    <row r="75" spans="1:12" x14ac:dyDescent="0.25">
      <c r="A75">
        <v>1738</v>
      </c>
      <c r="B75" t="s">
        <v>58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1738</v>
      </c>
      <c r="B76" t="s">
        <v>69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1738</v>
      </c>
      <c r="B77" t="s">
        <v>101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43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76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1738</v>
      </c>
      <c r="B80" t="s">
        <v>5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59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6</v>
      </c>
      <c r="C82" t="s">
        <v>68</v>
      </c>
      <c r="D82" t="s">
        <v>35</v>
      </c>
      <c r="F82">
        <v>130933</v>
      </c>
      <c r="G82">
        <v>1</v>
      </c>
      <c r="H82">
        <v>23</v>
      </c>
      <c r="J82">
        <f t="shared" si="2"/>
        <v>14664547</v>
      </c>
      <c r="L82">
        <f t="shared" si="3"/>
        <v>6546.6727678571433</v>
      </c>
    </row>
    <row r="83" spans="1:12" x14ac:dyDescent="0.25">
      <c r="A83">
        <v>1738</v>
      </c>
      <c r="B83" t="s">
        <v>60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38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1738</v>
      </c>
      <c r="B85" t="s">
        <v>37</v>
      </c>
      <c r="C85" t="s">
        <v>68</v>
      </c>
      <c r="D85" t="s">
        <v>35</v>
      </c>
      <c r="H85">
        <v>901</v>
      </c>
      <c r="J85">
        <f t="shared" si="2"/>
        <v>901</v>
      </c>
      <c r="L85">
        <f t="shared" si="3"/>
        <v>0.40223214285714287</v>
      </c>
    </row>
    <row r="86" spans="1:12" x14ac:dyDescent="0.25">
      <c r="A86">
        <v>1738</v>
      </c>
      <c r="B86" t="s">
        <v>8</v>
      </c>
      <c r="C86" t="s">
        <v>68</v>
      </c>
      <c r="D86" t="s">
        <v>35</v>
      </c>
      <c r="F86">
        <v>73</v>
      </c>
      <c r="G86">
        <v>1</v>
      </c>
      <c r="H86">
        <v>24</v>
      </c>
      <c r="J86">
        <f t="shared" si="2"/>
        <v>8228</v>
      </c>
      <c r="L86">
        <f t="shared" si="3"/>
        <v>3.6732142857142858</v>
      </c>
    </row>
    <row r="87" spans="1:12" x14ac:dyDescent="0.25">
      <c r="A87">
        <v>1738</v>
      </c>
      <c r="B87" t="s">
        <v>40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77</v>
      </c>
      <c r="C88" t="s">
        <v>68</v>
      </c>
      <c r="D88" t="s">
        <v>35</v>
      </c>
      <c r="F88">
        <v>216</v>
      </c>
      <c r="G88">
        <v>1</v>
      </c>
      <c r="H88">
        <v>25</v>
      </c>
      <c r="J88">
        <f t="shared" si="2"/>
        <v>24245</v>
      </c>
      <c r="L88">
        <f t="shared" si="3"/>
        <v>10.823660714285714</v>
      </c>
    </row>
    <row r="89" spans="1:12" x14ac:dyDescent="0.25">
      <c r="A89">
        <v>1738</v>
      </c>
      <c r="B89" t="s">
        <v>78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46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1738</v>
      </c>
      <c r="B91" t="s">
        <v>9</v>
      </c>
      <c r="C91" t="s">
        <v>68</v>
      </c>
      <c r="D91" t="s">
        <v>35</v>
      </c>
      <c r="H91">
        <f>1945*200+41</f>
        <v>389041</v>
      </c>
      <c r="I91" t="s">
        <v>156</v>
      </c>
      <c r="J91">
        <f t="shared" si="2"/>
        <v>389041</v>
      </c>
      <c r="L91">
        <f t="shared" si="3"/>
        <v>173.67901785714287</v>
      </c>
    </row>
    <row r="92" spans="1:12" x14ac:dyDescent="0.25">
      <c r="A92">
        <v>1738</v>
      </c>
      <c r="B92" t="s">
        <v>10</v>
      </c>
      <c r="C92" t="s">
        <v>68</v>
      </c>
      <c r="D92" t="s">
        <v>35</v>
      </c>
      <c r="F92">
        <v>10894</v>
      </c>
      <c r="G92">
        <v>2</v>
      </c>
      <c r="H92">
        <v>19</v>
      </c>
      <c r="J92">
        <f t="shared" si="2"/>
        <v>1220203</v>
      </c>
      <c r="L92">
        <f t="shared" si="3"/>
        <v>544.73348214285716</v>
      </c>
    </row>
    <row r="93" spans="1:12" x14ac:dyDescent="0.25">
      <c r="A93">
        <v>1738</v>
      </c>
      <c r="B93" t="s">
        <v>11</v>
      </c>
      <c r="C93" t="s">
        <v>68</v>
      </c>
      <c r="D93" t="s">
        <v>35</v>
      </c>
      <c r="F93">
        <v>315</v>
      </c>
      <c r="G93">
        <v>3</v>
      </c>
      <c r="H93">
        <v>11</v>
      </c>
      <c r="J93">
        <f t="shared" si="2"/>
        <v>35375</v>
      </c>
      <c r="L93">
        <f t="shared" si="3"/>
        <v>15.792410714285714</v>
      </c>
    </row>
    <row r="94" spans="1:12" x14ac:dyDescent="0.25">
      <c r="A94">
        <v>1738</v>
      </c>
      <c r="B94" t="s">
        <v>39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79</v>
      </c>
      <c r="C95" t="s">
        <v>68</v>
      </c>
      <c r="D95" t="s">
        <v>35</v>
      </c>
      <c r="H95">
        <v>4717</v>
      </c>
      <c r="J95">
        <f t="shared" si="2"/>
        <v>4717</v>
      </c>
      <c r="L95">
        <f t="shared" si="3"/>
        <v>2.1058035714285714</v>
      </c>
    </row>
    <row r="96" spans="1:12" x14ac:dyDescent="0.25">
      <c r="A96">
        <v>1738</v>
      </c>
      <c r="B96" t="s">
        <v>103</v>
      </c>
      <c r="C96" t="s">
        <v>68</v>
      </c>
      <c r="D96" t="s">
        <v>35</v>
      </c>
      <c r="H96">
        <v>439</v>
      </c>
      <c r="J96">
        <f t="shared" si="2"/>
        <v>439</v>
      </c>
      <c r="L96">
        <f t="shared" si="3"/>
        <v>0.19598214285714285</v>
      </c>
    </row>
    <row r="97" spans="1:12" x14ac:dyDescent="0.25">
      <c r="A97">
        <v>1738</v>
      </c>
      <c r="B97" t="s">
        <v>44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97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1738</v>
      </c>
      <c r="B99" t="s">
        <v>12</v>
      </c>
      <c r="C99" t="s">
        <v>68</v>
      </c>
      <c r="D99" t="s">
        <v>35</v>
      </c>
      <c r="H99">
        <v>27044</v>
      </c>
      <c r="J99">
        <f t="shared" si="2"/>
        <v>27044</v>
      </c>
      <c r="L99">
        <f t="shared" si="3"/>
        <v>12.073214285714286</v>
      </c>
    </row>
    <row r="100" spans="1:12" x14ac:dyDescent="0.25">
      <c r="A100">
        <v>1738</v>
      </c>
      <c r="B100" t="s">
        <v>82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34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13</v>
      </c>
      <c r="C102" t="s">
        <v>68</v>
      </c>
      <c r="D102" t="s">
        <v>35</v>
      </c>
      <c r="E102">
        <v>23</v>
      </c>
      <c r="F102">
        <v>19</v>
      </c>
      <c r="G102">
        <v>1</v>
      </c>
      <c r="H102">
        <v>27</v>
      </c>
      <c r="J102">
        <f t="shared" si="2"/>
        <v>53703</v>
      </c>
      <c r="L102">
        <f t="shared" si="3"/>
        <v>23.974553571428572</v>
      </c>
    </row>
    <row r="103" spans="1:12" x14ac:dyDescent="0.25">
      <c r="A103">
        <v>1738</v>
      </c>
      <c r="B103" t="s">
        <v>14</v>
      </c>
      <c r="C103" t="s">
        <v>68</v>
      </c>
      <c r="D103" t="s">
        <v>35</v>
      </c>
      <c r="H103">
        <v>13313.5</v>
      </c>
      <c r="I103" t="s">
        <v>153</v>
      </c>
      <c r="J103">
        <f t="shared" si="2"/>
        <v>13313.5</v>
      </c>
      <c r="L103">
        <f t="shared" si="3"/>
        <v>5.9435267857142859</v>
      </c>
    </row>
    <row r="104" spans="1:12" x14ac:dyDescent="0.25">
      <c r="A104">
        <v>1738</v>
      </c>
      <c r="B104" t="s">
        <v>23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1738</v>
      </c>
      <c r="B105" t="s">
        <v>27</v>
      </c>
      <c r="C105" t="s">
        <v>68</v>
      </c>
      <c r="D105" t="s">
        <v>35</v>
      </c>
      <c r="H105">
        <v>19145</v>
      </c>
      <c r="I105" t="s">
        <v>155</v>
      </c>
      <c r="J105">
        <f t="shared" si="2"/>
        <v>19145</v>
      </c>
      <c r="L105">
        <f t="shared" si="3"/>
        <v>8.546875</v>
      </c>
    </row>
    <row r="106" spans="1:12" x14ac:dyDescent="0.25">
      <c r="A106">
        <v>1738</v>
      </c>
      <c r="B106" t="s">
        <v>15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1738</v>
      </c>
      <c r="B107" t="s">
        <v>93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1738</v>
      </c>
      <c r="B108" t="s">
        <v>42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1738</v>
      </c>
      <c r="B109" t="s">
        <v>83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47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1738</v>
      </c>
      <c r="B111" t="s">
        <v>16</v>
      </c>
      <c r="C111" t="s">
        <v>68</v>
      </c>
      <c r="D111" t="s">
        <v>35</v>
      </c>
      <c r="H111">
        <v>211853</v>
      </c>
      <c r="J111">
        <f t="shared" si="2"/>
        <v>211853</v>
      </c>
      <c r="L111">
        <f t="shared" si="3"/>
        <v>94.577232142857142</v>
      </c>
    </row>
    <row r="112" spans="1:12" x14ac:dyDescent="0.25">
      <c r="A112">
        <v>1738</v>
      </c>
      <c r="B112" t="s">
        <v>17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1738</v>
      </c>
      <c r="B113" t="s">
        <v>18</v>
      </c>
      <c r="C113" t="s">
        <v>68</v>
      </c>
      <c r="D113" t="s">
        <v>35</v>
      </c>
      <c r="H113">
        <v>583655</v>
      </c>
      <c r="I113" t="s">
        <v>154</v>
      </c>
      <c r="J113">
        <f t="shared" si="2"/>
        <v>583655</v>
      </c>
      <c r="L113">
        <f t="shared" si="3"/>
        <v>260.56026785714283</v>
      </c>
    </row>
    <row r="114" spans="1:12" x14ac:dyDescent="0.25">
      <c r="A114">
        <v>1738</v>
      </c>
      <c r="B114" t="s">
        <v>26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84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19</v>
      </c>
      <c r="C116" t="s">
        <v>68</v>
      </c>
      <c r="D116" t="s">
        <v>35</v>
      </c>
      <c r="F116">
        <v>58</v>
      </c>
      <c r="G116">
        <v>1</v>
      </c>
      <c r="H116">
        <v>7</v>
      </c>
      <c r="J116">
        <f t="shared" si="2"/>
        <v>6531</v>
      </c>
      <c r="L116">
        <f t="shared" si="3"/>
        <v>2.9156249999999999</v>
      </c>
    </row>
    <row r="117" spans="1:12" x14ac:dyDescent="0.25">
      <c r="A117">
        <v>1738</v>
      </c>
      <c r="B117" t="s">
        <v>45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85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54</v>
      </c>
      <c r="C119" t="s">
        <v>68</v>
      </c>
      <c r="D119" t="s">
        <v>35</v>
      </c>
      <c r="H119">
        <v>76</v>
      </c>
      <c r="J119">
        <f t="shared" si="2"/>
        <v>76</v>
      </c>
      <c r="L119">
        <f t="shared" si="3"/>
        <v>3.3928571428571426E-2</v>
      </c>
    </row>
    <row r="120" spans="1:12" x14ac:dyDescent="0.25">
      <c r="A120">
        <v>1738</v>
      </c>
      <c r="B120" t="s">
        <v>95</v>
      </c>
      <c r="C120" t="s">
        <v>68</v>
      </c>
      <c r="D120" t="s">
        <v>35</v>
      </c>
      <c r="H120">
        <v>108</v>
      </c>
      <c r="J120">
        <f t="shared" si="2"/>
        <v>108</v>
      </c>
      <c r="L120">
        <f t="shared" si="3"/>
        <v>4.8214285714285716E-2</v>
      </c>
    </row>
    <row r="121" spans="1:12" x14ac:dyDescent="0.25">
      <c r="A121">
        <v>1738</v>
      </c>
      <c r="B121" t="s">
        <v>20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21</v>
      </c>
      <c r="C122" t="s">
        <v>68</v>
      </c>
      <c r="D122" t="s">
        <v>35</v>
      </c>
      <c r="H122">
        <v>450</v>
      </c>
      <c r="J122">
        <f t="shared" si="2"/>
        <v>450</v>
      </c>
      <c r="L122">
        <f t="shared" si="3"/>
        <v>0.20089285714285715</v>
      </c>
    </row>
    <row r="123" spans="1:12" x14ac:dyDescent="0.25">
      <c r="A123">
        <v>1738</v>
      </c>
      <c r="B123" t="s">
        <v>90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22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1738</v>
      </c>
      <c r="B125" t="s">
        <v>61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1738</v>
      </c>
      <c r="B126" t="s">
        <v>91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1738</v>
      </c>
      <c r="B127" t="s">
        <v>98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1738</v>
      </c>
      <c r="B128" t="s">
        <v>87</v>
      </c>
      <c r="C128" t="s">
        <v>68</v>
      </c>
      <c r="D128" t="s">
        <v>35</v>
      </c>
      <c r="E128">
        <v>16</v>
      </c>
      <c r="G128">
        <v>2</v>
      </c>
      <c r="H128">
        <v>3</v>
      </c>
      <c r="J128">
        <f t="shared" si="2"/>
        <v>35899</v>
      </c>
      <c r="L128">
        <f t="shared" si="3"/>
        <v>16.026339285714286</v>
      </c>
    </row>
    <row r="129" spans="1:12" x14ac:dyDescent="0.25">
      <c r="A129">
        <v>1738</v>
      </c>
      <c r="B129" t="s">
        <v>62</v>
      </c>
      <c r="C129" t="s">
        <v>68</v>
      </c>
      <c r="D129" t="s">
        <v>35</v>
      </c>
      <c r="E129">
        <v>15</v>
      </c>
      <c r="F129">
        <v>6</v>
      </c>
      <c r="G129">
        <v>1</v>
      </c>
      <c r="H129">
        <v>26</v>
      </c>
      <c r="J129">
        <f t="shared" si="2"/>
        <v>34326</v>
      </c>
      <c r="L129">
        <f t="shared" si="3"/>
        <v>15.324107142857143</v>
      </c>
    </row>
    <row r="130" spans="1:12" x14ac:dyDescent="0.25">
      <c r="A130">
        <v>1738</v>
      </c>
      <c r="B130" t="s">
        <v>88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1738</v>
      </c>
      <c r="B131" t="s">
        <v>63</v>
      </c>
      <c r="C131" t="s">
        <v>68</v>
      </c>
      <c r="D131" t="s">
        <v>35</v>
      </c>
      <c r="E131">
        <v>347</v>
      </c>
      <c r="F131">
        <v>5</v>
      </c>
      <c r="H131">
        <v>6</v>
      </c>
      <c r="J131">
        <f t="shared" si="2"/>
        <v>777846</v>
      </c>
      <c r="L131">
        <f t="shared" si="3"/>
        <v>347.25267857142859</v>
      </c>
    </row>
    <row r="132" spans="1:12" x14ac:dyDescent="0.25">
      <c r="A132">
        <v>1738</v>
      </c>
      <c r="B132" t="s">
        <v>89</v>
      </c>
      <c r="C132" t="s">
        <v>68</v>
      </c>
      <c r="D132" t="s">
        <v>35</v>
      </c>
      <c r="F132">
        <v>7282</v>
      </c>
      <c r="G132">
        <v>1</v>
      </c>
      <c r="H132">
        <v>27</v>
      </c>
      <c r="J132">
        <f t="shared" si="2"/>
        <v>815639</v>
      </c>
      <c r="L132">
        <f t="shared" si="3"/>
        <v>364.12455357142858</v>
      </c>
    </row>
    <row r="133" spans="1:12" x14ac:dyDescent="0.25">
      <c r="A133">
        <v>1738</v>
      </c>
      <c r="B133" t="s">
        <v>70</v>
      </c>
      <c r="C133" t="s">
        <v>68</v>
      </c>
      <c r="D133" t="s">
        <v>35</v>
      </c>
      <c r="J133">
        <f t="shared" si="2"/>
        <v>0</v>
      </c>
      <c r="L133">
        <f t="shared" si="3"/>
        <v>0</v>
      </c>
    </row>
    <row r="134" spans="1:12" x14ac:dyDescent="0.25">
      <c r="A134">
        <v>1738</v>
      </c>
      <c r="B134" t="s">
        <v>64</v>
      </c>
      <c r="C134" t="s">
        <v>68</v>
      </c>
      <c r="D134" t="s">
        <v>35</v>
      </c>
      <c r="E134">
        <v>10</v>
      </c>
      <c r="F134">
        <v>13</v>
      </c>
      <c r="G134">
        <v>2</v>
      </c>
      <c r="J134">
        <f t="shared" si="2"/>
        <v>23912</v>
      </c>
      <c r="L134">
        <f t="shared" si="3"/>
        <v>10.675000000000001</v>
      </c>
    </row>
    <row r="135" spans="1:12" x14ac:dyDescent="0.25">
      <c r="A135">
        <v>1738</v>
      </c>
      <c r="B135" t="s">
        <v>65</v>
      </c>
      <c r="C135" t="s">
        <v>68</v>
      </c>
      <c r="D135" t="s">
        <v>35</v>
      </c>
      <c r="J135">
        <f t="shared" si="2"/>
        <v>0</v>
      </c>
      <c r="L135">
        <f t="shared" si="3"/>
        <v>0</v>
      </c>
    </row>
  </sheetData>
  <autoFilter ref="A1:O66" xr:uid="{8C2F7725-5A61-4A1B-A740-CC887BCB0E68}">
    <sortState xmlns:xlrd2="http://schemas.microsoft.com/office/spreadsheetml/2017/richdata2" ref="A2:O66">
      <sortCondition ref="B1:B6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7"/>
  <sheetViews>
    <sheetView topLeftCell="A94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1738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1738</v>
      </c>
      <c r="B3" t="s">
        <v>57</v>
      </c>
      <c r="C3" t="s">
        <v>72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1738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1738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1738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1738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1738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1738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1738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1738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1738</v>
      </c>
      <c r="B12" t="s">
        <v>6</v>
      </c>
      <c r="C12" t="s">
        <v>72</v>
      </c>
      <c r="D12" t="s">
        <v>33</v>
      </c>
      <c r="F12">
        <v>39869</v>
      </c>
      <c r="G12">
        <v>2</v>
      </c>
      <c r="H12">
        <v>8</v>
      </c>
      <c r="J12">
        <f t="shared" si="0"/>
        <v>4465392</v>
      </c>
      <c r="L12">
        <f t="shared" si="1"/>
        <v>1993.4785714285715</v>
      </c>
    </row>
    <row r="13" spans="1:15" x14ac:dyDescent="0.25">
      <c r="A13">
        <v>1738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1738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1738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1738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1738</v>
      </c>
      <c r="B19" t="s">
        <v>77</v>
      </c>
      <c r="C19" t="s">
        <v>72</v>
      </c>
      <c r="D19" t="s">
        <v>33</v>
      </c>
      <c r="G19">
        <v>1</v>
      </c>
      <c r="H19">
        <v>21</v>
      </c>
      <c r="J19">
        <f t="shared" si="0"/>
        <v>49</v>
      </c>
      <c r="L19">
        <f t="shared" si="1"/>
        <v>2.1874999999999999E-2</v>
      </c>
    </row>
    <row r="20" spans="1:12" x14ac:dyDescent="0.25">
      <c r="A20">
        <v>1738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9</v>
      </c>
      <c r="C22" t="s">
        <v>72</v>
      </c>
      <c r="D22" t="s">
        <v>33</v>
      </c>
      <c r="H22">
        <f>293*200+14</f>
        <v>58614</v>
      </c>
      <c r="I22" t="s">
        <v>134</v>
      </c>
      <c r="J22">
        <f t="shared" si="0"/>
        <v>58614</v>
      </c>
      <c r="L22">
        <f t="shared" si="1"/>
        <v>26.166964285714286</v>
      </c>
    </row>
    <row r="23" spans="1:12" x14ac:dyDescent="0.25">
      <c r="A23">
        <v>1738</v>
      </c>
      <c r="B23" t="s">
        <v>10</v>
      </c>
      <c r="C23" t="s">
        <v>72</v>
      </c>
      <c r="D23" t="s">
        <v>33</v>
      </c>
      <c r="F23">
        <v>1</v>
      </c>
      <c r="G23">
        <v>2</v>
      </c>
      <c r="J23">
        <f t="shared" si="0"/>
        <v>168</v>
      </c>
      <c r="L23">
        <f t="shared" si="1"/>
        <v>7.4999999999999997E-2</v>
      </c>
    </row>
    <row r="24" spans="1:12" x14ac:dyDescent="0.25">
      <c r="A24">
        <v>1738</v>
      </c>
      <c r="B24" t="s">
        <v>11</v>
      </c>
      <c r="C24" t="s">
        <v>72</v>
      </c>
      <c r="D24" t="s">
        <v>33</v>
      </c>
      <c r="F24">
        <v>68</v>
      </c>
      <c r="G24">
        <v>2</v>
      </c>
      <c r="H24">
        <v>2</v>
      </c>
      <c r="J24">
        <f t="shared" si="0"/>
        <v>7674</v>
      </c>
      <c r="L24">
        <f t="shared" si="1"/>
        <v>3.4258928571428573</v>
      </c>
    </row>
    <row r="25" spans="1:12" x14ac:dyDescent="0.25">
      <c r="A25">
        <v>1738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1738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1738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1738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12</v>
      </c>
      <c r="C30" t="s">
        <v>72</v>
      </c>
      <c r="D30" t="s">
        <v>33</v>
      </c>
      <c r="H30">
        <v>1608</v>
      </c>
      <c r="J30">
        <f t="shared" si="0"/>
        <v>1608</v>
      </c>
      <c r="L30">
        <f t="shared" si="1"/>
        <v>0.71785714285714286</v>
      </c>
    </row>
    <row r="31" spans="1:12" x14ac:dyDescent="0.25">
      <c r="A31">
        <v>1738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1738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1738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14</v>
      </c>
      <c r="C34" t="s">
        <v>72</v>
      </c>
      <c r="D34" t="s">
        <v>33</v>
      </c>
      <c r="H34">
        <v>11403</v>
      </c>
      <c r="I34" t="s">
        <v>129</v>
      </c>
      <c r="J34">
        <f t="shared" si="0"/>
        <v>11403</v>
      </c>
      <c r="L34">
        <f t="shared" si="1"/>
        <v>5.0906250000000002</v>
      </c>
    </row>
    <row r="35" spans="1:12" x14ac:dyDescent="0.25">
      <c r="A35">
        <v>1738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1738</v>
      </c>
      <c r="B36" t="s">
        <v>27</v>
      </c>
      <c r="C36" t="s">
        <v>72</v>
      </c>
      <c r="D36" t="s">
        <v>33</v>
      </c>
      <c r="H36">
        <v>26276.5</v>
      </c>
      <c r="I36" t="s">
        <v>131</v>
      </c>
      <c r="J36">
        <f t="shared" si="0"/>
        <v>26276.5</v>
      </c>
      <c r="L36">
        <f t="shared" si="1"/>
        <v>11.730580357142857</v>
      </c>
    </row>
    <row r="37" spans="1:12" x14ac:dyDescent="0.25">
      <c r="A37">
        <v>1738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1738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1738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1738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16</v>
      </c>
      <c r="C41" t="s">
        <v>72</v>
      </c>
      <c r="D41" t="s">
        <v>33</v>
      </c>
      <c r="H41">
        <v>4065</v>
      </c>
      <c r="J41">
        <f t="shared" si="0"/>
        <v>4065</v>
      </c>
      <c r="L41">
        <f t="shared" si="1"/>
        <v>1.8147321428571428</v>
      </c>
    </row>
    <row r="42" spans="1:12" x14ac:dyDescent="0.25">
      <c r="A42">
        <v>1738</v>
      </c>
      <c r="B42" t="s">
        <v>132</v>
      </c>
      <c r="C42" t="s">
        <v>72</v>
      </c>
      <c r="D42" t="s">
        <v>33</v>
      </c>
      <c r="H42">
        <v>70118</v>
      </c>
      <c r="I42" t="s">
        <v>133</v>
      </c>
      <c r="J42">
        <f t="shared" si="0"/>
        <v>70118</v>
      </c>
      <c r="L42">
        <f t="shared" si="1"/>
        <v>31.302678571428572</v>
      </c>
    </row>
    <row r="43" spans="1:12" x14ac:dyDescent="0.25">
      <c r="A43">
        <v>1738</v>
      </c>
      <c r="B43" t="s">
        <v>17</v>
      </c>
      <c r="C43" t="s">
        <v>72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1738</v>
      </c>
      <c r="B44" t="s">
        <v>18</v>
      </c>
      <c r="C44" t="s">
        <v>72</v>
      </c>
      <c r="D44" t="s">
        <v>33</v>
      </c>
      <c r="H44">
        <v>30858</v>
      </c>
      <c r="I44" t="s">
        <v>130</v>
      </c>
      <c r="J44">
        <f t="shared" si="0"/>
        <v>30858</v>
      </c>
      <c r="L44">
        <f t="shared" si="1"/>
        <v>13.775892857142857</v>
      </c>
    </row>
    <row r="45" spans="1:12" x14ac:dyDescent="0.25">
      <c r="A45">
        <v>1738</v>
      </c>
      <c r="B45" t="s">
        <v>26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1738</v>
      </c>
      <c r="B46" t="s">
        <v>84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19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1738</v>
      </c>
      <c r="B48" t="s">
        <v>45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1738</v>
      </c>
      <c r="B49" t="s">
        <v>85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54</v>
      </c>
      <c r="C50" t="s">
        <v>72</v>
      </c>
      <c r="D50" t="s">
        <v>33</v>
      </c>
      <c r="H50">
        <v>99</v>
      </c>
      <c r="J50">
        <f t="shared" si="0"/>
        <v>99</v>
      </c>
      <c r="L50">
        <f t="shared" si="1"/>
        <v>4.4196428571428574E-2</v>
      </c>
    </row>
    <row r="51" spans="1:12" x14ac:dyDescent="0.25">
      <c r="A51">
        <v>1738</v>
      </c>
      <c r="B51" t="s">
        <v>95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1738</v>
      </c>
      <c r="B52" t="s">
        <v>20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1738</v>
      </c>
      <c r="B53" t="s">
        <v>21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1738</v>
      </c>
      <c r="B54" t="s">
        <v>22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1738</v>
      </c>
      <c r="B55" t="s">
        <v>61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1738</v>
      </c>
      <c r="B56" t="s">
        <v>99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1738</v>
      </c>
      <c r="B57" t="s">
        <v>87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1738</v>
      </c>
      <c r="B58" t="s">
        <v>62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88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1738</v>
      </c>
      <c r="B60" t="s">
        <v>63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89</v>
      </c>
      <c r="C61" t="s">
        <v>72</v>
      </c>
      <c r="D61" t="s">
        <v>33</v>
      </c>
      <c r="E61">
        <v>2</v>
      </c>
      <c r="J61">
        <f t="shared" si="0"/>
        <v>4480</v>
      </c>
      <c r="L61">
        <f t="shared" si="1"/>
        <v>2</v>
      </c>
    </row>
    <row r="62" spans="1:12" x14ac:dyDescent="0.25">
      <c r="A62">
        <v>1738</v>
      </c>
      <c r="B62" t="s">
        <v>70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1738</v>
      </c>
      <c r="B63" t="s">
        <v>64</v>
      </c>
      <c r="C63" t="s">
        <v>72</v>
      </c>
      <c r="D63" t="s">
        <v>33</v>
      </c>
      <c r="E63">
        <v>10</v>
      </c>
      <c r="J63">
        <f t="shared" si="0"/>
        <v>22400</v>
      </c>
      <c r="L63">
        <f t="shared" si="1"/>
        <v>10</v>
      </c>
    </row>
    <row r="64" spans="1:12" x14ac:dyDescent="0.25">
      <c r="A64">
        <v>1738</v>
      </c>
      <c r="B64" t="s">
        <v>65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1738</v>
      </c>
      <c r="B65" t="s">
        <v>55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57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36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4</v>
      </c>
      <c r="C68" t="s">
        <v>72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1738</v>
      </c>
      <c r="B69" t="s">
        <v>58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1738</v>
      </c>
      <c r="B70" t="s">
        <v>69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1738</v>
      </c>
      <c r="B71" t="s">
        <v>43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1738</v>
      </c>
      <c r="B72" t="s">
        <v>76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1738</v>
      </c>
      <c r="B73" t="s">
        <v>5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59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1738</v>
      </c>
      <c r="B75" t="s">
        <v>6</v>
      </c>
      <c r="C75" t="s">
        <v>72</v>
      </c>
      <c r="D75" t="s">
        <v>35</v>
      </c>
      <c r="F75">
        <v>13115</v>
      </c>
      <c r="G75">
        <v>2</v>
      </c>
      <c r="H75">
        <v>25</v>
      </c>
      <c r="J75">
        <f t="shared" si="2"/>
        <v>1468961</v>
      </c>
      <c r="L75">
        <f t="shared" si="3"/>
        <v>655.78616071428576</v>
      </c>
    </row>
    <row r="76" spans="1:12" x14ac:dyDescent="0.25">
      <c r="A76">
        <v>1738</v>
      </c>
      <c r="B76" t="s">
        <v>60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1738</v>
      </c>
      <c r="B77" t="s">
        <v>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37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8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1738</v>
      </c>
      <c r="B80" t="s">
        <v>40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77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78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46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9</v>
      </c>
      <c r="C84" t="s">
        <v>72</v>
      </c>
      <c r="D84" t="s">
        <v>35</v>
      </c>
      <c r="H84">
        <f>631.25*200</f>
        <v>126250</v>
      </c>
      <c r="I84" t="s">
        <v>160</v>
      </c>
      <c r="J84">
        <f t="shared" si="2"/>
        <v>126250</v>
      </c>
      <c r="L84">
        <f t="shared" si="3"/>
        <v>56.361607142857146</v>
      </c>
    </row>
    <row r="85" spans="1:12" x14ac:dyDescent="0.25">
      <c r="A85">
        <v>1738</v>
      </c>
      <c r="B85" t="s">
        <v>10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1738</v>
      </c>
      <c r="B86" t="s">
        <v>11</v>
      </c>
      <c r="C86" t="s">
        <v>72</v>
      </c>
      <c r="D86" t="s">
        <v>35</v>
      </c>
      <c r="F86">
        <v>22</v>
      </c>
      <c r="H86">
        <v>7</v>
      </c>
      <c r="J86">
        <f t="shared" si="2"/>
        <v>2471</v>
      </c>
      <c r="L86">
        <f t="shared" si="3"/>
        <v>1.1031249999999999</v>
      </c>
    </row>
    <row r="87" spans="1:12" x14ac:dyDescent="0.25">
      <c r="A87">
        <v>1738</v>
      </c>
      <c r="B87" t="s">
        <v>39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79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1738</v>
      </c>
      <c r="B89" t="s">
        <v>103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44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1738</v>
      </c>
      <c r="B91" t="s">
        <v>97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12</v>
      </c>
      <c r="C92" t="s">
        <v>72</v>
      </c>
      <c r="D92" t="s">
        <v>35</v>
      </c>
      <c r="H92">
        <v>450</v>
      </c>
      <c r="J92">
        <f t="shared" si="2"/>
        <v>450</v>
      </c>
      <c r="L92">
        <f t="shared" si="3"/>
        <v>0.20089285714285715</v>
      </c>
    </row>
    <row r="93" spans="1:12" x14ac:dyDescent="0.25">
      <c r="A93">
        <v>1738</v>
      </c>
      <c r="B93" t="s">
        <v>82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1738</v>
      </c>
      <c r="B94" t="s">
        <v>34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13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1738</v>
      </c>
      <c r="B96" t="s">
        <v>14</v>
      </c>
      <c r="C96" t="s">
        <v>72</v>
      </c>
      <c r="D96" t="s">
        <v>35</v>
      </c>
      <c r="H96">
        <v>390</v>
      </c>
      <c r="I96" t="s">
        <v>157</v>
      </c>
      <c r="J96">
        <f t="shared" si="2"/>
        <v>390</v>
      </c>
      <c r="L96">
        <f t="shared" si="3"/>
        <v>0.17410714285714285</v>
      </c>
    </row>
    <row r="97" spans="1:12" x14ac:dyDescent="0.25">
      <c r="A97">
        <v>1738</v>
      </c>
      <c r="B97" t="s">
        <v>23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27</v>
      </c>
      <c r="C98" t="s">
        <v>72</v>
      </c>
      <c r="D98" t="s">
        <v>35</v>
      </c>
      <c r="H98">
        <v>2040.5</v>
      </c>
      <c r="I98" t="s">
        <v>159</v>
      </c>
      <c r="J98">
        <f t="shared" si="2"/>
        <v>2040.5</v>
      </c>
      <c r="L98">
        <f t="shared" si="3"/>
        <v>0.91093749999999996</v>
      </c>
    </row>
    <row r="99" spans="1:12" x14ac:dyDescent="0.25">
      <c r="A99">
        <v>1738</v>
      </c>
      <c r="B99" t="s">
        <v>15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1738</v>
      </c>
      <c r="B100" t="s">
        <v>93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42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83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1738</v>
      </c>
      <c r="B103" t="s">
        <v>47</v>
      </c>
      <c r="C103" t="s">
        <v>72</v>
      </c>
      <c r="D103" t="s">
        <v>35</v>
      </c>
      <c r="H103">
        <v>20</v>
      </c>
      <c r="I103" t="s">
        <v>135</v>
      </c>
      <c r="J103">
        <f t="shared" si="2"/>
        <v>20</v>
      </c>
      <c r="L103">
        <f t="shared" si="3"/>
        <v>8.9285714285714281E-3</v>
      </c>
    </row>
    <row r="104" spans="1:12" x14ac:dyDescent="0.25">
      <c r="A104">
        <v>1738</v>
      </c>
      <c r="B104" t="s">
        <v>16</v>
      </c>
      <c r="C104" t="s">
        <v>72</v>
      </c>
      <c r="D104" t="s">
        <v>35</v>
      </c>
      <c r="H104">
        <v>292</v>
      </c>
      <c r="J104">
        <f t="shared" si="2"/>
        <v>292</v>
      </c>
      <c r="L104">
        <f t="shared" si="3"/>
        <v>0.13035714285714287</v>
      </c>
    </row>
    <row r="105" spans="1:12" x14ac:dyDescent="0.25">
      <c r="A105">
        <v>1738</v>
      </c>
      <c r="B105" t="s">
        <v>17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1738</v>
      </c>
      <c r="B106" t="s">
        <v>18</v>
      </c>
      <c r="C106" t="s">
        <v>72</v>
      </c>
      <c r="D106" t="s">
        <v>35</v>
      </c>
      <c r="H106">
        <v>74339</v>
      </c>
      <c r="I106" t="s">
        <v>158</v>
      </c>
      <c r="J106">
        <f t="shared" si="2"/>
        <v>74339</v>
      </c>
      <c r="L106">
        <f t="shared" si="3"/>
        <v>33.187053571428571</v>
      </c>
    </row>
    <row r="107" spans="1:12" x14ac:dyDescent="0.25">
      <c r="A107">
        <v>1738</v>
      </c>
      <c r="B107" t="s">
        <v>26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1738</v>
      </c>
      <c r="B108" t="s">
        <v>84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1738</v>
      </c>
      <c r="B109" t="s">
        <v>19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45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1738</v>
      </c>
      <c r="B111" t="s">
        <v>85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1738</v>
      </c>
      <c r="B112" t="s">
        <v>54</v>
      </c>
      <c r="C112" t="s">
        <v>72</v>
      </c>
      <c r="D112" t="s">
        <v>35</v>
      </c>
      <c r="H112">
        <v>65</v>
      </c>
      <c r="J112">
        <f t="shared" si="2"/>
        <v>65</v>
      </c>
      <c r="L112">
        <f t="shared" si="3"/>
        <v>2.9017857142857144E-2</v>
      </c>
    </row>
    <row r="113" spans="1:12" x14ac:dyDescent="0.25">
      <c r="A113">
        <v>1738</v>
      </c>
      <c r="B113" t="s">
        <v>95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1738</v>
      </c>
      <c r="B114" t="s">
        <v>20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21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22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1738</v>
      </c>
      <c r="B117" t="s">
        <v>61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91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98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1738</v>
      </c>
      <c r="B120" t="s">
        <v>87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1738</v>
      </c>
      <c r="B121" t="s">
        <v>62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88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1738</v>
      </c>
      <c r="B123" t="s">
        <v>63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89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1738</v>
      </c>
      <c r="B125" t="s">
        <v>70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1738</v>
      </c>
      <c r="B126" t="s">
        <v>64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1738</v>
      </c>
      <c r="B127" t="s">
        <v>65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7"/>
  <sheetViews>
    <sheetView topLeftCell="A85" workbookViewId="0">
      <selection activeCell="H85" sqref="H8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1738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1738</v>
      </c>
      <c r="B3" t="s">
        <v>57</v>
      </c>
      <c r="C3" t="s">
        <v>73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1738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1738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1738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1738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1738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1738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1738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1738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1738</v>
      </c>
      <c r="B12" t="s">
        <v>6</v>
      </c>
      <c r="C12" t="s">
        <v>73</v>
      </c>
      <c r="D12" t="s">
        <v>33</v>
      </c>
      <c r="F12">
        <v>39639</v>
      </c>
      <c r="G12">
        <v>2</v>
      </c>
      <c r="H12">
        <v>25</v>
      </c>
      <c r="J12">
        <f t="shared" si="0"/>
        <v>4439649</v>
      </c>
      <c r="L12">
        <f t="shared" si="1"/>
        <v>1981.9861607142857</v>
      </c>
    </row>
    <row r="13" spans="1:15" x14ac:dyDescent="0.25">
      <c r="A13">
        <v>1738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1738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1738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1738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1738</v>
      </c>
      <c r="B19" t="s">
        <v>77</v>
      </c>
      <c r="C19" t="s">
        <v>73</v>
      </c>
      <c r="D19" t="s">
        <v>33</v>
      </c>
      <c r="F19">
        <v>2</v>
      </c>
      <c r="J19">
        <f t="shared" si="0"/>
        <v>224</v>
      </c>
      <c r="L19">
        <f t="shared" si="1"/>
        <v>0.1</v>
      </c>
    </row>
    <row r="20" spans="1:12" x14ac:dyDescent="0.25">
      <c r="A20">
        <v>1738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9</v>
      </c>
      <c r="C22" t="s">
        <v>73</v>
      </c>
      <c r="D22" t="s">
        <v>33</v>
      </c>
      <c r="H22">
        <f>171*200+112</f>
        <v>34312</v>
      </c>
      <c r="I22" t="s">
        <v>138</v>
      </c>
      <c r="J22">
        <f t="shared" si="0"/>
        <v>34312</v>
      </c>
      <c r="L22">
        <f t="shared" si="1"/>
        <v>15.317857142857143</v>
      </c>
    </row>
    <row r="23" spans="1:12" x14ac:dyDescent="0.25">
      <c r="A23">
        <v>1738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1738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1738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1738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1738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1738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1738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1738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1738</v>
      </c>
      <c r="B33" t="s">
        <v>13</v>
      </c>
      <c r="C33" t="s">
        <v>73</v>
      </c>
      <c r="D33" t="s">
        <v>33</v>
      </c>
      <c r="E33">
        <v>4</v>
      </c>
      <c r="F33">
        <v>1</v>
      </c>
      <c r="G33">
        <v>3</v>
      </c>
      <c r="H33">
        <v>24</v>
      </c>
      <c r="J33">
        <f t="shared" si="0"/>
        <v>9180</v>
      </c>
      <c r="L33">
        <f t="shared" si="1"/>
        <v>4.0982142857142856</v>
      </c>
    </row>
    <row r="34" spans="1:12" x14ac:dyDescent="0.25">
      <c r="A34">
        <v>1738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1738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1738</v>
      </c>
      <c r="B36" t="s">
        <v>27</v>
      </c>
      <c r="C36" t="s">
        <v>73</v>
      </c>
      <c r="D36" t="s">
        <v>33</v>
      </c>
      <c r="H36">
        <v>7442</v>
      </c>
      <c r="I36" t="s">
        <v>137</v>
      </c>
      <c r="J36">
        <f t="shared" si="0"/>
        <v>7442</v>
      </c>
      <c r="L36">
        <f t="shared" si="1"/>
        <v>3.3223214285714286</v>
      </c>
    </row>
    <row r="37" spans="1:12" x14ac:dyDescent="0.25">
      <c r="A37">
        <v>1738</v>
      </c>
      <c r="B37" t="s">
        <v>15</v>
      </c>
      <c r="C37" t="s">
        <v>73</v>
      </c>
      <c r="D37" t="s">
        <v>33</v>
      </c>
      <c r="F37">
        <v>17</v>
      </c>
      <c r="G37">
        <v>2</v>
      </c>
      <c r="J37">
        <f t="shared" si="0"/>
        <v>1960</v>
      </c>
      <c r="L37">
        <f t="shared" si="1"/>
        <v>0.875</v>
      </c>
    </row>
    <row r="38" spans="1:12" x14ac:dyDescent="0.25">
      <c r="A38">
        <v>1738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1738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1738</v>
      </c>
      <c r="B40" t="s">
        <v>47</v>
      </c>
      <c r="C40" t="s">
        <v>73</v>
      </c>
      <c r="D40" t="s">
        <v>33</v>
      </c>
      <c r="H40">
        <v>20</v>
      </c>
      <c r="I40" t="s">
        <v>135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1738</v>
      </c>
      <c r="B41" t="s">
        <v>16</v>
      </c>
      <c r="C41" t="s">
        <v>73</v>
      </c>
      <c r="D41" t="s">
        <v>33</v>
      </c>
      <c r="H41">
        <v>734</v>
      </c>
      <c r="J41">
        <f t="shared" si="0"/>
        <v>734</v>
      </c>
      <c r="L41">
        <f t="shared" si="1"/>
        <v>0.32767857142857143</v>
      </c>
    </row>
    <row r="42" spans="1:12" x14ac:dyDescent="0.25">
      <c r="A42">
        <v>1738</v>
      </c>
      <c r="B42" t="s">
        <v>106</v>
      </c>
      <c r="C42" t="s">
        <v>73</v>
      </c>
      <c r="D42" t="s">
        <v>33</v>
      </c>
      <c r="F42">
        <v>2</v>
      </c>
      <c r="J42">
        <f t="shared" si="0"/>
        <v>224</v>
      </c>
      <c r="L42">
        <f t="shared" si="1"/>
        <v>0.1</v>
      </c>
    </row>
    <row r="43" spans="1:12" x14ac:dyDescent="0.25">
      <c r="A43">
        <v>1738</v>
      </c>
      <c r="B43" t="s">
        <v>17</v>
      </c>
      <c r="C43" t="s">
        <v>73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1738</v>
      </c>
      <c r="B44" t="s">
        <v>18</v>
      </c>
      <c r="C44" t="s">
        <v>73</v>
      </c>
      <c r="D44" t="s">
        <v>33</v>
      </c>
      <c r="H44">
        <v>3961</v>
      </c>
      <c r="I44" t="s">
        <v>136</v>
      </c>
      <c r="J44">
        <f t="shared" si="0"/>
        <v>3961</v>
      </c>
      <c r="L44">
        <f t="shared" si="1"/>
        <v>1.7683035714285715</v>
      </c>
    </row>
    <row r="45" spans="1:12" x14ac:dyDescent="0.25">
      <c r="A45">
        <v>1738</v>
      </c>
      <c r="B45" t="s">
        <v>26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1738</v>
      </c>
      <c r="B46" t="s">
        <v>84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19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1738</v>
      </c>
      <c r="B48" t="s">
        <v>45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1738</v>
      </c>
      <c r="B49" t="s">
        <v>85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54</v>
      </c>
      <c r="C50" t="s">
        <v>73</v>
      </c>
      <c r="D50" t="s">
        <v>33</v>
      </c>
      <c r="H50">
        <v>97</v>
      </c>
      <c r="J50">
        <f t="shared" si="0"/>
        <v>97</v>
      </c>
      <c r="L50">
        <f t="shared" si="1"/>
        <v>4.3303571428571427E-2</v>
      </c>
    </row>
    <row r="51" spans="1:12" x14ac:dyDescent="0.25">
      <c r="A51">
        <v>1738</v>
      </c>
      <c r="B51" t="s">
        <v>95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1738</v>
      </c>
      <c r="B52" t="s">
        <v>20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1738</v>
      </c>
      <c r="B53" t="s">
        <v>21</v>
      </c>
      <c r="C53" t="s">
        <v>73</v>
      </c>
      <c r="D53" t="s">
        <v>33</v>
      </c>
      <c r="H53">
        <v>6</v>
      </c>
      <c r="J53">
        <f t="shared" si="0"/>
        <v>6</v>
      </c>
      <c r="L53">
        <f t="shared" si="1"/>
        <v>2.6785714285714286E-3</v>
      </c>
    </row>
    <row r="54" spans="1:12" x14ac:dyDescent="0.25">
      <c r="A54">
        <v>1738</v>
      </c>
      <c r="B54" t="s">
        <v>22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1738</v>
      </c>
      <c r="B55" t="s">
        <v>61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1738</v>
      </c>
      <c r="B56" t="s">
        <v>99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1738</v>
      </c>
      <c r="B57" t="s">
        <v>87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1738</v>
      </c>
      <c r="B58" t="s">
        <v>62</v>
      </c>
      <c r="C58" t="s">
        <v>73</v>
      </c>
      <c r="D58" t="s">
        <v>33</v>
      </c>
      <c r="E58">
        <v>5</v>
      </c>
      <c r="J58">
        <f t="shared" si="0"/>
        <v>11200</v>
      </c>
      <c r="L58">
        <f t="shared" si="1"/>
        <v>5</v>
      </c>
    </row>
    <row r="59" spans="1:12" x14ac:dyDescent="0.25">
      <c r="A59">
        <v>1738</v>
      </c>
      <c r="B59" t="s">
        <v>88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1738</v>
      </c>
      <c r="B60" t="s">
        <v>63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89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1738</v>
      </c>
      <c r="B62" t="s">
        <v>70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1738</v>
      </c>
      <c r="B63" t="s">
        <v>64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1738</v>
      </c>
      <c r="B64" t="s">
        <v>65</v>
      </c>
      <c r="C64" t="s">
        <v>73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1738</v>
      </c>
      <c r="B65" t="s">
        <v>55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57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36</v>
      </c>
      <c r="C67" t="s">
        <v>73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4</v>
      </c>
      <c r="C68" t="s">
        <v>73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1738</v>
      </c>
      <c r="B69" t="s">
        <v>58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1738</v>
      </c>
      <c r="B70" t="s">
        <v>69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1738</v>
      </c>
      <c r="B71" t="s">
        <v>43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1738</v>
      </c>
      <c r="B72" t="s">
        <v>76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1738</v>
      </c>
      <c r="B73" t="s">
        <v>5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59</v>
      </c>
      <c r="C74" t="s">
        <v>73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1738</v>
      </c>
      <c r="B75" t="s">
        <v>6</v>
      </c>
      <c r="C75" t="s">
        <v>73</v>
      </c>
      <c r="D75" t="s">
        <v>35</v>
      </c>
      <c r="F75">
        <v>3757</v>
      </c>
      <c r="G75">
        <v>3</v>
      </c>
      <c r="H75">
        <v>16</v>
      </c>
      <c r="J75">
        <f t="shared" si="2"/>
        <v>420884</v>
      </c>
      <c r="L75">
        <f t="shared" si="3"/>
        <v>187.89464285714286</v>
      </c>
    </row>
    <row r="76" spans="1:12" x14ac:dyDescent="0.25">
      <c r="A76">
        <v>1738</v>
      </c>
      <c r="B76" t="s">
        <v>60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1738</v>
      </c>
      <c r="B77" t="s">
        <v>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37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8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1738</v>
      </c>
      <c r="B80" t="s">
        <v>40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77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78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46</v>
      </c>
      <c r="C83" t="s">
        <v>73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9</v>
      </c>
      <c r="C84" t="s">
        <v>73</v>
      </c>
      <c r="D84" t="s">
        <v>35</v>
      </c>
      <c r="H84">
        <f>53.5*200</f>
        <v>10700</v>
      </c>
      <c r="I84" t="s">
        <v>162</v>
      </c>
      <c r="J84">
        <f t="shared" si="2"/>
        <v>10700</v>
      </c>
      <c r="L84">
        <f t="shared" si="3"/>
        <v>4.7767857142857144</v>
      </c>
    </row>
    <row r="85" spans="1:12" x14ac:dyDescent="0.25">
      <c r="A85">
        <v>1738</v>
      </c>
      <c r="B85" t="s">
        <v>10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1738</v>
      </c>
      <c r="B86" t="s">
        <v>11</v>
      </c>
      <c r="C86" t="s">
        <v>73</v>
      </c>
      <c r="D86" t="s">
        <v>35</v>
      </c>
      <c r="F86">
        <v>79</v>
      </c>
      <c r="H86">
        <v>8</v>
      </c>
      <c r="J86">
        <f t="shared" si="2"/>
        <v>8856</v>
      </c>
      <c r="L86">
        <f t="shared" si="3"/>
        <v>3.9535714285714287</v>
      </c>
    </row>
    <row r="87" spans="1:12" x14ac:dyDescent="0.25">
      <c r="A87">
        <v>1738</v>
      </c>
      <c r="B87" t="s">
        <v>39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79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1738</v>
      </c>
      <c r="B89" t="s">
        <v>103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44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1738</v>
      </c>
      <c r="B91" t="s">
        <v>97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12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1738</v>
      </c>
      <c r="B93" t="s">
        <v>82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1738</v>
      </c>
      <c r="B94" t="s">
        <v>34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13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1738</v>
      </c>
      <c r="B96" t="s">
        <v>14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1738</v>
      </c>
      <c r="B97" t="s">
        <v>23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27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1738</v>
      </c>
      <c r="B99" t="s">
        <v>15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1738</v>
      </c>
      <c r="B100" t="s">
        <v>93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42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83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1738</v>
      </c>
      <c r="B103" t="s">
        <v>47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1738</v>
      </c>
      <c r="B104" t="s">
        <v>16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1738</v>
      </c>
      <c r="B105" t="s">
        <v>17</v>
      </c>
      <c r="C105" t="s">
        <v>73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1738</v>
      </c>
      <c r="B106" t="s">
        <v>18</v>
      </c>
      <c r="C106" t="s">
        <v>73</v>
      </c>
      <c r="D106" t="s">
        <v>35</v>
      </c>
      <c r="H106">
        <v>450</v>
      </c>
      <c r="I106" t="s">
        <v>161</v>
      </c>
      <c r="J106">
        <f t="shared" si="2"/>
        <v>450</v>
      </c>
      <c r="L106">
        <f t="shared" si="3"/>
        <v>0.20089285714285715</v>
      </c>
    </row>
    <row r="107" spans="1:12" x14ac:dyDescent="0.25">
      <c r="A107">
        <v>1738</v>
      </c>
      <c r="B107" t="s">
        <v>26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1738</v>
      </c>
      <c r="B108" t="s">
        <v>84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1738</v>
      </c>
      <c r="B109" t="s">
        <v>19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45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1738</v>
      </c>
      <c r="B111" t="s">
        <v>85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1738</v>
      </c>
      <c r="B112" t="s">
        <v>54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1738</v>
      </c>
      <c r="B113" t="s">
        <v>95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1738</v>
      </c>
      <c r="B114" t="s">
        <v>20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21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22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1738</v>
      </c>
      <c r="B117" t="s">
        <v>61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91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98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1738</v>
      </c>
      <c r="B120" t="s">
        <v>87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1738</v>
      </c>
      <c r="B121" t="s">
        <v>62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88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1738</v>
      </c>
      <c r="B123" t="s">
        <v>63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89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1738</v>
      </c>
      <c r="B125" t="s">
        <v>70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1738</v>
      </c>
      <c r="B126" t="s">
        <v>64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1738</v>
      </c>
      <c r="B127" t="s">
        <v>65</v>
      </c>
      <c r="C127" t="s">
        <v>73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8"/>
  <sheetViews>
    <sheetView topLeftCell="A106" zoomScaleNormal="100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1738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1738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1738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1738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1738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1738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1738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1738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1738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1738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1738</v>
      </c>
      <c r="B12" t="s">
        <v>6</v>
      </c>
      <c r="C12" t="s">
        <v>74</v>
      </c>
      <c r="D12" t="s">
        <v>33</v>
      </c>
      <c r="F12">
        <v>131917</v>
      </c>
      <c r="G12">
        <v>3</v>
      </c>
      <c r="H12">
        <v>19</v>
      </c>
      <c r="J12">
        <f t="shared" si="0"/>
        <v>14774807</v>
      </c>
      <c r="L12">
        <f t="shared" si="1"/>
        <v>6595.8959821428571</v>
      </c>
    </row>
    <row r="13" spans="1:15" x14ac:dyDescent="0.25">
      <c r="A13">
        <v>1738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1738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1738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1738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1738</v>
      </c>
      <c r="B19" t="s">
        <v>77</v>
      </c>
      <c r="C19" t="s">
        <v>74</v>
      </c>
      <c r="D19" t="s">
        <v>33</v>
      </c>
      <c r="F19">
        <v>17</v>
      </c>
      <c r="G19">
        <v>3</v>
      </c>
      <c r="H19">
        <v>7</v>
      </c>
      <c r="J19">
        <f t="shared" si="0"/>
        <v>1995</v>
      </c>
      <c r="L19">
        <f t="shared" si="1"/>
        <v>0.890625</v>
      </c>
    </row>
    <row r="20" spans="1:12" x14ac:dyDescent="0.25">
      <c r="A20">
        <v>1738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9</v>
      </c>
      <c r="C22" t="s">
        <v>74</v>
      </c>
      <c r="D22" t="s">
        <v>33</v>
      </c>
      <c r="H22">
        <f>466*200+8</f>
        <v>93208</v>
      </c>
      <c r="I22" t="s">
        <v>143</v>
      </c>
      <c r="J22">
        <f t="shared" si="0"/>
        <v>93208</v>
      </c>
      <c r="L22">
        <f t="shared" si="1"/>
        <v>41.610714285714288</v>
      </c>
    </row>
    <row r="23" spans="1:12" x14ac:dyDescent="0.25">
      <c r="A23">
        <v>1738</v>
      </c>
      <c r="B23" t="s">
        <v>10</v>
      </c>
      <c r="C23" t="s">
        <v>74</v>
      </c>
      <c r="D23" t="s">
        <v>33</v>
      </c>
      <c r="F23">
        <v>1</v>
      </c>
      <c r="J23">
        <f t="shared" si="0"/>
        <v>112</v>
      </c>
      <c r="L23">
        <f t="shared" si="1"/>
        <v>0.05</v>
      </c>
    </row>
    <row r="24" spans="1:12" x14ac:dyDescent="0.25">
      <c r="A24">
        <v>1738</v>
      </c>
      <c r="B24" t="s">
        <v>11</v>
      </c>
      <c r="C24" t="s">
        <v>74</v>
      </c>
      <c r="D24" t="s">
        <v>33</v>
      </c>
      <c r="F24">
        <v>91</v>
      </c>
      <c r="G24">
        <v>1</v>
      </c>
      <c r="H24">
        <v>17</v>
      </c>
      <c r="J24">
        <f t="shared" si="0"/>
        <v>10237</v>
      </c>
      <c r="L24">
        <f t="shared" si="1"/>
        <v>4.5700892857142854</v>
      </c>
    </row>
    <row r="25" spans="1:12" x14ac:dyDescent="0.25">
      <c r="A25">
        <v>1738</v>
      </c>
      <c r="B25" t="s">
        <v>39</v>
      </c>
      <c r="C25" t="s">
        <v>74</v>
      </c>
      <c r="D25" t="s">
        <v>33</v>
      </c>
      <c r="H25">
        <v>1</v>
      </c>
      <c r="J25">
        <f t="shared" si="0"/>
        <v>1</v>
      </c>
      <c r="L25">
        <f t="shared" si="1"/>
        <v>4.4642857142857141E-4</v>
      </c>
    </row>
    <row r="26" spans="1:12" x14ac:dyDescent="0.25">
      <c r="A26">
        <v>1738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139</v>
      </c>
      <c r="C27" t="s">
        <v>74</v>
      </c>
      <c r="D27" t="s">
        <v>33</v>
      </c>
      <c r="H27">
        <v>6</v>
      </c>
      <c r="J27">
        <f t="shared" si="0"/>
        <v>6</v>
      </c>
      <c r="L27">
        <f t="shared" si="1"/>
        <v>2.6785714285714286E-3</v>
      </c>
    </row>
    <row r="28" spans="1:12" x14ac:dyDescent="0.25">
      <c r="A28">
        <v>1738</v>
      </c>
      <c r="B28" t="s">
        <v>103</v>
      </c>
      <c r="C28" t="s">
        <v>74</v>
      </c>
      <c r="D28" t="s">
        <v>33</v>
      </c>
      <c r="H28">
        <v>30</v>
      </c>
      <c r="J28">
        <f t="shared" si="0"/>
        <v>30</v>
      </c>
      <c r="L28">
        <f t="shared" si="1"/>
        <v>1.3392857142857142E-2</v>
      </c>
    </row>
    <row r="29" spans="1:12" x14ac:dyDescent="0.25">
      <c r="A29">
        <v>1738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1738</v>
      </c>
      <c r="B31" t="s">
        <v>12</v>
      </c>
      <c r="C31" t="s">
        <v>74</v>
      </c>
      <c r="D31" t="s">
        <v>33</v>
      </c>
      <c r="H31">
        <v>100</v>
      </c>
      <c r="J31">
        <f t="shared" si="0"/>
        <v>100</v>
      </c>
      <c r="L31">
        <f t="shared" si="1"/>
        <v>4.4642857142857144E-2</v>
      </c>
    </row>
    <row r="32" spans="1:12" x14ac:dyDescent="0.25">
      <c r="A32">
        <v>1738</v>
      </c>
      <c r="B32" t="s">
        <v>121</v>
      </c>
      <c r="C32" t="s">
        <v>74</v>
      </c>
      <c r="D32" t="s">
        <v>33</v>
      </c>
      <c r="H32">
        <v>5627</v>
      </c>
      <c r="J32">
        <f t="shared" si="0"/>
        <v>5627</v>
      </c>
      <c r="L32">
        <f t="shared" si="1"/>
        <v>2.5120535714285714</v>
      </c>
    </row>
    <row r="33" spans="1:12" x14ac:dyDescent="0.25">
      <c r="A33">
        <v>1738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13</v>
      </c>
      <c r="C34" t="s">
        <v>74</v>
      </c>
      <c r="D34" t="s">
        <v>33</v>
      </c>
      <c r="E34">
        <v>3</v>
      </c>
      <c r="J34">
        <f t="shared" si="0"/>
        <v>6720</v>
      </c>
      <c r="L34">
        <f t="shared" si="1"/>
        <v>3</v>
      </c>
    </row>
    <row r="35" spans="1:12" x14ac:dyDescent="0.25">
      <c r="A35">
        <v>1738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1738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1738</v>
      </c>
      <c r="B37" t="s">
        <v>27</v>
      </c>
      <c r="C37" t="s">
        <v>74</v>
      </c>
      <c r="D37" t="s">
        <v>33</v>
      </c>
      <c r="H37">
        <v>408325</v>
      </c>
      <c r="I37" t="s">
        <v>142</v>
      </c>
      <c r="J37">
        <f t="shared" si="0"/>
        <v>408325</v>
      </c>
      <c r="L37">
        <f t="shared" si="1"/>
        <v>182.28794642857142</v>
      </c>
    </row>
    <row r="38" spans="1:12" x14ac:dyDescent="0.25">
      <c r="A38">
        <v>1738</v>
      </c>
      <c r="B38" t="s">
        <v>15</v>
      </c>
      <c r="C38" t="s">
        <v>74</v>
      </c>
      <c r="D38" t="s">
        <v>33</v>
      </c>
      <c r="F38">
        <v>6</v>
      </c>
      <c r="H38">
        <v>8</v>
      </c>
      <c r="J38">
        <f t="shared" si="0"/>
        <v>680</v>
      </c>
      <c r="L38">
        <f t="shared" si="1"/>
        <v>0.30357142857142855</v>
      </c>
    </row>
    <row r="39" spans="1:12" x14ac:dyDescent="0.25">
      <c r="A39">
        <v>1738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1738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47</v>
      </c>
      <c r="C41" t="s">
        <v>74</v>
      </c>
      <c r="D41" t="s">
        <v>33</v>
      </c>
      <c r="H41">
        <v>120</v>
      </c>
      <c r="I41" t="s">
        <v>140</v>
      </c>
      <c r="J41">
        <f t="shared" si="0"/>
        <v>120</v>
      </c>
      <c r="L41">
        <f t="shared" si="1"/>
        <v>5.3571428571428568E-2</v>
      </c>
    </row>
    <row r="42" spans="1:12" x14ac:dyDescent="0.25">
      <c r="A42">
        <v>1738</v>
      </c>
      <c r="B42" t="s">
        <v>16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1738</v>
      </c>
      <c r="B43" t="s">
        <v>106</v>
      </c>
      <c r="C43" t="s">
        <v>74</v>
      </c>
      <c r="D43" t="s">
        <v>33</v>
      </c>
      <c r="F43">
        <v>1</v>
      </c>
      <c r="J43">
        <f t="shared" si="0"/>
        <v>112</v>
      </c>
      <c r="L43">
        <f t="shared" si="1"/>
        <v>0.05</v>
      </c>
    </row>
    <row r="44" spans="1:12" x14ac:dyDescent="0.25">
      <c r="A44">
        <v>1738</v>
      </c>
      <c r="B44" t="s">
        <v>17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1738</v>
      </c>
      <c r="B45" t="s">
        <v>18</v>
      </c>
      <c r="C45" t="s">
        <v>74</v>
      </c>
      <c r="D45" t="s">
        <v>33</v>
      </c>
      <c r="H45">
        <v>33773.5</v>
      </c>
      <c r="I45" t="s">
        <v>141</v>
      </c>
      <c r="J45">
        <f t="shared" si="0"/>
        <v>33773.5</v>
      </c>
      <c r="L45">
        <f t="shared" si="1"/>
        <v>15.077455357142858</v>
      </c>
    </row>
    <row r="46" spans="1:12" x14ac:dyDescent="0.25">
      <c r="A46">
        <v>1738</v>
      </c>
      <c r="B46" t="s">
        <v>26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84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1738</v>
      </c>
      <c r="B48" t="s">
        <v>19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1738</v>
      </c>
      <c r="B49" t="s">
        <v>45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85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1738</v>
      </c>
      <c r="B51" t="s">
        <v>54</v>
      </c>
      <c r="C51" t="s">
        <v>74</v>
      </c>
      <c r="D51" t="s">
        <v>33</v>
      </c>
      <c r="H51">
        <v>136</v>
      </c>
      <c r="J51">
        <f t="shared" si="0"/>
        <v>136</v>
      </c>
      <c r="L51">
        <f t="shared" si="1"/>
        <v>6.0714285714285714E-2</v>
      </c>
    </row>
    <row r="52" spans="1:12" x14ac:dyDescent="0.25">
      <c r="A52">
        <v>1738</v>
      </c>
      <c r="B52" t="s">
        <v>95</v>
      </c>
      <c r="C52" t="s">
        <v>74</v>
      </c>
      <c r="D52" t="s">
        <v>33</v>
      </c>
      <c r="H52">
        <v>111</v>
      </c>
      <c r="J52">
        <f t="shared" si="0"/>
        <v>111</v>
      </c>
      <c r="L52">
        <f t="shared" si="1"/>
        <v>4.9553571428571426E-2</v>
      </c>
    </row>
    <row r="53" spans="1:12" x14ac:dyDescent="0.25">
      <c r="A53">
        <v>1738</v>
      </c>
      <c r="B53" t="s">
        <v>20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1738</v>
      </c>
      <c r="B54" t="s">
        <v>21</v>
      </c>
      <c r="C54" t="s">
        <v>74</v>
      </c>
      <c r="D54" t="s">
        <v>33</v>
      </c>
      <c r="H54">
        <v>23</v>
      </c>
      <c r="J54">
        <f t="shared" si="0"/>
        <v>23</v>
      </c>
      <c r="L54">
        <f t="shared" si="1"/>
        <v>1.0267857142857143E-2</v>
      </c>
    </row>
    <row r="55" spans="1:12" x14ac:dyDescent="0.25">
      <c r="A55">
        <v>1738</v>
      </c>
      <c r="B55" t="s">
        <v>22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1738</v>
      </c>
      <c r="B56" t="s">
        <v>61</v>
      </c>
      <c r="C56" t="s">
        <v>74</v>
      </c>
      <c r="D56" t="s">
        <v>33</v>
      </c>
      <c r="E56">
        <v>1</v>
      </c>
      <c r="F56">
        <v>5</v>
      </c>
      <c r="G56">
        <v>2</v>
      </c>
      <c r="H56">
        <v>18</v>
      </c>
      <c r="J56">
        <f t="shared" si="0"/>
        <v>2874</v>
      </c>
      <c r="L56">
        <f t="shared" si="1"/>
        <v>1.2830357142857143</v>
      </c>
    </row>
    <row r="57" spans="1:12" x14ac:dyDescent="0.25">
      <c r="A57">
        <v>1738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1738</v>
      </c>
      <c r="B58" t="s">
        <v>87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62</v>
      </c>
      <c r="C59" t="s">
        <v>74</v>
      </c>
      <c r="D59" t="s">
        <v>33</v>
      </c>
      <c r="E59">
        <v>50</v>
      </c>
      <c r="J59">
        <f t="shared" si="0"/>
        <v>112000</v>
      </c>
      <c r="L59">
        <f t="shared" si="1"/>
        <v>50</v>
      </c>
    </row>
    <row r="60" spans="1:12" x14ac:dyDescent="0.25">
      <c r="A60">
        <v>1738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63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1738</v>
      </c>
      <c r="B62" t="s">
        <v>89</v>
      </c>
      <c r="C62" t="s">
        <v>74</v>
      </c>
      <c r="D62" t="s">
        <v>33</v>
      </c>
      <c r="E62">
        <v>2</v>
      </c>
      <c r="J62">
        <f t="shared" si="0"/>
        <v>4480</v>
      </c>
      <c r="L62">
        <f t="shared" si="1"/>
        <v>2</v>
      </c>
    </row>
    <row r="63" spans="1:12" x14ac:dyDescent="0.25">
      <c r="A63">
        <v>1738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1738</v>
      </c>
      <c r="B64" t="s">
        <v>64</v>
      </c>
      <c r="C64" t="s">
        <v>74</v>
      </c>
      <c r="D64" t="s">
        <v>33</v>
      </c>
      <c r="E64">
        <v>2</v>
      </c>
      <c r="J64">
        <f t="shared" si="0"/>
        <v>4480</v>
      </c>
      <c r="L64">
        <f t="shared" si="1"/>
        <v>2</v>
      </c>
    </row>
    <row r="65" spans="1:12" x14ac:dyDescent="0.25">
      <c r="A65">
        <v>1738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1738</v>
      </c>
      <c r="B69" t="s">
        <v>4</v>
      </c>
      <c r="C69" t="s">
        <v>74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1738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1738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1738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1738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5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1738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1738</v>
      </c>
      <c r="B76" t="s">
        <v>6</v>
      </c>
      <c r="C76" t="s">
        <v>74</v>
      </c>
      <c r="D76" t="s">
        <v>35</v>
      </c>
      <c r="F76">
        <v>14103</v>
      </c>
      <c r="G76">
        <v>3</v>
      </c>
      <c r="H76">
        <v>6</v>
      </c>
      <c r="J76">
        <f t="shared" si="2"/>
        <v>1579626</v>
      </c>
      <c r="L76">
        <f t="shared" si="3"/>
        <v>705.19017857142853</v>
      </c>
    </row>
    <row r="77" spans="1:12" x14ac:dyDescent="0.25">
      <c r="A77">
        <v>1738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1738</v>
      </c>
      <c r="B80" t="s">
        <v>8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77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1738</v>
      </c>
      <c r="B85" t="s">
        <v>9</v>
      </c>
      <c r="C85" t="s">
        <v>74</v>
      </c>
      <c r="D85" t="s">
        <v>35</v>
      </c>
      <c r="H85">
        <f>625*200</f>
        <v>125000</v>
      </c>
      <c r="I85" t="s">
        <v>165</v>
      </c>
      <c r="J85">
        <f t="shared" si="2"/>
        <v>125000</v>
      </c>
      <c r="L85">
        <f t="shared" si="3"/>
        <v>55.803571428571431</v>
      </c>
    </row>
    <row r="86" spans="1:12" x14ac:dyDescent="0.25">
      <c r="A86">
        <v>1738</v>
      </c>
      <c r="B86" t="s">
        <v>10</v>
      </c>
      <c r="C86" t="s">
        <v>74</v>
      </c>
      <c r="D86" t="s">
        <v>35</v>
      </c>
      <c r="F86">
        <v>2</v>
      </c>
      <c r="H86">
        <v>13</v>
      </c>
      <c r="J86">
        <f t="shared" si="2"/>
        <v>237</v>
      </c>
      <c r="L86">
        <f t="shared" si="3"/>
        <v>0.10580357142857143</v>
      </c>
    </row>
    <row r="87" spans="1:12" x14ac:dyDescent="0.25">
      <c r="A87">
        <v>1738</v>
      </c>
      <c r="B87" t="s">
        <v>11</v>
      </c>
      <c r="C87" t="s">
        <v>74</v>
      </c>
      <c r="D87" t="s">
        <v>35</v>
      </c>
      <c r="F87">
        <v>188</v>
      </c>
      <c r="G87">
        <v>2</v>
      </c>
      <c r="H87">
        <v>1</v>
      </c>
      <c r="J87">
        <f t="shared" si="2"/>
        <v>21113</v>
      </c>
      <c r="L87">
        <f t="shared" si="3"/>
        <v>9.4254464285714281</v>
      </c>
    </row>
    <row r="88" spans="1:12" x14ac:dyDescent="0.25">
      <c r="A88">
        <v>1738</v>
      </c>
      <c r="B88" t="s">
        <v>39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1738</v>
      </c>
      <c r="B89" t="s">
        <v>79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103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1738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97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1738</v>
      </c>
      <c r="B93" t="s">
        <v>12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1738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1738</v>
      </c>
      <c r="B96" t="s">
        <v>13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1738</v>
      </c>
      <c r="B97" t="s">
        <v>14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1738</v>
      </c>
      <c r="B99" t="s">
        <v>27</v>
      </c>
      <c r="C99" t="s">
        <v>74</v>
      </c>
      <c r="D99" t="s">
        <v>35</v>
      </c>
      <c r="H99">
        <v>3381</v>
      </c>
      <c r="I99" t="s">
        <v>164</v>
      </c>
      <c r="J99">
        <f t="shared" si="2"/>
        <v>3381</v>
      </c>
      <c r="L99">
        <f t="shared" si="3"/>
        <v>1.5093749999999999</v>
      </c>
    </row>
    <row r="100" spans="1:12" x14ac:dyDescent="0.25">
      <c r="A100">
        <v>1738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93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1738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1738</v>
      </c>
      <c r="B104" t="s">
        <v>47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1738</v>
      </c>
      <c r="B105" t="s">
        <v>16</v>
      </c>
      <c r="C105" t="s">
        <v>74</v>
      </c>
      <c r="D105" t="s">
        <v>35</v>
      </c>
      <c r="H105">
        <v>47</v>
      </c>
      <c r="J105">
        <f t="shared" si="2"/>
        <v>47</v>
      </c>
      <c r="L105">
        <f t="shared" si="3"/>
        <v>2.0982142857142855E-2</v>
      </c>
    </row>
    <row r="106" spans="1:12" x14ac:dyDescent="0.25">
      <c r="A106">
        <v>1738</v>
      </c>
      <c r="B106" t="s">
        <v>17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1738</v>
      </c>
      <c r="B107" t="s">
        <v>18</v>
      </c>
      <c r="C107" t="s">
        <v>74</v>
      </c>
      <c r="D107" t="s">
        <v>35</v>
      </c>
      <c r="H107">
        <v>8812.5</v>
      </c>
      <c r="I107" t="s">
        <v>163</v>
      </c>
      <c r="J107">
        <f t="shared" si="2"/>
        <v>8812.5</v>
      </c>
      <c r="L107">
        <f t="shared" si="3"/>
        <v>3.9341517857142856</v>
      </c>
    </row>
    <row r="108" spans="1:12" x14ac:dyDescent="0.25">
      <c r="A108">
        <v>1738</v>
      </c>
      <c r="B108" t="s">
        <v>26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1738</v>
      </c>
      <c r="B109" t="s">
        <v>84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19</v>
      </c>
      <c r="C110" t="s">
        <v>74</v>
      </c>
      <c r="D110" t="s">
        <v>35</v>
      </c>
      <c r="G110">
        <v>1</v>
      </c>
      <c r="H110">
        <v>4</v>
      </c>
      <c r="J110">
        <f t="shared" si="2"/>
        <v>32</v>
      </c>
      <c r="L110">
        <f t="shared" si="3"/>
        <v>1.4285714285714285E-2</v>
      </c>
    </row>
    <row r="111" spans="1:12" x14ac:dyDescent="0.25">
      <c r="A111">
        <v>1738</v>
      </c>
      <c r="B111" t="s">
        <v>45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1738</v>
      </c>
      <c r="B112" t="s">
        <v>85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1738</v>
      </c>
      <c r="B113" t="s">
        <v>54</v>
      </c>
      <c r="C113" t="s">
        <v>74</v>
      </c>
      <c r="D113" t="s">
        <v>35</v>
      </c>
      <c r="H113">
        <v>14</v>
      </c>
      <c r="J113">
        <f t="shared" si="2"/>
        <v>14</v>
      </c>
      <c r="L113">
        <f t="shared" si="3"/>
        <v>6.2500000000000003E-3</v>
      </c>
    </row>
    <row r="114" spans="1:12" x14ac:dyDescent="0.25">
      <c r="A114">
        <v>1738</v>
      </c>
      <c r="B114" t="s">
        <v>95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20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21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1738</v>
      </c>
      <c r="B117" t="s">
        <v>22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61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91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1738</v>
      </c>
      <c r="B120" t="s">
        <v>98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1738</v>
      </c>
      <c r="B121" t="s">
        <v>87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62</v>
      </c>
      <c r="C122" t="s">
        <v>74</v>
      </c>
      <c r="D122" t="s">
        <v>35</v>
      </c>
      <c r="E122">
        <v>142</v>
      </c>
      <c r="F122">
        <v>17</v>
      </c>
      <c r="G122">
        <v>1</v>
      </c>
      <c r="H122">
        <v>2</v>
      </c>
      <c r="J122">
        <f t="shared" si="2"/>
        <v>320014</v>
      </c>
      <c r="L122">
        <f t="shared" si="3"/>
        <v>142.86339285714286</v>
      </c>
    </row>
    <row r="123" spans="1:12" x14ac:dyDescent="0.25">
      <c r="A123">
        <v>1738</v>
      </c>
      <c r="B123" t="s">
        <v>88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63</v>
      </c>
      <c r="C124" t="s">
        <v>74</v>
      </c>
      <c r="D124" t="s">
        <v>35</v>
      </c>
      <c r="E124">
        <v>15</v>
      </c>
      <c r="F124">
        <v>1</v>
      </c>
      <c r="G124">
        <v>3</v>
      </c>
      <c r="H124">
        <v>19</v>
      </c>
      <c r="J124">
        <f t="shared" si="2"/>
        <v>33815</v>
      </c>
      <c r="L124">
        <f t="shared" si="3"/>
        <v>15.095982142857142</v>
      </c>
    </row>
    <row r="125" spans="1:12" x14ac:dyDescent="0.25">
      <c r="A125">
        <v>1738</v>
      </c>
      <c r="B125" t="s">
        <v>89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1738</v>
      </c>
      <c r="B126" t="s">
        <v>70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1738</v>
      </c>
      <c r="B127" t="s">
        <v>64</v>
      </c>
      <c r="C127" t="s">
        <v>74</v>
      </c>
      <c r="D127" t="s">
        <v>35</v>
      </c>
      <c r="E127">
        <v>3</v>
      </c>
      <c r="F127">
        <v>13</v>
      </c>
      <c r="H127">
        <v>17</v>
      </c>
      <c r="J127">
        <f t="shared" si="2"/>
        <v>8193</v>
      </c>
      <c r="L127">
        <f t="shared" si="3"/>
        <v>3.6575892857142858</v>
      </c>
    </row>
    <row r="128" spans="1:12" x14ac:dyDescent="0.25">
      <c r="A128">
        <v>1738</v>
      </c>
      <c r="B128" t="s">
        <v>65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109" workbookViewId="0">
      <selection activeCell="H86" sqref="H8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1738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1738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1738</v>
      </c>
      <c r="B4" t="s">
        <v>36</v>
      </c>
      <c r="C4" t="s">
        <v>100</v>
      </c>
      <c r="D4" t="s">
        <v>33</v>
      </c>
      <c r="H4">
        <v>100</v>
      </c>
      <c r="J4">
        <f t="shared" si="0"/>
        <v>100</v>
      </c>
      <c r="L4">
        <f t="shared" si="1"/>
        <v>4.4642857142857144E-2</v>
      </c>
    </row>
    <row r="5" spans="1:15" x14ac:dyDescent="0.25">
      <c r="A5">
        <v>1738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1738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1738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1738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1738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1738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1738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1738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1738</v>
      </c>
      <c r="B13" t="s">
        <v>6</v>
      </c>
      <c r="C13" t="s">
        <v>100</v>
      </c>
      <c r="D13" t="s">
        <v>33</v>
      </c>
      <c r="F13">
        <v>311</v>
      </c>
      <c r="G13">
        <v>1</v>
      </c>
      <c r="H13">
        <v>7</v>
      </c>
      <c r="J13">
        <f t="shared" si="0"/>
        <v>34867</v>
      </c>
      <c r="L13">
        <f t="shared" si="1"/>
        <v>15.565625000000001</v>
      </c>
    </row>
    <row r="14" spans="1:15" x14ac:dyDescent="0.25">
      <c r="A14">
        <v>1738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1738</v>
      </c>
      <c r="B15" t="s">
        <v>60</v>
      </c>
      <c r="C15" t="s">
        <v>100</v>
      </c>
      <c r="D15" t="s">
        <v>33</v>
      </c>
      <c r="H15">
        <v>800</v>
      </c>
      <c r="J15">
        <f t="shared" si="0"/>
        <v>800</v>
      </c>
      <c r="L15">
        <f t="shared" si="1"/>
        <v>0.35714285714285715</v>
      </c>
    </row>
    <row r="16" spans="1:15" x14ac:dyDescent="0.25">
      <c r="A16">
        <v>1738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1738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1738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1738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1738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1738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1738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1738</v>
      </c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1738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1738</v>
      </c>
      <c r="B25" t="s">
        <v>11</v>
      </c>
      <c r="C25" t="s">
        <v>100</v>
      </c>
      <c r="D25" t="s">
        <v>33</v>
      </c>
      <c r="F25">
        <v>30</v>
      </c>
      <c r="G25">
        <v>1</v>
      </c>
      <c r="J25">
        <f t="shared" si="0"/>
        <v>3388</v>
      </c>
      <c r="L25">
        <f t="shared" si="1"/>
        <v>1.5125</v>
      </c>
    </row>
    <row r="26" spans="1:12" x14ac:dyDescent="0.25">
      <c r="A26">
        <v>1738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1738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1738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1738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1738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1738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1738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1738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1738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1738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1738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1738</v>
      </c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1738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1738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1738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1738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1738</v>
      </c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1738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1738</v>
      </c>
      <c r="B44" t="s">
        <v>18</v>
      </c>
      <c r="C44" t="s">
        <v>100</v>
      </c>
      <c r="D44" t="s">
        <v>33</v>
      </c>
      <c r="H44">
        <v>580</v>
      </c>
      <c r="I44" t="s">
        <v>144</v>
      </c>
      <c r="J44">
        <f t="shared" si="0"/>
        <v>580</v>
      </c>
      <c r="L44">
        <f t="shared" si="1"/>
        <v>0.25892857142857145</v>
      </c>
    </row>
    <row r="45" spans="1:12" x14ac:dyDescent="0.25">
      <c r="A45">
        <v>1738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1738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1738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1738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1738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1738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1738</v>
      </c>
      <c r="B51" t="s">
        <v>95</v>
      </c>
      <c r="C51" t="s">
        <v>100</v>
      </c>
      <c r="D51" t="s">
        <v>33</v>
      </c>
      <c r="H51">
        <v>112</v>
      </c>
      <c r="J51">
        <f t="shared" si="0"/>
        <v>112</v>
      </c>
      <c r="L51">
        <f t="shared" si="1"/>
        <v>0.05</v>
      </c>
    </row>
    <row r="52" spans="1:12" x14ac:dyDescent="0.25">
      <c r="A52">
        <v>1738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1738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1738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1738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1738</v>
      </c>
      <c r="B56" t="s">
        <v>61</v>
      </c>
      <c r="C56" t="s">
        <v>100</v>
      </c>
      <c r="D56" t="s">
        <v>33</v>
      </c>
      <c r="E56">
        <v>36</v>
      </c>
      <c r="J56">
        <f t="shared" si="0"/>
        <v>80640</v>
      </c>
      <c r="L56">
        <f t="shared" si="1"/>
        <v>36</v>
      </c>
    </row>
    <row r="57" spans="1:12" x14ac:dyDescent="0.25">
      <c r="A57">
        <v>1738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1738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1738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1738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1738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1738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1738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1738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1738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1738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1738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1738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1738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1738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1738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1738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1738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1738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1738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1738</v>
      </c>
      <c r="B76" t="s">
        <v>6</v>
      </c>
      <c r="C76" t="s">
        <v>100</v>
      </c>
      <c r="D76" t="s">
        <v>35</v>
      </c>
      <c r="F76">
        <v>20</v>
      </c>
      <c r="G76">
        <v>3</v>
      </c>
      <c r="H76">
        <v>15</v>
      </c>
      <c r="J76">
        <f t="shared" si="2"/>
        <v>2339</v>
      </c>
      <c r="L76">
        <f t="shared" si="3"/>
        <v>1.0441964285714285</v>
      </c>
    </row>
    <row r="77" spans="1:12" x14ac:dyDescent="0.25">
      <c r="A77">
        <v>1738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1738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1738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1738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1738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1738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1738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1738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1738</v>
      </c>
      <c r="B85" t="s">
        <v>9</v>
      </c>
      <c r="C85" t="s">
        <v>100</v>
      </c>
      <c r="D85" t="s">
        <v>35</v>
      </c>
      <c r="H85">
        <f>101.5*200</f>
        <v>20300</v>
      </c>
      <c r="I85" t="s">
        <v>166</v>
      </c>
      <c r="J85">
        <f t="shared" si="2"/>
        <v>20300</v>
      </c>
      <c r="L85">
        <f t="shared" si="3"/>
        <v>9.0625</v>
      </c>
    </row>
    <row r="86" spans="1:12" x14ac:dyDescent="0.25">
      <c r="A86">
        <v>1738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1738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1738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1738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1738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1738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1738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1738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1738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1738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1738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1738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1738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1738</v>
      </c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1738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1738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1738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1738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1738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1738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1738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1738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1738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1738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1738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1738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1738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1738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1738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1738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1738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1738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1738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1738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1738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1738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1738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1738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1738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1738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1738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1738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1738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2025-04-30T03:39:04Z</dcterms:modified>
</cp:coreProperties>
</file>