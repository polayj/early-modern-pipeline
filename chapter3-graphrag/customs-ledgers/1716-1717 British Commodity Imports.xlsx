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13" documentId="8_{395EC444-8E1B-4294-86EB-2DBC17282BDD}" xr6:coauthVersionLast="47" xr6:coauthVersionMax="47" xr10:uidLastSave="{9C19EE13-3338-429A-A7A8-81F3EA2D0270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Barbados!$A$1:$N$55</definedName>
    <definedName name="_xlnm._FilterDatabase" localSheetId="5" hidden="1">Jamaica!$A$1:$O$62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6" i="5" l="1"/>
  <c r="J116" i="5"/>
  <c r="J17" i="5"/>
  <c r="L17" i="5" s="1"/>
  <c r="L35" i="3"/>
  <c r="J35" i="3"/>
  <c r="J22" i="3"/>
  <c r="L22" i="3" s="1"/>
  <c r="J120" i="5"/>
  <c r="L120" i="5" s="1"/>
  <c r="J73" i="5"/>
  <c r="L73" i="5" s="1"/>
  <c r="J84" i="3"/>
  <c r="L84" i="3" s="1"/>
  <c r="J117" i="2"/>
  <c r="L117" i="2" s="1"/>
  <c r="L54" i="11"/>
  <c r="J54" i="11"/>
  <c r="J10" i="11"/>
  <c r="L10" i="11" s="1"/>
  <c r="J55" i="5"/>
  <c r="L55" i="5" s="1"/>
  <c r="J8" i="5"/>
  <c r="L8" i="5" s="1"/>
  <c r="J15" i="4"/>
  <c r="L15" i="4" s="1"/>
  <c r="J17" i="4"/>
  <c r="L17" i="4" s="1"/>
  <c r="J13" i="4"/>
  <c r="L13" i="4" s="1"/>
  <c r="J10" i="4"/>
  <c r="L10" i="4" s="1"/>
  <c r="J6" i="4"/>
  <c r="L6" i="4" s="1"/>
  <c r="J23" i="3"/>
  <c r="L23" i="3" s="1"/>
  <c r="J29" i="2"/>
  <c r="L29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L92" i="8"/>
  <c r="J92" i="8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L84" i="8"/>
  <c r="J84" i="8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L68" i="8"/>
  <c r="J68" i="8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L36" i="6"/>
  <c r="J36" i="6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L62" i="3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3" i="4"/>
  <c r="L3" i="4" s="1"/>
  <c r="J4" i="4"/>
  <c r="L4" i="4" s="1"/>
  <c r="J5" i="4"/>
  <c r="L5" i="4" s="1"/>
  <c r="J7" i="4"/>
  <c r="L7" i="4" s="1"/>
  <c r="J9" i="4"/>
  <c r="L9" i="4" s="1"/>
  <c r="J11" i="4"/>
  <c r="L11" i="4" s="1"/>
  <c r="J12" i="4"/>
  <c r="L12" i="4" s="1"/>
  <c r="J14" i="4"/>
  <c r="L14" i="4" s="1"/>
  <c r="J16" i="4"/>
  <c r="L16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" i="5"/>
  <c r="L3" i="5" s="1"/>
  <c r="J4" i="5"/>
  <c r="L4" i="5" s="1"/>
  <c r="J5" i="5"/>
  <c r="L5" i="5" s="1"/>
  <c r="J6" i="5"/>
  <c r="L6" i="5" s="1"/>
  <c r="J7" i="5"/>
  <c r="L7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7" i="5"/>
  <c r="L117" i="5" s="1"/>
  <c r="J118" i="5"/>
  <c r="L118" i="5" s="1"/>
  <c r="J119" i="5"/>
  <c r="L119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<sst xmlns="http://schemas.openxmlformats.org/spreadsheetml/2006/main" count="3469" uniqueCount="140">
  <si>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</si>
  <si>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</si>
  <si>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</si>
  <si>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</si>
  <si>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</si>
  <si>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</si>
  <si>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</si>
  <si>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</si>
  <si>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</si>
  <si>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</si>
  <si>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</si>
  <si>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</si>
  <si>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</si>
  <si>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</si>
  <si>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</si>
  <si>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</si>
  <si>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</si>
  <si>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</si>
  <si>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</si>
  <si>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</si>
  <si>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</si>
  <si>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</si>
  <si>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</si>
  <si>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</si>
  <si>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</si>
  <si>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</si>
  <si>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</si>
  <si>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</si>
  <si>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</si>
  <si>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</si>
  <si>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</si>
  <si>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</si>
  <si>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</si>
  <si>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</si>
  <si>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</si>
  <si>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</si>
  <si>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</si>
  <si>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</si>
  <si>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</si>
  <si>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</si>
  <si>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</si>
  <si>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</si>
  <si>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</si>
  <si>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</si>
  <si>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</si>
  <si>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</si>
  <si>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</si>
  <si>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</si>
  <si>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</si>
  <si>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</si>
  <si>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</si>
  <si>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</si>
  <si>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</si>
  <si>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</si>
  <si>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</si>
  <si>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</si>
  <si>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</si>
  <si>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</si>
  <si>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</si>
  <si>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</si>
  <si>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</si>
  <si>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</si>
  <si>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</si>
  <si>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</si>
  <si>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</si>
  <si>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</si>
  <si>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</si>
  <si>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</si>
  <si>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</si>
  <si>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</si>
  <si>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</si>
  <si>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</si>
  <si>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</si>
  <si>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</si>
  <si>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</si>
  <si>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</si>
  <si>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</si>
  <si>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</si>
  <si>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</si>
  <si>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</si>
  <si>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</si>
  <si>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</si>
  <si>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</si>
  <si>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</si>
  <si>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</si>
  <si>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</si>
  <si>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</si>
  <si>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</si>
  <si>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</si>
  <si>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</si>
  <si>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</si>
  <si>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</si>
  <si>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</si>
  <si>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</si>
  <si>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</si>
  <si>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</si>
  <si>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</si>
  <si>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</si>
  <si>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</si>
  <si>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</si>
  <si>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</si>
  <si>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</si>
  <si>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</si>
  <si>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</si>
  <si>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</si>
  <si>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</si>
  <si>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</si>
  <si>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8t 59g</t>
  </si>
  <si>
    <t>200g</t>
  </si>
  <si>
    <t>6251g</t>
  </si>
  <si>
    <t>Lemon Juice</t>
  </si>
  <si>
    <t>50g</t>
  </si>
  <si>
    <t>32t 2h 39g</t>
  </si>
  <si>
    <t>6143g</t>
  </si>
  <si>
    <t>16441g</t>
  </si>
  <si>
    <t>727g</t>
  </si>
  <si>
    <t>9g</t>
  </si>
  <si>
    <t>Cinnamon</t>
  </si>
  <si>
    <t>14t 3h 35g</t>
  </si>
  <si>
    <t>1574g</t>
  </si>
  <si>
    <t>14895g</t>
  </si>
  <si>
    <t>291.5g</t>
  </si>
  <si>
    <t>8t</t>
  </si>
  <si>
    <t>829.5g</t>
  </si>
  <si>
    <t>1t 3h 50g</t>
  </si>
  <si>
    <t>342g</t>
  </si>
  <si>
    <t>390g</t>
  </si>
  <si>
    <t>44g</t>
  </si>
  <si>
    <t>1430.5g</t>
  </si>
  <si>
    <t>2t 1h 44g</t>
  </si>
  <si>
    <t>1424.5g</t>
  </si>
  <si>
    <t>2593g</t>
  </si>
  <si>
    <t>2t 3h 20g</t>
  </si>
  <si>
    <t>1987g</t>
  </si>
  <si>
    <t>3465.75g</t>
  </si>
  <si>
    <t>1h 10g</t>
  </si>
  <si>
    <t>62g</t>
  </si>
  <si>
    <t>156.5g</t>
  </si>
  <si>
    <t>109g</t>
  </si>
  <si>
    <t>128.5g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</si>
</sst>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D2" sqref="D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19.215624999999999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0.38627232142857137</v>
      </c>
      <c r="D2">
        <f>B2+C2</f>
        <v>19.60189732142857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0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29480.102678571428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8380.0066964285706</v>
      </c>
      <c r="D4">
        <f t="shared" si="0"/>
        <v>37860.109375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4.8660714285714286E-2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4.8660714285714286E-2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29.747321428571428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0</v>
      </c>
      <c r="D6">
        <f t="shared" si="0"/>
        <v>29.747321428571428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441.96428571428572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346.1504464285714</v>
      </c>
      <c r="D7">
        <f t="shared" si="0"/>
        <v>788.11473214285706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575.75491071428564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115.65133928571429</v>
      </c>
      <c r="D8">
        <f t="shared" si="0"/>
        <v>691.40624999999989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30.658035714285713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17.635267857142853</v>
      </c>
      <c r="D9">
        <f t="shared" si="0"/>
        <v>48.293303571428567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60.46160714285714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31.8125</v>
      </c>
      <c r="D10">
        <f t="shared" si="0"/>
        <v>92.274107142857133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561.85446428571424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218.32991071428572</v>
      </c>
      <c r="D11">
        <f t="shared" si="0"/>
        <v>780.18437499999993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35.35290178571428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15.706919642857143</v>
      </c>
      <c r="D12">
        <f t="shared" si="0"/>
        <v>51.059821428571425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12.856249999999999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51.452678571428571</v>
      </c>
      <c r="D13">
        <f t="shared" si="0"/>
        <v>64.308928571428567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87.503571428571433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57.557589285714286</v>
      </c>
      <c r="D14">
        <f t="shared" si="0"/>
        <v>145.06116071428573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107.55580357142857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14.764285714285716</v>
      </c>
      <c r="D15">
        <f t="shared" si="0"/>
        <v>122.32008928571429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176.15647321428571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36.943526785714283</v>
      </c>
      <c r="D16">
        <f t="shared" si="0"/>
        <v>213.1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9.3089285714285719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0.95</v>
      </c>
      <c r="D17">
        <f t="shared" si="0"/>
        <v>10.258928571428571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1.9803571428571431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0.31964285714285717</v>
      </c>
      <c r="D18">
        <f t="shared" si="0"/>
        <v>2.3000000000000003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0.625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2.6785714285714284E-2</v>
      </c>
      <c r="D19">
        <f t="shared" si="0"/>
        <v>0.6517857142857143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2.030357142857143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0.5959821428571429</v>
      </c>
      <c r="D20">
        <f t="shared" si="0"/>
        <v>2.6263392857142858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6.1750000000000007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3.0254464285714282</v>
      </c>
      <c r="D21">
        <f t="shared" si="0"/>
        <v>9.2004464285714285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36.901785714285715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2.0589285714285714</v>
      </c>
      <c r="D25">
        <f t="shared" si="0"/>
        <v>38.960714285714289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73.960937499999986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6.5640624999999995</v>
      </c>
      <c r="D26">
        <f t="shared" si="0"/>
        <v>80.524999999999991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58.3125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3.9375</v>
      </c>
      <c r="D27">
        <f t="shared" si="0"/>
        <v>62.25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649.86026785714284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396.66830357142862</v>
      </c>
      <c r="D28">
        <f t="shared" si="0"/>
        <v>1046.5285714285715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519.15178571428567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133.23124999999999</v>
      </c>
      <c r="D29">
        <f t="shared" si="0"/>
        <v>652.3830357142856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133.33749999999998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3.3406250000000002</v>
      </c>
      <c r="D30">
        <f t="shared" si="0"/>
        <v>136.67812499999997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4.4375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0.25</v>
      </c>
      <c r="D31">
        <f t="shared" si="0"/>
        <v>4.6875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29"/>
  <sheetViews>
    <sheetView topLeftCell="A115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1717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1717</v>
      </c>
      <c r="B3" t="s">
        <v>57</v>
      </c>
      <c r="C3" t="s">
        <v>53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1717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1717</v>
      </c>
      <c r="B5" t="s">
        <v>4</v>
      </c>
      <c r="C5" t="s">
        <v>53</v>
      </c>
      <c r="D5" t="s">
        <v>33</v>
      </c>
      <c r="H5">
        <v>3721</v>
      </c>
      <c r="J5">
        <f t="shared" si="0"/>
        <v>3721</v>
      </c>
      <c r="L5">
        <f t="shared" si="1"/>
        <v>1.6611607142857143</v>
      </c>
    </row>
    <row r="6" spans="1:15" x14ac:dyDescent="0.25">
      <c r="A6">
        <v>1717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1717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1717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1717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1717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1717</v>
      </c>
      <c r="B11" t="s">
        <v>5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1717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1717</v>
      </c>
      <c r="B13" t="s">
        <v>6</v>
      </c>
      <c r="C13" t="s">
        <v>53</v>
      </c>
      <c r="D13" t="s">
        <v>33</v>
      </c>
      <c r="F13">
        <v>109287</v>
      </c>
      <c r="H13">
        <v>17</v>
      </c>
      <c r="J13">
        <f t="shared" si="0"/>
        <v>12240161</v>
      </c>
      <c r="L13">
        <f t="shared" si="1"/>
        <v>5464.3575892857143</v>
      </c>
    </row>
    <row r="14" spans="1:15" x14ac:dyDescent="0.25">
      <c r="A14">
        <v>1717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1717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1717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1717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1717</v>
      </c>
      <c r="B18" t="s">
        <v>8</v>
      </c>
      <c r="C18" t="s">
        <v>53</v>
      </c>
      <c r="D18" t="s">
        <v>33</v>
      </c>
      <c r="F18">
        <v>10</v>
      </c>
      <c r="H18">
        <v>24</v>
      </c>
      <c r="J18">
        <f t="shared" si="0"/>
        <v>1144</v>
      </c>
      <c r="L18">
        <f t="shared" si="1"/>
        <v>0.51071428571428568</v>
      </c>
    </row>
    <row r="19" spans="1:12" x14ac:dyDescent="0.25">
      <c r="A19">
        <v>1717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1717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1717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1717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1717</v>
      </c>
      <c r="B23" t="s">
        <v>9</v>
      </c>
      <c r="C23" t="s">
        <v>53</v>
      </c>
      <c r="D23" t="s">
        <v>33</v>
      </c>
      <c r="H23">
        <v>211200</v>
      </c>
      <c r="J23">
        <f t="shared" si="0"/>
        <v>211200</v>
      </c>
      <c r="L23">
        <f t="shared" si="1"/>
        <v>94.285714285714292</v>
      </c>
    </row>
    <row r="24" spans="1:12" x14ac:dyDescent="0.25">
      <c r="A24">
        <v>1717</v>
      </c>
      <c r="B24" t="s">
        <v>10</v>
      </c>
      <c r="C24" t="s">
        <v>53</v>
      </c>
      <c r="D24" t="s">
        <v>33</v>
      </c>
      <c r="F24">
        <v>895</v>
      </c>
      <c r="G24">
        <v>3</v>
      </c>
      <c r="H24">
        <v>3</v>
      </c>
      <c r="J24">
        <f t="shared" si="0"/>
        <v>100327</v>
      </c>
      <c r="L24">
        <f t="shared" si="1"/>
        <v>44.788839285714289</v>
      </c>
    </row>
    <row r="25" spans="1:12" x14ac:dyDescent="0.25">
      <c r="A25">
        <v>1717</v>
      </c>
      <c r="B25" t="s">
        <v>11</v>
      </c>
      <c r="C25" t="s">
        <v>53</v>
      </c>
      <c r="D25" t="s">
        <v>33</v>
      </c>
      <c r="F25">
        <v>103</v>
      </c>
      <c r="G25">
        <v>1</v>
      </c>
      <c r="H25">
        <v>18</v>
      </c>
      <c r="J25">
        <f t="shared" si="0"/>
        <v>11582</v>
      </c>
      <c r="L25">
        <f t="shared" si="1"/>
        <v>5.1705357142857142</v>
      </c>
    </row>
    <row r="26" spans="1:12" x14ac:dyDescent="0.25">
      <c r="A26">
        <v>1717</v>
      </c>
      <c r="B26" t="s">
        <v>39</v>
      </c>
      <c r="C26" t="s">
        <v>53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1717</v>
      </c>
      <c r="B27" t="s">
        <v>79</v>
      </c>
      <c r="C27" t="s">
        <v>53</v>
      </c>
      <c r="D27" t="s">
        <v>33</v>
      </c>
      <c r="H27">
        <v>2453</v>
      </c>
      <c r="J27">
        <f t="shared" si="0"/>
        <v>2453</v>
      </c>
      <c r="L27">
        <f t="shared" si="1"/>
        <v>1.0950892857142858</v>
      </c>
    </row>
    <row r="28" spans="1:12" x14ac:dyDescent="0.25">
      <c r="A28">
        <v>1717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1717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1717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1717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1717</v>
      </c>
      <c r="B32" t="s">
        <v>12</v>
      </c>
      <c r="C32" t="s">
        <v>53</v>
      </c>
      <c r="D32" t="s">
        <v>33</v>
      </c>
      <c r="H32">
        <v>6073</v>
      </c>
      <c r="J32">
        <f t="shared" si="0"/>
        <v>6073</v>
      </c>
      <c r="L32">
        <f t="shared" si="1"/>
        <v>2.7111607142857141</v>
      </c>
    </row>
    <row r="33" spans="1:12" x14ac:dyDescent="0.25">
      <c r="A33">
        <v>1717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1717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1717</v>
      </c>
      <c r="B35" t="s">
        <v>13</v>
      </c>
      <c r="C35" t="s">
        <v>53</v>
      </c>
      <c r="D35" t="s">
        <v>33</v>
      </c>
      <c r="E35">
        <v>195</v>
      </c>
      <c r="F35">
        <v>12</v>
      </c>
      <c r="H35">
        <v>14</v>
      </c>
      <c r="J35">
        <f t="shared" si="0"/>
        <v>438158</v>
      </c>
      <c r="L35">
        <f t="shared" si="1"/>
        <v>195.60624999999999</v>
      </c>
    </row>
    <row r="36" spans="1:12" x14ac:dyDescent="0.25">
      <c r="A36">
        <v>1717</v>
      </c>
      <c r="B36" t="s">
        <v>14</v>
      </c>
      <c r="C36" t="s">
        <v>53</v>
      </c>
      <c r="D36" t="s">
        <v>33</v>
      </c>
      <c r="H36">
        <v>2000.5</v>
      </c>
      <c r="I36" t="s">
        <v>108</v>
      </c>
      <c r="J36">
        <f t="shared" si="0"/>
        <v>2000.5</v>
      </c>
      <c r="L36">
        <f t="shared" si="1"/>
        <v>0.89308035714285716</v>
      </c>
    </row>
    <row r="37" spans="1:12" x14ac:dyDescent="0.25">
      <c r="A37">
        <v>1717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1717</v>
      </c>
      <c r="B38" t="s">
        <v>27</v>
      </c>
      <c r="C38" t="s">
        <v>53</v>
      </c>
      <c r="D38" t="s">
        <v>33</v>
      </c>
      <c r="H38">
        <v>20755.5</v>
      </c>
      <c r="I38" t="s">
        <v>107</v>
      </c>
      <c r="J38">
        <f t="shared" si="0"/>
        <v>20755.5</v>
      </c>
      <c r="L38">
        <f t="shared" si="1"/>
        <v>9.2658482142857146</v>
      </c>
    </row>
    <row r="39" spans="1:12" x14ac:dyDescent="0.25">
      <c r="A39">
        <v>1717</v>
      </c>
      <c r="B39" t="s">
        <v>15</v>
      </c>
      <c r="C39" t="s">
        <v>53</v>
      </c>
      <c r="D39" t="s">
        <v>33</v>
      </c>
      <c r="F39">
        <v>153</v>
      </c>
      <c r="G39">
        <v>2</v>
      </c>
      <c r="J39">
        <f t="shared" si="0"/>
        <v>17192</v>
      </c>
      <c r="L39">
        <f t="shared" si="1"/>
        <v>7.6749999999999998</v>
      </c>
    </row>
    <row r="40" spans="1:12" x14ac:dyDescent="0.25">
      <c r="A40">
        <v>1717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1717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1717</v>
      </c>
      <c r="B42" t="s">
        <v>47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1717</v>
      </c>
      <c r="B43" t="s">
        <v>16</v>
      </c>
      <c r="C43" t="s">
        <v>53</v>
      </c>
      <c r="D43" t="s">
        <v>33</v>
      </c>
      <c r="H43">
        <v>743</v>
      </c>
      <c r="J43">
        <f t="shared" si="0"/>
        <v>743</v>
      </c>
      <c r="L43">
        <f t="shared" si="1"/>
        <v>0.33169642857142856</v>
      </c>
    </row>
    <row r="44" spans="1:12" x14ac:dyDescent="0.25">
      <c r="A44">
        <v>1717</v>
      </c>
      <c r="B44" t="s">
        <v>17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1717</v>
      </c>
      <c r="B45" t="s">
        <v>18</v>
      </c>
      <c r="C45" t="s">
        <v>53</v>
      </c>
      <c r="D45" t="s">
        <v>33</v>
      </c>
      <c r="H45">
        <v>62526</v>
      </c>
      <c r="I45" t="s">
        <v>109</v>
      </c>
      <c r="J45">
        <f t="shared" si="0"/>
        <v>62526</v>
      </c>
      <c r="L45">
        <f t="shared" si="1"/>
        <v>27.913392857142856</v>
      </c>
    </row>
    <row r="46" spans="1:12" x14ac:dyDescent="0.25">
      <c r="A46">
        <v>1717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1717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1717</v>
      </c>
      <c r="B48" t="s">
        <v>19</v>
      </c>
      <c r="C48" t="s">
        <v>53</v>
      </c>
      <c r="D48" t="s">
        <v>33</v>
      </c>
      <c r="F48">
        <v>25</v>
      </c>
      <c r="G48">
        <v>3</v>
      </c>
      <c r="H48">
        <v>5</v>
      </c>
      <c r="J48">
        <f t="shared" si="0"/>
        <v>2889</v>
      </c>
      <c r="L48">
        <f t="shared" si="1"/>
        <v>1.2897321428571429</v>
      </c>
    </row>
    <row r="49" spans="1:12" x14ac:dyDescent="0.25">
      <c r="A49">
        <v>1717</v>
      </c>
      <c r="B49" t="s">
        <v>45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1717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1717</v>
      </c>
      <c r="B51" t="s">
        <v>54</v>
      </c>
      <c r="C51" t="s">
        <v>53</v>
      </c>
      <c r="D51" t="s">
        <v>33</v>
      </c>
      <c r="H51">
        <v>296</v>
      </c>
      <c r="J51">
        <f t="shared" si="0"/>
        <v>296</v>
      </c>
      <c r="L51">
        <f t="shared" si="1"/>
        <v>0.13214285714285715</v>
      </c>
    </row>
    <row r="52" spans="1:12" x14ac:dyDescent="0.25">
      <c r="A52">
        <v>1717</v>
      </c>
      <c r="B52" t="s">
        <v>95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1717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1717</v>
      </c>
      <c r="B54" t="s">
        <v>21</v>
      </c>
      <c r="C54" t="s">
        <v>53</v>
      </c>
      <c r="D54" t="s">
        <v>33</v>
      </c>
      <c r="H54">
        <v>57</v>
      </c>
      <c r="J54">
        <f t="shared" si="0"/>
        <v>57</v>
      </c>
      <c r="L54">
        <f t="shared" si="1"/>
        <v>2.5446428571428571E-2</v>
      </c>
    </row>
    <row r="55" spans="1:12" x14ac:dyDescent="0.25">
      <c r="A55">
        <v>1717</v>
      </c>
      <c r="B55" t="s">
        <v>22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1717</v>
      </c>
      <c r="B56" t="s">
        <v>61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1717</v>
      </c>
      <c r="B57" t="s">
        <v>99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1717</v>
      </c>
      <c r="B58" t="s">
        <v>87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1717</v>
      </c>
      <c r="B59" t="s">
        <v>62</v>
      </c>
      <c r="C59" t="s">
        <v>53</v>
      </c>
      <c r="D59" t="s">
        <v>33</v>
      </c>
      <c r="E59">
        <v>23</v>
      </c>
      <c r="F59">
        <v>14</v>
      </c>
      <c r="G59">
        <v>2</v>
      </c>
      <c r="J59">
        <f t="shared" si="0"/>
        <v>53144</v>
      </c>
      <c r="L59">
        <f t="shared" si="1"/>
        <v>23.725000000000001</v>
      </c>
    </row>
    <row r="60" spans="1:12" x14ac:dyDescent="0.25">
      <c r="A60">
        <v>1717</v>
      </c>
      <c r="B60" t="s">
        <v>88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1717</v>
      </c>
      <c r="B61" t="s">
        <v>63</v>
      </c>
      <c r="C61" t="s">
        <v>53</v>
      </c>
      <c r="D61" t="s">
        <v>33</v>
      </c>
      <c r="E61">
        <v>28</v>
      </c>
      <c r="F61">
        <v>9</v>
      </c>
      <c r="H61">
        <v>6</v>
      </c>
      <c r="J61">
        <f t="shared" si="0"/>
        <v>63734</v>
      </c>
      <c r="L61">
        <f t="shared" si="1"/>
        <v>28.452678571428571</v>
      </c>
    </row>
    <row r="62" spans="1:12" x14ac:dyDescent="0.25">
      <c r="A62">
        <v>1717</v>
      </c>
      <c r="B62" t="s">
        <v>89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1717</v>
      </c>
      <c r="B63" t="s">
        <v>70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1717</v>
      </c>
      <c r="B64" t="s">
        <v>64</v>
      </c>
      <c r="C64" t="s">
        <v>53</v>
      </c>
      <c r="D64" t="s">
        <v>33</v>
      </c>
      <c r="E64">
        <v>87</v>
      </c>
      <c r="F64">
        <v>11</v>
      </c>
      <c r="J64">
        <f t="shared" si="0"/>
        <v>196112</v>
      </c>
      <c r="L64">
        <f t="shared" si="1"/>
        <v>87.55</v>
      </c>
    </row>
    <row r="65" spans="1:12" x14ac:dyDescent="0.25">
      <c r="A65">
        <v>1717</v>
      </c>
      <c r="B65" t="s">
        <v>65</v>
      </c>
      <c r="C65" t="s">
        <v>53</v>
      </c>
      <c r="D65" t="s">
        <v>33</v>
      </c>
      <c r="E65">
        <v>1</v>
      </c>
      <c r="F65">
        <v>9</v>
      </c>
      <c r="J65">
        <f t="shared" si="0"/>
        <v>3248</v>
      </c>
      <c r="L65">
        <f t="shared" si="1"/>
        <v>1.45</v>
      </c>
    </row>
    <row r="66" spans="1:12" x14ac:dyDescent="0.25">
      <c r="A66">
        <v>1717</v>
      </c>
      <c r="B66" t="s">
        <v>55</v>
      </c>
      <c r="C66" t="s">
        <v>53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1717</v>
      </c>
      <c r="B67" t="s">
        <v>57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1717</v>
      </c>
      <c r="B68" t="s">
        <v>36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1717</v>
      </c>
      <c r="B69" t="s">
        <v>4</v>
      </c>
      <c r="C69" t="s">
        <v>53</v>
      </c>
      <c r="D69" t="s">
        <v>35</v>
      </c>
      <c r="H69">
        <v>150</v>
      </c>
      <c r="J69">
        <f t="shared" ref="J69:J129" si="2">(E69*2240)+(F69*112)+(G69*28)+H69</f>
        <v>150</v>
      </c>
      <c r="L69">
        <f t="shared" ref="L69:L129" si="3">J69/2240</f>
        <v>6.6964285714285712E-2</v>
      </c>
    </row>
    <row r="70" spans="1:12" x14ac:dyDescent="0.25">
      <c r="A70">
        <v>1717</v>
      </c>
      <c r="B70" t="s">
        <v>58</v>
      </c>
      <c r="C70" t="s">
        <v>53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1717</v>
      </c>
      <c r="B71" t="s">
        <v>69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1717</v>
      </c>
      <c r="B72" t="s">
        <v>43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1717</v>
      </c>
      <c r="B73" t="s">
        <v>76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1717</v>
      </c>
      <c r="B74" t="s">
        <v>5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1717</v>
      </c>
      <c r="B75" t="s">
        <v>59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1717</v>
      </c>
      <c r="B76" t="s">
        <v>6</v>
      </c>
      <c r="C76" t="s">
        <v>53</v>
      </c>
      <c r="D76" t="s">
        <v>35</v>
      </c>
      <c r="F76">
        <v>26404</v>
      </c>
      <c r="G76">
        <v>3</v>
      </c>
      <c r="H76">
        <v>15</v>
      </c>
      <c r="J76">
        <f t="shared" si="2"/>
        <v>2957347</v>
      </c>
      <c r="L76">
        <f t="shared" si="3"/>
        <v>1320.2441964285715</v>
      </c>
    </row>
    <row r="77" spans="1:12" x14ac:dyDescent="0.25">
      <c r="A77">
        <v>1717</v>
      </c>
      <c r="B77" t="s">
        <v>60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1717</v>
      </c>
      <c r="B78" t="s">
        <v>7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1717</v>
      </c>
      <c r="B79" t="s">
        <v>37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1717</v>
      </c>
      <c r="B80" t="s">
        <v>8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1717</v>
      </c>
      <c r="B81" t="s">
        <v>40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1717</v>
      </c>
      <c r="B82" t="s">
        <v>77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1717</v>
      </c>
      <c r="B83" t="s">
        <v>78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1717</v>
      </c>
      <c r="B84" t="s">
        <v>46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1717</v>
      </c>
      <c r="B85" t="s">
        <v>9</v>
      </c>
      <c r="C85" t="s">
        <v>53</v>
      </c>
      <c r="D85" t="s">
        <v>35</v>
      </c>
      <c r="H85">
        <v>186281</v>
      </c>
      <c r="J85">
        <f t="shared" si="2"/>
        <v>186281</v>
      </c>
      <c r="L85">
        <f t="shared" si="3"/>
        <v>83.161160714285714</v>
      </c>
    </row>
    <row r="86" spans="1:12" x14ac:dyDescent="0.25">
      <c r="A86">
        <v>1717</v>
      </c>
      <c r="B86" t="s">
        <v>10</v>
      </c>
      <c r="C86" t="s">
        <v>53</v>
      </c>
      <c r="D86" t="s">
        <v>35</v>
      </c>
      <c r="F86">
        <v>87</v>
      </c>
      <c r="G86">
        <v>1</v>
      </c>
      <c r="H86">
        <v>14</v>
      </c>
      <c r="J86">
        <f t="shared" si="2"/>
        <v>9786</v>
      </c>
      <c r="L86">
        <f t="shared" si="3"/>
        <v>4.3687500000000004</v>
      </c>
    </row>
    <row r="87" spans="1:12" x14ac:dyDescent="0.25">
      <c r="A87">
        <v>1717</v>
      </c>
      <c r="B87" t="s">
        <v>11</v>
      </c>
      <c r="C87" t="s">
        <v>53</v>
      </c>
      <c r="D87" t="s">
        <v>35</v>
      </c>
      <c r="F87">
        <v>33</v>
      </c>
      <c r="G87">
        <v>3</v>
      </c>
      <c r="H87">
        <v>15</v>
      </c>
      <c r="J87">
        <f t="shared" si="2"/>
        <v>3795</v>
      </c>
      <c r="L87">
        <f t="shared" si="3"/>
        <v>1.6941964285714286</v>
      </c>
    </row>
    <row r="88" spans="1:12" x14ac:dyDescent="0.25">
      <c r="A88">
        <v>1717</v>
      </c>
      <c r="B88" t="s">
        <v>39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1717</v>
      </c>
      <c r="B89" t="s">
        <v>79</v>
      </c>
      <c r="C89" t="s">
        <v>53</v>
      </c>
      <c r="D89" t="s">
        <v>35</v>
      </c>
      <c r="H89">
        <v>1200</v>
      </c>
      <c r="J89">
        <f t="shared" si="2"/>
        <v>1200</v>
      </c>
      <c r="L89">
        <f t="shared" si="3"/>
        <v>0.5357142857142857</v>
      </c>
    </row>
    <row r="90" spans="1:12" x14ac:dyDescent="0.25">
      <c r="A90">
        <v>1717</v>
      </c>
      <c r="B90" t="s">
        <v>103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1717</v>
      </c>
      <c r="B91" t="s">
        <v>44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1717</v>
      </c>
      <c r="B92" t="s">
        <v>97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1717</v>
      </c>
      <c r="B93" t="s">
        <v>12</v>
      </c>
      <c r="C93" t="s">
        <v>53</v>
      </c>
      <c r="D93" t="s">
        <v>35</v>
      </c>
      <c r="H93">
        <v>4297</v>
      </c>
      <c r="J93">
        <f t="shared" si="2"/>
        <v>4297</v>
      </c>
      <c r="L93">
        <f t="shared" si="3"/>
        <v>1.9183035714285714</v>
      </c>
    </row>
    <row r="94" spans="1:12" x14ac:dyDescent="0.25">
      <c r="A94">
        <v>1717</v>
      </c>
      <c r="B94" t="s">
        <v>82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1717</v>
      </c>
      <c r="B95" t="s">
        <v>34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1717</v>
      </c>
      <c r="B96" t="s">
        <v>13</v>
      </c>
      <c r="C96" t="s">
        <v>53</v>
      </c>
      <c r="D96" t="s">
        <v>35</v>
      </c>
      <c r="F96">
        <v>878</v>
      </c>
      <c r="H96">
        <v>14</v>
      </c>
      <c r="J96">
        <f t="shared" si="2"/>
        <v>98350</v>
      </c>
      <c r="L96">
        <f t="shared" si="3"/>
        <v>43.90625</v>
      </c>
    </row>
    <row r="97" spans="1:12" x14ac:dyDescent="0.25">
      <c r="A97">
        <v>1717</v>
      </c>
      <c r="B97" t="s">
        <v>14</v>
      </c>
      <c r="C97" t="s">
        <v>53</v>
      </c>
      <c r="D97" t="s">
        <v>35</v>
      </c>
      <c r="H97">
        <v>440</v>
      </c>
      <c r="I97" t="s">
        <v>127</v>
      </c>
      <c r="J97">
        <f t="shared" si="2"/>
        <v>440</v>
      </c>
      <c r="L97">
        <f t="shared" si="3"/>
        <v>0.19642857142857142</v>
      </c>
    </row>
    <row r="98" spans="1:12" x14ac:dyDescent="0.25">
      <c r="A98">
        <v>1717</v>
      </c>
      <c r="B98" t="s">
        <v>23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1717</v>
      </c>
      <c r="B99" t="s">
        <v>27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1717</v>
      </c>
      <c r="B100" t="s">
        <v>15</v>
      </c>
      <c r="C100" t="s">
        <v>53</v>
      </c>
      <c r="D100" t="s">
        <v>35</v>
      </c>
      <c r="F100">
        <v>368</v>
      </c>
      <c r="J100">
        <f t="shared" si="2"/>
        <v>41216</v>
      </c>
      <c r="L100">
        <f t="shared" si="3"/>
        <v>18.399999999999999</v>
      </c>
    </row>
    <row r="101" spans="1:12" x14ac:dyDescent="0.25">
      <c r="A101">
        <v>1717</v>
      </c>
      <c r="B101" t="s">
        <v>93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1717</v>
      </c>
      <c r="B102" t="s">
        <v>42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1717</v>
      </c>
      <c r="B103" t="s">
        <v>83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1717</v>
      </c>
      <c r="B104" t="s">
        <v>47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1717</v>
      </c>
      <c r="B105" t="s">
        <v>16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1717</v>
      </c>
      <c r="B106" t="s">
        <v>17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1717</v>
      </c>
      <c r="B107" t="s">
        <v>18</v>
      </c>
      <c r="C107" t="s">
        <v>53</v>
      </c>
      <c r="D107" t="s">
        <v>35</v>
      </c>
      <c r="H107">
        <v>14308.5</v>
      </c>
      <c r="I107" t="s">
        <v>128</v>
      </c>
      <c r="J107">
        <f t="shared" si="2"/>
        <v>14308.5</v>
      </c>
      <c r="L107">
        <f t="shared" si="3"/>
        <v>6.3877232142857139</v>
      </c>
    </row>
    <row r="108" spans="1:12" x14ac:dyDescent="0.25">
      <c r="A108">
        <v>1717</v>
      </c>
      <c r="B108" t="s">
        <v>26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1717</v>
      </c>
      <c r="B109" t="s">
        <v>84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1717</v>
      </c>
      <c r="B110" t="s">
        <v>19</v>
      </c>
      <c r="C110" t="s">
        <v>53</v>
      </c>
      <c r="D110" t="s">
        <v>35</v>
      </c>
      <c r="F110">
        <v>9</v>
      </c>
      <c r="J110">
        <f t="shared" si="2"/>
        <v>1008</v>
      </c>
      <c r="L110">
        <f t="shared" si="3"/>
        <v>0.45</v>
      </c>
    </row>
    <row r="111" spans="1:12" x14ac:dyDescent="0.25">
      <c r="A111">
        <v>1717</v>
      </c>
      <c r="B111" t="s">
        <v>45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1717</v>
      </c>
      <c r="B112" t="s">
        <v>85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1717</v>
      </c>
      <c r="B113" t="s">
        <v>54</v>
      </c>
      <c r="C113" t="s">
        <v>53</v>
      </c>
      <c r="D113" t="s">
        <v>35</v>
      </c>
      <c r="H113">
        <v>333</v>
      </c>
      <c r="J113">
        <f t="shared" si="2"/>
        <v>333</v>
      </c>
      <c r="L113">
        <f t="shared" si="3"/>
        <v>0.14866071428571428</v>
      </c>
    </row>
    <row r="114" spans="1:12" x14ac:dyDescent="0.25">
      <c r="A114">
        <v>1717</v>
      </c>
      <c r="B114" t="s">
        <v>95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1717</v>
      </c>
      <c r="B115" t="s">
        <v>20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1717</v>
      </c>
      <c r="B116" t="s">
        <v>21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1717</v>
      </c>
      <c r="B117" t="s">
        <v>105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1717</v>
      </c>
      <c r="B118" t="s">
        <v>22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1717</v>
      </c>
      <c r="B119" t="s">
        <v>61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1717</v>
      </c>
      <c r="B120" t="s">
        <v>91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1717</v>
      </c>
      <c r="B121" t="s">
        <v>98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1717</v>
      </c>
      <c r="B122" t="s">
        <v>87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1717</v>
      </c>
      <c r="B123" t="s">
        <v>62</v>
      </c>
      <c r="C123" t="s">
        <v>53</v>
      </c>
      <c r="D123" t="s">
        <v>35</v>
      </c>
      <c r="E123">
        <v>2</v>
      </c>
      <c r="F123">
        <v>6</v>
      </c>
      <c r="G123">
        <v>1</v>
      </c>
      <c r="H123">
        <v>19</v>
      </c>
      <c r="J123">
        <f t="shared" si="2"/>
        <v>5199</v>
      </c>
      <c r="L123">
        <f t="shared" si="3"/>
        <v>2.3209821428571429</v>
      </c>
    </row>
    <row r="124" spans="1:12" x14ac:dyDescent="0.25">
      <c r="A124">
        <v>1717</v>
      </c>
      <c r="B124" t="s">
        <v>88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1717</v>
      </c>
      <c r="B125" t="s">
        <v>63</v>
      </c>
      <c r="C125" t="s">
        <v>53</v>
      </c>
      <c r="D125" t="s">
        <v>35</v>
      </c>
      <c r="F125">
        <v>12</v>
      </c>
      <c r="J125">
        <f t="shared" si="2"/>
        <v>1344</v>
      </c>
      <c r="L125">
        <f t="shared" si="3"/>
        <v>0.6</v>
      </c>
    </row>
    <row r="126" spans="1:12" x14ac:dyDescent="0.25">
      <c r="A126">
        <v>1717</v>
      </c>
      <c r="B126" t="s">
        <v>89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1717</v>
      </c>
      <c r="B127" t="s">
        <v>70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1717</v>
      </c>
      <c r="B128" t="s">
        <v>64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1717</v>
      </c>
      <c r="B129" t="s">
        <v>65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1"/>
  <sheetViews>
    <sheetView topLeftCell="A79" workbookViewId="0">
      <selection activeCell="H87" sqref="H87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1717</v>
      </c>
      <c r="B2" t="s">
        <v>55</v>
      </c>
      <c r="C2" t="s">
        <v>56</v>
      </c>
      <c r="D2" t="s">
        <v>33</v>
      </c>
      <c r="J2">
        <f t="shared" ref="J2:J68" si="0">(E2*2240)+(F2*112)+(G2*28)+H2</f>
        <v>0</v>
      </c>
      <c r="L2">
        <f t="shared" ref="L2:L68" si="1">J2/2240</f>
        <v>0</v>
      </c>
    </row>
    <row r="3" spans="1:12" x14ac:dyDescent="0.25">
      <c r="A3">
        <v>1717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1717</v>
      </c>
      <c r="B4" t="s">
        <v>36</v>
      </c>
      <c r="C4" t="s">
        <v>56</v>
      </c>
      <c r="D4" t="s">
        <v>33</v>
      </c>
      <c r="H4">
        <v>26127</v>
      </c>
      <c r="J4">
        <f t="shared" si="0"/>
        <v>26127</v>
      </c>
      <c r="L4">
        <f t="shared" si="1"/>
        <v>11.663839285714285</v>
      </c>
    </row>
    <row r="5" spans="1:12" x14ac:dyDescent="0.25">
      <c r="A5">
        <v>1717</v>
      </c>
      <c r="B5" t="s">
        <v>4</v>
      </c>
      <c r="C5" t="s">
        <v>56</v>
      </c>
      <c r="D5" t="s">
        <v>33</v>
      </c>
      <c r="H5">
        <v>38550</v>
      </c>
      <c r="J5">
        <f t="shared" si="0"/>
        <v>38550</v>
      </c>
      <c r="L5">
        <f t="shared" si="1"/>
        <v>17.209821428571427</v>
      </c>
    </row>
    <row r="6" spans="1:12" x14ac:dyDescent="0.25">
      <c r="A6">
        <v>1717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1717</v>
      </c>
      <c r="B7" t="s">
        <v>92</v>
      </c>
      <c r="C7" t="s">
        <v>56</v>
      </c>
      <c r="D7" t="s">
        <v>33</v>
      </c>
      <c r="H7">
        <v>200</v>
      </c>
      <c r="J7">
        <f t="shared" si="0"/>
        <v>200</v>
      </c>
      <c r="L7">
        <f t="shared" si="1"/>
        <v>8.9285714285714288E-2</v>
      </c>
    </row>
    <row r="8" spans="1:12" x14ac:dyDescent="0.25">
      <c r="A8">
        <v>1717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1717</v>
      </c>
      <c r="B9" t="s">
        <v>5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1717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1717</v>
      </c>
      <c r="B11" t="s">
        <v>6</v>
      </c>
      <c r="C11" t="s">
        <v>56</v>
      </c>
      <c r="D11" t="s">
        <v>33</v>
      </c>
      <c r="F11">
        <v>205642</v>
      </c>
      <c r="G11">
        <v>2</v>
      </c>
      <c r="H11">
        <v>9</v>
      </c>
      <c r="J11">
        <f t="shared" si="0"/>
        <v>23031969</v>
      </c>
      <c r="L11">
        <f t="shared" si="1"/>
        <v>10282.129017857143</v>
      </c>
    </row>
    <row r="12" spans="1:12" x14ac:dyDescent="0.25">
      <c r="A12">
        <v>1717</v>
      </c>
      <c r="B12" t="s">
        <v>60</v>
      </c>
      <c r="C12" t="s">
        <v>56</v>
      </c>
      <c r="D12" t="s">
        <v>33</v>
      </c>
      <c r="H12">
        <v>220</v>
      </c>
      <c r="J12">
        <f t="shared" si="0"/>
        <v>220</v>
      </c>
      <c r="L12">
        <f t="shared" si="1"/>
        <v>9.8214285714285712E-2</v>
      </c>
    </row>
    <row r="13" spans="1:12" x14ac:dyDescent="0.25">
      <c r="A13">
        <v>1717</v>
      </c>
      <c r="B13" t="s">
        <v>7</v>
      </c>
      <c r="C13" t="s">
        <v>56</v>
      </c>
      <c r="D13" t="s">
        <v>33</v>
      </c>
      <c r="H13">
        <v>79</v>
      </c>
      <c r="J13">
        <f t="shared" si="0"/>
        <v>79</v>
      </c>
      <c r="L13">
        <f t="shared" si="1"/>
        <v>3.5267857142857142E-2</v>
      </c>
    </row>
    <row r="14" spans="1:12" x14ac:dyDescent="0.25">
      <c r="A14">
        <v>1717</v>
      </c>
      <c r="B14" t="s">
        <v>37</v>
      </c>
      <c r="C14" t="s">
        <v>56</v>
      </c>
      <c r="D14" t="s">
        <v>33</v>
      </c>
      <c r="H14">
        <v>6</v>
      </c>
      <c r="J14">
        <f t="shared" si="0"/>
        <v>6</v>
      </c>
      <c r="L14">
        <f t="shared" si="1"/>
        <v>2.6785714285714286E-3</v>
      </c>
    </row>
    <row r="15" spans="1:12" x14ac:dyDescent="0.25">
      <c r="A15">
        <v>1717</v>
      </c>
      <c r="B15" t="s">
        <v>8</v>
      </c>
      <c r="C15" t="s">
        <v>56</v>
      </c>
      <c r="D15" t="s">
        <v>33</v>
      </c>
      <c r="F15">
        <v>568</v>
      </c>
      <c r="G15">
        <v>1</v>
      </c>
      <c r="H15">
        <v>26</v>
      </c>
      <c r="J15">
        <f t="shared" si="0"/>
        <v>63670</v>
      </c>
      <c r="L15">
        <f t="shared" si="1"/>
        <v>28.424107142857142</v>
      </c>
    </row>
    <row r="16" spans="1:12" x14ac:dyDescent="0.25">
      <c r="A16">
        <v>1717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1717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1717</v>
      </c>
      <c r="B18" t="s">
        <v>9</v>
      </c>
      <c r="C18" t="s">
        <v>56</v>
      </c>
      <c r="D18" t="s">
        <v>33</v>
      </c>
      <c r="H18">
        <v>65200</v>
      </c>
      <c r="J18">
        <f t="shared" si="0"/>
        <v>65200</v>
      </c>
      <c r="L18">
        <f t="shared" si="1"/>
        <v>29.107142857142858</v>
      </c>
    </row>
    <row r="19" spans="1:12" x14ac:dyDescent="0.25">
      <c r="A19">
        <v>1717</v>
      </c>
      <c r="B19" t="s">
        <v>10</v>
      </c>
      <c r="C19" t="s">
        <v>56</v>
      </c>
      <c r="D19" t="s">
        <v>33</v>
      </c>
      <c r="F19">
        <v>2481</v>
      </c>
      <c r="G19">
        <v>2</v>
      </c>
      <c r="H19">
        <v>26</v>
      </c>
      <c r="J19">
        <f t="shared" si="0"/>
        <v>277954</v>
      </c>
      <c r="L19">
        <f t="shared" si="1"/>
        <v>124.08660714285715</v>
      </c>
    </row>
    <row r="20" spans="1:12" x14ac:dyDescent="0.25">
      <c r="A20">
        <v>1717</v>
      </c>
      <c r="B20" t="s">
        <v>11</v>
      </c>
      <c r="C20" t="s">
        <v>56</v>
      </c>
      <c r="D20" t="s">
        <v>33</v>
      </c>
      <c r="F20">
        <v>143</v>
      </c>
      <c r="H20">
        <v>5</v>
      </c>
      <c r="J20">
        <f t="shared" si="0"/>
        <v>16021</v>
      </c>
      <c r="L20">
        <f t="shared" si="1"/>
        <v>7.1522321428571427</v>
      </c>
    </row>
    <row r="21" spans="1:12" x14ac:dyDescent="0.25">
      <c r="A21">
        <v>1717</v>
      </c>
      <c r="B21" t="s">
        <v>39</v>
      </c>
      <c r="C21" t="s">
        <v>56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1717</v>
      </c>
      <c r="B22" t="s">
        <v>79</v>
      </c>
      <c r="C22" t="s">
        <v>56</v>
      </c>
      <c r="D22" t="s">
        <v>33</v>
      </c>
      <c r="H22">
        <v>33252</v>
      </c>
      <c r="J22">
        <f t="shared" si="0"/>
        <v>33252</v>
      </c>
      <c r="L22">
        <f t="shared" si="1"/>
        <v>14.844642857142857</v>
      </c>
    </row>
    <row r="23" spans="1:12" x14ac:dyDescent="0.25">
      <c r="A23">
        <v>1717</v>
      </c>
      <c r="B23" t="s">
        <v>102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1717</v>
      </c>
      <c r="B24" t="s">
        <v>44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1717</v>
      </c>
      <c r="B25" t="s">
        <v>12</v>
      </c>
      <c r="C25" t="s">
        <v>56</v>
      </c>
      <c r="D25" t="s">
        <v>33</v>
      </c>
      <c r="H25">
        <v>21258</v>
      </c>
      <c r="J25">
        <f t="shared" si="0"/>
        <v>21258</v>
      </c>
      <c r="L25">
        <f t="shared" si="1"/>
        <v>9.4901785714285722</v>
      </c>
    </row>
    <row r="26" spans="1:12" x14ac:dyDescent="0.25">
      <c r="A26">
        <v>1717</v>
      </c>
      <c r="B26" t="s">
        <v>110</v>
      </c>
      <c r="C26" t="s">
        <v>56</v>
      </c>
      <c r="D26" t="s">
        <v>33</v>
      </c>
      <c r="H26">
        <v>500</v>
      </c>
      <c r="I26" t="s">
        <v>111</v>
      </c>
      <c r="J26">
        <f t="shared" si="0"/>
        <v>500</v>
      </c>
      <c r="L26">
        <f t="shared" si="1"/>
        <v>0.22321428571428573</v>
      </c>
    </row>
    <row r="27" spans="1:12" x14ac:dyDescent="0.25">
      <c r="A27">
        <v>1717</v>
      </c>
      <c r="B27" t="s">
        <v>13</v>
      </c>
      <c r="C27" t="s">
        <v>56</v>
      </c>
      <c r="D27" t="s">
        <v>33</v>
      </c>
      <c r="E27">
        <v>67</v>
      </c>
      <c r="F27">
        <v>16</v>
      </c>
      <c r="G27">
        <v>2</v>
      </c>
      <c r="H27">
        <v>21</v>
      </c>
      <c r="J27">
        <f t="shared" si="0"/>
        <v>151949</v>
      </c>
      <c r="L27">
        <f t="shared" si="1"/>
        <v>67.834374999999994</v>
      </c>
    </row>
    <row r="28" spans="1:12" x14ac:dyDescent="0.25">
      <c r="A28">
        <v>1717</v>
      </c>
      <c r="B28" t="s">
        <v>14</v>
      </c>
      <c r="C28" t="s">
        <v>56</v>
      </c>
      <c r="D28" t="s">
        <v>33</v>
      </c>
      <c r="H28">
        <v>61446</v>
      </c>
      <c r="I28" t="s">
        <v>113</v>
      </c>
      <c r="J28">
        <f t="shared" si="0"/>
        <v>61446</v>
      </c>
      <c r="L28">
        <f t="shared" si="1"/>
        <v>27.431249999999999</v>
      </c>
    </row>
    <row r="29" spans="1:12" x14ac:dyDescent="0.25">
      <c r="A29">
        <v>1717</v>
      </c>
      <c r="B29" t="s">
        <v>23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1717</v>
      </c>
      <c r="B30" t="s">
        <v>27</v>
      </c>
      <c r="C30" t="s">
        <v>56</v>
      </c>
      <c r="D30" t="s">
        <v>33</v>
      </c>
      <c r="H30">
        <v>82311</v>
      </c>
      <c r="I30" t="s">
        <v>112</v>
      </c>
      <c r="J30">
        <f t="shared" si="0"/>
        <v>82311</v>
      </c>
      <c r="L30">
        <f t="shared" si="1"/>
        <v>36.745982142857144</v>
      </c>
    </row>
    <row r="31" spans="1:12" x14ac:dyDescent="0.25">
      <c r="A31">
        <v>1717</v>
      </c>
      <c r="B31" t="s">
        <v>15</v>
      </c>
      <c r="C31" t="s">
        <v>56</v>
      </c>
      <c r="D31" t="s">
        <v>33</v>
      </c>
      <c r="F31">
        <v>33</v>
      </c>
      <c r="G31">
        <v>2</v>
      </c>
      <c r="H31">
        <v>14</v>
      </c>
      <c r="J31">
        <f t="shared" si="0"/>
        <v>3766</v>
      </c>
      <c r="L31">
        <f t="shared" si="1"/>
        <v>1.6812499999999999</v>
      </c>
    </row>
    <row r="32" spans="1:12" x14ac:dyDescent="0.25">
      <c r="A32">
        <v>1717</v>
      </c>
      <c r="B32" t="s">
        <v>42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1717</v>
      </c>
      <c r="B33" t="s">
        <v>47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1717</v>
      </c>
      <c r="B34" t="s">
        <v>16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1717</v>
      </c>
      <c r="B35" t="s">
        <v>106</v>
      </c>
      <c r="C35" t="s">
        <v>56</v>
      </c>
      <c r="D35" t="s">
        <v>33</v>
      </c>
      <c r="F35">
        <v>1</v>
      </c>
      <c r="G35">
        <v>2</v>
      </c>
      <c r="J35">
        <f t="shared" si="0"/>
        <v>168</v>
      </c>
      <c r="L35">
        <f t="shared" si="1"/>
        <v>7.4999999999999997E-2</v>
      </c>
    </row>
    <row r="36" spans="1:12" x14ac:dyDescent="0.25">
      <c r="A36">
        <v>1717</v>
      </c>
      <c r="B36" t="s">
        <v>17</v>
      </c>
      <c r="C36" t="s">
        <v>56</v>
      </c>
      <c r="D36" t="s">
        <v>33</v>
      </c>
      <c r="F36">
        <v>543</v>
      </c>
      <c r="G36">
        <v>1</v>
      </c>
      <c r="H36">
        <v>21</v>
      </c>
      <c r="J36">
        <f t="shared" si="0"/>
        <v>60865</v>
      </c>
      <c r="L36">
        <f t="shared" si="1"/>
        <v>27.171875</v>
      </c>
    </row>
    <row r="37" spans="1:12" x14ac:dyDescent="0.25">
      <c r="A37">
        <v>1717</v>
      </c>
      <c r="B37" t="s">
        <v>18</v>
      </c>
      <c r="C37" t="s">
        <v>56</v>
      </c>
      <c r="D37" t="s">
        <v>33</v>
      </c>
      <c r="H37">
        <v>164452</v>
      </c>
      <c r="I37" t="s">
        <v>114</v>
      </c>
      <c r="J37">
        <f t="shared" si="0"/>
        <v>164452</v>
      </c>
      <c r="L37">
        <f t="shared" si="1"/>
        <v>73.416071428571428</v>
      </c>
    </row>
    <row r="38" spans="1:12" x14ac:dyDescent="0.25">
      <c r="A38">
        <v>1717</v>
      </c>
      <c r="B38" t="s">
        <v>26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1717</v>
      </c>
      <c r="B39" t="s">
        <v>19</v>
      </c>
      <c r="C39" t="s">
        <v>56</v>
      </c>
      <c r="D39" t="s">
        <v>33</v>
      </c>
      <c r="F39">
        <v>99</v>
      </c>
      <c r="G39">
        <v>2</v>
      </c>
      <c r="H39">
        <v>5</v>
      </c>
      <c r="J39">
        <f t="shared" si="0"/>
        <v>11149</v>
      </c>
      <c r="L39">
        <f t="shared" si="1"/>
        <v>4.9772321428571429</v>
      </c>
    </row>
    <row r="40" spans="1:12" x14ac:dyDescent="0.25">
      <c r="A40">
        <v>1717</v>
      </c>
      <c r="B40" t="s">
        <v>45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1717</v>
      </c>
      <c r="B41" t="s">
        <v>54</v>
      </c>
      <c r="C41" t="s">
        <v>56</v>
      </c>
      <c r="D41" t="s">
        <v>33</v>
      </c>
      <c r="H41">
        <v>2133</v>
      </c>
      <c r="J41">
        <f t="shared" si="0"/>
        <v>2133</v>
      </c>
      <c r="L41">
        <f t="shared" si="1"/>
        <v>0.95223214285714286</v>
      </c>
    </row>
    <row r="42" spans="1:12" x14ac:dyDescent="0.25">
      <c r="A42">
        <v>1717</v>
      </c>
      <c r="B42" t="s">
        <v>95</v>
      </c>
      <c r="C42" t="s">
        <v>56</v>
      </c>
      <c r="D42" t="s">
        <v>33</v>
      </c>
      <c r="H42">
        <v>787</v>
      </c>
      <c r="J42">
        <f t="shared" si="0"/>
        <v>787</v>
      </c>
      <c r="L42">
        <f t="shared" si="1"/>
        <v>0.35133928571428569</v>
      </c>
    </row>
    <row r="43" spans="1:12" x14ac:dyDescent="0.25">
      <c r="A43">
        <v>1717</v>
      </c>
      <c r="B43" t="s">
        <v>20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1717</v>
      </c>
      <c r="B44" t="s">
        <v>21</v>
      </c>
      <c r="C44" t="s">
        <v>56</v>
      </c>
      <c r="D44" t="s">
        <v>33</v>
      </c>
      <c r="H44">
        <v>107</v>
      </c>
      <c r="J44">
        <f t="shared" si="0"/>
        <v>107</v>
      </c>
      <c r="L44">
        <f t="shared" si="1"/>
        <v>4.776785714285714E-2</v>
      </c>
    </row>
    <row r="45" spans="1:12" x14ac:dyDescent="0.25">
      <c r="A45">
        <v>1717</v>
      </c>
      <c r="B45" t="s">
        <v>22</v>
      </c>
      <c r="C45" t="s">
        <v>56</v>
      </c>
      <c r="D45" t="s">
        <v>33</v>
      </c>
      <c r="F45">
        <v>110</v>
      </c>
      <c r="G45">
        <v>2</v>
      </c>
      <c r="J45">
        <f t="shared" si="0"/>
        <v>12376</v>
      </c>
      <c r="L45">
        <f t="shared" si="1"/>
        <v>5.5250000000000004</v>
      </c>
    </row>
    <row r="46" spans="1:12" x14ac:dyDescent="0.25">
      <c r="A46">
        <v>1717</v>
      </c>
      <c r="B46" t="s">
        <v>61</v>
      </c>
      <c r="C46" t="s">
        <v>56</v>
      </c>
      <c r="D46" t="s">
        <v>33</v>
      </c>
      <c r="E46">
        <v>22</v>
      </c>
      <c r="F46">
        <v>19</v>
      </c>
      <c r="G46">
        <v>3</v>
      </c>
      <c r="J46">
        <f t="shared" si="0"/>
        <v>51492</v>
      </c>
      <c r="L46">
        <f t="shared" si="1"/>
        <v>22.987500000000001</v>
      </c>
    </row>
    <row r="47" spans="1:12" x14ac:dyDescent="0.25">
      <c r="A47">
        <v>1717</v>
      </c>
      <c r="B47" t="s">
        <v>62</v>
      </c>
      <c r="C47" t="s">
        <v>56</v>
      </c>
      <c r="D47" t="s">
        <v>33</v>
      </c>
      <c r="E47">
        <v>269</v>
      </c>
      <c r="F47">
        <v>6</v>
      </c>
      <c r="G47">
        <v>3</v>
      </c>
      <c r="H47">
        <v>14</v>
      </c>
      <c r="J47">
        <f t="shared" si="0"/>
        <v>603330</v>
      </c>
      <c r="L47">
        <f t="shared" si="1"/>
        <v>269.34375</v>
      </c>
    </row>
    <row r="48" spans="1:12" x14ac:dyDescent="0.25">
      <c r="A48">
        <v>1717</v>
      </c>
      <c r="B48" t="s">
        <v>63</v>
      </c>
      <c r="C48" t="s">
        <v>56</v>
      </c>
      <c r="D48" t="s">
        <v>33</v>
      </c>
      <c r="E48">
        <v>25</v>
      </c>
      <c r="F48">
        <v>9</v>
      </c>
      <c r="G48">
        <v>3</v>
      </c>
      <c r="H48">
        <v>24</v>
      </c>
      <c r="J48">
        <f t="shared" si="0"/>
        <v>57116</v>
      </c>
      <c r="L48">
        <f t="shared" si="1"/>
        <v>25.498214285714287</v>
      </c>
    </row>
    <row r="49" spans="1:12" x14ac:dyDescent="0.25">
      <c r="A49">
        <v>1717</v>
      </c>
      <c r="B49" t="s">
        <v>70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1717</v>
      </c>
      <c r="B50" t="s">
        <v>64</v>
      </c>
      <c r="C50" t="s">
        <v>56</v>
      </c>
      <c r="D50" t="s">
        <v>33</v>
      </c>
      <c r="E50">
        <v>24</v>
      </c>
      <c r="F50">
        <v>3</v>
      </c>
      <c r="G50">
        <v>2</v>
      </c>
      <c r="J50">
        <f t="shared" si="0"/>
        <v>54152</v>
      </c>
      <c r="L50">
        <f t="shared" si="1"/>
        <v>24.175000000000001</v>
      </c>
    </row>
    <row r="51" spans="1:12" x14ac:dyDescent="0.25">
      <c r="A51">
        <v>1717</v>
      </c>
      <c r="B51" t="s">
        <v>65</v>
      </c>
      <c r="C51" t="s">
        <v>56</v>
      </c>
      <c r="D51" t="s">
        <v>33</v>
      </c>
      <c r="E51">
        <v>1</v>
      </c>
      <c r="F51">
        <v>7</v>
      </c>
      <c r="G51">
        <v>3</v>
      </c>
      <c r="J51">
        <f t="shared" si="0"/>
        <v>3108</v>
      </c>
      <c r="L51">
        <f t="shared" si="1"/>
        <v>1.3875</v>
      </c>
    </row>
    <row r="52" spans="1:12" x14ac:dyDescent="0.25">
      <c r="A52">
        <v>1717</v>
      </c>
      <c r="B52" t="s">
        <v>55</v>
      </c>
      <c r="C52" t="s">
        <v>56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1717</v>
      </c>
      <c r="B53" t="s">
        <v>57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1717</v>
      </c>
      <c r="B54" t="s">
        <v>36</v>
      </c>
      <c r="C54" t="s">
        <v>56</v>
      </c>
      <c r="D54" t="s">
        <v>35</v>
      </c>
      <c r="H54">
        <v>1358</v>
      </c>
      <c r="J54">
        <f t="shared" si="0"/>
        <v>1358</v>
      </c>
      <c r="L54">
        <f t="shared" si="1"/>
        <v>0.60624999999999996</v>
      </c>
    </row>
    <row r="55" spans="1:12" x14ac:dyDescent="0.25">
      <c r="A55">
        <v>1717</v>
      </c>
      <c r="B55" t="s">
        <v>4</v>
      </c>
      <c r="C55" t="s">
        <v>56</v>
      </c>
      <c r="D55" t="s">
        <v>35</v>
      </c>
      <c r="H55">
        <v>2.25</v>
      </c>
      <c r="J55">
        <f t="shared" si="0"/>
        <v>2.25</v>
      </c>
      <c r="L55">
        <f t="shared" si="1"/>
        <v>1.0044642857142856E-3</v>
      </c>
    </row>
    <row r="56" spans="1:12" x14ac:dyDescent="0.25">
      <c r="A56">
        <v>1717</v>
      </c>
      <c r="B56" t="s">
        <v>58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1717</v>
      </c>
      <c r="B57" t="s">
        <v>92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1717</v>
      </c>
      <c r="B58" t="s">
        <v>43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1717</v>
      </c>
      <c r="B59" t="s">
        <v>5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1717</v>
      </c>
      <c r="B60" t="s">
        <v>59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1717</v>
      </c>
      <c r="B61" t="s">
        <v>6</v>
      </c>
      <c r="C61" t="s">
        <v>56</v>
      </c>
      <c r="D61" t="s">
        <v>35</v>
      </c>
      <c r="F61">
        <v>46326</v>
      </c>
      <c r="H61">
        <v>3</v>
      </c>
      <c r="J61">
        <f t="shared" si="0"/>
        <v>5188515</v>
      </c>
      <c r="L61">
        <f t="shared" si="1"/>
        <v>2316.3013392857142</v>
      </c>
    </row>
    <row r="62" spans="1:12" x14ac:dyDescent="0.25">
      <c r="A62">
        <v>1717</v>
      </c>
      <c r="B62" t="s">
        <v>60</v>
      </c>
      <c r="C62" t="s">
        <v>56</v>
      </c>
      <c r="D62" t="s">
        <v>35</v>
      </c>
      <c r="H62">
        <v>520</v>
      </c>
      <c r="J62">
        <f t="shared" si="0"/>
        <v>520</v>
      </c>
      <c r="L62">
        <f t="shared" si="1"/>
        <v>0.23214285714285715</v>
      </c>
    </row>
    <row r="63" spans="1:12" x14ac:dyDescent="0.25">
      <c r="A63">
        <v>1717</v>
      </c>
      <c r="B63" t="s">
        <v>38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1717</v>
      </c>
      <c r="B64" t="s">
        <v>37</v>
      </c>
      <c r="C64" t="s">
        <v>56</v>
      </c>
      <c r="D64" t="s">
        <v>35</v>
      </c>
      <c r="H64">
        <v>35</v>
      </c>
      <c r="J64">
        <f t="shared" si="0"/>
        <v>35</v>
      </c>
      <c r="L64">
        <f t="shared" si="1"/>
        <v>1.5625E-2</v>
      </c>
    </row>
    <row r="65" spans="1:12" x14ac:dyDescent="0.25">
      <c r="A65">
        <v>1717</v>
      </c>
      <c r="B65" t="s">
        <v>8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1717</v>
      </c>
      <c r="B66" t="s">
        <v>40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1717</v>
      </c>
      <c r="B67" t="s">
        <v>9</v>
      </c>
      <c r="C67" t="s">
        <v>56</v>
      </c>
      <c r="D67" t="s">
        <v>35</v>
      </c>
      <c r="H67">
        <v>214927</v>
      </c>
      <c r="J67">
        <f t="shared" si="0"/>
        <v>214927</v>
      </c>
      <c r="L67">
        <f t="shared" si="1"/>
        <v>95.949553571428567</v>
      </c>
    </row>
    <row r="68" spans="1:12" x14ac:dyDescent="0.25">
      <c r="A68">
        <v>1717</v>
      </c>
      <c r="B68" t="s">
        <v>10</v>
      </c>
      <c r="C68" t="s">
        <v>56</v>
      </c>
      <c r="D68" t="s">
        <v>35</v>
      </c>
      <c r="F68">
        <v>1084</v>
      </c>
      <c r="G68">
        <v>2</v>
      </c>
      <c r="H68">
        <v>16</v>
      </c>
      <c r="J68">
        <f t="shared" si="0"/>
        <v>121480</v>
      </c>
      <c r="L68">
        <f t="shared" si="1"/>
        <v>54.232142857142854</v>
      </c>
    </row>
    <row r="69" spans="1:12" x14ac:dyDescent="0.25">
      <c r="A69">
        <v>1717</v>
      </c>
      <c r="B69" t="s">
        <v>11</v>
      </c>
      <c r="C69" t="s">
        <v>56</v>
      </c>
      <c r="D69" t="s">
        <v>35</v>
      </c>
      <c r="F69">
        <v>147</v>
      </c>
      <c r="G69">
        <v>1</v>
      </c>
      <c r="H69">
        <v>23</v>
      </c>
      <c r="J69">
        <f t="shared" ref="J69:J101" si="2">(E69*2240)+(F69*112)+(G69*28)+H69</f>
        <v>16515</v>
      </c>
      <c r="L69">
        <f t="shared" ref="L69:L101" si="3">J69/2240</f>
        <v>7.3727678571428568</v>
      </c>
    </row>
    <row r="70" spans="1:12" x14ac:dyDescent="0.25">
      <c r="A70">
        <v>1717</v>
      </c>
      <c r="B70" t="s">
        <v>39</v>
      </c>
      <c r="C70" t="s">
        <v>56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1717</v>
      </c>
      <c r="B71" t="s">
        <v>79</v>
      </c>
      <c r="C71" t="s">
        <v>56</v>
      </c>
      <c r="D71" t="s">
        <v>35</v>
      </c>
      <c r="H71">
        <v>270</v>
      </c>
      <c r="J71">
        <f t="shared" si="2"/>
        <v>270</v>
      </c>
      <c r="L71">
        <f t="shared" si="3"/>
        <v>0.12053571428571429</v>
      </c>
    </row>
    <row r="72" spans="1:12" x14ac:dyDescent="0.25">
      <c r="A72">
        <v>1717</v>
      </c>
      <c r="B72" t="s">
        <v>44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1717</v>
      </c>
      <c r="B73" t="s">
        <v>12</v>
      </c>
      <c r="C73" t="s">
        <v>56</v>
      </c>
      <c r="D73" t="s">
        <v>35</v>
      </c>
      <c r="H73">
        <v>2191</v>
      </c>
      <c r="J73">
        <f t="shared" si="2"/>
        <v>2191</v>
      </c>
      <c r="L73">
        <f t="shared" si="3"/>
        <v>0.97812500000000002</v>
      </c>
    </row>
    <row r="74" spans="1:12" x14ac:dyDescent="0.25">
      <c r="A74">
        <v>1717</v>
      </c>
      <c r="B74" t="s">
        <v>34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1717</v>
      </c>
      <c r="B75" t="s">
        <v>13</v>
      </c>
      <c r="C75" t="s">
        <v>56</v>
      </c>
      <c r="D75" t="s">
        <v>35</v>
      </c>
      <c r="E75">
        <v>31</v>
      </c>
      <c r="F75">
        <v>7</v>
      </c>
      <c r="H75">
        <v>15</v>
      </c>
      <c r="J75">
        <f t="shared" si="2"/>
        <v>70239</v>
      </c>
      <c r="L75">
        <f t="shared" si="3"/>
        <v>31.356696428571428</v>
      </c>
    </row>
    <row r="76" spans="1:12" x14ac:dyDescent="0.25">
      <c r="A76">
        <v>1717</v>
      </c>
      <c r="B76" t="s">
        <v>14</v>
      </c>
      <c r="C76" t="s">
        <v>56</v>
      </c>
      <c r="D76" t="s">
        <v>35</v>
      </c>
      <c r="H76">
        <v>14248.5</v>
      </c>
      <c r="I76" t="s">
        <v>130</v>
      </c>
      <c r="J76">
        <f t="shared" si="2"/>
        <v>14248.5</v>
      </c>
      <c r="L76">
        <f t="shared" si="3"/>
        <v>6.3609375000000004</v>
      </c>
    </row>
    <row r="77" spans="1:12" x14ac:dyDescent="0.25">
      <c r="A77">
        <v>1717</v>
      </c>
      <c r="B77" t="s">
        <v>23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1717</v>
      </c>
      <c r="B78" t="s">
        <v>27</v>
      </c>
      <c r="C78" t="s">
        <v>56</v>
      </c>
      <c r="D78" t="s">
        <v>35</v>
      </c>
      <c r="H78">
        <v>6111.5</v>
      </c>
      <c r="I78" t="s">
        <v>129</v>
      </c>
      <c r="J78">
        <f t="shared" si="2"/>
        <v>6111.5</v>
      </c>
      <c r="L78">
        <f t="shared" si="3"/>
        <v>2.7283482142857145</v>
      </c>
    </row>
    <row r="79" spans="1:12" x14ac:dyDescent="0.25">
      <c r="A79">
        <v>1717</v>
      </c>
      <c r="B79" t="s">
        <v>15</v>
      </c>
      <c r="C79" t="s">
        <v>56</v>
      </c>
      <c r="D79" t="s">
        <v>35</v>
      </c>
      <c r="F79">
        <v>112</v>
      </c>
      <c r="G79">
        <v>2</v>
      </c>
      <c r="H79">
        <v>1</v>
      </c>
      <c r="J79">
        <f t="shared" si="2"/>
        <v>12601</v>
      </c>
      <c r="L79">
        <f t="shared" si="3"/>
        <v>5.6254464285714283</v>
      </c>
    </row>
    <row r="80" spans="1:12" x14ac:dyDescent="0.25">
      <c r="A80">
        <v>1717</v>
      </c>
      <c r="B80" t="s">
        <v>93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1717</v>
      </c>
      <c r="B81" t="s">
        <v>42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1717</v>
      </c>
      <c r="B82" t="s">
        <v>47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1717</v>
      </c>
      <c r="B83" t="s">
        <v>16</v>
      </c>
      <c r="C83" t="s">
        <v>56</v>
      </c>
      <c r="D83" t="s">
        <v>35</v>
      </c>
      <c r="H83">
        <v>880</v>
      </c>
      <c r="J83">
        <f t="shared" si="2"/>
        <v>880</v>
      </c>
      <c r="L83">
        <f t="shared" si="3"/>
        <v>0.39285714285714285</v>
      </c>
    </row>
    <row r="84" spans="1:12" x14ac:dyDescent="0.25">
      <c r="A84">
        <v>1717</v>
      </c>
      <c r="B84" t="s">
        <v>106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1717</v>
      </c>
      <c r="B85" t="s">
        <v>17</v>
      </c>
      <c r="C85" t="s">
        <v>56</v>
      </c>
      <c r="D85" t="s">
        <v>35</v>
      </c>
      <c r="F85">
        <v>180</v>
      </c>
      <c r="G85">
        <v>1</v>
      </c>
      <c r="H85">
        <v>14</v>
      </c>
      <c r="J85">
        <f t="shared" si="2"/>
        <v>20202</v>
      </c>
      <c r="L85">
        <f t="shared" si="3"/>
        <v>9.0187500000000007</v>
      </c>
    </row>
    <row r="86" spans="1:12" x14ac:dyDescent="0.25">
      <c r="A86">
        <v>1717</v>
      </c>
      <c r="B86" t="s">
        <v>18</v>
      </c>
      <c r="C86" t="s">
        <v>56</v>
      </c>
      <c r="D86" t="s">
        <v>35</v>
      </c>
      <c r="H86">
        <v>25936.5</v>
      </c>
      <c r="I86" t="s">
        <v>131</v>
      </c>
      <c r="J86">
        <f t="shared" si="2"/>
        <v>25936.5</v>
      </c>
      <c r="L86">
        <f t="shared" si="3"/>
        <v>11.578794642857142</v>
      </c>
    </row>
    <row r="87" spans="1:12" x14ac:dyDescent="0.25">
      <c r="A87">
        <v>1717</v>
      </c>
      <c r="B87" t="s">
        <v>26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1717</v>
      </c>
      <c r="B88" t="s">
        <v>19</v>
      </c>
      <c r="C88" t="s">
        <v>56</v>
      </c>
      <c r="D88" t="s">
        <v>35</v>
      </c>
      <c r="F88">
        <v>1</v>
      </c>
      <c r="G88">
        <v>2</v>
      </c>
      <c r="H88">
        <v>11</v>
      </c>
      <c r="J88">
        <f t="shared" si="2"/>
        <v>179</v>
      </c>
      <c r="L88">
        <f t="shared" si="3"/>
        <v>7.9910714285714279E-2</v>
      </c>
    </row>
    <row r="89" spans="1:12" x14ac:dyDescent="0.25">
      <c r="A89">
        <v>1717</v>
      </c>
      <c r="B89" t="s">
        <v>45</v>
      </c>
      <c r="C89" t="s">
        <v>56</v>
      </c>
      <c r="D89" t="s">
        <v>35</v>
      </c>
      <c r="H89">
        <v>226</v>
      </c>
      <c r="J89">
        <f t="shared" si="2"/>
        <v>226</v>
      </c>
      <c r="L89">
        <f t="shared" si="3"/>
        <v>0.10089285714285715</v>
      </c>
    </row>
    <row r="90" spans="1:12" x14ac:dyDescent="0.25">
      <c r="A90">
        <v>1717</v>
      </c>
      <c r="B90" t="s">
        <v>54</v>
      </c>
      <c r="C90" t="s">
        <v>56</v>
      </c>
      <c r="D90" t="s">
        <v>35</v>
      </c>
      <c r="H90">
        <v>244</v>
      </c>
      <c r="J90">
        <f t="shared" si="2"/>
        <v>244</v>
      </c>
      <c r="L90">
        <f t="shared" si="3"/>
        <v>0.10892857142857143</v>
      </c>
    </row>
    <row r="91" spans="1:12" x14ac:dyDescent="0.25">
      <c r="A91">
        <v>1717</v>
      </c>
      <c r="B91" t="s">
        <v>95</v>
      </c>
      <c r="C91" t="s">
        <v>56</v>
      </c>
      <c r="D91" t="s">
        <v>35</v>
      </c>
      <c r="H91">
        <v>12</v>
      </c>
      <c r="J91">
        <f t="shared" si="2"/>
        <v>12</v>
      </c>
      <c r="L91">
        <f t="shared" si="3"/>
        <v>5.3571428571428572E-3</v>
      </c>
    </row>
    <row r="92" spans="1:12" x14ac:dyDescent="0.25">
      <c r="A92">
        <v>1717</v>
      </c>
      <c r="B92" t="s">
        <v>20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1717</v>
      </c>
      <c r="B93" t="s">
        <v>21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1717</v>
      </c>
      <c r="B94" t="s">
        <v>22</v>
      </c>
      <c r="C94" t="s">
        <v>56</v>
      </c>
      <c r="D94" t="s">
        <v>35</v>
      </c>
      <c r="F94">
        <v>48</v>
      </c>
      <c r="G94">
        <v>1</v>
      </c>
      <c r="H94">
        <v>9</v>
      </c>
      <c r="J94">
        <f t="shared" si="2"/>
        <v>5413</v>
      </c>
      <c r="L94">
        <f t="shared" si="3"/>
        <v>2.4165178571428569</v>
      </c>
    </row>
    <row r="95" spans="1:12" x14ac:dyDescent="0.25">
      <c r="A95">
        <v>1717</v>
      </c>
      <c r="B95" t="s">
        <v>61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1717</v>
      </c>
      <c r="B96" t="s">
        <v>62</v>
      </c>
      <c r="C96" t="s">
        <v>56</v>
      </c>
      <c r="D96" t="s">
        <v>35</v>
      </c>
      <c r="F96">
        <v>2765</v>
      </c>
      <c r="G96">
        <v>3</v>
      </c>
      <c r="H96">
        <v>24</v>
      </c>
      <c r="J96">
        <f t="shared" si="2"/>
        <v>309788</v>
      </c>
      <c r="L96">
        <f t="shared" si="3"/>
        <v>138.29821428571429</v>
      </c>
    </row>
    <row r="97" spans="1:12" x14ac:dyDescent="0.25">
      <c r="A97">
        <v>1717</v>
      </c>
      <c r="B97" t="s">
        <v>63</v>
      </c>
      <c r="C97" t="s">
        <v>56</v>
      </c>
      <c r="D97" t="s">
        <v>35</v>
      </c>
      <c r="E97">
        <v>19</v>
      </c>
      <c r="F97">
        <v>15</v>
      </c>
      <c r="G97">
        <v>3</v>
      </c>
      <c r="J97">
        <f t="shared" si="2"/>
        <v>44324</v>
      </c>
      <c r="L97">
        <f t="shared" si="3"/>
        <v>19.787500000000001</v>
      </c>
    </row>
    <row r="98" spans="1:12" x14ac:dyDescent="0.25">
      <c r="A98">
        <v>1717</v>
      </c>
      <c r="B98" t="s">
        <v>89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1717</v>
      </c>
      <c r="B99" t="s">
        <v>70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1717</v>
      </c>
      <c r="B100" t="s">
        <v>64</v>
      </c>
      <c r="C100" t="s">
        <v>56</v>
      </c>
      <c r="D100" t="s">
        <v>35</v>
      </c>
      <c r="F100">
        <v>8</v>
      </c>
      <c r="J100">
        <f t="shared" si="2"/>
        <v>896</v>
      </c>
      <c r="L100">
        <f t="shared" si="3"/>
        <v>0.4</v>
      </c>
    </row>
    <row r="101" spans="1:12" x14ac:dyDescent="0.25">
      <c r="A101">
        <v>1717</v>
      </c>
      <c r="B101" t="s">
        <v>65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</sheetData>
  <autoFilter ref="A1:N55" xr:uid="{AAD1F908-12B8-4B3A-A65D-184CD229ACD4}">
    <sortState xmlns:xlrd2="http://schemas.microsoft.com/office/spreadsheetml/2017/richdata2" ref="A2:N55">
      <sortCondition ref="B1:B5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9"/>
  <sheetViews>
    <sheetView workbookViewId="0">
      <selection activeCell="H12" sqref="H12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1717</v>
      </c>
      <c r="B2" t="s">
        <v>66</v>
      </c>
      <c r="C2" t="s">
        <v>67</v>
      </c>
      <c r="D2" t="s">
        <v>33</v>
      </c>
      <c r="J2">
        <f t="shared" ref="J2:J29" si="0">(E2*2240)+(F2*112)+(G2*28)+H2</f>
        <v>0</v>
      </c>
      <c r="L2">
        <f t="shared" ref="L2:L29" si="1">J2/2240</f>
        <v>0</v>
      </c>
    </row>
    <row r="3" spans="1:12" x14ac:dyDescent="0.25">
      <c r="A3">
        <v>1717</v>
      </c>
      <c r="B3" t="s">
        <v>6</v>
      </c>
      <c r="C3" t="s">
        <v>67</v>
      </c>
      <c r="D3" t="s">
        <v>33</v>
      </c>
      <c r="E3" s="1"/>
      <c r="F3">
        <v>112</v>
      </c>
      <c r="G3">
        <v>3</v>
      </c>
      <c r="I3" s="1"/>
      <c r="J3">
        <f t="shared" si="0"/>
        <v>12628</v>
      </c>
      <c r="K3" s="1"/>
      <c r="L3">
        <f t="shared" si="1"/>
        <v>5.6375000000000002</v>
      </c>
    </row>
    <row r="4" spans="1:12" x14ac:dyDescent="0.25">
      <c r="A4">
        <v>1717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1717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1717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1717</v>
      </c>
      <c r="B7" t="s">
        <v>12</v>
      </c>
      <c r="C7" t="s">
        <v>67</v>
      </c>
      <c r="D7" t="s">
        <v>33</v>
      </c>
      <c r="H7">
        <v>1065</v>
      </c>
      <c r="J7">
        <f t="shared" si="0"/>
        <v>1065</v>
      </c>
      <c r="L7">
        <f t="shared" si="1"/>
        <v>0.47544642857142855</v>
      </c>
    </row>
    <row r="8" spans="1:12" x14ac:dyDescent="0.25">
      <c r="A8">
        <v>1717</v>
      </c>
      <c r="B8" t="s">
        <v>14</v>
      </c>
      <c r="C8" t="s">
        <v>67</v>
      </c>
      <c r="D8" t="s">
        <v>33</v>
      </c>
      <c r="H8">
        <v>7272</v>
      </c>
      <c r="I8" t="s">
        <v>115</v>
      </c>
    </row>
    <row r="9" spans="1:12" x14ac:dyDescent="0.25">
      <c r="A9">
        <v>1717</v>
      </c>
      <c r="B9" t="s">
        <v>27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1717</v>
      </c>
      <c r="B10" t="s">
        <v>15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1717</v>
      </c>
      <c r="B11" t="s">
        <v>17</v>
      </c>
      <c r="C11" t="s">
        <v>67</v>
      </c>
      <c r="D11" t="s">
        <v>33</v>
      </c>
      <c r="F11">
        <v>69</v>
      </c>
      <c r="J11">
        <f t="shared" si="0"/>
        <v>7728</v>
      </c>
      <c r="K11" s="1"/>
      <c r="L11">
        <f t="shared" si="1"/>
        <v>3.45</v>
      </c>
    </row>
    <row r="12" spans="1:12" x14ac:dyDescent="0.25">
      <c r="A12">
        <v>1717</v>
      </c>
      <c r="B12" t="s">
        <v>18</v>
      </c>
      <c r="C12" t="s">
        <v>67</v>
      </c>
      <c r="D12" t="s">
        <v>33</v>
      </c>
      <c r="H12">
        <v>90</v>
      </c>
      <c r="I12" t="s">
        <v>116</v>
      </c>
      <c r="J12">
        <f t="shared" si="0"/>
        <v>90</v>
      </c>
      <c r="L12">
        <f t="shared" si="1"/>
        <v>4.0178571428571432E-2</v>
      </c>
    </row>
    <row r="13" spans="1:12" x14ac:dyDescent="0.25">
      <c r="A13">
        <v>1717</v>
      </c>
      <c r="B13" t="s">
        <v>19</v>
      </c>
      <c r="C13" t="s">
        <v>67</v>
      </c>
      <c r="D13" t="s">
        <v>33</v>
      </c>
      <c r="F13">
        <v>5</v>
      </c>
      <c r="G13">
        <v>2</v>
      </c>
      <c r="J13">
        <f t="shared" si="0"/>
        <v>616</v>
      </c>
      <c r="L13">
        <f t="shared" si="1"/>
        <v>0.27500000000000002</v>
      </c>
    </row>
    <row r="14" spans="1:12" x14ac:dyDescent="0.25">
      <c r="A14">
        <v>1717</v>
      </c>
      <c r="B14" t="s">
        <v>21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1717</v>
      </c>
      <c r="B15" t="s">
        <v>90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1717</v>
      </c>
      <c r="B16" t="s">
        <v>61</v>
      </c>
      <c r="C16" t="s">
        <v>67</v>
      </c>
      <c r="D16" t="s">
        <v>33</v>
      </c>
      <c r="E16">
        <v>9</v>
      </c>
      <c r="F16">
        <v>4</v>
      </c>
      <c r="G16">
        <v>2</v>
      </c>
      <c r="J16">
        <f t="shared" si="0"/>
        <v>20664</v>
      </c>
      <c r="L16">
        <f t="shared" si="1"/>
        <v>9.2249999999999996</v>
      </c>
    </row>
    <row r="17" spans="1:12" x14ac:dyDescent="0.25">
      <c r="A17">
        <v>1717</v>
      </c>
      <c r="B17" t="s">
        <v>62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1717</v>
      </c>
      <c r="B18" t="s">
        <v>63</v>
      </c>
      <c r="C18" t="s">
        <v>67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1717</v>
      </c>
      <c r="B19" t="s">
        <v>6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1717</v>
      </c>
      <c r="B20" t="s">
        <v>12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1717</v>
      </c>
      <c r="B21" t="s">
        <v>41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1717</v>
      </c>
      <c r="B22" t="s">
        <v>27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1717</v>
      </c>
      <c r="B23" t="s">
        <v>17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1717</v>
      </c>
      <c r="B24" t="s">
        <v>19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1717</v>
      </c>
      <c r="B25" t="s">
        <v>54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1717</v>
      </c>
      <c r="B26" t="s">
        <v>9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1717</v>
      </c>
      <c r="B27" t="s">
        <v>8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1717</v>
      </c>
      <c r="B28" t="s">
        <v>61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1717</v>
      </c>
      <c r="B29" t="s">
        <v>63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2"/>
  <sheetViews>
    <sheetView topLeftCell="A118" zoomScaleNormal="100" workbookViewId="0">
      <selection activeCell="H110" sqref="H11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1717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1717</v>
      </c>
      <c r="B3" t="s">
        <v>57</v>
      </c>
      <c r="C3" t="s">
        <v>68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2" x14ac:dyDescent="0.25">
      <c r="A4">
        <v>1717</v>
      </c>
      <c r="B4" t="s">
        <v>36</v>
      </c>
      <c r="C4" t="s">
        <v>68</v>
      </c>
      <c r="D4" t="s">
        <v>33</v>
      </c>
      <c r="H4">
        <v>140</v>
      </c>
      <c r="J4">
        <f t="shared" si="0"/>
        <v>140</v>
      </c>
      <c r="L4">
        <f t="shared" si="1"/>
        <v>6.25E-2</v>
      </c>
    </row>
    <row r="5" spans="1:12" x14ac:dyDescent="0.25">
      <c r="A5">
        <v>1717</v>
      </c>
      <c r="B5" t="s">
        <v>4</v>
      </c>
      <c r="C5" t="s">
        <v>68</v>
      </c>
      <c r="D5" t="s">
        <v>33</v>
      </c>
      <c r="H5">
        <v>42</v>
      </c>
      <c r="J5">
        <f t="shared" si="0"/>
        <v>42</v>
      </c>
      <c r="L5">
        <f t="shared" si="1"/>
        <v>1.8749999999999999E-2</v>
      </c>
    </row>
    <row r="6" spans="1:12" x14ac:dyDescent="0.25">
      <c r="A6">
        <v>1717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1717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1717</v>
      </c>
      <c r="B8" t="s">
        <v>101</v>
      </c>
      <c r="C8" t="s">
        <v>68</v>
      </c>
      <c r="D8" t="s">
        <v>33</v>
      </c>
      <c r="H8">
        <v>1242</v>
      </c>
      <c r="J8">
        <f t="shared" si="0"/>
        <v>1242</v>
      </c>
      <c r="L8">
        <f t="shared" si="1"/>
        <v>0.55446428571428574</v>
      </c>
    </row>
    <row r="9" spans="1:12" x14ac:dyDescent="0.25">
      <c r="A9">
        <v>1717</v>
      </c>
      <c r="B9" t="s">
        <v>43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1717</v>
      </c>
      <c r="B10" t="s">
        <v>76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1717</v>
      </c>
      <c r="B11" t="s">
        <v>5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1717</v>
      </c>
      <c r="B12" t="s">
        <v>59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1717</v>
      </c>
      <c r="B13" t="s">
        <v>6</v>
      </c>
      <c r="C13" t="s">
        <v>68</v>
      </c>
      <c r="D13" t="s">
        <v>33</v>
      </c>
      <c r="F13">
        <v>151366</v>
      </c>
      <c r="G13">
        <v>1</v>
      </c>
      <c r="H13">
        <v>4</v>
      </c>
      <c r="J13">
        <f t="shared" si="0"/>
        <v>16953024</v>
      </c>
      <c r="L13">
        <f t="shared" si="1"/>
        <v>7568.3142857142857</v>
      </c>
    </row>
    <row r="14" spans="1:12" x14ac:dyDescent="0.25">
      <c r="A14">
        <v>1717</v>
      </c>
      <c r="B14" t="s">
        <v>96</v>
      </c>
      <c r="C14" t="s">
        <v>68</v>
      </c>
      <c r="D14" t="s">
        <v>33</v>
      </c>
      <c r="H14">
        <v>2595</v>
      </c>
      <c r="J14">
        <f t="shared" si="0"/>
        <v>2595</v>
      </c>
      <c r="L14">
        <f t="shared" si="1"/>
        <v>1.1584821428571428</v>
      </c>
    </row>
    <row r="15" spans="1:12" x14ac:dyDescent="0.25">
      <c r="A15">
        <v>1717</v>
      </c>
      <c r="B15" t="s">
        <v>60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1717</v>
      </c>
      <c r="B16" t="s">
        <v>7</v>
      </c>
      <c r="C16" t="s">
        <v>68</v>
      </c>
      <c r="D16" t="s">
        <v>33</v>
      </c>
      <c r="H16">
        <v>30</v>
      </c>
      <c r="J16">
        <f t="shared" si="0"/>
        <v>30</v>
      </c>
      <c r="L16">
        <f t="shared" si="1"/>
        <v>1.3392857142857142E-2</v>
      </c>
    </row>
    <row r="17" spans="1:12" x14ac:dyDescent="0.25">
      <c r="A17">
        <v>1717</v>
      </c>
      <c r="B17" t="s">
        <v>117</v>
      </c>
      <c r="C17" t="s">
        <v>68</v>
      </c>
      <c r="D17" t="s">
        <v>33</v>
      </c>
      <c r="H17">
        <v>10</v>
      </c>
      <c r="J17">
        <f t="shared" si="0"/>
        <v>10</v>
      </c>
      <c r="L17">
        <f t="shared" si="1"/>
        <v>4.464285714285714E-3</v>
      </c>
    </row>
    <row r="18" spans="1:12" x14ac:dyDescent="0.25">
      <c r="A18">
        <v>1717</v>
      </c>
      <c r="B18" t="s">
        <v>37</v>
      </c>
      <c r="C18" t="s">
        <v>68</v>
      </c>
      <c r="D18" t="s">
        <v>33</v>
      </c>
      <c r="H18">
        <v>812</v>
      </c>
      <c r="J18">
        <f t="shared" si="0"/>
        <v>812</v>
      </c>
      <c r="L18">
        <f t="shared" si="1"/>
        <v>0.36249999999999999</v>
      </c>
    </row>
    <row r="19" spans="1:12" x14ac:dyDescent="0.25">
      <c r="A19">
        <v>1717</v>
      </c>
      <c r="B19" t="s">
        <v>8</v>
      </c>
      <c r="C19" t="s">
        <v>68</v>
      </c>
      <c r="D19" t="s">
        <v>33</v>
      </c>
      <c r="F19">
        <v>11</v>
      </c>
      <c r="G19">
        <v>2</v>
      </c>
      <c r="H19">
        <v>7</v>
      </c>
      <c r="J19">
        <f t="shared" si="0"/>
        <v>1295</v>
      </c>
      <c r="L19">
        <f t="shared" si="1"/>
        <v>0.578125</v>
      </c>
    </row>
    <row r="20" spans="1:12" x14ac:dyDescent="0.25">
      <c r="A20">
        <v>1717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1717</v>
      </c>
      <c r="B21" t="s">
        <v>77</v>
      </c>
      <c r="C21" t="s">
        <v>68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1717</v>
      </c>
      <c r="B22" t="s">
        <v>78</v>
      </c>
      <c r="C22" t="s">
        <v>68</v>
      </c>
      <c r="D22" t="s">
        <v>33</v>
      </c>
      <c r="H22">
        <v>12314</v>
      </c>
      <c r="J22">
        <f t="shared" si="0"/>
        <v>12314</v>
      </c>
      <c r="L22">
        <f t="shared" si="1"/>
        <v>5.4973214285714285</v>
      </c>
    </row>
    <row r="23" spans="1:12" x14ac:dyDescent="0.25">
      <c r="A23">
        <v>1717</v>
      </c>
      <c r="B23" t="s">
        <v>46</v>
      </c>
      <c r="C23" t="s">
        <v>68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1717</v>
      </c>
      <c r="B24" t="s">
        <v>9</v>
      </c>
      <c r="C24" t="s">
        <v>68</v>
      </c>
      <c r="D24" t="s">
        <v>33</v>
      </c>
      <c r="H24">
        <v>667500</v>
      </c>
      <c r="J24">
        <f t="shared" si="0"/>
        <v>667500</v>
      </c>
      <c r="L24">
        <f t="shared" si="1"/>
        <v>297.99107142857144</v>
      </c>
    </row>
    <row r="25" spans="1:12" x14ac:dyDescent="0.25">
      <c r="A25">
        <v>1717</v>
      </c>
      <c r="B25" t="s">
        <v>10</v>
      </c>
      <c r="C25" t="s">
        <v>68</v>
      </c>
      <c r="D25" t="s">
        <v>33</v>
      </c>
      <c r="F25">
        <v>7607</v>
      </c>
      <c r="H25">
        <v>22</v>
      </c>
      <c r="J25">
        <f t="shared" si="0"/>
        <v>852006</v>
      </c>
      <c r="L25">
        <f t="shared" si="1"/>
        <v>380.35982142857142</v>
      </c>
    </row>
    <row r="26" spans="1:12" x14ac:dyDescent="0.25">
      <c r="A26">
        <v>1717</v>
      </c>
      <c r="B26" t="s">
        <v>11</v>
      </c>
      <c r="C26" t="s">
        <v>68</v>
      </c>
      <c r="D26" t="s">
        <v>33</v>
      </c>
      <c r="F26">
        <v>347</v>
      </c>
      <c r="H26">
        <v>23</v>
      </c>
      <c r="J26">
        <f t="shared" si="0"/>
        <v>38887</v>
      </c>
      <c r="L26">
        <f t="shared" si="1"/>
        <v>17.360267857142858</v>
      </c>
    </row>
    <row r="27" spans="1:12" x14ac:dyDescent="0.25">
      <c r="A27">
        <v>1717</v>
      </c>
      <c r="B27" t="s">
        <v>39</v>
      </c>
      <c r="C27" t="s">
        <v>68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1717</v>
      </c>
      <c r="B28" t="s">
        <v>79</v>
      </c>
      <c r="C28" t="s">
        <v>68</v>
      </c>
      <c r="D28" t="s">
        <v>33</v>
      </c>
      <c r="H28">
        <v>7249</v>
      </c>
      <c r="J28">
        <f t="shared" si="0"/>
        <v>7249</v>
      </c>
      <c r="L28">
        <f t="shared" si="1"/>
        <v>3.2361607142857145</v>
      </c>
    </row>
    <row r="29" spans="1:12" x14ac:dyDescent="0.25">
      <c r="A29">
        <v>1717</v>
      </c>
      <c r="B29" t="s">
        <v>103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1717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1717</v>
      </c>
      <c r="B31" t="s">
        <v>97</v>
      </c>
      <c r="C31" t="s">
        <v>68</v>
      </c>
      <c r="D31" t="s">
        <v>33</v>
      </c>
      <c r="H31">
        <v>628</v>
      </c>
      <c r="J31">
        <f t="shared" si="0"/>
        <v>628</v>
      </c>
      <c r="L31">
        <f t="shared" si="1"/>
        <v>0.28035714285714286</v>
      </c>
    </row>
    <row r="32" spans="1:12" x14ac:dyDescent="0.25">
      <c r="A32">
        <v>1717</v>
      </c>
      <c r="B32" t="s">
        <v>12</v>
      </c>
      <c r="C32" t="s">
        <v>68</v>
      </c>
      <c r="D32" t="s">
        <v>33</v>
      </c>
      <c r="H32">
        <v>87360</v>
      </c>
      <c r="J32">
        <f t="shared" si="0"/>
        <v>87360</v>
      </c>
      <c r="L32">
        <f t="shared" si="1"/>
        <v>39</v>
      </c>
    </row>
    <row r="33" spans="1:12" x14ac:dyDescent="0.25">
      <c r="A33">
        <v>1717</v>
      </c>
      <c r="B33" t="s">
        <v>82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1717</v>
      </c>
      <c r="B34" t="s">
        <v>34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1717</v>
      </c>
      <c r="B35" t="s">
        <v>13</v>
      </c>
      <c r="C35" t="s">
        <v>68</v>
      </c>
      <c r="D35" t="s">
        <v>33</v>
      </c>
      <c r="E35">
        <v>10</v>
      </c>
      <c r="F35">
        <v>3</v>
      </c>
      <c r="J35">
        <f t="shared" si="0"/>
        <v>22736</v>
      </c>
      <c r="L35">
        <f t="shared" si="1"/>
        <v>10.15</v>
      </c>
    </row>
    <row r="36" spans="1:12" x14ac:dyDescent="0.25">
      <c r="A36">
        <v>1717</v>
      </c>
      <c r="B36" t="s">
        <v>14</v>
      </c>
      <c r="C36" t="s">
        <v>68</v>
      </c>
      <c r="D36" t="s">
        <v>33</v>
      </c>
      <c r="H36">
        <v>15744</v>
      </c>
      <c r="I36" t="s">
        <v>119</v>
      </c>
      <c r="J36">
        <f t="shared" si="0"/>
        <v>15744</v>
      </c>
      <c r="L36">
        <f t="shared" si="1"/>
        <v>7.0285714285714285</v>
      </c>
    </row>
    <row r="37" spans="1:12" x14ac:dyDescent="0.25">
      <c r="A37">
        <v>1717</v>
      </c>
      <c r="B37" t="s">
        <v>23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1717</v>
      </c>
      <c r="B38" t="s">
        <v>27</v>
      </c>
      <c r="C38" t="s">
        <v>68</v>
      </c>
      <c r="D38" t="s">
        <v>33</v>
      </c>
      <c r="H38">
        <v>37529.5</v>
      </c>
      <c r="I38" t="s">
        <v>118</v>
      </c>
      <c r="J38">
        <f t="shared" si="0"/>
        <v>37529.5</v>
      </c>
      <c r="L38">
        <f t="shared" si="1"/>
        <v>16.75424107142857</v>
      </c>
    </row>
    <row r="39" spans="1:12" x14ac:dyDescent="0.25">
      <c r="A39">
        <v>1717</v>
      </c>
      <c r="B39" t="s">
        <v>15</v>
      </c>
      <c r="C39" t="s">
        <v>68</v>
      </c>
      <c r="D39" t="s">
        <v>33</v>
      </c>
      <c r="F39">
        <v>16</v>
      </c>
      <c r="J39">
        <f t="shared" si="0"/>
        <v>1792</v>
      </c>
      <c r="L39">
        <f t="shared" si="1"/>
        <v>0.8</v>
      </c>
    </row>
    <row r="40" spans="1:12" x14ac:dyDescent="0.25">
      <c r="A40">
        <v>1717</v>
      </c>
      <c r="B40" t="s">
        <v>42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1717</v>
      </c>
      <c r="B41" t="s">
        <v>83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1717</v>
      </c>
      <c r="B42" t="s">
        <v>47</v>
      </c>
      <c r="C42" t="s">
        <v>68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1717</v>
      </c>
      <c r="B43" t="s">
        <v>16</v>
      </c>
      <c r="C43" t="s">
        <v>68</v>
      </c>
      <c r="D43" t="s">
        <v>33</v>
      </c>
      <c r="H43">
        <v>194255</v>
      </c>
      <c r="J43">
        <f t="shared" si="0"/>
        <v>194255</v>
      </c>
      <c r="L43">
        <f t="shared" si="1"/>
        <v>86.720982142857139</v>
      </c>
    </row>
    <row r="44" spans="1:12" x14ac:dyDescent="0.25">
      <c r="A44">
        <v>1717</v>
      </c>
      <c r="B44" t="s">
        <v>17</v>
      </c>
      <c r="C44" t="s">
        <v>68</v>
      </c>
      <c r="D44" t="s">
        <v>33</v>
      </c>
      <c r="F44">
        <v>1538</v>
      </c>
      <c r="G44">
        <v>2</v>
      </c>
      <c r="H44">
        <v>20</v>
      </c>
      <c r="J44">
        <f t="shared" si="0"/>
        <v>172332</v>
      </c>
      <c r="L44">
        <f t="shared" si="1"/>
        <v>76.933928571428567</v>
      </c>
    </row>
    <row r="45" spans="1:12" x14ac:dyDescent="0.25">
      <c r="A45">
        <v>1717</v>
      </c>
      <c r="B45" t="s">
        <v>18</v>
      </c>
      <c r="C45" t="s">
        <v>68</v>
      </c>
      <c r="D45" t="s">
        <v>33</v>
      </c>
      <c r="H45">
        <v>148988</v>
      </c>
      <c r="I45" t="s">
        <v>120</v>
      </c>
      <c r="J45">
        <f t="shared" si="0"/>
        <v>148988</v>
      </c>
      <c r="L45">
        <f t="shared" si="1"/>
        <v>66.512500000000003</v>
      </c>
    </row>
    <row r="46" spans="1:12" x14ac:dyDescent="0.25">
      <c r="A46">
        <v>1717</v>
      </c>
      <c r="B46" t="s">
        <v>26</v>
      </c>
      <c r="C46" t="s">
        <v>68</v>
      </c>
      <c r="D46" t="s">
        <v>33</v>
      </c>
      <c r="H46">
        <v>80060</v>
      </c>
      <c r="J46">
        <f t="shared" si="0"/>
        <v>80060</v>
      </c>
      <c r="L46">
        <f t="shared" si="1"/>
        <v>35.741071428571431</v>
      </c>
    </row>
    <row r="47" spans="1:12" x14ac:dyDescent="0.25">
      <c r="A47">
        <v>1717</v>
      </c>
      <c r="B47" t="s">
        <v>84</v>
      </c>
      <c r="C47" t="s">
        <v>68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1717</v>
      </c>
      <c r="B48" t="s">
        <v>19</v>
      </c>
      <c r="C48" t="s">
        <v>68</v>
      </c>
      <c r="D48" t="s">
        <v>33</v>
      </c>
      <c r="F48">
        <v>35</v>
      </c>
      <c r="G48">
        <v>1</v>
      </c>
      <c r="H48">
        <v>24</v>
      </c>
      <c r="J48">
        <f t="shared" si="0"/>
        <v>3972</v>
      </c>
      <c r="L48">
        <f t="shared" si="1"/>
        <v>1.7732142857142856</v>
      </c>
    </row>
    <row r="49" spans="1:12" x14ac:dyDescent="0.25">
      <c r="A49">
        <v>1717</v>
      </c>
      <c r="B49" t="s">
        <v>45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1717</v>
      </c>
      <c r="B50" t="s">
        <v>85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1717</v>
      </c>
      <c r="B51" t="s">
        <v>54</v>
      </c>
      <c r="C51" t="s">
        <v>68</v>
      </c>
      <c r="D51" t="s">
        <v>33</v>
      </c>
      <c r="H51">
        <v>1320</v>
      </c>
      <c r="J51">
        <f t="shared" si="0"/>
        <v>1320</v>
      </c>
      <c r="L51">
        <f t="shared" si="1"/>
        <v>0.5892857142857143</v>
      </c>
    </row>
    <row r="52" spans="1:12" x14ac:dyDescent="0.25">
      <c r="A52">
        <v>1717</v>
      </c>
      <c r="B52" t="s">
        <v>95</v>
      </c>
      <c r="C52" t="s">
        <v>68</v>
      </c>
      <c r="D52" t="s">
        <v>33</v>
      </c>
      <c r="H52">
        <v>176</v>
      </c>
      <c r="J52">
        <f t="shared" si="0"/>
        <v>176</v>
      </c>
      <c r="L52">
        <f t="shared" si="1"/>
        <v>7.857142857142857E-2</v>
      </c>
    </row>
    <row r="53" spans="1:12" x14ac:dyDescent="0.25">
      <c r="A53">
        <v>1717</v>
      </c>
      <c r="B53" t="s">
        <v>20</v>
      </c>
      <c r="C53" t="s">
        <v>68</v>
      </c>
      <c r="D53" t="s">
        <v>33</v>
      </c>
      <c r="H53">
        <v>1000</v>
      </c>
      <c r="J53">
        <f t="shared" si="0"/>
        <v>1000</v>
      </c>
      <c r="L53">
        <f t="shared" si="1"/>
        <v>0.44642857142857145</v>
      </c>
    </row>
    <row r="54" spans="1:12" x14ac:dyDescent="0.25">
      <c r="A54">
        <v>1717</v>
      </c>
      <c r="B54" t="s">
        <v>21</v>
      </c>
      <c r="C54" t="s">
        <v>68</v>
      </c>
      <c r="D54" t="s">
        <v>33</v>
      </c>
      <c r="H54">
        <v>4372</v>
      </c>
      <c r="J54">
        <f t="shared" si="0"/>
        <v>4372</v>
      </c>
      <c r="L54">
        <f t="shared" si="1"/>
        <v>1.9517857142857142</v>
      </c>
    </row>
    <row r="55" spans="1:12" x14ac:dyDescent="0.25">
      <c r="A55">
        <v>1717</v>
      </c>
      <c r="B55" t="s">
        <v>90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1717</v>
      </c>
      <c r="B56" t="s">
        <v>22</v>
      </c>
      <c r="C56" t="s">
        <v>68</v>
      </c>
      <c r="D56" t="s">
        <v>33</v>
      </c>
      <c r="F56">
        <v>13</v>
      </c>
      <c r="J56">
        <f t="shared" si="0"/>
        <v>1456</v>
      </c>
      <c r="L56">
        <f t="shared" si="1"/>
        <v>0.65</v>
      </c>
    </row>
    <row r="57" spans="1:12" x14ac:dyDescent="0.25">
      <c r="A57">
        <v>1717</v>
      </c>
      <c r="B57" t="s">
        <v>61</v>
      </c>
      <c r="C57" t="s">
        <v>68</v>
      </c>
      <c r="D57" t="s">
        <v>33</v>
      </c>
      <c r="E57">
        <v>26</v>
      </c>
      <c r="F57">
        <v>2</v>
      </c>
      <c r="J57">
        <f t="shared" si="0"/>
        <v>58464</v>
      </c>
      <c r="L57">
        <f t="shared" si="1"/>
        <v>26.1</v>
      </c>
    </row>
    <row r="58" spans="1:12" x14ac:dyDescent="0.25">
      <c r="A58">
        <v>1717</v>
      </c>
      <c r="B58" t="s">
        <v>98</v>
      </c>
      <c r="C58" t="s">
        <v>68</v>
      </c>
      <c r="D58" t="s">
        <v>33</v>
      </c>
      <c r="E58">
        <v>10</v>
      </c>
      <c r="F58">
        <v>12</v>
      </c>
      <c r="G58">
        <v>2</v>
      </c>
      <c r="J58">
        <f t="shared" si="0"/>
        <v>23800</v>
      </c>
      <c r="L58">
        <f t="shared" si="1"/>
        <v>10.625</v>
      </c>
    </row>
    <row r="59" spans="1:12" x14ac:dyDescent="0.25">
      <c r="A59">
        <v>1717</v>
      </c>
      <c r="B59" t="s">
        <v>87</v>
      </c>
      <c r="C59" t="s">
        <v>68</v>
      </c>
      <c r="D59" t="s">
        <v>33</v>
      </c>
      <c r="F59">
        <v>10</v>
      </c>
      <c r="J59">
        <f t="shared" si="0"/>
        <v>1120</v>
      </c>
      <c r="L59">
        <f t="shared" si="1"/>
        <v>0.5</v>
      </c>
    </row>
    <row r="60" spans="1:12" x14ac:dyDescent="0.25">
      <c r="A60">
        <v>1717</v>
      </c>
      <c r="B60" t="s">
        <v>62</v>
      </c>
      <c r="C60" t="s">
        <v>68</v>
      </c>
      <c r="D60" t="s">
        <v>33</v>
      </c>
      <c r="E60">
        <v>356</v>
      </c>
      <c r="F60">
        <v>15</v>
      </c>
      <c r="G60">
        <v>3</v>
      </c>
      <c r="H60">
        <v>9</v>
      </c>
      <c r="J60">
        <f t="shared" si="0"/>
        <v>799213</v>
      </c>
      <c r="L60">
        <f t="shared" si="1"/>
        <v>356.79151785714288</v>
      </c>
    </row>
    <row r="61" spans="1:12" x14ac:dyDescent="0.25">
      <c r="A61">
        <v>1717</v>
      </c>
      <c r="B61" t="s">
        <v>88</v>
      </c>
      <c r="C61" t="s">
        <v>68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1717</v>
      </c>
      <c r="B62" t="s">
        <v>63</v>
      </c>
      <c r="C62" t="s">
        <v>68</v>
      </c>
      <c r="D62" t="s">
        <v>33</v>
      </c>
      <c r="E62">
        <v>465</v>
      </c>
      <c r="F62">
        <v>4</v>
      </c>
      <c r="H62">
        <v>2</v>
      </c>
      <c r="J62">
        <f t="shared" si="0"/>
        <v>1042050</v>
      </c>
      <c r="L62">
        <f t="shared" si="1"/>
        <v>465.20089285714283</v>
      </c>
    </row>
    <row r="63" spans="1:12" x14ac:dyDescent="0.25">
      <c r="A63">
        <v>1717</v>
      </c>
      <c r="B63" t="s">
        <v>89</v>
      </c>
      <c r="C63" t="s">
        <v>68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1717</v>
      </c>
      <c r="B64" t="s">
        <v>70</v>
      </c>
      <c r="C64" t="s">
        <v>68</v>
      </c>
      <c r="D64" t="s">
        <v>33</v>
      </c>
      <c r="E64">
        <v>341</v>
      </c>
      <c r="F64">
        <v>18</v>
      </c>
      <c r="G64">
        <v>1</v>
      </c>
      <c r="H64">
        <v>21</v>
      </c>
      <c r="J64">
        <f t="shared" si="0"/>
        <v>765905</v>
      </c>
      <c r="L64">
        <f t="shared" si="1"/>
        <v>341.921875</v>
      </c>
    </row>
    <row r="65" spans="1:12" x14ac:dyDescent="0.25">
      <c r="A65">
        <v>1717</v>
      </c>
      <c r="B65" t="s">
        <v>64</v>
      </c>
      <c r="C65" t="s">
        <v>68</v>
      </c>
      <c r="D65" t="s">
        <v>33</v>
      </c>
      <c r="E65">
        <v>19</v>
      </c>
      <c r="F65">
        <v>14</v>
      </c>
      <c r="J65">
        <f t="shared" si="0"/>
        <v>44128</v>
      </c>
      <c r="L65">
        <f t="shared" si="1"/>
        <v>19.7</v>
      </c>
    </row>
    <row r="66" spans="1:12" x14ac:dyDescent="0.25">
      <c r="A66">
        <v>1717</v>
      </c>
      <c r="B66" t="s">
        <v>65</v>
      </c>
      <c r="C66" t="s">
        <v>68</v>
      </c>
      <c r="D66" t="s">
        <v>33</v>
      </c>
      <c r="F66">
        <v>32</v>
      </c>
      <c r="J66">
        <f t="shared" si="0"/>
        <v>3584</v>
      </c>
      <c r="L66">
        <f t="shared" si="1"/>
        <v>1.6</v>
      </c>
    </row>
    <row r="67" spans="1:12" x14ac:dyDescent="0.25">
      <c r="A67">
        <v>1717</v>
      </c>
      <c r="B67" t="s">
        <v>55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1717</v>
      </c>
      <c r="B68" t="s">
        <v>57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1717</v>
      </c>
      <c r="B69" t="s">
        <v>36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1717</v>
      </c>
      <c r="B70" t="s">
        <v>4</v>
      </c>
      <c r="C70" t="s">
        <v>68</v>
      </c>
      <c r="D70" t="s">
        <v>35</v>
      </c>
      <c r="J70">
        <f t="shared" ref="J70:J132" si="2">(E70*2240)+(F70*112)+(G70*28)+H70</f>
        <v>0</v>
      </c>
      <c r="L70">
        <f t="shared" ref="L70:L132" si="3">J70/2240</f>
        <v>0</v>
      </c>
    </row>
    <row r="71" spans="1:12" x14ac:dyDescent="0.25">
      <c r="A71">
        <v>1717</v>
      </c>
      <c r="B71" t="s">
        <v>58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1717</v>
      </c>
      <c r="B72" t="s">
        <v>69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1717</v>
      </c>
      <c r="B73" t="s">
        <v>101</v>
      </c>
      <c r="C73" t="s">
        <v>68</v>
      </c>
      <c r="D73" t="s">
        <v>35</v>
      </c>
      <c r="H73">
        <v>412</v>
      </c>
      <c r="J73">
        <f t="shared" si="2"/>
        <v>412</v>
      </c>
      <c r="L73">
        <f t="shared" si="3"/>
        <v>0.18392857142857144</v>
      </c>
    </row>
    <row r="74" spans="1:12" x14ac:dyDescent="0.25">
      <c r="A74">
        <v>1717</v>
      </c>
      <c r="B74" t="s">
        <v>43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1717</v>
      </c>
      <c r="B75" t="s">
        <v>76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1717</v>
      </c>
      <c r="B76" t="s">
        <v>5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1717</v>
      </c>
      <c r="B77" t="s">
        <v>59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1717</v>
      </c>
      <c r="B78" t="s">
        <v>6</v>
      </c>
      <c r="C78" t="s">
        <v>68</v>
      </c>
      <c r="D78" t="s">
        <v>35</v>
      </c>
      <c r="F78">
        <v>58667</v>
      </c>
      <c r="G78">
        <v>2</v>
      </c>
      <c r="H78">
        <v>10</v>
      </c>
      <c r="J78">
        <f t="shared" si="2"/>
        <v>6570770</v>
      </c>
      <c r="L78">
        <f t="shared" si="3"/>
        <v>2933.3794642857142</v>
      </c>
    </row>
    <row r="79" spans="1:12" x14ac:dyDescent="0.25">
      <c r="A79">
        <v>1717</v>
      </c>
      <c r="B79" t="s">
        <v>60</v>
      </c>
      <c r="C79" t="s">
        <v>68</v>
      </c>
      <c r="D79" t="s">
        <v>35</v>
      </c>
      <c r="H79">
        <v>28</v>
      </c>
      <c r="J79">
        <f t="shared" si="2"/>
        <v>28</v>
      </c>
      <c r="L79">
        <f t="shared" si="3"/>
        <v>1.2500000000000001E-2</v>
      </c>
    </row>
    <row r="80" spans="1:12" x14ac:dyDescent="0.25">
      <c r="A80">
        <v>1717</v>
      </c>
      <c r="B80" t="s">
        <v>38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1717</v>
      </c>
      <c r="B81" t="s">
        <v>37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1717</v>
      </c>
      <c r="B82" t="s">
        <v>8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1717</v>
      </c>
      <c r="B83" t="s">
        <v>40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1717</v>
      </c>
      <c r="B84" t="s">
        <v>77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1717</v>
      </c>
      <c r="B85" t="s">
        <v>78</v>
      </c>
      <c r="C85" t="s">
        <v>68</v>
      </c>
      <c r="D85" t="s">
        <v>35</v>
      </c>
      <c r="H85">
        <v>706</v>
      </c>
      <c r="J85">
        <f t="shared" si="2"/>
        <v>706</v>
      </c>
      <c r="L85">
        <f t="shared" si="3"/>
        <v>0.31517857142857142</v>
      </c>
    </row>
    <row r="86" spans="1:12" x14ac:dyDescent="0.25">
      <c r="A86">
        <v>1717</v>
      </c>
      <c r="B86" t="s">
        <v>46</v>
      </c>
      <c r="C86" t="s">
        <v>68</v>
      </c>
      <c r="D86" t="s">
        <v>35</v>
      </c>
      <c r="H86">
        <v>7</v>
      </c>
      <c r="J86">
        <f t="shared" si="2"/>
        <v>7</v>
      </c>
      <c r="L86">
        <f t="shared" si="3"/>
        <v>3.1250000000000002E-3</v>
      </c>
    </row>
    <row r="87" spans="1:12" x14ac:dyDescent="0.25">
      <c r="A87">
        <v>1717</v>
      </c>
      <c r="B87" t="s">
        <v>9</v>
      </c>
      <c r="C87" t="s">
        <v>68</v>
      </c>
      <c r="D87" t="s">
        <v>35</v>
      </c>
      <c r="H87">
        <v>201559</v>
      </c>
      <c r="J87">
        <f t="shared" si="2"/>
        <v>201559</v>
      </c>
      <c r="L87">
        <f t="shared" si="3"/>
        <v>89.981696428571425</v>
      </c>
    </row>
    <row r="88" spans="1:12" x14ac:dyDescent="0.25">
      <c r="A88">
        <v>1717</v>
      </c>
      <c r="B88" t="s">
        <v>10</v>
      </c>
      <c r="C88" t="s">
        <v>68</v>
      </c>
      <c r="D88" t="s">
        <v>35</v>
      </c>
      <c r="F88">
        <v>942</v>
      </c>
      <c r="G88">
        <v>2</v>
      </c>
      <c r="H88">
        <v>19</v>
      </c>
      <c r="J88">
        <f t="shared" si="2"/>
        <v>105579</v>
      </c>
      <c r="L88">
        <f t="shared" si="3"/>
        <v>47.13348214285714</v>
      </c>
    </row>
    <row r="89" spans="1:12" x14ac:dyDescent="0.25">
      <c r="A89">
        <v>1717</v>
      </c>
      <c r="B89" t="s">
        <v>11</v>
      </c>
      <c r="C89" t="s">
        <v>68</v>
      </c>
      <c r="D89" t="s">
        <v>35</v>
      </c>
      <c r="F89">
        <v>133</v>
      </c>
      <c r="H89">
        <v>25</v>
      </c>
      <c r="J89">
        <f t="shared" si="2"/>
        <v>14921</v>
      </c>
      <c r="L89">
        <f t="shared" si="3"/>
        <v>6.6611607142857139</v>
      </c>
    </row>
    <row r="90" spans="1:12" x14ac:dyDescent="0.25">
      <c r="A90">
        <v>1717</v>
      </c>
      <c r="B90" t="s">
        <v>39</v>
      </c>
      <c r="C90" t="s">
        <v>68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1717</v>
      </c>
      <c r="B91" t="s">
        <v>79</v>
      </c>
      <c r="C91" t="s">
        <v>68</v>
      </c>
      <c r="D91" t="s">
        <v>35</v>
      </c>
      <c r="H91">
        <v>1425</v>
      </c>
      <c r="J91">
        <f t="shared" si="2"/>
        <v>1425</v>
      </c>
      <c r="L91">
        <f t="shared" si="3"/>
        <v>0.6361607142857143</v>
      </c>
    </row>
    <row r="92" spans="1:12" x14ac:dyDescent="0.25">
      <c r="A92">
        <v>1717</v>
      </c>
      <c r="B92" t="s">
        <v>103</v>
      </c>
      <c r="C92" t="s">
        <v>68</v>
      </c>
      <c r="D92" t="s">
        <v>35</v>
      </c>
      <c r="H92">
        <v>12</v>
      </c>
      <c r="J92">
        <f t="shared" si="2"/>
        <v>12</v>
      </c>
      <c r="L92">
        <f t="shared" si="3"/>
        <v>5.3571428571428572E-3</v>
      </c>
    </row>
    <row r="93" spans="1:12" x14ac:dyDescent="0.25">
      <c r="A93">
        <v>1717</v>
      </c>
      <c r="B93" t="s">
        <v>44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1717</v>
      </c>
      <c r="B94" t="s">
        <v>97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1717</v>
      </c>
      <c r="B95" t="s">
        <v>12</v>
      </c>
      <c r="C95" t="s">
        <v>68</v>
      </c>
      <c r="D95" t="s">
        <v>35</v>
      </c>
      <c r="H95">
        <v>61663</v>
      </c>
      <c r="J95">
        <f t="shared" si="2"/>
        <v>61663</v>
      </c>
      <c r="L95">
        <f t="shared" si="3"/>
        <v>27.528124999999999</v>
      </c>
    </row>
    <row r="96" spans="1:12" x14ac:dyDescent="0.25">
      <c r="A96">
        <v>1717</v>
      </c>
      <c r="B96" t="s">
        <v>82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1717</v>
      </c>
      <c r="B97" t="s">
        <v>34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1717</v>
      </c>
      <c r="B98" t="s">
        <v>13</v>
      </c>
      <c r="C98" t="s">
        <v>68</v>
      </c>
      <c r="D98" t="s">
        <v>35</v>
      </c>
      <c r="F98">
        <v>103</v>
      </c>
      <c r="G98">
        <v>3</v>
      </c>
      <c r="H98">
        <v>21</v>
      </c>
      <c r="J98">
        <f t="shared" si="2"/>
        <v>11641</v>
      </c>
      <c r="L98">
        <f t="shared" si="3"/>
        <v>5.1968750000000004</v>
      </c>
    </row>
    <row r="99" spans="1:12" x14ac:dyDescent="0.25">
      <c r="A99">
        <v>1717</v>
      </c>
      <c r="B99" t="s">
        <v>14</v>
      </c>
      <c r="C99" t="s">
        <v>68</v>
      </c>
      <c r="D99" t="s">
        <v>35</v>
      </c>
      <c r="H99">
        <v>19875</v>
      </c>
      <c r="I99" t="s">
        <v>133</v>
      </c>
      <c r="J99">
        <f t="shared" si="2"/>
        <v>19875</v>
      </c>
      <c r="L99">
        <f t="shared" si="3"/>
        <v>8.8727678571428577</v>
      </c>
    </row>
    <row r="100" spans="1:12" x14ac:dyDescent="0.25">
      <c r="A100">
        <v>1717</v>
      </c>
      <c r="B100" t="s">
        <v>23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1717</v>
      </c>
      <c r="B101" t="s">
        <v>27</v>
      </c>
      <c r="C101" t="s">
        <v>68</v>
      </c>
      <c r="D101" t="s">
        <v>35</v>
      </c>
      <c r="H101">
        <v>7132</v>
      </c>
      <c r="I101" t="s">
        <v>132</v>
      </c>
      <c r="J101">
        <f t="shared" si="2"/>
        <v>7132</v>
      </c>
      <c r="L101">
        <f t="shared" si="3"/>
        <v>3.1839285714285714</v>
      </c>
    </row>
    <row r="102" spans="1:12" x14ac:dyDescent="0.25">
      <c r="A102">
        <v>1717</v>
      </c>
      <c r="B102" t="s">
        <v>15</v>
      </c>
      <c r="C102" t="s">
        <v>68</v>
      </c>
      <c r="D102" t="s">
        <v>35</v>
      </c>
      <c r="F102">
        <v>100</v>
      </c>
      <c r="J102">
        <f t="shared" si="2"/>
        <v>11200</v>
      </c>
      <c r="L102">
        <f t="shared" si="3"/>
        <v>5</v>
      </c>
    </row>
    <row r="103" spans="1:12" x14ac:dyDescent="0.25">
      <c r="A103">
        <v>1717</v>
      </c>
      <c r="B103" t="s">
        <v>93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1717</v>
      </c>
      <c r="B104" t="s">
        <v>42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1717</v>
      </c>
      <c r="B105" t="s">
        <v>83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1717</v>
      </c>
      <c r="B106" t="s">
        <v>47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1717</v>
      </c>
      <c r="B107" t="s">
        <v>16</v>
      </c>
      <c r="C107" t="s">
        <v>68</v>
      </c>
      <c r="D107" t="s">
        <v>35</v>
      </c>
      <c r="H107">
        <v>127039</v>
      </c>
      <c r="J107">
        <f t="shared" si="2"/>
        <v>127039</v>
      </c>
      <c r="L107">
        <f t="shared" si="3"/>
        <v>56.713839285714286</v>
      </c>
    </row>
    <row r="108" spans="1:12" x14ac:dyDescent="0.25">
      <c r="A108">
        <v>1717</v>
      </c>
      <c r="B108" t="s">
        <v>17</v>
      </c>
      <c r="C108" t="s">
        <v>68</v>
      </c>
      <c r="D108" t="s">
        <v>35</v>
      </c>
      <c r="F108">
        <v>114</v>
      </c>
      <c r="G108">
        <v>3</v>
      </c>
      <c r="H108">
        <v>18</v>
      </c>
      <c r="J108">
        <f t="shared" si="2"/>
        <v>12870</v>
      </c>
      <c r="L108">
        <f t="shared" si="3"/>
        <v>5.7455357142857144</v>
      </c>
    </row>
    <row r="109" spans="1:12" x14ac:dyDescent="0.25">
      <c r="A109">
        <v>1717</v>
      </c>
      <c r="B109" t="s">
        <v>18</v>
      </c>
      <c r="C109" t="s">
        <v>68</v>
      </c>
      <c r="D109" t="s">
        <v>35</v>
      </c>
      <c r="H109">
        <v>34666.5</v>
      </c>
      <c r="I109" t="s">
        <v>134</v>
      </c>
      <c r="J109">
        <f t="shared" si="2"/>
        <v>34666.5</v>
      </c>
      <c r="L109">
        <f t="shared" si="3"/>
        <v>15.476116071428571</v>
      </c>
    </row>
    <row r="110" spans="1:12" x14ac:dyDescent="0.25">
      <c r="A110">
        <v>1717</v>
      </c>
      <c r="B110" t="s">
        <v>26</v>
      </c>
      <c r="C110" t="s">
        <v>68</v>
      </c>
      <c r="D110" t="s">
        <v>35</v>
      </c>
      <c r="H110">
        <v>2012</v>
      </c>
      <c r="J110">
        <f t="shared" si="2"/>
        <v>2012</v>
      </c>
      <c r="L110">
        <f t="shared" si="3"/>
        <v>0.89821428571428574</v>
      </c>
    </row>
    <row r="111" spans="1:12" x14ac:dyDescent="0.25">
      <c r="A111">
        <v>1717</v>
      </c>
      <c r="B111" t="s">
        <v>84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1717</v>
      </c>
      <c r="B112" t="s">
        <v>19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1717</v>
      </c>
      <c r="B113" t="s">
        <v>45</v>
      </c>
      <c r="C113" t="s">
        <v>68</v>
      </c>
      <c r="D113" t="s">
        <v>35</v>
      </c>
      <c r="H113">
        <v>23</v>
      </c>
      <c r="J113">
        <f t="shared" si="2"/>
        <v>23</v>
      </c>
      <c r="L113">
        <f t="shared" si="3"/>
        <v>1.0267857142857143E-2</v>
      </c>
    </row>
    <row r="114" spans="1:12" x14ac:dyDescent="0.25">
      <c r="A114">
        <v>1717</v>
      </c>
      <c r="B114" t="s">
        <v>85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1717</v>
      </c>
      <c r="B115" t="s">
        <v>54</v>
      </c>
      <c r="C115" t="s">
        <v>68</v>
      </c>
      <c r="D115" t="s">
        <v>35</v>
      </c>
      <c r="H115">
        <v>64</v>
      </c>
      <c r="J115">
        <f t="shared" si="2"/>
        <v>64</v>
      </c>
      <c r="L115">
        <f t="shared" si="3"/>
        <v>2.8571428571428571E-2</v>
      </c>
    </row>
    <row r="116" spans="1:12" x14ac:dyDescent="0.25">
      <c r="A116">
        <v>1717</v>
      </c>
      <c r="B116" t="s">
        <v>71</v>
      </c>
      <c r="C116" t="s">
        <v>68</v>
      </c>
      <c r="D116" t="s">
        <v>35</v>
      </c>
      <c r="F116">
        <v>14</v>
      </c>
      <c r="G116">
        <v>1</v>
      </c>
      <c r="H116">
        <v>16</v>
      </c>
      <c r="J116">
        <f t="shared" si="2"/>
        <v>1612</v>
      </c>
      <c r="L116">
        <f t="shared" si="3"/>
        <v>0.71964285714285714</v>
      </c>
    </row>
    <row r="117" spans="1:12" x14ac:dyDescent="0.25">
      <c r="A117">
        <v>1717</v>
      </c>
      <c r="B117" t="s">
        <v>95</v>
      </c>
      <c r="C117" t="s">
        <v>68</v>
      </c>
      <c r="D117" t="s">
        <v>35</v>
      </c>
      <c r="H117">
        <v>164</v>
      </c>
      <c r="J117">
        <f t="shared" si="2"/>
        <v>164</v>
      </c>
      <c r="L117">
        <f t="shared" si="3"/>
        <v>7.3214285714285718E-2</v>
      </c>
    </row>
    <row r="118" spans="1:12" x14ac:dyDescent="0.25">
      <c r="A118">
        <v>1717</v>
      </c>
      <c r="B118" t="s">
        <v>20</v>
      </c>
      <c r="C118" t="s">
        <v>68</v>
      </c>
      <c r="D118" t="s">
        <v>35</v>
      </c>
      <c r="H118">
        <v>60</v>
      </c>
      <c r="J118">
        <f t="shared" si="2"/>
        <v>60</v>
      </c>
      <c r="L118">
        <f t="shared" si="3"/>
        <v>2.6785714285714284E-2</v>
      </c>
    </row>
    <row r="119" spans="1:12" x14ac:dyDescent="0.25">
      <c r="A119">
        <v>1717</v>
      </c>
      <c r="B119" t="s">
        <v>21</v>
      </c>
      <c r="C119" t="s">
        <v>68</v>
      </c>
      <c r="D119" t="s">
        <v>35</v>
      </c>
      <c r="H119">
        <v>1335</v>
      </c>
      <c r="J119">
        <f t="shared" si="2"/>
        <v>1335</v>
      </c>
      <c r="L119">
        <f t="shared" si="3"/>
        <v>0.5959821428571429</v>
      </c>
    </row>
    <row r="120" spans="1:12" x14ac:dyDescent="0.25">
      <c r="A120">
        <v>1717</v>
      </c>
      <c r="B120" t="s">
        <v>90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1717</v>
      </c>
      <c r="B121" t="s">
        <v>22</v>
      </c>
      <c r="C121" t="s">
        <v>68</v>
      </c>
      <c r="D121" t="s">
        <v>35</v>
      </c>
      <c r="F121">
        <v>12</v>
      </c>
      <c r="H121">
        <v>20</v>
      </c>
      <c r="J121">
        <f t="shared" si="2"/>
        <v>1364</v>
      </c>
      <c r="L121">
        <f t="shared" si="3"/>
        <v>0.60892857142857137</v>
      </c>
    </row>
    <row r="122" spans="1:12" x14ac:dyDescent="0.25">
      <c r="A122">
        <v>1717</v>
      </c>
      <c r="B122" t="s">
        <v>61</v>
      </c>
      <c r="C122" t="s">
        <v>68</v>
      </c>
      <c r="D122" t="s">
        <v>35</v>
      </c>
      <c r="E122">
        <v>3</v>
      </c>
      <c r="F122">
        <v>18</v>
      </c>
      <c r="G122">
        <v>3</v>
      </c>
      <c r="J122">
        <f t="shared" si="2"/>
        <v>8820</v>
      </c>
      <c r="L122">
        <f t="shared" si="3"/>
        <v>3.9375</v>
      </c>
    </row>
    <row r="123" spans="1:12" x14ac:dyDescent="0.25">
      <c r="A123">
        <v>1717</v>
      </c>
      <c r="B123" t="s">
        <v>91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1717</v>
      </c>
      <c r="B124" t="s">
        <v>98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1717</v>
      </c>
      <c r="B125" t="s">
        <v>87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1717</v>
      </c>
      <c r="B126" t="s">
        <v>62</v>
      </c>
      <c r="C126" t="s">
        <v>68</v>
      </c>
      <c r="D126" t="s">
        <v>35</v>
      </c>
      <c r="E126">
        <v>252</v>
      </c>
      <c r="F126">
        <v>3</v>
      </c>
      <c r="G126">
        <v>3</v>
      </c>
      <c r="H126">
        <v>26</v>
      </c>
      <c r="J126">
        <f t="shared" si="2"/>
        <v>564926</v>
      </c>
      <c r="L126">
        <f t="shared" si="3"/>
        <v>252.19910714285714</v>
      </c>
    </row>
    <row r="127" spans="1:12" x14ac:dyDescent="0.25">
      <c r="A127">
        <v>1717</v>
      </c>
      <c r="B127" t="s">
        <v>88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1717</v>
      </c>
      <c r="B128" t="s">
        <v>63</v>
      </c>
      <c r="C128" t="s">
        <v>68</v>
      </c>
      <c r="D128" t="s">
        <v>35</v>
      </c>
      <c r="E128">
        <v>112</v>
      </c>
      <c r="F128">
        <v>16</v>
      </c>
      <c r="G128">
        <v>3</v>
      </c>
      <c r="H128">
        <v>14</v>
      </c>
      <c r="J128">
        <f t="shared" si="2"/>
        <v>252770</v>
      </c>
      <c r="L128">
        <f t="shared" si="3"/>
        <v>112.84375</v>
      </c>
    </row>
    <row r="129" spans="1:12" x14ac:dyDescent="0.25">
      <c r="A129">
        <v>1717</v>
      </c>
      <c r="B129" t="s">
        <v>89</v>
      </c>
      <c r="C129" t="s">
        <v>68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1717</v>
      </c>
      <c r="B130" t="s">
        <v>70</v>
      </c>
      <c r="C130" t="s">
        <v>68</v>
      </c>
      <c r="D130" t="s">
        <v>35</v>
      </c>
      <c r="E130">
        <v>39</v>
      </c>
      <c r="F130">
        <v>8</v>
      </c>
      <c r="G130">
        <v>3</v>
      </c>
      <c r="H130">
        <v>20</v>
      </c>
      <c r="J130">
        <f t="shared" si="2"/>
        <v>88360</v>
      </c>
      <c r="L130">
        <f t="shared" si="3"/>
        <v>39.446428571428569</v>
      </c>
    </row>
    <row r="131" spans="1:12" x14ac:dyDescent="0.25">
      <c r="A131">
        <v>1717</v>
      </c>
      <c r="B131" t="s">
        <v>64</v>
      </c>
      <c r="C131" t="s">
        <v>68</v>
      </c>
      <c r="D131" t="s">
        <v>35</v>
      </c>
      <c r="F131">
        <v>16</v>
      </c>
      <c r="G131">
        <v>2</v>
      </c>
      <c r="H131">
        <v>16</v>
      </c>
      <c r="J131">
        <f t="shared" si="2"/>
        <v>1864</v>
      </c>
      <c r="L131">
        <f t="shared" si="3"/>
        <v>0.83214285714285718</v>
      </c>
    </row>
    <row r="132" spans="1:12" x14ac:dyDescent="0.25">
      <c r="A132">
        <v>1717</v>
      </c>
      <c r="B132" t="s">
        <v>65</v>
      </c>
      <c r="C132" t="s">
        <v>68</v>
      </c>
      <c r="D132" t="s">
        <v>35</v>
      </c>
      <c r="F132">
        <v>5</v>
      </c>
      <c r="J132">
        <f t="shared" si="2"/>
        <v>560</v>
      </c>
      <c r="L132">
        <f t="shared" si="3"/>
        <v>0.25</v>
      </c>
    </row>
  </sheetData>
  <autoFilter ref="A1:O62" xr:uid="{8C2F7725-5A61-4A1B-A740-CC887BCB0E68}">
    <sortState xmlns:xlrd2="http://schemas.microsoft.com/office/spreadsheetml/2017/richdata2" ref="A2:O62">
      <sortCondition ref="B1:B6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103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1717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1717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1717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1717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1717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1717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1717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1717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1717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1717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1717</v>
      </c>
      <c r="B12" t="s">
        <v>6</v>
      </c>
      <c r="C12" t="s">
        <v>72</v>
      </c>
      <c r="D12" t="s">
        <v>33</v>
      </c>
      <c r="F12">
        <v>15099</v>
      </c>
      <c r="G12">
        <v>3</v>
      </c>
      <c r="H12">
        <v>7</v>
      </c>
      <c r="J12">
        <f t="shared" si="0"/>
        <v>1691179</v>
      </c>
      <c r="L12">
        <f t="shared" si="1"/>
        <v>754.99062500000002</v>
      </c>
    </row>
    <row r="13" spans="1:15" x14ac:dyDescent="0.25">
      <c r="A13">
        <v>1717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1717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1717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1717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1717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1717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1717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1717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1717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1717</v>
      </c>
      <c r="B22" t="s">
        <v>9</v>
      </c>
      <c r="C22" t="s">
        <v>72</v>
      </c>
      <c r="D22" t="s">
        <v>33</v>
      </c>
      <c r="H22">
        <v>1400</v>
      </c>
      <c r="J22">
        <f t="shared" si="0"/>
        <v>1400</v>
      </c>
      <c r="L22">
        <f t="shared" si="1"/>
        <v>0.625</v>
      </c>
    </row>
    <row r="23" spans="1:12" x14ac:dyDescent="0.25">
      <c r="A23">
        <v>1717</v>
      </c>
      <c r="B23" t="s">
        <v>10</v>
      </c>
      <c r="C23" t="s">
        <v>72</v>
      </c>
      <c r="D23" t="s">
        <v>33</v>
      </c>
      <c r="F23">
        <v>250</v>
      </c>
      <c r="G23">
        <v>1</v>
      </c>
      <c r="H23">
        <v>9</v>
      </c>
      <c r="J23">
        <f t="shared" si="0"/>
        <v>28037</v>
      </c>
      <c r="L23">
        <f t="shared" si="1"/>
        <v>12.516517857142857</v>
      </c>
    </row>
    <row r="24" spans="1:12" x14ac:dyDescent="0.25">
      <c r="A24">
        <v>1717</v>
      </c>
      <c r="B24" t="s">
        <v>11</v>
      </c>
      <c r="C24" t="s">
        <v>72</v>
      </c>
      <c r="D24" t="s">
        <v>33</v>
      </c>
      <c r="F24">
        <v>7</v>
      </c>
      <c r="H24">
        <v>14</v>
      </c>
      <c r="J24">
        <f t="shared" si="0"/>
        <v>798</v>
      </c>
      <c r="L24">
        <f t="shared" si="1"/>
        <v>0.35625000000000001</v>
      </c>
    </row>
    <row r="25" spans="1:12" x14ac:dyDescent="0.25">
      <c r="A25">
        <v>1717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1717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1717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1717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1717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1717</v>
      </c>
      <c r="B30" t="s">
        <v>12</v>
      </c>
      <c r="C30" t="s">
        <v>72</v>
      </c>
      <c r="D30" t="s">
        <v>33</v>
      </c>
      <c r="H30">
        <v>16369</v>
      </c>
      <c r="J30">
        <f t="shared" si="0"/>
        <v>16369</v>
      </c>
      <c r="L30">
        <f t="shared" si="1"/>
        <v>7.3075892857142861</v>
      </c>
    </row>
    <row r="31" spans="1:12" x14ac:dyDescent="0.25">
      <c r="A31">
        <v>1717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1717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1717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1717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1717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1717</v>
      </c>
      <c r="B36" t="s">
        <v>27</v>
      </c>
      <c r="C36" t="s">
        <v>72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1717</v>
      </c>
      <c r="B37" t="s">
        <v>15</v>
      </c>
      <c r="C37" t="s">
        <v>72</v>
      </c>
      <c r="D37" t="s">
        <v>33</v>
      </c>
      <c r="F37">
        <v>54</v>
      </c>
      <c r="J37">
        <f t="shared" si="0"/>
        <v>6048</v>
      </c>
      <c r="L37">
        <f t="shared" si="1"/>
        <v>2.7</v>
      </c>
    </row>
    <row r="38" spans="1:12" x14ac:dyDescent="0.25">
      <c r="A38">
        <v>1717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1717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1717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1717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1717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1717</v>
      </c>
      <c r="B43" t="s">
        <v>18</v>
      </c>
      <c r="C43" t="s">
        <v>72</v>
      </c>
      <c r="D43" t="s">
        <v>33</v>
      </c>
      <c r="H43">
        <v>2915.5</v>
      </c>
      <c r="I43" t="s">
        <v>121</v>
      </c>
      <c r="J43">
        <f t="shared" si="0"/>
        <v>2915.5</v>
      </c>
      <c r="L43">
        <f t="shared" si="1"/>
        <v>1.3015625</v>
      </c>
    </row>
    <row r="44" spans="1:12" x14ac:dyDescent="0.25">
      <c r="A44">
        <v>1717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1717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1717</v>
      </c>
      <c r="B46" t="s">
        <v>19</v>
      </c>
      <c r="C46" t="s">
        <v>72</v>
      </c>
      <c r="D46" t="s">
        <v>33</v>
      </c>
      <c r="F46">
        <v>4</v>
      </c>
      <c r="G46">
        <v>1</v>
      </c>
      <c r="J46">
        <f t="shared" si="0"/>
        <v>476</v>
      </c>
      <c r="L46">
        <f t="shared" si="1"/>
        <v>0.21249999999999999</v>
      </c>
    </row>
    <row r="47" spans="1:12" x14ac:dyDescent="0.25">
      <c r="A47">
        <v>1717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1717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1717</v>
      </c>
      <c r="B49" t="s">
        <v>54</v>
      </c>
      <c r="C49" t="s">
        <v>72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1717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1717</v>
      </c>
      <c r="B51" t="s">
        <v>20</v>
      </c>
      <c r="C51" t="s">
        <v>72</v>
      </c>
      <c r="D51" t="s">
        <v>33</v>
      </c>
      <c r="H51">
        <v>400</v>
      </c>
      <c r="J51">
        <f t="shared" si="0"/>
        <v>400</v>
      </c>
      <c r="L51">
        <f t="shared" si="1"/>
        <v>0.17857142857142858</v>
      </c>
    </row>
    <row r="52" spans="1:12" x14ac:dyDescent="0.25">
      <c r="A52">
        <v>1717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1717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1717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1717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1717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1717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1717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1717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1717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1717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1717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1717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1717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1717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1717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1717</v>
      </c>
      <c r="B67" t="s">
        <v>4</v>
      </c>
      <c r="C67" t="s">
        <v>72</v>
      </c>
      <c r="D67" t="s">
        <v>35</v>
      </c>
      <c r="H67">
        <v>713</v>
      </c>
      <c r="J67">
        <f t="shared" ref="J67:J126" si="2">(E67*2240)+(F67*112)+(G67*28)+H67</f>
        <v>713</v>
      </c>
      <c r="L67">
        <f t="shared" ref="L67:L126" si="3">J67/2240</f>
        <v>0.31830357142857141</v>
      </c>
    </row>
    <row r="68" spans="1:12" x14ac:dyDescent="0.25">
      <c r="A68">
        <v>1717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1717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1717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1717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1717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1717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1717</v>
      </c>
      <c r="B74" t="s">
        <v>6</v>
      </c>
      <c r="C74" t="s">
        <v>72</v>
      </c>
      <c r="D74" t="s">
        <v>35</v>
      </c>
      <c r="F74">
        <v>5810</v>
      </c>
      <c r="G74">
        <v>3</v>
      </c>
      <c r="H74">
        <v>14</v>
      </c>
      <c r="J74">
        <f t="shared" si="2"/>
        <v>650818</v>
      </c>
      <c r="L74">
        <f t="shared" si="3"/>
        <v>290.54374999999999</v>
      </c>
    </row>
    <row r="75" spans="1:12" x14ac:dyDescent="0.25">
      <c r="A75">
        <v>1717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1717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1717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1717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1717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1717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1717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1717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1717</v>
      </c>
      <c r="B83" t="s">
        <v>9</v>
      </c>
      <c r="C83" t="s">
        <v>72</v>
      </c>
      <c r="D83" t="s">
        <v>35</v>
      </c>
      <c r="H83">
        <v>6760</v>
      </c>
      <c r="J83">
        <f t="shared" si="2"/>
        <v>6760</v>
      </c>
      <c r="L83">
        <f t="shared" si="3"/>
        <v>3.0178571428571428</v>
      </c>
    </row>
    <row r="84" spans="1:12" x14ac:dyDescent="0.25">
      <c r="A84">
        <v>1717</v>
      </c>
      <c r="B84" t="s">
        <v>10</v>
      </c>
      <c r="C84" t="s">
        <v>72</v>
      </c>
      <c r="D84" t="s">
        <v>35</v>
      </c>
      <c r="F84">
        <v>10</v>
      </c>
      <c r="G84">
        <v>1</v>
      </c>
      <c r="H84">
        <v>3</v>
      </c>
      <c r="J84">
        <f t="shared" si="2"/>
        <v>1151</v>
      </c>
      <c r="L84">
        <f t="shared" si="3"/>
        <v>0.51383928571428572</v>
      </c>
    </row>
    <row r="85" spans="1:12" x14ac:dyDescent="0.25">
      <c r="A85">
        <v>1717</v>
      </c>
      <c r="B85" t="s">
        <v>11</v>
      </c>
      <c r="C85" t="s">
        <v>72</v>
      </c>
      <c r="D85" t="s">
        <v>35</v>
      </c>
      <c r="F85">
        <v>9</v>
      </c>
      <c r="G85">
        <v>3</v>
      </c>
      <c r="H85">
        <v>9</v>
      </c>
      <c r="J85">
        <f t="shared" si="2"/>
        <v>1101</v>
      </c>
      <c r="L85">
        <f t="shared" si="3"/>
        <v>0.49151785714285712</v>
      </c>
    </row>
    <row r="86" spans="1:12" x14ac:dyDescent="0.25">
      <c r="A86">
        <v>1717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1717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1717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1717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1717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1717</v>
      </c>
      <c r="B91" t="s">
        <v>12</v>
      </c>
      <c r="C91" t="s">
        <v>72</v>
      </c>
      <c r="D91" t="s">
        <v>35</v>
      </c>
      <c r="H91">
        <v>1461</v>
      </c>
      <c r="J91">
        <f t="shared" si="2"/>
        <v>1461</v>
      </c>
      <c r="L91">
        <f t="shared" si="3"/>
        <v>0.65223214285714282</v>
      </c>
    </row>
    <row r="92" spans="1:12" x14ac:dyDescent="0.25">
      <c r="A92">
        <v>1717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1717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1717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1717</v>
      </c>
      <c r="B95" t="s">
        <v>14</v>
      </c>
      <c r="C95" t="s">
        <v>72</v>
      </c>
      <c r="D95" t="s">
        <v>35</v>
      </c>
      <c r="H95">
        <v>620</v>
      </c>
      <c r="I95" t="s">
        <v>136</v>
      </c>
      <c r="J95">
        <f t="shared" si="2"/>
        <v>620</v>
      </c>
      <c r="L95">
        <f t="shared" si="3"/>
        <v>0.2767857142857143</v>
      </c>
    </row>
    <row r="96" spans="1:12" x14ac:dyDescent="0.25">
      <c r="A96">
        <v>1717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1717</v>
      </c>
      <c r="B97" t="s">
        <v>27</v>
      </c>
      <c r="C97" t="s">
        <v>72</v>
      </c>
      <c r="D97" t="s">
        <v>35</v>
      </c>
      <c r="H97">
        <v>730</v>
      </c>
      <c r="I97" t="s">
        <v>135</v>
      </c>
      <c r="J97">
        <f t="shared" si="2"/>
        <v>730</v>
      </c>
      <c r="L97">
        <f t="shared" si="3"/>
        <v>0.32589285714285715</v>
      </c>
    </row>
    <row r="98" spans="1:12" x14ac:dyDescent="0.25">
      <c r="A98">
        <v>1717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1717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1717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1717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1717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1717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1717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1717</v>
      </c>
      <c r="B105" t="s">
        <v>18</v>
      </c>
      <c r="C105" t="s">
        <v>72</v>
      </c>
      <c r="D105" t="s">
        <v>35</v>
      </c>
      <c r="H105">
        <v>1565.5</v>
      </c>
      <c r="I105" t="s">
        <v>137</v>
      </c>
      <c r="J105">
        <f t="shared" si="2"/>
        <v>1565.5</v>
      </c>
      <c r="L105">
        <f t="shared" si="3"/>
        <v>0.69888392857142856</v>
      </c>
    </row>
    <row r="106" spans="1:12" x14ac:dyDescent="0.25">
      <c r="A106">
        <v>1717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1717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1717</v>
      </c>
      <c r="B108" t="s">
        <v>19</v>
      </c>
      <c r="C108" t="s">
        <v>72</v>
      </c>
      <c r="D108" t="s">
        <v>35</v>
      </c>
      <c r="F108">
        <v>4</v>
      </c>
      <c r="G108">
        <v>2</v>
      </c>
      <c r="J108">
        <f t="shared" si="2"/>
        <v>504</v>
      </c>
      <c r="L108">
        <f t="shared" si="3"/>
        <v>0.22500000000000001</v>
      </c>
    </row>
    <row r="109" spans="1:12" x14ac:dyDescent="0.25">
      <c r="A109">
        <v>1717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1717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1717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1717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1717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1717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1717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1717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1717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1717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1717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1717</v>
      </c>
      <c r="B120" t="s">
        <v>62</v>
      </c>
      <c r="C120" t="s">
        <v>72</v>
      </c>
      <c r="D120" t="s">
        <v>35</v>
      </c>
      <c r="F120">
        <v>37</v>
      </c>
      <c r="J120">
        <f t="shared" si="2"/>
        <v>4144</v>
      </c>
      <c r="L120">
        <f t="shared" si="3"/>
        <v>1.85</v>
      </c>
    </row>
    <row r="121" spans="1:12" x14ac:dyDescent="0.25">
      <c r="A121">
        <v>1717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1717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1717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1717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1717</v>
      </c>
      <c r="B125" t="s">
        <v>64</v>
      </c>
      <c r="C125" t="s">
        <v>72</v>
      </c>
      <c r="D125" t="s">
        <v>35</v>
      </c>
      <c r="E125">
        <v>2</v>
      </c>
      <c r="F125">
        <v>2</v>
      </c>
      <c r="H125">
        <v>19</v>
      </c>
      <c r="J125">
        <f t="shared" si="2"/>
        <v>4723</v>
      </c>
      <c r="L125">
        <f t="shared" si="3"/>
        <v>2.108482142857143</v>
      </c>
    </row>
    <row r="126" spans="1:12" x14ac:dyDescent="0.25">
      <c r="A126">
        <v>1717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94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1717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1717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1717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1717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1717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1717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1717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1717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1717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1717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1717</v>
      </c>
      <c r="B12" t="s">
        <v>6</v>
      </c>
      <c r="C12" t="s">
        <v>73</v>
      </c>
      <c r="D12" t="s">
        <v>33</v>
      </c>
      <c r="F12">
        <v>42820</v>
      </c>
      <c r="G12">
        <v>3</v>
      </c>
      <c r="H12">
        <v>14</v>
      </c>
      <c r="J12">
        <f t="shared" si="0"/>
        <v>4795938</v>
      </c>
      <c r="L12">
        <f t="shared" si="1"/>
        <v>2141.0437499999998</v>
      </c>
    </row>
    <row r="13" spans="1:15" x14ac:dyDescent="0.25">
      <c r="A13">
        <v>1717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1717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1717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1717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1717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1717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1717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1717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1717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1717</v>
      </c>
      <c r="B22" t="s">
        <v>9</v>
      </c>
      <c r="C22" t="s">
        <v>73</v>
      </c>
      <c r="D22" t="s">
        <v>33</v>
      </c>
      <c r="H22">
        <v>10600</v>
      </c>
      <c r="J22">
        <f t="shared" si="0"/>
        <v>10600</v>
      </c>
      <c r="L22">
        <f t="shared" si="1"/>
        <v>4.7321428571428568</v>
      </c>
    </row>
    <row r="23" spans="1:12" x14ac:dyDescent="0.25">
      <c r="A23">
        <v>1717</v>
      </c>
      <c r="B23" t="s">
        <v>10</v>
      </c>
      <c r="C23" t="s">
        <v>73</v>
      </c>
      <c r="D23" t="s">
        <v>33</v>
      </c>
      <c r="F23">
        <v>14</v>
      </c>
      <c r="G23">
        <v>3</v>
      </c>
      <c r="H23">
        <v>14</v>
      </c>
      <c r="J23">
        <f t="shared" si="0"/>
        <v>1666</v>
      </c>
      <c r="L23">
        <f t="shared" si="1"/>
        <v>0.74375000000000002</v>
      </c>
    </row>
    <row r="24" spans="1:12" x14ac:dyDescent="0.25">
      <c r="A24">
        <v>1717</v>
      </c>
      <c r="B24" t="s">
        <v>11</v>
      </c>
      <c r="C24" t="s">
        <v>73</v>
      </c>
      <c r="D24" t="s">
        <v>33</v>
      </c>
      <c r="F24">
        <v>1</v>
      </c>
      <c r="H24">
        <v>14</v>
      </c>
      <c r="J24">
        <f t="shared" si="0"/>
        <v>126</v>
      </c>
      <c r="L24">
        <f t="shared" si="1"/>
        <v>5.6250000000000001E-2</v>
      </c>
    </row>
    <row r="25" spans="1:12" x14ac:dyDescent="0.25">
      <c r="A25">
        <v>1717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1717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1717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1717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1717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1717</v>
      </c>
      <c r="B30" t="s">
        <v>12</v>
      </c>
      <c r="C30" t="s">
        <v>73</v>
      </c>
      <c r="D30" t="s">
        <v>33</v>
      </c>
      <c r="H30">
        <v>1511</v>
      </c>
      <c r="J30">
        <f t="shared" si="0"/>
        <v>1511</v>
      </c>
      <c r="L30">
        <f t="shared" si="1"/>
        <v>0.67455357142857142</v>
      </c>
    </row>
    <row r="31" spans="1:12" x14ac:dyDescent="0.25">
      <c r="A31">
        <v>1717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1717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1717</v>
      </c>
      <c r="B33" t="s">
        <v>13</v>
      </c>
      <c r="C33" t="s">
        <v>73</v>
      </c>
      <c r="D33" t="s">
        <v>33</v>
      </c>
      <c r="E33">
        <v>124</v>
      </c>
      <c r="F33">
        <v>10</v>
      </c>
      <c r="G33">
        <v>2</v>
      </c>
      <c r="J33">
        <f t="shared" si="0"/>
        <v>278936</v>
      </c>
      <c r="L33">
        <f t="shared" si="1"/>
        <v>124.52500000000001</v>
      </c>
    </row>
    <row r="34" spans="1:12" x14ac:dyDescent="0.25">
      <c r="A34">
        <v>1717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1717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1717</v>
      </c>
      <c r="B36" t="s">
        <v>27</v>
      </c>
      <c r="C36" t="s">
        <v>73</v>
      </c>
      <c r="D36" t="s">
        <v>33</v>
      </c>
      <c r="H36">
        <v>20165</v>
      </c>
      <c r="I36" t="s">
        <v>122</v>
      </c>
      <c r="J36">
        <f t="shared" si="0"/>
        <v>20165</v>
      </c>
      <c r="L36">
        <f t="shared" si="1"/>
        <v>9.0022321428571423</v>
      </c>
    </row>
    <row r="37" spans="1:12" x14ac:dyDescent="0.25">
      <c r="A37">
        <v>1717</v>
      </c>
      <c r="B37" t="s">
        <v>15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1717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1717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1717</v>
      </c>
      <c r="B40" t="s">
        <v>47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1717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1717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1717</v>
      </c>
      <c r="B43" t="s">
        <v>18</v>
      </c>
      <c r="C43" t="s">
        <v>73</v>
      </c>
      <c r="D43" t="s">
        <v>33</v>
      </c>
      <c r="H43">
        <v>8297</v>
      </c>
      <c r="I43" t="s">
        <v>123</v>
      </c>
      <c r="J43">
        <f t="shared" si="0"/>
        <v>8297</v>
      </c>
      <c r="L43">
        <f t="shared" si="1"/>
        <v>3.704017857142857</v>
      </c>
    </row>
    <row r="44" spans="1:12" x14ac:dyDescent="0.25">
      <c r="A44">
        <v>1717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1717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1717</v>
      </c>
      <c r="B46" t="s">
        <v>19</v>
      </c>
      <c r="C46" t="s">
        <v>73</v>
      </c>
      <c r="D46" t="s">
        <v>33</v>
      </c>
      <c r="F46">
        <v>11</v>
      </c>
      <c r="G46">
        <v>1</v>
      </c>
      <c r="H46">
        <v>14</v>
      </c>
      <c r="J46">
        <f t="shared" si="0"/>
        <v>1274</v>
      </c>
      <c r="L46">
        <f t="shared" si="1"/>
        <v>0.56874999999999998</v>
      </c>
    </row>
    <row r="47" spans="1:12" x14ac:dyDescent="0.25">
      <c r="A47">
        <v>1717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1717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1717</v>
      </c>
      <c r="B49" t="s">
        <v>54</v>
      </c>
      <c r="C49" t="s">
        <v>73</v>
      </c>
      <c r="D49" t="s">
        <v>33</v>
      </c>
      <c r="H49">
        <v>100</v>
      </c>
      <c r="J49">
        <f t="shared" si="0"/>
        <v>100</v>
      </c>
      <c r="L49">
        <f t="shared" si="1"/>
        <v>4.4642857142857144E-2</v>
      </c>
    </row>
    <row r="50" spans="1:12" x14ac:dyDescent="0.25">
      <c r="A50">
        <v>1717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1717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1717</v>
      </c>
      <c r="B52" t="s">
        <v>21</v>
      </c>
      <c r="C52" t="s">
        <v>73</v>
      </c>
      <c r="D52" t="s">
        <v>33</v>
      </c>
      <c r="H52">
        <v>12</v>
      </c>
      <c r="J52">
        <f t="shared" si="0"/>
        <v>12</v>
      </c>
      <c r="L52">
        <f t="shared" si="1"/>
        <v>5.3571428571428572E-3</v>
      </c>
    </row>
    <row r="53" spans="1:12" x14ac:dyDescent="0.25">
      <c r="A53">
        <v>1717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1717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1717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1717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1717</v>
      </c>
      <c r="B57" t="s">
        <v>62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1717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1717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1717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1717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1717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1717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1717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1717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1717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1717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1717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1717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1717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1717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1717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1717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1717</v>
      </c>
      <c r="B74" t="s">
        <v>6</v>
      </c>
      <c r="C74" t="s">
        <v>73</v>
      </c>
      <c r="D74" t="s">
        <v>35</v>
      </c>
      <c r="F74">
        <v>9718</v>
      </c>
      <c r="H74">
        <v>5</v>
      </c>
      <c r="J74">
        <f t="shared" si="2"/>
        <v>1088421</v>
      </c>
      <c r="L74">
        <f t="shared" si="3"/>
        <v>485.90223214285714</v>
      </c>
    </row>
    <row r="75" spans="1:12" x14ac:dyDescent="0.25">
      <c r="A75">
        <v>1717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1717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1717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1717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1717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1717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1717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1717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1717</v>
      </c>
      <c r="B83" t="s">
        <v>9</v>
      </c>
      <c r="C83" t="s">
        <v>73</v>
      </c>
      <c r="D83" t="s">
        <v>35</v>
      </c>
      <c r="H83">
        <v>100426</v>
      </c>
      <c r="J83">
        <f t="shared" si="2"/>
        <v>100426</v>
      </c>
      <c r="L83">
        <f t="shared" si="3"/>
        <v>44.833035714285714</v>
      </c>
    </row>
    <row r="84" spans="1:12" x14ac:dyDescent="0.25">
      <c r="A84">
        <v>1717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1717</v>
      </c>
      <c r="B85" t="s">
        <v>11</v>
      </c>
      <c r="C85" t="s">
        <v>73</v>
      </c>
      <c r="D85" t="s">
        <v>35</v>
      </c>
      <c r="F85">
        <v>28</v>
      </c>
      <c r="G85">
        <v>1</v>
      </c>
      <c r="H85">
        <v>7</v>
      </c>
      <c r="J85">
        <f t="shared" si="2"/>
        <v>3171</v>
      </c>
      <c r="L85">
        <f t="shared" si="3"/>
        <v>1.4156249999999999</v>
      </c>
    </row>
    <row r="86" spans="1:12" x14ac:dyDescent="0.25">
      <c r="A86">
        <v>1717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1717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1717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1717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1717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1717</v>
      </c>
      <c r="B91" t="s">
        <v>12</v>
      </c>
      <c r="C91" t="s">
        <v>73</v>
      </c>
      <c r="D91" t="s">
        <v>35</v>
      </c>
      <c r="H91">
        <v>910</v>
      </c>
      <c r="J91">
        <f t="shared" si="2"/>
        <v>910</v>
      </c>
      <c r="L91">
        <f t="shared" si="3"/>
        <v>0.40625</v>
      </c>
    </row>
    <row r="92" spans="1:12" x14ac:dyDescent="0.25">
      <c r="A92">
        <v>1717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1717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1717</v>
      </c>
      <c r="B94" t="s">
        <v>13</v>
      </c>
      <c r="C94" t="s">
        <v>73</v>
      </c>
      <c r="D94" t="s">
        <v>35</v>
      </c>
      <c r="F94">
        <v>704</v>
      </c>
      <c r="G94">
        <v>2</v>
      </c>
      <c r="J94">
        <f t="shared" si="2"/>
        <v>78904</v>
      </c>
      <c r="L94">
        <f t="shared" si="3"/>
        <v>35.225000000000001</v>
      </c>
    </row>
    <row r="95" spans="1:12" x14ac:dyDescent="0.25">
      <c r="A95">
        <v>1717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1717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1717</v>
      </c>
      <c r="B97" t="s">
        <v>27</v>
      </c>
      <c r="C97" t="s">
        <v>73</v>
      </c>
      <c r="D97" t="s">
        <v>35</v>
      </c>
      <c r="H97">
        <v>730</v>
      </c>
      <c r="I97" t="s">
        <v>135</v>
      </c>
      <c r="J97">
        <f t="shared" si="2"/>
        <v>730</v>
      </c>
      <c r="L97">
        <f t="shared" si="3"/>
        <v>0.32589285714285715</v>
      </c>
    </row>
    <row r="98" spans="1:12" x14ac:dyDescent="0.25">
      <c r="A98">
        <v>1717</v>
      </c>
      <c r="B98" t="s">
        <v>15</v>
      </c>
      <c r="C98" t="s">
        <v>73</v>
      </c>
      <c r="D98" t="s">
        <v>35</v>
      </c>
      <c r="F98">
        <v>227</v>
      </c>
      <c r="G98">
        <v>2</v>
      </c>
      <c r="H98">
        <v>9</v>
      </c>
      <c r="J98">
        <f t="shared" si="2"/>
        <v>25489</v>
      </c>
      <c r="L98">
        <f t="shared" si="3"/>
        <v>11.379017857142857</v>
      </c>
    </row>
    <row r="99" spans="1:12" x14ac:dyDescent="0.25">
      <c r="A99">
        <v>1717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1717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1717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1717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1717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1717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1717</v>
      </c>
      <c r="B105" t="s">
        <v>18</v>
      </c>
      <c r="C105" t="s">
        <v>73</v>
      </c>
      <c r="D105" t="s">
        <v>35</v>
      </c>
      <c r="H105">
        <v>1090</v>
      </c>
      <c r="I105" t="s">
        <v>138</v>
      </c>
      <c r="J105">
        <f t="shared" si="2"/>
        <v>1090</v>
      </c>
      <c r="L105">
        <f t="shared" si="3"/>
        <v>0.48660714285714285</v>
      </c>
    </row>
    <row r="106" spans="1:12" x14ac:dyDescent="0.25">
      <c r="A106">
        <v>1717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1717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1717</v>
      </c>
      <c r="B108" t="s">
        <v>19</v>
      </c>
      <c r="C108" t="s">
        <v>73</v>
      </c>
      <c r="D108" t="s">
        <v>35</v>
      </c>
      <c r="F108">
        <v>3</v>
      </c>
      <c r="G108">
        <v>3</v>
      </c>
      <c r="H108">
        <v>17</v>
      </c>
      <c r="J108">
        <f t="shared" si="2"/>
        <v>437</v>
      </c>
      <c r="L108">
        <f t="shared" si="3"/>
        <v>0.19508928571428572</v>
      </c>
    </row>
    <row r="109" spans="1:12" x14ac:dyDescent="0.25">
      <c r="A109">
        <v>1717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1717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1717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1717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1717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1717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1717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1717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1717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1717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1717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1717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1717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1717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1717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1717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1717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1717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6"/>
  <sheetViews>
    <sheetView topLeftCell="A103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1717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1717</v>
      </c>
      <c r="B3" t="s">
        <v>57</v>
      </c>
      <c r="C3" t="s">
        <v>74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1717</v>
      </c>
      <c r="B4" t="s">
        <v>36</v>
      </c>
      <c r="C4" t="s">
        <v>74</v>
      </c>
      <c r="D4" t="s">
        <v>33</v>
      </c>
      <c r="H4">
        <v>35</v>
      </c>
      <c r="J4">
        <f t="shared" si="0"/>
        <v>35</v>
      </c>
      <c r="L4">
        <f t="shared" si="1"/>
        <v>1.5625E-2</v>
      </c>
    </row>
    <row r="5" spans="1:15" x14ac:dyDescent="0.25">
      <c r="A5">
        <v>1717</v>
      </c>
      <c r="B5" t="s">
        <v>4</v>
      </c>
      <c r="C5" t="s">
        <v>74</v>
      </c>
      <c r="D5" t="s">
        <v>33</v>
      </c>
      <c r="H5">
        <v>730</v>
      </c>
      <c r="J5">
        <f t="shared" si="0"/>
        <v>730</v>
      </c>
      <c r="L5">
        <f t="shared" si="1"/>
        <v>0.32589285714285715</v>
      </c>
    </row>
    <row r="6" spans="1:15" x14ac:dyDescent="0.25">
      <c r="A6">
        <v>1717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1717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1717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1717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1717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1717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1717</v>
      </c>
      <c r="B12" t="s">
        <v>6</v>
      </c>
      <c r="C12" t="s">
        <v>74</v>
      </c>
      <c r="D12" t="s">
        <v>33</v>
      </c>
      <c r="F12">
        <v>62429</v>
      </c>
      <c r="G12">
        <v>2</v>
      </c>
      <c r="H12">
        <v>25</v>
      </c>
      <c r="J12">
        <f t="shared" si="0"/>
        <v>6992129</v>
      </c>
      <c r="L12">
        <f t="shared" si="1"/>
        <v>3121.4861607142857</v>
      </c>
    </row>
    <row r="13" spans="1:15" x14ac:dyDescent="0.25">
      <c r="A13">
        <v>1717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1717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1717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1717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1717</v>
      </c>
      <c r="B17" t="s">
        <v>8</v>
      </c>
      <c r="C17" t="s">
        <v>74</v>
      </c>
      <c r="D17" t="s">
        <v>33</v>
      </c>
      <c r="F17">
        <v>4</v>
      </c>
      <c r="G17">
        <v>2</v>
      </c>
      <c r="H17">
        <v>21</v>
      </c>
      <c r="J17">
        <f t="shared" si="0"/>
        <v>525</v>
      </c>
      <c r="L17">
        <f t="shared" si="1"/>
        <v>0.234375</v>
      </c>
    </row>
    <row r="18" spans="1:12" x14ac:dyDescent="0.25">
      <c r="A18">
        <v>1717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1717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1717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1717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1717</v>
      </c>
      <c r="B22" t="s">
        <v>9</v>
      </c>
      <c r="C22" t="s">
        <v>74</v>
      </c>
      <c r="D22" t="s">
        <v>33</v>
      </c>
      <c r="H22">
        <v>16900</v>
      </c>
      <c r="J22">
        <f t="shared" si="0"/>
        <v>16900</v>
      </c>
      <c r="L22">
        <f t="shared" si="1"/>
        <v>7.5446428571428568</v>
      </c>
    </row>
    <row r="23" spans="1:12" x14ac:dyDescent="0.25">
      <c r="A23">
        <v>1717</v>
      </c>
      <c r="B23" t="s">
        <v>10</v>
      </c>
      <c r="C23" t="s">
        <v>74</v>
      </c>
      <c r="D23" t="s">
        <v>33</v>
      </c>
      <c r="F23">
        <v>153</v>
      </c>
      <c r="G23">
        <v>3</v>
      </c>
      <c r="J23">
        <f t="shared" si="0"/>
        <v>17220</v>
      </c>
      <c r="L23">
        <f t="shared" si="1"/>
        <v>7.6875</v>
      </c>
    </row>
    <row r="24" spans="1:12" x14ac:dyDescent="0.25">
      <c r="A24">
        <v>1717</v>
      </c>
      <c r="B24" t="s">
        <v>11</v>
      </c>
      <c r="C24" t="s">
        <v>74</v>
      </c>
      <c r="D24" t="s">
        <v>33</v>
      </c>
      <c r="F24">
        <v>11</v>
      </c>
      <c r="G24">
        <v>1</v>
      </c>
      <c r="J24">
        <f t="shared" si="0"/>
        <v>1260</v>
      </c>
      <c r="L24">
        <f t="shared" si="1"/>
        <v>0.5625</v>
      </c>
    </row>
    <row r="25" spans="1:12" x14ac:dyDescent="0.25">
      <c r="A25">
        <v>1717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1717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1717</v>
      </c>
      <c r="B27" t="s">
        <v>103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1717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1717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1717</v>
      </c>
      <c r="B30" t="s">
        <v>12</v>
      </c>
      <c r="C30" t="s">
        <v>74</v>
      </c>
      <c r="D30" t="s">
        <v>33</v>
      </c>
      <c r="H30">
        <v>1116</v>
      </c>
      <c r="J30">
        <f t="shared" si="0"/>
        <v>1116</v>
      </c>
      <c r="L30">
        <f t="shared" si="1"/>
        <v>0.49821428571428572</v>
      </c>
    </row>
    <row r="31" spans="1:12" x14ac:dyDescent="0.25">
      <c r="A31">
        <v>1717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1717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1717</v>
      </c>
      <c r="B33" t="s">
        <v>13</v>
      </c>
      <c r="C33" t="s">
        <v>74</v>
      </c>
      <c r="D33" t="s">
        <v>33</v>
      </c>
      <c r="E33">
        <v>75</v>
      </c>
      <c r="F33">
        <v>15</v>
      </c>
      <c r="G33">
        <v>1</v>
      </c>
      <c r="H33">
        <v>3</v>
      </c>
      <c r="J33">
        <f t="shared" si="0"/>
        <v>169711</v>
      </c>
      <c r="L33">
        <f t="shared" si="1"/>
        <v>75.763839285714283</v>
      </c>
    </row>
    <row r="34" spans="1:12" x14ac:dyDescent="0.25">
      <c r="A34">
        <v>1717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1717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1717</v>
      </c>
      <c r="B36" t="s">
        <v>27</v>
      </c>
      <c r="C36" t="s">
        <v>74</v>
      </c>
      <c r="D36" t="s">
        <v>33</v>
      </c>
      <c r="H36">
        <v>4911.5</v>
      </c>
      <c r="I36" t="s">
        <v>124</v>
      </c>
      <c r="J36">
        <f t="shared" si="0"/>
        <v>4911.5</v>
      </c>
      <c r="L36">
        <f t="shared" si="1"/>
        <v>2.1926339285714285</v>
      </c>
    </row>
    <row r="37" spans="1:12" x14ac:dyDescent="0.25">
      <c r="A37">
        <v>1717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1717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1717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1717</v>
      </c>
      <c r="B40" t="s">
        <v>47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1717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1717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1717</v>
      </c>
      <c r="B43" t="s">
        <v>18</v>
      </c>
      <c r="C43" t="s">
        <v>74</v>
      </c>
      <c r="D43" t="s">
        <v>33</v>
      </c>
      <c r="H43">
        <v>3421</v>
      </c>
      <c r="I43" t="s">
        <v>125</v>
      </c>
      <c r="J43">
        <f t="shared" si="0"/>
        <v>3421</v>
      </c>
      <c r="L43">
        <f t="shared" si="1"/>
        <v>1.5272321428571429</v>
      </c>
    </row>
    <row r="44" spans="1:12" x14ac:dyDescent="0.25">
      <c r="A44">
        <v>1717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1717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1717</v>
      </c>
      <c r="B46" t="s">
        <v>19</v>
      </c>
      <c r="C46" t="s">
        <v>74</v>
      </c>
      <c r="D46" t="s">
        <v>33</v>
      </c>
      <c r="F46">
        <v>4</v>
      </c>
      <c r="G46">
        <v>1</v>
      </c>
      <c r="J46">
        <f t="shared" si="0"/>
        <v>476</v>
      </c>
      <c r="L46">
        <f t="shared" si="1"/>
        <v>0.21249999999999999</v>
      </c>
    </row>
    <row r="47" spans="1:12" x14ac:dyDescent="0.25">
      <c r="A47">
        <v>1717</v>
      </c>
      <c r="B47" t="s">
        <v>45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1717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1717</v>
      </c>
      <c r="B49" t="s">
        <v>54</v>
      </c>
      <c r="C49" t="s">
        <v>74</v>
      </c>
      <c r="D49" t="s">
        <v>33</v>
      </c>
      <c r="H49">
        <v>572</v>
      </c>
      <c r="J49">
        <f t="shared" si="0"/>
        <v>572</v>
      </c>
      <c r="L49">
        <f t="shared" si="1"/>
        <v>0.25535714285714284</v>
      </c>
    </row>
    <row r="50" spans="1:12" x14ac:dyDescent="0.25">
      <c r="A50">
        <v>1717</v>
      </c>
      <c r="B50" t="s">
        <v>95</v>
      </c>
      <c r="C50" t="s">
        <v>74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1717</v>
      </c>
      <c r="B51" t="s">
        <v>20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1717</v>
      </c>
      <c r="B52" t="s">
        <v>21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1717</v>
      </c>
      <c r="B53" t="s">
        <v>22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1717</v>
      </c>
      <c r="B54" t="s">
        <v>61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1717</v>
      </c>
      <c r="B55" t="s">
        <v>99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1717</v>
      </c>
      <c r="B56" t="s">
        <v>87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1717</v>
      </c>
      <c r="B57" t="s">
        <v>62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1717</v>
      </c>
      <c r="B58" t="s">
        <v>88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1717</v>
      </c>
      <c r="B59" t="s">
        <v>63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1717</v>
      </c>
      <c r="B60" t="s">
        <v>89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1717</v>
      </c>
      <c r="B61" t="s">
        <v>70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1717</v>
      </c>
      <c r="B62" t="s">
        <v>64</v>
      </c>
      <c r="C62" t="s">
        <v>74</v>
      </c>
      <c r="D62" t="s">
        <v>33</v>
      </c>
      <c r="E62">
        <v>1</v>
      </c>
      <c r="F62">
        <v>18</v>
      </c>
      <c r="G62">
        <v>1</v>
      </c>
      <c r="J62">
        <f t="shared" si="0"/>
        <v>4284</v>
      </c>
      <c r="L62">
        <f t="shared" si="1"/>
        <v>1.9125000000000001</v>
      </c>
    </row>
    <row r="63" spans="1:12" x14ac:dyDescent="0.25">
      <c r="A63">
        <v>1717</v>
      </c>
      <c r="B63" t="s">
        <v>65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1717</v>
      </c>
      <c r="B64" t="s">
        <v>55</v>
      </c>
      <c r="C64" t="s">
        <v>74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1717</v>
      </c>
      <c r="B65" t="s">
        <v>57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1717</v>
      </c>
      <c r="B66" t="s">
        <v>36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1717</v>
      </c>
      <c r="B67" t="s">
        <v>4</v>
      </c>
      <c r="C67" t="s">
        <v>74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1717</v>
      </c>
      <c r="B68" t="s">
        <v>58</v>
      </c>
      <c r="C68" t="s">
        <v>74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1717</v>
      </c>
      <c r="B69" t="s">
        <v>69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1717</v>
      </c>
      <c r="B70" t="s">
        <v>43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1717</v>
      </c>
      <c r="B71" t="s">
        <v>76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1717</v>
      </c>
      <c r="B72" t="s">
        <v>5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1717</v>
      </c>
      <c r="B73" t="s">
        <v>59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1717</v>
      </c>
      <c r="B74" t="s">
        <v>6</v>
      </c>
      <c r="C74" t="s">
        <v>74</v>
      </c>
      <c r="D74" t="s">
        <v>35</v>
      </c>
      <c r="F74">
        <v>17829</v>
      </c>
      <c r="G74">
        <v>3</v>
      </c>
      <c r="H74">
        <v>10</v>
      </c>
      <c r="J74">
        <f t="shared" si="2"/>
        <v>1996942</v>
      </c>
      <c r="L74">
        <f t="shared" si="3"/>
        <v>891.49196428571429</v>
      </c>
    </row>
    <row r="75" spans="1:12" x14ac:dyDescent="0.25">
      <c r="A75">
        <v>1717</v>
      </c>
      <c r="B75" t="s">
        <v>60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1717</v>
      </c>
      <c r="B76" t="s">
        <v>7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1717</v>
      </c>
      <c r="B77" t="s">
        <v>37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1717</v>
      </c>
      <c r="B78" t="s">
        <v>8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1717</v>
      </c>
      <c r="B79" t="s">
        <v>40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1717</v>
      </c>
      <c r="B80" t="s">
        <v>77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1717</v>
      </c>
      <c r="B81" t="s">
        <v>78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1717</v>
      </c>
      <c r="B82" t="s">
        <v>46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1717</v>
      </c>
      <c r="B83" t="s">
        <v>9</v>
      </c>
      <c r="C83" t="s">
        <v>74</v>
      </c>
      <c r="D83" t="s">
        <v>35</v>
      </c>
      <c r="H83">
        <v>48224</v>
      </c>
      <c r="J83">
        <f t="shared" si="2"/>
        <v>48224</v>
      </c>
      <c r="L83">
        <f t="shared" si="3"/>
        <v>21.528571428571428</v>
      </c>
    </row>
    <row r="84" spans="1:12" x14ac:dyDescent="0.25">
      <c r="A84">
        <v>1717</v>
      </c>
      <c r="B84" t="s">
        <v>10</v>
      </c>
      <c r="C84" t="s">
        <v>74</v>
      </c>
      <c r="D84" t="s">
        <v>35</v>
      </c>
      <c r="F84">
        <v>76</v>
      </c>
      <c r="G84">
        <v>2</v>
      </c>
      <c r="H84">
        <v>14</v>
      </c>
      <c r="J84">
        <f t="shared" si="2"/>
        <v>8582</v>
      </c>
      <c r="L84">
        <f t="shared" si="3"/>
        <v>3.8312499999999998</v>
      </c>
    </row>
    <row r="85" spans="1:12" x14ac:dyDescent="0.25">
      <c r="A85">
        <v>1717</v>
      </c>
      <c r="B85" t="s">
        <v>11</v>
      </c>
      <c r="C85" t="s">
        <v>74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1717</v>
      </c>
      <c r="B86" t="s">
        <v>39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1717</v>
      </c>
      <c r="B87" t="s">
        <v>79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1717</v>
      </c>
      <c r="B88" t="s">
        <v>103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1717</v>
      </c>
      <c r="B89" t="s">
        <v>44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1717</v>
      </c>
      <c r="B90" t="s">
        <v>97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1717</v>
      </c>
      <c r="B91" t="s">
        <v>12</v>
      </c>
      <c r="C91" t="s">
        <v>74</v>
      </c>
      <c r="D91" t="s">
        <v>35</v>
      </c>
      <c r="H91">
        <v>56</v>
      </c>
      <c r="J91">
        <f t="shared" si="2"/>
        <v>56</v>
      </c>
      <c r="L91">
        <f t="shared" si="3"/>
        <v>2.5000000000000001E-2</v>
      </c>
    </row>
    <row r="92" spans="1:12" x14ac:dyDescent="0.25">
      <c r="A92">
        <v>1717</v>
      </c>
      <c r="B92" t="s">
        <v>82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1717</v>
      </c>
      <c r="B93" t="s">
        <v>34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1717</v>
      </c>
      <c r="B94" t="s">
        <v>13</v>
      </c>
      <c r="C94" t="s">
        <v>74</v>
      </c>
      <c r="D94" t="s">
        <v>35</v>
      </c>
      <c r="F94">
        <v>293</v>
      </c>
      <c r="G94">
        <v>1</v>
      </c>
      <c r="H94">
        <v>17</v>
      </c>
      <c r="J94">
        <f t="shared" si="2"/>
        <v>32861</v>
      </c>
      <c r="L94">
        <f t="shared" si="3"/>
        <v>14.670089285714285</v>
      </c>
    </row>
    <row r="95" spans="1:12" x14ac:dyDescent="0.25">
      <c r="A95">
        <v>1717</v>
      </c>
      <c r="B95" t="s">
        <v>14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1717</v>
      </c>
      <c r="B96" t="s">
        <v>23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1717</v>
      </c>
      <c r="B97" t="s">
        <v>27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1717</v>
      </c>
      <c r="B98" t="s">
        <v>15</v>
      </c>
      <c r="C98" t="s">
        <v>74</v>
      </c>
      <c r="D98" t="s">
        <v>35</v>
      </c>
      <c r="F98">
        <v>220</v>
      </c>
      <c r="G98">
        <v>3</v>
      </c>
      <c r="H98">
        <v>24</v>
      </c>
      <c r="J98">
        <f t="shared" si="2"/>
        <v>24748</v>
      </c>
      <c r="L98">
        <f t="shared" si="3"/>
        <v>11.048214285714286</v>
      </c>
    </row>
    <row r="99" spans="1:12" x14ac:dyDescent="0.25">
      <c r="A99">
        <v>1717</v>
      </c>
      <c r="B99" t="s">
        <v>93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1717</v>
      </c>
      <c r="B100" t="s">
        <v>42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1717</v>
      </c>
      <c r="B101" t="s">
        <v>83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1717</v>
      </c>
      <c r="B102" t="s">
        <v>47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1717</v>
      </c>
      <c r="B103" t="s">
        <v>16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1717</v>
      </c>
      <c r="B104" t="s">
        <v>17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1717</v>
      </c>
      <c r="B105" t="s">
        <v>18</v>
      </c>
      <c r="C105" t="s">
        <v>74</v>
      </c>
      <c r="D105" t="s">
        <v>35</v>
      </c>
      <c r="H105">
        <v>1285.5</v>
      </c>
      <c r="I105" t="s">
        <v>139</v>
      </c>
      <c r="J105">
        <f t="shared" si="2"/>
        <v>1285.5</v>
      </c>
      <c r="L105">
        <f t="shared" si="3"/>
        <v>0.57388392857142856</v>
      </c>
    </row>
    <row r="106" spans="1:12" x14ac:dyDescent="0.25">
      <c r="A106">
        <v>1717</v>
      </c>
      <c r="B106" t="s">
        <v>26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1717</v>
      </c>
      <c r="B107" t="s">
        <v>84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1717</v>
      </c>
      <c r="B108" t="s">
        <v>19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1717</v>
      </c>
      <c r="B109" t="s">
        <v>45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1717</v>
      </c>
      <c r="B110" t="s">
        <v>85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1717</v>
      </c>
      <c r="B111" t="s">
        <v>54</v>
      </c>
      <c r="C111" t="s">
        <v>74</v>
      </c>
      <c r="D111" t="s">
        <v>35</v>
      </c>
      <c r="H111">
        <v>60</v>
      </c>
      <c r="J111">
        <f t="shared" si="2"/>
        <v>60</v>
      </c>
      <c r="L111">
        <f t="shared" si="3"/>
        <v>2.6785714285714284E-2</v>
      </c>
    </row>
    <row r="112" spans="1:12" x14ac:dyDescent="0.25">
      <c r="A112">
        <v>1717</v>
      </c>
      <c r="B112" t="s">
        <v>95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1717</v>
      </c>
      <c r="B113" t="s">
        <v>20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1717</v>
      </c>
      <c r="B114" t="s">
        <v>21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1717</v>
      </c>
      <c r="B115" t="s">
        <v>22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1717</v>
      </c>
      <c r="B116" t="s">
        <v>61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1717</v>
      </c>
      <c r="B117" t="s">
        <v>91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1717</v>
      </c>
      <c r="B118" t="s">
        <v>98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1717</v>
      </c>
      <c r="B119" t="s">
        <v>87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1717</v>
      </c>
      <c r="B120" t="s">
        <v>62</v>
      </c>
      <c r="C120" t="s">
        <v>74</v>
      </c>
      <c r="D120" t="s">
        <v>35</v>
      </c>
      <c r="F120">
        <v>40</v>
      </c>
      <c r="J120">
        <f t="shared" si="2"/>
        <v>4480</v>
      </c>
      <c r="L120">
        <f t="shared" si="3"/>
        <v>2</v>
      </c>
    </row>
    <row r="121" spans="1:12" x14ac:dyDescent="0.25">
      <c r="A121">
        <v>1717</v>
      </c>
      <c r="B121" t="s">
        <v>88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1717</v>
      </c>
      <c r="B122" t="s">
        <v>63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1717</v>
      </c>
      <c r="B123" t="s">
        <v>89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1717</v>
      </c>
      <c r="B124" t="s">
        <v>70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1717</v>
      </c>
      <c r="B125" t="s">
        <v>64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1717</v>
      </c>
      <c r="B126" t="s">
        <v>65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workbookViewId="0">
      <selection activeCell="H45" sqref="H45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1717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1717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1717</v>
      </c>
      <c r="B4" t="s">
        <v>36</v>
      </c>
      <c r="C4" t="s">
        <v>100</v>
      </c>
      <c r="D4" t="s">
        <v>33</v>
      </c>
      <c r="H4">
        <v>180</v>
      </c>
      <c r="J4">
        <f t="shared" si="0"/>
        <v>180</v>
      </c>
      <c r="L4">
        <f t="shared" si="1"/>
        <v>8.0357142857142863E-2</v>
      </c>
    </row>
    <row r="5" spans="1:15" x14ac:dyDescent="0.25">
      <c r="A5">
        <v>1717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1717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1717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1717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1717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1717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1717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1717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1717</v>
      </c>
      <c r="B13" t="s">
        <v>6</v>
      </c>
      <c r="C13" t="s">
        <v>100</v>
      </c>
      <c r="D13" t="s">
        <v>33</v>
      </c>
      <c r="F13">
        <v>2842</v>
      </c>
      <c r="G13">
        <v>3</v>
      </c>
      <c r="H13">
        <v>14</v>
      </c>
      <c r="J13">
        <f t="shared" si="0"/>
        <v>318402</v>
      </c>
      <c r="L13">
        <f t="shared" si="1"/>
        <v>142.14375000000001</v>
      </c>
    </row>
    <row r="14" spans="1:15" x14ac:dyDescent="0.25">
      <c r="A14">
        <v>1717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1717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1717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1717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1717</v>
      </c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1717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1717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1717</v>
      </c>
      <c r="B21" t="s">
        <v>78</v>
      </c>
      <c r="C21" t="s">
        <v>100</v>
      </c>
      <c r="D21" t="s">
        <v>33</v>
      </c>
      <c r="H21">
        <v>692</v>
      </c>
      <c r="J21">
        <f t="shared" si="0"/>
        <v>692</v>
      </c>
      <c r="L21">
        <f t="shared" si="1"/>
        <v>0.30892857142857144</v>
      </c>
    </row>
    <row r="22" spans="1:12" x14ac:dyDescent="0.25">
      <c r="A22">
        <v>1717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1717</v>
      </c>
      <c r="B23" t="s">
        <v>9</v>
      </c>
      <c r="C23" t="s">
        <v>100</v>
      </c>
      <c r="D23" t="s">
        <v>33</v>
      </c>
      <c r="H23">
        <v>17200</v>
      </c>
      <c r="J23">
        <f t="shared" si="0"/>
        <v>17200</v>
      </c>
      <c r="L23">
        <f t="shared" si="1"/>
        <v>7.6785714285714288</v>
      </c>
    </row>
    <row r="24" spans="1:12" x14ac:dyDescent="0.25">
      <c r="A24">
        <v>1717</v>
      </c>
      <c r="B24" t="s">
        <v>10</v>
      </c>
      <c r="C24" t="s">
        <v>100</v>
      </c>
      <c r="D24" t="s">
        <v>33</v>
      </c>
      <c r="F24">
        <v>111</v>
      </c>
      <c r="G24">
        <v>1</v>
      </c>
      <c r="H24">
        <v>21</v>
      </c>
      <c r="J24">
        <f t="shared" si="0"/>
        <v>12481</v>
      </c>
      <c r="L24">
        <f t="shared" si="1"/>
        <v>5.5718750000000004</v>
      </c>
    </row>
    <row r="25" spans="1:12" x14ac:dyDescent="0.25">
      <c r="A25">
        <v>1717</v>
      </c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1717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1717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1717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1717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1717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1717</v>
      </c>
      <c r="B31" t="s">
        <v>12</v>
      </c>
      <c r="C31" t="s">
        <v>100</v>
      </c>
      <c r="D31" t="s">
        <v>33</v>
      </c>
      <c r="H31">
        <v>682</v>
      </c>
      <c r="J31">
        <f t="shared" si="0"/>
        <v>682</v>
      </c>
      <c r="L31">
        <f t="shared" si="1"/>
        <v>0.30446428571428569</v>
      </c>
    </row>
    <row r="32" spans="1:12" x14ac:dyDescent="0.25">
      <c r="A32">
        <v>1717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1717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1717</v>
      </c>
      <c r="B34" t="s">
        <v>13</v>
      </c>
      <c r="C34" t="s">
        <v>100</v>
      </c>
      <c r="D34" t="s">
        <v>33</v>
      </c>
      <c r="E34">
        <v>87</v>
      </c>
      <c r="F34">
        <v>19</v>
      </c>
      <c r="G34">
        <v>2</v>
      </c>
      <c r="J34">
        <f t="shared" si="0"/>
        <v>197064</v>
      </c>
      <c r="L34">
        <f t="shared" si="1"/>
        <v>87.974999999999994</v>
      </c>
    </row>
    <row r="35" spans="1:12" x14ac:dyDescent="0.25">
      <c r="A35">
        <v>1717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1717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1717</v>
      </c>
      <c r="B37" t="s">
        <v>27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1717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1717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1717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1717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1717</v>
      </c>
      <c r="B42" t="s">
        <v>16</v>
      </c>
      <c r="C42" t="s">
        <v>100</v>
      </c>
      <c r="D42" t="s">
        <v>33</v>
      </c>
      <c r="H42">
        <v>1010</v>
      </c>
      <c r="J42">
        <f t="shared" si="0"/>
        <v>1010</v>
      </c>
      <c r="L42">
        <f t="shared" si="1"/>
        <v>0.45089285714285715</v>
      </c>
    </row>
    <row r="43" spans="1:12" x14ac:dyDescent="0.25">
      <c r="A43">
        <v>1717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1717</v>
      </c>
      <c r="B44" t="s">
        <v>18</v>
      </c>
      <c r="C44" t="s">
        <v>100</v>
      </c>
      <c r="D44" t="s">
        <v>33</v>
      </c>
      <c r="H44">
        <v>3901</v>
      </c>
      <c r="I44" t="s">
        <v>126</v>
      </c>
      <c r="J44">
        <f t="shared" si="0"/>
        <v>3901</v>
      </c>
      <c r="L44">
        <f t="shared" si="1"/>
        <v>1.7415178571428571</v>
      </c>
    </row>
    <row r="45" spans="1:12" x14ac:dyDescent="0.25">
      <c r="A45">
        <v>1717</v>
      </c>
      <c r="B45" t="s">
        <v>26</v>
      </c>
      <c r="C45" t="s">
        <v>100</v>
      </c>
      <c r="D45" t="s">
        <v>33</v>
      </c>
      <c r="H45">
        <v>2600</v>
      </c>
      <c r="J45">
        <f t="shared" si="0"/>
        <v>2600</v>
      </c>
      <c r="L45">
        <f t="shared" si="1"/>
        <v>1.1607142857142858</v>
      </c>
    </row>
    <row r="46" spans="1:12" x14ac:dyDescent="0.25">
      <c r="A46">
        <v>1717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1717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1717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1717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1717</v>
      </c>
      <c r="B50" t="s">
        <v>54</v>
      </c>
      <c r="C50" t="s">
        <v>100</v>
      </c>
      <c r="D50" t="s">
        <v>33</v>
      </c>
      <c r="H50">
        <v>15</v>
      </c>
      <c r="J50">
        <f t="shared" si="0"/>
        <v>15</v>
      </c>
      <c r="L50">
        <f t="shared" si="1"/>
        <v>6.6964285714285711E-3</v>
      </c>
    </row>
    <row r="51" spans="1:12" x14ac:dyDescent="0.25">
      <c r="A51">
        <v>1717</v>
      </c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1717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1717</v>
      </c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1717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1717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1717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1717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1717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1717</v>
      </c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1717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1717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1717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1717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1717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1717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1717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1717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1717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1717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1717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1717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1717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1717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1717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1717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1717</v>
      </c>
      <c r="B76" t="s">
        <v>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1717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1717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1717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1717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1717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1717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1717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1717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1717</v>
      </c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1717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1717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1717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1717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1717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1717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1717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1717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1717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1717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1717</v>
      </c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1717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1717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1717</v>
      </c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1717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1717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1717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1717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1717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1717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1717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1717</v>
      </c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1717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1717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1717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1717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1717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1717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1717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1717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1717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1717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1717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1717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1717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1717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1717</v>
      </c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1717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1717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1717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1717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1717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1717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69FD477F-4180-479E-9D58-78AA15480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A4F5C-5068-4182-9DA1-8D90B514D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0A770D-3CE5-49EF-9955-C06142716624}">
  <ds:schemaRefs>
    <ds:schemaRef ds:uri="http://schemas.microsoft.com/office/2006/documentManagement/types"/>
    <ds:schemaRef ds:uri="http://purl.org/dc/terms/"/>
    <ds:schemaRef ds:uri="cefc4363-6422-4cdd-96f6-49f865293ff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2025-04-27T20:29:22Z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