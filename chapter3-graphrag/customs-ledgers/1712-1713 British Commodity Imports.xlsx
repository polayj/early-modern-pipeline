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22" documentId="8_{292829D4-25AF-4503-B826-D0CCEAF8D76C}" xr6:coauthVersionLast="47" xr6:coauthVersionMax="47" xr10:uidLastSave="{A2E52558-0E15-466B-8D60-8A9551B7674D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Barbados!$A$1:$N$52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8" l="1"/>
  <c r="J66" i="8"/>
  <c r="L71" i="7"/>
  <c r="J71" i="7"/>
  <c r="L52" i="7"/>
  <c r="J52" i="7"/>
  <c r="J49" i="7"/>
  <c r="L49" i="7" s="1"/>
  <c r="L61" i="6"/>
  <c r="J61" i="6"/>
  <c r="L112" i="5"/>
  <c r="J112" i="5"/>
  <c r="L60" i="2"/>
  <c r="L61" i="2"/>
  <c r="L62" i="2"/>
  <c r="L63" i="2"/>
  <c r="L67" i="2"/>
  <c r="L68" i="2"/>
  <c r="L69" i="2"/>
  <c r="L71" i="2"/>
  <c r="L72" i="2"/>
  <c r="L73" i="2"/>
  <c r="L74" i="2"/>
  <c r="L77" i="2"/>
  <c r="L78" i="2"/>
  <c r="L79" i="2"/>
  <c r="L80" i="2"/>
  <c r="L81" i="2"/>
  <c r="L83" i="2"/>
  <c r="L85" i="2"/>
  <c r="L87" i="2"/>
  <c r="L88" i="2"/>
  <c r="L89" i="2"/>
  <c r="L90" i="2"/>
  <c r="L91" i="2"/>
  <c r="L92" i="2"/>
  <c r="L93" i="2"/>
  <c r="L94" i="2"/>
  <c r="L95" i="2"/>
  <c r="L96" i="2"/>
  <c r="L97" i="2"/>
  <c r="J60" i="2"/>
  <c r="J61" i="2"/>
  <c r="J62" i="2"/>
  <c r="J63" i="2"/>
  <c r="J64" i="2"/>
  <c r="L64" i="2" s="1"/>
  <c r="J65" i="2"/>
  <c r="L65" i="2" s="1"/>
  <c r="J66" i="2"/>
  <c r="L66" i="2" s="1"/>
  <c r="J67" i="2"/>
  <c r="J68" i="2"/>
  <c r="J69" i="2"/>
  <c r="J70" i="2"/>
  <c r="L70" i="2" s="1"/>
  <c r="J71" i="2"/>
  <c r="J72" i="2"/>
  <c r="J73" i="2"/>
  <c r="J74" i="2"/>
  <c r="J75" i="2"/>
  <c r="L75" i="2" s="1"/>
  <c r="J76" i="2"/>
  <c r="L76" i="2" s="1"/>
  <c r="J77" i="2"/>
  <c r="J78" i="2"/>
  <c r="J79" i="2"/>
  <c r="J80" i="2"/>
  <c r="J81" i="2"/>
  <c r="J82" i="2"/>
  <c r="L82" i="2" s="1"/>
  <c r="J83" i="2"/>
  <c r="J84" i="2"/>
  <c r="L84" i="2" s="1"/>
  <c r="J85" i="2"/>
  <c r="J86" i="2"/>
  <c r="L86" i="2" s="1"/>
  <c r="J87" i="2"/>
  <c r="J88" i="2"/>
  <c r="J89" i="2"/>
  <c r="J90" i="2"/>
  <c r="J91" i="2"/>
  <c r="J92" i="2"/>
  <c r="J93" i="2"/>
  <c r="J94" i="2"/>
  <c r="J95" i="2"/>
  <c r="J96" i="2"/>
  <c r="J97" i="2"/>
  <c r="L6" i="2"/>
  <c r="L10" i="2"/>
  <c r="L11" i="2"/>
  <c r="L14" i="2"/>
  <c r="L22" i="2"/>
  <c r="L27" i="2"/>
  <c r="L30" i="2"/>
  <c r="L38" i="2"/>
  <c r="L43" i="2"/>
  <c r="L46" i="2"/>
  <c r="L50" i="2"/>
  <c r="L54" i="2"/>
  <c r="L58" i="2"/>
  <c r="L59" i="2"/>
  <c r="J3" i="2"/>
  <c r="L3" i="2" s="1"/>
  <c r="J4" i="2"/>
  <c r="L4" i="2" s="1"/>
  <c r="J5" i="2"/>
  <c r="L5" i="2" s="1"/>
  <c r="J6" i="2"/>
  <c r="J7" i="2"/>
  <c r="L7" i="2" s="1"/>
  <c r="J8" i="2"/>
  <c r="L8" i="2" s="1"/>
  <c r="J9" i="2"/>
  <c r="L9" i="2" s="1"/>
  <c r="J10" i="2"/>
  <c r="J11" i="2"/>
  <c r="J12" i="2"/>
  <c r="L12" i="2" s="1"/>
  <c r="J13" i="2"/>
  <c r="L13" i="2" s="1"/>
  <c r="J14" i="2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J23" i="2"/>
  <c r="L23" i="2" s="1"/>
  <c r="J24" i="2"/>
  <c r="L24" i="2" s="1"/>
  <c r="J25" i="2"/>
  <c r="L25" i="2" s="1"/>
  <c r="J26" i="2"/>
  <c r="L26" i="2" s="1"/>
  <c r="J27" i="2"/>
  <c r="J28" i="2"/>
  <c r="L28" i="2" s="1"/>
  <c r="J29" i="2"/>
  <c r="L29" i="2" s="1"/>
  <c r="J30" i="2"/>
  <c r="J31" i="2"/>
  <c r="L31" i="2" s="1"/>
  <c r="J32" i="2"/>
  <c r="L32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J39" i="2"/>
  <c r="L39" i="2" s="1"/>
  <c r="J40" i="2"/>
  <c r="L40" i="2" s="1"/>
  <c r="J41" i="2"/>
  <c r="L41" i="2" s="1"/>
  <c r="J42" i="2"/>
  <c r="L42" i="2" s="1"/>
  <c r="J43" i="2"/>
  <c r="J44" i="2"/>
  <c r="L44" i="2" s="1"/>
  <c r="J45" i="2"/>
  <c r="L45" i="2" s="1"/>
  <c r="J46" i="2"/>
  <c r="J47" i="2"/>
  <c r="L47" i="2" s="1"/>
  <c r="J48" i="2"/>
  <c r="L48" i="2" s="1"/>
  <c r="J49" i="2"/>
  <c r="L49" i="2" s="1"/>
  <c r="J50" i="2"/>
  <c r="J51" i="2"/>
  <c r="L51" i="2" s="1"/>
  <c r="J52" i="2"/>
  <c r="L52" i="2" s="1"/>
  <c r="J53" i="2"/>
  <c r="L53" i="2" s="1"/>
  <c r="J54" i="2"/>
  <c r="J55" i="2"/>
  <c r="L55" i="2" s="1"/>
  <c r="J56" i="2"/>
  <c r="L56" i="2" s="1"/>
  <c r="J57" i="2"/>
  <c r="L57" i="2" s="1"/>
  <c r="J58" i="2"/>
  <c r="J59" i="2"/>
  <c r="L3" i="3"/>
  <c r="L6" i="3"/>
  <c r="L7" i="3"/>
  <c r="L8" i="3"/>
  <c r="L10" i="3"/>
  <c r="L13" i="3"/>
  <c r="L14" i="3"/>
  <c r="L16" i="3"/>
  <c r="L17" i="3"/>
  <c r="L18" i="3"/>
  <c r="L21" i="3"/>
  <c r="L22" i="3"/>
  <c r="L24" i="3"/>
  <c r="L25" i="3"/>
  <c r="L27" i="3"/>
  <c r="L30" i="3"/>
  <c r="L31" i="3"/>
  <c r="L32" i="3"/>
  <c r="L37" i="3"/>
  <c r="L39" i="3"/>
  <c r="L40" i="3"/>
  <c r="L42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61" i="3"/>
  <c r="L62" i="3"/>
  <c r="L63" i="3"/>
  <c r="L65" i="3"/>
  <c r="L68" i="3"/>
  <c r="L69" i="3"/>
  <c r="L70" i="3"/>
  <c r="L71" i="3"/>
  <c r="L72" i="3"/>
  <c r="L74" i="3"/>
  <c r="L77" i="3"/>
  <c r="L78" i="3"/>
  <c r="L79" i="3"/>
  <c r="L83" i="3"/>
  <c r="L85" i="3"/>
  <c r="L88" i="3"/>
  <c r="L89" i="3"/>
  <c r="L90" i="3"/>
  <c r="L91" i="3"/>
  <c r="L94" i="3"/>
  <c r="L95" i="3"/>
  <c r="L96" i="3"/>
  <c r="L97" i="3"/>
  <c r="J3" i="3"/>
  <c r="J4" i="3"/>
  <c r="L4" i="3" s="1"/>
  <c r="J5" i="3"/>
  <c r="L5" i="3" s="1"/>
  <c r="J6" i="3"/>
  <c r="J7" i="3"/>
  <c r="J8" i="3"/>
  <c r="J9" i="3"/>
  <c r="L9" i="3" s="1"/>
  <c r="J10" i="3"/>
  <c r="J11" i="3"/>
  <c r="L11" i="3" s="1"/>
  <c r="J12" i="3"/>
  <c r="L12" i="3" s="1"/>
  <c r="J13" i="3"/>
  <c r="J14" i="3"/>
  <c r="J15" i="3"/>
  <c r="L15" i="3" s="1"/>
  <c r="J16" i="3"/>
  <c r="J17" i="3"/>
  <c r="J18" i="3"/>
  <c r="J19" i="3"/>
  <c r="L19" i="3" s="1"/>
  <c r="J20" i="3"/>
  <c r="L20" i="3" s="1"/>
  <c r="J21" i="3"/>
  <c r="J22" i="3"/>
  <c r="J23" i="3"/>
  <c r="L23" i="3" s="1"/>
  <c r="J24" i="3"/>
  <c r="J25" i="3"/>
  <c r="J26" i="3"/>
  <c r="L26" i="3" s="1"/>
  <c r="J27" i="3"/>
  <c r="J28" i="3"/>
  <c r="L28" i="3" s="1"/>
  <c r="J29" i="3"/>
  <c r="L29" i="3" s="1"/>
  <c r="J30" i="3"/>
  <c r="J31" i="3"/>
  <c r="J32" i="3"/>
  <c r="J33" i="3"/>
  <c r="L33" i="3" s="1"/>
  <c r="J34" i="3"/>
  <c r="L34" i="3" s="1"/>
  <c r="J35" i="3"/>
  <c r="L35" i="3" s="1"/>
  <c r="J36" i="3"/>
  <c r="L36" i="3" s="1"/>
  <c r="J37" i="3"/>
  <c r="J38" i="3"/>
  <c r="L38" i="3" s="1"/>
  <c r="J39" i="3"/>
  <c r="J40" i="3"/>
  <c r="J41" i="3"/>
  <c r="L41" i="3" s="1"/>
  <c r="J42" i="3"/>
  <c r="J43" i="3"/>
  <c r="L43" i="3" s="1"/>
  <c r="J44" i="3"/>
  <c r="J45" i="3"/>
  <c r="J46" i="3"/>
  <c r="J47" i="3"/>
  <c r="J48" i="3"/>
  <c r="J49" i="3"/>
  <c r="J50" i="3"/>
  <c r="J51" i="3"/>
  <c r="L51" i="3" s="1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L64" i="3" s="1"/>
  <c r="J65" i="3"/>
  <c r="J66" i="3"/>
  <c r="L66" i="3" s="1"/>
  <c r="J67" i="3"/>
  <c r="L67" i="3" s="1"/>
  <c r="J68" i="3"/>
  <c r="J69" i="3"/>
  <c r="J70" i="3"/>
  <c r="J71" i="3"/>
  <c r="J72" i="3"/>
  <c r="J73" i="3"/>
  <c r="L73" i="3" s="1"/>
  <c r="J74" i="3"/>
  <c r="J75" i="3"/>
  <c r="L75" i="3" s="1"/>
  <c r="J76" i="3"/>
  <c r="L76" i="3" s="1"/>
  <c r="J77" i="3"/>
  <c r="J78" i="3"/>
  <c r="J79" i="3"/>
  <c r="J80" i="3"/>
  <c r="L80" i="3" s="1"/>
  <c r="J81" i="3"/>
  <c r="L81" i="3" s="1"/>
  <c r="J82" i="3"/>
  <c r="L82" i="3" s="1"/>
  <c r="J83" i="3"/>
  <c r="J84" i="3"/>
  <c r="L84" i="3" s="1"/>
  <c r="J85" i="3"/>
  <c r="J86" i="3"/>
  <c r="L86" i="3" s="1"/>
  <c r="J87" i="3"/>
  <c r="L87" i="3" s="1"/>
  <c r="J88" i="3"/>
  <c r="J89" i="3"/>
  <c r="J90" i="3"/>
  <c r="J91" i="3"/>
  <c r="J92" i="3"/>
  <c r="L92" i="3" s="1"/>
  <c r="J93" i="3"/>
  <c r="L93" i="3" s="1"/>
  <c r="J94" i="3"/>
  <c r="J95" i="3"/>
  <c r="J96" i="3"/>
  <c r="J97" i="3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L3" i="5"/>
  <c r="L4" i="5"/>
  <c r="L5" i="5"/>
  <c r="L8" i="5"/>
  <c r="L27" i="5"/>
  <c r="L28" i="5"/>
  <c r="L29" i="5"/>
  <c r="L31" i="5"/>
  <c r="L32" i="5"/>
  <c r="L44" i="5"/>
  <c r="L45" i="5"/>
  <c r="L47" i="5"/>
  <c r="L48" i="5"/>
  <c r="L50" i="5"/>
  <c r="L52" i="5"/>
  <c r="L60" i="5"/>
  <c r="L72" i="5"/>
  <c r="L73" i="5"/>
  <c r="L75" i="5"/>
  <c r="L77" i="5"/>
  <c r="L91" i="5"/>
  <c r="L92" i="5"/>
  <c r="L93" i="5"/>
  <c r="L96" i="5"/>
  <c r="L97" i="5"/>
  <c r="L99" i="5"/>
  <c r="L108" i="5"/>
  <c r="L109" i="5"/>
  <c r="L110" i="5"/>
  <c r="L111" i="5"/>
  <c r="L114" i="5"/>
  <c r="J3" i="5"/>
  <c r="J4" i="5"/>
  <c r="J5" i="5"/>
  <c r="J6" i="5"/>
  <c r="L6" i="5" s="1"/>
  <c r="J7" i="5"/>
  <c r="L7" i="5" s="1"/>
  <c r="J8" i="5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J28" i="5"/>
  <c r="J29" i="5"/>
  <c r="J30" i="5"/>
  <c r="L30" i="5" s="1"/>
  <c r="J31" i="5"/>
  <c r="J32" i="5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J45" i="5"/>
  <c r="J46" i="5"/>
  <c r="L46" i="5" s="1"/>
  <c r="J47" i="5"/>
  <c r="J48" i="5"/>
  <c r="J49" i="5"/>
  <c r="L49" i="5" s="1"/>
  <c r="J50" i="5"/>
  <c r="J51" i="5"/>
  <c r="L51" i="5" s="1"/>
  <c r="J52" i="5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J73" i="5"/>
  <c r="J74" i="5"/>
  <c r="L74" i="5" s="1"/>
  <c r="J75" i="5"/>
  <c r="J76" i="5"/>
  <c r="L76" i="5" s="1"/>
  <c r="J77" i="5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J92" i="5"/>
  <c r="J93" i="5"/>
  <c r="J94" i="5"/>
  <c r="L94" i="5" s="1"/>
  <c r="J95" i="5"/>
  <c r="L95" i="5" s="1"/>
  <c r="J96" i="5"/>
  <c r="J97" i="5"/>
  <c r="J98" i="5"/>
  <c r="L98" i="5" s="1"/>
  <c r="J99" i="5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J109" i="5"/>
  <c r="J110" i="5"/>
  <c r="J111" i="5"/>
  <c r="J113" i="5"/>
  <c r="L113" i="5" s="1"/>
  <c r="J114" i="5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L3" i="6"/>
  <c r="L4" i="6"/>
  <c r="L6" i="6"/>
  <c r="L7" i="6"/>
  <c r="L16" i="6"/>
  <c r="L20" i="6"/>
  <c r="L22" i="6"/>
  <c r="L23" i="6"/>
  <c r="L27" i="6"/>
  <c r="L28" i="6"/>
  <c r="L32" i="6"/>
  <c r="L36" i="6"/>
  <c r="L37" i="6"/>
  <c r="L38" i="6"/>
  <c r="L39" i="6"/>
  <c r="L43" i="6"/>
  <c r="L44" i="6"/>
  <c r="L48" i="6"/>
  <c r="L51" i="6"/>
  <c r="L52" i="6"/>
  <c r="L59" i="6"/>
  <c r="L65" i="6"/>
  <c r="L66" i="6"/>
  <c r="J3" i="6"/>
  <c r="J4" i="6"/>
  <c r="J5" i="6"/>
  <c r="L5" i="6" s="1"/>
  <c r="J6" i="6"/>
  <c r="J7" i="6"/>
  <c r="J8" i="6"/>
  <c r="L8" i="6" s="1"/>
  <c r="J9" i="6"/>
  <c r="L9" i="6" s="1"/>
  <c r="J10" i="6"/>
  <c r="L10" i="6" s="1"/>
  <c r="J11" i="6"/>
  <c r="L11" i="6" s="1"/>
  <c r="J12" i="6"/>
  <c r="L12" i="6" s="1"/>
  <c r="J13" i="6"/>
  <c r="L13" i="6" s="1"/>
  <c r="J14" i="6"/>
  <c r="L14" i="6" s="1"/>
  <c r="J15" i="6"/>
  <c r="L15" i="6" s="1"/>
  <c r="J16" i="6"/>
  <c r="J17" i="6"/>
  <c r="L17" i="6" s="1"/>
  <c r="J18" i="6"/>
  <c r="L18" i="6" s="1"/>
  <c r="J19" i="6"/>
  <c r="L19" i="6" s="1"/>
  <c r="J20" i="6"/>
  <c r="J21" i="6"/>
  <c r="L21" i="6" s="1"/>
  <c r="J22" i="6"/>
  <c r="J23" i="6"/>
  <c r="J24" i="6"/>
  <c r="L24" i="6" s="1"/>
  <c r="J25" i="6"/>
  <c r="L25" i="6" s="1"/>
  <c r="J26" i="6"/>
  <c r="L26" i="6" s="1"/>
  <c r="J27" i="6"/>
  <c r="J28" i="6"/>
  <c r="J29" i="6"/>
  <c r="L29" i="6" s="1"/>
  <c r="J30" i="6"/>
  <c r="L30" i="6" s="1"/>
  <c r="J31" i="6"/>
  <c r="L31" i="6" s="1"/>
  <c r="J32" i="6"/>
  <c r="J33" i="6"/>
  <c r="L33" i="6" s="1"/>
  <c r="J34" i="6"/>
  <c r="L34" i="6" s="1"/>
  <c r="J35" i="6"/>
  <c r="L35" i="6" s="1"/>
  <c r="J36" i="6"/>
  <c r="J37" i="6"/>
  <c r="J38" i="6"/>
  <c r="J39" i="6"/>
  <c r="J40" i="6"/>
  <c r="L40" i="6" s="1"/>
  <c r="J41" i="6"/>
  <c r="L41" i="6" s="1"/>
  <c r="J42" i="6"/>
  <c r="L42" i="6" s="1"/>
  <c r="J43" i="6"/>
  <c r="J44" i="6"/>
  <c r="J45" i="6"/>
  <c r="L45" i="6" s="1"/>
  <c r="J46" i="6"/>
  <c r="L46" i="6" s="1"/>
  <c r="J47" i="6"/>
  <c r="L47" i="6" s="1"/>
  <c r="J48" i="6"/>
  <c r="J49" i="6"/>
  <c r="L49" i="6" s="1"/>
  <c r="J50" i="6"/>
  <c r="L50" i="6" s="1"/>
  <c r="J51" i="6"/>
  <c r="J52" i="6"/>
  <c r="J53" i="6"/>
  <c r="L53" i="6" s="1"/>
  <c r="J54" i="6"/>
  <c r="L54" i="6" s="1"/>
  <c r="J55" i="6"/>
  <c r="L55" i="6" s="1"/>
  <c r="J56" i="6"/>
  <c r="L56" i="6" s="1"/>
  <c r="J57" i="6"/>
  <c r="L57" i="6" s="1"/>
  <c r="J58" i="6"/>
  <c r="L58" i="6" s="1"/>
  <c r="J59" i="6"/>
  <c r="J60" i="6"/>
  <c r="L60" i="6" s="1"/>
  <c r="J62" i="6"/>
  <c r="L62" i="6" s="1"/>
  <c r="J63" i="6"/>
  <c r="L63" i="6" s="1"/>
  <c r="J64" i="6"/>
  <c r="L64" i="6" s="1"/>
  <c r="J65" i="6"/>
  <c r="J66" i="6"/>
  <c r="J67" i="6"/>
  <c r="L67" i="6" s="1"/>
  <c r="J68" i="6"/>
  <c r="L68" i="6" s="1"/>
  <c r="J69" i="6"/>
  <c r="L69" i="6" s="1"/>
  <c r="L25" i="7"/>
  <c r="L45" i="7"/>
  <c r="L56" i="7"/>
  <c r="J3" i="7"/>
  <c r="L3" i="7" s="1"/>
  <c r="J4" i="7"/>
  <c r="L4" i="7" s="1"/>
  <c r="J5" i="7"/>
  <c r="L5" i="7" s="1"/>
  <c r="J6" i="7"/>
  <c r="L6" i="7" s="1"/>
  <c r="J7" i="7"/>
  <c r="L7" i="7" s="1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L17" i="7" s="1"/>
  <c r="J18" i="7"/>
  <c r="L18" i="7" s="1"/>
  <c r="J19" i="7"/>
  <c r="L19" i="7" s="1"/>
  <c r="J20" i="7"/>
  <c r="L20" i="7" s="1"/>
  <c r="J21" i="7"/>
  <c r="L21" i="7" s="1"/>
  <c r="J22" i="7"/>
  <c r="L22" i="7" s="1"/>
  <c r="J23" i="7"/>
  <c r="L23" i="7" s="1"/>
  <c r="J24" i="7"/>
  <c r="L24" i="7" s="1"/>
  <c r="J25" i="7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35" i="7"/>
  <c r="L35" i="7" s="1"/>
  <c r="J36" i="7"/>
  <c r="L36" i="7" s="1"/>
  <c r="J37" i="7"/>
  <c r="L37" i="7" s="1"/>
  <c r="J38" i="7"/>
  <c r="L38" i="7" s="1"/>
  <c r="J39" i="7"/>
  <c r="L39" i="7" s="1"/>
  <c r="J40" i="7"/>
  <c r="L40" i="7" s="1"/>
  <c r="J41" i="7"/>
  <c r="L41" i="7" s="1"/>
  <c r="J42" i="7"/>
  <c r="L42" i="7" s="1"/>
  <c r="J43" i="7"/>
  <c r="L43" i="7" s="1"/>
  <c r="J44" i="7"/>
  <c r="L44" i="7" s="1"/>
  <c r="J45" i="7"/>
  <c r="J46" i="7"/>
  <c r="L46" i="7" s="1"/>
  <c r="J47" i="7"/>
  <c r="L47" i="7" s="1"/>
  <c r="J48" i="7"/>
  <c r="L48" i="7" s="1"/>
  <c r="J50" i="7"/>
  <c r="L50" i="7" s="1"/>
  <c r="J51" i="7"/>
  <c r="L51" i="7" s="1"/>
  <c r="J53" i="7"/>
  <c r="L53" i="7" s="1"/>
  <c r="J54" i="7"/>
  <c r="L54" i="7" s="1"/>
  <c r="J55" i="7"/>
  <c r="L55" i="7" s="1"/>
  <c r="J56" i="7"/>
  <c r="J57" i="7"/>
  <c r="L57" i="7" s="1"/>
  <c r="J58" i="7"/>
  <c r="L58" i="7" s="1"/>
  <c r="J59" i="7"/>
  <c r="L59" i="7" s="1"/>
  <c r="J60" i="7"/>
  <c r="L60" i="7" s="1"/>
  <c r="J61" i="7"/>
  <c r="L61" i="7" s="1"/>
  <c r="J62" i="7"/>
  <c r="L62" i="7" s="1"/>
  <c r="J63" i="7"/>
  <c r="L63" i="7" s="1"/>
  <c r="J64" i="7"/>
  <c r="L64" i="7" s="1"/>
  <c r="J65" i="7"/>
  <c r="L65" i="7" s="1"/>
  <c r="J66" i="7"/>
  <c r="L66" i="7" s="1"/>
  <c r="J67" i="7"/>
  <c r="L67" i="7" s="1"/>
  <c r="J68" i="7"/>
  <c r="L68" i="7" s="1"/>
  <c r="J69" i="7"/>
  <c r="L69" i="7" s="1"/>
  <c r="J70" i="7"/>
  <c r="L70" i="7" s="1"/>
  <c r="L3" i="8"/>
  <c r="L4" i="8"/>
  <c r="L10" i="8"/>
  <c r="L11" i="8"/>
  <c r="L12" i="8"/>
  <c r="L13" i="8"/>
  <c r="L18" i="8"/>
  <c r="L20" i="8"/>
  <c r="L21" i="8"/>
  <c r="L22" i="8"/>
  <c r="L23" i="8"/>
  <c r="L35" i="8"/>
  <c r="L42" i="8"/>
  <c r="L43" i="8"/>
  <c r="L58" i="8"/>
  <c r="L59" i="8"/>
  <c r="L60" i="8"/>
  <c r="J3" i="8"/>
  <c r="J4" i="8"/>
  <c r="J5" i="8"/>
  <c r="L5" i="8" s="1"/>
  <c r="J6" i="8"/>
  <c r="L6" i="8" s="1"/>
  <c r="J7" i="8"/>
  <c r="L7" i="8" s="1"/>
  <c r="J8" i="8"/>
  <c r="L8" i="8" s="1"/>
  <c r="J9" i="8"/>
  <c r="L9" i="8" s="1"/>
  <c r="J10" i="8"/>
  <c r="J11" i="8"/>
  <c r="J12" i="8"/>
  <c r="J13" i="8"/>
  <c r="J14" i="8"/>
  <c r="L14" i="8" s="1"/>
  <c r="J15" i="8"/>
  <c r="L15" i="8" s="1"/>
  <c r="J16" i="8"/>
  <c r="L16" i="8" s="1"/>
  <c r="J17" i="8"/>
  <c r="L17" i="8" s="1"/>
  <c r="J18" i="8"/>
  <c r="J19" i="8"/>
  <c r="L19" i="8" s="1"/>
  <c r="J20" i="8"/>
  <c r="J21" i="8"/>
  <c r="J22" i="8"/>
  <c r="J23" i="8"/>
  <c r="J24" i="8"/>
  <c r="L24" i="8" s="1"/>
  <c r="J25" i="8"/>
  <c r="L25" i="8" s="1"/>
  <c r="J26" i="8"/>
  <c r="L26" i="8" s="1"/>
  <c r="J27" i="8"/>
  <c r="L27" i="8" s="1"/>
  <c r="J28" i="8"/>
  <c r="L28" i="8" s="1"/>
  <c r="J29" i="8"/>
  <c r="L29" i="8" s="1"/>
  <c r="J30" i="8"/>
  <c r="L30" i="8" s="1"/>
  <c r="J31" i="8"/>
  <c r="L31" i="8" s="1"/>
  <c r="J32" i="8"/>
  <c r="L32" i="8" s="1"/>
  <c r="J33" i="8"/>
  <c r="L33" i="8" s="1"/>
  <c r="J34" i="8"/>
  <c r="L34" i="8" s="1"/>
  <c r="J35" i="8"/>
  <c r="J36" i="8"/>
  <c r="L36" i="8" s="1"/>
  <c r="J37" i="8"/>
  <c r="L37" i="8" s="1"/>
  <c r="J38" i="8"/>
  <c r="L38" i="8" s="1"/>
  <c r="J39" i="8"/>
  <c r="L39" i="8" s="1"/>
  <c r="J40" i="8"/>
  <c r="L40" i="8" s="1"/>
  <c r="J41" i="8"/>
  <c r="L41" i="8" s="1"/>
  <c r="J42" i="8"/>
  <c r="J43" i="8"/>
  <c r="J44" i="8"/>
  <c r="L44" i="8" s="1"/>
  <c r="J45" i="8"/>
  <c r="L45" i="8" s="1"/>
  <c r="J46" i="8"/>
  <c r="L46" i="8" s="1"/>
  <c r="J47" i="8"/>
  <c r="L47" i="8" s="1"/>
  <c r="J48" i="8"/>
  <c r="L48" i="8" s="1"/>
  <c r="J49" i="8"/>
  <c r="L49" i="8" s="1"/>
  <c r="J50" i="8"/>
  <c r="L50" i="8" s="1"/>
  <c r="J51" i="8"/>
  <c r="L51" i="8" s="1"/>
  <c r="J52" i="8"/>
  <c r="L52" i="8" s="1"/>
  <c r="J53" i="8"/>
  <c r="L53" i="8" s="1"/>
  <c r="J54" i="8"/>
  <c r="L54" i="8" s="1"/>
  <c r="J55" i="8"/>
  <c r="L55" i="8" s="1"/>
  <c r="J56" i="8"/>
  <c r="L56" i="8" s="1"/>
  <c r="J57" i="8"/>
  <c r="L57" i="8" s="1"/>
  <c r="J58" i="8"/>
  <c r="J59" i="8"/>
  <c r="J60" i="8"/>
  <c r="J61" i="8"/>
  <c r="L61" i="8" s="1"/>
  <c r="J62" i="8"/>
  <c r="L62" i="8" s="1"/>
  <c r="J63" i="8"/>
  <c r="L63" i="8" s="1"/>
  <c r="J64" i="8"/>
  <c r="L64" i="8" s="1"/>
  <c r="J65" i="8"/>
  <c r="L65" i="8" s="1"/>
  <c r="J67" i="8"/>
  <c r="L67" i="8" s="1"/>
  <c r="J68" i="8"/>
  <c r="L68" i="8" s="1"/>
  <c r="J69" i="8"/>
  <c r="L69" i="8" s="1"/>
  <c r="J70" i="8"/>
  <c r="L70" i="8" s="1"/>
  <c r="J71" i="8"/>
  <c r="L71" i="8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20" i="1" l="1"/>
  <c r="D21" i="1"/>
  <c r="D12" i="1"/>
  <c r="D19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<sst xmlns="http://schemas.openxmlformats.org/spreadsheetml/2006/main" count="2266" uniqueCount="131">
  <si>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</si>
  <si>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</si>
  <si>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</si>
  <si>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</si>
  <si>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</si>
  <si>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</si>
  <si>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</si>
  <si>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</si>
  <si>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</si>
  <si>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</si>
  <si>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</si>
  <si>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</si>
  <si>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</si>
  <si>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</si>
  <si>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</si>
  <si>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</si>
  <si>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</si>
  <si>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</si>
  <si>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</si>
  <si>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</si>
  <si>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</si>
  <si>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</si>
  <si>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</si>
  <si>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</si>
  <si>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</si>
  <si>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</si>
  <si>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</si>
  <si>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</si>
  <si>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</si>
  <si>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</si>
  <si>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</si>
  <si>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</si>
  <si>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</si>
  <si>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</si>
  <si>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</si>
  <si>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</si>
  <si>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</si>
  <si>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</si>
  <si>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</si>
  <si>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</si>
  <si>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</si>
  <si>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</si>
  <si>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</si>
  <si>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</si>
  <si>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</si>
  <si>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</si>
  <si>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</si>
  <si>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</si>
  <si>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</si>
  <si>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</si>
  <si>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</si>
  <si>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</si>
  <si>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</si>
  <si>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</si>
  <si>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</si>
  <si>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</si>
  <si>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</si>
  <si>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</si>
  <si>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</si>
  <si>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</si>
  <si>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</si>
  <si>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</si>
  <si>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</si>
  <si>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</si>
  <si>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</si>
  <si>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</si>
  <si>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</si>
  <si>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</si>
  <si>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</si>
  <si>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</si>
  <si>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</si>
  <si>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</si>
  <si>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</si>
  <si>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</si>
  <si>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</si>
  <si>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</si>
  <si>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</si>
  <si>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</si>
  <si>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</si>
  <si>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</si>
  <si>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</si>
  <si>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</si>
  <si>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</si>
  <si>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</si>
  <si>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</si>
  <si>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</si>
  <si>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</si>
  <si>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</si>
  <si>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</si>
  <si>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</si>
  <si>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</si>
  <si>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</si>
  <si>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</si>
  <si>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</si>
  <si>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</si>
  <si>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</si>
  <si>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</si>
  <si>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</si>
  <si>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</si>
  <si>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</si>
  <si>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</si>
  <si>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</si>
  <si>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3t 2h 49g</t>
  </si>
  <si>
    <t>1513g</t>
  </si>
  <si>
    <t>2238g</t>
  </si>
  <si>
    <t>9t 60g</t>
  </si>
  <si>
    <t>5921g</t>
  </si>
  <si>
    <t>4486.5g</t>
  </si>
  <si>
    <t>5t 2h 61g</t>
  </si>
  <si>
    <t>5866g</t>
  </si>
  <si>
    <t>4400g</t>
  </si>
  <si>
    <t>200g</t>
  </si>
  <si>
    <t>7t 50g</t>
  </si>
  <si>
    <t>190g</t>
  </si>
  <si>
    <t>118g</t>
  </si>
  <si>
    <t>440g</t>
  </si>
  <si>
    <t>21g</t>
  </si>
  <si>
    <t>108g</t>
  </si>
  <si>
    <t>162g</t>
  </si>
  <si>
    <t>3h 52g</t>
  </si>
  <si>
    <t>1762.5g</t>
  </si>
  <si>
    <t>702g</t>
  </si>
  <si>
    <t>4t 2h 37g</t>
  </si>
  <si>
    <t>6396g</t>
  </si>
  <si>
    <t>1945g</t>
  </si>
  <si>
    <t>19g</t>
  </si>
  <si>
    <t>35g</t>
  </si>
  <si>
    <t>2h 13.75g</t>
  </si>
  <si>
    <t>60g</t>
  </si>
  <si>
    <t>113g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</si>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</sst>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0.11741071428571428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0.26250000000000001</v>
      </c>
      <c r="D2">
        <f>B2+C2</f>
        <v>0.37991071428571432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0.38749999999999996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0.38749999999999996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17768.628571428573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6702.5294642857143</v>
      </c>
      <c r="D4">
        <f t="shared" si="0"/>
        <v>24471.158035714288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6.160714285714286E-2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1.7410714285714286E-2</v>
      </c>
      <c r="D5">
        <f t="shared" si="0"/>
        <v>7.901785714285714E-2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12.283928571428572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62.13348214285714</v>
      </c>
      <c r="D6">
        <f t="shared" si="0"/>
        <v>74.417410714285708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178.58616071428571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407.27723214285714</v>
      </c>
      <c r="D7">
        <f t="shared" si="0"/>
        <v>585.8633928571428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327.39598214285712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20.404017857142858</v>
      </c>
      <c r="D8">
        <f t="shared" si="0"/>
        <v>347.79999999999995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27.917410714285715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5.9875000000000007</v>
      </c>
      <c r="D9">
        <f t="shared" si="0"/>
        <v>33.90491071428572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63.657589285714288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56.371651785714292</v>
      </c>
      <c r="D10">
        <f t="shared" si="0"/>
        <v>120.02924107142857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40.40625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0.77500000000000002</v>
      </c>
      <c r="D11">
        <f t="shared" si="0"/>
        <v>41.181249999999999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61.131696428571423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37.37321428571429</v>
      </c>
      <c r="D12">
        <f t="shared" si="0"/>
        <v>98.504910714285714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125.63437500000001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82.472321428571419</v>
      </c>
      <c r="D13">
        <f t="shared" si="0"/>
        <v>208.10669642857141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78.728125000000006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33.90491071428572</v>
      </c>
      <c r="D14">
        <f t="shared" si="0"/>
        <v>112.63303571428573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29.610714285714288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38.444642857142853</v>
      </c>
      <c r="D15">
        <f t="shared" si="0"/>
        <v>68.055357142857133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52.167187500000004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13.204241071428573</v>
      </c>
      <c r="D16">
        <f t="shared" si="0"/>
        <v>65.371428571428581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6.0785714285714283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0.55000000000000004</v>
      </c>
      <c r="D17">
        <f t="shared" si="0"/>
        <v>6.6285714285714281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1.6187500000000001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0.42901785714285712</v>
      </c>
      <c r="D18">
        <f t="shared" si="0"/>
        <v>2.0477678571428575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2.297767857142857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</v>
      </c>
      <c r="D19">
        <f t="shared" si="0"/>
        <v>2.297767857142857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1.3504464285714284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1.4850446428571429</v>
      </c>
      <c r="D20">
        <f t="shared" si="0"/>
        <v>2.8354910714285713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13.047321428571429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5.7013392857142859</v>
      </c>
      <c r="D21">
        <f t="shared" si="0"/>
        <v>18.748660714285716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27.085714285714285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17.458928571428572</v>
      </c>
      <c r="D25">
        <f t="shared" si="0"/>
        <v>44.544642857142861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29.641071428571429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7.0229910714285708</v>
      </c>
      <c r="D26">
        <f t="shared" si="0"/>
        <v>36.6640625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14.862500000000001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14.862500000000001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157.96919642857142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248.36562499999999</v>
      </c>
      <c r="D28">
        <f t="shared" si="0"/>
        <v>406.33482142857144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338.73883928571428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386.36071428571427</v>
      </c>
      <c r="D29">
        <f t="shared" si="0"/>
        <v>725.09955357142849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1.825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1.6973214285714286</v>
      </c>
      <c r="D30">
        <f t="shared" si="0"/>
        <v>3.5223214285714288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76</v>
      </c>
      <c r="D2" t="s">
        <v>33</v>
      </c>
    </row>
    <row r="3" spans="1:12" x14ac:dyDescent="0.25">
      <c r="B3" t="s">
        <v>57</v>
      </c>
      <c r="C3" t="s">
        <v>76</v>
      </c>
      <c r="D3" t="s">
        <v>33</v>
      </c>
    </row>
    <row r="4" spans="1:12" x14ac:dyDescent="0.25">
      <c r="B4" t="s">
        <v>36</v>
      </c>
      <c r="C4" t="s">
        <v>76</v>
      </c>
      <c r="D4" t="s">
        <v>33</v>
      </c>
    </row>
    <row r="5" spans="1:12" x14ac:dyDescent="0.25">
      <c r="B5" t="s">
        <v>4</v>
      </c>
      <c r="C5" t="s">
        <v>76</v>
      </c>
      <c r="D5" t="s">
        <v>33</v>
      </c>
    </row>
    <row r="6" spans="1:12" x14ac:dyDescent="0.25">
      <c r="B6" t="s">
        <v>58</v>
      </c>
      <c r="C6" t="s">
        <v>76</v>
      </c>
      <c r="D6" t="s">
        <v>33</v>
      </c>
    </row>
    <row r="7" spans="1:12" x14ac:dyDescent="0.25">
      <c r="B7" t="s">
        <v>69</v>
      </c>
      <c r="C7" t="s">
        <v>76</v>
      </c>
      <c r="D7" t="s">
        <v>33</v>
      </c>
    </row>
    <row r="8" spans="1:12" x14ac:dyDescent="0.25">
      <c r="B8" t="s">
        <v>43</v>
      </c>
      <c r="C8" t="s">
        <v>76</v>
      </c>
      <c r="D8" t="s">
        <v>33</v>
      </c>
    </row>
    <row r="9" spans="1:12" x14ac:dyDescent="0.25">
      <c r="B9" t="s">
        <v>77</v>
      </c>
      <c r="C9" t="s">
        <v>76</v>
      </c>
      <c r="D9" t="s">
        <v>33</v>
      </c>
    </row>
    <row r="10" spans="1:12" x14ac:dyDescent="0.25">
      <c r="B10" t="s">
        <v>5</v>
      </c>
      <c r="C10" t="s">
        <v>76</v>
      </c>
      <c r="D10" t="s">
        <v>33</v>
      </c>
    </row>
    <row r="11" spans="1:12" x14ac:dyDescent="0.25">
      <c r="B11" t="s">
        <v>59</v>
      </c>
      <c r="C11" t="s">
        <v>76</v>
      </c>
      <c r="D11" t="s">
        <v>33</v>
      </c>
    </row>
    <row r="12" spans="1:12" x14ac:dyDescent="0.25">
      <c r="B12" t="s">
        <v>6</v>
      </c>
      <c r="C12" t="s">
        <v>76</v>
      </c>
      <c r="D12" t="s">
        <v>33</v>
      </c>
    </row>
    <row r="13" spans="1:12" x14ac:dyDescent="0.25">
      <c r="B13" t="s">
        <v>60</v>
      </c>
      <c r="C13" t="s">
        <v>76</v>
      </c>
      <c r="D13" t="s">
        <v>33</v>
      </c>
    </row>
    <row r="14" spans="1:12" x14ac:dyDescent="0.25">
      <c r="B14" t="s">
        <v>38</v>
      </c>
      <c r="C14" t="s">
        <v>76</v>
      </c>
      <c r="D14" t="s">
        <v>33</v>
      </c>
    </row>
    <row r="15" spans="1:12" x14ac:dyDescent="0.25">
      <c r="B15" t="s">
        <v>37</v>
      </c>
      <c r="C15" t="s">
        <v>76</v>
      </c>
      <c r="D15" t="s">
        <v>33</v>
      </c>
    </row>
    <row r="16" spans="1:12" x14ac:dyDescent="0.25">
      <c r="B16" t="s">
        <v>8</v>
      </c>
      <c r="C16" t="s">
        <v>76</v>
      </c>
      <c r="D16" t="s">
        <v>33</v>
      </c>
    </row>
    <row r="17" spans="2:4" x14ac:dyDescent="0.25">
      <c r="B17" t="s">
        <v>40</v>
      </c>
      <c r="C17" t="s">
        <v>76</v>
      </c>
      <c r="D17" t="s">
        <v>33</v>
      </c>
    </row>
    <row r="18" spans="2:4" x14ac:dyDescent="0.25">
      <c r="B18" t="s">
        <v>78</v>
      </c>
      <c r="C18" t="s">
        <v>76</v>
      </c>
      <c r="D18" t="s">
        <v>33</v>
      </c>
    </row>
    <row r="19" spans="2:4" x14ac:dyDescent="0.25">
      <c r="B19" t="s">
        <v>79</v>
      </c>
      <c r="C19" t="s">
        <v>76</v>
      </c>
      <c r="D19" t="s">
        <v>33</v>
      </c>
    </row>
    <row r="20" spans="2:4" x14ac:dyDescent="0.25">
      <c r="B20" t="s">
        <v>46</v>
      </c>
      <c r="C20" t="s">
        <v>76</v>
      </c>
      <c r="D20" t="s">
        <v>33</v>
      </c>
    </row>
    <row r="21" spans="2:4" x14ac:dyDescent="0.25">
      <c r="B21" t="s">
        <v>9</v>
      </c>
      <c r="C21" t="s">
        <v>76</v>
      </c>
      <c r="D21" t="s">
        <v>33</v>
      </c>
    </row>
    <row r="22" spans="2:4" x14ac:dyDescent="0.25">
      <c r="B22" t="s">
        <v>10</v>
      </c>
      <c r="C22" t="s">
        <v>76</v>
      </c>
      <c r="D22" t="s">
        <v>33</v>
      </c>
    </row>
    <row r="23" spans="2:4" x14ac:dyDescent="0.25">
      <c r="B23" t="s">
        <v>11</v>
      </c>
      <c r="C23" t="s">
        <v>76</v>
      </c>
      <c r="D23" t="s">
        <v>33</v>
      </c>
    </row>
    <row r="24" spans="2:4" x14ac:dyDescent="0.25">
      <c r="B24" t="s">
        <v>39</v>
      </c>
      <c r="C24" t="s">
        <v>76</v>
      </c>
      <c r="D24" t="s">
        <v>33</v>
      </c>
    </row>
    <row r="25" spans="2:4" x14ac:dyDescent="0.25">
      <c r="B25" t="s">
        <v>80</v>
      </c>
      <c r="C25" t="s">
        <v>76</v>
      </c>
      <c r="D25" t="s">
        <v>33</v>
      </c>
    </row>
    <row r="26" spans="2:4" x14ac:dyDescent="0.25">
      <c r="B26" t="s">
        <v>81</v>
      </c>
      <c r="C26" t="s">
        <v>76</v>
      </c>
      <c r="D26" t="s">
        <v>33</v>
      </c>
    </row>
    <row r="27" spans="2:4" x14ac:dyDescent="0.25">
      <c r="B27" t="s">
        <v>44</v>
      </c>
      <c r="C27" t="s">
        <v>76</v>
      </c>
      <c r="D27" t="s">
        <v>33</v>
      </c>
    </row>
    <row r="28" spans="2:4" x14ac:dyDescent="0.25">
      <c r="B28" t="s">
        <v>82</v>
      </c>
      <c r="C28" t="s">
        <v>76</v>
      </c>
      <c r="D28" t="s">
        <v>33</v>
      </c>
    </row>
    <row r="29" spans="2:4" x14ac:dyDescent="0.25">
      <c r="B29" t="s">
        <v>83</v>
      </c>
      <c r="C29" t="s">
        <v>76</v>
      </c>
      <c r="D29" t="s">
        <v>33</v>
      </c>
    </row>
    <row r="30" spans="2:4" x14ac:dyDescent="0.25">
      <c r="B30" t="s">
        <v>84</v>
      </c>
      <c r="C30" t="s">
        <v>76</v>
      </c>
      <c r="D30" t="s">
        <v>33</v>
      </c>
    </row>
    <row r="31" spans="2:4" x14ac:dyDescent="0.25">
      <c r="B31" t="s">
        <v>34</v>
      </c>
      <c r="C31" t="s">
        <v>76</v>
      </c>
      <c r="D31" t="s">
        <v>33</v>
      </c>
    </row>
    <row r="32" spans="2:4" x14ac:dyDescent="0.25">
      <c r="B32" t="s">
        <v>13</v>
      </c>
      <c r="C32" t="s">
        <v>76</v>
      </c>
      <c r="D32" t="s">
        <v>33</v>
      </c>
    </row>
    <row r="33" spans="2:4" x14ac:dyDescent="0.25">
      <c r="B33" t="s">
        <v>14</v>
      </c>
      <c r="C33" t="s">
        <v>76</v>
      </c>
      <c r="D33" t="s">
        <v>33</v>
      </c>
    </row>
    <row r="34" spans="2:4" x14ac:dyDescent="0.25">
      <c r="B34" t="s">
        <v>23</v>
      </c>
      <c r="C34" t="s">
        <v>76</v>
      </c>
      <c r="D34" t="s">
        <v>33</v>
      </c>
    </row>
    <row r="35" spans="2:4" x14ac:dyDescent="0.25">
      <c r="B35" t="s">
        <v>27</v>
      </c>
      <c r="C35" t="s">
        <v>76</v>
      </c>
      <c r="D35" t="s">
        <v>33</v>
      </c>
    </row>
    <row r="36" spans="2:4" x14ac:dyDescent="0.25">
      <c r="B36" t="s">
        <v>15</v>
      </c>
      <c r="C36" t="s">
        <v>76</v>
      </c>
      <c r="D36" t="s">
        <v>33</v>
      </c>
    </row>
    <row r="37" spans="2:4" x14ac:dyDescent="0.25">
      <c r="B37" t="s">
        <v>42</v>
      </c>
      <c r="C37" t="s">
        <v>76</v>
      </c>
      <c r="D37" t="s">
        <v>33</v>
      </c>
    </row>
    <row r="38" spans="2:4" x14ac:dyDescent="0.25">
      <c r="B38" t="s">
        <v>85</v>
      </c>
      <c r="C38" t="s">
        <v>76</v>
      </c>
      <c r="D38" t="s">
        <v>33</v>
      </c>
    </row>
    <row r="39" spans="2:4" x14ac:dyDescent="0.25">
      <c r="B39" t="s">
        <v>47</v>
      </c>
      <c r="C39" t="s">
        <v>76</v>
      </c>
      <c r="D39" t="s">
        <v>33</v>
      </c>
    </row>
    <row r="40" spans="2:4" x14ac:dyDescent="0.25">
      <c r="B40" t="s">
        <v>16</v>
      </c>
      <c r="C40" t="s">
        <v>76</v>
      </c>
      <c r="D40" t="s">
        <v>33</v>
      </c>
    </row>
    <row r="41" spans="2:4" x14ac:dyDescent="0.25">
      <c r="B41" t="s">
        <v>17</v>
      </c>
      <c r="C41" t="s">
        <v>76</v>
      </c>
      <c r="D41" t="s">
        <v>33</v>
      </c>
    </row>
    <row r="42" spans="2:4" x14ac:dyDescent="0.25">
      <c r="B42" t="s">
        <v>18</v>
      </c>
      <c r="C42" t="s">
        <v>76</v>
      </c>
      <c r="D42" t="s">
        <v>33</v>
      </c>
    </row>
    <row r="43" spans="2:4" x14ac:dyDescent="0.25">
      <c r="B43" t="s">
        <v>26</v>
      </c>
      <c r="C43" t="s">
        <v>76</v>
      </c>
      <c r="D43" t="s">
        <v>33</v>
      </c>
    </row>
    <row r="44" spans="2:4" x14ac:dyDescent="0.25">
      <c r="B44" t="s">
        <v>86</v>
      </c>
      <c r="C44" t="s">
        <v>76</v>
      </c>
      <c r="D44" t="s">
        <v>33</v>
      </c>
    </row>
    <row r="45" spans="2:4" x14ac:dyDescent="0.25">
      <c r="B45" t="s">
        <v>19</v>
      </c>
      <c r="C45" t="s">
        <v>76</v>
      </c>
      <c r="D45" t="s">
        <v>33</v>
      </c>
    </row>
    <row r="46" spans="2:4" x14ac:dyDescent="0.25">
      <c r="B46" t="s">
        <v>45</v>
      </c>
      <c r="C46" t="s">
        <v>76</v>
      </c>
      <c r="D46" t="s">
        <v>33</v>
      </c>
    </row>
    <row r="47" spans="2:4" x14ac:dyDescent="0.25">
      <c r="B47" t="s">
        <v>87</v>
      </c>
      <c r="C47" t="s">
        <v>76</v>
      </c>
      <c r="D47" t="s">
        <v>33</v>
      </c>
    </row>
    <row r="48" spans="2:4" x14ac:dyDescent="0.25">
      <c r="B48" t="s">
        <v>54</v>
      </c>
      <c r="C48" t="s">
        <v>76</v>
      </c>
      <c r="D48" t="s">
        <v>33</v>
      </c>
    </row>
    <row r="49" spans="2:4" x14ac:dyDescent="0.25">
      <c r="B49" t="s">
        <v>88</v>
      </c>
      <c r="C49" t="s">
        <v>76</v>
      </c>
      <c r="D49" t="s">
        <v>33</v>
      </c>
    </row>
    <row r="50" spans="2:4" x14ac:dyDescent="0.25">
      <c r="B50" t="s">
        <v>20</v>
      </c>
      <c r="C50" t="s">
        <v>76</v>
      </c>
      <c r="D50" t="s">
        <v>33</v>
      </c>
    </row>
    <row r="51" spans="2:4" x14ac:dyDescent="0.25">
      <c r="B51" t="s">
        <v>21</v>
      </c>
      <c r="C51" t="s">
        <v>76</v>
      </c>
      <c r="D51" t="s">
        <v>33</v>
      </c>
    </row>
    <row r="52" spans="2:4" x14ac:dyDescent="0.25">
      <c r="B52" t="s">
        <v>22</v>
      </c>
      <c r="C52" t="s">
        <v>76</v>
      </c>
      <c r="D52" t="s">
        <v>33</v>
      </c>
    </row>
    <row r="53" spans="2:4" x14ac:dyDescent="0.25">
      <c r="B53" t="s">
        <v>61</v>
      </c>
      <c r="C53" t="s">
        <v>76</v>
      </c>
      <c r="D53" t="s">
        <v>33</v>
      </c>
    </row>
    <row r="54" spans="2:4" x14ac:dyDescent="0.25">
      <c r="B54" t="s">
        <v>89</v>
      </c>
      <c r="C54" t="s">
        <v>76</v>
      </c>
      <c r="D54" t="s">
        <v>33</v>
      </c>
    </row>
    <row r="55" spans="2:4" x14ac:dyDescent="0.25">
      <c r="B55" t="s">
        <v>62</v>
      </c>
      <c r="C55" t="s">
        <v>76</v>
      </c>
      <c r="D55" t="s">
        <v>33</v>
      </c>
    </row>
    <row r="56" spans="2:4" x14ac:dyDescent="0.25">
      <c r="B56" t="s">
        <v>90</v>
      </c>
      <c r="C56" t="s">
        <v>76</v>
      </c>
      <c r="D56" t="s">
        <v>33</v>
      </c>
    </row>
    <row r="57" spans="2:4" x14ac:dyDescent="0.25">
      <c r="B57" t="s">
        <v>63</v>
      </c>
      <c r="C57" t="s">
        <v>76</v>
      </c>
      <c r="D57" t="s">
        <v>33</v>
      </c>
    </row>
    <row r="58" spans="2:4" x14ac:dyDescent="0.25">
      <c r="B58" t="s">
        <v>91</v>
      </c>
      <c r="C58" t="s">
        <v>76</v>
      </c>
      <c r="D58" t="s">
        <v>33</v>
      </c>
    </row>
    <row r="59" spans="2:4" x14ac:dyDescent="0.25">
      <c r="B59" t="s">
        <v>71</v>
      </c>
      <c r="C59" t="s">
        <v>76</v>
      </c>
      <c r="D59" t="s">
        <v>33</v>
      </c>
    </row>
    <row r="60" spans="2:4" x14ac:dyDescent="0.25">
      <c r="B60" t="s">
        <v>64</v>
      </c>
      <c r="C60" t="s">
        <v>76</v>
      </c>
      <c r="D60" t="s">
        <v>33</v>
      </c>
    </row>
    <row r="61" spans="2:4" x14ac:dyDescent="0.25">
      <c r="B61" t="s">
        <v>65</v>
      </c>
      <c r="C61" t="s">
        <v>76</v>
      </c>
      <c r="D61" t="s">
        <v>33</v>
      </c>
    </row>
    <row r="62" spans="2:4" x14ac:dyDescent="0.25">
      <c r="B62" t="s">
        <v>4</v>
      </c>
      <c r="C62" t="s">
        <v>76</v>
      </c>
      <c r="D62" t="s">
        <v>35</v>
      </c>
    </row>
    <row r="63" spans="2:4" x14ac:dyDescent="0.25">
      <c r="B63" t="s">
        <v>6</v>
      </c>
      <c r="C63" t="s">
        <v>76</v>
      </c>
      <c r="D63" t="s">
        <v>35</v>
      </c>
    </row>
    <row r="64" spans="2:4" x14ac:dyDescent="0.25">
      <c r="B64" t="s">
        <v>60</v>
      </c>
      <c r="C64" t="s">
        <v>76</v>
      </c>
      <c r="D64" t="s">
        <v>35</v>
      </c>
    </row>
    <row r="65" spans="2:4" x14ac:dyDescent="0.25">
      <c r="B65" t="s">
        <v>7</v>
      </c>
      <c r="C65" t="s">
        <v>76</v>
      </c>
      <c r="D65" t="s">
        <v>35</v>
      </c>
    </row>
    <row r="66" spans="2:4" x14ac:dyDescent="0.25">
      <c r="B66" t="s">
        <v>8</v>
      </c>
      <c r="C66" t="s">
        <v>76</v>
      </c>
      <c r="D66" t="s">
        <v>35</v>
      </c>
    </row>
    <row r="67" spans="2:4" x14ac:dyDescent="0.25">
      <c r="B67" t="s">
        <v>9</v>
      </c>
      <c r="C67" t="s">
        <v>76</v>
      </c>
      <c r="D67" t="s">
        <v>35</v>
      </c>
    </row>
    <row r="68" spans="2:4" x14ac:dyDescent="0.25">
      <c r="B68" t="s">
        <v>10</v>
      </c>
      <c r="C68" t="s">
        <v>76</v>
      </c>
      <c r="D68" t="s">
        <v>35</v>
      </c>
    </row>
    <row r="69" spans="2:4" x14ac:dyDescent="0.25">
      <c r="B69" t="s">
        <v>11</v>
      </c>
      <c r="C69" t="s">
        <v>76</v>
      </c>
      <c r="D69" t="s">
        <v>35</v>
      </c>
    </row>
    <row r="70" spans="2:4" x14ac:dyDescent="0.25">
      <c r="B70" t="s">
        <v>12</v>
      </c>
      <c r="C70" t="s">
        <v>76</v>
      </c>
      <c r="D70" t="s">
        <v>35</v>
      </c>
    </row>
    <row r="71" spans="2:4" x14ac:dyDescent="0.25">
      <c r="B71" t="s">
        <v>13</v>
      </c>
      <c r="C71" t="s">
        <v>76</v>
      </c>
      <c r="D71" t="s">
        <v>35</v>
      </c>
    </row>
    <row r="72" spans="2:4" x14ac:dyDescent="0.25">
      <c r="B72" t="s">
        <v>14</v>
      </c>
      <c r="C72" t="s">
        <v>76</v>
      </c>
      <c r="D72" t="s">
        <v>35</v>
      </c>
    </row>
    <row r="73" spans="2:4" x14ac:dyDescent="0.25">
      <c r="B73" t="s">
        <v>27</v>
      </c>
      <c r="C73" t="s">
        <v>76</v>
      </c>
      <c r="D73" t="s">
        <v>35</v>
      </c>
    </row>
    <row r="74" spans="2:4" x14ac:dyDescent="0.25">
      <c r="B74" t="s">
        <v>15</v>
      </c>
      <c r="C74" t="s">
        <v>76</v>
      </c>
      <c r="D74" t="s">
        <v>35</v>
      </c>
    </row>
    <row r="75" spans="2:4" x14ac:dyDescent="0.25">
      <c r="B75" t="s">
        <v>16</v>
      </c>
      <c r="C75" t="s">
        <v>76</v>
      </c>
      <c r="D75" t="s">
        <v>35</v>
      </c>
    </row>
    <row r="76" spans="2:4" x14ac:dyDescent="0.25">
      <c r="B76" t="s">
        <v>17</v>
      </c>
      <c r="C76" t="s">
        <v>76</v>
      </c>
      <c r="D76" t="s">
        <v>35</v>
      </c>
    </row>
    <row r="77" spans="2:4" x14ac:dyDescent="0.25">
      <c r="B77" t="s">
        <v>18</v>
      </c>
      <c r="C77" t="s">
        <v>76</v>
      </c>
      <c r="D77" t="s">
        <v>35</v>
      </c>
    </row>
    <row r="78" spans="2:4" x14ac:dyDescent="0.25">
      <c r="B78" t="s">
        <v>19</v>
      </c>
      <c r="C78" t="s">
        <v>76</v>
      </c>
      <c r="D78" t="s">
        <v>35</v>
      </c>
    </row>
    <row r="79" spans="2:4" x14ac:dyDescent="0.25">
      <c r="B79" t="s">
        <v>45</v>
      </c>
      <c r="C79" t="s">
        <v>76</v>
      </c>
      <c r="D79" t="s">
        <v>35</v>
      </c>
    </row>
    <row r="80" spans="2:4" x14ac:dyDescent="0.25">
      <c r="B80" t="s">
        <v>54</v>
      </c>
      <c r="C80" t="s">
        <v>76</v>
      </c>
      <c r="D80" t="s">
        <v>35</v>
      </c>
    </row>
    <row r="81" spans="2:4" x14ac:dyDescent="0.25">
      <c r="B81" t="s">
        <v>72</v>
      </c>
      <c r="C81" t="s">
        <v>76</v>
      </c>
      <c r="D81" t="s">
        <v>35</v>
      </c>
    </row>
    <row r="82" spans="2:4" x14ac:dyDescent="0.25">
      <c r="B82" t="s">
        <v>21</v>
      </c>
      <c r="C82" t="s">
        <v>76</v>
      </c>
      <c r="D82" t="s">
        <v>35</v>
      </c>
    </row>
    <row r="83" spans="2:4" x14ac:dyDescent="0.25">
      <c r="B83" t="s">
        <v>22</v>
      </c>
      <c r="C83" t="s">
        <v>76</v>
      </c>
      <c r="D83" t="s">
        <v>35</v>
      </c>
    </row>
    <row r="84" spans="2:4" x14ac:dyDescent="0.25">
      <c r="B84" t="s">
        <v>61</v>
      </c>
      <c r="C84" t="s">
        <v>76</v>
      </c>
      <c r="D84" t="s">
        <v>35</v>
      </c>
    </row>
    <row r="85" spans="2:4" x14ac:dyDescent="0.25">
      <c r="B85" t="s">
        <v>62</v>
      </c>
      <c r="C85" t="s">
        <v>76</v>
      </c>
      <c r="D85" t="s">
        <v>35</v>
      </c>
    </row>
    <row r="86" spans="2:4" x14ac:dyDescent="0.25">
      <c r="B86" t="s">
        <v>63</v>
      </c>
      <c r="C86" t="s">
        <v>76</v>
      </c>
      <c r="D86" t="s">
        <v>35</v>
      </c>
    </row>
    <row r="87" spans="2:4" x14ac:dyDescent="0.25">
      <c r="B87" t="s">
        <v>71</v>
      </c>
      <c r="C87" t="s">
        <v>76</v>
      </c>
      <c r="D87" t="s">
        <v>35</v>
      </c>
    </row>
    <row r="88" spans="2:4" x14ac:dyDescent="0.25">
      <c r="B88" t="s">
        <v>64</v>
      </c>
      <c r="C88" t="s">
        <v>76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97"/>
  <sheetViews>
    <sheetView topLeftCell="A82" workbookViewId="0">
      <selection activeCell="H83" sqref="H83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1713</v>
      </c>
      <c r="B2" t="s">
        <v>55</v>
      </c>
      <c r="C2" t="s">
        <v>53</v>
      </c>
      <c r="D2" t="s">
        <v>33</v>
      </c>
      <c r="J2">
        <f t="shared" ref="J2:J65" si="0">(E2*2240)+(F2*112)+(G2*28)+H2</f>
        <v>0</v>
      </c>
      <c r="L2">
        <f t="shared" ref="L2:L65" si="1">J2/2240</f>
        <v>0</v>
      </c>
    </row>
    <row r="3" spans="1:15" x14ac:dyDescent="0.25">
      <c r="A3">
        <v>1713</v>
      </c>
      <c r="B3" t="s">
        <v>57</v>
      </c>
      <c r="C3" t="s">
        <v>53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1713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1713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1713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1713</v>
      </c>
      <c r="B7" t="s">
        <v>93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1713</v>
      </c>
      <c r="B8" t="s">
        <v>43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1713</v>
      </c>
      <c r="B9" t="s">
        <v>5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1713</v>
      </c>
      <c r="B10" t="s">
        <v>59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1713</v>
      </c>
      <c r="B11" t="s">
        <v>6</v>
      </c>
      <c r="C11" t="s">
        <v>53</v>
      </c>
      <c r="D11" t="s">
        <v>33</v>
      </c>
      <c r="F11">
        <v>98862</v>
      </c>
      <c r="G11">
        <v>3</v>
      </c>
      <c r="H11">
        <v>5</v>
      </c>
      <c r="J11">
        <f t="shared" si="0"/>
        <v>11072633</v>
      </c>
      <c r="L11">
        <f t="shared" si="1"/>
        <v>4943.1397321428567</v>
      </c>
    </row>
    <row r="12" spans="1:15" x14ac:dyDescent="0.25">
      <c r="A12">
        <v>1713</v>
      </c>
      <c r="B12" t="s">
        <v>60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1713</v>
      </c>
      <c r="B13" t="s">
        <v>7</v>
      </c>
      <c r="C13" t="s">
        <v>53</v>
      </c>
      <c r="D13" t="s">
        <v>33</v>
      </c>
      <c r="H13">
        <v>3</v>
      </c>
      <c r="J13">
        <f t="shared" si="0"/>
        <v>3</v>
      </c>
      <c r="L13">
        <f t="shared" si="1"/>
        <v>1.3392857142857143E-3</v>
      </c>
    </row>
    <row r="14" spans="1:15" x14ac:dyDescent="0.25">
      <c r="A14">
        <v>1713</v>
      </c>
      <c r="B14" t="s">
        <v>37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1713</v>
      </c>
      <c r="B15" t="s">
        <v>8</v>
      </c>
      <c r="C15" t="s">
        <v>53</v>
      </c>
      <c r="D15" t="s">
        <v>33</v>
      </c>
      <c r="F15">
        <v>1</v>
      </c>
      <c r="G15">
        <v>1</v>
      </c>
      <c r="H15">
        <v>27</v>
      </c>
      <c r="J15">
        <f t="shared" si="0"/>
        <v>167</v>
      </c>
      <c r="L15">
        <f t="shared" si="1"/>
        <v>7.4553571428571427E-2</v>
      </c>
    </row>
    <row r="16" spans="1:15" x14ac:dyDescent="0.25">
      <c r="A16">
        <v>1713</v>
      </c>
      <c r="B16" t="s">
        <v>40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1713</v>
      </c>
      <c r="B17" t="s">
        <v>79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1713</v>
      </c>
      <c r="B18" t="s">
        <v>9</v>
      </c>
      <c r="C18" t="s">
        <v>53</v>
      </c>
      <c r="D18" t="s">
        <v>33</v>
      </c>
      <c r="H18">
        <v>167666</v>
      </c>
      <c r="J18">
        <f t="shared" si="0"/>
        <v>167666</v>
      </c>
      <c r="L18">
        <f t="shared" si="1"/>
        <v>74.850892857142853</v>
      </c>
    </row>
    <row r="19" spans="1:12" x14ac:dyDescent="0.25">
      <c r="A19">
        <v>1713</v>
      </c>
      <c r="B19" t="s">
        <v>10</v>
      </c>
      <c r="C19" t="s">
        <v>53</v>
      </c>
      <c r="D19" t="s">
        <v>33</v>
      </c>
      <c r="F19">
        <v>355</v>
      </c>
      <c r="G19">
        <v>2</v>
      </c>
      <c r="H19">
        <v>3</v>
      </c>
      <c r="J19">
        <f t="shared" si="0"/>
        <v>39819</v>
      </c>
      <c r="L19">
        <f t="shared" si="1"/>
        <v>17.776339285714286</v>
      </c>
    </row>
    <row r="20" spans="1:12" x14ac:dyDescent="0.25">
      <c r="A20">
        <v>1713</v>
      </c>
      <c r="B20" t="s">
        <v>11</v>
      </c>
      <c r="C20" t="s">
        <v>53</v>
      </c>
      <c r="D20" t="s">
        <v>33</v>
      </c>
      <c r="F20">
        <v>112</v>
      </c>
      <c r="G20">
        <v>1</v>
      </c>
      <c r="H20">
        <v>21</v>
      </c>
      <c r="J20">
        <f t="shared" si="0"/>
        <v>12593</v>
      </c>
      <c r="L20">
        <f t="shared" si="1"/>
        <v>5.6218750000000002</v>
      </c>
    </row>
    <row r="21" spans="1:12" x14ac:dyDescent="0.25">
      <c r="A21">
        <v>1713</v>
      </c>
      <c r="B21" t="s">
        <v>39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1713</v>
      </c>
      <c r="B22" t="s">
        <v>44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1713</v>
      </c>
      <c r="B23" t="s">
        <v>12</v>
      </c>
      <c r="C23" t="s">
        <v>53</v>
      </c>
      <c r="D23" t="s">
        <v>33</v>
      </c>
      <c r="H23">
        <v>573</v>
      </c>
      <c r="J23">
        <f t="shared" si="0"/>
        <v>573</v>
      </c>
      <c r="L23">
        <f t="shared" si="1"/>
        <v>0.25580357142857141</v>
      </c>
    </row>
    <row r="24" spans="1:12" x14ac:dyDescent="0.25">
      <c r="A24">
        <v>1713</v>
      </c>
      <c r="B24" t="s">
        <v>34</v>
      </c>
      <c r="C24" t="s">
        <v>53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1713</v>
      </c>
      <c r="B25" t="s">
        <v>13</v>
      </c>
      <c r="C25" t="s">
        <v>53</v>
      </c>
      <c r="D25" t="s">
        <v>33</v>
      </c>
      <c r="F25">
        <v>585</v>
      </c>
      <c r="H25">
        <v>16</v>
      </c>
      <c r="J25">
        <f t="shared" si="0"/>
        <v>65536</v>
      </c>
      <c r="L25">
        <f t="shared" si="1"/>
        <v>29.257142857142856</v>
      </c>
    </row>
    <row r="26" spans="1:12" x14ac:dyDescent="0.25">
      <c r="A26">
        <v>1713</v>
      </c>
      <c r="B26" t="s">
        <v>14</v>
      </c>
      <c r="C26" t="s">
        <v>53</v>
      </c>
      <c r="D26" t="s">
        <v>33</v>
      </c>
      <c r="H26">
        <v>15134</v>
      </c>
      <c r="I26" t="s">
        <v>103</v>
      </c>
      <c r="J26">
        <f t="shared" si="0"/>
        <v>15134</v>
      </c>
      <c r="L26">
        <f t="shared" si="1"/>
        <v>6.7562499999999996</v>
      </c>
    </row>
    <row r="27" spans="1:12" x14ac:dyDescent="0.25">
      <c r="A27">
        <v>1713</v>
      </c>
      <c r="B27" t="s">
        <v>23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1713</v>
      </c>
      <c r="B28" t="s">
        <v>27</v>
      </c>
      <c r="C28" t="s">
        <v>53</v>
      </c>
      <c r="D28" t="s">
        <v>33</v>
      </c>
      <c r="H28">
        <v>9312</v>
      </c>
      <c r="I28" t="s">
        <v>102</v>
      </c>
      <c r="J28">
        <f t="shared" si="0"/>
        <v>9312</v>
      </c>
      <c r="L28">
        <f t="shared" si="1"/>
        <v>4.1571428571428575</v>
      </c>
    </row>
    <row r="29" spans="1:12" x14ac:dyDescent="0.25">
      <c r="A29">
        <v>1713</v>
      </c>
      <c r="B29" t="s">
        <v>15</v>
      </c>
      <c r="C29" t="s">
        <v>53</v>
      </c>
      <c r="D29" t="s">
        <v>33</v>
      </c>
      <c r="F29">
        <v>2204</v>
      </c>
      <c r="G29">
        <v>1</v>
      </c>
      <c r="H29">
        <v>21</v>
      </c>
      <c r="J29">
        <f t="shared" si="0"/>
        <v>246897</v>
      </c>
      <c r="L29">
        <f t="shared" si="1"/>
        <v>110.221875</v>
      </c>
    </row>
    <row r="30" spans="1:12" x14ac:dyDescent="0.25">
      <c r="A30">
        <v>1713</v>
      </c>
      <c r="B30" t="s">
        <v>42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1713</v>
      </c>
      <c r="B31" t="s">
        <v>47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1713</v>
      </c>
      <c r="B32" t="s">
        <v>16</v>
      </c>
      <c r="C32" t="s">
        <v>53</v>
      </c>
      <c r="D32" t="s">
        <v>33</v>
      </c>
      <c r="H32">
        <v>330</v>
      </c>
      <c r="J32">
        <f t="shared" si="0"/>
        <v>330</v>
      </c>
      <c r="L32">
        <f t="shared" si="1"/>
        <v>0.14732142857142858</v>
      </c>
    </row>
    <row r="33" spans="1:12" x14ac:dyDescent="0.25">
      <c r="A33">
        <v>1713</v>
      </c>
      <c r="B33" t="s">
        <v>17</v>
      </c>
      <c r="C33" t="s">
        <v>53</v>
      </c>
      <c r="D33" t="s">
        <v>33</v>
      </c>
      <c r="F33">
        <v>17</v>
      </c>
      <c r="J33">
        <f t="shared" si="0"/>
        <v>1904</v>
      </c>
      <c r="L33">
        <f t="shared" si="1"/>
        <v>0.85</v>
      </c>
    </row>
    <row r="34" spans="1:12" x14ac:dyDescent="0.25">
      <c r="A34">
        <v>1713</v>
      </c>
      <c r="B34" t="s">
        <v>18</v>
      </c>
      <c r="C34" t="s">
        <v>53</v>
      </c>
      <c r="D34" t="s">
        <v>33</v>
      </c>
      <c r="H34">
        <v>22386</v>
      </c>
      <c r="I34" t="s">
        <v>104</v>
      </c>
      <c r="J34">
        <f t="shared" si="0"/>
        <v>22386</v>
      </c>
      <c r="L34">
        <f t="shared" si="1"/>
        <v>9.9937500000000004</v>
      </c>
    </row>
    <row r="35" spans="1:12" x14ac:dyDescent="0.25">
      <c r="A35">
        <v>1713</v>
      </c>
      <c r="B35" t="s">
        <v>26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1713</v>
      </c>
      <c r="B36" t="s">
        <v>19</v>
      </c>
      <c r="C36" t="s">
        <v>53</v>
      </c>
      <c r="D36" t="s">
        <v>33</v>
      </c>
      <c r="F36">
        <v>33</v>
      </c>
      <c r="G36">
        <v>2</v>
      </c>
      <c r="J36">
        <f t="shared" si="0"/>
        <v>3752</v>
      </c>
      <c r="L36">
        <f t="shared" si="1"/>
        <v>1.675</v>
      </c>
    </row>
    <row r="37" spans="1:12" x14ac:dyDescent="0.25">
      <c r="A37">
        <v>1713</v>
      </c>
      <c r="B37" t="s">
        <v>45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1713</v>
      </c>
      <c r="B38" t="s">
        <v>54</v>
      </c>
      <c r="C38" t="s">
        <v>53</v>
      </c>
      <c r="D38" t="s">
        <v>33</v>
      </c>
      <c r="H38">
        <v>470</v>
      </c>
      <c r="J38">
        <f t="shared" si="0"/>
        <v>470</v>
      </c>
      <c r="L38">
        <f t="shared" si="1"/>
        <v>0.20982142857142858</v>
      </c>
    </row>
    <row r="39" spans="1:12" x14ac:dyDescent="0.25">
      <c r="A39">
        <v>1713</v>
      </c>
      <c r="B39" t="s">
        <v>98</v>
      </c>
      <c r="C39" t="s">
        <v>53</v>
      </c>
      <c r="D39" t="s">
        <v>33</v>
      </c>
      <c r="H39">
        <v>140</v>
      </c>
      <c r="J39">
        <f t="shared" si="0"/>
        <v>140</v>
      </c>
      <c r="L39">
        <f t="shared" si="1"/>
        <v>6.25E-2</v>
      </c>
    </row>
    <row r="40" spans="1:12" x14ac:dyDescent="0.25">
      <c r="A40">
        <v>1713</v>
      </c>
      <c r="B40" t="s">
        <v>20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1713</v>
      </c>
      <c r="B41" t="s">
        <v>21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1713</v>
      </c>
      <c r="B42" t="s">
        <v>22</v>
      </c>
      <c r="C42" t="s">
        <v>53</v>
      </c>
      <c r="D42" t="s">
        <v>33</v>
      </c>
      <c r="G42">
        <v>2</v>
      </c>
      <c r="H42">
        <v>21</v>
      </c>
      <c r="J42">
        <f t="shared" si="0"/>
        <v>77</v>
      </c>
      <c r="L42">
        <f t="shared" si="1"/>
        <v>3.4375000000000003E-2</v>
      </c>
    </row>
    <row r="43" spans="1:12" x14ac:dyDescent="0.25">
      <c r="A43">
        <v>1713</v>
      </c>
      <c r="B43" t="s">
        <v>61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1713</v>
      </c>
      <c r="B44" t="s">
        <v>62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1713</v>
      </c>
      <c r="B45" t="s">
        <v>63</v>
      </c>
      <c r="C45" t="s">
        <v>53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1713</v>
      </c>
      <c r="B46" t="s">
        <v>71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1713</v>
      </c>
      <c r="B47" t="s">
        <v>64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1713</v>
      </c>
      <c r="B48" t="s">
        <v>65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1713</v>
      </c>
      <c r="B49" t="s">
        <v>55</v>
      </c>
      <c r="C49" t="s">
        <v>53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1713</v>
      </c>
      <c r="B50" t="s">
        <v>57</v>
      </c>
      <c r="C50" t="s">
        <v>53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1713</v>
      </c>
      <c r="B51" t="s">
        <v>36</v>
      </c>
      <c r="C51" t="s">
        <v>53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1713</v>
      </c>
      <c r="B52" t="s">
        <v>4</v>
      </c>
      <c r="C52" t="s">
        <v>53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1713</v>
      </c>
      <c r="B53" t="s">
        <v>58</v>
      </c>
      <c r="C53" t="s">
        <v>53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1713</v>
      </c>
      <c r="B54" t="s">
        <v>93</v>
      </c>
      <c r="C54" t="s">
        <v>53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1713</v>
      </c>
      <c r="B55" t="s">
        <v>43</v>
      </c>
      <c r="C55" t="s">
        <v>53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1713</v>
      </c>
      <c r="B56" t="s">
        <v>5</v>
      </c>
      <c r="C56" t="s">
        <v>53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1713</v>
      </c>
      <c r="B57" t="s">
        <v>59</v>
      </c>
      <c r="C57" t="s">
        <v>53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1713</v>
      </c>
      <c r="B58" t="s">
        <v>6</v>
      </c>
      <c r="C58" t="s">
        <v>53</v>
      </c>
      <c r="D58" t="s">
        <v>35</v>
      </c>
      <c r="F58">
        <v>19330</v>
      </c>
      <c r="G58">
        <v>1</v>
      </c>
      <c r="H58">
        <v>5</v>
      </c>
      <c r="J58">
        <f t="shared" si="0"/>
        <v>2164993</v>
      </c>
      <c r="L58">
        <f t="shared" si="1"/>
        <v>966.51473214285716</v>
      </c>
    </row>
    <row r="59" spans="1:12" x14ac:dyDescent="0.25">
      <c r="A59">
        <v>1713</v>
      </c>
      <c r="B59" t="s">
        <v>60</v>
      </c>
      <c r="C59" t="s">
        <v>53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1713</v>
      </c>
      <c r="B60" t="s">
        <v>38</v>
      </c>
      <c r="C60" t="s">
        <v>53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1713</v>
      </c>
      <c r="B61" t="s">
        <v>37</v>
      </c>
      <c r="C61" t="s">
        <v>53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1713</v>
      </c>
      <c r="B62" t="s">
        <v>8</v>
      </c>
      <c r="C62" t="s">
        <v>53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1713</v>
      </c>
      <c r="B63" t="s">
        <v>40</v>
      </c>
      <c r="C63" t="s">
        <v>53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1713</v>
      </c>
      <c r="B64" t="s">
        <v>9</v>
      </c>
      <c r="C64" t="s">
        <v>53</v>
      </c>
      <c r="D64" t="s">
        <v>35</v>
      </c>
      <c r="H64">
        <v>485506</v>
      </c>
      <c r="J64">
        <f t="shared" si="0"/>
        <v>485506</v>
      </c>
      <c r="L64">
        <f t="shared" si="1"/>
        <v>216.74375000000001</v>
      </c>
    </row>
    <row r="65" spans="1:12" x14ac:dyDescent="0.25">
      <c r="A65">
        <v>1713</v>
      </c>
      <c r="B65" t="s">
        <v>10</v>
      </c>
      <c r="C65" t="s">
        <v>53</v>
      </c>
      <c r="D65" t="s">
        <v>35</v>
      </c>
      <c r="F65">
        <v>61</v>
      </c>
      <c r="G65">
        <v>3</v>
      </c>
      <c r="H65">
        <v>21</v>
      </c>
      <c r="J65">
        <f t="shared" si="0"/>
        <v>6937</v>
      </c>
      <c r="L65">
        <f t="shared" si="1"/>
        <v>3.0968749999999998</v>
      </c>
    </row>
    <row r="66" spans="1:12" x14ac:dyDescent="0.25">
      <c r="A66">
        <v>1713</v>
      </c>
      <c r="B66" t="s">
        <v>11</v>
      </c>
      <c r="C66" t="s">
        <v>53</v>
      </c>
      <c r="D66" t="s">
        <v>35</v>
      </c>
      <c r="F66">
        <v>15</v>
      </c>
      <c r="J66">
        <f t="shared" ref="J66:J97" si="2">(E66*2240)+(F66*112)+(G66*28)+H66</f>
        <v>1680</v>
      </c>
      <c r="L66">
        <f t="shared" ref="L66:L97" si="3">J66/2240</f>
        <v>0.75</v>
      </c>
    </row>
    <row r="67" spans="1:12" x14ac:dyDescent="0.25">
      <c r="A67">
        <v>1713</v>
      </c>
      <c r="B67" t="s">
        <v>39</v>
      </c>
      <c r="C67" t="s">
        <v>53</v>
      </c>
      <c r="D67" t="s">
        <v>35</v>
      </c>
      <c r="J67">
        <f t="shared" si="2"/>
        <v>0</v>
      </c>
      <c r="L67">
        <f t="shared" si="3"/>
        <v>0</v>
      </c>
    </row>
    <row r="68" spans="1:12" x14ac:dyDescent="0.25">
      <c r="A68">
        <v>1713</v>
      </c>
      <c r="B68" t="s">
        <v>80</v>
      </c>
      <c r="C68" t="s">
        <v>53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1713</v>
      </c>
      <c r="B69" t="s">
        <v>44</v>
      </c>
      <c r="C69" t="s">
        <v>53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1713</v>
      </c>
      <c r="B70" t="s">
        <v>12</v>
      </c>
      <c r="C70" t="s">
        <v>53</v>
      </c>
      <c r="D70" t="s">
        <v>35</v>
      </c>
      <c r="H70">
        <v>547.5</v>
      </c>
      <c r="J70">
        <f t="shared" si="2"/>
        <v>547.5</v>
      </c>
      <c r="L70">
        <f t="shared" si="3"/>
        <v>0.24441964285714285</v>
      </c>
    </row>
    <row r="71" spans="1:12" x14ac:dyDescent="0.25">
      <c r="A71">
        <v>1713</v>
      </c>
      <c r="B71" t="s">
        <v>34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1713</v>
      </c>
      <c r="B72" t="s">
        <v>13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1713</v>
      </c>
      <c r="B73" t="s">
        <v>14</v>
      </c>
      <c r="C73" t="s">
        <v>53</v>
      </c>
      <c r="D73" t="s">
        <v>35</v>
      </c>
      <c r="H73">
        <v>1080</v>
      </c>
      <c r="I73" t="s">
        <v>117</v>
      </c>
      <c r="J73">
        <f t="shared" si="2"/>
        <v>1080</v>
      </c>
      <c r="L73">
        <f t="shared" si="3"/>
        <v>0.48214285714285715</v>
      </c>
    </row>
    <row r="74" spans="1:12" x14ac:dyDescent="0.25">
      <c r="A74">
        <v>1713</v>
      </c>
      <c r="B74" t="s">
        <v>23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1713</v>
      </c>
      <c r="B75" t="s">
        <v>27</v>
      </c>
      <c r="C75" t="s">
        <v>53</v>
      </c>
      <c r="D75" t="s">
        <v>35</v>
      </c>
      <c r="H75">
        <v>210</v>
      </c>
      <c r="I75" t="s">
        <v>116</v>
      </c>
      <c r="J75">
        <f t="shared" si="2"/>
        <v>210</v>
      </c>
      <c r="L75">
        <f t="shared" si="3"/>
        <v>9.375E-2</v>
      </c>
    </row>
    <row r="76" spans="1:12" x14ac:dyDescent="0.25">
      <c r="A76">
        <v>1713</v>
      </c>
      <c r="B76" t="s">
        <v>15</v>
      </c>
      <c r="C76" t="s">
        <v>53</v>
      </c>
      <c r="D76" t="s">
        <v>35</v>
      </c>
      <c r="F76">
        <v>965</v>
      </c>
      <c r="G76">
        <v>2</v>
      </c>
      <c r="H76">
        <v>25</v>
      </c>
      <c r="J76">
        <f t="shared" si="2"/>
        <v>108161</v>
      </c>
      <c r="L76">
        <f t="shared" si="3"/>
        <v>48.286160714285714</v>
      </c>
    </row>
    <row r="77" spans="1:12" x14ac:dyDescent="0.25">
      <c r="A77">
        <v>1713</v>
      </c>
      <c r="B77" t="s">
        <v>94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1713</v>
      </c>
      <c r="B78" t="s">
        <v>42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1713</v>
      </c>
      <c r="B79" t="s">
        <v>47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1713</v>
      </c>
      <c r="B80" t="s">
        <v>16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1713</v>
      </c>
      <c r="B81" t="s">
        <v>17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1713</v>
      </c>
      <c r="B82" t="s">
        <v>18</v>
      </c>
      <c r="C82" t="s">
        <v>53</v>
      </c>
      <c r="D82" t="s">
        <v>35</v>
      </c>
      <c r="H82">
        <v>1620.5</v>
      </c>
      <c r="I82" t="s">
        <v>118</v>
      </c>
      <c r="J82">
        <f t="shared" si="2"/>
        <v>1620.5</v>
      </c>
      <c r="L82">
        <f t="shared" si="3"/>
        <v>0.72343749999999996</v>
      </c>
    </row>
    <row r="83" spans="1:12" x14ac:dyDescent="0.25">
      <c r="A83">
        <v>1713</v>
      </c>
      <c r="B83" t="s">
        <v>26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1713</v>
      </c>
      <c r="B84" t="s">
        <v>19</v>
      </c>
      <c r="C84" t="s">
        <v>53</v>
      </c>
      <c r="D84" t="s">
        <v>35</v>
      </c>
      <c r="F84">
        <v>2</v>
      </c>
      <c r="G84">
        <v>1</v>
      </c>
      <c r="H84">
        <v>18</v>
      </c>
      <c r="J84">
        <f t="shared" si="2"/>
        <v>270</v>
      </c>
      <c r="L84">
        <f t="shared" si="3"/>
        <v>0.12053571428571429</v>
      </c>
    </row>
    <row r="85" spans="1:12" x14ac:dyDescent="0.25">
      <c r="A85">
        <v>1713</v>
      </c>
      <c r="B85" t="s">
        <v>45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1713</v>
      </c>
      <c r="B86" t="s">
        <v>54</v>
      </c>
      <c r="C86" t="s">
        <v>53</v>
      </c>
      <c r="D86" t="s">
        <v>35</v>
      </c>
      <c r="H86">
        <v>15</v>
      </c>
      <c r="J86">
        <f t="shared" si="2"/>
        <v>15</v>
      </c>
      <c r="L86">
        <f t="shared" si="3"/>
        <v>6.6964285714285711E-3</v>
      </c>
    </row>
    <row r="87" spans="1:12" x14ac:dyDescent="0.25">
      <c r="A87">
        <v>1713</v>
      </c>
      <c r="B87" t="s">
        <v>98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1713</v>
      </c>
      <c r="B88" t="s">
        <v>20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1713</v>
      </c>
      <c r="B89" t="s">
        <v>21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1713</v>
      </c>
      <c r="B90" t="s">
        <v>22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1713</v>
      </c>
      <c r="B91" t="s">
        <v>61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1713</v>
      </c>
      <c r="B92" t="s">
        <v>62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1713</v>
      </c>
      <c r="B93" t="s">
        <v>63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1713</v>
      </c>
      <c r="B94" t="s">
        <v>91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1713</v>
      </c>
      <c r="B95" t="s">
        <v>71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1713</v>
      </c>
      <c r="B96" t="s">
        <v>64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1713</v>
      </c>
      <c r="B97" t="s">
        <v>65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7"/>
  <sheetViews>
    <sheetView topLeftCell="A82" workbookViewId="0">
      <selection activeCell="H83" sqref="H8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1713</v>
      </c>
      <c r="B2" t="s">
        <v>55</v>
      </c>
      <c r="C2" t="s">
        <v>56</v>
      </c>
      <c r="D2" t="s">
        <v>33</v>
      </c>
      <c r="J2">
        <f t="shared" ref="J2:J65" si="0">(E2*2240)+(F2*112)+(G2*28)+H2</f>
        <v>0</v>
      </c>
      <c r="L2">
        <f t="shared" ref="L2:L65" si="1">J2/2240</f>
        <v>0</v>
      </c>
    </row>
    <row r="3" spans="1:12" x14ac:dyDescent="0.25">
      <c r="A3">
        <v>1713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1713</v>
      </c>
      <c r="B4" t="s">
        <v>36</v>
      </c>
      <c r="C4" t="s">
        <v>56</v>
      </c>
      <c r="D4" t="s">
        <v>33</v>
      </c>
      <c r="H4">
        <v>26094</v>
      </c>
      <c r="J4">
        <f t="shared" si="0"/>
        <v>26094</v>
      </c>
      <c r="L4">
        <f t="shared" si="1"/>
        <v>11.649107142857142</v>
      </c>
    </row>
    <row r="5" spans="1:12" x14ac:dyDescent="0.25">
      <c r="A5">
        <v>1713</v>
      </c>
      <c r="B5" t="s">
        <v>4</v>
      </c>
      <c r="C5" t="s">
        <v>56</v>
      </c>
      <c r="D5" t="s">
        <v>33</v>
      </c>
      <c r="H5">
        <v>263</v>
      </c>
      <c r="J5">
        <f t="shared" si="0"/>
        <v>263</v>
      </c>
      <c r="L5">
        <f t="shared" si="1"/>
        <v>0.11741071428571428</v>
      </c>
    </row>
    <row r="6" spans="1:12" x14ac:dyDescent="0.25">
      <c r="A6">
        <v>1713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1713</v>
      </c>
      <c r="B7" t="s">
        <v>93</v>
      </c>
      <c r="C7" t="s">
        <v>56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1713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1713</v>
      </c>
      <c r="B9" t="s">
        <v>5</v>
      </c>
      <c r="C9" t="s">
        <v>56</v>
      </c>
      <c r="D9" t="s">
        <v>33</v>
      </c>
      <c r="F9">
        <v>3</v>
      </c>
      <c r="J9">
        <f t="shared" si="0"/>
        <v>336</v>
      </c>
      <c r="L9">
        <f t="shared" si="1"/>
        <v>0.15</v>
      </c>
    </row>
    <row r="10" spans="1:12" x14ac:dyDescent="0.25">
      <c r="A10">
        <v>1713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1713</v>
      </c>
      <c r="B11" t="s">
        <v>6</v>
      </c>
      <c r="C11" t="s">
        <v>56</v>
      </c>
      <c r="D11" t="s">
        <v>33</v>
      </c>
      <c r="F11">
        <v>84875</v>
      </c>
      <c r="H11">
        <v>7</v>
      </c>
      <c r="J11">
        <f t="shared" si="0"/>
        <v>9506007</v>
      </c>
      <c r="L11">
        <f t="shared" si="1"/>
        <v>4243.7531250000002</v>
      </c>
    </row>
    <row r="12" spans="1:12" x14ac:dyDescent="0.25">
      <c r="A12">
        <v>1713</v>
      </c>
      <c r="B12" t="s">
        <v>60</v>
      </c>
      <c r="C12" t="s">
        <v>56</v>
      </c>
      <c r="D12" t="s">
        <v>33</v>
      </c>
      <c r="H12">
        <v>2682</v>
      </c>
      <c r="J12">
        <f t="shared" si="0"/>
        <v>2682</v>
      </c>
      <c r="L12">
        <f t="shared" si="1"/>
        <v>1.1973214285714286</v>
      </c>
    </row>
    <row r="13" spans="1:12" x14ac:dyDescent="0.25">
      <c r="A13">
        <v>1713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1713</v>
      </c>
      <c r="B14" t="s">
        <v>37</v>
      </c>
      <c r="C14" t="s">
        <v>56</v>
      </c>
      <c r="D14" t="s">
        <v>33</v>
      </c>
      <c r="H14">
        <v>2</v>
      </c>
      <c r="J14">
        <f t="shared" si="0"/>
        <v>2</v>
      </c>
      <c r="L14">
        <f t="shared" si="1"/>
        <v>8.9285714285714283E-4</v>
      </c>
    </row>
    <row r="15" spans="1:12" x14ac:dyDescent="0.25">
      <c r="A15">
        <v>1713</v>
      </c>
      <c r="B15" t="s">
        <v>8</v>
      </c>
      <c r="C15" t="s">
        <v>56</v>
      </c>
      <c r="D15" t="s">
        <v>33</v>
      </c>
      <c r="F15">
        <v>5</v>
      </c>
      <c r="G15">
        <v>2</v>
      </c>
      <c r="J15">
        <f t="shared" si="0"/>
        <v>616</v>
      </c>
      <c r="L15">
        <f t="shared" si="1"/>
        <v>0.27500000000000002</v>
      </c>
    </row>
    <row r="16" spans="1:12" x14ac:dyDescent="0.25">
      <c r="A16">
        <v>1713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1713</v>
      </c>
      <c r="B17" t="s">
        <v>79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1713</v>
      </c>
      <c r="B18" t="s">
        <v>9</v>
      </c>
      <c r="C18" t="s">
        <v>56</v>
      </c>
      <c r="D18" t="s">
        <v>33</v>
      </c>
      <c r="H18">
        <v>97162</v>
      </c>
      <c r="J18">
        <f t="shared" si="0"/>
        <v>97162</v>
      </c>
      <c r="L18">
        <f t="shared" si="1"/>
        <v>43.375892857142858</v>
      </c>
    </row>
    <row r="19" spans="1:12" x14ac:dyDescent="0.25">
      <c r="A19">
        <v>1713</v>
      </c>
      <c r="B19" t="s">
        <v>10</v>
      </c>
      <c r="C19" t="s">
        <v>56</v>
      </c>
      <c r="D19" t="s">
        <v>33</v>
      </c>
      <c r="F19">
        <v>3212</v>
      </c>
      <c r="G19">
        <v>3</v>
      </c>
      <c r="H19">
        <v>26</v>
      </c>
      <c r="J19">
        <f t="shared" si="0"/>
        <v>359854</v>
      </c>
      <c r="L19">
        <f t="shared" si="1"/>
        <v>160.64910714285713</v>
      </c>
    </row>
    <row r="20" spans="1:12" x14ac:dyDescent="0.25">
      <c r="A20">
        <v>1713</v>
      </c>
      <c r="B20" t="s">
        <v>11</v>
      </c>
      <c r="C20" t="s">
        <v>56</v>
      </c>
      <c r="D20" t="s">
        <v>33</v>
      </c>
      <c r="F20">
        <v>79</v>
      </c>
      <c r="G20">
        <v>2</v>
      </c>
      <c r="H20">
        <v>12</v>
      </c>
      <c r="J20">
        <f t="shared" si="0"/>
        <v>8916</v>
      </c>
      <c r="L20">
        <f t="shared" si="1"/>
        <v>3.9803571428571427</v>
      </c>
    </row>
    <row r="21" spans="1:12" x14ac:dyDescent="0.25">
      <c r="A21">
        <v>1713</v>
      </c>
      <c r="B21" t="s">
        <v>39</v>
      </c>
      <c r="C21" t="s">
        <v>56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1713</v>
      </c>
      <c r="B22" t="s">
        <v>44</v>
      </c>
      <c r="C22" t="s">
        <v>56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1713</v>
      </c>
      <c r="B23" t="s">
        <v>12</v>
      </c>
      <c r="C23" t="s">
        <v>56</v>
      </c>
      <c r="D23" t="s">
        <v>33</v>
      </c>
      <c r="H23">
        <v>4232</v>
      </c>
      <c r="J23">
        <f t="shared" si="0"/>
        <v>4232</v>
      </c>
      <c r="L23">
        <f t="shared" si="1"/>
        <v>1.8892857142857142</v>
      </c>
    </row>
    <row r="24" spans="1:12" x14ac:dyDescent="0.25">
      <c r="A24">
        <v>1713</v>
      </c>
      <c r="B24" t="s">
        <v>34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1713</v>
      </c>
      <c r="B25" t="s">
        <v>13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1713</v>
      </c>
      <c r="B26" t="s">
        <v>14</v>
      </c>
      <c r="C26" t="s">
        <v>56</v>
      </c>
      <c r="D26" t="s">
        <v>33</v>
      </c>
      <c r="H26">
        <v>59225</v>
      </c>
      <c r="I26" t="s">
        <v>106</v>
      </c>
      <c r="J26">
        <f t="shared" si="0"/>
        <v>59225</v>
      </c>
      <c r="L26">
        <f t="shared" si="1"/>
        <v>26.439732142857142</v>
      </c>
    </row>
    <row r="27" spans="1:12" x14ac:dyDescent="0.25">
      <c r="A27">
        <v>1713</v>
      </c>
      <c r="B27" t="s">
        <v>23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1713</v>
      </c>
      <c r="B28" t="s">
        <v>27</v>
      </c>
      <c r="C28" t="s">
        <v>56</v>
      </c>
      <c r="D28" t="s">
        <v>33</v>
      </c>
      <c r="H28">
        <v>23286</v>
      </c>
      <c r="I28" t="s">
        <v>105</v>
      </c>
      <c r="J28">
        <f t="shared" si="0"/>
        <v>23286</v>
      </c>
      <c r="L28">
        <f t="shared" si="1"/>
        <v>10.395535714285714</v>
      </c>
    </row>
    <row r="29" spans="1:12" x14ac:dyDescent="0.25">
      <c r="A29">
        <v>1713</v>
      </c>
      <c r="B29" t="s">
        <v>15</v>
      </c>
      <c r="C29" t="s">
        <v>56</v>
      </c>
      <c r="D29" t="s">
        <v>33</v>
      </c>
      <c r="F29">
        <v>194</v>
      </c>
      <c r="J29">
        <f t="shared" si="0"/>
        <v>21728</v>
      </c>
      <c r="L29">
        <f t="shared" si="1"/>
        <v>9.6999999999999993</v>
      </c>
    </row>
    <row r="30" spans="1:12" x14ac:dyDescent="0.25">
      <c r="A30">
        <v>1713</v>
      </c>
      <c r="B30" t="s">
        <v>42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1713</v>
      </c>
      <c r="B31" t="s">
        <v>47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1713</v>
      </c>
      <c r="B32" t="s">
        <v>16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1713</v>
      </c>
      <c r="B33" t="s">
        <v>17</v>
      </c>
      <c r="C33" t="s">
        <v>56</v>
      </c>
      <c r="D33" t="s">
        <v>33</v>
      </c>
      <c r="F33">
        <v>382</v>
      </c>
      <c r="H33">
        <v>21</v>
      </c>
      <c r="J33">
        <f t="shared" si="0"/>
        <v>42805</v>
      </c>
      <c r="L33">
        <f t="shared" si="1"/>
        <v>19.109375</v>
      </c>
    </row>
    <row r="34" spans="1:12" x14ac:dyDescent="0.25">
      <c r="A34">
        <v>1713</v>
      </c>
      <c r="B34" t="s">
        <v>18</v>
      </c>
      <c r="C34" t="s">
        <v>56</v>
      </c>
      <c r="D34" t="s">
        <v>33</v>
      </c>
      <c r="H34">
        <v>44876.5</v>
      </c>
      <c r="I34" t="s">
        <v>107</v>
      </c>
      <c r="J34">
        <f t="shared" si="0"/>
        <v>44876.5</v>
      </c>
      <c r="L34">
        <f t="shared" si="1"/>
        <v>20.034151785714286</v>
      </c>
    </row>
    <row r="35" spans="1:12" x14ac:dyDescent="0.25">
      <c r="A35">
        <v>1713</v>
      </c>
      <c r="B35" t="s">
        <v>26</v>
      </c>
      <c r="C35" t="s">
        <v>56</v>
      </c>
      <c r="D35" t="s">
        <v>33</v>
      </c>
      <c r="H35">
        <v>915</v>
      </c>
      <c r="J35">
        <f t="shared" si="0"/>
        <v>915</v>
      </c>
      <c r="L35">
        <f t="shared" si="1"/>
        <v>0.40848214285714285</v>
      </c>
    </row>
    <row r="36" spans="1:12" x14ac:dyDescent="0.25">
      <c r="A36">
        <v>1713</v>
      </c>
      <c r="B36" t="s">
        <v>19</v>
      </c>
      <c r="C36" t="s">
        <v>56</v>
      </c>
      <c r="D36" t="s">
        <v>33</v>
      </c>
      <c r="F36">
        <v>54</v>
      </c>
      <c r="G36">
        <v>1</v>
      </c>
      <c r="H36">
        <v>16</v>
      </c>
      <c r="J36">
        <f t="shared" si="0"/>
        <v>6092</v>
      </c>
      <c r="L36">
        <f t="shared" si="1"/>
        <v>2.719642857142857</v>
      </c>
    </row>
    <row r="37" spans="1:12" x14ac:dyDescent="0.25">
      <c r="A37">
        <v>1713</v>
      </c>
      <c r="B37" t="s">
        <v>45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1713</v>
      </c>
      <c r="B38" t="s">
        <v>54</v>
      </c>
      <c r="C38" t="s">
        <v>56</v>
      </c>
      <c r="D38" t="s">
        <v>33</v>
      </c>
      <c r="H38">
        <v>1668</v>
      </c>
      <c r="J38">
        <f t="shared" si="0"/>
        <v>1668</v>
      </c>
      <c r="L38">
        <f t="shared" si="1"/>
        <v>0.74464285714285716</v>
      </c>
    </row>
    <row r="39" spans="1:12" x14ac:dyDescent="0.25">
      <c r="A39">
        <v>1713</v>
      </c>
      <c r="B39" t="s">
        <v>98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1713</v>
      </c>
      <c r="B40" t="s">
        <v>20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1713</v>
      </c>
      <c r="B41" t="s">
        <v>21</v>
      </c>
      <c r="C41" t="s">
        <v>56</v>
      </c>
      <c r="D41" t="s">
        <v>33</v>
      </c>
      <c r="H41">
        <v>68</v>
      </c>
      <c r="J41">
        <f t="shared" si="0"/>
        <v>68</v>
      </c>
      <c r="L41">
        <f t="shared" si="1"/>
        <v>3.0357142857142857E-2</v>
      </c>
    </row>
    <row r="42" spans="1:12" x14ac:dyDescent="0.25">
      <c r="A42">
        <v>1713</v>
      </c>
      <c r="B42" t="s">
        <v>22</v>
      </c>
      <c r="C42" t="s">
        <v>56</v>
      </c>
      <c r="D42" t="s">
        <v>33</v>
      </c>
      <c r="F42">
        <v>248</v>
      </c>
      <c r="H42">
        <v>18</v>
      </c>
      <c r="J42">
        <f t="shared" si="0"/>
        <v>27794</v>
      </c>
      <c r="L42">
        <f t="shared" si="1"/>
        <v>12.408035714285715</v>
      </c>
    </row>
    <row r="43" spans="1:12" x14ac:dyDescent="0.25">
      <c r="A43">
        <v>1713</v>
      </c>
      <c r="B43" t="s">
        <v>61</v>
      </c>
      <c r="C43" t="s">
        <v>56</v>
      </c>
      <c r="D43" t="s">
        <v>33</v>
      </c>
      <c r="G43">
        <v>94</v>
      </c>
      <c r="J43">
        <f t="shared" si="0"/>
        <v>2632</v>
      </c>
      <c r="L43">
        <f t="shared" si="1"/>
        <v>1.175</v>
      </c>
    </row>
    <row r="44" spans="1:12" x14ac:dyDescent="0.25">
      <c r="A44">
        <v>1713</v>
      </c>
      <c r="B44" t="s">
        <v>62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1713</v>
      </c>
      <c r="B45" t="s">
        <v>63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1713</v>
      </c>
      <c r="B46" t="s">
        <v>71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1713</v>
      </c>
      <c r="B47" t="s">
        <v>64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1713</v>
      </c>
      <c r="B48" t="s">
        <v>65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1713</v>
      </c>
      <c r="B49" t="s">
        <v>55</v>
      </c>
      <c r="C49" t="s">
        <v>56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1713</v>
      </c>
      <c r="B50" t="s">
        <v>57</v>
      </c>
      <c r="C50" t="s">
        <v>56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1713</v>
      </c>
      <c r="B51" t="s">
        <v>36</v>
      </c>
      <c r="C51" t="s">
        <v>56</v>
      </c>
      <c r="D51" t="s">
        <v>35</v>
      </c>
      <c r="H51">
        <v>694</v>
      </c>
      <c r="J51">
        <f t="shared" si="0"/>
        <v>694</v>
      </c>
      <c r="L51">
        <f t="shared" si="1"/>
        <v>0.30982142857142858</v>
      </c>
    </row>
    <row r="52" spans="1:12" x14ac:dyDescent="0.25">
      <c r="A52">
        <v>1713</v>
      </c>
      <c r="B52" t="s">
        <v>4</v>
      </c>
      <c r="C52" t="s">
        <v>56</v>
      </c>
      <c r="D52" t="s">
        <v>35</v>
      </c>
      <c r="H52">
        <v>588</v>
      </c>
      <c r="J52">
        <f t="shared" si="0"/>
        <v>588</v>
      </c>
      <c r="L52">
        <f t="shared" si="1"/>
        <v>0.26250000000000001</v>
      </c>
    </row>
    <row r="53" spans="1:12" x14ac:dyDescent="0.25">
      <c r="A53">
        <v>1713</v>
      </c>
      <c r="B53" t="s">
        <v>58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1713</v>
      </c>
      <c r="B54" t="s">
        <v>93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1713</v>
      </c>
      <c r="B55" t="s">
        <v>43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1713</v>
      </c>
      <c r="B56" t="s">
        <v>5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1713</v>
      </c>
      <c r="B57" t="s">
        <v>59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1713</v>
      </c>
      <c r="B58" t="s">
        <v>6</v>
      </c>
      <c r="C58" t="s">
        <v>56</v>
      </c>
      <c r="D58" t="s">
        <v>35</v>
      </c>
      <c r="F58">
        <v>24109</v>
      </c>
      <c r="G58">
        <v>1</v>
      </c>
      <c r="H58">
        <v>26</v>
      </c>
      <c r="J58">
        <f t="shared" si="0"/>
        <v>2700262</v>
      </c>
      <c r="L58">
        <f t="shared" si="1"/>
        <v>1205.4741071428571</v>
      </c>
    </row>
    <row r="59" spans="1:12" x14ac:dyDescent="0.25">
      <c r="A59">
        <v>1713</v>
      </c>
      <c r="B59" t="s">
        <v>60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1713</v>
      </c>
      <c r="B60" t="s">
        <v>38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1713</v>
      </c>
      <c r="B61" t="s">
        <v>37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1713</v>
      </c>
      <c r="B62" t="s">
        <v>8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1713</v>
      </c>
      <c r="B63" t="s">
        <v>40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1713</v>
      </c>
      <c r="B64" t="s">
        <v>9</v>
      </c>
      <c r="C64" t="s">
        <v>56</v>
      </c>
      <c r="D64" t="s">
        <v>35</v>
      </c>
      <c r="H64">
        <v>120510</v>
      </c>
      <c r="J64">
        <f t="shared" si="0"/>
        <v>120510</v>
      </c>
      <c r="L64">
        <f t="shared" si="1"/>
        <v>53.799107142857146</v>
      </c>
    </row>
    <row r="65" spans="1:12" x14ac:dyDescent="0.25">
      <c r="A65">
        <v>1713</v>
      </c>
      <c r="B65" t="s">
        <v>10</v>
      </c>
      <c r="C65" t="s">
        <v>56</v>
      </c>
      <c r="D65" t="s">
        <v>35</v>
      </c>
      <c r="F65">
        <v>99</v>
      </c>
      <c r="H65">
        <v>13</v>
      </c>
      <c r="J65">
        <f t="shared" si="0"/>
        <v>11101</v>
      </c>
      <c r="L65">
        <f t="shared" si="1"/>
        <v>4.9558035714285715</v>
      </c>
    </row>
    <row r="66" spans="1:12" x14ac:dyDescent="0.25">
      <c r="A66">
        <v>1713</v>
      </c>
      <c r="B66" t="s">
        <v>11</v>
      </c>
      <c r="C66" t="s">
        <v>56</v>
      </c>
      <c r="D66" t="s">
        <v>35</v>
      </c>
      <c r="F66">
        <v>26</v>
      </c>
      <c r="G66">
        <v>2</v>
      </c>
      <c r="H66">
        <v>26</v>
      </c>
      <c r="J66">
        <f t="shared" ref="J66:J97" si="2">(E66*2240)+(F66*112)+(G66*28)+H66</f>
        <v>2994</v>
      </c>
      <c r="L66">
        <f t="shared" ref="L66:L97" si="3">J66/2240</f>
        <v>1.3366071428571429</v>
      </c>
    </row>
    <row r="67" spans="1:12" x14ac:dyDescent="0.25">
      <c r="A67">
        <v>1713</v>
      </c>
      <c r="B67" t="s">
        <v>39</v>
      </c>
      <c r="C67" t="s">
        <v>56</v>
      </c>
      <c r="D67" t="s">
        <v>35</v>
      </c>
      <c r="H67">
        <v>5</v>
      </c>
      <c r="J67">
        <f t="shared" si="2"/>
        <v>5</v>
      </c>
      <c r="L67">
        <f t="shared" si="3"/>
        <v>2.232142857142857E-3</v>
      </c>
    </row>
    <row r="68" spans="1:12" x14ac:dyDescent="0.25">
      <c r="A68">
        <v>1713</v>
      </c>
      <c r="B68" t="s">
        <v>80</v>
      </c>
      <c r="C68" t="s">
        <v>56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1713</v>
      </c>
      <c r="B69" t="s">
        <v>44</v>
      </c>
      <c r="C69" t="s">
        <v>56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1713</v>
      </c>
      <c r="B70" t="s">
        <v>12</v>
      </c>
      <c r="C70" t="s">
        <v>56</v>
      </c>
      <c r="D70" t="s">
        <v>35</v>
      </c>
      <c r="H70">
        <v>1352</v>
      </c>
      <c r="J70">
        <f t="shared" si="2"/>
        <v>1352</v>
      </c>
      <c r="L70">
        <f t="shared" si="3"/>
        <v>0.60357142857142854</v>
      </c>
    </row>
    <row r="71" spans="1:12" x14ac:dyDescent="0.25">
      <c r="A71">
        <v>1713</v>
      </c>
      <c r="B71" t="s">
        <v>34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1713</v>
      </c>
      <c r="B72" t="s">
        <v>13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1713</v>
      </c>
      <c r="B73" t="s">
        <v>14</v>
      </c>
      <c r="C73" t="s">
        <v>56</v>
      </c>
      <c r="D73" t="s">
        <v>35</v>
      </c>
      <c r="H73">
        <v>17629.5</v>
      </c>
      <c r="I73" t="s">
        <v>120</v>
      </c>
      <c r="J73">
        <f t="shared" si="2"/>
        <v>17629.5</v>
      </c>
      <c r="L73">
        <f t="shared" si="3"/>
        <v>7.8703124999999998</v>
      </c>
    </row>
    <row r="74" spans="1:12" x14ac:dyDescent="0.25">
      <c r="A74">
        <v>1713</v>
      </c>
      <c r="B74" t="s">
        <v>23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1713</v>
      </c>
      <c r="B75" t="s">
        <v>27</v>
      </c>
      <c r="C75" t="s">
        <v>56</v>
      </c>
      <c r="D75" t="s">
        <v>35</v>
      </c>
      <c r="H75">
        <v>2410.5</v>
      </c>
      <c r="I75" t="s">
        <v>119</v>
      </c>
      <c r="J75">
        <f t="shared" si="2"/>
        <v>2410.5</v>
      </c>
      <c r="L75">
        <f t="shared" si="3"/>
        <v>1.0761160714285714</v>
      </c>
    </row>
    <row r="76" spans="1:12" x14ac:dyDescent="0.25">
      <c r="A76">
        <v>1713</v>
      </c>
      <c r="B76" t="s">
        <v>15</v>
      </c>
      <c r="C76" t="s">
        <v>56</v>
      </c>
      <c r="D76" t="s">
        <v>35</v>
      </c>
      <c r="F76">
        <v>232</v>
      </c>
      <c r="G76">
        <v>3</v>
      </c>
      <c r="H76">
        <v>11</v>
      </c>
      <c r="J76">
        <f t="shared" si="2"/>
        <v>26079</v>
      </c>
      <c r="L76">
        <f t="shared" si="3"/>
        <v>11.642410714285715</v>
      </c>
    </row>
    <row r="77" spans="1:12" x14ac:dyDescent="0.25">
      <c r="A77">
        <v>1713</v>
      </c>
      <c r="B77" t="s">
        <v>94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1713</v>
      </c>
      <c r="B78" t="s">
        <v>42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1713</v>
      </c>
      <c r="B79" t="s">
        <v>47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1713</v>
      </c>
      <c r="B80" t="s">
        <v>16</v>
      </c>
      <c r="C80" t="s">
        <v>56</v>
      </c>
      <c r="D80" t="s">
        <v>35</v>
      </c>
      <c r="H80">
        <v>190</v>
      </c>
      <c r="J80">
        <f t="shared" si="2"/>
        <v>190</v>
      </c>
      <c r="L80">
        <f t="shared" si="3"/>
        <v>8.4821428571428575E-2</v>
      </c>
    </row>
    <row r="81" spans="1:12" x14ac:dyDescent="0.25">
      <c r="A81">
        <v>1713</v>
      </c>
      <c r="B81" t="s">
        <v>17</v>
      </c>
      <c r="C81" t="s">
        <v>56</v>
      </c>
      <c r="D81" t="s">
        <v>35</v>
      </c>
      <c r="F81">
        <v>105</v>
      </c>
      <c r="G81">
        <v>2</v>
      </c>
      <c r="H81">
        <v>23</v>
      </c>
      <c r="J81">
        <f t="shared" si="2"/>
        <v>11839</v>
      </c>
      <c r="L81">
        <f t="shared" si="3"/>
        <v>5.2852678571428573</v>
      </c>
    </row>
    <row r="82" spans="1:12" x14ac:dyDescent="0.25">
      <c r="A82">
        <v>1713</v>
      </c>
      <c r="B82" t="s">
        <v>18</v>
      </c>
      <c r="C82" t="s">
        <v>56</v>
      </c>
      <c r="D82" t="s">
        <v>35</v>
      </c>
      <c r="H82">
        <v>7022</v>
      </c>
      <c r="I82" t="s">
        <v>121</v>
      </c>
      <c r="J82">
        <f t="shared" si="2"/>
        <v>7022</v>
      </c>
      <c r="L82">
        <f t="shared" si="3"/>
        <v>3.1348214285714286</v>
      </c>
    </row>
    <row r="83" spans="1:12" x14ac:dyDescent="0.25">
      <c r="A83">
        <v>1713</v>
      </c>
      <c r="B83" t="s">
        <v>26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1713</v>
      </c>
      <c r="B84" t="s">
        <v>19</v>
      </c>
      <c r="C84" t="s">
        <v>56</v>
      </c>
      <c r="D84" t="s">
        <v>35</v>
      </c>
      <c r="G84">
        <v>3</v>
      </c>
      <c r="J84">
        <f t="shared" si="2"/>
        <v>84</v>
      </c>
      <c r="L84">
        <f t="shared" si="3"/>
        <v>3.7499999999999999E-2</v>
      </c>
    </row>
    <row r="85" spans="1:12" x14ac:dyDescent="0.25">
      <c r="A85">
        <v>1713</v>
      </c>
      <c r="B85" t="s">
        <v>45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1713</v>
      </c>
      <c r="B86" t="s">
        <v>54</v>
      </c>
      <c r="C86" t="s">
        <v>56</v>
      </c>
      <c r="D86" t="s">
        <v>35</v>
      </c>
      <c r="H86">
        <v>58</v>
      </c>
      <c r="J86">
        <f t="shared" si="2"/>
        <v>58</v>
      </c>
      <c r="L86">
        <f t="shared" si="3"/>
        <v>2.5892857142857145E-2</v>
      </c>
    </row>
    <row r="87" spans="1:12" x14ac:dyDescent="0.25">
      <c r="A87">
        <v>1713</v>
      </c>
      <c r="B87" t="s">
        <v>98</v>
      </c>
      <c r="C87" t="s">
        <v>56</v>
      </c>
      <c r="D87" t="s">
        <v>35</v>
      </c>
      <c r="H87">
        <v>40</v>
      </c>
      <c r="J87">
        <f t="shared" si="2"/>
        <v>40</v>
      </c>
      <c r="L87">
        <f t="shared" si="3"/>
        <v>1.7857142857142856E-2</v>
      </c>
    </row>
    <row r="88" spans="1:12" x14ac:dyDescent="0.25">
      <c r="A88">
        <v>1713</v>
      </c>
      <c r="B88" t="s">
        <v>20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1713</v>
      </c>
      <c r="B89" t="s">
        <v>21</v>
      </c>
      <c r="C89" t="s">
        <v>56</v>
      </c>
      <c r="D89" t="s">
        <v>35</v>
      </c>
      <c r="F89">
        <v>1</v>
      </c>
      <c r="G89">
        <v>2</v>
      </c>
      <c r="J89">
        <f t="shared" si="2"/>
        <v>168</v>
      </c>
      <c r="L89">
        <f t="shared" si="3"/>
        <v>7.4999999999999997E-2</v>
      </c>
    </row>
    <row r="90" spans="1:12" x14ac:dyDescent="0.25">
      <c r="A90">
        <v>1713</v>
      </c>
      <c r="B90" t="s">
        <v>22</v>
      </c>
      <c r="C90" t="s">
        <v>56</v>
      </c>
      <c r="D90" t="s">
        <v>35</v>
      </c>
      <c r="F90">
        <v>1</v>
      </c>
      <c r="G90">
        <v>2</v>
      </c>
      <c r="J90">
        <f t="shared" si="2"/>
        <v>168</v>
      </c>
      <c r="L90">
        <f t="shared" si="3"/>
        <v>7.4999999999999997E-2</v>
      </c>
    </row>
    <row r="91" spans="1:12" x14ac:dyDescent="0.25">
      <c r="A91">
        <v>1713</v>
      </c>
      <c r="B91" t="s">
        <v>61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1713</v>
      </c>
      <c r="B92" t="s">
        <v>62</v>
      </c>
      <c r="C92" t="s">
        <v>56</v>
      </c>
      <c r="D92" t="s">
        <v>35</v>
      </c>
      <c r="F92">
        <v>2</v>
      </c>
      <c r="H92">
        <v>14</v>
      </c>
      <c r="J92">
        <f t="shared" si="2"/>
        <v>238</v>
      </c>
      <c r="L92">
        <f t="shared" si="3"/>
        <v>0.10625</v>
      </c>
    </row>
    <row r="93" spans="1:12" x14ac:dyDescent="0.25">
      <c r="A93">
        <v>1713</v>
      </c>
      <c r="B93" t="s">
        <v>63</v>
      </c>
      <c r="C93" t="s">
        <v>56</v>
      </c>
      <c r="D93" t="s">
        <v>35</v>
      </c>
      <c r="E93">
        <v>15</v>
      </c>
      <c r="J93">
        <f t="shared" si="2"/>
        <v>33600</v>
      </c>
      <c r="L93">
        <f t="shared" si="3"/>
        <v>15</v>
      </c>
    </row>
    <row r="94" spans="1:12" x14ac:dyDescent="0.25">
      <c r="A94">
        <v>1713</v>
      </c>
      <c r="B94" t="s">
        <v>91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1713</v>
      </c>
      <c r="B95" t="s">
        <v>71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1713</v>
      </c>
      <c r="B96" t="s">
        <v>64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1713</v>
      </c>
      <c r="B97" t="s">
        <v>65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</sheetData>
  <autoFilter ref="A1:N52" xr:uid="{AAD1F908-12B8-4B3A-A65D-184CD229ACD4}">
    <sortState xmlns:xlrd2="http://schemas.microsoft.com/office/spreadsheetml/2017/richdata2" ref="A2:N52">
      <sortCondition ref="B1:B5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3"/>
  <sheetViews>
    <sheetView workbookViewId="0">
      <selection activeCell="A2" sqref="A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66</v>
      </c>
      <c r="C2" t="s">
        <v>67</v>
      </c>
      <c r="D2" t="s">
        <v>33</v>
      </c>
      <c r="J2">
        <f t="shared" ref="J2:J23" si="0">(E2*2240)+(F2*112)+(G2*28)+H2</f>
        <v>0</v>
      </c>
      <c r="L2">
        <f t="shared" ref="L2:L23" si="1">J2/2240</f>
        <v>0</v>
      </c>
    </row>
    <row r="3" spans="1:12" x14ac:dyDescent="0.25"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12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27</v>
      </c>
      <c r="C7" t="s">
        <v>67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B8" t="s">
        <v>17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18</v>
      </c>
      <c r="C9" t="s">
        <v>67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21</v>
      </c>
      <c r="C10" t="s">
        <v>67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61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63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6</v>
      </c>
      <c r="C13" t="s">
        <v>67</v>
      </c>
      <c r="D13" t="s">
        <v>35</v>
      </c>
      <c r="J13">
        <f t="shared" si="0"/>
        <v>0</v>
      </c>
      <c r="L13">
        <f t="shared" si="1"/>
        <v>0</v>
      </c>
    </row>
    <row r="14" spans="1:12" x14ac:dyDescent="0.25">
      <c r="B14" t="s">
        <v>12</v>
      </c>
      <c r="C14" t="s">
        <v>67</v>
      </c>
      <c r="D14" t="s">
        <v>35</v>
      </c>
      <c r="J14">
        <f t="shared" si="0"/>
        <v>0</v>
      </c>
      <c r="L14">
        <f t="shared" si="1"/>
        <v>0</v>
      </c>
    </row>
    <row r="15" spans="1:12" x14ac:dyDescent="0.25">
      <c r="B15" t="s">
        <v>41</v>
      </c>
      <c r="C15" t="s">
        <v>67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B16" t="s">
        <v>27</v>
      </c>
      <c r="C16" t="s">
        <v>67</v>
      </c>
      <c r="D16" t="s">
        <v>35</v>
      </c>
      <c r="J16">
        <f t="shared" si="0"/>
        <v>0</v>
      </c>
      <c r="L16">
        <f t="shared" si="1"/>
        <v>0</v>
      </c>
    </row>
    <row r="17" spans="2:12" x14ac:dyDescent="0.25">
      <c r="B17" t="s">
        <v>17</v>
      </c>
      <c r="C17" t="s">
        <v>67</v>
      </c>
      <c r="D17" t="s">
        <v>35</v>
      </c>
      <c r="J17">
        <f t="shared" si="0"/>
        <v>0</v>
      </c>
      <c r="L17">
        <f t="shared" si="1"/>
        <v>0</v>
      </c>
    </row>
    <row r="18" spans="2:12" x14ac:dyDescent="0.25">
      <c r="B18" t="s">
        <v>19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2:12" x14ac:dyDescent="0.25">
      <c r="B19" t="s">
        <v>54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2:12" x14ac:dyDescent="0.25">
      <c r="B20" t="s">
        <v>9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2:12" x14ac:dyDescent="0.25">
      <c r="B21" t="s">
        <v>8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2:12" x14ac:dyDescent="0.25">
      <c r="B22" t="s">
        <v>61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2:12" x14ac:dyDescent="0.25">
      <c r="B23" t="s">
        <v>63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7"/>
  <sheetViews>
    <sheetView topLeftCell="A106" zoomScaleNormal="100" workbookViewId="0">
      <selection activeCell="H106" sqref="H10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1713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1713</v>
      </c>
      <c r="B3" t="s">
        <v>57</v>
      </c>
      <c r="C3" t="s">
        <v>68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1713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1713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1713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1713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1713</v>
      </c>
      <c r="B8" t="s">
        <v>43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1713</v>
      </c>
      <c r="B9" t="s">
        <v>77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1713</v>
      </c>
      <c r="B10" t="s">
        <v>5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1713</v>
      </c>
      <c r="B11" t="s">
        <v>59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1713</v>
      </c>
      <c r="B12" t="s">
        <v>6</v>
      </c>
      <c r="C12" t="s">
        <v>68</v>
      </c>
      <c r="D12" t="s">
        <v>33</v>
      </c>
      <c r="F12">
        <v>81529</v>
      </c>
      <c r="G12">
        <v>3</v>
      </c>
      <c r="H12">
        <v>13</v>
      </c>
      <c r="J12">
        <f t="shared" si="0"/>
        <v>9131345</v>
      </c>
      <c r="L12">
        <f t="shared" si="1"/>
        <v>4076.4933035714284</v>
      </c>
    </row>
    <row r="13" spans="1:12" x14ac:dyDescent="0.25">
      <c r="A13">
        <v>1713</v>
      </c>
      <c r="B13" t="s">
        <v>99</v>
      </c>
      <c r="C13" t="s">
        <v>68</v>
      </c>
      <c r="D13" t="s">
        <v>33</v>
      </c>
      <c r="H13">
        <v>1727</v>
      </c>
      <c r="J13">
        <f t="shared" si="0"/>
        <v>1727</v>
      </c>
      <c r="L13">
        <f t="shared" si="1"/>
        <v>0.77098214285714284</v>
      </c>
    </row>
    <row r="14" spans="1:12" x14ac:dyDescent="0.25">
      <c r="A14">
        <v>1713</v>
      </c>
      <c r="B14" t="s">
        <v>60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1713</v>
      </c>
      <c r="B15" t="s">
        <v>7</v>
      </c>
      <c r="C15" t="s">
        <v>68</v>
      </c>
      <c r="D15" t="s">
        <v>33</v>
      </c>
      <c r="H15">
        <v>65</v>
      </c>
      <c r="J15">
        <f t="shared" si="0"/>
        <v>65</v>
      </c>
      <c r="L15">
        <f t="shared" si="1"/>
        <v>2.9017857142857144E-2</v>
      </c>
    </row>
    <row r="16" spans="1:12" x14ac:dyDescent="0.25">
      <c r="A16">
        <v>1713</v>
      </c>
      <c r="B16" t="s">
        <v>37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1713</v>
      </c>
      <c r="B17" t="s">
        <v>8</v>
      </c>
      <c r="C17" t="s">
        <v>68</v>
      </c>
      <c r="D17" t="s">
        <v>33</v>
      </c>
      <c r="F17">
        <v>228</v>
      </c>
      <c r="G17">
        <v>1</v>
      </c>
      <c r="H17">
        <v>7</v>
      </c>
      <c r="J17">
        <f t="shared" si="0"/>
        <v>25571</v>
      </c>
      <c r="L17">
        <f t="shared" si="1"/>
        <v>11.415625</v>
      </c>
    </row>
    <row r="18" spans="1:12" x14ac:dyDescent="0.25">
      <c r="A18">
        <v>1713</v>
      </c>
      <c r="B18" t="s">
        <v>40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1713</v>
      </c>
      <c r="B19" t="s">
        <v>78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1713</v>
      </c>
      <c r="B20" t="s">
        <v>79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1713</v>
      </c>
      <c r="B21" t="s">
        <v>46</v>
      </c>
      <c r="C21" t="s">
        <v>68</v>
      </c>
      <c r="D21" t="s">
        <v>33</v>
      </c>
      <c r="H21">
        <v>2775</v>
      </c>
      <c r="J21">
        <f t="shared" si="0"/>
        <v>2775</v>
      </c>
      <c r="L21">
        <f t="shared" si="1"/>
        <v>1.2388392857142858</v>
      </c>
    </row>
    <row r="22" spans="1:12" x14ac:dyDescent="0.25">
      <c r="A22">
        <v>1713</v>
      </c>
      <c r="B22" t="s">
        <v>9</v>
      </c>
      <c r="C22" t="s">
        <v>68</v>
      </c>
      <c r="D22" t="s">
        <v>33</v>
      </c>
      <c r="H22">
        <v>90241</v>
      </c>
      <c r="J22">
        <f t="shared" si="0"/>
        <v>90241</v>
      </c>
      <c r="L22">
        <f t="shared" si="1"/>
        <v>40.286160714285714</v>
      </c>
    </row>
    <row r="23" spans="1:12" x14ac:dyDescent="0.25">
      <c r="A23">
        <v>1713</v>
      </c>
      <c r="B23" t="s">
        <v>10</v>
      </c>
      <c r="C23" t="s">
        <v>68</v>
      </c>
      <c r="D23" t="s">
        <v>33</v>
      </c>
      <c r="F23">
        <v>2978</v>
      </c>
      <c r="G23">
        <v>3</v>
      </c>
      <c r="H23">
        <v>14</v>
      </c>
      <c r="J23">
        <f t="shared" si="0"/>
        <v>333634</v>
      </c>
      <c r="L23">
        <f t="shared" si="1"/>
        <v>148.94374999999999</v>
      </c>
    </row>
    <row r="24" spans="1:12" x14ac:dyDescent="0.25">
      <c r="A24">
        <v>1713</v>
      </c>
      <c r="B24" t="s">
        <v>11</v>
      </c>
      <c r="C24" t="s">
        <v>68</v>
      </c>
      <c r="D24" t="s">
        <v>33</v>
      </c>
      <c r="F24">
        <v>190</v>
      </c>
      <c r="G24">
        <v>3</v>
      </c>
      <c r="H24">
        <v>15</v>
      </c>
      <c r="J24">
        <f t="shared" si="0"/>
        <v>21379</v>
      </c>
      <c r="L24">
        <f t="shared" si="1"/>
        <v>9.5441964285714285</v>
      </c>
    </row>
    <row r="25" spans="1:12" x14ac:dyDescent="0.25">
      <c r="A25">
        <v>1713</v>
      </c>
      <c r="B25" t="s">
        <v>39</v>
      </c>
      <c r="C25" t="s">
        <v>68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1713</v>
      </c>
      <c r="B26" t="s">
        <v>80</v>
      </c>
      <c r="C26" t="s">
        <v>68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1713</v>
      </c>
      <c r="B27" t="s">
        <v>81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1713</v>
      </c>
      <c r="B28" t="s">
        <v>44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1713</v>
      </c>
      <c r="B29" t="s">
        <v>100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1713</v>
      </c>
      <c r="B30" t="s">
        <v>12</v>
      </c>
      <c r="C30" t="s">
        <v>68</v>
      </c>
      <c r="D30" t="s">
        <v>33</v>
      </c>
      <c r="H30">
        <v>129142</v>
      </c>
      <c r="J30">
        <f t="shared" si="0"/>
        <v>129142</v>
      </c>
      <c r="L30">
        <f t="shared" si="1"/>
        <v>57.652678571428574</v>
      </c>
    </row>
    <row r="31" spans="1:12" x14ac:dyDescent="0.25">
      <c r="A31">
        <v>1713</v>
      </c>
      <c r="B31" t="s">
        <v>84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1713</v>
      </c>
      <c r="B32" t="s">
        <v>34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1713</v>
      </c>
      <c r="B33" t="s">
        <v>13</v>
      </c>
      <c r="C33" t="s">
        <v>68</v>
      </c>
      <c r="D33" t="s">
        <v>33</v>
      </c>
      <c r="F33">
        <v>21</v>
      </c>
      <c r="G33">
        <v>3</v>
      </c>
      <c r="H33">
        <v>26</v>
      </c>
      <c r="J33">
        <f t="shared" si="0"/>
        <v>2462</v>
      </c>
      <c r="L33">
        <f t="shared" si="1"/>
        <v>1.0991071428571428</v>
      </c>
    </row>
    <row r="34" spans="1:12" x14ac:dyDescent="0.25">
      <c r="A34">
        <v>1713</v>
      </c>
      <c r="B34" t="s">
        <v>14</v>
      </c>
      <c r="C34" t="s">
        <v>68</v>
      </c>
      <c r="D34" t="s">
        <v>33</v>
      </c>
      <c r="H34">
        <v>58675</v>
      </c>
      <c r="I34" t="s">
        <v>109</v>
      </c>
      <c r="J34">
        <f t="shared" si="0"/>
        <v>58675</v>
      </c>
      <c r="L34">
        <f t="shared" si="1"/>
        <v>26.194196428571427</v>
      </c>
    </row>
    <row r="35" spans="1:12" x14ac:dyDescent="0.25">
      <c r="A35">
        <v>1713</v>
      </c>
      <c r="B35" t="s">
        <v>23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1713</v>
      </c>
      <c r="B36" t="s">
        <v>27</v>
      </c>
      <c r="C36" t="s">
        <v>68</v>
      </c>
      <c r="D36" t="s">
        <v>33</v>
      </c>
      <c r="H36">
        <v>14473.5</v>
      </c>
      <c r="I36" t="s">
        <v>108</v>
      </c>
      <c r="J36">
        <f t="shared" si="0"/>
        <v>14473.5</v>
      </c>
      <c r="L36">
        <f t="shared" si="1"/>
        <v>6.4613839285714283</v>
      </c>
    </row>
    <row r="37" spans="1:12" x14ac:dyDescent="0.25">
      <c r="A37">
        <v>1713</v>
      </c>
      <c r="B37" t="s">
        <v>15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1713</v>
      </c>
      <c r="B38" t="s">
        <v>42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1713</v>
      </c>
      <c r="B39" t="s">
        <v>85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1713</v>
      </c>
      <c r="B40" t="s">
        <v>47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1713</v>
      </c>
      <c r="B41" t="s">
        <v>16</v>
      </c>
      <c r="C41" t="s">
        <v>68</v>
      </c>
      <c r="D41" t="s">
        <v>33</v>
      </c>
      <c r="H41">
        <v>175781</v>
      </c>
      <c r="J41">
        <f t="shared" si="0"/>
        <v>175781</v>
      </c>
      <c r="L41">
        <f t="shared" si="1"/>
        <v>78.473660714285714</v>
      </c>
    </row>
    <row r="42" spans="1:12" x14ac:dyDescent="0.25">
      <c r="A42">
        <v>1713</v>
      </c>
      <c r="B42" t="s">
        <v>17</v>
      </c>
      <c r="C42" t="s">
        <v>68</v>
      </c>
      <c r="D42" t="s">
        <v>33</v>
      </c>
      <c r="F42">
        <v>173</v>
      </c>
      <c r="H42">
        <v>3</v>
      </c>
      <c r="J42">
        <f t="shared" si="0"/>
        <v>19379</v>
      </c>
      <c r="L42">
        <f t="shared" si="1"/>
        <v>8.6513392857142861</v>
      </c>
    </row>
    <row r="43" spans="1:12" x14ac:dyDescent="0.25">
      <c r="A43">
        <v>1713</v>
      </c>
      <c r="B43" t="s">
        <v>18</v>
      </c>
      <c r="C43" t="s">
        <v>68</v>
      </c>
      <c r="D43" t="s">
        <v>33</v>
      </c>
      <c r="H43">
        <v>44011</v>
      </c>
      <c r="I43" t="s">
        <v>110</v>
      </c>
      <c r="J43">
        <f t="shared" si="0"/>
        <v>44011</v>
      </c>
      <c r="L43">
        <f t="shared" si="1"/>
        <v>19.647767857142856</v>
      </c>
    </row>
    <row r="44" spans="1:12" x14ac:dyDescent="0.25">
      <c r="A44">
        <v>1713</v>
      </c>
      <c r="B44" t="s">
        <v>26</v>
      </c>
      <c r="C44" t="s">
        <v>68</v>
      </c>
      <c r="D44" t="s">
        <v>33</v>
      </c>
      <c r="H44">
        <v>59757</v>
      </c>
      <c r="J44">
        <f t="shared" si="0"/>
        <v>59757</v>
      </c>
      <c r="L44">
        <f t="shared" si="1"/>
        <v>26.677232142857143</v>
      </c>
    </row>
    <row r="45" spans="1:12" x14ac:dyDescent="0.25">
      <c r="A45">
        <v>1713</v>
      </c>
      <c r="B45" t="s">
        <v>86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1713</v>
      </c>
      <c r="B46" t="s">
        <v>19</v>
      </c>
      <c r="C46" t="s">
        <v>68</v>
      </c>
      <c r="D46" t="s">
        <v>33</v>
      </c>
      <c r="F46">
        <v>8</v>
      </c>
      <c r="H46">
        <v>26</v>
      </c>
      <c r="J46">
        <f t="shared" si="0"/>
        <v>922</v>
      </c>
      <c r="L46">
        <f t="shared" si="1"/>
        <v>0.41160714285714284</v>
      </c>
    </row>
    <row r="47" spans="1:12" x14ac:dyDescent="0.25">
      <c r="A47">
        <v>1713</v>
      </c>
      <c r="B47" t="s">
        <v>45</v>
      </c>
      <c r="C47" t="s">
        <v>68</v>
      </c>
      <c r="D47" t="s">
        <v>33</v>
      </c>
      <c r="H47">
        <v>181</v>
      </c>
      <c r="J47">
        <f t="shared" si="0"/>
        <v>181</v>
      </c>
      <c r="L47">
        <f t="shared" si="1"/>
        <v>8.0803571428571433E-2</v>
      </c>
    </row>
    <row r="48" spans="1:12" x14ac:dyDescent="0.25">
      <c r="A48">
        <v>1713</v>
      </c>
      <c r="B48" t="s">
        <v>87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1713</v>
      </c>
      <c r="B49" t="s">
        <v>54</v>
      </c>
      <c r="C49" t="s">
        <v>68</v>
      </c>
      <c r="D49" t="s">
        <v>33</v>
      </c>
      <c r="H49">
        <v>940</v>
      </c>
      <c r="J49">
        <f t="shared" si="0"/>
        <v>940</v>
      </c>
      <c r="L49">
        <f t="shared" si="1"/>
        <v>0.41964285714285715</v>
      </c>
    </row>
    <row r="50" spans="1:12" x14ac:dyDescent="0.25">
      <c r="A50">
        <v>1713</v>
      </c>
      <c r="B50" t="s">
        <v>98</v>
      </c>
      <c r="C50" t="s">
        <v>68</v>
      </c>
      <c r="D50" t="s">
        <v>33</v>
      </c>
      <c r="H50">
        <v>130</v>
      </c>
      <c r="J50">
        <f t="shared" si="0"/>
        <v>130</v>
      </c>
      <c r="L50">
        <f t="shared" si="1"/>
        <v>5.8035714285714288E-2</v>
      </c>
    </row>
    <row r="51" spans="1:12" x14ac:dyDescent="0.25">
      <c r="A51">
        <v>1713</v>
      </c>
      <c r="B51" t="s">
        <v>20</v>
      </c>
      <c r="C51" t="s">
        <v>68</v>
      </c>
      <c r="D51" t="s">
        <v>33</v>
      </c>
      <c r="H51">
        <v>5147</v>
      </c>
      <c r="J51">
        <f t="shared" si="0"/>
        <v>5147</v>
      </c>
      <c r="L51">
        <f t="shared" si="1"/>
        <v>2.297767857142857</v>
      </c>
    </row>
    <row r="52" spans="1:12" x14ac:dyDescent="0.25">
      <c r="A52">
        <v>1713</v>
      </c>
      <c r="B52" t="s">
        <v>21</v>
      </c>
      <c r="C52" t="s">
        <v>68</v>
      </c>
      <c r="D52" t="s">
        <v>33</v>
      </c>
      <c r="H52">
        <v>2957</v>
      </c>
      <c r="J52">
        <f t="shared" si="0"/>
        <v>2957</v>
      </c>
      <c r="L52">
        <f t="shared" si="1"/>
        <v>1.3200892857142856</v>
      </c>
    </row>
    <row r="53" spans="1:12" x14ac:dyDescent="0.25">
      <c r="A53">
        <v>1713</v>
      </c>
      <c r="B53" t="s">
        <v>22</v>
      </c>
      <c r="C53" t="s">
        <v>68</v>
      </c>
      <c r="D53" t="s">
        <v>33</v>
      </c>
      <c r="F53">
        <v>12</v>
      </c>
      <c r="H53">
        <v>11</v>
      </c>
      <c r="J53">
        <f t="shared" si="0"/>
        <v>1355</v>
      </c>
      <c r="L53">
        <f t="shared" si="1"/>
        <v>0.6049107142857143</v>
      </c>
    </row>
    <row r="54" spans="1:12" x14ac:dyDescent="0.25">
      <c r="A54">
        <v>1713</v>
      </c>
      <c r="B54" t="s">
        <v>61</v>
      </c>
      <c r="C54" t="s">
        <v>68</v>
      </c>
      <c r="D54" t="s">
        <v>33</v>
      </c>
      <c r="E54">
        <v>13</v>
      </c>
      <c r="F54">
        <v>13</v>
      </c>
      <c r="G54">
        <v>3</v>
      </c>
      <c r="J54">
        <f t="shared" si="0"/>
        <v>30660</v>
      </c>
      <c r="L54">
        <f t="shared" si="1"/>
        <v>13.6875</v>
      </c>
    </row>
    <row r="55" spans="1:12" x14ac:dyDescent="0.25">
      <c r="A55">
        <v>1713</v>
      </c>
      <c r="B55" t="s">
        <v>101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1713</v>
      </c>
      <c r="B56" t="s">
        <v>89</v>
      </c>
      <c r="C56" t="s">
        <v>68</v>
      </c>
      <c r="D56" t="s">
        <v>33</v>
      </c>
      <c r="F56">
        <v>3</v>
      </c>
      <c r="H56">
        <v>21</v>
      </c>
      <c r="J56">
        <f t="shared" si="0"/>
        <v>357</v>
      </c>
      <c r="L56">
        <f t="shared" si="1"/>
        <v>0.15937499999999999</v>
      </c>
    </row>
    <row r="57" spans="1:12" x14ac:dyDescent="0.25">
      <c r="A57">
        <v>1713</v>
      </c>
      <c r="B57" t="s">
        <v>62</v>
      </c>
      <c r="C57" t="s">
        <v>68</v>
      </c>
      <c r="D57" t="s">
        <v>33</v>
      </c>
      <c r="E57">
        <v>157</v>
      </c>
      <c r="F57">
        <v>19</v>
      </c>
      <c r="G57">
        <v>1</v>
      </c>
      <c r="H57">
        <v>15</v>
      </c>
      <c r="J57">
        <f t="shared" si="0"/>
        <v>353851</v>
      </c>
      <c r="L57">
        <f t="shared" si="1"/>
        <v>157.96919642857142</v>
      </c>
    </row>
    <row r="58" spans="1:12" x14ac:dyDescent="0.25">
      <c r="A58">
        <v>1713</v>
      </c>
      <c r="B58" t="s">
        <v>90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1713</v>
      </c>
      <c r="B59" t="s">
        <v>63</v>
      </c>
      <c r="C59" t="s">
        <v>68</v>
      </c>
      <c r="D59" t="s">
        <v>33</v>
      </c>
      <c r="E59">
        <v>338</v>
      </c>
      <c r="F59">
        <v>14</v>
      </c>
      <c r="G59">
        <v>3</v>
      </c>
      <c r="H59">
        <v>3</v>
      </c>
      <c r="J59">
        <f t="shared" si="0"/>
        <v>758775</v>
      </c>
      <c r="L59">
        <f t="shared" si="1"/>
        <v>338.73883928571428</v>
      </c>
    </row>
    <row r="60" spans="1:12" x14ac:dyDescent="0.25">
      <c r="A60">
        <v>1713</v>
      </c>
      <c r="B60" t="s">
        <v>91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1713</v>
      </c>
      <c r="B61" t="s">
        <v>71</v>
      </c>
      <c r="C61" t="s">
        <v>68</v>
      </c>
      <c r="D61" t="s">
        <v>33</v>
      </c>
      <c r="E61">
        <v>226</v>
      </c>
      <c r="F61">
        <v>7</v>
      </c>
      <c r="G61">
        <v>1</v>
      </c>
      <c r="H61">
        <v>25</v>
      </c>
      <c r="J61">
        <f t="shared" si="0"/>
        <v>507077</v>
      </c>
      <c r="L61">
        <f t="shared" si="1"/>
        <v>226.37366071428571</v>
      </c>
    </row>
    <row r="62" spans="1:12" x14ac:dyDescent="0.25">
      <c r="A62">
        <v>1713</v>
      </c>
      <c r="B62" t="s">
        <v>64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1713</v>
      </c>
      <c r="B63" t="s">
        <v>65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1713</v>
      </c>
      <c r="B64" t="s">
        <v>55</v>
      </c>
      <c r="C64" t="s">
        <v>68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1713</v>
      </c>
      <c r="B65" t="s">
        <v>57</v>
      </c>
      <c r="C65" t="s">
        <v>68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1713</v>
      </c>
      <c r="B66" t="s">
        <v>36</v>
      </c>
      <c r="C66" t="s">
        <v>68</v>
      </c>
      <c r="D66" t="s">
        <v>35</v>
      </c>
      <c r="H66">
        <v>220</v>
      </c>
      <c r="J66">
        <f t="shared" si="0"/>
        <v>220</v>
      </c>
      <c r="L66">
        <f t="shared" si="1"/>
        <v>9.8214285714285712E-2</v>
      </c>
    </row>
    <row r="67" spans="1:12" x14ac:dyDescent="0.25">
      <c r="A67">
        <v>1713</v>
      </c>
      <c r="B67" t="s">
        <v>4</v>
      </c>
      <c r="C67" t="s">
        <v>68</v>
      </c>
      <c r="D67" t="s">
        <v>35</v>
      </c>
      <c r="J67">
        <f t="shared" ref="J67:J127" si="2">(E67*2240)+(F67*112)+(G67*28)+H67</f>
        <v>0</v>
      </c>
      <c r="L67">
        <f t="shared" ref="L67:L127" si="3">J67/2240</f>
        <v>0</v>
      </c>
    </row>
    <row r="68" spans="1:12" x14ac:dyDescent="0.25">
      <c r="A68">
        <v>1713</v>
      </c>
      <c r="B68" t="s">
        <v>58</v>
      </c>
      <c r="C68" t="s">
        <v>68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1713</v>
      </c>
      <c r="B69" t="s">
        <v>69</v>
      </c>
      <c r="C69" t="s">
        <v>68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1713</v>
      </c>
      <c r="B70" t="s">
        <v>43</v>
      </c>
      <c r="C70" t="s">
        <v>68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1713</v>
      </c>
      <c r="B71" t="s">
        <v>77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1713</v>
      </c>
      <c r="B72" t="s">
        <v>5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1713</v>
      </c>
      <c r="B73" t="s">
        <v>59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1713</v>
      </c>
      <c r="B74" t="s">
        <v>6</v>
      </c>
      <c r="C74" t="s">
        <v>68</v>
      </c>
      <c r="D74" t="s">
        <v>35</v>
      </c>
      <c r="F74">
        <v>49483</v>
      </c>
      <c r="G74">
        <v>1</v>
      </c>
      <c r="H74">
        <v>5</v>
      </c>
      <c r="J74">
        <f t="shared" si="2"/>
        <v>5542129</v>
      </c>
      <c r="L74">
        <f t="shared" si="3"/>
        <v>2474.1647321428572</v>
      </c>
    </row>
    <row r="75" spans="1:12" x14ac:dyDescent="0.25">
      <c r="A75">
        <v>1713</v>
      </c>
      <c r="B75" t="s">
        <v>60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1713</v>
      </c>
      <c r="B76" t="s">
        <v>7</v>
      </c>
      <c r="C76" t="s">
        <v>68</v>
      </c>
      <c r="D76" t="s">
        <v>35</v>
      </c>
      <c r="H76">
        <v>39</v>
      </c>
      <c r="J76">
        <f t="shared" si="2"/>
        <v>39</v>
      </c>
      <c r="L76">
        <f t="shared" si="3"/>
        <v>1.7410714285714286E-2</v>
      </c>
    </row>
    <row r="77" spans="1:12" x14ac:dyDescent="0.25">
      <c r="A77">
        <v>1713</v>
      </c>
      <c r="B77" t="s">
        <v>37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1713</v>
      </c>
      <c r="B78" t="s">
        <v>8</v>
      </c>
      <c r="C78" t="s">
        <v>68</v>
      </c>
      <c r="D78" t="s">
        <v>35</v>
      </c>
      <c r="F78">
        <v>1242</v>
      </c>
      <c r="G78">
        <v>2</v>
      </c>
      <c r="H78">
        <v>19</v>
      </c>
      <c r="J78">
        <f t="shared" si="2"/>
        <v>139179</v>
      </c>
      <c r="L78">
        <f t="shared" si="3"/>
        <v>62.13348214285714</v>
      </c>
    </row>
    <row r="79" spans="1:12" x14ac:dyDescent="0.25">
      <c r="A79">
        <v>1713</v>
      </c>
      <c r="B79" t="s">
        <v>40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1713</v>
      </c>
      <c r="B80" t="s">
        <v>78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1713</v>
      </c>
      <c r="B81" t="s">
        <v>79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1713</v>
      </c>
      <c r="B82" t="s">
        <v>46</v>
      </c>
      <c r="C82" t="s">
        <v>68</v>
      </c>
      <c r="D82" t="s">
        <v>35</v>
      </c>
      <c r="H82">
        <v>140</v>
      </c>
      <c r="J82">
        <f t="shared" si="2"/>
        <v>140</v>
      </c>
      <c r="L82">
        <f t="shared" si="3"/>
        <v>6.25E-2</v>
      </c>
    </row>
    <row r="83" spans="1:12" x14ac:dyDescent="0.25">
      <c r="A83">
        <v>1713</v>
      </c>
      <c r="B83" t="s">
        <v>9</v>
      </c>
      <c r="C83" t="s">
        <v>68</v>
      </c>
      <c r="D83" t="s">
        <v>35</v>
      </c>
      <c r="H83">
        <v>147615</v>
      </c>
      <c r="J83">
        <f t="shared" si="2"/>
        <v>147615</v>
      </c>
      <c r="L83">
        <f t="shared" si="3"/>
        <v>65.899553571428569</v>
      </c>
    </row>
    <row r="84" spans="1:12" x14ac:dyDescent="0.25">
      <c r="A84">
        <v>1713</v>
      </c>
      <c r="B84" t="s">
        <v>10</v>
      </c>
      <c r="C84" t="s">
        <v>68</v>
      </c>
      <c r="D84" t="s">
        <v>35</v>
      </c>
      <c r="F84">
        <v>247</v>
      </c>
      <c r="H84">
        <v>3</v>
      </c>
      <c r="J84">
        <f t="shared" si="2"/>
        <v>27667</v>
      </c>
      <c r="L84">
        <f t="shared" si="3"/>
        <v>12.351339285714285</v>
      </c>
    </row>
    <row r="85" spans="1:12" x14ac:dyDescent="0.25">
      <c r="A85">
        <v>1713</v>
      </c>
      <c r="B85" t="s">
        <v>11</v>
      </c>
      <c r="C85" t="s">
        <v>68</v>
      </c>
      <c r="D85" t="s">
        <v>35</v>
      </c>
      <c r="F85">
        <v>47</v>
      </c>
      <c r="G85">
        <v>1</v>
      </c>
      <c r="H85">
        <v>13</v>
      </c>
      <c r="J85">
        <f t="shared" si="2"/>
        <v>5305</v>
      </c>
      <c r="L85">
        <f t="shared" si="3"/>
        <v>2.3683035714285716</v>
      </c>
    </row>
    <row r="86" spans="1:12" x14ac:dyDescent="0.25">
      <c r="A86">
        <v>1713</v>
      </c>
      <c r="B86" t="s">
        <v>39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1713</v>
      </c>
      <c r="B87" t="s">
        <v>80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1713</v>
      </c>
      <c r="B88" t="s">
        <v>81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1713</v>
      </c>
      <c r="B89" t="s">
        <v>44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1713</v>
      </c>
      <c r="B90" t="s">
        <v>100</v>
      </c>
      <c r="C90" t="s">
        <v>68</v>
      </c>
      <c r="D90" t="s">
        <v>35</v>
      </c>
      <c r="H90">
        <v>54</v>
      </c>
      <c r="J90">
        <f t="shared" si="2"/>
        <v>54</v>
      </c>
      <c r="L90">
        <f t="shared" si="3"/>
        <v>2.4107142857142858E-2</v>
      </c>
    </row>
    <row r="91" spans="1:12" x14ac:dyDescent="0.25">
      <c r="A91">
        <v>1713</v>
      </c>
      <c r="B91" t="s">
        <v>12</v>
      </c>
      <c r="C91" t="s">
        <v>68</v>
      </c>
      <c r="D91" t="s">
        <v>35</v>
      </c>
      <c r="H91">
        <v>111934</v>
      </c>
      <c r="J91">
        <f t="shared" si="2"/>
        <v>111934</v>
      </c>
      <c r="L91">
        <f t="shared" si="3"/>
        <v>49.970535714285717</v>
      </c>
    </row>
    <row r="92" spans="1:12" x14ac:dyDescent="0.25">
      <c r="A92">
        <v>1713</v>
      </c>
      <c r="B92" t="s">
        <v>84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1713</v>
      </c>
      <c r="B93" t="s">
        <v>34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1713</v>
      </c>
      <c r="B94" t="s">
        <v>13</v>
      </c>
      <c r="C94" t="s">
        <v>68</v>
      </c>
      <c r="D94" t="s">
        <v>35</v>
      </c>
      <c r="F94">
        <v>15</v>
      </c>
      <c r="G94">
        <v>2</v>
      </c>
      <c r="J94">
        <f t="shared" si="2"/>
        <v>1736</v>
      </c>
      <c r="L94">
        <f t="shared" si="3"/>
        <v>0.77500000000000002</v>
      </c>
    </row>
    <row r="95" spans="1:12" x14ac:dyDescent="0.25">
      <c r="A95">
        <v>1713</v>
      </c>
      <c r="B95" t="s">
        <v>14</v>
      </c>
      <c r="C95" t="s">
        <v>68</v>
      </c>
      <c r="D95" t="s">
        <v>35</v>
      </c>
      <c r="H95">
        <v>63976.5</v>
      </c>
      <c r="I95" t="s">
        <v>123</v>
      </c>
      <c r="J95">
        <f t="shared" si="2"/>
        <v>63976.5</v>
      </c>
      <c r="L95">
        <f t="shared" si="3"/>
        <v>28.560937500000001</v>
      </c>
    </row>
    <row r="96" spans="1:12" x14ac:dyDescent="0.25">
      <c r="A96">
        <v>1713</v>
      </c>
      <c r="B96" t="s">
        <v>23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1713</v>
      </c>
      <c r="B97" t="s">
        <v>27</v>
      </c>
      <c r="C97" t="s">
        <v>68</v>
      </c>
      <c r="D97" t="s">
        <v>35</v>
      </c>
      <c r="H97">
        <v>11713</v>
      </c>
      <c r="I97" t="s">
        <v>122</v>
      </c>
      <c r="J97">
        <f t="shared" si="2"/>
        <v>11713</v>
      </c>
      <c r="L97">
        <f t="shared" si="3"/>
        <v>5.2290178571428569</v>
      </c>
    </row>
    <row r="98" spans="1:12" x14ac:dyDescent="0.25">
      <c r="A98">
        <v>1713</v>
      </c>
      <c r="B98" t="s">
        <v>15</v>
      </c>
      <c r="C98" t="s">
        <v>68</v>
      </c>
      <c r="D98" t="s">
        <v>35</v>
      </c>
      <c r="F98">
        <v>379</v>
      </c>
      <c r="G98">
        <v>3</v>
      </c>
      <c r="H98">
        <v>14</v>
      </c>
      <c r="J98">
        <f t="shared" si="2"/>
        <v>42546</v>
      </c>
      <c r="L98">
        <f t="shared" si="3"/>
        <v>18.993749999999999</v>
      </c>
    </row>
    <row r="99" spans="1:12" x14ac:dyDescent="0.25">
      <c r="A99">
        <v>1713</v>
      </c>
      <c r="B99" t="s">
        <v>94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1713</v>
      </c>
      <c r="B100" t="s">
        <v>42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1713</v>
      </c>
      <c r="B101" t="s">
        <v>85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1713</v>
      </c>
      <c r="B102" t="s">
        <v>47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1713</v>
      </c>
      <c r="B103" t="s">
        <v>16</v>
      </c>
      <c r="C103" t="s">
        <v>68</v>
      </c>
      <c r="D103" t="s">
        <v>35</v>
      </c>
      <c r="H103">
        <v>75593</v>
      </c>
      <c r="J103">
        <f t="shared" si="2"/>
        <v>75593</v>
      </c>
      <c r="L103">
        <f t="shared" si="3"/>
        <v>33.746875000000003</v>
      </c>
    </row>
    <row r="104" spans="1:12" x14ac:dyDescent="0.25">
      <c r="A104">
        <v>1713</v>
      </c>
      <c r="B104" t="s">
        <v>17</v>
      </c>
      <c r="C104" t="s">
        <v>68</v>
      </c>
      <c r="D104" t="s">
        <v>35</v>
      </c>
      <c r="F104">
        <v>614</v>
      </c>
      <c r="H104">
        <v>19</v>
      </c>
      <c r="J104">
        <f t="shared" si="2"/>
        <v>68787</v>
      </c>
      <c r="L104">
        <f t="shared" si="3"/>
        <v>30.708482142857143</v>
      </c>
    </row>
    <row r="105" spans="1:12" x14ac:dyDescent="0.25">
      <c r="A105">
        <v>1713</v>
      </c>
      <c r="B105" t="s">
        <v>18</v>
      </c>
      <c r="C105" t="s">
        <v>68</v>
      </c>
      <c r="D105" t="s">
        <v>35</v>
      </c>
      <c r="H105">
        <v>19455</v>
      </c>
      <c r="I105" t="s">
        <v>124</v>
      </c>
      <c r="J105">
        <f t="shared" si="2"/>
        <v>19455</v>
      </c>
      <c r="L105">
        <f t="shared" si="3"/>
        <v>8.6852678571428577</v>
      </c>
    </row>
    <row r="106" spans="1:12" x14ac:dyDescent="0.25">
      <c r="A106">
        <v>1713</v>
      </c>
      <c r="B106" t="s">
        <v>26</v>
      </c>
      <c r="C106" t="s">
        <v>68</v>
      </c>
      <c r="D106" t="s">
        <v>35</v>
      </c>
      <c r="H106">
        <v>39108</v>
      </c>
      <c r="J106">
        <f t="shared" si="2"/>
        <v>39108</v>
      </c>
      <c r="L106">
        <f t="shared" si="3"/>
        <v>17.458928571428572</v>
      </c>
    </row>
    <row r="107" spans="1:12" x14ac:dyDescent="0.25">
      <c r="A107">
        <v>1713</v>
      </c>
      <c r="B107" t="s">
        <v>86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1713</v>
      </c>
      <c r="B108" t="s">
        <v>19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1713</v>
      </c>
      <c r="B109" t="s">
        <v>45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1713</v>
      </c>
      <c r="B110" t="s">
        <v>87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1713</v>
      </c>
      <c r="B111" t="s">
        <v>54</v>
      </c>
      <c r="C111" t="s">
        <v>68</v>
      </c>
      <c r="D111" t="s">
        <v>35</v>
      </c>
      <c r="H111">
        <v>779</v>
      </c>
      <c r="J111">
        <f t="shared" si="2"/>
        <v>779</v>
      </c>
      <c r="L111">
        <f t="shared" si="3"/>
        <v>0.34776785714285713</v>
      </c>
    </row>
    <row r="112" spans="1:12" x14ac:dyDescent="0.25">
      <c r="A112">
        <v>1713</v>
      </c>
      <c r="B112" t="s">
        <v>72</v>
      </c>
      <c r="C112" t="s">
        <v>68</v>
      </c>
      <c r="D112" t="s">
        <v>35</v>
      </c>
      <c r="F112">
        <v>6</v>
      </c>
      <c r="G112">
        <v>3</v>
      </c>
      <c r="H112">
        <v>27</v>
      </c>
      <c r="J112">
        <f t="shared" si="2"/>
        <v>783</v>
      </c>
      <c r="L112">
        <f t="shared" si="3"/>
        <v>0.34955357142857141</v>
      </c>
    </row>
    <row r="113" spans="1:12" x14ac:dyDescent="0.25">
      <c r="A113">
        <v>1713</v>
      </c>
      <c r="B113" t="s">
        <v>98</v>
      </c>
      <c r="C113" t="s">
        <v>68</v>
      </c>
      <c r="D113" t="s">
        <v>35</v>
      </c>
      <c r="H113">
        <v>509</v>
      </c>
      <c r="J113">
        <f t="shared" si="2"/>
        <v>509</v>
      </c>
      <c r="L113">
        <f t="shared" si="3"/>
        <v>0.22723214285714285</v>
      </c>
    </row>
    <row r="114" spans="1:12" x14ac:dyDescent="0.25">
      <c r="A114">
        <v>1713</v>
      </c>
      <c r="B114" t="s">
        <v>20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1713</v>
      </c>
      <c r="B115" t="s">
        <v>21</v>
      </c>
      <c r="C115" t="s">
        <v>68</v>
      </c>
      <c r="D115" t="s">
        <v>35</v>
      </c>
      <c r="H115">
        <v>3156.5</v>
      </c>
      <c r="J115">
        <f t="shared" si="2"/>
        <v>3156.5</v>
      </c>
      <c r="L115">
        <f t="shared" si="3"/>
        <v>1.4091517857142857</v>
      </c>
    </row>
    <row r="116" spans="1:12" x14ac:dyDescent="0.25">
      <c r="A116">
        <v>1713</v>
      </c>
      <c r="B116" t="s">
        <v>22</v>
      </c>
      <c r="C116" t="s">
        <v>68</v>
      </c>
      <c r="D116" t="s">
        <v>35</v>
      </c>
      <c r="F116">
        <v>102</v>
      </c>
      <c r="G116">
        <v>3</v>
      </c>
      <c r="H116">
        <v>7</v>
      </c>
      <c r="J116">
        <f t="shared" si="2"/>
        <v>11515</v>
      </c>
      <c r="L116">
        <f t="shared" si="3"/>
        <v>5.140625</v>
      </c>
    </row>
    <row r="117" spans="1:12" x14ac:dyDescent="0.25">
      <c r="A117">
        <v>1713</v>
      </c>
      <c r="B117" t="s">
        <v>61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1713</v>
      </c>
      <c r="B118" t="s">
        <v>92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1713</v>
      </c>
      <c r="B119" t="s">
        <v>101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1713</v>
      </c>
      <c r="B120" t="s">
        <v>89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1713</v>
      </c>
      <c r="B121" t="s">
        <v>62</v>
      </c>
      <c r="C121" t="s">
        <v>68</v>
      </c>
      <c r="D121" t="s">
        <v>35</v>
      </c>
      <c r="E121">
        <v>248</v>
      </c>
      <c r="F121">
        <v>5</v>
      </c>
      <c r="H121">
        <v>21</v>
      </c>
      <c r="J121">
        <f t="shared" si="2"/>
        <v>556101</v>
      </c>
      <c r="L121">
        <f t="shared" si="3"/>
        <v>248.25937500000001</v>
      </c>
    </row>
    <row r="122" spans="1:12" x14ac:dyDescent="0.25">
      <c r="A122">
        <v>1713</v>
      </c>
      <c r="B122" t="s">
        <v>90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1713</v>
      </c>
      <c r="B123" t="s">
        <v>63</v>
      </c>
      <c r="C123" t="s">
        <v>68</v>
      </c>
      <c r="D123" t="s">
        <v>35</v>
      </c>
      <c r="E123">
        <v>371</v>
      </c>
      <c r="F123">
        <v>7</v>
      </c>
      <c r="H123">
        <v>24</v>
      </c>
      <c r="J123">
        <f t="shared" si="2"/>
        <v>831848</v>
      </c>
      <c r="L123">
        <f t="shared" si="3"/>
        <v>371.36071428571427</v>
      </c>
    </row>
    <row r="124" spans="1:12" x14ac:dyDescent="0.25">
      <c r="A124">
        <v>1713</v>
      </c>
      <c r="B124" t="s">
        <v>91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1713</v>
      </c>
      <c r="B125" t="s">
        <v>71</v>
      </c>
      <c r="C125" t="s">
        <v>68</v>
      </c>
      <c r="D125" t="s">
        <v>35</v>
      </c>
      <c r="E125">
        <v>12</v>
      </c>
      <c r="F125">
        <v>8</v>
      </c>
      <c r="H125">
        <v>5</v>
      </c>
      <c r="J125">
        <f t="shared" si="2"/>
        <v>27781</v>
      </c>
      <c r="L125">
        <f t="shared" si="3"/>
        <v>12.402232142857143</v>
      </c>
    </row>
    <row r="126" spans="1:12" x14ac:dyDescent="0.25">
      <c r="A126">
        <v>1713</v>
      </c>
      <c r="B126" t="s">
        <v>64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1713</v>
      </c>
      <c r="B127" t="s">
        <v>65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workbookViewId="0">
      <selection activeCell="H28" sqref="H2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1713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1713</v>
      </c>
      <c r="B3" t="s">
        <v>57</v>
      </c>
      <c r="C3" t="s">
        <v>73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1713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1713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1713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1713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1713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1713</v>
      </c>
      <c r="B9" t="s">
        <v>5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1713</v>
      </c>
      <c r="B10" t="s">
        <v>59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1713</v>
      </c>
      <c r="B11" t="s">
        <v>6</v>
      </c>
      <c r="C11" t="s">
        <v>73</v>
      </c>
      <c r="D11" t="s">
        <v>33</v>
      </c>
      <c r="F11">
        <v>14337</v>
      </c>
      <c r="H11">
        <v>17</v>
      </c>
      <c r="J11">
        <f t="shared" si="0"/>
        <v>1605761</v>
      </c>
      <c r="L11">
        <f t="shared" si="1"/>
        <v>716.85758928571431</v>
      </c>
    </row>
    <row r="12" spans="1:12" x14ac:dyDescent="0.25">
      <c r="A12">
        <v>1713</v>
      </c>
      <c r="B12" t="s">
        <v>60</v>
      </c>
      <c r="C12" t="s">
        <v>73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1713</v>
      </c>
      <c r="B13" t="s">
        <v>38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1713</v>
      </c>
      <c r="B14" t="s">
        <v>37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1713</v>
      </c>
      <c r="B15" t="s">
        <v>8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1713</v>
      </c>
      <c r="B16" t="s">
        <v>40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1713</v>
      </c>
      <c r="B17" t="s">
        <v>78</v>
      </c>
      <c r="C17" t="s">
        <v>73</v>
      </c>
      <c r="D17" t="s">
        <v>33</v>
      </c>
      <c r="H17">
        <v>6296</v>
      </c>
      <c r="J17">
        <f t="shared" si="0"/>
        <v>6296</v>
      </c>
      <c r="L17">
        <f t="shared" si="1"/>
        <v>2.8107142857142855</v>
      </c>
    </row>
    <row r="18" spans="1:12" x14ac:dyDescent="0.25">
      <c r="A18">
        <v>1713</v>
      </c>
      <c r="B18" t="s">
        <v>46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1713</v>
      </c>
      <c r="B19" t="s">
        <v>9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1713</v>
      </c>
      <c r="B20" t="s">
        <v>10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1713</v>
      </c>
      <c r="B21" t="s">
        <v>11</v>
      </c>
      <c r="C21" t="s">
        <v>73</v>
      </c>
      <c r="D21" t="s">
        <v>33</v>
      </c>
      <c r="F21">
        <v>4</v>
      </c>
      <c r="G21">
        <v>3</v>
      </c>
      <c r="H21">
        <v>7</v>
      </c>
      <c r="J21">
        <f t="shared" si="0"/>
        <v>539</v>
      </c>
      <c r="L21">
        <f t="shared" si="1"/>
        <v>0.24062500000000001</v>
      </c>
    </row>
    <row r="22" spans="1:12" x14ac:dyDescent="0.25">
      <c r="A22">
        <v>1713</v>
      </c>
      <c r="B22" t="s">
        <v>39</v>
      </c>
      <c r="C22" t="s">
        <v>73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1713</v>
      </c>
      <c r="B23" t="s">
        <v>44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1713</v>
      </c>
      <c r="B24" t="s">
        <v>12</v>
      </c>
      <c r="C24" t="s">
        <v>73</v>
      </c>
      <c r="D24" t="s">
        <v>33</v>
      </c>
      <c r="H24">
        <v>7738</v>
      </c>
      <c r="J24">
        <f t="shared" si="0"/>
        <v>7738</v>
      </c>
      <c r="L24">
        <f t="shared" si="1"/>
        <v>3.4544642857142858</v>
      </c>
    </row>
    <row r="25" spans="1:12" x14ac:dyDescent="0.25">
      <c r="A25">
        <v>1713</v>
      </c>
      <c r="B25" t="s">
        <v>34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1713</v>
      </c>
      <c r="B26" t="s">
        <v>13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1713</v>
      </c>
      <c r="B27" t="s">
        <v>14</v>
      </c>
      <c r="C27" t="s">
        <v>73</v>
      </c>
      <c r="D27" t="s">
        <v>33</v>
      </c>
      <c r="H27">
        <v>2000.5</v>
      </c>
      <c r="I27" t="s">
        <v>111</v>
      </c>
      <c r="J27">
        <f t="shared" si="0"/>
        <v>2000.5</v>
      </c>
      <c r="L27">
        <f t="shared" si="1"/>
        <v>0.89308035714285716</v>
      </c>
    </row>
    <row r="28" spans="1:12" x14ac:dyDescent="0.25">
      <c r="A28">
        <v>1713</v>
      </c>
      <c r="B28" t="s">
        <v>23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1713</v>
      </c>
      <c r="B29" t="s">
        <v>27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1713</v>
      </c>
      <c r="B30" t="s">
        <v>15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1713</v>
      </c>
      <c r="B31" t="s">
        <v>42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1713</v>
      </c>
      <c r="B32" t="s">
        <v>47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1713</v>
      </c>
      <c r="B33" t="s">
        <v>16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1713</v>
      </c>
      <c r="B34" t="s">
        <v>17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1713</v>
      </c>
      <c r="B35" t="s">
        <v>18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1713</v>
      </c>
      <c r="B36" t="s">
        <v>70</v>
      </c>
      <c r="C36" t="s">
        <v>73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1713</v>
      </c>
      <c r="B37" t="s">
        <v>19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1713</v>
      </c>
      <c r="B38" t="s">
        <v>45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1713</v>
      </c>
      <c r="B39" t="s">
        <v>54</v>
      </c>
      <c r="C39" t="s">
        <v>73</v>
      </c>
      <c r="D39" t="s">
        <v>33</v>
      </c>
      <c r="H39">
        <v>69</v>
      </c>
      <c r="J39">
        <f t="shared" si="0"/>
        <v>69</v>
      </c>
      <c r="L39">
        <f t="shared" si="1"/>
        <v>3.080357142857143E-2</v>
      </c>
    </row>
    <row r="40" spans="1:12" x14ac:dyDescent="0.25">
      <c r="A40">
        <v>1713</v>
      </c>
      <c r="B40" t="s">
        <v>98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1713</v>
      </c>
      <c r="B41" t="s">
        <v>20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1713</v>
      </c>
      <c r="B42" t="s">
        <v>21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1713</v>
      </c>
      <c r="B43" t="s">
        <v>22</v>
      </c>
      <c r="C43" t="s">
        <v>73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1713</v>
      </c>
      <c r="B44" t="s">
        <v>61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1713</v>
      </c>
      <c r="B45" t="s">
        <v>62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1713</v>
      </c>
      <c r="B46" t="s">
        <v>63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1713</v>
      </c>
      <c r="B47" t="s">
        <v>71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1713</v>
      </c>
      <c r="B48" t="s">
        <v>64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1713</v>
      </c>
      <c r="B49" t="s">
        <v>65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1713</v>
      </c>
      <c r="B50" t="s">
        <v>6</v>
      </c>
      <c r="C50" t="s">
        <v>73</v>
      </c>
      <c r="D50" t="s">
        <v>35</v>
      </c>
      <c r="F50">
        <v>6851</v>
      </c>
      <c r="H50">
        <v>15</v>
      </c>
      <c r="J50">
        <f t="shared" si="0"/>
        <v>767327</v>
      </c>
      <c r="L50">
        <f t="shared" si="1"/>
        <v>342.55669642857146</v>
      </c>
    </row>
    <row r="51" spans="1:12" x14ac:dyDescent="0.25">
      <c r="A51">
        <v>1713</v>
      </c>
      <c r="B51" t="s">
        <v>7</v>
      </c>
      <c r="C51" t="s">
        <v>73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1713</v>
      </c>
      <c r="B52" t="s">
        <v>8</v>
      </c>
      <c r="C52" t="s">
        <v>73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1713</v>
      </c>
      <c r="B53" t="s">
        <v>9</v>
      </c>
      <c r="C53" t="s">
        <v>73</v>
      </c>
      <c r="D53" t="s">
        <v>35</v>
      </c>
      <c r="H53">
        <v>26622</v>
      </c>
      <c r="J53">
        <f t="shared" si="0"/>
        <v>26622</v>
      </c>
      <c r="L53">
        <f t="shared" si="1"/>
        <v>11.884821428571428</v>
      </c>
    </row>
    <row r="54" spans="1:12" x14ac:dyDescent="0.25">
      <c r="A54">
        <v>1713</v>
      </c>
      <c r="B54" t="s">
        <v>10</v>
      </c>
      <c r="C54" t="s">
        <v>73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1713</v>
      </c>
      <c r="B55" t="s">
        <v>11</v>
      </c>
      <c r="C55" t="s">
        <v>73</v>
      </c>
      <c r="D55" t="s">
        <v>35</v>
      </c>
      <c r="F55">
        <v>14</v>
      </c>
      <c r="G55">
        <v>1</v>
      </c>
      <c r="H55">
        <v>18</v>
      </c>
      <c r="J55">
        <f t="shared" si="0"/>
        <v>1614</v>
      </c>
      <c r="L55">
        <f t="shared" si="1"/>
        <v>0.72053571428571428</v>
      </c>
    </row>
    <row r="56" spans="1:12" x14ac:dyDescent="0.25">
      <c r="A56">
        <v>1713</v>
      </c>
      <c r="B56" t="s">
        <v>12</v>
      </c>
      <c r="C56" t="s">
        <v>73</v>
      </c>
      <c r="D56" t="s">
        <v>35</v>
      </c>
      <c r="H56">
        <v>4963</v>
      </c>
      <c r="J56">
        <f t="shared" si="0"/>
        <v>4963</v>
      </c>
      <c r="L56">
        <f t="shared" si="1"/>
        <v>2.2156250000000002</v>
      </c>
    </row>
    <row r="57" spans="1:12" x14ac:dyDescent="0.25">
      <c r="A57">
        <v>1713</v>
      </c>
      <c r="B57" t="s">
        <v>13</v>
      </c>
      <c r="C57" t="s">
        <v>73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1713</v>
      </c>
      <c r="B58" t="s">
        <v>14</v>
      </c>
      <c r="C58" t="s">
        <v>73</v>
      </c>
      <c r="D58" t="s">
        <v>35</v>
      </c>
      <c r="H58">
        <v>190</v>
      </c>
      <c r="I58" t="s">
        <v>125</v>
      </c>
      <c r="J58">
        <f t="shared" si="0"/>
        <v>190</v>
      </c>
      <c r="L58">
        <f t="shared" si="1"/>
        <v>8.4821428571428575E-2</v>
      </c>
    </row>
    <row r="59" spans="1:12" x14ac:dyDescent="0.25">
      <c r="A59">
        <v>1713</v>
      </c>
      <c r="B59" t="s">
        <v>27</v>
      </c>
      <c r="C59" t="s">
        <v>73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1713</v>
      </c>
      <c r="B60" t="s">
        <v>15</v>
      </c>
      <c r="C60" t="s">
        <v>73</v>
      </c>
      <c r="D60" t="s">
        <v>35</v>
      </c>
      <c r="F60">
        <v>56</v>
      </c>
      <c r="J60">
        <f t="shared" si="0"/>
        <v>6272</v>
      </c>
      <c r="L60">
        <f t="shared" si="1"/>
        <v>2.8</v>
      </c>
    </row>
    <row r="61" spans="1:12" x14ac:dyDescent="0.25">
      <c r="A61">
        <v>1713</v>
      </c>
      <c r="B61" t="s">
        <v>16</v>
      </c>
      <c r="C61" t="s">
        <v>73</v>
      </c>
      <c r="D61" t="s">
        <v>35</v>
      </c>
      <c r="H61">
        <v>164</v>
      </c>
      <c r="J61">
        <f t="shared" si="0"/>
        <v>164</v>
      </c>
      <c r="L61">
        <f t="shared" si="1"/>
        <v>7.3214285714285718E-2</v>
      </c>
    </row>
    <row r="62" spans="1:12" x14ac:dyDescent="0.25">
      <c r="A62">
        <v>1713</v>
      </c>
      <c r="B62" t="s">
        <v>17</v>
      </c>
      <c r="C62" t="s">
        <v>73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1713</v>
      </c>
      <c r="B63" t="s">
        <v>18</v>
      </c>
      <c r="C63" t="s">
        <v>73</v>
      </c>
      <c r="D63" t="s">
        <v>35</v>
      </c>
      <c r="H63">
        <v>350</v>
      </c>
      <c r="I63" t="s">
        <v>126</v>
      </c>
      <c r="J63">
        <f t="shared" si="0"/>
        <v>350</v>
      </c>
      <c r="L63">
        <f t="shared" si="1"/>
        <v>0.15625</v>
      </c>
    </row>
    <row r="64" spans="1:12" x14ac:dyDescent="0.25">
      <c r="A64">
        <v>1713</v>
      </c>
      <c r="B64" t="s">
        <v>19</v>
      </c>
      <c r="C64" t="s">
        <v>73</v>
      </c>
      <c r="D64" t="s">
        <v>35</v>
      </c>
      <c r="F64">
        <v>3</v>
      </c>
      <c r="G64">
        <v>1</v>
      </c>
      <c r="H64">
        <v>15</v>
      </c>
      <c r="J64">
        <f t="shared" si="0"/>
        <v>379</v>
      </c>
      <c r="L64">
        <f t="shared" si="1"/>
        <v>0.16919642857142858</v>
      </c>
    </row>
    <row r="65" spans="1:12" x14ac:dyDescent="0.25">
      <c r="A65">
        <v>1713</v>
      </c>
      <c r="B65" t="s">
        <v>54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1713</v>
      </c>
      <c r="B66" t="s">
        <v>21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1713</v>
      </c>
      <c r="B67" t="s">
        <v>22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1713</v>
      </c>
      <c r="B68" t="s">
        <v>62</v>
      </c>
      <c r="C68" t="s">
        <v>73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1713</v>
      </c>
      <c r="B69" t="s">
        <v>64</v>
      </c>
      <c r="C69" t="s">
        <v>73</v>
      </c>
      <c r="D69" t="s">
        <v>35</v>
      </c>
      <c r="F69">
        <v>21</v>
      </c>
      <c r="G69">
        <v>3</v>
      </c>
      <c r="H69">
        <v>22</v>
      </c>
      <c r="J69">
        <f t="shared" si="2"/>
        <v>2458</v>
      </c>
      <c r="L69">
        <f t="shared" si="3"/>
        <v>1.0973214285714286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71"/>
  <sheetViews>
    <sheetView topLeftCell="A43" workbookViewId="0">
      <selection activeCell="H65" sqref="H6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1713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1713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1713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1713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1713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1713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1713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1713</v>
      </c>
      <c r="B9" t="s">
        <v>5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1713</v>
      </c>
      <c r="B10" t="s">
        <v>59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1713</v>
      </c>
      <c r="B11" t="s">
        <v>6</v>
      </c>
      <c r="C11" t="s">
        <v>74</v>
      </c>
      <c r="D11" t="s">
        <v>33</v>
      </c>
      <c r="F11">
        <v>44373</v>
      </c>
      <c r="H11">
        <v>26</v>
      </c>
      <c r="J11">
        <f t="shared" si="0"/>
        <v>4969802</v>
      </c>
      <c r="L11">
        <f t="shared" si="1"/>
        <v>2218.6616071428571</v>
      </c>
    </row>
    <row r="12" spans="1:12" x14ac:dyDescent="0.25">
      <c r="A12">
        <v>1713</v>
      </c>
      <c r="B12" t="s">
        <v>60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1713</v>
      </c>
      <c r="B13" t="s">
        <v>7</v>
      </c>
      <c r="C13" t="s">
        <v>74</v>
      </c>
      <c r="D13" t="s">
        <v>33</v>
      </c>
      <c r="H13">
        <v>70</v>
      </c>
      <c r="J13">
        <f t="shared" si="0"/>
        <v>70</v>
      </c>
      <c r="L13">
        <f t="shared" si="1"/>
        <v>3.125E-2</v>
      </c>
    </row>
    <row r="14" spans="1:12" x14ac:dyDescent="0.25">
      <c r="A14">
        <v>1713</v>
      </c>
      <c r="B14" t="s">
        <v>37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1713</v>
      </c>
      <c r="B15" t="s">
        <v>8</v>
      </c>
      <c r="C15" t="s">
        <v>74</v>
      </c>
      <c r="D15" t="s">
        <v>33</v>
      </c>
      <c r="F15">
        <v>2</v>
      </c>
      <c r="G15">
        <v>2</v>
      </c>
      <c r="H15">
        <v>14</v>
      </c>
      <c r="J15">
        <f t="shared" si="0"/>
        <v>294</v>
      </c>
      <c r="L15">
        <f t="shared" si="1"/>
        <v>0.13125000000000001</v>
      </c>
    </row>
    <row r="16" spans="1:12" x14ac:dyDescent="0.25">
      <c r="A16">
        <v>1713</v>
      </c>
      <c r="B16" t="s">
        <v>40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1713</v>
      </c>
      <c r="B17" t="s">
        <v>46</v>
      </c>
      <c r="C17" t="s">
        <v>74</v>
      </c>
      <c r="D17" t="s">
        <v>33</v>
      </c>
      <c r="H17">
        <v>685</v>
      </c>
      <c r="J17">
        <f t="shared" si="0"/>
        <v>685</v>
      </c>
      <c r="L17">
        <f t="shared" si="1"/>
        <v>0.30580357142857145</v>
      </c>
    </row>
    <row r="18" spans="1:12" x14ac:dyDescent="0.25">
      <c r="A18">
        <v>1713</v>
      </c>
      <c r="B18" t="s">
        <v>9</v>
      </c>
      <c r="C18" t="s">
        <v>74</v>
      </c>
      <c r="D18" t="s">
        <v>33</v>
      </c>
      <c r="H18">
        <v>27212</v>
      </c>
      <c r="J18">
        <f t="shared" si="0"/>
        <v>27212</v>
      </c>
      <c r="L18">
        <f t="shared" si="1"/>
        <v>12.148214285714285</v>
      </c>
    </row>
    <row r="19" spans="1:12" x14ac:dyDescent="0.25">
      <c r="A19">
        <v>1713</v>
      </c>
      <c r="B19" t="s">
        <v>10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1713</v>
      </c>
      <c r="B20" t="s">
        <v>11</v>
      </c>
      <c r="C20" t="s">
        <v>74</v>
      </c>
      <c r="D20" t="s">
        <v>33</v>
      </c>
      <c r="F20">
        <v>79</v>
      </c>
      <c r="G20">
        <v>3</v>
      </c>
      <c r="H20">
        <v>21</v>
      </c>
      <c r="J20">
        <f t="shared" si="0"/>
        <v>8953</v>
      </c>
      <c r="L20">
        <f t="shared" si="1"/>
        <v>3.9968750000000002</v>
      </c>
    </row>
    <row r="21" spans="1:12" x14ac:dyDescent="0.25">
      <c r="A21">
        <v>1713</v>
      </c>
      <c r="B21" t="s">
        <v>39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1713</v>
      </c>
      <c r="B22" t="s">
        <v>44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1713</v>
      </c>
      <c r="B23" t="s">
        <v>12</v>
      </c>
      <c r="C23" t="s">
        <v>74</v>
      </c>
      <c r="D23" t="s">
        <v>33</v>
      </c>
      <c r="H23">
        <v>346</v>
      </c>
      <c r="J23">
        <f t="shared" si="0"/>
        <v>346</v>
      </c>
      <c r="L23">
        <f t="shared" si="1"/>
        <v>0.15446428571428572</v>
      </c>
    </row>
    <row r="24" spans="1:12" x14ac:dyDescent="0.25">
      <c r="A24">
        <v>1713</v>
      </c>
      <c r="B24" t="s">
        <v>34</v>
      </c>
      <c r="C24" t="s">
        <v>74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1713</v>
      </c>
      <c r="B25" t="s">
        <v>13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1713</v>
      </c>
      <c r="B26" t="s">
        <v>14</v>
      </c>
      <c r="C26" t="s">
        <v>74</v>
      </c>
      <c r="D26" t="s">
        <v>33</v>
      </c>
      <c r="H26">
        <v>1900.5</v>
      </c>
      <c r="I26" t="s">
        <v>113</v>
      </c>
      <c r="J26">
        <f t="shared" si="0"/>
        <v>1900.5</v>
      </c>
      <c r="L26">
        <f t="shared" si="1"/>
        <v>0.84843749999999996</v>
      </c>
    </row>
    <row r="27" spans="1:12" x14ac:dyDescent="0.25">
      <c r="A27">
        <v>1713</v>
      </c>
      <c r="B27" t="s">
        <v>23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1713</v>
      </c>
      <c r="B28" t="s">
        <v>27</v>
      </c>
      <c r="C28" t="s">
        <v>74</v>
      </c>
      <c r="D28" t="s">
        <v>33</v>
      </c>
      <c r="H28">
        <v>18144.5</v>
      </c>
      <c r="I28" t="s">
        <v>112</v>
      </c>
      <c r="J28">
        <f t="shared" si="0"/>
        <v>18144.5</v>
      </c>
      <c r="L28">
        <f t="shared" si="1"/>
        <v>8.1002232142857142</v>
      </c>
    </row>
    <row r="29" spans="1:12" x14ac:dyDescent="0.25">
      <c r="A29">
        <v>1713</v>
      </c>
      <c r="B29" t="s">
        <v>15</v>
      </c>
      <c r="C29" t="s">
        <v>74</v>
      </c>
      <c r="D29" t="s">
        <v>33</v>
      </c>
      <c r="F29">
        <v>114</v>
      </c>
      <c r="G29">
        <v>1</v>
      </c>
      <c r="J29">
        <f t="shared" si="0"/>
        <v>12796</v>
      </c>
      <c r="L29">
        <f t="shared" si="1"/>
        <v>5.7125000000000004</v>
      </c>
    </row>
    <row r="30" spans="1:12" x14ac:dyDescent="0.25">
      <c r="A30">
        <v>1713</v>
      </c>
      <c r="B30" t="s">
        <v>42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1713</v>
      </c>
      <c r="B31" t="s">
        <v>47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1713</v>
      </c>
      <c r="B32" t="s">
        <v>16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1713</v>
      </c>
      <c r="B33" t="s">
        <v>17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1713</v>
      </c>
      <c r="B34" t="s">
        <v>18</v>
      </c>
      <c r="C34" t="s">
        <v>74</v>
      </c>
      <c r="D34" t="s">
        <v>33</v>
      </c>
      <c r="H34">
        <v>1180</v>
      </c>
      <c r="I34" t="s">
        <v>114</v>
      </c>
      <c r="J34">
        <f t="shared" si="0"/>
        <v>1180</v>
      </c>
      <c r="L34">
        <f t="shared" si="1"/>
        <v>0.5267857142857143</v>
      </c>
    </row>
    <row r="35" spans="1:12" x14ac:dyDescent="0.25">
      <c r="A35">
        <v>1713</v>
      </c>
      <c r="B35" t="s">
        <v>70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1713</v>
      </c>
      <c r="B36" t="s">
        <v>19</v>
      </c>
      <c r="C36" t="s">
        <v>74</v>
      </c>
      <c r="D36" t="s">
        <v>33</v>
      </c>
      <c r="F36">
        <v>12</v>
      </c>
      <c r="G36">
        <v>3</v>
      </c>
      <c r="H36">
        <v>18</v>
      </c>
      <c r="J36">
        <f t="shared" si="0"/>
        <v>1446</v>
      </c>
      <c r="L36">
        <f t="shared" si="1"/>
        <v>0.64553571428571432</v>
      </c>
    </row>
    <row r="37" spans="1:12" x14ac:dyDescent="0.25">
      <c r="A37">
        <v>1713</v>
      </c>
      <c r="B37" t="s">
        <v>45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1713</v>
      </c>
      <c r="B38" t="s">
        <v>54</v>
      </c>
      <c r="C38" t="s">
        <v>74</v>
      </c>
      <c r="D38" t="s">
        <v>33</v>
      </c>
      <c r="H38">
        <v>289</v>
      </c>
      <c r="J38">
        <f t="shared" si="0"/>
        <v>289</v>
      </c>
      <c r="L38">
        <f t="shared" si="1"/>
        <v>0.12901785714285716</v>
      </c>
    </row>
    <row r="39" spans="1:12" x14ac:dyDescent="0.25">
      <c r="A39">
        <v>1713</v>
      </c>
      <c r="B39" t="s">
        <v>98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1713</v>
      </c>
      <c r="B40" t="s">
        <v>20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1713</v>
      </c>
      <c r="B41" t="s">
        <v>21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1713</v>
      </c>
      <c r="B42" t="s">
        <v>22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1713</v>
      </c>
      <c r="B43" t="s">
        <v>61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1713</v>
      </c>
      <c r="B44" t="s">
        <v>62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1713</v>
      </c>
      <c r="B45" t="s">
        <v>63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1713</v>
      </c>
      <c r="B46" t="s">
        <v>71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1713</v>
      </c>
      <c r="B47" t="s">
        <v>64</v>
      </c>
      <c r="C47" t="s">
        <v>74</v>
      </c>
      <c r="D47" t="s">
        <v>33</v>
      </c>
      <c r="E47">
        <v>1</v>
      </c>
      <c r="F47">
        <v>16</v>
      </c>
      <c r="G47">
        <v>2</v>
      </c>
      <c r="J47">
        <f t="shared" si="0"/>
        <v>4088</v>
      </c>
      <c r="L47">
        <f t="shared" si="1"/>
        <v>1.825</v>
      </c>
    </row>
    <row r="48" spans="1:12" x14ac:dyDescent="0.25">
      <c r="A48">
        <v>1713</v>
      </c>
      <c r="B48" t="s">
        <v>65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1713</v>
      </c>
      <c r="B49" t="s">
        <v>36</v>
      </c>
      <c r="C49" t="s">
        <v>74</v>
      </c>
      <c r="D49" t="s">
        <v>33</v>
      </c>
      <c r="H49">
        <v>16</v>
      </c>
      <c r="J49">
        <f t="shared" si="0"/>
        <v>16</v>
      </c>
      <c r="L49">
        <f t="shared" si="1"/>
        <v>7.1428571428571426E-3</v>
      </c>
    </row>
    <row r="50" spans="1:12" x14ac:dyDescent="0.25">
      <c r="A50">
        <v>1713</v>
      </c>
      <c r="B50" t="s">
        <v>5</v>
      </c>
      <c r="C50" t="s">
        <v>74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1713</v>
      </c>
      <c r="B51" t="s">
        <v>6</v>
      </c>
      <c r="C51" t="s">
        <v>74</v>
      </c>
      <c r="D51" t="s">
        <v>35</v>
      </c>
      <c r="F51">
        <v>27032</v>
      </c>
      <c r="H51">
        <v>20</v>
      </c>
      <c r="J51">
        <f t="shared" si="0"/>
        <v>3027604</v>
      </c>
      <c r="L51">
        <f t="shared" si="1"/>
        <v>1351.6089285714286</v>
      </c>
    </row>
    <row r="52" spans="1:12" x14ac:dyDescent="0.25">
      <c r="A52">
        <v>1713</v>
      </c>
      <c r="B52" t="s">
        <v>60</v>
      </c>
      <c r="C52" t="s">
        <v>74</v>
      </c>
      <c r="D52" t="s">
        <v>35</v>
      </c>
      <c r="H52">
        <v>240</v>
      </c>
      <c r="J52">
        <f t="shared" si="0"/>
        <v>240</v>
      </c>
      <c r="L52">
        <f t="shared" si="1"/>
        <v>0.10714285714285714</v>
      </c>
    </row>
    <row r="53" spans="1:12" x14ac:dyDescent="0.25">
      <c r="A53">
        <v>1713</v>
      </c>
      <c r="B53" t="s">
        <v>7</v>
      </c>
      <c r="C53" t="s">
        <v>74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1713</v>
      </c>
      <c r="B54" t="s">
        <v>8</v>
      </c>
      <c r="C54" t="s">
        <v>74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1713</v>
      </c>
      <c r="B55" t="s">
        <v>9</v>
      </c>
      <c r="C55" t="s">
        <v>74</v>
      </c>
      <c r="D55" t="s">
        <v>35</v>
      </c>
      <c r="H55">
        <v>95920</v>
      </c>
      <c r="J55">
        <f t="shared" si="0"/>
        <v>95920</v>
      </c>
      <c r="L55">
        <f t="shared" si="1"/>
        <v>42.821428571428569</v>
      </c>
    </row>
    <row r="56" spans="1:12" x14ac:dyDescent="0.25">
      <c r="A56">
        <v>1713</v>
      </c>
      <c r="B56" t="s">
        <v>10</v>
      </c>
      <c r="C56" t="s">
        <v>74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1713</v>
      </c>
      <c r="B57" t="s">
        <v>11</v>
      </c>
      <c r="C57" t="s">
        <v>74</v>
      </c>
      <c r="D57" t="s">
        <v>35</v>
      </c>
      <c r="F57">
        <v>16</v>
      </c>
      <c r="H57">
        <v>27</v>
      </c>
      <c r="J57">
        <f t="shared" si="0"/>
        <v>1819</v>
      </c>
      <c r="L57">
        <f t="shared" si="1"/>
        <v>0.81205357142857137</v>
      </c>
    </row>
    <row r="58" spans="1:12" x14ac:dyDescent="0.25">
      <c r="A58">
        <v>1713</v>
      </c>
      <c r="B58" t="s">
        <v>12</v>
      </c>
      <c r="C58" t="s">
        <v>74</v>
      </c>
      <c r="D58" t="s">
        <v>35</v>
      </c>
      <c r="H58">
        <v>7476</v>
      </c>
      <c r="J58">
        <f t="shared" si="0"/>
        <v>7476</v>
      </c>
      <c r="L58">
        <f t="shared" si="1"/>
        <v>3.3374999999999999</v>
      </c>
    </row>
    <row r="59" spans="1:12" x14ac:dyDescent="0.25">
      <c r="A59">
        <v>1713</v>
      </c>
      <c r="B59" t="s">
        <v>13</v>
      </c>
      <c r="C59" t="s">
        <v>74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1713</v>
      </c>
      <c r="B60" t="s">
        <v>14</v>
      </c>
      <c r="C60" t="s">
        <v>74</v>
      </c>
      <c r="D60" t="s">
        <v>35</v>
      </c>
      <c r="H60">
        <v>600</v>
      </c>
      <c r="I60" t="s">
        <v>128</v>
      </c>
      <c r="J60">
        <f t="shared" si="0"/>
        <v>600</v>
      </c>
      <c r="L60">
        <f t="shared" si="1"/>
        <v>0.26785714285714285</v>
      </c>
    </row>
    <row r="61" spans="1:12" x14ac:dyDescent="0.25">
      <c r="A61">
        <v>1713</v>
      </c>
      <c r="B61" t="s">
        <v>27</v>
      </c>
      <c r="C61" t="s">
        <v>74</v>
      </c>
      <c r="D61" t="s">
        <v>35</v>
      </c>
      <c r="H61">
        <v>1398</v>
      </c>
      <c r="I61" t="s">
        <v>127</v>
      </c>
      <c r="J61">
        <f t="shared" si="0"/>
        <v>1398</v>
      </c>
      <c r="L61">
        <f t="shared" si="1"/>
        <v>0.62410714285714286</v>
      </c>
    </row>
    <row r="62" spans="1:12" x14ac:dyDescent="0.25">
      <c r="A62">
        <v>1713</v>
      </c>
      <c r="B62" t="s">
        <v>15</v>
      </c>
      <c r="C62" t="s">
        <v>74</v>
      </c>
      <c r="D62" t="s">
        <v>35</v>
      </c>
      <c r="F62">
        <v>15</v>
      </c>
      <c r="J62">
        <f t="shared" si="0"/>
        <v>1680</v>
      </c>
      <c r="L62">
        <f t="shared" si="1"/>
        <v>0.75</v>
      </c>
    </row>
    <row r="63" spans="1:12" x14ac:dyDescent="0.25">
      <c r="A63">
        <v>1713</v>
      </c>
      <c r="B63" t="s">
        <v>17</v>
      </c>
      <c r="C63" t="s">
        <v>74</v>
      </c>
      <c r="D63" t="s">
        <v>35</v>
      </c>
      <c r="F63">
        <v>15</v>
      </c>
      <c r="J63">
        <f t="shared" si="0"/>
        <v>1680</v>
      </c>
      <c r="L63">
        <f t="shared" si="1"/>
        <v>0.75</v>
      </c>
    </row>
    <row r="64" spans="1:12" x14ac:dyDescent="0.25">
      <c r="A64">
        <v>1713</v>
      </c>
      <c r="B64" t="s">
        <v>18</v>
      </c>
      <c r="C64" t="s">
        <v>74</v>
      </c>
      <c r="D64" t="s">
        <v>35</v>
      </c>
      <c r="H64">
        <v>1130</v>
      </c>
      <c r="I64" t="s">
        <v>129</v>
      </c>
      <c r="J64">
        <f t="shared" si="0"/>
        <v>1130</v>
      </c>
      <c r="L64">
        <f t="shared" si="1"/>
        <v>0.5044642857142857</v>
      </c>
    </row>
    <row r="65" spans="1:12" x14ac:dyDescent="0.25">
      <c r="A65">
        <v>1713</v>
      </c>
      <c r="B65" t="s">
        <v>19</v>
      </c>
      <c r="C65" t="s">
        <v>74</v>
      </c>
      <c r="D65" t="s">
        <v>35</v>
      </c>
      <c r="F65">
        <v>4</v>
      </c>
      <c r="G65">
        <v>1</v>
      </c>
      <c r="H65">
        <v>23</v>
      </c>
      <c r="J65">
        <f t="shared" si="0"/>
        <v>499</v>
      </c>
      <c r="L65">
        <f t="shared" si="1"/>
        <v>0.22276785714285716</v>
      </c>
    </row>
    <row r="66" spans="1:12" x14ac:dyDescent="0.25">
      <c r="A66">
        <v>1713</v>
      </c>
      <c r="B66" t="s">
        <v>54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1713</v>
      </c>
      <c r="B67" t="s">
        <v>98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1713</v>
      </c>
      <c r="B68" t="s">
        <v>21</v>
      </c>
      <c r="C68" t="s">
        <v>74</v>
      </c>
      <c r="D68" t="s">
        <v>35</v>
      </c>
      <c r="H68">
        <v>2</v>
      </c>
      <c r="J68">
        <f t="shared" si="0"/>
        <v>2</v>
      </c>
      <c r="L68">
        <f t="shared" si="1"/>
        <v>8.9285714285714283E-4</v>
      </c>
    </row>
    <row r="69" spans="1:12" x14ac:dyDescent="0.25">
      <c r="A69">
        <v>1713</v>
      </c>
      <c r="B69" t="s">
        <v>22</v>
      </c>
      <c r="C69" t="s">
        <v>74</v>
      </c>
      <c r="D69" t="s">
        <v>35</v>
      </c>
      <c r="F69">
        <v>9</v>
      </c>
      <c r="G69">
        <v>2</v>
      </c>
      <c r="H69">
        <v>24</v>
      </c>
      <c r="J69">
        <f t="shared" ref="J69:J71" si="2">(E69*2240)+(F69*112)+(G69*28)+H69</f>
        <v>1088</v>
      </c>
      <c r="L69">
        <f t="shared" ref="L69:L71" si="3">J69/2240</f>
        <v>0.48571428571428571</v>
      </c>
    </row>
    <row r="70" spans="1:12" x14ac:dyDescent="0.25">
      <c r="A70">
        <v>1713</v>
      </c>
      <c r="B70" t="s">
        <v>62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1713</v>
      </c>
      <c r="B71" t="s">
        <v>64</v>
      </c>
      <c r="C71" t="s">
        <v>74</v>
      </c>
      <c r="D71" t="s">
        <v>35</v>
      </c>
      <c r="F71">
        <v>12</v>
      </c>
      <c r="J71">
        <f t="shared" si="2"/>
        <v>1344</v>
      </c>
      <c r="L71">
        <f t="shared" si="3"/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1"/>
  <sheetViews>
    <sheetView workbookViewId="0">
      <selection activeCell="H37" sqref="H3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1713</v>
      </c>
      <c r="B2" t="s">
        <v>55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1713</v>
      </c>
      <c r="B3" t="s">
        <v>57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1713</v>
      </c>
      <c r="B4" t="s">
        <v>36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1713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1713</v>
      </c>
      <c r="B6" t="s">
        <v>58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1713</v>
      </c>
      <c r="B7" t="s">
        <v>69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1713</v>
      </c>
      <c r="B8" t="s">
        <v>43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1713</v>
      </c>
      <c r="B9" t="s">
        <v>5</v>
      </c>
      <c r="C9" t="s">
        <v>75</v>
      </c>
      <c r="D9" t="s">
        <v>33</v>
      </c>
      <c r="F9">
        <v>4</v>
      </c>
      <c r="G9">
        <v>3</v>
      </c>
      <c r="J9">
        <f t="shared" si="0"/>
        <v>532</v>
      </c>
      <c r="L9">
        <f t="shared" si="1"/>
        <v>0.23749999999999999</v>
      </c>
    </row>
    <row r="10" spans="1:12" x14ac:dyDescent="0.25">
      <c r="A10">
        <v>1713</v>
      </c>
      <c r="B10" t="s">
        <v>59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1713</v>
      </c>
      <c r="B11" t="s">
        <v>6</v>
      </c>
      <c r="C11" t="s">
        <v>75</v>
      </c>
      <c r="D11" t="s">
        <v>33</v>
      </c>
      <c r="F11">
        <v>31394</v>
      </c>
      <c r="G11">
        <v>1</v>
      </c>
      <c r="H11">
        <v>24</v>
      </c>
      <c r="J11">
        <f t="shared" si="0"/>
        <v>3516180</v>
      </c>
      <c r="L11">
        <f t="shared" si="1"/>
        <v>1569.7232142857142</v>
      </c>
    </row>
    <row r="12" spans="1:12" x14ac:dyDescent="0.25">
      <c r="A12">
        <v>1713</v>
      </c>
      <c r="B12" t="s">
        <v>60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1713</v>
      </c>
      <c r="B13" t="s">
        <v>38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1713</v>
      </c>
      <c r="B14" t="s">
        <v>37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1713</v>
      </c>
      <c r="B15" t="s">
        <v>8</v>
      </c>
      <c r="C15" t="s">
        <v>75</v>
      </c>
      <c r="D15" t="s">
        <v>33</v>
      </c>
      <c r="F15">
        <v>7</v>
      </c>
      <c r="G15">
        <v>3</v>
      </c>
      <c r="J15">
        <f t="shared" si="0"/>
        <v>868</v>
      </c>
      <c r="L15">
        <f t="shared" si="1"/>
        <v>0.38750000000000001</v>
      </c>
    </row>
    <row r="16" spans="1:12" x14ac:dyDescent="0.25">
      <c r="A16">
        <v>1713</v>
      </c>
      <c r="B16" t="s">
        <v>40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1713</v>
      </c>
      <c r="B17" t="s">
        <v>95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1713</v>
      </c>
      <c r="B18" t="s">
        <v>46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1713</v>
      </c>
      <c r="B19" t="s">
        <v>9</v>
      </c>
      <c r="C19" t="s">
        <v>75</v>
      </c>
      <c r="D19" t="s">
        <v>33</v>
      </c>
      <c r="H19">
        <v>17752</v>
      </c>
      <c r="J19">
        <f t="shared" si="0"/>
        <v>17752</v>
      </c>
      <c r="L19">
        <f t="shared" si="1"/>
        <v>7.9249999999999998</v>
      </c>
    </row>
    <row r="20" spans="1:12" x14ac:dyDescent="0.25">
      <c r="A20">
        <v>1713</v>
      </c>
      <c r="B20" t="s">
        <v>10</v>
      </c>
      <c r="C20" t="s">
        <v>75</v>
      </c>
      <c r="D20" t="s">
        <v>33</v>
      </c>
      <c r="G20">
        <v>2</v>
      </c>
      <c r="H20">
        <v>4</v>
      </c>
      <c r="J20">
        <f t="shared" si="0"/>
        <v>60</v>
      </c>
      <c r="L20">
        <f t="shared" si="1"/>
        <v>2.6785714285714284E-2</v>
      </c>
    </row>
    <row r="21" spans="1:12" x14ac:dyDescent="0.25">
      <c r="A21">
        <v>1713</v>
      </c>
      <c r="B21" t="s">
        <v>11</v>
      </c>
      <c r="C21" t="s">
        <v>75</v>
      </c>
      <c r="D21" t="s">
        <v>33</v>
      </c>
      <c r="F21">
        <v>90</v>
      </c>
      <c r="G21">
        <v>2</v>
      </c>
      <c r="H21">
        <v>19</v>
      </c>
      <c r="J21">
        <f t="shared" si="0"/>
        <v>10155</v>
      </c>
      <c r="L21">
        <f t="shared" si="1"/>
        <v>4.5334821428571432</v>
      </c>
    </row>
    <row r="22" spans="1:12" x14ac:dyDescent="0.25">
      <c r="A22">
        <v>1713</v>
      </c>
      <c r="B22" t="s">
        <v>39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1713</v>
      </c>
      <c r="B23" t="s">
        <v>44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1713</v>
      </c>
      <c r="B24" t="s">
        <v>12</v>
      </c>
      <c r="C24" t="s">
        <v>75</v>
      </c>
      <c r="D24" t="s">
        <v>33</v>
      </c>
      <c r="H24">
        <v>562</v>
      </c>
      <c r="J24">
        <f t="shared" si="0"/>
        <v>562</v>
      </c>
      <c r="L24">
        <f t="shared" si="1"/>
        <v>0.25089285714285714</v>
      </c>
    </row>
    <row r="25" spans="1:12" x14ac:dyDescent="0.25">
      <c r="A25">
        <v>1713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1713</v>
      </c>
      <c r="B26" t="s">
        <v>13</v>
      </c>
      <c r="C26" t="s">
        <v>75</v>
      </c>
      <c r="D26" t="s">
        <v>33</v>
      </c>
      <c r="F26">
        <v>201</v>
      </c>
      <c r="J26">
        <f t="shared" si="0"/>
        <v>22512</v>
      </c>
      <c r="L26">
        <f t="shared" si="1"/>
        <v>10.050000000000001</v>
      </c>
    </row>
    <row r="27" spans="1:12" x14ac:dyDescent="0.25">
      <c r="A27">
        <v>1713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1713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1713</v>
      </c>
      <c r="B29" t="s">
        <v>27</v>
      </c>
      <c r="C29" t="s">
        <v>75</v>
      </c>
      <c r="D29" t="s">
        <v>33</v>
      </c>
      <c r="H29">
        <v>1180</v>
      </c>
      <c r="I29" t="s">
        <v>114</v>
      </c>
      <c r="J29">
        <f t="shared" si="0"/>
        <v>1180</v>
      </c>
      <c r="L29">
        <f t="shared" si="1"/>
        <v>0.5267857142857143</v>
      </c>
    </row>
    <row r="30" spans="1:12" x14ac:dyDescent="0.25">
      <c r="A30">
        <v>1713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1713</v>
      </c>
      <c r="B31" t="s">
        <v>42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1713</v>
      </c>
      <c r="B32" t="s">
        <v>47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1713</v>
      </c>
      <c r="B33" t="s">
        <v>16</v>
      </c>
      <c r="C33" t="s">
        <v>75</v>
      </c>
      <c r="D33" t="s">
        <v>33</v>
      </c>
      <c r="H33">
        <v>240</v>
      </c>
      <c r="J33">
        <f t="shared" si="0"/>
        <v>240</v>
      </c>
      <c r="L33">
        <f t="shared" si="1"/>
        <v>0.10714285714285714</v>
      </c>
    </row>
    <row r="34" spans="1:12" x14ac:dyDescent="0.25">
      <c r="A34">
        <v>1713</v>
      </c>
      <c r="B34" t="s">
        <v>96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1713</v>
      </c>
      <c r="B35" t="s">
        <v>17</v>
      </c>
      <c r="C35" t="s">
        <v>75</v>
      </c>
      <c r="D35" t="s">
        <v>33</v>
      </c>
      <c r="F35">
        <v>20</v>
      </c>
      <c r="J35">
        <f t="shared" si="0"/>
        <v>2240</v>
      </c>
      <c r="L35">
        <f t="shared" si="1"/>
        <v>1</v>
      </c>
    </row>
    <row r="36" spans="1:12" x14ac:dyDescent="0.25">
      <c r="A36">
        <v>1713</v>
      </c>
      <c r="B36" t="s">
        <v>18</v>
      </c>
      <c r="C36" t="s">
        <v>75</v>
      </c>
      <c r="D36" t="s">
        <v>33</v>
      </c>
      <c r="H36">
        <v>4401</v>
      </c>
      <c r="I36" t="s">
        <v>115</v>
      </c>
      <c r="J36">
        <f t="shared" si="0"/>
        <v>4401</v>
      </c>
      <c r="L36">
        <f t="shared" si="1"/>
        <v>1.9647321428571429</v>
      </c>
    </row>
    <row r="37" spans="1:12" x14ac:dyDescent="0.25">
      <c r="A37">
        <v>1713</v>
      </c>
      <c r="B37" t="s">
        <v>70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1713</v>
      </c>
      <c r="B38" t="s">
        <v>19</v>
      </c>
      <c r="C38" t="s">
        <v>75</v>
      </c>
      <c r="D38" t="s">
        <v>33</v>
      </c>
      <c r="F38">
        <v>12</v>
      </c>
      <c r="G38">
        <v>2</v>
      </c>
      <c r="H38">
        <v>4</v>
      </c>
      <c r="J38">
        <f t="shared" si="0"/>
        <v>1404</v>
      </c>
      <c r="L38">
        <f t="shared" si="1"/>
        <v>0.62678571428571428</v>
      </c>
    </row>
    <row r="39" spans="1:12" x14ac:dyDescent="0.25">
      <c r="A39">
        <v>1713</v>
      </c>
      <c r="B39" t="s">
        <v>45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1713</v>
      </c>
      <c r="B40" t="s">
        <v>54</v>
      </c>
      <c r="C40" t="s">
        <v>75</v>
      </c>
      <c r="D40" t="s">
        <v>33</v>
      </c>
      <c r="H40">
        <v>190</v>
      </c>
      <c r="J40">
        <f t="shared" si="0"/>
        <v>190</v>
      </c>
      <c r="L40">
        <f t="shared" si="1"/>
        <v>8.4821428571428575E-2</v>
      </c>
    </row>
    <row r="41" spans="1:12" x14ac:dyDescent="0.25">
      <c r="A41">
        <v>1713</v>
      </c>
      <c r="B41" t="s">
        <v>98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1713</v>
      </c>
      <c r="B42" t="s">
        <v>20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1713</v>
      </c>
      <c r="B43" t="s">
        <v>21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1713</v>
      </c>
      <c r="B44" t="s">
        <v>22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1713</v>
      </c>
      <c r="B45" t="s">
        <v>61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1713</v>
      </c>
      <c r="B46" t="s">
        <v>62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1713</v>
      </c>
      <c r="B47" t="s">
        <v>63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1713</v>
      </c>
      <c r="B48" t="s">
        <v>71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1713</v>
      </c>
      <c r="B49" t="s">
        <v>64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1713</v>
      </c>
      <c r="B50" t="s">
        <v>65</v>
      </c>
      <c r="C50" t="s">
        <v>75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1713</v>
      </c>
      <c r="B51" t="s">
        <v>6</v>
      </c>
      <c r="C51" t="s">
        <v>75</v>
      </c>
      <c r="D51" t="s">
        <v>35</v>
      </c>
      <c r="F51">
        <v>7244</v>
      </c>
      <c r="H51">
        <v>23</v>
      </c>
      <c r="J51">
        <f t="shared" si="0"/>
        <v>811351</v>
      </c>
      <c r="L51">
        <f t="shared" si="1"/>
        <v>362.21026785714287</v>
      </c>
    </row>
    <row r="52" spans="1:12" x14ac:dyDescent="0.25">
      <c r="A52">
        <v>1713</v>
      </c>
      <c r="B52" t="s">
        <v>7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1713</v>
      </c>
      <c r="B53" t="s">
        <v>8</v>
      </c>
      <c r="C53" t="s">
        <v>75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1713</v>
      </c>
      <c r="B54" t="s">
        <v>9</v>
      </c>
      <c r="C54" t="s">
        <v>75</v>
      </c>
      <c r="D54" t="s">
        <v>35</v>
      </c>
      <c r="H54">
        <v>36128</v>
      </c>
      <c r="J54">
        <f t="shared" si="0"/>
        <v>36128</v>
      </c>
      <c r="L54">
        <f t="shared" si="1"/>
        <v>16.12857142857143</v>
      </c>
    </row>
    <row r="55" spans="1:12" x14ac:dyDescent="0.25">
      <c r="A55">
        <v>1713</v>
      </c>
      <c r="B55" t="s">
        <v>10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1713</v>
      </c>
      <c r="B56" t="s">
        <v>11</v>
      </c>
      <c r="C56" t="s">
        <v>75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1713</v>
      </c>
      <c r="B57" t="s">
        <v>12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1713</v>
      </c>
      <c r="B58" t="s">
        <v>13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1713</v>
      </c>
      <c r="B59" t="s">
        <v>14</v>
      </c>
      <c r="C59" t="s">
        <v>75</v>
      </c>
      <c r="D59" t="s">
        <v>35</v>
      </c>
      <c r="H59">
        <v>240</v>
      </c>
      <c r="I59" t="s">
        <v>130</v>
      </c>
      <c r="J59">
        <f t="shared" si="0"/>
        <v>240</v>
      </c>
      <c r="L59">
        <f t="shared" si="1"/>
        <v>0.10714285714285714</v>
      </c>
    </row>
    <row r="60" spans="1:12" x14ac:dyDescent="0.25">
      <c r="A60">
        <v>1713</v>
      </c>
      <c r="B60" t="s">
        <v>27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1713</v>
      </c>
      <c r="B61" t="s">
        <v>15</v>
      </c>
      <c r="C61" t="s">
        <v>75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1713</v>
      </c>
      <c r="B62" t="s">
        <v>17</v>
      </c>
      <c r="C62" t="s">
        <v>75</v>
      </c>
      <c r="D62" t="s">
        <v>35</v>
      </c>
      <c r="F62">
        <v>34</v>
      </c>
      <c r="H62">
        <v>2</v>
      </c>
      <c r="J62">
        <f t="shared" si="0"/>
        <v>3810</v>
      </c>
      <c r="L62">
        <f t="shared" si="1"/>
        <v>1.7008928571428572</v>
      </c>
    </row>
    <row r="63" spans="1:12" x14ac:dyDescent="0.25">
      <c r="A63">
        <v>1713</v>
      </c>
      <c r="B63" t="s">
        <v>18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1713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1713</v>
      </c>
      <c r="B65" t="s">
        <v>54</v>
      </c>
      <c r="C65" t="s">
        <v>75</v>
      </c>
      <c r="D65" t="s">
        <v>35</v>
      </c>
      <c r="H65">
        <v>109</v>
      </c>
      <c r="J65">
        <f t="shared" si="0"/>
        <v>109</v>
      </c>
      <c r="L65">
        <f t="shared" si="1"/>
        <v>4.8660714285714286E-2</v>
      </c>
    </row>
    <row r="66" spans="1:12" x14ac:dyDescent="0.25">
      <c r="A66">
        <v>1713</v>
      </c>
      <c r="B66" t="s">
        <v>98</v>
      </c>
      <c r="C66" t="s">
        <v>75</v>
      </c>
      <c r="D66" t="s">
        <v>35</v>
      </c>
      <c r="H66">
        <v>38</v>
      </c>
      <c r="J66">
        <f t="shared" si="0"/>
        <v>38</v>
      </c>
      <c r="L66">
        <f t="shared" si="1"/>
        <v>1.6964285714285713E-2</v>
      </c>
    </row>
    <row r="67" spans="1:12" x14ac:dyDescent="0.25">
      <c r="A67">
        <v>1713</v>
      </c>
      <c r="B67" t="s">
        <v>20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1713</v>
      </c>
      <c r="B68" t="s">
        <v>21</v>
      </c>
      <c r="C68" t="s">
        <v>75</v>
      </c>
      <c r="D68" t="s">
        <v>35</v>
      </c>
      <c r="J68">
        <f t="shared" ref="J68:J71" si="2">(E68*2240)+(F68*112)+(G68*28)+H68</f>
        <v>0</v>
      </c>
      <c r="L68">
        <f t="shared" ref="L68:L71" si="3">J68/2240</f>
        <v>0</v>
      </c>
    </row>
    <row r="69" spans="1:12" x14ac:dyDescent="0.25">
      <c r="A69">
        <v>1713</v>
      </c>
      <c r="B69" t="s">
        <v>22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1713</v>
      </c>
      <c r="B70" t="s">
        <v>62</v>
      </c>
      <c r="C70" t="s">
        <v>75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1713</v>
      </c>
      <c r="B71" t="s">
        <v>64</v>
      </c>
      <c r="C71" t="s">
        <v>75</v>
      </c>
      <c r="D71" t="s">
        <v>35</v>
      </c>
      <c r="J71">
        <f t="shared" si="2"/>
        <v>0</v>
      </c>
      <c r="L71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97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57</v>
      </c>
      <c r="C3" t="s">
        <v>97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36</v>
      </c>
      <c r="C4" t="s">
        <v>97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97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58</v>
      </c>
      <c r="C6" t="s">
        <v>97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69</v>
      </c>
      <c r="C7" t="s">
        <v>97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43</v>
      </c>
      <c r="C8" t="s">
        <v>97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97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59</v>
      </c>
      <c r="C10" t="s">
        <v>97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97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60</v>
      </c>
      <c r="C12" t="s">
        <v>97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38</v>
      </c>
      <c r="C13" t="s">
        <v>97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37</v>
      </c>
      <c r="C14" t="s">
        <v>97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97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40</v>
      </c>
      <c r="C16" t="s">
        <v>97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95</v>
      </c>
      <c r="C17" t="s">
        <v>97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46</v>
      </c>
      <c r="C18" t="s">
        <v>97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97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97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97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39</v>
      </c>
      <c r="C22" t="s">
        <v>97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44</v>
      </c>
      <c r="C23" t="s">
        <v>97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97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97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97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97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97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97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97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42</v>
      </c>
      <c r="C31" t="s">
        <v>97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47</v>
      </c>
      <c r="C32" t="s">
        <v>97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97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96</v>
      </c>
      <c r="C34" t="s">
        <v>97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97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97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70</v>
      </c>
      <c r="C37" t="s">
        <v>97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97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45</v>
      </c>
      <c r="C39" t="s">
        <v>97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54</v>
      </c>
      <c r="C40" t="s">
        <v>97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88</v>
      </c>
      <c r="C41" t="s">
        <v>97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97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97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97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61</v>
      </c>
      <c r="C45" t="s">
        <v>97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62</v>
      </c>
      <c r="C46" t="s">
        <v>97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63</v>
      </c>
      <c r="C47" t="s">
        <v>97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71</v>
      </c>
      <c r="C48" t="s">
        <v>97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64</v>
      </c>
      <c r="C49" t="s">
        <v>97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65</v>
      </c>
      <c r="C50" t="s">
        <v>97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97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97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97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97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97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97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97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97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97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97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97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97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97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97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97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54</v>
      </c>
      <c r="C66" t="s">
        <v>97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97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97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62</v>
      </c>
      <c r="C69" t="s">
        <v>97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64</v>
      </c>
      <c r="C70" t="s">
        <v>97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659FD73E-CD2B-4632-A74B-9671D8C6A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4E2516-A221-4C4B-AEB4-B75A5D6B0B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FFAE7E-6AC0-4ADA-BA9C-9389384BDEBC}">
  <ds:schemaRefs>
    <ds:schemaRef ds:uri="http://schemas.microsoft.com/office/infopath/2007/PartnerControls"/>
    <ds:schemaRef ds:uri="cefc4363-6422-4cdd-96f6-49f865293ff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2025-04-25T03:17:29Z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