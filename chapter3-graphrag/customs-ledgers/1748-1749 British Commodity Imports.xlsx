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75" documentId="8_{43CE2D16-B2A0-4A9C-9633-6D7F38BEFE16}" xr6:coauthVersionLast="47" xr6:coauthVersionMax="47" xr10:uidLastSave="{7E87A4CD-17B4-4317-8359-FE880B7098EA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Barbados!$A$1:$N$53</definedName>
    <definedName name="_xlnm._FilterDatabase" localSheetId="5" hidden="1">Jamaica!$A$1:$O$61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0" l="1"/>
  <c r="H19" i="10"/>
  <c r="H55" i="8"/>
  <c r="H20" i="8"/>
  <c r="H53" i="7"/>
  <c r="H18" i="7"/>
  <c r="H52" i="6"/>
  <c r="H19" i="6"/>
  <c r="H85" i="5"/>
  <c r="H23" i="5"/>
  <c r="H64" i="3"/>
  <c r="H17" i="3"/>
  <c r="H40" i="2"/>
  <c r="H9" i="2"/>
  <c r="J19" i="6"/>
  <c r="L19" i="6" s="1"/>
  <c r="J85" i="5"/>
  <c r="L85" i="5" s="1"/>
  <c r="J17" i="3"/>
  <c r="L17" i="3" s="1"/>
  <c r="J64" i="3"/>
  <c r="L64" i="3" s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3" i="6"/>
  <c r="L54" i="6"/>
  <c r="L55" i="6"/>
  <c r="L56" i="6"/>
  <c r="L57" i="6"/>
  <c r="L58" i="6"/>
  <c r="L59" i="6"/>
  <c r="L60" i="6"/>
  <c r="L62" i="6"/>
  <c r="L63" i="6"/>
  <c r="L64" i="6"/>
  <c r="L65" i="6"/>
  <c r="L66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L52" i="6" s="1"/>
  <c r="J53" i="6"/>
  <c r="J54" i="6"/>
  <c r="J55" i="6"/>
  <c r="J56" i="6"/>
  <c r="J57" i="6"/>
  <c r="J58" i="6"/>
  <c r="J59" i="6"/>
  <c r="J60" i="6"/>
  <c r="J61" i="6"/>
  <c r="L61" i="6" s="1"/>
  <c r="J62" i="6"/>
  <c r="J63" i="6"/>
  <c r="J64" i="6"/>
  <c r="J65" i="6"/>
  <c r="J66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4" i="5"/>
  <c r="L25" i="5"/>
  <c r="L26" i="5"/>
  <c r="L27" i="5"/>
  <c r="L28" i="5"/>
  <c r="L29" i="5"/>
  <c r="L30" i="5"/>
  <c r="L31" i="5"/>
  <c r="L32" i="5"/>
  <c r="L33" i="5"/>
  <c r="L34" i="5"/>
  <c r="L35" i="5"/>
  <c r="L37" i="5"/>
  <c r="L38" i="5"/>
  <c r="L39" i="5"/>
  <c r="L40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100" i="5"/>
  <c r="L101" i="5"/>
  <c r="L102" i="5"/>
  <c r="L103" i="5"/>
  <c r="L104" i="5"/>
  <c r="L105" i="5"/>
  <c r="L106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L23" i="5" s="1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L36" i="5" s="1"/>
  <c r="J37" i="5"/>
  <c r="J38" i="5"/>
  <c r="J39" i="5"/>
  <c r="J40" i="5"/>
  <c r="J41" i="5"/>
  <c r="L41" i="5" s="1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L99" i="5" s="1"/>
  <c r="J100" i="5"/>
  <c r="J101" i="5"/>
  <c r="J102" i="5"/>
  <c r="J103" i="5"/>
  <c r="J104" i="5"/>
  <c r="J105" i="5"/>
  <c r="J106" i="5"/>
  <c r="J107" i="5"/>
  <c r="L107" i="5" s="1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L3" i="4"/>
  <c r="L4" i="4"/>
  <c r="L5" i="4"/>
  <c r="L7" i="4"/>
  <c r="L8" i="4"/>
  <c r="L9" i="4"/>
  <c r="L10" i="4"/>
  <c r="L11" i="4"/>
  <c r="L12" i="4"/>
  <c r="L13" i="4"/>
  <c r="L14" i="4"/>
  <c r="L15" i="4"/>
  <c r="L16" i="4"/>
  <c r="L17" i="4"/>
  <c r="L18" i="4"/>
  <c r="J3" i="4"/>
  <c r="J4" i="4"/>
  <c r="J5" i="4"/>
  <c r="J6" i="4"/>
  <c r="L6" i="4" s="1"/>
  <c r="J7" i="4"/>
  <c r="J8" i="4"/>
  <c r="J9" i="4"/>
  <c r="J10" i="4"/>
  <c r="J11" i="4"/>
  <c r="J12" i="4"/>
  <c r="J13" i="4"/>
  <c r="J14" i="4"/>
  <c r="J15" i="4"/>
  <c r="J16" i="4"/>
  <c r="J17" i="4"/>
  <c r="J18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L3" i="2"/>
  <c r="L4" i="2"/>
  <c r="L5" i="2"/>
  <c r="L6" i="2"/>
  <c r="L7" i="2"/>
  <c r="L8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J3" i="2"/>
  <c r="J4" i="2"/>
  <c r="J5" i="2"/>
  <c r="J6" i="2"/>
  <c r="J7" i="2"/>
  <c r="J8" i="2"/>
  <c r="J9" i="2"/>
  <c r="L9" i="2" s="1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L40" i="2" s="1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L64" i="2" s="1"/>
  <c r="H21" i="2"/>
  <c r="H18" i="2"/>
  <c r="L70" i="10"/>
  <c r="J70" i="10"/>
  <c r="L68" i="8"/>
  <c r="L69" i="8"/>
  <c r="L70" i="8"/>
  <c r="L71" i="8"/>
  <c r="L72" i="8"/>
  <c r="J68" i="8"/>
  <c r="J69" i="8"/>
  <c r="J70" i="8"/>
  <c r="J71" i="8"/>
  <c r="J72" i="8"/>
  <c r="L66" i="7"/>
  <c r="L67" i="7"/>
  <c r="J66" i="7"/>
  <c r="J67" i="7"/>
  <c r="J68" i="7"/>
  <c r="L68" i="7" s="1"/>
  <c r="J71" i="10" l="1"/>
  <c r="L71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J51" i="10"/>
  <c r="L51" i="10" s="1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J32" i="10"/>
  <c r="L32" i="10" s="1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J19" i="10"/>
  <c r="L19" i="10" s="1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19" i="1"/>
  <c r="C22" i="1"/>
  <c r="C23" i="1"/>
  <c r="C24" i="1"/>
  <c r="C25" i="1"/>
  <c r="C30" i="1"/>
  <c r="C31" i="1"/>
  <c r="B23" i="1"/>
  <c r="B24" i="1"/>
  <c r="D24" i="1" l="1"/>
  <c r="D23" i="1"/>
  <c r="J67" i="8"/>
  <c r="L67" i="8" s="1"/>
  <c r="J66" i="8"/>
  <c r="L66" i="8" s="1"/>
  <c r="J65" i="8"/>
  <c r="L65" i="8" s="1"/>
  <c r="J64" i="8"/>
  <c r="L64" i="8" s="1"/>
  <c r="J63" i="8"/>
  <c r="L63" i="8" s="1"/>
  <c r="C15" i="1" s="1"/>
  <c r="J62" i="8"/>
  <c r="L62" i="8" s="1"/>
  <c r="C13" i="1" s="1"/>
  <c r="J61" i="8"/>
  <c r="L61" i="8" s="1"/>
  <c r="C26" i="1" s="1"/>
  <c r="J60" i="8"/>
  <c r="L60" i="8" s="1"/>
  <c r="C12" i="1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L21" i="8"/>
  <c r="J21" i="8"/>
  <c r="J20" i="8"/>
  <c r="L20" i="8" s="1"/>
  <c r="J19" i="8"/>
  <c r="L19" i="8" s="1"/>
  <c r="J18" i="8"/>
  <c r="L18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J4" i="8"/>
  <c r="L4" i="8" s="1"/>
  <c r="J3" i="8"/>
  <c r="L3" i="8" s="1"/>
  <c r="J2" i="8"/>
  <c r="L2" i="8" s="1"/>
  <c r="J65" i="7"/>
  <c r="L65" i="7" s="1"/>
  <c r="J64" i="7"/>
  <c r="L64" i="7" s="1"/>
  <c r="J63" i="7"/>
  <c r="L63" i="7" s="1"/>
  <c r="J62" i="7"/>
  <c r="L62" i="7" s="1"/>
  <c r="J61" i="7"/>
  <c r="L61" i="7" s="1"/>
  <c r="J60" i="7"/>
  <c r="L60" i="7" s="1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J20" i="7"/>
  <c r="L20" i="7" s="1"/>
  <c r="J19" i="7"/>
  <c r="L19" i="7" s="1"/>
  <c r="J18" i="7"/>
  <c r="L18" i="7" s="1"/>
  <c r="J17" i="7"/>
  <c r="L17" i="7" s="1"/>
  <c r="J16" i="7"/>
  <c r="L16" i="7" s="1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C28" i="1"/>
  <c r="C21" i="1"/>
  <c r="C18" i="1"/>
  <c r="C4" i="1"/>
  <c r="B31" i="1"/>
  <c r="D31" i="1" s="1"/>
  <c r="J2" i="6"/>
  <c r="L2" i="6" s="1"/>
  <c r="B15" i="1"/>
  <c r="B11" i="1"/>
  <c r="J2" i="5"/>
  <c r="L2" i="5" s="1"/>
  <c r="C29" i="1"/>
  <c r="C27" i="1"/>
  <c r="C17" i="1"/>
  <c r="J2" i="4"/>
  <c r="L2" i="4" s="1"/>
  <c r="J2" i="3"/>
  <c r="L2" i="3" s="1"/>
  <c r="C9" i="1"/>
  <c r="C8" i="1"/>
  <c r="B17" i="1"/>
  <c r="B16" i="1"/>
  <c r="B13" i="1"/>
  <c r="B10" i="1"/>
  <c r="B5" i="1"/>
  <c r="J2" i="2"/>
  <c r="L2" i="2" s="1"/>
  <c r="C16" i="1" l="1"/>
  <c r="D16" i="1" s="1"/>
  <c r="C20" i="1"/>
  <c r="C5" i="1"/>
  <c r="D5" i="1" s="1"/>
  <c r="D13" i="1"/>
  <c r="D15" i="1"/>
  <c r="C7" i="1"/>
  <c r="B18" i="1"/>
  <c r="D18" i="1" s="1"/>
  <c r="B12" i="1"/>
  <c r="D12" i="1" s="1"/>
  <c r="C2" i="1"/>
  <c r="C6" i="1"/>
  <c r="C11" i="1"/>
  <c r="D11" i="1" s="1"/>
  <c r="B22" i="1"/>
  <c r="D22" i="1" s="1"/>
  <c r="B26" i="1"/>
  <c r="D26" i="1" s="1"/>
  <c r="B8" i="1"/>
  <c r="D8" i="1" s="1"/>
  <c r="B30" i="1"/>
  <c r="D30" i="1" s="1"/>
  <c r="B7" i="1"/>
  <c r="B14" i="1"/>
  <c r="D14" i="1" s="1"/>
  <c r="B29" i="1"/>
  <c r="D29" i="1" s="1"/>
  <c r="B25" i="1"/>
  <c r="D25" i="1" s="1"/>
  <c r="B2" i="1"/>
  <c r="C10" i="1"/>
  <c r="D10" i="1" s="1"/>
  <c r="B27" i="1"/>
  <c r="D27" i="1" s="1"/>
  <c r="D17" i="1"/>
  <c r="B4" i="1"/>
  <c r="D4" i="1" s="1"/>
  <c r="B6" i="1"/>
  <c r="B28" i="1"/>
  <c r="D28" i="1" s="1"/>
  <c r="B21" i="1"/>
  <c r="D21" i="1" s="1"/>
  <c r="C3" i="1"/>
  <c r="B3" i="1"/>
  <c r="B20" i="1"/>
  <c r="B9" i="1"/>
  <c r="D9" i="1" s="1"/>
  <c r="B19" i="1"/>
  <c r="D19" i="1" s="1"/>
  <c r="D20" i="1" l="1"/>
  <c r="D7" i="1"/>
  <c r="D6" i="1"/>
  <c r="D2" i="1"/>
  <c r="D3" i="1"/>
</calcChain>
</file>

<file path=xl/sharedStrings.xml><?xml version="1.0" encoding="utf-8"?>
<sst xmlns="http://schemas.openxmlformats.org/spreadsheetml/2006/main" count="2159" uniqueCount="155">
  <si>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</si>
  <si>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</si>
  <si>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</si>
  <si>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</si>
  <si>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</si>
  <si>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</si>
  <si>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</si>
  <si>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</si>
  <si>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</si>
  <si>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</si>
  <si>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</si>
  <si>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</si>
  <si>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</si>
  <si>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</si>
  <si>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</si>
  <si>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</si>
  <si>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</si>
  <si>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</si>
  <si>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</si>
  <si>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</si>
  <si>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</si>
  <si>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</si>
  <si>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</si>
  <si>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</si>
  <si>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</si>
  <si>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</si>
  <si>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</si>
  <si>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</si>
  <si>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</si>
  <si>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</si>
  <si>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</si>
  <si>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</si>
  <si>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</si>
  <si>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</si>
  <si>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</si>
  <si>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</si>
  <si>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</si>
  <si>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</si>
  <si>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</si>
  <si>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</si>
  <si>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</si>
  <si>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</si>
  <si>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</si>
  <si>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</si>
  <si>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</si>
  <si>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</si>
  <si>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</si>
  <si>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</si>
  <si>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</si>
  <si>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</si>
  <si>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</si>
  <si>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</si>
  <si>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</si>
  <si>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</si>
  <si>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</si>
  <si>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</si>
  <si>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</si>
  <si>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</si>
  <si>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</si>
  <si>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</si>
  <si>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</si>
  <si>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</si>
  <si>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</si>
  <si>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</si>
  <si>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</si>
  <si>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</si>
  <si>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</si>
  <si>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</si>
  <si>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</si>
  <si>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</si>
  <si>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</si>
  <si>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</si>
  <si>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</si>
  <si>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</si>
  <si>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</si>
  <si>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</si>
  <si>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</si>
  <si>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</si>
  <si>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</si>
  <si>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</si>
  <si>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</si>
  <si>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</si>
  <si>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</si>
  <si>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</si>
  <si>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</si>
  <si>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</si>
  <si>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</si>
  <si>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</si>
  <si>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</si>
  <si>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</si>
  <si>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</si>
  <si>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</si>
  <si>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</si>
  <si>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</si>
  <si>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</si>
  <si>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</si>
  <si>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</si>
  <si>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</si>
  <si>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</si>
  <si>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</si>
  <si>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</si>
  <si>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</si>
  <si>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Hair, Ox or Cow</t>
  </si>
  <si>
    <t>Horn, Ox or Cow</t>
  </si>
  <si>
    <t>15g</t>
  </si>
  <si>
    <t>6g</t>
  </si>
  <si>
    <t>Potatoes</t>
  </si>
  <si>
    <t>25322g</t>
  </si>
  <si>
    <t>11t 2h 56g</t>
  </si>
  <si>
    <t>380 bags</t>
  </si>
  <si>
    <t>51g</t>
  </si>
  <si>
    <t>12290g</t>
  </si>
  <si>
    <t>29t 1h 14g</t>
  </si>
  <si>
    <t>7t 1h 21g</t>
  </si>
  <si>
    <t>315bags</t>
  </si>
  <si>
    <t>192g</t>
  </si>
  <si>
    <t>Balsam Artificial</t>
  </si>
  <si>
    <t>Balsam Natural</t>
  </si>
  <si>
    <t>30g</t>
  </si>
  <si>
    <t>15.5g</t>
  </si>
  <si>
    <t>369102g</t>
  </si>
  <si>
    <t>23t 3h 21g</t>
  </si>
  <si>
    <t>647.5bags</t>
  </si>
  <si>
    <t>3572g</t>
  </si>
  <si>
    <t>26t 1h 58g</t>
  </si>
  <si>
    <t>209.5bags</t>
  </si>
  <si>
    <t>2.5g</t>
  </si>
  <si>
    <t>1833g</t>
  </si>
  <si>
    <t>21t 2h 10g</t>
  </si>
  <si>
    <t>16.5bags</t>
  </si>
  <si>
    <t>11g</t>
  </si>
  <si>
    <t>7313g</t>
  </si>
  <si>
    <t>68t 1h 47g</t>
  </si>
  <si>
    <t>8t 2h 40g</t>
  </si>
  <si>
    <t>420bags</t>
  </si>
  <si>
    <t>348bags</t>
  </si>
  <si>
    <t>3130g</t>
  </si>
  <si>
    <t>14t 2h 18g</t>
  </si>
  <si>
    <t>615.25 bags</t>
  </si>
  <si>
    <t>4g</t>
  </si>
  <si>
    <t>9238g</t>
  </si>
  <si>
    <t>15t 3h 55g</t>
  </si>
  <si>
    <t>1550.5 bags</t>
  </si>
  <si>
    <t>122095g</t>
  </si>
  <si>
    <t>16t 2h 17g</t>
  </si>
  <si>
    <t>1422.5bags</t>
  </si>
  <si>
    <t>257g</t>
  </si>
  <si>
    <t>118bags</t>
  </si>
  <si>
    <t>263g</t>
  </si>
  <si>
    <t>136bags</t>
  </si>
  <si>
    <t>9552g</t>
  </si>
  <si>
    <t>2t 2h 17g</t>
  </si>
  <si>
    <t>723.5 bags</t>
  </si>
  <si>
    <t>45g</t>
  </si>
  <si>
    <t>318bags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</si>
</sst>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D7" sqref="D7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0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5.2687499999999998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3.1991071428571431</v>
      </c>
      <c r="D3">
        <f t="shared" ref="D3:D31" si="0">B3+C3</f>
        <v>8.4678571428571434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32303.200892857138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14201.898660714287</v>
      </c>
      <c r="D4">
        <f t="shared" si="0"/>
        <v>46505.099553571425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36.918750000000003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16.894196428571426</v>
      </c>
      <c r="D6">
        <f t="shared" si="0"/>
        <v>53.812946428571429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177.54464285714286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407.65625</v>
      </c>
      <c r="D7">
        <f t="shared" si="0"/>
        <v>585.20089285714289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252.05446428571426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154.05580357142856</v>
      </c>
      <c r="D8">
        <f t="shared" si="0"/>
        <v>406.11026785714284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18.004464285714285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52.995089285714279</v>
      </c>
      <c r="D9">
        <f t="shared" si="0"/>
        <v>70.999553571428564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9.445982142857142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9.4348214285714285</v>
      </c>
      <c r="D10">
        <f t="shared" si="0"/>
        <v>18.880803571428572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166.03749999999999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61.375</v>
      </c>
      <c r="D11">
        <f t="shared" si="0"/>
        <v>227.41249999999999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0.20089285714285715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0</v>
      </c>
      <c r="D12">
        <f t="shared" si="0"/>
        <v>0.20089285714285715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3.3928571428571426E-2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</v>
      </c>
      <c r="D13">
        <f t="shared" si="0"/>
        <v>3.3928571428571426E-2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91.145982142857136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171.30223214285715</v>
      </c>
      <c r="D14">
        <f t="shared" si="0"/>
        <v>262.4482142857143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2.5812499999999998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24.944642857142856</v>
      </c>
      <c r="D15">
        <f t="shared" si="0"/>
        <v>27.525892857142857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225.60267857142858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645.4120535714286</v>
      </c>
      <c r="D16">
        <f t="shared" si="0"/>
        <v>871.01473214285716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7.2602678571428569</v>
      </c>
      <c r="D17">
        <f t="shared" si="0"/>
        <v>7.2602678571428569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3.253571428571429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0.37321428571428572</v>
      </c>
      <c r="D18">
        <f t="shared" si="0"/>
        <v>3.6267857142857149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1.3803571428571428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0</v>
      </c>
      <c r="D19">
        <f t="shared" si="0"/>
        <v>1.3803571428571428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1.8459821428571428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0.90714285714285714</v>
      </c>
      <c r="D20">
        <f t="shared" si="0"/>
        <v>2.7531249999999998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2.6357142857142857</v>
      </c>
      <c r="D21">
        <f t="shared" si="0"/>
        <v>2.6357142857142857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0.79776785714285714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</v>
      </c>
      <c r="D25">
        <f t="shared" si="0"/>
        <v>0.79776785714285714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174.96473214285714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47.918303571428567</v>
      </c>
      <c r="D26">
        <f t="shared" si="0"/>
        <v>222.88303571428571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220.9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60.358928571428571</v>
      </c>
      <c r="D27">
        <f t="shared" si="0"/>
        <v>281.25892857142856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565.67499999999995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523.14107142857142</v>
      </c>
      <c r="D28">
        <f t="shared" si="0"/>
        <v>1088.8160714285714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356.22857142857146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277.31473214285717</v>
      </c>
      <c r="D29">
        <f t="shared" si="0"/>
        <v>633.54330357142862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43.543749999999996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27.644642857142856</v>
      </c>
      <c r="D30">
        <f t="shared" si="0"/>
        <v>71.188392857142844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4"/>
  <sheetViews>
    <sheetView topLeftCell="A7" workbookViewId="0">
      <selection activeCell="H41" sqref="H41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1749</v>
      </c>
      <c r="B2" t="s">
        <v>38</v>
      </c>
      <c r="C2" t="s">
        <v>55</v>
      </c>
      <c r="D2" t="s">
        <v>33</v>
      </c>
      <c r="J2">
        <f t="shared" ref="J2:J64" si="0">(E2*2240)+(F2*112)+(G2*28)+H2</f>
        <v>0</v>
      </c>
      <c r="L2">
        <f t="shared" ref="L2:L64" si="1">J2/2240</f>
        <v>0</v>
      </c>
    </row>
    <row r="3" spans="1:15" x14ac:dyDescent="0.25">
      <c r="A3">
        <v>1749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1749</v>
      </c>
      <c r="B4" t="s">
        <v>5</v>
      </c>
      <c r="C4" t="s">
        <v>55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1749</v>
      </c>
      <c r="B5" t="s">
        <v>6</v>
      </c>
      <c r="C5" t="s">
        <v>55</v>
      </c>
      <c r="D5" t="s">
        <v>33</v>
      </c>
      <c r="F5">
        <v>145515</v>
      </c>
      <c r="G5">
        <v>3</v>
      </c>
      <c r="H5">
        <v>7</v>
      </c>
      <c r="J5">
        <f t="shared" si="0"/>
        <v>16297771</v>
      </c>
      <c r="L5">
        <f t="shared" si="1"/>
        <v>7275.7906249999996</v>
      </c>
    </row>
    <row r="6" spans="1:15" x14ac:dyDescent="0.25">
      <c r="A6">
        <v>1749</v>
      </c>
      <c r="B6" t="s">
        <v>7</v>
      </c>
      <c r="C6" t="s">
        <v>55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1749</v>
      </c>
      <c r="B7" t="s">
        <v>8</v>
      </c>
      <c r="C7" t="s">
        <v>55</v>
      </c>
      <c r="D7" t="s">
        <v>33</v>
      </c>
      <c r="F7">
        <v>11</v>
      </c>
      <c r="H7">
        <v>14</v>
      </c>
      <c r="J7">
        <f t="shared" si="0"/>
        <v>1246</v>
      </c>
      <c r="L7">
        <f t="shared" si="1"/>
        <v>0.55625000000000002</v>
      </c>
    </row>
    <row r="8" spans="1:15" x14ac:dyDescent="0.25">
      <c r="A8">
        <v>1749</v>
      </c>
      <c r="B8" t="s">
        <v>48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1749</v>
      </c>
      <c r="B9" t="s">
        <v>9</v>
      </c>
      <c r="C9" t="s">
        <v>55</v>
      </c>
      <c r="D9" t="s">
        <v>33</v>
      </c>
      <c r="H9">
        <f>200*380</f>
        <v>76000</v>
      </c>
      <c r="I9" t="s">
        <v>109</v>
      </c>
      <c r="J9">
        <f t="shared" si="0"/>
        <v>76000</v>
      </c>
      <c r="L9">
        <f t="shared" si="1"/>
        <v>33.928571428571431</v>
      </c>
    </row>
    <row r="10" spans="1:15" x14ac:dyDescent="0.25">
      <c r="A10">
        <v>1749</v>
      </c>
      <c r="B10" t="s">
        <v>10</v>
      </c>
      <c r="C10" t="s">
        <v>55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1749</v>
      </c>
      <c r="B11" t="s">
        <v>11</v>
      </c>
      <c r="C11" t="s">
        <v>55</v>
      </c>
      <c r="D11" t="s">
        <v>33</v>
      </c>
      <c r="F11">
        <v>35</v>
      </c>
      <c r="H11">
        <v>14</v>
      </c>
      <c r="J11">
        <f t="shared" si="0"/>
        <v>3934</v>
      </c>
      <c r="L11">
        <f t="shared" si="1"/>
        <v>1.7562500000000001</v>
      </c>
    </row>
    <row r="12" spans="1:15" x14ac:dyDescent="0.25">
      <c r="A12">
        <v>1749</v>
      </c>
      <c r="B12" t="s">
        <v>41</v>
      </c>
      <c r="C12" t="s">
        <v>55</v>
      </c>
      <c r="D12" t="s">
        <v>33</v>
      </c>
      <c r="H12">
        <v>65</v>
      </c>
      <c r="J12">
        <f t="shared" si="0"/>
        <v>65</v>
      </c>
      <c r="L12">
        <f t="shared" si="1"/>
        <v>2.9017857142857144E-2</v>
      </c>
    </row>
    <row r="13" spans="1:15" x14ac:dyDescent="0.25">
      <c r="A13">
        <v>1749</v>
      </c>
      <c r="B13" t="s">
        <v>102</v>
      </c>
      <c r="C13" t="s">
        <v>55</v>
      </c>
      <c r="D13" t="s">
        <v>33</v>
      </c>
      <c r="H13">
        <v>336</v>
      </c>
      <c r="J13">
        <f t="shared" si="0"/>
        <v>336</v>
      </c>
      <c r="L13">
        <f t="shared" si="1"/>
        <v>0.15</v>
      </c>
    </row>
    <row r="14" spans="1:15" x14ac:dyDescent="0.25">
      <c r="A14">
        <v>1749</v>
      </c>
      <c r="B14" t="s">
        <v>103</v>
      </c>
      <c r="C14" t="s">
        <v>55</v>
      </c>
      <c r="D14" t="s">
        <v>33</v>
      </c>
      <c r="I14">
        <v>4000</v>
      </c>
      <c r="J14">
        <f t="shared" si="0"/>
        <v>0</v>
      </c>
      <c r="L14">
        <f t="shared" si="1"/>
        <v>0</v>
      </c>
    </row>
    <row r="15" spans="1:15" x14ac:dyDescent="0.25">
      <c r="A15">
        <v>1749</v>
      </c>
      <c r="B15" t="s">
        <v>12</v>
      </c>
      <c r="C15" t="s">
        <v>55</v>
      </c>
      <c r="D15" t="s">
        <v>33</v>
      </c>
      <c r="H15">
        <v>112</v>
      </c>
      <c r="J15">
        <f t="shared" si="0"/>
        <v>112</v>
      </c>
      <c r="L15">
        <f t="shared" si="1"/>
        <v>0.05</v>
      </c>
    </row>
    <row r="16" spans="1:15" x14ac:dyDescent="0.25">
      <c r="A16">
        <v>1749</v>
      </c>
      <c r="B16" t="s">
        <v>34</v>
      </c>
      <c r="C16" t="s">
        <v>55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1749</v>
      </c>
      <c r="B17" t="s">
        <v>13</v>
      </c>
      <c r="C17" t="s">
        <v>55</v>
      </c>
      <c r="D17" t="s">
        <v>33</v>
      </c>
      <c r="E17">
        <v>55</v>
      </c>
      <c r="J17">
        <f t="shared" si="0"/>
        <v>123200</v>
      </c>
      <c r="L17">
        <f t="shared" si="1"/>
        <v>55</v>
      </c>
    </row>
    <row r="18" spans="1:12" x14ac:dyDescent="0.25">
      <c r="A18">
        <v>1749</v>
      </c>
      <c r="B18" t="s">
        <v>14</v>
      </c>
      <c r="C18" t="s">
        <v>55</v>
      </c>
      <c r="D18" t="s">
        <v>33</v>
      </c>
      <c r="H18">
        <f>150</f>
        <v>150</v>
      </c>
      <c r="I18" t="s">
        <v>104</v>
      </c>
      <c r="J18">
        <f t="shared" si="0"/>
        <v>150</v>
      </c>
      <c r="L18">
        <f t="shared" si="1"/>
        <v>6.6964285714285712E-2</v>
      </c>
    </row>
    <row r="19" spans="1:12" x14ac:dyDescent="0.25">
      <c r="A19">
        <v>1749</v>
      </c>
      <c r="B19" t="s">
        <v>27</v>
      </c>
      <c r="C19" t="s">
        <v>55</v>
      </c>
      <c r="D19" t="s">
        <v>33</v>
      </c>
      <c r="H19">
        <v>25367</v>
      </c>
      <c r="I19" t="s">
        <v>108</v>
      </c>
      <c r="J19">
        <f t="shared" si="0"/>
        <v>25367</v>
      </c>
      <c r="L19">
        <f t="shared" si="1"/>
        <v>11.324553571428572</v>
      </c>
    </row>
    <row r="20" spans="1:12" x14ac:dyDescent="0.25">
      <c r="A20">
        <v>1749</v>
      </c>
      <c r="B20" t="s">
        <v>15</v>
      </c>
      <c r="C20" t="s">
        <v>55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1749</v>
      </c>
      <c r="B21" t="s">
        <v>49</v>
      </c>
      <c r="C21" t="s">
        <v>55</v>
      </c>
      <c r="D21" t="s">
        <v>33</v>
      </c>
      <c r="H21">
        <f>60</f>
        <v>60</v>
      </c>
      <c r="I21" t="s">
        <v>105</v>
      </c>
      <c r="J21">
        <f t="shared" si="0"/>
        <v>60</v>
      </c>
      <c r="L21">
        <f t="shared" si="1"/>
        <v>2.6785714285714284E-2</v>
      </c>
    </row>
    <row r="22" spans="1:12" x14ac:dyDescent="0.25">
      <c r="A22">
        <v>1749</v>
      </c>
      <c r="B22" t="s">
        <v>106</v>
      </c>
      <c r="C22" t="s">
        <v>55</v>
      </c>
      <c r="D22" t="s">
        <v>33</v>
      </c>
      <c r="F22">
        <v>5</v>
      </c>
      <c r="G22">
        <v>1</v>
      </c>
      <c r="J22">
        <f t="shared" si="0"/>
        <v>588</v>
      </c>
      <c r="L22">
        <f t="shared" si="1"/>
        <v>0.26250000000000001</v>
      </c>
    </row>
    <row r="23" spans="1:12" x14ac:dyDescent="0.25">
      <c r="A23">
        <v>1749</v>
      </c>
      <c r="B23" t="s">
        <v>17</v>
      </c>
      <c r="C23" t="s">
        <v>55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1749</v>
      </c>
      <c r="B24" t="s">
        <v>18</v>
      </c>
      <c r="C24" t="s">
        <v>55</v>
      </c>
      <c r="D24" t="s">
        <v>33</v>
      </c>
      <c r="H24">
        <v>253285</v>
      </c>
      <c r="I24" t="s">
        <v>107</v>
      </c>
      <c r="J24">
        <f t="shared" si="0"/>
        <v>253285</v>
      </c>
      <c r="L24">
        <f t="shared" si="1"/>
        <v>113.07366071428571</v>
      </c>
    </row>
    <row r="25" spans="1:12" x14ac:dyDescent="0.25">
      <c r="A25">
        <v>1749</v>
      </c>
      <c r="B25" t="s">
        <v>19</v>
      </c>
      <c r="C25" t="s">
        <v>55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1749</v>
      </c>
      <c r="B26" t="s">
        <v>56</v>
      </c>
      <c r="C26" t="s">
        <v>55</v>
      </c>
      <c r="D26" t="s">
        <v>33</v>
      </c>
      <c r="H26">
        <v>883</v>
      </c>
      <c r="J26">
        <f t="shared" si="0"/>
        <v>883</v>
      </c>
      <c r="L26">
        <f t="shared" si="1"/>
        <v>0.39419642857142856</v>
      </c>
    </row>
    <row r="27" spans="1:12" x14ac:dyDescent="0.25">
      <c r="A27">
        <v>1749</v>
      </c>
      <c r="B27" t="s">
        <v>90</v>
      </c>
      <c r="C27" t="s">
        <v>55</v>
      </c>
      <c r="D27" t="s">
        <v>33</v>
      </c>
      <c r="H27">
        <v>376</v>
      </c>
      <c r="J27">
        <f t="shared" si="0"/>
        <v>376</v>
      </c>
      <c r="L27">
        <f t="shared" si="1"/>
        <v>0.16785714285714284</v>
      </c>
    </row>
    <row r="28" spans="1:12" x14ac:dyDescent="0.25">
      <c r="A28">
        <v>1749</v>
      </c>
      <c r="B28" t="s">
        <v>20</v>
      </c>
      <c r="C28" t="s">
        <v>55</v>
      </c>
      <c r="D28" t="s">
        <v>33</v>
      </c>
      <c r="H28">
        <v>3092</v>
      </c>
      <c r="J28">
        <f t="shared" si="0"/>
        <v>3092</v>
      </c>
      <c r="L28">
        <f t="shared" si="1"/>
        <v>1.3803571428571428</v>
      </c>
    </row>
    <row r="29" spans="1:12" x14ac:dyDescent="0.25">
      <c r="A29">
        <v>1749</v>
      </c>
      <c r="B29" t="s">
        <v>21</v>
      </c>
      <c r="C29" t="s">
        <v>55</v>
      </c>
      <c r="D29" t="s">
        <v>33</v>
      </c>
      <c r="H29">
        <v>29</v>
      </c>
      <c r="J29">
        <f t="shared" si="0"/>
        <v>29</v>
      </c>
      <c r="L29">
        <f t="shared" si="1"/>
        <v>1.2946428571428572E-2</v>
      </c>
    </row>
    <row r="30" spans="1:12" x14ac:dyDescent="0.25">
      <c r="A30">
        <v>1749</v>
      </c>
      <c r="B30" t="s">
        <v>94</v>
      </c>
      <c r="C30" t="s">
        <v>55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1749</v>
      </c>
      <c r="B31" t="s">
        <v>22</v>
      </c>
      <c r="C31" t="s">
        <v>55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1749</v>
      </c>
      <c r="B32" t="s">
        <v>63</v>
      </c>
      <c r="C32" t="s">
        <v>55</v>
      </c>
      <c r="D32" t="s">
        <v>33</v>
      </c>
      <c r="E32">
        <v>24</v>
      </c>
      <c r="J32">
        <f t="shared" si="0"/>
        <v>53760</v>
      </c>
      <c r="L32">
        <f t="shared" si="1"/>
        <v>24</v>
      </c>
    </row>
    <row r="33" spans="1:12" x14ac:dyDescent="0.25">
      <c r="A33">
        <v>1749</v>
      </c>
      <c r="B33" t="s">
        <v>64</v>
      </c>
      <c r="C33" t="s">
        <v>55</v>
      </c>
      <c r="D33" t="s">
        <v>33</v>
      </c>
      <c r="E33">
        <v>73</v>
      </c>
      <c r="F33">
        <v>10</v>
      </c>
      <c r="G33">
        <v>3</v>
      </c>
      <c r="J33">
        <f t="shared" si="0"/>
        <v>164724</v>
      </c>
      <c r="L33">
        <f t="shared" si="1"/>
        <v>73.537499999999994</v>
      </c>
    </row>
    <row r="34" spans="1:12" x14ac:dyDescent="0.25">
      <c r="A34">
        <v>1749</v>
      </c>
      <c r="B34" t="s">
        <v>93</v>
      </c>
      <c r="C34" t="s">
        <v>55</v>
      </c>
      <c r="D34" t="s">
        <v>33</v>
      </c>
      <c r="E34">
        <v>3</v>
      </c>
      <c r="J34">
        <f t="shared" si="0"/>
        <v>6720</v>
      </c>
      <c r="L34">
        <f t="shared" si="1"/>
        <v>3</v>
      </c>
    </row>
    <row r="35" spans="1:12" x14ac:dyDescent="0.25">
      <c r="A35">
        <v>1749</v>
      </c>
      <c r="B35" t="s">
        <v>66</v>
      </c>
      <c r="C35" t="s">
        <v>55</v>
      </c>
      <c r="D35" t="s">
        <v>33</v>
      </c>
      <c r="E35">
        <v>6</v>
      </c>
      <c r="J35">
        <f t="shared" si="0"/>
        <v>13440</v>
      </c>
      <c r="L35">
        <f t="shared" si="1"/>
        <v>6</v>
      </c>
    </row>
    <row r="36" spans="1:12" x14ac:dyDescent="0.25">
      <c r="A36">
        <v>1749</v>
      </c>
      <c r="B36" t="s">
        <v>5</v>
      </c>
      <c r="C36" t="s">
        <v>55</v>
      </c>
      <c r="D36" t="s">
        <v>35</v>
      </c>
      <c r="J36">
        <f t="shared" si="0"/>
        <v>0</v>
      </c>
      <c r="L36">
        <f t="shared" si="1"/>
        <v>0</v>
      </c>
    </row>
    <row r="37" spans="1:12" x14ac:dyDescent="0.25">
      <c r="A37">
        <v>1749</v>
      </c>
      <c r="B37" t="s">
        <v>6</v>
      </c>
      <c r="C37" t="s">
        <v>55</v>
      </c>
      <c r="D37" t="s">
        <v>35</v>
      </c>
      <c r="F37">
        <v>29838</v>
      </c>
      <c r="G37">
        <v>1</v>
      </c>
      <c r="H37">
        <v>6</v>
      </c>
      <c r="J37">
        <f t="shared" si="0"/>
        <v>3341890</v>
      </c>
      <c r="L37">
        <f t="shared" si="1"/>
        <v>1491.9151785714287</v>
      </c>
    </row>
    <row r="38" spans="1:12" x14ac:dyDescent="0.25">
      <c r="A38">
        <v>1749</v>
      </c>
      <c r="B38" t="s">
        <v>37</v>
      </c>
      <c r="C38" t="s">
        <v>55</v>
      </c>
      <c r="D38" t="s">
        <v>35</v>
      </c>
      <c r="J38">
        <f t="shared" si="0"/>
        <v>0</v>
      </c>
      <c r="L38">
        <f t="shared" si="1"/>
        <v>0</v>
      </c>
    </row>
    <row r="39" spans="1:12" x14ac:dyDescent="0.25">
      <c r="A39">
        <v>1749</v>
      </c>
      <c r="B39" t="s">
        <v>8</v>
      </c>
      <c r="C39" t="s">
        <v>55</v>
      </c>
      <c r="D39" t="s">
        <v>35</v>
      </c>
      <c r="F39">
        <v>12</v>
      </c>
      <c r="H39">
        <v>24</v>
      </c>
      <c r="J39">
        <f t="shared" si="0"/>
        <v>1368</v>
      </c>
      <c r="L39">
        <f t="shared" si="1"/>
        <v>0.61071428571428577</v>
      </c>
    </row>
    <row r="40" spans="1:12" x14ac:dyDescent="0.25">
      <c r="A40">
        <v>1749</v>
      </c>
      <c r="B40" t="s">
        <v>9</v>
      </c>
      <c r="C40" t="s">
        <v>55</v>
      </c>
      <c r="D40" t="s">
        <v>35</v>
      </c>
      <c r="H40">
        <f>200*615.25</f>
        <v>123050</v>
      </c>
      <c r="I40" t="s">
        <v>138</v>
      </c>
      <c r="J40">
        <f t="shared" si="0"/>
        <v>123050</v>
      </c>
      <c r="L40">
        <f t="shared" si="1"/>
        <v>54.933035714285715</v>
      </c>
    </row>
    <row r="41" spans="1:12" x14ac:dyDescent="0.25">
      <c r="A41">
        <v>1749</v>
      </c>
      <c r="B41" t="s">
        <v>10</v>
      </c>
      <c r="C41" t="s">
        <v>55</v>
      </c>
      <c r="D41" t="s">
        <v>35</v>
      </c>
      <c r="F41">
        <v>1</v>
      </c>
      <c r="G41">
        <v>1</v>
      </c>
      <c r="J41">
        <f t="shared" si="0"/>
        <v>140</v>
      </c>
      <c r="L41">
        <f t="shared" si="1"/>
        <v>6.25E-2</v>
      </c>
    </row>
    <row r="42" spans="1:12" x14ac:dyDescent="0.25">
      <c r="A42">
        <v>1749</v>
      </c>
      <c r="B42" t="s">
        <v>11</v>
      </c>
      <c r="C42" t="s">
        <v>55</v>
      </c>
      <c r="D42" t="s">
        <v>35</v>
      </c>
      <c r="F42">
        <v>46</v>
      </c>
      <c r="G42">
        <v>3</v>
      </c>
      <c r="H42">
        <v>7</v>
      </c>
      <c r="J42">
        <f t="shared" si="0"/>
        <v>5243</v>
      </c>
      <c r="L42">
        <f t="shared" si="1"/>
        <v>2.3406250000000002</v>
      </c>
    </row>
    <row r="43" spans="1:12" x14ac:dyDescent="0.25">
      <c r="A43">
        <v>1749</v>
      </c>
      <c r="B43" t="s">
        <v>36</v>
      </c>
      <c r="C43" t="s">
        <v>55</v>
      </c>
      <c r="D43" t="s">
        <v>35</v>
      </c>
      <c r="J43">
        <f t="shared" si="0"/>
        <v>0</v>
      </c>
      <c r="L43">
        <f t="shared" si="1"/>
        <v>0</v>
      </c>
    </row>
    <row r="44" spans="1:12" x14ac:dyDescent="0.25">
      <c r="A44">
        <v>1749</v>
      </c>
      <c r="B44" t="s">
        <v>41</v>
      </c>
      <c r="C44" t="s">
        <v>55</v>
      </c>
      <c r="D44" t="s">
        <v>35</v>
      </c>
      <c r="J44">
        <f t="shared" si="0"/>
        <v>0</v>
      </c>
      <c r="L44">
        <f t="shared" si="1"/>
        <v>0</v>
      </c>
    </row>
    <row r="45" spans="1:12" x14ac:dyDescent="0.25">
      <c r="A45">
        <v>1749</v>
      </c>
      <c r="B45" t="s">
        <v>102</v>
      </c>
      <c r="C45" t="s">
        <v>55</v>
      </c>
      <c r="D45" t="s">
        <v>35</v>
      </c>
      <c r="H45">
        <v>844</v>
      </c>
      <c r="J45">
        <f t="shared" si="0"/>
        <v>844</v>
      </c>
      <c r="L45">
        <f t="shared" si="1"/>
        <v>0.37678571428571428</v>
      </c>
    </row>
    <row r="46" spans="1:12" x14ac:dyDescent="0.25">
      <c r="A46">
        <v>1749</v>
      </c>
      <c r="B46" t="s">
        <v>12</v>
      </c>
      <c r="C46" t="s">
        <v>55</v>
      </c>
      <c r="D46" t="s">
        <v>35</v>
      </c>
      <c r="J46">
        <f t="shared" si="0"/>
        <v>0</v>
      </c>
      <c r="L46">
        <f t="shared" si="1"/>
        <v>0</v>
      </c>
    </row>
    <row r="47" spans="1:12" x14ac:dyDescent="0.25">
      <c r="A47">
        <v>1749</v>
      </c>
      <c r="B47" t="s">
        <v>13</v>
      </c>
      <c r="C47" t="s">
        <v>55</v>
      </c>
      <c r="D47" t="s">
        <v>35</v>
      </c>
      <c r="E47">
        <v>9</v>
      </c>
      <c r="J47">
        <f t="shared" si="0"/>
        <v>20160</v>
      </c>
      <c r="L47">
        <f t="shared" si="1"/>
        <v>9</v>
      </c>
    </row>
    <row r="48" spans="1:12" x14ac:dyDescent="0.25">
      <c r="A48">
        <v>1749</v>
      </c>
      <c r="B48" t="s">
        <v>14</v>
      </c>
      <c r="C48" t="s">
        <v>55</v>
      </c>
      <c r="D48" t="s">
        <v>35</v>
      </c>
      <c r="J48">
        <f t="shared" si="0"/>
        <v>0</v>
      </c>
      <c r="L48">
        <f t="shared" si="1"/>
        <v>0</v>
      </c>
    </row>
    <row r="49" spans="1:12" x14ac:dyDescent="0.25">
      <c r="A49">
        <v>1749</v>
      </c>
      <c r="B49" t="s">
        <v>27</v>
      </c>
      <c r="C49" t="s">
        <v>55</v>
      </c>
      <c r="D49" t="s">
        <v>35</v>
      </c>
      <c r="H49">
        <v>31468</v>
      </c>
      <c r="I49" t="s">
        <v>137</v>
      </c>
      <c r="J49">
        <f t="shared" si="0"/>
        <v>31468</v>
      </c>
      <c r="L49">
        <f t="shared" si="1"/>
        <v>14.048214285714286</v>
      </c>
    </row>
    <row r="50" spans="1:12" x14ac:dyDescent="0.25">
      <c r="A50">
        <v>1749</v>
      </c>
      <c r="B50" t="s">
        <v>15</v>
      </c>
      <c r="C50" t="s">
        <v>55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1749</v>
      </c>
      <c r="B51" t="s">
        <v>49</v>
      </c>
      <c r="C51" t="s">
        <v>55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1749</v>
      </c>
      <c r="B52" t="s">
        <v>17</v>
      </c>
      <c r="C52" t="s">
        <v>55</v>
      </c>
      <c r="D52" t="s">
        <v>35</v>
      </c>
      <c r="F52">
        <v>105</v>
      </c>
      <c r="G52">
        <v>3</v>
      </c>
      <c r="H52">
        <v>16</v>
      </c>
      <c r="J52">
        <f t="shared" si="0"/>
        <v>11860</v>
      </c>
      <c r="L52">
        <f t="shared" si="1"/>
        <v>5.2946428571428568</v>
      </c>
    </row>
    <row r="53" spans="1:12" x14ac:dyDescent="0.25">
      <c r="A53">
        <v>1749</v>
      </c>
      <c r="B53" t="s">
        <v>18</v>
      </c>
      <c r="C53" t="s">
        <v>55</v>
      </c>
      <c r="D53" t="s">
        <v>35</v>
      </c>
      <c r="H53">
        <v>31308</v>
      </c>
      <c r="I53" t="s">
        <v>136</v>
      </c>
      <c r="J53">
        <f t="shared" si="0"/>
        <v>31308</v>
      </c>
      <c r="L53">
        <f t="shared" si="1"/>
        <v>13.976785714285715</v>
      </c>
    </row>
    <row r="54" spans="1:12" x14ac:dyDescent="0.25">
      <c r="A54">
        <v>1749</v>
      </c>
      <c r="B54" t="s">
        <v>19</v>
      </c>
      <c r="C54" t="s">
        <v>55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1749</v>
      </c>
      <c r="B55" t="s">
        <v>56</v>
      </c>
      <c r="C55" t="s">
        <v>55</v>
      </c>
      <c r="D55" t="s">
        <v>35</v>
      </c>
      <c r="H55">
        <v>86</v>
      </c>
      <c r="J55">
        <f t="shared" si="0"/>
        <v>86</v>
      </c>
      <c r="L55">
        <f t="shared" si="1"/>
        <v>3.8392857142857145E-2</v>
      </c>
    </row>
    <row r="56" spans="1:12" x14ac:dyDescent="0.25">
      <c r="A56">
        <v>1749</v>
      </c>
      <c r="B56" t="s">
        <v>90</v>
      </c>
      <c r="C56" t="s">
        <v>55</v>
      </c>
      <c r="D56" t="s">
        <v>35</v>
      </c>
      <c r="H56">
        <v>14</v>
      </c>
      <c r="J56">
        <f t="shared" si="0"/>
        <v>14</v>
      </c>
      <c r="L56">
        <f t="shared" si="1"/>
        <v>6.2500000000000003E-3</v>
      </c>
    </row>
    <row r="57" spans="1:12" x14ac:dyDescent="0.25">
      <c r="A57">
        <v>1749</v>
      </c>
      <c r="B57" t="s">
        <v>20</v>
      </c>
      <c r="C57" t="s">
        <v>55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1749</v>
      </c>
      <c r="B58" t="s">
        <v>21</v>
      </c>
      <c r="C58" t="s">
        <v>55</v>
      </c>
      <c r="D58" t="s">
        <v>35</v>
      </c>
      <c r="H58">
        <v>30</v>
      </c>
      <c r="J58">
        <f t="shared" si="0"/>
        <v>30</v>
      </c>
      <c r="L58">
        <f t="shared" si="1"/>
        <v>1.3392857142857142E-2</v>
      </c>
    </row>
    <row r="59" spans="1:12" x14ac:dyDescent="0.25">
      <c r="A59">
        <v>1749</v>
      </c>
      <c r="B59" t="s">
        <v>95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1749</v>
      </c>
      <c r="B60" t="s">
        <v>22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1749</v>
      </c>
      <c r="B61" t="s">
        <v>63</v>
      </c>
      <c r="C61" t="s">
        <v>55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1749</v>
      </c>
      <c r="B62" t="s">
        <v>96</v>
      </c>
      <c r="C62" t="s">
        <v>55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1749</v>
      </c>
      <c r="B63" t="s">
        <v>64</v>
      </c>
      <c r="C63" t="s">
        <v>55</v>
      </c>
      <c r="D63" t="s">
        <v>35</v>
      </c>
      <c r="E63">
        <v>6</v>
      </c>
      <c r="J63">
        <f t="shared" si="0"/>
        <v>13440</v>
      </c>
      <c r="L63">
        <f t="shared" si="1"/>
        <v>6</v>
      </c>
    </row>
    <row r="64" spans="1:12" x14ac:dyDescent="0.25">
      <c r="A64">
        <v>1749</v>
      </c>
      <c r="B64" t="s">
        <v>65</v>
      </c>
      <c r="C64" t="s">
        <v>55</v>
      </c>
      <c r="D64" t="s">
        <v>35</v>
      </c>
      <c r="J64">
        <f t="shared" si="0"/>
        <v>0</v>
      </c>
      <c r="L64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7"/>
  <sheetViews>
    <sheetView topLeftCell="A31" workbookViewId="0">
      <selection activeCell="H65" sqref="H6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1749</v>
      </c>
      <c r="B2" t="s">
        <v>57</v>
      </c>
      <c r="C2" t="s">
        <v>58</v>
      </c>
      <c r="D2" t="s">
        <v>33</v>
      </c>
      <c r="J2">
        <f t="shared" ref="J2:J65" si="0">(E2*2240)+(F2*112)+(G2*28)+H2</f>
        <v>0</v>
      </c>
      <c r="L2">
        <f t="shared" ref="L2:L65" si="1">J2/2240</f>
        <v>0</v>
      </c>
    </row>
    <row r="3" spans="1:12" x14ac:dyDescent="0.25">
      <c r="A3">
        <v>1749</v>
      </c>
      <c r="B3" t="s">
        <v>59</v>
      </c>
      <c r="C3" t="s">
        <v>58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1749</v>
      </c>
      <c r="B4" t="s">
        <v>38</v>
      </c>
      <c r="C4" t="s">
        <v>58</v>
      </c>
      <c r="D4" t="s">
        <v>33</v>
      </c>
      <c r="H4">
        <v>8166</v>
      </c>
      <c r="J4">
        <f t="shared" si="0"/>
        <v>8166</v>
      </c>
      <c r="L4">
        <f t="shared" si="1"/>
        <v>3.6455357142857143</v>
      </c>
    </row>
    <row r="5" spans="1:12" x14ac:dyDescent="0.25">
      <c r="A5">
        <v>1749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1749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1749</v>
      </c>
      <c r="B7" t="s">
        <v>97</v>
      </c>
      <c r="C7" t="s">
        <v>58</v>
      </c>
      <c r="D7" t="s">
        <v>33</v>
      </c>
      <c r="H7">
        <v>3981</v>
      </c>
      <c r="J7">
        <f t="shared" si="0"/>
        <v>3981</v>
      </c>
      <c r="L7">
        <f t="shared" si="1"/>
        <v>1.7772321428571429</v>
      </c>
    </row>
    <row r="8" spans="1:12" x14ac:dyDescent="0.25">
      <c r="A8">
        <v>1749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1749</v>
      </c>
      <c r="B9" t="s">
        <v>5</v>
      </c>
      <c r="C9" t="s">
        <v>58</v>
      </c>
      <c r="D9" t="s">
        <v>33</v>
      </c>
      <c r="F9">
        <v>105</v>
      </c>
      <c r="G9">
        <v>1</v>
      </c>
      <c r="H9">
        <v>14</v>
      </c>
      <c r="J9">
        <f t="shared" si="0"/>
        <v>11802</v>
      </c>
      <c r="L9">
        <f t="shared" si="1"/>
        <v>5.2687499999999998</v>
      </c>
    </row>
    <row r="10" spans="1:12" x14ac:dyDescent="0.25">
      <c r="A10">
        <v>1749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1749</v>
      </c>
      <c r="B11" t="s">
        <v>6</v>
      </c>
      <c r="C11" t="s">
        <v>58</v>
      </c>
      <c r="D11" t="s">
        <v>33</v>
      </c>
      <c r="F11">
        <v>93321</v>
      </c>
      <c r="G11">
        <v>2</v>
      </c>
      <c r="J11">
        <f t="shared" si="0"/>
        <v>10452008</v>
      </c>
      <c r="L11">
        <f t="shared" si="1"/>
        <v>4666.0749999999998</v>
      </c>
    </row>
    <row r="12" spans="1:12" x14ac:dyDescent="0.25">
      <c r="A12">
        <v>1749</v>
      </c>
      <c r="B12" t="s">
        <v>62</v>
      </c>
      <c r="C12" t="s">
        <v>58</v>
      </c>
      <c r="D12" t="s">
        <v>33</v>
      </c>
      <c r="H12">
        <v>242</v>
      </c>
      <c r="J12">
        <f t="shared" si="0"/>
        <v>242</v>
      </c>
      <c r="L12">
        <f t="shared" si="1"/>
        <v>0.10803571428571429</v>
      </c>
    </row>
    <row r="13" spans="1:12" x14ac:dyDescent="0.25">
      <c r="A13">
        <v>1749</v>
      </c>
      <c r="B13" t="s">
        <v>40</v>
      </c>
      <c r="C13" t="s">
        <v>58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1749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1749</v>
      </c>
      <c r="B15" t="s">
        <v>8</v>
      </c>
      <c r="C15" t="s">
        <v>58</v>
      </c>
      <c r="D15" t="s">
        <v>33</v>
      </c>
      <c r="F15">
        <v>218</v>
      </c>
      <c r="G15">
        <v>1</v>
      </c>
      <c r="J15">
        <f t="shared" si="0"/>
        <v>24444</v>
      </c>
      <c r="L15">
        <f t="shared" si="1"/>
        <v>10.9125</v>
      </c>
    </row>
    <row r="16" spans="1:12" x14ac:dyDescent="0.25">
      <c r="A16">
        <v>1749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1749</v>
      </c>
      <c r="B17" t="s">
        <v>9</v>
      </c>
      <c r="C17" t="s">
        <v>58</v>
      </c>
      <c r="D17" t="s">
        <v>33</v>
      </c>
      <c r="H17">
        <f>200*315</f>
        <v>63000</v>
      </c>
      <c r="I17" t="s">
        <v>114</v>
      </c>
      <c r="J17">
        <f t="shared" si="0"/>
        <v>63000</v>
      </c>
      <c r="L17">
        <f t="shared" si="1"/>
        <v>28.125</v>
      </c>
    </row>
    <row r="18" spans="1:12" x14ac:dyDescent="0.25">
      <c r="A18">
        <v>1749</v>
      </c>
      <c r="B18" t="s">
        <v>10</v>
      </c>
      <c r="C18" t="s">
        <v>58</v>
      </c>
      <c r="D18" t="s">
        <v>33</v>
      </c>
      <c r="F18">
        <v>3971</v>
      </c>
      <c r="G18">
        <v>1</v>
      </c>
      <c r="H18">
        <v>18</v>
      </c>
      <c r="J18">
        <f t="shared" si="0"/>
        <v>444798</v>
      </c>
      <c r="L18">
        <f t="shared" si="1"/>
        <v>198.57053571428571</v>
      </c>
    </row>
    <row r="19" spans="1:12" x14ac:dyDescent="0.25">
      <c r="A19">
        <v>1749</v>
      </c>
      <c r="B19" t="s">
        <v>11</v>
      </c>
      <c r="C19" t="s">
        <v>58</v>
      </c>
      <c r="D19" t="s">
        <v>33</v>
      </c>
      <c r="F19">
        <v>87</v>
      </c>
      <c r="H19">
        <v>16</v>
      </c>
      <c r="J19">
        <f t="shared" si="0"/>
        <v>9760</v>
      </c>
      <c r="L19">
        <f t="shared" si="1"/>
        <v>4.3571428571428568</v>
      </c>
    </row>
    <row r="20" spans="1:12" x14ac:dyDescent="0.25">
      <c r="A20">
        <v>1749</v>
      </c>
      <c r="B20" t="s">
        <v>41</v>
      </c>
      <c r="C20" t="s">
        <v>58</v>
      </c>
      <c r="D20" t="s">
        <v>33</v>
      </c>
      <c r="H20">
        <v>703</v>
      </c>
      <c r="J20">
        <f t="shared" si="0"/>
        <v>703</v>
      </c>
      <c r="L20">
        <f t="shared" si="1"/>
        <v>0.31383928571428571</v>
      </c>
    </row>
    <row r="21" spans="1:12" x14ac:dyDescent="0.25">
      <c r="A21">
        <v>1749</v>
      </c>
      <c r="B21" t="s">
        <v>46</v>
      </c>
      <c r="C21" t="s">
        <v>58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1749</v>
      </c>
      <c r="B22" t="s">
        <v>12</v>
      </c>
      <c r="C22" t="s">
        <v>58</v>
      </c>
      <c r="D22" t="s">
        <v>33</v>
      </c>
      <c r="H22">
        <v>100</v>
      </c>
      <c r="J22">
        <f t="shared" si="0"/>
        <v>100</v>
      </c>
      <c r="L22">
        <f t="shared" si="1"/>
        <v>4.4642857142857144E-2</v>
      </c>
    </row>
    <row r="23" spans="1:12" x14ac:dyDescent="0.25">
      <c r="A23">
        <v>1749</v>
      </c>
      <c r="B23" t="s">
        <v>34</v>
      </c>
      <c r="C23" t="s">
        <v>58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1749</v>
      </c>
      <c r="B24" t="s">
        <v>13</v>
      </c>
      <c r="C24" t="s">
        <v>58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1749</v>
      </c>
      <c r="B25" t="s">
        <v>14</v>
      </c>
      <c r="C25" t="s">
        <v>58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1749</v>
      </c>
      <c r="B26" t="s">
        <v>23</v>
      </c>
      <c r="C26" t="s">
        <v>58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1749</v>
      </c>
      <c r="B27" t="s">
        <v>27</v>
      </c>
      <c r="C27" t="s">
        <v>58</v>
      </c>
      <c r="D27" t="s">
        <v>33</v>
      </c>
      <c r="H27">
        <v>63316</v>
      </c>
      <c r="I27" t="s">
        <v>112</v>
      </c>
      <c r="J27">
        <f t="shared" si="0"/>
        <v>63316</v>
      </c>
      <c r="L27">
        <f t="shared" si="1"/>
        <v>28.266071428571429</v>
      </c>
    </row>
    <row r="28" spans="1:12" x14ac:dyDescent="0.25">
      <c r="A28">
        <v>1749</v>
      </c>
      <c r="B28" t="s">
        <v>15</v>
      </c>
      <c r="C28" t="s">
        <v>58</v>
      </c>
      <c r="D28" t="s">
        <v>33</v>
      </c>
      <c r="G28">
        <v>2</v>
      </c>
      <c r="H28">
        <v>20</v>
      </c>
      <c r="J28">
        <f t="shared" si="0"/>
        <v>76</v>
      </c>
      <c r="L28">
        <f t="shared" si="1"/>
        <v>3.3928571428571426E-2</v>
      </c>
    </row>
    <row r="29" spans="1:12" x14ac:dyDescent="0.25">
      <c r="A29">
        <v>1749</v>
      </c>
      <c r="B29" t="s">
        <v>44</v>
      </c>
      <c r="C29" t="s">
        <v>58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1749</v>
      </c>
      <c r="B30" t="s">
        <v>49</v>
      </c>
      <c r="C30" t="s">
        <v>58</v>
      </c>
      <c r="D30" t="s">
        <v>33</v>
      </c>
      <c r="H30">
        <v>510</v>
      </c>
      <c r="I30" t="s">
        <v>110</v>
      </c>
      <c r="J30">
        <f t="shared" si="0"/>
        <v>510</v>
      </c>
      <c r="L30">
        <f t="shared" si="1"/>
        <v>0.22767857142857142</v>
      </c>
    </row>
    <row r="31" spans="1:12" x14ac:dyDescent="0.25">
      <c r="A31">
        <v>1749</v>
      </c>
      <c r="B31" t="s">
        <v>16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1749</v>
      </c>
      <c r="B32" t="s">
        <v>100</v>
      </c>
      <c r="C32" t="s">
        <v>58</v>
      </c>
      <c r="D32" t="s">
        <v>33</v>
      </c>
      <c r="H32">
        <v>15854</v>
      </c>
      <c r="I32" t="s">
        <v>113</v>
      </c>
      <c r="J32">
        <f t="shared" si="0"/>
        <v>15854</v>
      </c>
      <c r="L32">
        <f t="shared" si="1"/>
        <v>7.0776785714285717</v>
      </c>
    </row>
    <row r="33" spans="1:12" x14ac:dyDescent="0.25">
      <c r="A33">
        <v>1749</v>
      </c>
      <c r="B33" t="s">
        <v>17</v>
      </c>
      <c r="C33" t="s">
        <v>58</v>
      </c>
      <c r="D33" t="s">
        <v>33</v>
      </c>
      <c r="F33">
        <v>50</v>
      </c>
      <c r="J33">
        <f t="shared" si="0"/>
        <v>5600</v>
      </c>
      <c r="L33">
        <f t="shared" si="1"/>
        <v>2.5</v>
      </c>
    </row>
    <row r="34" spans="1:12" x14ac:dyDescent="0.25">
      <c r="A34">
        <v>1749</v>
      </c>
      <c r="B34" t="s">
        <v>18</v>
      </c>
      <c r="C34" t="s">
        <v>58</v>
      </c>
      <c r="D34" t="s">
        <v>33</v>
      </c>
      <c r="H34">
        <v>122932</v>
      </c>
      <c r="I34" t="s">
        <v>111</v>
      </c>
      <c r="J34">
        <f t="shared" si="0"/>
        <v>122932</v>
      </c>
      <c r="L34">
        <f t="shared" si="1"/>
        <v>54.880357142857143</v>
      </c>
    </row>
    <row r="35" spans="1:12" x14ac:dyDescent="0.25">
      <c r="A35">
        <v>1749</v>
      </c>
      <c r="B35" t="s">
        <v>26</v>
      </c>
      <c r="C35" t="s">
        <v>58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1749</v>
      </c>
      <c r="B36" t="s">
        <v>19</v>
      </c>
      <c r="C36" t="s">
        <v>58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1749</v>
      </c>
      <c r="B37" t="s">
        <v>47</v>
      </c>
      <c r="C37" t="s">
        <v>58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1749</v>
      </c>
      <c r="B38" t="s">
        <v>56</v>
      </c>
      <c r="C38" t="s">
        <v>58</v>
      </c>
      <c r="D38" t="s">
        <v>33</v>
      </c>
      <c r="H38">
        <v>3201</v>
      </c>
      <c r="J38">
        <f t="shared" si="0"/>
        <v>3201</v>
      </c>
      <c r="L38">
        <f t="shared" si="1"/>
        <v>1.4290178571428571</v>
      </c>
    </row>
    <row r="39" spans="1:12" x14ac:dyDescent="0.25">
      <c r="A39">
        <v>1749</v>
      </c>
      <c r="B39" t="s">
        <v>90</v>
      </c>
      <c r="C39" t="s">
        <v>58</v>
      </c>
      <c r="D39" t="s">
        <v>33</v>
      </c>
      <c r="H39">
        <v>1820</v>
      </c>
      <c r="J39">
        <f t="shared" si="0"/>
        <v>1820</v>
      </c>
      <c r="L39">
        <f t="shared" si="1"/>
        <v>0.8125</v>
      </c>
    </row>
    <row r="40" spans="1:12" x14ac:dyDescent="0.25">
      <c r="A40">
        <v>1749</v>
      </c>
      <c r="B40" t="s">
        <v>20</v>
      </c>
      <c r="C40" t="s">
        <v>58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1749</v>
      </c>
      <c r="B41" t="s">
        <v>21</v>
      </c>
      <c r="C41" t="s">
        <v>58</v>
      </c>
      <c r="D41" t="s">
        <v>33</v>
      </c>
      <c r="H41">
        <v>30</v>
      </c>
      <c r="J41">
        <f t="shared" si="0"/>
        <v>30</v>
      </c>
      <c r="L41">
        <f t="shared" si="1"/>
        <v>1.3392857142857142E-2</v>
      </c>
    </row>
    <row r="42" spans="1:12" x14ac:dyDescent="0.25">
      <c r="A42">
        <v>1749</v>
      </c>
      <c r="B42" t="s">
        <v>22</v>
      </c>
      <c r="C42" t="s">
        <v>58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1749</v>
      </c>
      <c r="B43" t="s">
        <v>63</v>
      </c>
      <c r="C43" t="s">
        <v>58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1749</v>
      </c>
      <c r="B44" t="s">
        <v>64</v>
      </c>
      <c r="C44" t="s">
        <v>58</v>
      </c>
      <c r="D44" t="s">
        <v>33</v>
      </c>
      <c r="E44">
        <v>9</v>
      </c>
      <c r="F44">
        <v>8</v>
      </c>
      <c r="J44">
        <f t="shared" si="0"/>
        <v>21056</v>
      </c>
      <c r="L44">
        <f t="shared" si="1"/>
        <v>9.4</v>
      </c>
    </row>
    <row r="45" spans="1:12" x14ac:dyDescent="0.25">
      <c r="A45">
        <v>1749</v>
      </c>
      <c r="B45" t="s">
        <v>65</v>
      </c>
      <c r="C45" t="s">
        <v>58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1749</v>
      </c>
      <c r="B46" t="s">
        <v>73</v>
      </c>
      <c r="C46" t="s">
        <v>58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1749</v>
      </c>
      <c r="B47" t="s">
        <v>66</v>
      </c>
      <c r="C47" t="s">
        <v>58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1749</v>
      </c>
      <c r="B48" t="s">
        <v>67</v>
      </c>
      <c r="C48" t="s">
        <v>58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1749</v>
      </c>
      <c r="B49" t="s">
        <v>57</v>
      </c>
      <c r="C49" t="s">
        <v>58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1749</v>
      </c>
      <c r="B50" t="s">
        <v>59</v>
      </c>
      <c r="C50" t="s">
        <v>58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1749</v>
      </c>
      <c r="B51" t="s">
        <v>38</v>
      </c>
      <c r="C51" t="s">
        <v>58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1749</v>
      </c>
      <c r="B52" t="s">
        <v>4</v>
      </c>
      <c r="C52" t="s">
        <v>58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1749</v>
      </c>
      <c r="B53" t="s">
        <v>60</v>
      </c>
      <c r="C53" t="s">
        <v>58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1749</v>
      </c>
      <c r="B54" t="s">
        <v>97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1749</v>
      </c>
      <c r="B55" t="s">
        <v>45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1749</v>
      </c>
      <c r="B56" t="s">
        <v>5</v>
      </c>
      <c r="C56" t="s">
        <v>58</v>
      </c>
      <c r="D56" t="s">
        <v>35</v>
      </c>
      <c r="F56">
        <v>7</v>
      </c>
      <c r="H56">
        <v>14</v>
      </c>
      <c r="J56">
        <f t="shared" si="0"/>
        <v>798</v>
      </c>
      <c r="L56">
        <f t="shared" si="1"/>
        <v>0.35625000000000001</v>
      </c>
    </row>
    <row r="57" spans="1:12" x14ac:dyDescent="0.25">
      <c r="A57">
        <v>1749</v>
      </c>
      <c r="B57" t="s">
        <v>61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1749</v>
      </c>
      <c r="B58" t="s">
        <v>6</v>
      </c>
      <c r="C58" t="s">
        <v>58</v>
      </c>
      <c r="D58" t="s">
        <v>35</v>
      </c>
      <c r="F58">
        <v>42621</v>
      </c>
      <c r="H58">
        <v>22</v>
      </c>
      <c r="J58">
        <f t="shared" si="0"/>
        <v>4773574</v>
      </c>
      <c r="L58">
        <f t="shared" si="1"/>
        <v>2131.0598214285715</v>
      </c>
    </row>
    <row r="59" spans="1:12" x14ac:dyDescent="0.25">
      <c r="A59">
        <v>1749</v>
      </c>
      <c r="B59" t="s">
        <v>62</v>
      </c>
      <c r="C59" t="s">
        <v>58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1749</v>
      </c>
      <c r="B60" t="s">
        <v>40</v>
      </c>
      <c r="C60" t="s">
        <v>58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1749</v>
      </c>
      <c r="B61" t="s">
        <v>39</v>
      </c>
      <c r="C61" t="s">
        <v>58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1749</v>
      </c>
      <c r="B62" t="s">
        <v>8</v>
      </c>
      <c r="C62" t="s">
        <v>58</v>
      </c>
      <c r="D62" t="s">
        <v>35</v>
      </c>
      <c r="F62">
        <v>12</v>
      </c>
      <c r="G62">
        <v>1</v>
      </c>
      <c r="H62">
        <v>20</v>
      </c>
      <c r="J62">
        <f t="shared" si="0"/>
        <v>1392</v>
      </c>
      <c r="L62">
        <f t="shared" si="1"/>
        <v>0.62142857142857144</v>
      </c>
    </row>
    <row r="63" spans="1:12" x14ac:dyDescent="0.25">
      <c r="A63">
        <v>1749</v>
      </c>
      <c r="B63" t="s">
        <v>42</v>
      </c>
      <c r="C63" t="s">
        <v>58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1749</v>
      </c>
      <c r="B64" t="s">
        <v>9</v>
      </c>
      <c r="C64" t="s">
        <v>58</v>
      </c>
      <c r="D64" t="s">
        <v>35</v>
      </c>
      <c r="H64">
        <f>200*1550.5</f>
        <v>310100</v>
      </c>
      <c r="I64" t="s">
        <v>142</v>
      </c>
      <c r="J64">
        <f t="shared" si="0"/>
        <v>310100</v>
      </c>
      <c r="L64">
        <f t="shared" si="1"/>
        <v>138.4375</v>
      </c>
    </row>
    <row r="65" spans="1:12" x14ac:dyDescent="0.25">
      <c r="A65">
        <v>1749</v>
      </c>
      <c r="B65" t="s">
        <v>10</v>
      </c>
      <c r="C65" t="s">
        <v>58</v>
      </c>
      <c r="D65" t="s">
        <v>35</v>
      </c>
      <c r="F65">
        <v>826</v>
      </c>
      <c r="H65">
        <v>11</v>
      </c>
      <c r="J65">
        <f t="shared" si="0"/>
        <v>92523</v>
      </c>
      <c r="L65">
        <f t="shared" si="1"/>
        <v>41.304910714285711</v>
      </c>
    </row>
    <row r="66" spans="1:12" x14ac:dyDescent="0.25">
      <c r="A66">
        <v>1749</v>
      </c>
      <c r="B66" t="s">
        <v>11</v>
      </c>
      <c r="C66" t="s">
        <v>58</v>
      </c>
      <c r="D66" t="s">
        <v>35</v>
      </c>
      <c r="F66">
        <v>54</v>
      </c>
      <c r="G66">
        <v>1</v>
      </c>
      <c r="J66">
        <f t="shared" ref="J66:J97" si="2">(E66*2240)+(F66*112)+(G66*28)+H66</f>
        <v>6076</v>
      </c>
      <c r="L66">
        <f t="shared" ref="L66:L97" si="3">J66/2240</f>
        <v>2.7124999999999999</v>
      </c>
    </row>
    <row r="67" spans="1:12" x14ac:dyDescent="0.25">
      <c r="A67">
        <v>1749</v>
      </c>
      <c r="B67" t="s">
        <v>41</v>
      </c>
      <c r="C67" t="s">
        <v>58</v>
      </c>
      <c r="D67" t="s">
        <v>35</v>
      </c>
      <c r="J67">
        <f t="shared" si="2"/>
        <v>0</v>
      </c>
      <c r="L67">
        <f t="shared" si="3"/>
        <v>0</v>
      </c>
    </row>
    <row r="68" spans="1:12" x14ac:dyDescent="0.25">
      <c r="A68">
        <v>1749</v>
      </c>
      <c r="B68" t="s">
        <v>82</v>
      </c>
      <c r="C68" t="s">
        <v>58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1749</v>
      </c>
      <c r="B69" t="s">
        <v>46</v>
      </c>
      <c r="C69" t="s">
        <v>58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1749</v>
      </c>
      <c r="B70" t="s">
        <v>12</v>
      </c>
      <c r="C70" t="s">
        <v>58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1749</v>
      </c>
      <c r="B71" t="s">
        <v>34</v>
      </c>
      <c r="C71" t="s">
        <v>58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1749</v>
      </c>
      <c r="B72" t="s">
        <v>13</v>
      </c>
      <c r="C72" t="s">
        <v>58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1749</v>
      </c>
      <c r="B73" t="s">
        <v>14</v>
      </c>
      <c r="C73" t="s">
        <v>58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1749</v>
      </c>
      <c r="B74" t="s">
        <v>23</v>
      </c>
      <c r="C74" t="s">
        <v>58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1749</v>
      </c>
      <c r="B75" t="s">
        <v>27</v>
      </c>
      <c r="C75" t="s">
        <v>58</v>
      </c>
      <c r="D75" t="s">
        <v>35</v>
      </c>
      <c r="H75">
        <v>34519</v>
      </c>
      <c r="I75" t="s">
        <v>141</v>
      </c>
      <c r="J75">
        <f t="shared" si="2"/>
        <v>34519</v>
      </c>
      <c r="L75">
        <f t="shared" si="3"/>
        <v>15.410267857142857</v>
      </c>
    </row>
    <row r="76" spans="1:12" x14ac:dyDescent="0.25">
      <c r="A76">
        <v>1749</v>
      </c>
      <c r="B76" t="s">
        <v>15</v>
      </c>
      <c r="C76" t="s">
        <v>58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1749</v>
      </c>
      <c r="B77" t="s">
        <v>98</v>
      </c>
      <c r="C77" t="s">
        <v>58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1749</v>
      </c>
      <c r="B78" t="s">
        <v>44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1749</v>
      </c>
      <c r="B79" t="s">
        <v>49</v>
      </c>
      <c r="C79" t="s">
        <v>58</v>
      </c>
      <c r="D79" t="s">
        <v>35</v>
      </c>
      <c r="H79">
        <v>40</v>
      </c>
      <c r="I79" t="s">
        <v>139</v>
      </c>
      <c r="J79">
        <f t="shared" si="2"/>
        <v>40</v>
      </c>
      <c r="L79">
        <f t="shared" si="3"/>
        <v>1.7857142857142856E-2</v>
      </c>
    </row>
    <row r="80" spans="1:12" x14ac:dyDescent="0.25">
      <c r="A80">
        <v>1749</v>
      </c>
      <c r="B80" t="s">
        <v>16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1749</v>
      </c>
      <c r="B81" t="s">
        <v>17</v>
      </c>
      <c r="C81" t="s">
        <v>58</v>
      </c>
      <c r="D81" t="s">
        <v>35</v>
      </c>
      <c r="F81">
        <v>393</v>
      </c>
      <c r="J81">
        <f t="shared" si="2"/>
        <v>44016</v>
      </c>
      <c r="L81">
        <f t="shared" si="3"/>
        <v>19.649999999999999</v>
      </c>
    </row>
    <row r="82" spans="1:12" x14ac:dyDescent="0.25">
      <c r="A82">
        <v>1749</v>
      </c>
      <c r="B82" t="s">
        <v>18</v>
      </c>
      <c r="C82" t="s">
        <v>58</v>
      </c>
      <c r="D82" t="s">
        <v>35</v>
      </c>
      <c r="H82">
        <v>92404</v>
      </c>
      <c r="I82" t="s">
        <v>140</v>
      </c>
      <c r="J82">
        <f t="shared" si="2"/>
        <v>92404</v>
      </c>
      <c r="L82">
        <f t="shared" si="3"/>
        <v>41.251785714285717</v>
      </c>
    </row>
    <row r="83" spans="1:12" x14ac:dyDescent="0.25">
      <c r="A83">
        <v>1749</v>
      </c>
      <c r="B83" t="s">
        <v>26</v>
      </c>
      <c r="C83" t="s">
        <v>58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1749</v>
      </c>
      <c r="B84" t="s">
        <v>19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1749</v>
      </c>
      <c r="B85" t="s">
        <v>47</v>
      </c>
      <c r="C85" t="s">
        <v>58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1749</v>
      </c>
      <c r="B86" t="s">
        <v>56</v>
      </c>
      <c r="C86" t="s">
        <v>58</v>
      </c>
      <c r="D86" t="s">
        <v>35</v>
      </c>
      <c r="H86">
        <v>309</v>
      </c>
      <c r="J86">
        <f t="shared" si="2"/>
        <v>309</v>
      </c>
      <c r="L86">
        <f t="shared" si="3"/>
        <v>0.13794642857142858</v>
      </c>
    </row>
    <row r="87" spans="1:12" x14ac:dyDescent="0.25">
      <c r="A87">
        <v>1749</v>
      </c>
      <c r="B87" t="s">
        <v>90</v>
      </c>
      <c r="C87" t="s">
        <v>58</v>
      </c>
      <c r="D87" t="s">
        <v>35</v>
      </c>
      <c r="H87">
        <v>1415</v>
      </c>
      <c r="J87">
        <f t="shared" si="2"/>
        <v>1415</v>
      </c>
      <c r="L87">
        <f t="shared" si="3"/>
        <v>0.6316964285714286</v>
      </c>
    </row>
    <row r="88" spans="1:12" x14ac:dyDescent="0.25">
      <c r="A88">
        <v>1749</v>
      </c>
      <c r="B88" t="s">
        <v>20</v>
      </c>
      <c r="C88" t="s">
        <v>58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1749</v>
      </c>
      <c r="B89" t="s">
        <v>21</v>
      </c>
      <c r="C89" t="s">
        <v>58</v>
      </c>
      <c r="D89" t="s">
        <v>35</v>
      </c>
      <c r="H89">
        <v>30</v>
      </c>
      <c r="J89">
        <f t="shared" si="2"/>
        <v>30</v>
      </c>
      <c r="L89">
        <f t="shared" si="3"/>
        <v>1.3392857142857142E-2</v>
      </c>
    </row>
    <row r="90" spans="1:12" x14ac:dyDescent="0.25">
      <c r="A90">
        <v>1749</v>
      </c>
      <c r="B90" t="s">
        <v>22</v>
      </c>
      <c r="C90" t="s">
        <v>58</v>
      </c>
      <c r="D90" t="s">
        <v>35</v>
      </c>
      <c r="F90">
        <v>52</v>
      </c>
      <c r="G90">
        <v>2</v>
      </c>
      <c r="H90">
        <v>24</v>
      </c>
      <c r="J90">
        <f t="shared" si="2"/>
        <v>5904</v>
      </c>
      <c r="L90">
        <f t="shared" si="3"/>
        <v>2.6357142857142857</v>
      </c>
    </row>
    <row r="91" spans="1:12" x14ac:dyDescent="0.25">
      <c r="A91">
        <v>1749</v>
      </c>
      <c r="B91" t="s">
        <v>63</v>
      </c>
      <c r="C91" t="s">
        <v>58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1749</v>
      </c>
      <c r="B92" t="s">
        <v>64</v>
      </c>
      <c r="C92" t="s">
        <v>58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1749</v>
      </c>
      <c r="B93" t="s">
        <v>65</v>
      </c>
      <c r="C93" t="s">
        <v>58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1749</v>
      </c>
      <c r="B94" t="s">
        <v>93</v>
      </c>
      <c r="C94" t="s">
        <v>58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1749</v>
      </c>
      <c r="B95" t="s">
        <v>73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1749</v>
      </c>
      <c r="B96" t="s">
        <v>66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1749</v>
      </c>
      <c r="B97" t="s">
        <v>67</v>
      </c>
      <c r="C97" t="s">
        <v>58</v>
      </c>
      <c r="D97" t="s">
        <v>35</v>
      </c>
      <c r="J97">
        <f t="shared" si="2"/>
        <v>0</v>
      </c>
      <c r="L97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18"/>
  <sheetViews>
    <sheetView zoomScaleNormal="100" workbookViewId="0">
      <selection activeCell="H7" sqref="H7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1749</v>
      </c>
      <c r="B2" t="s">
        <v>68</v>
      </c>
      <c r="C2" t="s">
        <v>69</v>
      </c>
      <c r="D2" t="s">
        <v>33</v>
      </c>
      <c r="J2">
        <f t="shared" ref="J2:J18" si="0">(E2*2240)+(F2*112)+(G2*28)+H2</f>
        <v>0</v>
      </c>
      <c r="L2">
        <f t="shared" ref="L2:L18" si="1">J2/2240</f>
        <v>0</v>
      </c>
    </row>
    <row r="3" spans="1:12" x14ac:dyDescent="0.25">
      <c r="A3">
        <v>1749</v>
      </c>
      <c r="B3" t="s">
        <v>8</v>
      </c>
      <c r="C3" t="s">
        <v>69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1749</v>
      </c>
      <c r="B4" t="s">
        <v>9</v>
      </c>
      <c r="C4" t="s">
        <v>69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1749</v>
      </c>
      <c r="B5" t="s">
        <v>17</v>
      </c>
      <c r="C5" t="s">
        <v>69</v>
      </c>
      <c r="D5" t="s">
        <v>33</v>
      </c>
      <c r="F5">
        <v>1</v>
      </c>
      <c r="G5">
        <v>2</v>
      </c>
      <c r="H5">
        <v>14</v>
      </c>
      <c r="J5">
        <f t="shared" si="0"/>
        <v>182</v>
      </c>
      <c r="L5">
        <f t="shared" si="1"/>
        <v>8.1250000000000003E-2</v>
      </c>
    </row>
    <row r="6" spans="1:12" x14ac:dyDescent="0.25">
      <c r="A6">
        <v>1749</v>
      </c>
      <c r="B6" t="s">
        <v>18</v>
      </c>
      <c r="C6" t="s">
        <v>69</v>
      </c>
      <c r="D6" t="s">
        <v>33</v>
      </c>
      <c r="H6">
        <v>1920</v>
      </c>
      <c r="I6" t="s">
        <v>115</v>
      </c>
      <c r="J6">
        <f t="shared" si="0"/>
        <v>1920</v>
      </c>
      <c r="L6">
        <f t="shared" si="1"/>
        <v>0.8571428571428571</v>
      </c>
    </row>
    <row r="7" spans="1:12" x14ac:dyDescent="0.25">
      <c r="A7">
        <v>1749</v>
      </c>
      <c r="B7" t="s">
        <v>95</v>
      </c>
      <c r="C7" t="s">
        <v>69</v>
      </c>
      <c r="D7" t="s">
        <v>33</v>
      </c>
      <c r="F7">
        <v>30</v>
      </c>
      <c r="J7">
        <f t="shared" si="0"/>
        <v>3360</v>
      </c>
      <c r="L7">
        <f t="shared" si="1"/>
        <v>1.5</v>
      </c>
    </row>
    <row r="8" spans="1:12" x14ac:dyDescent="0.25">
      <c r="A8">
        <v>1749</v>
      </c>
      <c r="B8" t="s">
        <v>63</v>
      </c>
      <c r="C8" t="s">
        <v>69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1749</v>
      </c>
      <c r="B9" t="s">
        <v>65</v>
      </c>
      <c r="C9" t="s">
        <v>69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1749</v>
      </c>
      <c r="B10" t="s">
        <v>93</v>
      </c>
      <c r="C10" t="s">
        <v>69</v>
      </c>
      <c r="D10" t="s">
        <v>33</v>
      </c>
      <c r="E10">
        <v>9</v>
      </c>
      <c r="J10">
        <f t="shared" si="0"/>
        <v>20160</v>
      </c>
      <c r="L10">
        <f t="shared" si="1"/>
        <v>9</v>
      </c>
    </row>
    <row r="11" spans="1:12" x14ac:dyDescent="0.25">
      <c r="A11">
        <v>1749</v>
      </c>
      <c r="B11" t="s">
        <v>12</v>
      </c>
      <c r="C11" t="s">
        <v>69</v>
      </c>
      <c r="D11" t="s">
        <v>35</v>
      </c>
      <c r="J11">
        <f t="shared" si="0"/>
        <v>0</v>
      </c>
      <c r="L11">
        <f t="shared" si="1"/>
        <v>0</v>
      </c>
    </row>
    <row r="12" spans="1:12" x14ac:dyDescent="0.25">
      <c r="A12">
        <v>1749</v>
      </c>
      <c r="B12" t="s">
        <v>43</v>
      </c>
      <c r="C12" t="s">
        <v>69</v>
      </c>
      <c r="D12" t="s">
        <v>35</v>
      </c>
      <c r="J12">
        <f t="shared" si="0"/>
        <v>0</v>
      </c>
      <c r="L12">
        <f t="shared" si="1"/>
        <v>0</v>
      </c>
    </row>
    <row r="13" spans="1:12" x14ac:dyDescent="0.25">
      <c r="A13">
        <v>1749</v>
      </c>
      <c r="B13" t="s">
        <v>19</v>
      </c>
      <c r="C13" t="s">
        <v>69</v>
      </c>
      <c r="D13" t="s">
        <v>35</v>
      </c>
      <c r="J13">
        <f t="shared" si="0"/>
        <v>0</v>
      </c>
      <c r="L13">
        <f t="shared" si="1"/>
        <v>0</v>
      </c>
    </row>
    <row r="14" spans="1:12" x14ac:dyDescent="0.25">
      <c r="A14">
        <v>1749</v>
      </c>
      <c r="B14" t="s">
        <v>56</v>
      </c>
      <c r="C14" t="s">
        <v>69</v>
      </c>
      <c r="D14" t="s">
        <v>35</v>
      </c>
      <c r="J14">
        <f t="shared" si="0"/>
        <v>0</v>
      </c>
      <c r="L14">
        <f t="shared" si="1"/>
        <v>0</v>
      </c>
    </row>
    <row r="15" spans="1:12" x14ac:dyDescent="0.25">
      <c r="A15">
        <v>1749</v>
      </c>
      <c r="B15" t="s">
        <v>9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1749</v>
      </c>
      <c r="B16" t="s">
        <v>8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1:12" x14ac:dyDescent="0.25">
      <c r="A17">
        <v>1749</v>
      </c>
      <c r="B17" t="s">
        <v>63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1749</v>
      </c>
      <c r="B18" t="s">
        <v>65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7"/>
  <sheetViews>
    <sheetView topLeftCell="A52" zoomScaleNormal="100" workbookViewId="0">
      <selection activeCell="I85" sqref="I85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1749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1749</v>
      </c>
      <c r="B3" t="s">
        <v>59</v>
      </c>
      <c r="C3" t="s">
        <v>70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1749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1749</v>
      </c>
      <c r="B5" t="s">
        <v>4</v>
      </c>
      <c r="C5" t="s">
        <v>70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1749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1749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1749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1749</v>
      </c>
      <c r="B9" t="s">
        <v>116</v>
      </c>
      <c r="C9" t="s">
        <v>70</v>
      </c>
      <c r="D9" t="s">
        <v>33</v>
      </c>
      <c r="H9">
        <v>1450</v>
      </c>
      <c r="J9">
        <f t="shared" si="0"/>
        <v>1450</v>
      </c>
      <c r="L9">
        <f t="shared" si="1"/>
        <v>0.6473214285714286</v>
      </c>
    </row>
    <row r="10" spans="1:12" x14ac:dyDescent="0.25">
      <c r="A10">
        <v>1749</v>
      </c>
      <c r="B10" t="s">
        <v>117</v>
      </c>
      <c r="C10" t="s">
        <v>70</v>
      </c>
      <c r="D10" t="s">
        <v>33</v>
      </c>
      <c r="H10">
        <v>487</v>
      </c>
      <c r="J10">
        <f t="shared" si="0"/>
        <v>487</v>
      </c>
      <c r="L10">
        <f t="shared" si="1"/>
        <v>0.21741071428571429</v>
      </c>
    </row>
    <row r="11" spans="1:12" x14ac:dyDescent="0.25">
      <c r="A11">
        <v>1749</v>
      </c>
      <c r="B11" t="s">
        <v>79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1749</v>
      </c>
      <c r="B12" t="s">
        <v>5</v>
      </c>
      <c r="C12" t="s">
        <v>70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1749</v>
      </c>
      <c r="B13" t="s">
        <v>61</v>
      </c>
      <c r="C13" t="s">
        <v>70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1749</v>
      </c>
      <c r="B14" t="s">
        <v>6</v>
      </c>
      <c r="C14" t="s">
        <v>70</v>
      </c>
      <c r="D14" t="s">
        <v>33</v>
      </c>
      <c r="F14">
        <v>226670</v>
      </c>
      <c r="J14">
        <f t="shared" si="0"/>
        <v>25387040</v>
      </c>
      <c r="L14">
        <f t="shared" si="1"/>
        <v>11333.5</v>
      </c>
    </row>
    <row r="15" spans="1:12" x14ac:dyDescent="0.25">
      <c r="A15">
        <v>1749</v>
      </c>
      <c r="B15" t="s">
        <v>62</v>
      </c>
      <c r="C15" t="s">
        <v>70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1749</v>
      </c>
      <c r="B16" t="s">
        <v>40</v>
      </c>
      <c r="C16" t="s">
        <v>70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1749</v>
      </c>
      <c r="B17" t="s">
        <v>39</v>
      </c>
      <c r="C17" t="s">
        <v>70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1749</v>
      </c>
      <c r="B18" t="s">
        <v>8</v>
      </c>
      <c r="C18" t="s">
        <v>70</v>
      </c>
      <c r="D18" t="s">
        <v>33</v>
      </c>
      <c r="F18">
        <v>361</v>
      </c>
      <c r="J18">
        <f t="shared" si="0"/>
        <v>40432</v>
      </c>
      <c r="L18">
        <f t="shared" si="1"/>
        <v>18.05</v>
      </c>
    </row>
    <row r="19" spans="1:12" x14ac:dyDescent="0.25">
      <c r="A19">
        <v>1749</v>
      </c>
      <c r="B19" t="s">
        <v>42</v>
      </c>
      <c r="C19" t="s">
        <v>70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1749</v>
      </c>
      <c r="B20" t="s">
        <v>80</v>
      </c>
      <c r="C20" t="s">
        <v>70</v>
      </c>
      <c r="D20" t="s">
        <v>33</v>
      </c>
      <c r="F20">
        <v>119</v>
      </c>
      <c r="G20">
        <v>2</v>
      </c>
      <c r="H20">
        <v>14</v>
      </c>
      <c r="J20">
        <f t="shared" si="0"/>
        <v>13398</v>
      </c>
      <c r="L20">
        <f t="shared" si="1"/>
        <v>5.9812500000000002</v>
      </c>
    </row>
    <row r="21" spans="1:12" x14ac:dyDescent="0.25">
      <c r="A21">
        <v>1749</v>
      </c>
      <c r="B21" t="s">
        <v>81</v>
      </c>
      <c r="C21" t="s">
        <v>70</v>
      </c>
      <c r="D21" t="s">
        <v>33</v>
      </c>
      <c r="H21">
        <v>36660</v>
      </c>
      <c r="J21">
        <f t="shared" si="0"/>
        <v>36660</v>
      </c>
      <c r="L21">
        <f t="shared" si="1"/>
        <v>16.366071428571427</v>
      </c>
    </row>
    <row r="22" spans="1:12" x14ac:dyDescent="0.25">
      <c r="A22">
        <v>1749</v>
      </c>
      <c r="B22" t="s">
        <v>48</v>
      </c>
      <c r="C22" t="s">
        <v>70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1749</v>
      </c>
      <c r="B23" t="s">
        <v>9</v>
      </c>
      <c r="C23" t="s">
        <v>70</v>
      </c>
      <c r="D23" t="s">
        <v>33</v>
      </c>
      <c r="H23">
        <f>647.5*200</f>
        <v>129500</v>
      </c>
      <c r="I23" t="s">
        <v>122</v>
      </c>
      <c r="J23">
        <f t="shared" si="0"/>
        <v>129500</v>
      </c>
      <c r="L23">
        <f t="shared" si="1"/>
        <v>57.8125</v>
      </c>
    </row>
    <row r="24" spans="1:12" x14ac:dyDescent="0.25">
      <c r="A24">
        <v>1749</v>
      </c>
      <c r="B24" t="s">
        <v>10</v>
      </c>
      <c r="C24" t="s">
        <v>70</v>
      </c>
      <c r="D24" t="s">
        <v>33</v>
      </c>
      <c r="F24">
        <v>1062</v>
      </c>
      <c r="G24">
        <v>2</v>
      </c>
      <c r="H24">
        <v>20</v>
      </c>
      <c r="J24">
        <f t="shared" si="0"/>
        <v>119020</v>
      </c>
      <c r="L24">
        <f t="shared" si="1"/>
        <v>53.133928571428569</v>
      </c>
    </row>
    <row r="25" spans="1:12" x14ac:dyDescent="0.25">
      <c r="A25">
        <v>1749</v>
      </c>
      <c r="B25" t="s">
        <v>11</v>
      </c>
      <c r="C25" t="s">
        <v>70</v>
      </c>
      <c r="D25" t="s">
        <v>33</v>
      </c>
      <c r="F25">
        <v>136</v>
      </c>
      <c r="G25">
        <v>3</v>
      </c>
      <c r="H25">
        <v>14</v>
      </c>
      <c r="J25">
        <f t="shared" si="0"/>
        <v>15330</v>
      </c>
      <c r="L25">
        <f t="shared" si="1"/>
        <v>6.84375</v>
      </c>
    </row>
    <row r="26" spans="1:12" x14ac:dyDescent="0.25">
      <c r="A26">
        <v>1749</v>
      </c>
      <c r="B26" t="s">
        <v>41</v>
      </c>
      <c r="C26" t="s">
        <v>70</v>
      </c>
      <c r="D26" t="s">
        <v>33</v>
      </c>
      <c r="H26">
        <v>476</v>
      </c>
      <c r="J26">
        <f t="shared" si="0"/>
        <v>476</v>
      </c>
      <c r="L26">
        <f t="shared" si="1"/>
        <v>0.21249999999999999</v>
      </c>
    </row>
    <row r="27" spans="1:12" x14ac:dyDescent="0.25">
      <c r="A27">
        <v>1749</v>
      </c>
      <c r="B27" t="s">
        <v>82</v>
      </c>
      <c r="C27" t="s">
        <v>70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1749</v>
      </c>
      <c r="B28" t="s">
        <v>83</v>
      </c>
      <c r="C28" t="s">
        <v>70</v>
      </c>
      <c r="D28" t="s">
        <v>33</v>
      </c>
      <c r="H28">
        <v>1435</v>
      </c>
      <c r="J28">
        <f t="shared" si="0"/>
        <v>1435</v>
      </c>
      <c r="L28">
        <f t="shared" si="1"/>
        <v>0.640625</v>
      </c>
    </row>
    <row r="29" spans="1:12" x14ac:dyDescent="0.25">
      <c r="A29">
        <v>1749</v>
      </c>
      <c r="B29" t="s">
        <v>46</v>
      </c>
      <c r="C29" t="s">
        <v>70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1749</v>
      </c>
      <c r="B30" t="s">
        <v>12</v>
      </c>
      <c r="C30" t="s">
        <v>70</v>
      </c>
      <c r="D30" t="s">
        <v>33</v>
      </c>
      <c r="H30">
        <v>19067</v>
      </c>
      <c r="J30">
        <f t="shared" si="0"/>
        <v>19067</v>
      </c>
      <c r="L30">
        <f t="shared" si="1"/>
        <v>8.5120535714285719</v>
      </c>
    </row>
    <row r="31" spans="1:12" x14ac:dyDescent="0.25">
      <c r="A31">
        <v>1749</v>
      </c>
      <c r="B31" t="s">
        <v>86</v>
      </c>
      <c r="C31" t="s">
        <v>70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1749</v>
      </c>
      <c r="B32" t="s">
        <v>34</v>
      </c>
      <c r="C32" t="s">
        <v>70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1749</v>
      </c>
      <c r="B33" t="s">
        <v>13</v>
      </c>
      <c r="C33" t="s">
        <v>70</v>
      </c>
      <c r="D33" t="s">
        <v>33</v>
      </c>
      <c r="E33">
        <v>43</v>
      </c>
      <c r="G33">
        <v>3</v>
      </c>
      <c r="J33">
        <f t="shared" si="0"/>
        <v>96404</v>
      </c>
      <c r="L33">
        <f t="shared" si="1"/>
        <v>43.037500000000001</v>
      </c>
    </row>
    <row r="34" spans="1:12" x14ac:dyDescent="0.25">
      <c r="A34">
        <v>1749</v>
      </c>
      <c r="B34" t="s">
        <v>14</v>
      </c>
      <c r="C34" t="s">
        <v>70</v>
      </c>
      <c r="D34" t="s">
        <v>33</v>
      </c>
      <c r="H34">
        <v>300</v>
      </c>
      <c r="I34" t="s">
        <v>118</v>
      </c>
      <c r="J34">
        <f t="shared" si="0"/>
        <v>300</v>
      </c>
      <c r="L34">
        <f t="shared" si="1"/>
        <v>0.13392857142857142</v>
      </c>
    </row>
    <row r="35" spans="1:12" x14ac:dyDescent="0.25">
      <c r="A35">
        <v>1749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1749</v>
      </c>
      <c r="B36" t="s">
        <v>27</v>
      </c>
      <c r="C36" t="s">
        <v>70</v>
      </c>
      <c r="D36" t="s">
        <v>33</v>
      </c>
      <c r="H36">
        <v>51463</v>
      </c>
      <c r="I36" t="s">
        <v>121</v>
      </c>
      <c r="J36">
        <f t="shared" si="0"/>
        <v>51463</v>
      </c>
      <c r="L36">
        <f t="shared" si="1"/>
        <v>22.974553571428572</v>
      </c>
    </row>
    <row r="37" spans="1:12" x14ac:dyDescent="0.25">
      <c r="A37">
        <v>1749</v>
      </c>
      <c r="B37" t="s">
        <v>15</v>
      </c>
      <c r="C37" t="s">
        <v>70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1749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1749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1749</v>
      </c>
      <c r="B40" t="s">
        <v>100</v>
      </c>
      <c r="C40" t="s">
        <v>70</v>
      </c>
      <c r="D40" t="s">
        <v>33</v>
      </c>
      <c r="H40">
        <v>300</v>
      </c>
      <c r="I40" t="s">
        <v>118</v>
      </c>
      <c r="J40">
        <f t="shared" si="0"/>
        <v>300</v>
      </c>
      <c r="L40">
        <f t="shared" si="1"/>
        <v>0.13392857142857142</v>
      </c>
    </row>
    <row r="41" spans="1:12" x14ac:dyDescent="0.25">
      <c r="A41">
        <v>1749</v>
      </c>
      <c r="B41" t="s">
        <v>49</v>
      </c>
      <c r="C41" t="s">
        <v>70</v>
      </c>
      <c r="D41" t="s">
        <v>33</v>
      </c>
      <c r="H41">
        <v>155</v>
      </c>
      <c r="I41" t="s">
        <v>119</v>
      </c>
      <c r="J41">
        <f t="shared" si="0"/>
        <v>155</v>
      </c>
      <c r="L41">
        <f t="shared" si="1"/>
        <v>6.9196428571428575E-2</v>
      </c>
    </row>
    <row r="42" spans="1:12" x14ac:dyDescent="0.25">
      <c r="A42">
        <v>1749</v>
      </c>
      <c r="B42" t="s">
        <v>16</v>
      </c>
      <c r="C42" t="s">
        <v>70</v>
      </c>
      <c r="D42" t="s">
        <v>33</v>
      </c>
      <c r="H42">
        <v>204167</v>
      </c>
      <c r="J42">
        <f t="shared" si="0"/>
        <v>204167</v>
      </c>
      <c r="L42">
        <f t="shared" si="1"/>
        <v>91.145982142857136</v>
      </c>
    </row>
    <row r="43" spans="1:12" x14ac:dyDescent="0.25">
      <c r="A43">
        <v>1749</v>
      </c>
      <c r="B43" t="s">
        <v>17</v>
      </c>
      <c r="C43" t="s">
        <v>70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1749</v>
      </c>
      <c r="B44" t="s">
        <v>18</v>
      </c>
      <c r="C44" t="s">
        <v>70</v>
      </c>
      <c r="D44" t="s">
        <v>33</v>
      </c>
      <c r="I44" t="s">
        <v>120</v>
      </c>
      <c r="J44">
        <f t="shared" si="0"/>
        <v>0</v>
      </c>
      <c r="L44">
        <f t="shared" si="1"/>
        <v>0</v>
      </c>
    </row>
    <row r="45" spans="1:12" x14ac:dyDescent="0.25">
      <c r="A45">
        <v>1749</v>
      </c>
      <c r="B45" t="s">
        <v>26</v>
      </c>
      <c r="C45" t="s">
        <v>70</v>
      </c>
      <c r="D45" t="s">
        <v>33</v>
      </c>
      <c r="H45">
        <v>1787</v>
      </c>
      <c r="J45">
        <f t="shared" si="0"/>
        <v>1787</v>
      </c>
      <c r="L45">
        <f t="shared" si="1"/>
        <v>0.79776785714285714</v>
      </c>
    </row>
    <row r="46" spans="1:12" x14ac:dyDescent="0.25">
      <c r="A46">
        <v>1749</v>
      </c>
      <c r="B46" t="s">
        <v>88</v>
      </c>
      <c r="C46" t="s">
        <v>70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1749</v>
      </c>
      <c r="B47" t="s">
        <v>19</v>
      </c>
      <c r="C47" t="s">
        <v>70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1749</v>
      </c>
      <c r="B48" t="s">
        <v>47</v>
      </c>
      <c r="C48" t="s">
        <v>70</v>
      </c>
      <c r="D48" t="s">
        <v>33</v>
      </c>
      <c r="H48">
        <v>335</v>
      </c>
      <c r="J48">
        <f t="shared" si="0"/>
        <v>335</v>
      </c>
      <c r="L48">
        <f t="shared" si="1"/>
        <v>0.14955357142857142</v>
      </c>
    </row>
    <row r="49" spans="1:12" x14ac:dyDescent="0.25">
      <c r="A49">
        <v>1749</v>
      </c>
      <c r="B49" t="s">
        <v>89</v>
      </c>
      <c r="C49" t="s">
        <v>70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1749</v>
      </c>
      <c r="B50" t="s">
        <v>56</v>
      </c>
      <c r="C50" t="s">
        <v>70</v>
      </c>
      <c r="D50" t="s">
        <v>33</v>
      </c>
      <c r="H50">
        <v>2125</v>
      </c>
      <c r="J50">
        <f t="shared" si="0"/>
        <v>2125</v>
      </c>
      <c r="L50">
        <f t="shared" si="1"/>
        <v>0.9486607142857143</v>
      </c>
    </row>
    <row r="51" spans="1:12" x14ac:dyDescent="0.25">
      <c r="A51">
        <v>1749</v>
      </c>
      <c r="B51" t="s">
        <v>90</v>
      </c>
      <c r="C51" t="s">
        <v>70</v>
      </c>
      <c r="D51" t="s">
        <v>33</v>
      </c>
      <c r="H51">
        <v>2406</v>
      </c>
      <c r="J51">
        <f t="shared" si="0"/>
        <v>2406</v>
      </c>
      <c r="L51">
        <f t="shared" si="1"/>
        <v>1.0741071428571429</v>
      </c>
    </row>
    <row r="52" spans="1:12" x14ac:dyDescent="0.25">
      <c r="A52">
        <v>1749</v>
      </c>
      <c r="B52" t="s">
        <v>20</v>
      </c>
      <c r="C52" t="s">
        <v>70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1749</v>
      </c>
      <c r="B53" t="s">
        <v>21</v>
      </c>
      <c r="C53" t="s">
        <v>70</v>
      </c>
      <c r="D53" t="s">
        <v>33</v>
      </c>
      <c r="H53">
        <v>3717</v>
      </c>
      <c r="J53">
        <f t="shared" si="0"/>
        <v>3717</v>
      </c>
      <c r="L53">
        <f t="shared" si="1"/>
        <v>1.659375</v>
      </c>
    </row>
    <row r="54" spans="1:12" x14ac:dyDescent="0.25">
      <c r="A54">
        <v>1749</v>
      </c>
      <c r="B54" t="s">
        <v>22</v>
      </c>
      <c r="C54" t="s">
        <v>70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1749</v>
      </c>
      <c r="B55" t="s">
        <v>63</v>
      </c>
      <c r="C55" t="s">
        <v>70</v>
      </c>
      <c r="D55" t="s">
        <v>33</v>
      </c>
      <c r="E55">
        <v>196</v>
      </c>
      <c r="F55">
        <v>18</v>
      </c>
      <c r="J55">
        <f t="shared" si="0"/>
        <v>441056</v>
      </c>
      <c r="L55">
        <f t="shared" si="1"/>
        <v>196.9</v>
      </c>
    </row>
    <row r="56" spans="1:12" x14ac:dyDescent="0.25">
      <c r="A56">
        <v>1749</v>
      </c>
      <c r="B56" t="s">
        <v>91</v>
      </c>
      <c r="C56" t="s">
        <v>70</v>
      </c>
      <c r="D56" t="s">
        <v>33</v>
      </c>
      <c r="E56">
        <v>13</v>
      </c>
      <c r="J56">
        <f t="shared" si="0"/>
        <v>29120</v>
      </c>
      <c r="L56">
        <f t="shared" si="1"/>
        <v>13</v>
      </c>
    </row>
    <row r="57" spans="1:12" x14ac:dyDescent="0.25">
      <c r="A57">
        <v>1749</v>
      </c>
      <c r="B57" t="s">
        <v>64</v>
      </c>
      <c r="C57" t="s">
        <v>70</v>
      </c>
      <c r="D57" t="s">
        <v>33</v>
      </c>
      <c r="E57">
        <v>420</v>
      </c>
      <c r="F57">
        <v>14</v>
      </c>
      <c r="G57">
        <v>3</v>
      </c>
      <c r="J57">
        <f t="shared" si="0"/>
        <v>942452</v>
      </c>
      <c r="L57">
        <f t="shared" si="1"/>
        <v>420.73750000000001</v>
      </c>
    </row>
    <row r="58" spans="1:12" x14ac:dyDescent="0.25">
      <c r="A58">
        <v>1749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1749</v>
      </c>
      <c r="B59" t="s">
        <v>65</v>
      </c>
      <c r="C59" t="s">
        <v>70</v>
      </c>
      <c r="D59" t="s">
        <v>33</v>
      </c>
      <c r="E59">
        <v>356</v>
      </c>
      <c r="F59">
        <v>4</v>
      </c>
      <c r="G59">
        <v>2</v>
      </c>
      <c r="H59">
        <v>8</v>
      </c>
      <c r="J59">
        <f t="shared" si="0"/>
        <v>797952</v>
      </c>
      <c r="L59">
        <f t="shared" si="1"/>
        <v>356.22857142857146</v>
      </c>
    </row>
    <row r="60" spans="1:12" x14ac:dyDescent="0.25">
      <c r="A60">
        <v>1749</v>
      </c>
      <c r="B60" t="s">
        <v>93</v>
      </c>
      <c r="C60" t="s">
        <v>70</v>
      </c>
      <c r="D60" t="s">
        <v>33</v>
      </c>
      <c r="E60">
        <v>530</v>
      </c>
      <c r="J60">
        <f t="shared" si="0"/>
        <v>1187200</v>
      </c>
      <c r="L60">
        <f t="shared" si="1"/>
        <v>530</v>
      </c>
    </row>
    <row r="61" spans="1:12" x14ac:dyDescent="0.25">
      <c r="A61">
        <v>1749</v>
      </c>
      <c r="B61" t="s">
        <v>73</v>
      </c>
      <c r="C61" t="s">
        <v>70</v>
      </c>
      <c r="D61" t="s">
        <v>33</v>
      </c>
      <c r="E61">
        <v>109</v>
      </c>
      <c r="F61">
        <v>15</v>
      </c>
      <c r="J61">
        <f t="shared" si="0"/>
        <v>245840</v>
      </c>
      <c r="L61">
        <f t="shared" si="1"/>
        <v>109.75</v>
      </c>
    </row>
    <row r="62" spans="1:12" x14ac:dyDescent="0.25">
      <c r="A62">
        <v>1749</v>
      </c>
      <c r="B62" t="s">
        <v>66</v>
      </c>
      <c r="C62" t="s">
        <v>70</v>
      </c>
      <c r="D62" t="s">
        <v>33</v>
      </c>
      <c r="E62">
        <v>1</v>
      </c>
      <c r="F62">
        <v>3</v>
      </c>
      <c r="G62">
        <v>1</v>
      </c>
      <c r="H62">
        <v>8</v>
      </c>
      <c r="J62">
        <f t="shared" si="0"/>
        <v>2612</v>
      </c>
      <c r="L62">
        <f t="shared" si="1"/>
        <v>1.1660714285714286</v>
      </c>
    </row>
    <row r="63" spans="1:12" x14ac:dyDescent="0.25">
      <c r="A63">
        <v>1749</v>
      </c>
      <c r="B63" t="s">
        <v>67</v>
      </c>
      <c r="C63" t="s">
        <v>70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1749</v>
      </c>
      <c r="B64" t="s">
        <v>57</v>
      </c>
      <c r="C64" t="s">
        <v>70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1749</v>
      </c>
      <c r="B65" t="s">
        <v>59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1749</v>
      </c>
      <c r="B66" t="s">
        <v>38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1749</v>
      </c>
      <c r="B67" t="s">
        <v>4</v>
      </c>
      <c r="C67" t="s">
        <v>70</v>
      </c>
      <c r="D67" t="s">
        <v>35</v>
      </c>
      <c r="J67">
        <f t="shared" ref="J67:J127" si="2">(E67*2240)+(F67*112)+(G67*28)+H67</f>
        <v>0</v>
      </c>
      <c r="L67">
        <f t="shared" ref="L67:L127" si="3">J67/2240</f>
        <v>0</v>
      </c>
    </row>
    <row r="68" spans="1:12" x14ac:dyDescent="0.25">
      <c r="A68">
        <v>1749</v>
      </c>
      <c r="B68" t="s">
        <v>60</v>
      </c>
      <c r="C68" t="s">
        <v>70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1749</v>
      </c>
      <c r="B69" t="s">
        <v>71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1749</v>
      </c>
      <c r="B70" t="s">
        <v>45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1749</v>
      </c>
      <c r="B71" t="s">
        <v>116</v>
      </c>
      <c r="C71" t="s">
        <v>70</v>
      </c>
      <c r="D71" t="s">
        <v>35</v>
      </c>
      <c r="H71">
        <v>142</v>
      </c>
      <c r="J71">
        <f t="shared" si="2"/>
        <v>142</v>
      </c>
      <c r="L71">
        <f t="shared" si="3"/>
        <v>6.339285714285714E-2</v>
      </c>
    </row>
    <row r="72" spans="1:12" x14ac:dyDescent="0.25">
      <c r="A72">
        <v>1749</v>
      </c>
      <c r="B72" t="s">
        <v>117</v>
      </c>
      <c r="C72" t="s">
        <v>70</v>
      </c>
      <c r="D72" t="s">
        <v>35</v>
      </c>
      <c r="H72">
        <v>200</v>
      </c>
      <c r="J72">
        <f t="shared" si="2"/>
        <v>200</v>
      </c>
      <c r="L72">
        <f t="shared" si="3"/>
        <v>8.9285714285714288E-2</v>
      </c>
    </row>
    <row r="73" spans="1:12" x14ac:dyDescent="0.25">
      <c r="A73">
        <v>1749</v>
      </c>
      <c r="B73" t="s">
        <v>79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1749</v>
      </c>
      <c r="B74" t="s">
        <v>5</v>
      </c>
      <c r="C74" t="s">
        <v>70</v>
      </c>
      <c r="D74" t="s">
        <v>35</v>
      </c>
      <c r="F74">
        <v>56</v>
      </c>
      <c r="G74">
        <v>3</v>
      </c>
      <c r="H74">
        <v>12</v>
      </c>
      <c r="J74">
        <f t="shared" si="2"/>
        <v>6368</v>
      </c>
      <c r="L74">
        <f t="shared" si="3"/>
        <v>2.842857142857143</v>
      </c>
    </row>
    <row r="75" spans="1:12" x14ac:dyDescent="0.25">
      <c r="A75">
        <v>1749</v>
      </c>
      <c r="B75" t="s">
        <v>61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1749</v>
      </c>
      <c r="B76" t="s">
        <v>6</v>
      </c>
      <c r="C76" t="s">
        <v>70</v>
      </c>
      <c r="D76" t="s">
        <v>35</v>
      </c>
      <c r="F76">
        <v>160556</v>
      </c>
      <c r="H76">
        <v>22</v>
      </c>
      <c r="J76">
        <f t="shared" si="2"/>
        <v>17982294</v>
      </c>
      <c r="L76">
        <f t="shared" si="3"/>
        <v>8027.809821428571</v>
      </c>
    </row>
    <row r="77" spans="1:12" x14ac:dyDescent="0.25">
      <c r="A77">
        <v>1749</v>
      </c>
      <c r="B77" t="s">
        <v>62</v>
      </c>
      <c r="C77" t="s">
        <v>70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1749</v>
      </c>
      <c r="B78" t="s">
        <v>40</v>
      </c>
      <c r="C78" t="s">
        <v>70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1749</v>
      </c>
      <c r="B79" t="s">
        <v>39</v>
      </c>
      <c r="C79" t="s">
        <v>70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1749</v>
      </c>
      <c r="B80" t="s">
        <v>8</v>
      </c>
      <c r="C80" t="s">
        <v>70</v>
      </c>
      <c r="D80" t="s">
        <v>35</v>
      </c>
      <c r="F80">
        <v>300</v>
      </c>
      <c r="G80">
        <v>2</v>
      </c>
      <c r="H80">
        <v>16</v>
      </c>
      <c r="J80">
        <f t="shared" si="2"/>
        <v>33672</v>
      </c>
      <c r="L80">
        <f t="shared" si="3"/>
        <v>15.032142857142857</v>
      </c>
    </row>
    <row r="81" spans="1:12" x14ac:dyDescent="0.25">
      <c r="A81">
        <v>1749</v>
      </c>
      <c r="B81" t="s">
        <v>42</v>
      </c>
      <c r="C81" t="s">
        <v>70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1749</v>
      </c>
      <c r="B82" t="s">
        <v>80</v>
      </c>
      <c r="C82" t="s">
        <v>70</v>
      </c>
      <c r="D82" t="s">
        <v>35</v>
      </c>
      <c r="F82">
        <v>62</v>
      </c>
      <c r="G82">
        <v>3</v>
      </c>
      <c r="H82">
        <v>18</v>
      </c>
      <c r="J82">
        <f t="shared" si="2"/>
        <v>7046</v>
      </c>
      <c r="L82">
        <f t="shared" si="3"/>
        <v>3.1455357142857143</v>
      </c>
    </row>
    <row r="83" spans="1:12" x14ac:dyDescent="0.25">
      <c r="A83">
        <v>1749</v>
      </c>
      <c r="B83" t="s">
        <v>81</v>
      </c>
      <c r="C83" t="s">
        <v>70</v>
      </c>
      <c r="D83" t="s">
        <v>35</v>
      </c>
      <c r="H83">
        <v>1530</v>
      </c>
      <c r="J83">
        <f t="shared" si="2"/>
        <v>1530</v>
      </c>
      <c r="L83">
        <f t="shared" si="3"/>
        <v>0.6830357142857143</v>
      </c>
    </row>
    <row r="84" spans="1:12" x14ac:dyDescent="0.25">
      <c r="A84">
        <v>1749</v>
      </c>
      <c r="B84" t="s">
        <v>48</v>
      </c>
      <c r="C84" t="s">
        <v>70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1749</v>
      </c>
      <c r="B85" t="s">
        <v>9</v>
      </c>
      <c r="C85" t="s">
        <v>70</v>
      </c>
      <c r="D85" t="s">
        <v>35</v>
      </c>
      <c r="H85">
        <f>1422.5*200</f>
        <v>284500</v>
      </c>
      <c r="I85" t="s">
        <v>145</v>
      </c>
      <c r="J85">
        <f t="shared" si="2"/>
        <v>284500</v>
      </c>
      <c r="L85">
        <f t="shared" si="3"/>
        <v>127.00892857142857</v>
      </c>
    </row>
    <row r="86" spans="1:12" x14ac:dyDescent="0.25">
      <c r="A86">
        <v>1749</v>
      </c>
      <c r="B86" t="s">
        <v>10</v>
      </c>
      <c r="C86" t="s">
        <v>70</v>
      </c>
      <c r="D86" t="s">
        <v>35</v>
      </c>
      <c r="F86">
        <v>2253</v>
      </c>
      <c r="G86">
        <v>3</v>
      </c>
      <c r="H86">
        <v>2</v>
      </c>
      <c r="J86">
        <f t="shared" si="2"/>
        <v>252422</v>
      </c>
      <c r="L86">
        <f t="shared" si="3"/>
        <v>112.68839285714286</v>
      </c>
    </row>
    <row r="87" spans="1:12" x14ac:dyDescent="0.25">
      <c r="A87">
        <v>1749</v>
      </c>
      <c r="B87" t="s">
        <v>11</v>
      </c>
      <c r="C87" t="s">
        <v>70</v>
      </c>
      <c r="D87" t="s">
        <v>35</v>
      </c>
      <c r="F87">
        <v>811</v>
      </c>
      <c r="J87">
        <f t="shared" si="2"/>
        <v>90832</v>
      </c>
      <c r="L87">
        <f t="shared" si="3"/>
        <v>40.549999999999997</v>
      </c>
    </row>
    <row r="88" spans="1:12" x14ac:dyDescent="0.25">
      <c r="A88">
        <v>1749</v>
      </c>
      <c r="B88" t="s">
        <v>41</v>
      </c>
      <c r="C88" t="s">
        <v>70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1749</v>
      </c>
      <c r="B89" t="s">
        <v>82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1749</v>
      </c>
      <c r="B90" t="s">
        <v>83</v>
      </c>
      <c r="C90" t="s">
        <v>70</v>
      </c>
      <c r="D90" t="s">
        <v>35</v>
      </c>
      <c r="H90">
        <v>314</v>
      </c>
      <c r="J90">
        <f t="shared" si="2"/>
        <v>314</v>
      </c>
      <c r="L90">
        <f t="shared" si="3"/>
        <v>0.14017857142857143</v>
      </c>
    </row>
    <row r="91" spans="1:12" x14ac:dyDescent="0.25">
      <c r="A91">
        <v>1749</v>
      </c>
      <c r="B91" t="s">
        <v>102</v>
      </c>
      <c r="C91" t="s">
        <v>70</v>
      </c>
      <c r="D91" t="s">
        <v>35</v>
      </c>
      <c r="I91">
        <v>390</v>
      </c>
      <c r="J91">
        <f t="shared" si="2"/>
        <v>0</v>
      </c>
      <c r="L91">
        <f t="shared" si="3"/>
        <v>0</v>
      </c>
    </row>
    <row r="92" spans="1:12" x14ac:dyDescent="0.25">
      <c r="A92">
        <v>1749</v>
      </c>
      <c r="B92" t="s">
        <v>46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1749</v>
      </c>
      <c r="B93" t="s">
        <v>12</v>
      </c>
      <c r="C93" t="s">
        <v>70</v>
      </c>
      <c r="D93" t="s">
        <v>35</v>
      </c>
      <c r="H93">
        <v>20427</v>
      </c>
      <c r="J93">
        <f t="shared" si="2"/>
        <v>20427</v>
      </c>
      <c r="L93">
        <f t="shared" si="3"/>
        <v>9.1191964285714278</v>
      </c>
    </row>
    <row r="94" spans="1:12" x14ac:dyDescent="0.25">
      <c r="A94">
        <v>1749</v>
      </c>
      <c r="B94" t="s">
        <v>86</v>
      </c>
      <c r="C94" t="s">
        <v>70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1749</v>
      </c>
      <c r="B95" t="s">
        <v>34</v>
      </c>
      <c r="C95" t="s">
        <v>70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1749</v>
      </c>
      <c r="B96" t="s">
        <v>13</v>
      </c>
      <c r="C96" t="s">
        <v>70</v>
      </c>
      <c r="D96" t="s">
        <v>35</v>
      </c>
      <c r="E96">
        <v>19</v>
      </c>
      <c r="G96">
        <v>3</v>
      </c>
      <c r="J96">
        <f t="shared" si="2"/>
        <v>42644</v>
      </c>
      <c r="L96">
        <f t="shared" si="3"/>
        <v>19.037500000000001</v>
      </c>
    </row>
    <row r="97" spans="1:12" x14ac:dyDescent="0.25">
      <c r="A97">
        <v>1749</v>
      </c>
      <c r="B97" t="s">
        <v>14</v>
      </c>
      <c r="C97" t="s">
        <v>70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1749</v>
      </c>
      <c r="B98" t="s">
        <v>23</v>
      </c>
      <c r="C98" t="s">
        <v>70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1749</v>
      </c>
      <c r="B99" t="s">
        <v>27</v>
      </c>
      <c r="C99" t="s">
        <v>70</v>
      </c>
      <c r="D99" t="s">
        <v>35</v>
      </c>
      <c r="H99">
        <v>35779</v>
      </c>
      <c r="I99" t="s">
        <v>144</v>
      </c>
      <c r="J99">
        <f t="shared" si="2"/>
        <v>35779</v>
      </c>
      <c r="L99">
        <f t="shared" si="3"/>
        <v>15.972767857142857</v>
      </c>
    </row>
    <row r="100" spans="1:12" x14ac:dyDescent="0.25">
      <c r="A100">
        <v>1749</v>
      </c>
      <c r="B100" t="s">
        <v>15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1749</v>
      </c>
      <c r="B101" t="s">
        <v>98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1749</v>
      </c>
      <c r="B102" t="s">
        <v>44</v>
      </c>
      <c r="C102" t="s">
        <v>70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1749</v>
      </c>
      <c r="B103" t="s">
        <v>87</v>
      </c>
      <c r="C103" t="s">
        <v>70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1749</v>
      </c>
      <c r="B104" t="s">
        <v>49</v>
      </c>
      <c r="C104" t="s">
        <v>70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1749</v>
      </c>
      <c r="B105" t="s">
        <v>16</v>
      </c>
      <c r="C105" t="s">
        <v>70</v>
      </c>
      <c r="D105" t="s">
        <v>35</v>
      </c>
      <c r="H105">
        <v>383717</v>
      </c>
      <c r="J105">
        <f t="shared" si="2"/>
        <v>383717</v>
      </c>
      <c r="L105">
        <f t="shared" si="3"/>
        <v>171.30223214285715</v>
      </c>
    </row>
    <row r="106" spans="1:12" x14ac:dyDescent="0.25">
      <c r="A106">
        <v>1749</v>
      </c>
      <c r="B106" t="s">
        <v>17</v>
      </c>
      <c r="C106" t="s">
        <v>70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1749</v>
      </c>
      <c r="B107" t="s">
        <v>18</v>
      </c>
      <c r="C107" t="s">
        <v>70</v>
      </c>
      <c r="D107" t="s">
        <v>35</v>
      </c>
      <c r="H107">
        <v>1221264</v>
      </c>
      <c r="I107" t="s">
        <v>143</v>
      </c>
      <c r="J107">
        <f t="shared" si="2"/>
        <v>1221264</v>
      </c>
      <c r="L107">
        <f t="shared" si="3"/>
        <v>545.20714285714291</v>
      </c>
    </row>
    <row r="108" spans="1:12" x14ac:dyDescent="0.25">
      <c r="A108">
        <v>1749</v>
      </c>
      <c r="B108" t="s">
        <v>26</v>
      </c>
      <c r="C108" t="s">
        <v>70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1749</v>
      </c>
      <c r="B109" t="s">
        <v>88</v>
      </c>
      <c r="C109" t="s">
        <v>70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1749</v>
      </c>
      <c r="B110" t="s">
        <v>19</v>
      </c>
      <c r="C110" t="s">
        <v>70</v>
      </c>
      <c r="D110" t="s">
        <v>35</v>
      </c>
      <c r="F110">
        <v>130</v>
      </c>
      <c r="G110">
        <v>3</v>
      </c>
      <c r="H110">
        <v>9</v>
      </c>
      <c r="J110">
        <f t="shared" si="2"/>
        <v>14653</v>
      </c>
      <c r="L110">
        <f t="shared" si="3"/>
        <v>6.5415178571428569</v>
      </c>
    </row>
    <row r="111" spans="1:12" x14ac:dyDescent="0.25">
      <c r="A111">
        <v>1749</v>
      </c>
      <c r="B111" t="s">
        <v>47</v>
      </c>
      <c r="C111" t="s">
        <v>70</v>
      </c>
      <c r="D111" t="s">
        <v>35</v>
      </c>
      <c r="H111">
        <v>66</v>
      </c>
      <c r="J111">
        <f t="shared" si="2"/>
        <v>66</v>
      </c>
      <c r="L111">
        <f t="shared" si="3"/>
        <v>2.9464285714285714E-2</v>
      </c>
    </row>
    <row r="112" spans="1:12" x14ac:dyDescent="0.25">
      <c r="A112">
        <v>1749</v>
      </c>
      <c r="B112" t="s">
        <v>89</v>
      </c>
      <c r="C112" t="s">
        <v>70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1749</v>
      </c>
      <c r="B113" t="s">
        <v>56</v>
      </c>
      <c r="C113" t="s">
        <v>70</v>
      </c>
      <c r="D113" t="s">
        <v>35</v>
      </c>
      <c r="H113">
        <v>223</v>
      </c>
      <c r="J113">
        <f t="shared" si="2"/>
        <v>223</v>
      </c>
      <c r="L113">
        <f t="shared" si="3"/>
        <v>9.9553571428571422E-2</v>
      </c>
    </row>
    <row r="114" spans="1:12" x14ac:dyDescent="0.25">
      <c r="A114">
        <v>1749</v>
      </c>
      <c r="B114" t="s">
        <v>90</v>
      </c>
      <c r="C114" t="s">
        <v>70</v>
      </c>
      <c r="D114" t="s">
        <v>35</v>
      </c>
      <c r="H114">
        <v>462</v>
      </c>
      <c r="J114">
        <f t="shared" si="2"/>
        <v>462</v>
      </c>
      <c r="L114">
        <f t="shared" si="3"/>
        <v>0.20624999999999999</v>
      </c>
    </row>
    <row r="115" spans="1:12" x14ac:dyDescent="0.25">
      <c r="A115">
        <v>1749</v>
      </c>
      <c r="B115" t="s">
        <v>20</v>
      </c>
      <c r="C115" t="s">
        <v>70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1749</v>
      </c>
      <c r="B116" t="s">
        <v>21</v>
      </c>
      <c r="C116" t="s">
        <v>70</v>
      </c>
      <c r="D116" t="s">
        <v>35</v>
      </c>
      <c r="H116">
        <v>1958</v>
      </c>
      <c r="J116">
        <f t="shared" si="2"/>
        <v>1958</v>
      </c>
      <c r="L116">
        <f t="shared" si="3"/>
        <v>0.87410714285714286</v>
      </c>
    </row>
    <row r="117" spans="1:12" x14ac:dyDescent="0.25">
      <c r="A117">
        <v>1749</v>
      </c>
      <c r="B117" t="s">
        <v>22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1749</v>
      </c>
      <c r="B118" t="s">
        <v>63</v>
      </c>
      <c r="C118" t="s">
        <v>70</v>
      </c>
      <c r="D118" t="s">
        <v>35</v>
      </c>
      <c r="E118">
        <v>60</v>
      </c>
      <c r="F118">
        <v>7</v>
      </c>
      <c r="H118">
        <v>20</v>
      </c>
      <c r="J118">
        <f t="shared" si="2"/>
        <v>135204</v>
      </c>
      <c r="L118">
        <f t="shared" si="3"/>
        <v>60.358928571428571</v>
      </c>
    </row>
    <row r="119" spans="1:12" x14ac:dyDescent="0.25">
      <c r="A119">
        <v>1749</v>
      </c>
      <c r="B119" t="s">
        <v>96</v>
      </c>
      <c r="C119" t="s">
        <v>70</v>
      </c>
      <c r="D119" t="s">
        <v>35</v>
      </c>
      <c r="F119">
        <v>10</v>
      </c>
      <c r="J119">
        <f t="shared" si="2"/>
        <v>1120</v>
      </c>
      <c r="L119">
        <f t="shared" si="3"/>
        <v>0.5</v>
      </c>
    </row>
    <row r="120" spans="1:12" x14ac:dyDescent="0.25">
      <c r="A120">
        <v>1749</v>
      </c>
      <c r="B120" t="s">
        <v>91</v>
      </c>
      <c r="C120" t="s">
        <v>70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1749</v>
      </c>
      <c r="B121" t="s">
        <v>64</v>
      </c>
      <c r="C121" t="s">
        <v>70</v>
      </c>
      <c r="D121" t="s">
        <v>35</v>
      </c>
      <c r="E121">
        <v>479</v>
      </c>
      <c r="F121">
        <v>17</v>
      </c>
      <c r="G121">
        <v>3</v>
      </c>
      <c r="H121">
        <v>8</v>
      </c>
      <c r="J121">
        <f t="shared" si="2"/>
        <v>1074956</v>
      </c>
      <c r="L121">
        <f t="shared" si="3"/>
        <v>479.89107142857142</v>
      </c>
    </row>
    <row r="122" spans="1:12" x14ac:dyDescent="0.25">
      <c r="A122">
        <v>1749</v>
      </c>
      <c r="B122" t="s">
        <v>92</v>
      </c>
      <c r="C122" t="s">
        <v>70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1749</v>
      </c>
      <c r="B123" t="s">
        <v>65</v>
      </c>
      <c r="C123" t="s">
        <v>70</v>
      </c>
      <c r="D123" t="s">
        <v>35</v>
      </c>
      <c r="E123">
        <v>270</v>
      </c>
      <c r="F123">
        <v>6</v>
      </c>
      <c r="G123">
        <v>1</v>
      </c>
      <c r="H123">
        <v>5</v>
      </c>
      <c r="J123">
        <f t="shared" si="2"/>
        <v>605505</v>
      </c>
      <c r="L123">
        <f t="shared" si="3"/>
        <v>270.31473214285717</v>
      </c>
    </row>
    <row r="124" spans="1:12" x14ac:dyDescent="0.25">
      <c r="A124">
        <v>1749</v>
      </c>
      <c r="B124" t="s">
        <v>93</v>
      </c>
      <c r="C124" t="s">
        <v>70</v>
      </c>
      <c r="D124" t="s">
        <v>35</v>
      </c>
      <c r="E124">
        <v>217</v>
      </c>
      <c r="F124">
        <v>11</v>
      </c>
      <c r="H124">
        <v>20</v>
      </c>
      <c r="J124">
        <f t="shared" si="2"/>
        <v>487332</v>
      </c>
      <c r="L124">
        <f t="shared" si="3"/>
        <v>217.55892857142857</v>
      </c>
    </row>
    <row r="125" spans="1:12" x14ac:dyDescent="0.25">
      <c r="A125">
        <v>1749</v>
      </c>
      <c r="B125" t="s">
        <v>73</v>
      </c>
      <c r="C125" t="s">
        <v>70</v>
      </c>
      <c r="D125" t="s">
        <v>35</v>
      </c>
      <c r="E125">
        <v>64</v>
      </c>
      <c r="F125">
        <v>10</v>
      </c>
      <c r="G125">
        <v>2</v>
      </c>
      <c r="H125">
        <v>20</v>
      </c>
      <c r="J125">
        <f t="shared" si="2"/>
        <v>144556</v>
      </c>
      <c r="L125">
        <f t="shared" si="3"/>
        <v>64.533928571428575</v>
      </c>
    </row>
    <row r="126" spans="1:12" x14ac:dyDescent="0.25">
      <c r="A126">
        <v>1749</v>
      </c>
      <c r="B126" t="s">
        <v>66</v>
      </c>
      <c r="C126" t="s">
        <v>70</v>
      </c>
      <c r="D126" t="s">
        <v>35</v>
      </c>
      <c r="E126">
        <v>6</v>
      </c>
      <c r="F126">
        <v>12</v>
      </c>
      <c r="G126">
        <v>3</v>
      </c>
      <c r="H126">
        <v>16</v>
      </c>
      <c r="J126">
        <f t="shared" si="2"/>
        <v>14884</v>
      </c>
      <c r="L126">
        <f t="shared" si="3"/>
        <v>6.6446428571428573</v>
      </c>
    </row>
    <row r="127" spans="1:12" x14ac:dyDescent="0.25">
      <c r="A127">
        <v>1749</v>
      </c>
      <c r="B127" t="s">
        <v>67</v>
      </c>
      <c r="C127" t="s">
        <v>70</v>
      </c>
      <c r="D127" t="s">
        <v>35</v>
      </c>
      <c r="J127">
        <f t="shared" si="2"/>
        <v>0</v>
      </c>
      <c r="L127">
        <f t="shared" si="3"/>
        <v>0</v>
      </c>
    </row>
  </sheetData>
  <autoFilter ref="A1:O61" xr:uid="{8C2F7725-5A61-4A1B-A740-CC887BCB0E68}">
    <sortState xmlns:xlrd2="http://schemas.microsoft.com/office/spreadsheetml/2017/richdata2" ref="A2:O61">
      <sortCondition ref="B1:B6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6"/>
  <sheetViews>
    <sheetView topLeftCell="A19" workbookViewId="0">
      <selection activeCell="H53" sqref="H5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1749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1749</v>
      </c>
      <c r="B3" t="s">
        <v>59</v>
      </c>
      <c r="C3" t="s">
        <v>75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1749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1749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1749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1749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1749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1749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1749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1749</v>
      </c>
      <c r="B11" t="s">
        <v>6</v>
      </c>
      <c r="C11" t="s">
        <v>75</v>
      </c>
      <c r="D11" t="s">
        <v>33</v>
      </c>
      <c r="F11">
        <v>45971</v>
      </c>
      <c r="J11">
        <f t="shared" si="0"/>
        <v>5148752</v>
      </c>
      <c r="L11">
        <f t="shared" si="1"/>
        <v>2298.5500000000002</v>
      </c>
    </row>
    <row r="12" spans="1:12" x14ac:dyDescent="0.25">
      <c r="A12">
        <v>1749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1749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1749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1749</v>
      </c>
      <c r="B15" t="s">
        <v>8</v>
      </c>
      <c r="C15" t="s">
        <v>75</v>
      </c>
      <c r="D15" t="s">
        <v>33</v>
      </c>
      <c r="F15">
        <v>14</v>
      </c>
      <c r="J15">
        <f t="shared" si="0"/>
        <v>1568</v>
      </c>
      <c r="L15">
        <f t="shared" si="1"/>
        <v>0.7</v>
      </c>
    </row>
    <row r="16" spans="1:12" x14ac:dyDescent="0.25">
      <c r="A16">
        <v>1749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1749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1749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1749</v>
      </c>
      <c r="B19" t="s">
        <v>9</v>
      </c>
      <c r="C19" t="s">
        <v>75</v>
      </c>
      <c r="D19" t="s">
        <v>33</v>
      </c>
      <c r="H19">
        <f>209.5*200</f>
        <v>41900</v>
      </c>
      <c r="I19" t="s">
        <v>125</v>
      </c>
      <c r="J19">
        <f t="shared" si="0"/>
        <v>41900</v>
      </c>
      <c r="L19">
        <f t="shared" si="1"/>
        <v>18.705357142857142</v>
      </c>
    </row>
    <row r="20" spans="1:12" x14ac:dyDescent="0.25">
      <c r="A20">
        <v>1749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1749</v>
      </c>
      <c r="B21" t="s">
        <v>11</v>
      </c>
      <c r="C21" t="s">
        <v>75</v>
      </c>
      <c r="D21" t="s">
        <v>33</v>
      </c>
      <c r="F21">
        <v>35</v>
      </c>
      <c r="G21">
        <v>1</v>
      </c>
      <c r="H21">
        <v>8</v>
      </c>
      <c r="J21">
        <f t="shared" si="0"/>
        <v>3956</v>
      </c>
      <c r="L21">
        <f t="shared" si="1"/>
        <v>1.7660714285714285</v>
      </c>
    </row>
    <row r="22" spans="1:12" x14ac:dyDescent="0.25">
      <c r="A22">
        <v>1749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1749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1749</v>
      </c>
      <c r="B24" t="s">
        <v>12</v>
      </c>
      <c r="C24" t="s">
        <v>75</v>
      </c>
      <c r="D24" t="s">
        <v>33</v>
      </c>
      <c r="H24">
        <v>1880</v>
      </c>
      <c r="J24">
        <f t="shared" si="0"/>
        <v>1880</v>
      </c>
      <c r="L24">
        <f t="shared" si="1"/>
        <v>0.8392857142857143</v>
      </c>
    </row>
    <row r="25" spans="1:12" x14ac:dyDescent="0.25">
      <c r="A25">
        <v>1749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1749</v>
      </c>
      <c r="B26" t="s">
        <v>13</v>
      </c>
      <c r="C26" t="s">
        <v>75</v>
      </c>
      <c r="D26" t="s">
        <v>33</v>
      </c>
      <c r="E26">
        <v>8</v>
      </c>
      <c r="J26">
        <f t="shared" si="0"/>
        <v>17920</v>
      </c>
      <c r="L26">
        <f t="shared" si="1"/>
        <v>8</v>
      </c>
    </row>
    <row r="27" spans="1:12" x14ac:dyDescent="0.25">
      <c r="A27">
        <v>1749</v>
      </c>
      <c r="B27" t="s">
        <v>14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1749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1749</v>
      </c>
      <c r="B29" t="s">
        <v>27</v>
      </c>
      <c r="C29" t="s">
        <v>75</v>
      </c>
      <c r="D29" t="s">
        <v>33</v>
      </c>
      <c r="H29">
        <v>57295</v>
      </c>
      <c r="I29" t="s">
        <v>124</v>
      </c>
      <c r="J29">
        <f t="shared" si="0"/>
        <v>57295</v>
      </c>
      <c r="L29">
        <f t="shared" si="1"/>
        <v>25.578125</v>
      </c>
    </row>
    <row r="30" spans="1:12" x14ac:dyDescent="0.25">
      <c r="A30">
        <v>1749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1749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1749</v>
      </c>
      <c r="B32" t="s">
        <v>49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1749</v>
      </c>
      <c r="B33" t="s">
        <v>16</v>
      </c>
      <c r="C33" t="s">
        <v>75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1749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1749</v>
      </c>
      <c r="B35" t="s">
        <v>18</v>
      </c>
      <c r="C35" t="s">
        <v>75</v>
      </c>
      <c r="D35" t="s">
        <v>33</v>
      </c>
      <c r="H35">
        <v>35729</v>
      </c>
      <c r="I35" t="s">
        <v>123</v>
      </c>
      <c r="J35">
        <f t="shared" si="0"/>
        <v>35729</v>
      </c>
      <c r="L35">
        <f t="shared" si="1"/>
        <v>15.950446428571428</v>
      </c>
    </row>
    <row r="36" spans="1:12" x14ac:dyDescent="0.25">
      <c r="A36">
        <v>1749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1749</v>
      </c>
      <c r="B37" t="s">
        <v>19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1749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1749</v>
      </c>
      <c r="B39" t="s">
        <v>56</v>
      </c>
      <c r="C39" t="s">
        <v>75</v>
      </c>
      <c r="D39" t="s">
        <v>33</v>
      </c>
      <c r="H39">
        <v>151</v>
      </c>
      <c r="J39">
        <f t="shared" si="0"/>
        <v>151</v>
      </c>
      <c r="L39">
        <f t="shared" si="1"/>
        <v>6.7410714285714282E-2</v>
      </c>
    </row>
    <row r="40" spans="1:12" x14ac:dyDescent="0.25">
      <c r="A40">
        <v>1749</v>
      </c>
      <c r="B40" t="s">
        <v>20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1749</v>
      </c>
      <c r="B41" t="s">
        <v>21</v>
      </c>
      <c r="C41" t="s">
        <v>75</v>
      </c>
      <c r="D41" t="s">
        <v>33</v>
      </c>
      <c r="H41">
        <v>7</v>
      </c>
      <c r="J41">
        <f t="shared" si="0"/>
        <v>7</v>
      </c>
      <c r="L41">
        <f t="shared" si="1"/>
        <v>3.1250000000000002E-3</v>
      </c>
    </row>
    <row r="42" spans="1:12" x14ac:dyDescent="0.25">
      <c r="A42">
        <v>1749</v>
      </c>
      <c r="B42" t="s">
        <v>22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1749</v>
      </c>
      <c r="B43" t="s">
        <v>63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1749</v>
      </c>
      <c r="B44" t="s">
        <v>64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1749</v>
      </c>
      <c r="B45" t="s">
        <v>65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1749</v>
      </c>
      <c r="B46" t="s">
        <v>73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1749</v>
      </c>
      <c r="B47" t="s">
        <v>66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1749</v>
      </c>
      <c r="B48" t="s">
        <v>67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1749</v>
      </c>
      <c r="B49" t="s">
        <v>6</v>
      </c>
      <c r="C49" t="s">
        <v>75</v>
      </c>
      <c r="D49" t="s">
        <v>35</v>
      </c>
      <c r="F49">
        <v>5280</v>
      </c>
      <c r="H49">
        <v>4</v>
      </c>
      <c r="J49">
        <f t="shared" si="0"/>
        <v>591364</v>
      </c>
      <c r="L49">
        <f t="shared" si="1"/>
        <v>264.00178571428569</v>
      </c>
    </row>
    <row r="50" spans="1:12" x14ac:dyDescent="0.25">
      <c r="A50">
        <v>1749</v>
      </c>
      <c r="B50" t="s">
        <v>7</v>
      </c>
      <c r="C50" t="s">
        <v>75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1749</v>
      </c>
      <c r="B51" t="s">
        <v>8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1749</v>
      </c>
      <c r="B52" t="s">
        <v>9</v>
      </c>
      <c r="C52" t="s">
        <v>75</v>
      </c>
      <c r="D52" t="s">
        <v>35</v>
      </c>
      <c r="H52">
        <f>118*200</f>
        <v>23600</v>
      </c>
      <c r="I52" t="s">
        <v>147</v>
      </c>
      <c r="J52">
        <f t="shared" si="0"/>
        <v>23600</v>
      </c>
      <c r="L52">
        <f t="shared" si="1"/>
        <v>10.535714285714286</v>
      </c>
    </row>
    <row r="53" spans="1:12" x14ac:dyDescent="0.25">
      <c r="A53">
        <v>1749</v>
      </c>
      <c r="B53" t="s">
        <v>10</v>
      </c>
      <c r="C53" t="s">
        <v>75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1749</v>
      </c>
      <c r="B54" t="s">
        <v>11</v>
      </c>
      <c r="C54" t="s">
        <v>75</v>
      </c>
      <c r="D54" t="s">
        <v>35</v>
      </c>
      <c r="F54">
        <v>18</v>
      </c>
      <c r="G54">
        <v>2</v>
      </c>
      <c r="J54">
        <f t="shared" si="0"/>
        <v>2072</v>
      </c>
      <c r="L54">
        <f t="shared" si="1"/>
        <v>0.92500000000000004</v>
      </c>
    </row>
    <row r="55" spans="1:12" x14ac:dyDescent="0.25">
      <c r="A55">
        <v>1749</v>
      </c>
      <c r="B55" t="s">
        <v>12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1749</v>
      </c>
      <c r="B56" t="s">
        <v>13</v>
      </c>
      <c r="C56" t="s">
        <v>75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1749</v>
      </c>
      <c r="B57" t="s">
        <v>14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1749</v>
      </c>
      <c r="B58" t="s">
        <v>27</v>
      </c>
      <c r="C58" t="s">
        <v>75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1749</v>
      </c>
      <c r="B59" t="s">
        <v>15</v>
      </c>
      <c r="C59" t="s">
        <v>75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1749</v>
      </c>
      <c r="B60" t="s">
        <v>17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1749</v>
      </c>
      <c r="B61" t="s">
        <v>18</v>
      </c>
      <c r="C61" t="s">
        <v>75</v>
      </c>
      <c r="D61" t="s">
        <v>35</v>
      </c>
      <c r="H61">
        <v>2571</v>
      </c>
      <c r="I61" t="s">
        <v>146</v>
      </c>
      <c r="J61">
        <f t="shared" si="0"/>
        <v>2571</v>
      </c>
      <c r="L61">
        <f t="shared" si="1"/>
        <v>1.1477678571428571</v>
      </c>
    </row>
    <row r="62" spans="1:12" x14ac:dyDescent="0.25">
      <c r="A62">
        <v>1749</v>
      </c>
      <c r="B62" t="s">
        <v>19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1749</v>
      </c>
      <c r="B63" t="s">
        <v>56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1749</v>
      </c>
      <c r="B64" t="s">
        <v>21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1749</v>
      </c>
      <c r="B65" t="s">
        <v>22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1749</v>
      </c>
      <c r="B66" t="s">
        <v>64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8"/>
  <sheetViews>
    <sheetView topLeftCell="A20" workbookViewId="0">
      <selection activeCell="H54" sqref="H54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1749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1749</v>
      </c>
      <c r="B3" t="s">
        <v>59</v>
      </c>
      <c r="C3" t="s">
        <v>76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1749</v>
      </c>
      <c r="B4" t="s">
        <v>38</v>
      </c>
      <c r="C4" t="s">
        <v>76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1749</v>
      </c>
      <c r="B5" t="s">
        <v>4</v>
      </c>
      <c r="C5" t="s">
        <v>76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1749</v>
      </c>
      <c r="B6" t="s">
        <v>60</v>
      </c>
      <c r="C6" t="s">
        <v>76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1749</v>
      </c>
      <c r="B7" t="s">
        <v>71</v>
      </c>
      <c r="C7" t="s">
        <v>76</v>
      </c>
      <c r="D7" t="s">
        <v>33</v>
      </c>
      <c r="J7">
        <f t="shared" ref="J7:J25" si="0">(E7*2240)+(F7*112)+(G7*28)+H7</f>
        <v>0</v>
      </c>
      <c r="L7">
        <f t="shared" ref="L7:L27" si="1">J7/2240</f>
        <v>0</v>
      </c>
    </row>
    <row r="8" spans="1:12" x14ac:dyDescent="0.25">
      <c r="A8">
        <v>1749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1749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1749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1749</v>
      </c>
      <c r="B11" t="s">
        <v>6</v>
      </c>
      <c r="C11" t="s">
        <v>76</v>
      </c>
      <c r="D11" t="s">
        <v>33</v>
      </c>
      <c r="F11">
        <v>17028</v>
      </c>
      <c r="H11">
        <v>6</v>
      </c>
      <c r="J11">
        <f t="shared" si="0"/>
        <v>1907142</v>
      </c>
      <c r="L11">
        <f t="shared" si="1"/>
        <v>851.40267857142862</v>
      </c>
    </row>
    <row r="12" spans="1:12" x14ac:dyDescent="0.25">
      <c r="A12">
        <v>1749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1749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1749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1749</v>
      </c>
      <c r="B15" t="s">
        <v>8</v>
      </c>
      <c r="C15" t="s">
        <v>76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1749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1749</v>
      </c>
      <c r="B17" t="s">
        <v>48</v>
      </c>
      <c r="C17" t="s">
        <v>76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1749</v>
      </c>
      <c r="B18" t="s">
        <v>9</v>
      </c>
      <c r="C18" t="s">
        <v>76</v>
      </c>
      <c r="D18" t="s">
        <v>33</v>
      </c>
      <c r="H18">
        <f>16.5*200</f>
        <v>3300</v>
      </c>
      <c r="I18" t="s">
        <v>129</v>
      </c>
      <c r="J18">
        <f t="shared" si="0"/>
        <v>3300</v>
      </c>
      <c r="L18">
        <f t="shared" si="1"/>
        <v>1.4732142857142858</v>
      </c>
    </row>
    <row r="19" spans="1:12" x14ac:dyDescent="0.25">
      <c r="A19">
        <v>1749</v>
      </c>
      <c r="B19" t="s">
        <v>10</v>
      </c>
      <c r="C19" t="s">
        <v>76</v>
      </c>
      <c r="D19" t="s">
        <v>33</v>
      </c>
      <c r="F19">
        <v>7</v>
      </c>
      <c r="J19">
        <f t="shared" si="0"/>
        <v>784</v>
      </c>
      <c r="L19">
        <f t="shared" si="1"/>
        <v>0.35</v>
      </c>
    </row>
    <row r="20" spans="1:12" x14ac:dyDescent="0.25">
      <c r="A20">
        <v>1749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1749</v>
      </c>
      <c r="B21" t="s">
        <v>41</v>
      </c>
      <c r="C21" t="s">
        <v>76</v>
      </c>
      <c r="D21" t="s">
        <v>33</v>
      </c>
      <c r="H21">
        <v>6</v>
      </c>
      <c r="J21">
        <f t="shared" si="0"/>
        <v>6</v>
      </c>
      <c r="L21">
        <f t="shared" si="1"/>
        <v>2.6785714285714286E-3</v>
      </c>
    </row>
    <row r="22" spans="1:12" x14ac:dyDescent="0.25">
      <c r="A22">
        <v>1749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1749</v>
      </c>
      <c r="B23" t="s">
        <v>12</v>
      </c>
      <c r="C23" t="s">
        <v>76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1749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1749</v>
      </c>
      <c r="B25" t="s">
        <v>13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1749</v>
      </c>
      <c r="B26" t="s">
        <v>14</v>
      </c>
      <c r="C26" t="s">
        <v>76</v>
      </c>
      <c r="D26" t="s">
        <v>33</v>
      </c>
      <c r="J26">
        <f t="shared" ref="J26:J64" si="2">(E26*2240)+(F26*112)+(G26*28)+H26</f>
        <v>0</v>
      </c>
      <c r="L26">
        <f t="shared" si="1"/>
        <v>0</v>
      </c>
    </row>
    <row r="27" spans="1:12" x14ac:dyDescent="0.25">
      <c r="A27">
        <v>1749</v>
      </c>
      <c r="B27" t="s">
        <v>23</v>
      </c>
      <c r="C27" t="s">
        <v>76</v>
      </c>
      <c r="D27" t="s">
        <v>33</v>
      </c>
      <c r="J27">
        <f t="shared" si="2"/>
        <v>0</v>
      </c>
      <c r="L27">
        <f t="shared" si="1"/>
        <v>0</v>
      </c>
    </row>
    <row r="28" spans="1:12" x14ac:dyDescent="0.25">
      <c r="A28">
        <v>1749</v>
      </c>
      <c r="B28" t="s">
        <v>27</v>
      </c>
      <c r="C28" t="s">
        <v>76</v>
      </c>
      <c r="D28" t="s">
        <v>33</v>
      </c>
      <c r="H28">
        <v>46552</v>
      </c>
      <c r="I28" t="s">
        <v>128</v>
      </c>
      <c r="J28">
        <f t="shared" si="2"/>
        <v>46552</v>
      </c>
      <c r="L28">
        <f t="shared" ref="L28:L64" si="3">J28/2240</f>
        <v>20.782142857142858</v>
      </c>
    </row>
    <row r="29" spans="1:12" x14ac:dyDescent="0.25">
      <c r="A29">
        <v>1749</v>
      </c>
      <c r="B29" t="s">
        <v>15</v>
      </c>
      <c r="C29" t="s">
        <v>76</v>
      </c>
      <c r="D29" t="s">
        <v>33</v>
      </c>
      <c r="J29">
        <f t="shared" si="2"/>
        <v>0</v>
      </c>
      <c r="L29">
        <f t="shared" si="3"/>
        <v>0</v>
      </c>
    </row>
    <row r="30" spans="1:12" x14ac:dyDescent="0.25">
      <c r="A30">
        <v>1749</v>
      </c>
      <c r="B30" t="s">
        <v>44</v>
      </c>
      <c r="C30" t="s">
        <v>76</v>
      </c>
      <c r="D30" t="s">
        <v>33</v>
      </c>
      <c r="J30">
        <f t="shared" si="2"/>
        <v>0</v>
      </c>
      <c r="L30">
        <f t="shared" si="3"/>
        <v>0</v>
      </c>
    </row>
    <row r="31" spans="1:12" x14ac:dyDescent="0.25">
      <c r="A31">
        <v>1749</v>
      </c>
      <c r="B31" t="s">
        <v>49</v>
      </c>
      <c r="C31" t="s">
        <v>76</v>
      </c>
      <c r="D31" t="s">
        <v>33</v>
      </c>
      <c r="H31">
        <v>25</v>
      </c>
      <c r="I31" t="s">
        <v>126</v>
      </c>
      <c r="J31">
        <f t="shared" si="2"/>
        <v>25</v>
      </c>
      <c r="L31">
        <f t="shared" si="3"/>
        <v>1.1160714285714286E-2</v>
      </c>
    </row>
    <row r="32" spans="1:12" x14ac:dyDescent="0.25">
      <c r="A32">
        <v>1749</v>
      </c>
      <c r="B32" t="s">
        <v>16</v>
      </c>
      <c r="C32" t="s">
        <v>76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1749</v>
      </c>
      <c r="B33" t="s">
        <v>17</v>
      </c>
      <c r="C33" t="s">
        <v>76</v>
      </c>
      <c r="D33" t="s">
        <v>33</v>
      </c>
      <c r="J33">
        <f t="shared" si="2"/>
        <v>0</v>
      </c>
      <c r="L33">
        <f t="shared" si="3"/>
        <v>0</v>
      </c>
    </row>
    <row r="34" spans="1:12" x14ac:dyDescent="0.25">
      <c r="A34">
        <v>1749</v>
      </c>
      <c r="B34" t="s">
        <v>18</v>
      </c>
      <c r="C34" t="s">
        <v>76</v>
      </c>
      <c r="D34" t="s">
        <v>33</v>
      </c>
      <c r="H34">
        <v>18335</v>
      </c>
      <c r="I34" t="s">
        <v>127</v>
      </c>
      <c r="J34">
        <f t="shared" si="2"/>
        <v>18335</v>
      </c>
      <c r="L34">
        <f t="shared" si="3"/>
        <v>8.1852678571428577</v>
      </c>
    </row>
    <row r="35" spans="1:12" x14ac:dyDescent="0.25">
      <c r="A35">
        <v>1749</v>
      </c>
      <c r="B35" t="s">
        <v>72</v>
      </c>
      <c r="C35" t="s">
        <v>76</v>
      </c>
      <c r="D35" t="s">
        <v>33</v>
      </c>
      <c r="J35">
        <f t="shared" si="2"/>
        <v>0</v>
      </c>
      <c r="L35">
        <f t="shared" si="3"/>
        <v>0</v>
      </c>
    </row>
    <row r="36" spans="1:12" x14ac:dyDescent="0.25">
      <c r="A36">
        <v>1749</v>
      </c>
      <c r="B36" t="s">
        <v>19</v>
      </c>
      <c r="C36" t="s">
        <v>76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1749</v>
      </c>
      <c r="B37" t="s">
        <v>47</v>
      </c>
      <c r="C37" t="s">
        <v>76</v>
      </c>
      <c r="D37" t="s">
        <v>33</v>
      </c>
      <c r="J37">
        <f t="shared" si="2"/>
        <v>0</v>
      </c>
      <c r="L37">
        <f t="shared" si="3"/>
        <v>0</v>
      </c>
    </row>
    <row r="38" spans="1:12" x14ac:dyDescent="0.25">
      <c r="A38">
        <v>1749</v>
      </c>
      <c r="B38" t="s">
        <v>56</v>
      </c>
      <c r="C38" t="s">
        <v>76</v>
      </c>
      <c r="D38" t="s">
        <v>33</v>
      </c>
      <c r="H38">
        <v>203</v>
      </c>
      <c r="J38">
        <f t="shared" si="2"/>
        <v>203</v>
      </c>
      <c r="L38">
        <f t="shared" si="3"/>
        <v>9.0624999999999997E-2</v>
      </c>
    </row>
    <row r="39" spans="1:12" x14ac:dyDescent="0.25">
      <c r="A39">
        <v>1749</v>
      </c>
      <c r="B39" t="s">
        <v>90</v>
      </c>
      <c r="C39" t="s">
        <v>76</v>
      </c>
      <c r="D39" t="s">
        <v>33</v>
      </c>
      <c r="H39">
        <v>158</v>
      </c>
      <c r="J39">
        <f t="shared" si="2"/>
        <v>158</v>
      </c>
      <c r="L39">
        <f t="shared" si="3"/>
        <v>7.0535714285714285E-2</v>
      </c>
    </row>
    <row r="40" spans="1:12" x14ac:dyDescent="0.25">
      <c r="A40">
        <v>1749</v>
      </c>
      <c r="B40" t="s">
        <v>20</v>
      </c>
      <c r="C40" t="s">
        <v>76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1749</v>
      </c>
      <c r="B41" t="s">
        <v>21</v>
      </c>
      <c r="C41" t="s">
        <v>76</v>
      </c>
      <c r="D41" t="s">
        <v>33</v>
      </c>
      <c r="J41">
        <f t="shared" si="2"/>
        <v>0</v>
      </c>
      <c r="L41">
        <f t="shared" si="3"/>
        <v>0</v>
      </c>
    </row>
    <row r="42" spans="1:12" x14ac:dyDescent="0.25">
      <c r="A42">
        <v>1749</v>
      </c>
      <c r="B42" t="s">
        <v>22</v>
      </c>
      <c r="C42" t="s">
        <v>76</v>
      </c>
      <c r="D42" t="s">
        <v>33</v>
      </c>
      <c r="J42">
        <f t="shared" si="2"/>
        <v>0</v>
      </c>
      <c r="L42">
        <f t="shared" si="3"/>
        <v>0</v>
      </c>
    </row>
    <row r="43" spans="1:12" x14ac:dyDescent="0.25">
      <c r="A43">
        <v>1749</v>
      </c>
      <c r="B43" t="s">
        <v>63</v>
      </c>
      <c r="C43" t="s">
        <v>76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1749</v>
      </c>
      <c r="B44" t="s">
        <v>64</v>
      </c>
      <c r="C44" t="s">
        <v>76</v>
      </c>
      <c r="D44" t="s">
        <v>33</v>
      </c>
      <c r="J44">
        <f t="shared" si="2"/>
        <v>0</v>
      </c>
      <c r="L44">
        <f t="shared" si="3"/>
        <v>0</v>
      </c>
    </row>
    <row r="45" spans="1:12" x14ac:dyDescent="0.25">
      <c r="A45">
        <v>1749</v>
      </c>
      <c r="B45" t="s">
        <v>65</v>
      </c>
      <c r="C45" t="s">
        <v>76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1749</v>
      </c>
      <c r="B46" t="s">
        <v>73</v>
      </c>
      <c r="C46" t="s">
        <v>76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1749</v>
      </c>
      <c r="B47" t="s">
        <v>66</v>
      </c>
      <c r="C47" t="s">
        <v>76</v>
      </c>
      <c r="D47" t="s">
        <v>33</v>
      </c>
      <c r="J47">
        <f t="shared" si="2"/>
        <v>0</v>
      </c>
      <c r="L47">
        <f t="shared" si="3"/>
        <v>0</v>
      </c>
    </row>
    <row r="48" spans="1:12" x14ac:dyDescent="0.25">
      <c r="A48">
        <v>1749</v>
      </c>
      <c r="B48" t="s">
        <v>67</v>
      </c>
      <c r="C48" t="s">
        <v>76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1749</v>
      </c>
      <c r="B49" t="s">
        <v>5</v>
      </c>
      <c r="C49" t="s">
        <v>76</v>
      </c>
      <c r="D49" t="s">
        <v>35</v>
      </c>
      <c r="J49">
        <f t="shared" si="2"/>
        <v>0</v>
      </c>
      <c r="L49">
        <f t="shared" si="3"/>
        <v>0</v>
      </c>
    </row>
    <row r="50" spans="1:12" x14ac:dyDescent="0.25">
      <c r="A50">
        <v>1749</v>
      </c>
      <c r="B50" t="s">
        <v>6</v>
      </c>
      <c r="C50" t="s">
        <v>76</v>
      </c>
      <c r="D50" t="s">
        <v>35</v>
      </c>
      <c r="F50">
        <v>5270</v>
      </c>
      <c r="G50">
        <v>2</v>
      </c>
      <c r="H50">
        <v>25</v>
      </c>
      <c r="J50">
        <f t="shared" si="2"/>
        <v>590321</v>
      </c>
      <c r="L50">
        <f t="shared" si="3"/>
        <v>263.5361607142857</v>
      </c>
    </row>
    <row r="51" spans="1:12" x14ac:dyDescent="0.25">
      <c r="A51">
        <v>1749</v>
      </c>
      <c r="B51" t="s">
        <v>7</v>
      </c>
      <c r="C51" t="s">
        <v>76</v>
      </c>
      <c r="D51" t="s">
        <v>35</v>
      </c>
      <c r="J51">
        <f t="shared" si="2"/>
        <v>0</v>
      </c>
      <c r="L51">
        <f t="shared" si="3"/>
        <v>0</v>
      </c>
    </row>
    <row r="52" spans="1:12" x14ac:dyDescent="0.25">
      <c r="A52">
        <v>1749</v>
      </c>
      <c r="B52" t="s">
        <v>8</v>
      </c>
      <c r="C52" t="s">
        <v>76</v>
      </c>
      <c r="D52" t="s">
        <v>35</v>
      </c>
      <c r="J52">
        <f t="shared" si="2"/>
        <v>0</v>
      </c>
      <c r="L52">
        <f t="shared" si="3"/>
        <v>0</v>
      </c>
    </row>
    <row r="53" spans="1:12" x14ac:dyDescent="0.25">
      <c r="A53">
        <v>1749</v>
      </c>
      <c r="B53" t="s">
        <v>9</v>
      </c>
      <c r="C53" t="s">
        <v>76</v>
      </c>
      <c r="D53" t="s">
        <v>35</v>
      </c>
      <c r="H53">
        <f>136*200</f>
        <v>27200</v>
      </c>
      <c r="I53" t="s">
        <v>149</v>
      </c>
      <c r="J53">
        <f t="shared" si="2"/>
        <v>27200</v>
      </c>
      <c r="L53">
        <f t="shared" si="3"/>
        <v>12.142857142857142</v>
      </c>
    </row>
    <row r="54" spans="1:12" x14ac:dyDescent="0.25">
      <c r="A54">
        <v>1749</v>
      </c>
      <c r="B54" t="s">
        <v>10</v>
      </c>
      <c r="C54" t="s">
        <v>76</v>
      </c>
      <c r="D54" t="s">
        <v>35</v>
      </c>
      <c r="J54">
        <f t="shared" si="2"/>
        <v>0</v>
      </c>
      <c r="L54">
        <f t="shared" si="3"/>
        <v>0</v>
      </c>
    </row>
    <row r="55" spans="1:12" x14ac:dyDescent="0.25">
      <c r="A55">
        <v>1749</v>
      </c>
      <c r="B55" t="s">
        <v>11</v>
      </c>
      <c r="C55" t="s">
        <v>76</v>
      </c>
      <c r="D55" t="s">
        <v>35</v>
      </c>
      <c r="F55">
        <v>5</v>
      </c>
      <c r="G55">
        <v>3</v>
      </c>
      <c r="H55">
        <v>8</v>
      </c>
      <c r="J55">
        <f t="shared" si="2"/>
        <v>652</v>
      </c>
      <c r="L55">
        <f t="shared" si="3"/>
        <v>0.29107142857142859</v>
      </c>
    </row>
    <row r="56" spans="1:12" x14ac:dyDescent="0.25">
      <c r="A56">
        <v>1749</v>
      </c>
      <c r="B56" t="s">
        <v>12</v>
      </c>
      <c r="C56" t="s">
        <v>76</v>
      </c>
      <c r="D56" t="s">
        <v>35</v>
      </c>
      <c r="J56">
        <f t="shared" si="2"/>
        <v>0</v>
      </c>
      <c r="L56">
        <f t="shared" si="3"/>
        <v>0</v>
      </c>
    </row>
    <row r="57" spans="1:12" x14ac:dyDescent="0.25">
      <c r="A57">
        <v>1749</v>
      </c>
      <c r="B57" t="s">
        <v>13</v>
      </c>
      <c r="C57" t="s">
        <v>76</v>
      </c>
      <c r="D57" t="s">
        <v>35</v>
      </c>
      <c r="J57">
        <f t="shared" si="2"/>
        <v>0</v>
      </c>
      <c r="L57">
        <f t="shared" si="3"/>
        <v>0</v>
      </c>
    </row>
    <row r="58" spans="1:12" x14ac:dyDescent="0.25">
      <c r="A58">
        <v>1749</v>
      </c>
      <c r="B58" t="s">
        <v>14</v>
      </c>
      <c r="C58" t="s">
        <v>76</v>
      </c>
      <c r="D58" t="s">
        <v>35</v>
      </c>
      <c r="J58">
        <f t="shared" si="2"/>
        <v>0</v>
      </c>
      <c r="L58">
        <f t="shared" si="3"/>
        <v>0</v>
      </c>
    </row>
    <row r="59" spans="1:12" x14ac:dyDescent="0.25">
      <c r="A59">
        <v>1749</v>
      </c>
      <c r="B59" t="s">
        <v>27</v>
      </c>
      <c r="C59" t="s">
        <v>76</v>
      </c>
      <c r="D59" t="s">
        <v>35</v>
      </c>
      <c r="J59">
        <f t="shared" si="2"/>
        <v>0</v>
      </c>
      <c r="L59">
        <f t="shared" si="3"/>
        <v>0</v>
      </c>
    </row>
    <row r="60" spans="1:12" x14ac:dyDescent="0.25">
      <c r="A60">
        <v>1749</v>
      </c>
      <c r="B60" t="s">
        <v>15</v>
      </c>
      <c r="C60" t="s">
        <v>76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1749</v>
      </c>
      <c r="B61" t="s">
        <v>17</v>
      </c>
      <c r="C61" t="s">
        <v>76</v>
      </c>
      <c r="D61" t="s">
        <v>35</v>
      </c>
      <c r="J61">
        <f t="shared" si="2"/>
        <v>0</v>
      </c>
      <c r="L61">
        <f t="shared" si="3"/>
        <v>0</v>
      </c>
    </row>
    <row r="62" spans="1:12" x14ac:dyDescent="0.25">
      <c r="A62">
        <v>1749</v>
      </c>
      <c r="B62" t="s">
        <v>18</v>
      </c>
      <c r="C62" t="s">
        <v>76</v>
      </c>
      <c r="D62" t="s">
        <v>35</v>
      </c>
      <c r="H62">
        <v>2631</v>
      </c>
      <c r="I62" t="s">
        <v>148</v>
      </c>
      <c r="J62">
        <f t="shared" si="2"/>
        <v>2631</v>
      </c>
      <c r="L62">
        <f t="shared" si="3"/>
        <v>1.1745535714285715</v>
      </c>
    </row>
    <row r="63" spans="1:12" x14ac:dyDescent="0.25">
      <c r="A63">
        <v>1749</v>
      </c>
      <c r="B63" t="s">
        <v>19</v>
      </c>
      <c r="C63" t="s">
        <v>76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1749</v>
      </c>
      <c r="B64" t="s">
        <v>56</v>
      </c>
      <c r="C64" t="s">
        <v>76</v>
      </c>
      <c r="D64" t="s">
        <v>35</v>
      </c>
      <c r="J64">
        <f t="shared" si="2"/>
        <v>0</v>
      </c>
      <c r="L64">
        <f t="shared" si="3"/>
        <v>0</v>
      </c>
    </row>
    <row r="65" spans="1:12" x14ac:dyDescent="0.25">
      <c r="A65">
        <v>1749</v>
      </c>
      <c r="B65" t="s">
        <v>90</v>
      </c>
      <c r="C65" t="s">
        <v>76</v>
      </c>
      <c r="D65" t="s">
        <v>35</v>
      </c>
      <c r="J65">
        <f t="shared" ref="J65:J68" si="4">(E65*2240)+(F65*112)+(G65*28)+H65</f>
        <v>0</v>
      </c>
      <c r="L65">
        <f t="shared" ref="L65:L68" si="5">J65/2240</f>
        <v>0</v>
      </c>
    </row>
    <row r="66" spans="1:12" x14ac:dyDescent="0.25">
      <c r="A66">
        <v>1749</v>
      </c>
      <c r="B66" t="s">
        <v>21</v>
      </c>
      <c r="C66" t="s">
        <v>76</v>
      </c>
      <c r="D66" t="s">
        <v>35</v>
      </c>
      <c r="J66">
        <f t="shared" si="4"/>
        <v>0</v>
      </c>
      <c r="L66">
        <f t="shared" si="5"/>
        <v>0</v>
      </c>
    </row>
    <row r="67" spans="1:12" x14ac:dyDescent="0.25">
      <c r="A67">
        <v>1749</v>
      </c>
      <c r="B67" t="s">
        <v>22</v>
      </c>
      <c r="C67" t="s">
        <v>76</v>
      </c>
      <c r="D67" t="s">
        <v>35</v>
      </c>
      <c r="J67">
        <f t="shared" si="4"/>
        <v>0</v>
      </c>
      <c r="L67">
        <f t="shared" si="5"/>
        <v>0</v>
      </c>
    </row>
    <row r="68" spans="1:12" x14ac:dyDescent="0.25">
      <c r="A68">
        <v>1749</v>
      </c>
      <c r="B68" t="s">
        <v>64</v>
      </c>
      <c r="C68" t="s">
        <v>76</v>
      </c>
      <c r="D68" t="s">
        <v>35</v>
      </c>
      <c r="E68">
        <v>13</v>
      </c>
      <c r="F68">
        <v>10</v>
      </c>
      <c r="J68">
        <f t="shared" si="4"/>
        <v>30240</v>
      </c>
      <c r="L68">
        <f t="shared" si="5"/>
        <v>13.5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2"/>
  <sheetViews>
    <sheetView topLeftCell="A22" workbookViewId="0">
      <selection activeCell="H56" sqref="H5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1749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1749</v>
      </c>
      <c r="B3" t="s">
        <v>59</v>
      </c>
      <c r="C3" t="s">
        <v>77</v>
      </c>
      <c r="D3" t="s">
        <v>33</v>
      </c>
      <c r="J3">
        <f>(E3*2240)+(F3*112)+(G3*28)+H3</f>
        <v>0</v>
      </c>
      <c r="L3">
        <f>J3/2240</f>
        <v>0</v>
      </c>
    </row>
    <row r="4" spans="1:12" x14ac:dyDescent="0.25">
      <c r="A4">
        <v>1749</v>
      </c>
      <c r="B4" t="s">
        <v>38</v>
      </c>
      <c r="C4" t="s">
        <v>77</v>
      </c>
      <c r="D4" t="s">
        <v>33</v>
      </c>
      <c r="J4">
        <f>(E4*2240)+(F4*112)+(G4*28)+H4</f>
        <v>0</v>
      </c>
      <c r="L4">
        <f>J4/2240</f>
        <v>0</v>
      </c>
    </row>
    <row r="5" spans="1:12" x14ac:dyDescent="0.25">
      <c r="A5">
        <v>1749</v>
      </c>
      <c r="B5" t="s">
        <v>4</v>
      </c>
      <c r="C5" t="s">
        <v>77</v>
      </c>
      <c r="D5" t="s">
        <v>33</v>
      </c>
      <c r="J5">
        <f>(E5*2240)+(F5*112)+(G5*28)+H5</f>
        <v>0</v>
      </c>
      <c r="L5">
        <f>J5/2240</f>
        <v>0</v>
      </c>
    </row>
    <row r="6" spans="1:12" x14ac:dyDescent="0.25">
      <c r="A6">
        <v>1749</v>
      </c>
      <c r="B6" t="s">
        <v>60</v>
      </c>
      <c r="C6" t="s">
        <v>77</v>
      </c>
      <c r="D6" t="s">
        <v>33</v>
      </c>
      <c r="J6">
        <f>(E6*2240)+(F6*112)+(G6*28)+H6</f>
        <v>0</v>
      </c>
      <c r="L6">
        <f>J6/2240</f>
        <v>0</v>
      </c>
    </row>
    <row r="7" spans="1:12" x14ac:dyDescent="0.25">
      <c r="A7">
        <v>1749</v>
      </c>
      <c r="B7" t="s">
        <v>71</v>
      </c>
      <c r="C7" t="s">
        <v>77</v>
      </c>
      <c r="D7" t="s">
        <v>33</v>
      </c>
      <c r="J7">
        <f t="shared" ref="J7:J26" si="0">(E7*2240)+(F7*112)+(G7*28)+H7</f>
        <v>0</v>
      </c>
      <c r="L7">
        <f t="shared" ref="L7:L28" si="1">J7/2240</f>
        <v>0</v>
      </c>
    </row>
    <row r="8" spans="1:12" x14ac:dyDescent="0.25">
      <c r="A8">
        <v>1749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1749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1749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1749</v>
      </c>
      <c r="B11" t="s">
        <v>6</v>
      </c>
      <c r="C11" t="s">
        <v>77</v>
      </c>
      <c r="D11" t="s">
        <v>33</v>
      </c>
      <c r="F11">
        <v>117557</v>
      </c>
      <c r="G11">
        <v>2</v>
      </c>
      <c r="H11">
        <v>17</v>
      </c>
      <c r="J11">
        <f t="shared" si="0"/>
        <v>13166457</v>
      </c>
      <c r="L11">
        <f t="shared" si="1"/>
        <v>5877.8825892857139</v>
      </c>
    </row>
    <row r="12" spans="1:12" x14ac:dyDescent="0.25">
      <c r="A12">
        <v>1749</v>
      </c>
      <c r="B12" t="s">
        <v>62</v>
      </c>
      <c r="C12" t="s">
        <v>77</v>
      </c>
      <c r="D12" t="s">
        <v>33</v>
      </c>
      <c r="H12">
        <v>1541</v>
      </c>
      <c r="J12">
        <f t="shared" si="0"/>
        <v>1541</v>
      </c>
      <c r="L12">
        <f t="shared" si="1"/>
        <v>0.68794642857142863</v>
      </c>
    </row>
    <row r="13" spans="1:12" x14ac:dyDescent="0.25">
      <c r="A13">
        <v>1749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1749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1749</v>
      </c>
      <c r="B15" t="s">
        <v>8</v>
      </c>
      <c r="C15" t="s">
        <v>77</v>
      </c>
      <c r="D15" t="s">
        <v>33</v>
      </c>
      <c r="F15">
        <v>134</v>
      </c>
      <c r="J15">
        <f t="shared" si="0"/>
        <v>15008</v>
      </c>
      <c r="L15">
        <f t="shared" si="1"/>
        <v>6.7</v>
      </c>
    </row>
    <row r="16" spans="1:12" x14ac:dyDescent="0.25">
      <c r="A16">
        <v>1749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1749</v>
      </c>
      <c r="B17" t="s">
        <v>80</v>
      </c>
      <c r="C17" t="s">
        <v>77</v>
      </c>
      <c r="D17" t="s">
        <v>33</v>
      </c>
      <c r="F17">
        <v>2</v>
      </c>
      <c r="G17">
        <v>2</v>
      </c>
    </row>
    <row r="18" spans="1:12" x14ac:dyDescent="0.25">
      <c r="A18">
        <v>1749</v>
      </c>
      <c r="B18" t="s">
        <v>99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1749</v>
      </c>
      <c r="B19" t="s">
        <v>48</v>
      </c>
      <c r="C19" t="s">
        <v>77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1749</v>
      </c>
      <c r="B20" t="s">
        <v>9</v>
      </c>
      <c r="C20" t="s">
        <v>77</v>
      </c>
      <c r="D20" t="s">
        <v>33</v>
      </c>
      <c r="H20">
        <f>420*200</f>
        <v>84000</v>
      </c>
      <c r="I20" t="s">
        <v>134</v>
      </c>
      <c r="J20">
        <f t="shared" si="0"/>
        <v>84000</v>
      </c>
      <c r="L20">
        <f t="shared" si="1"/>
        <v>37.5</v>
      </c>
    </row>
    <row r="21" spans="1:12" x14ac:dyDescent="0.25">
      <c r="A21">
        <v>1749</v>
      </c>
      <c r="B21" t="s">
        <v>10</v>
      </c>
      <c r="C21" t="s">
        <v>77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1749</v>
      </c>
      <c r="B22" t="s">
        <v>11</v>
      </c>
      <c r="C22" t="s">
        <v>77</v>
      </c>
      <c r="D22" t="s">
        <v>33</v>
      </c>
      <c r="F22">
        <v>65</v>
      </c>
      <c r="G22">
        <v>2</v>
      </c>
      <c r="H22">
        <v>14</v>
      </c>
      <c r="J22">
        <f t="shared" si="0"/>
        <v>7350</v>
      </c>
      <c r="L22">
        <f t="shared" si="1"/>
        <v>3.28125</v>
      </c>
    </row>
    <row r="23" spans="1:12" x14ac:dyDescent="0.25">
      <c r="A23">
        <v>1749</v>
      </c>
      <c r="B23" t="s">
        <v>41</v>
      </c>
      <c r="C23" t="s">
        <v>77</v>
      </c>
      <c r="D23" t="s">
        <v>33</v>
      </c>
      <c r="H23">
        <v>24</v>
      </c>
      <c r="J23">
        <f t="shared" si="0"/>
        <v>24</v>
      </c>
      <c r="L23">
        <f t="shared" si="1"/>
        <v>1.0714285714285714E-2</v>
      </c>
    </row>
    <row r="24" spans="1:12" x14ac:dyDescent="0.25">
      <c r="A24">
        <v>1749</v>
      </c>
      <c r="B24" t="s">
        <v>46</v>
      </c>
      <c r="C24" t="s">
        <v>77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1749</v>
      </c>
      <c r="B25" t="s">
        <v>12</v>
      </c>
      <c r="C25" t="s">
        <v>77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1749</v>
      </c>
      <c r="B26" t="s">
        <v>34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1749</v>
      </c>
      <c r="B27" t="s">
        <v>13</v>
      </c>
      <c r="C27" t="s">
        <v>77</v>
      </c>
      <c r="D27" t="s">
        <v>33</v>
      </c>
      <c r="E27">
        <v>60</v>
      </c>
      <c r="J27">
        <f t="shared" ref="J27:J66" si="2">(E27*2240)+(F27*112)+(G27*28)+H27</f>
        <v>134400</v>
      </c>
      <c r="L27">
        <f t="shared" si="1"/>
        <v>60</v>
      </c>
    </row>
    <row r="28" spans="1:12" x14ac:dyDescent="0.25">
      <c r="A28">
        <v>1749</v>
      </c>
      <c r="B28" t="s">
        <v>14</v>
      </c>
      <c r="C28" t="s">
        <v>77</v>
      </c>
      <c r="D28" t="s">
        <v>33</v>
      </c>
      <c r="J28">
        <f t="shared" si="2"/>
        <v>0</v>
      </c>
      <c r="L28">
        <f t="shared" si="1"/>
        <v>0</v>
      </c>
    </row>
    <row r="29" spans="1:12" x14ac:dyDescent="0.25">
      <c r="A29">
        <v>1749</v>
      </c>
      <c r="B29" t="s">
        <v>23</v>
      </c>
      <c r="C29" t="s">
        <v>77</v>
      </c>
      <c r="D29" t="s">
        <v>33</v>
      </c>
      <c r="J29">
        <f t="shared" si="2"/>
        <v>0</v>
      </c>
      <c r="L29">
        <f t="shared" ref="L29:L66" si="3">J29/2240</f>
        <v>0</v>
      </c>
    </row>
    <row r="30" spans="1:12" x14ac:dyDescent="0.25">
      <c r="A30">
        <v>1749</v>
      </c>
      <c r="B30" t="s">
        <v>27</v>
      </c>
      <c r="C30" t="s">
        <v>77</v>
      </c>
      <c r="D30" t="s">
        <v>33</v>
      </c>
      <c r="H30">
        <v>147928</v>
      </c>
      <c r="I30" t="s">
        <v>132</v>
      </c>
      <c r="J30">
        <f t="shared" si="2"/>
        <v>147928</v>
      </c>
      <c r="L30">
        <f t="shared" si="3"/>
        <v>66.039285714285711</v>
      </c>
    </row>
    <row r="31" spans="1:12" x14ac:dyDescent="0.25">
      <c r="A31">
        <v>1749</v>
      </c>
      <c r="B31" t="s">
        <v>15</v>
      </c>
      <c r="C31" t="s">
        <v>77</v>
      </c>
      <c r="D31" t="s">
        <v>33</v>
      </c>
      <c r="J31">
        <f t="shared" si="2"/>
        <v>0</v>
      </c>
      <c r="L31">
        <f t="shared" si="3"/>
        <v>0</v>
      </c>
    </row>
    <row r="32" spans="1:12" x14ac:dyDescent="0.25">
      <c r="A32">
        <v>1749</v>
      </c>
      <c r="B32" t="s">
        <v>44</v>
      </c>
      <c r="C32" t="s">
        <v>77</v>
      </c>
      <c r="D32" t="s">
        <v>33</v>
      </c>
      <c r="J32">
        <f t="shared" si="2"/>
        <v>0</v>
      </c>
      <c r="L32">
        <f t="shared" si="3"/>
        <v>0</v>
      </c>
    </row>
    <row r="33" spans="1:12" x14ac:dyDescent="0.25">
      <c r="A33">
        <v>1749</v>
      </c>
      <c r="B33" t="s">
        <v>49</v>
      </c>
      <c r="C33" t="s">
        <v>77</v>
      </c>
      <c r="D33" t="s">
        <v>33</v>
      </c>
      <c r="H33">
        <v>110</v>
      </c>
      <c r="I33" t="s">
        <v>130</v>
      </c>
      <c r="J33">
        <f t="shared" si="2"/>
        <v>110</v>
      </c>
      <c r="L33">
        <f t="shared" si="3"/>
        <v>4.9107142857142856E-2</v>
      </c>
    </row>
    <row r="34" spans="1:12" x14ac:dyDescent="0.25">
      <c r="A34">
        <v>1749</v>
      </c>
      <c r="B34" t="s">
        <v>16</v>
      </c>
      <c r="C34" t="s">
        <v>77</v>
      </c>
      <c r="D34" t="s">
        <v>33</v>
      </c>
      <c r="J34">
        <f t="shared" si="2"/>
        <v>0</v>
      </c>
      <c r="L34">
        <f t="shared" si="3"/>
        <v>0</v>
      </c>
    </row>
    <row r="35" spans="1:12" x14ac:dyDescent="0.25">
      <c r="A35">
        <v>1749</v>
      </c>
      <c r="B35" t="s">
        <v>100</v>
      </c>
      <c r="C35" t="s">
        <v>77</v>
      </c>
      <c r="D35" t="s">
        <v>33</v>
      </c>
      <c r="H35">
        <v>18765</v>
      </c>
      <c r="I35" t="s">
        <v>133</v>
      </c>
      <c r="J35">
        <f t="shared" si="2"/>
        <v>18765</v>
      </c>
      <c r="L35">
        <f t="shared" si="3"/>
        <v>8.3772321428571423</v>
      </c>
    </row>
    <row r="36" spans="1:12" x14ac:dyDescent="0.25">
      <c r="A36">
        <v>1749</v>
      </c>
      <c r="B36" t="s">
        <v>17</v>
      </c>
      <c r="C36" t="s">
        <v>77</v>
      </c>
      <c r="D36" t="s">
        <v>33</v>
      </c>
      <c r="J36">
        <f t="shared" si="2"/>
        <v>0</v>
      </c>
      <c r="L36">
        <f t="shared" si="3"/>
        <v>0</v>
      </c>
    </row>
    <row r="37" spans="1:12" x14ac:dyDescent="0.25">
      <c r="A37">
        <v>1749</v>
      </c>
      <c r="B37" t="s">
        <v>18</v>
      </c>
      <c r="C37" t="s">
        <v>77</v>
      </c>
      <c r="D37" t="s">
        <v>33</v>
      </c>
      <c r="H37">
        <v>73149</v>
      </c>
      <c r="I37" t="s">
        <v>131</v>
      </c>
      <c r="J37">
        <f t="shared" si="2"/>
        <v>73149</v>
      </c>
      <c r="L37">
        <f t="shared" si="3"/>
        <v>32.655803571428571</v>
      </c>
    </row>
    <row r="38" spans="1:12" x14ac:dyDescent="0.25">
      <c r="A38">
        <v>1749</v>
      </c>
      <c r="B38" t="s">
        <v>72</v>
      </c>
      <c r="C38" t="s">
        <v>77</v>
      </c>
      <c r="D38" t="s">
        <v>33</v>
      </c>
      <c r="J38">
        <f t="shared" si="2"/>
        <v>0</v>
      </c>
      <c r="L38">
        <f t="shared" si="3"/>
        <v>0</v>
      </c>
    </row>
    <row r="39" spans="1:12" x14ac:dyDescent="0.25">
      <c r="A39">
        <v>1749</v>
      </c>
      <c r="B39" t="s">
        <v>19</v>
      </c>
      <c r="C39" t="s">
        <v>77</v>
      </c>
      <c r="D39" t="s">
        <v>33</v>
      </c>
      <c r="J39">
        <f t="shared" si="2"/>
        <v>0</v>
      </c>
      <c r="L39">
        <f t="shared" si="3"/>
        <v>0</v>
      </c>
    </row>
    <row r="40" spans="1:12" x14ac:dyDescent="0.25">
      <c r="A40">
        <v>1749</v>
      </c>
      <c r="B40" t="s">
        <v>47</v>
      </c>
      <c r="C40" t="s">
        <v>77</v>
      </c>
      <c r="D40" t="s">
        <v>33</v>
      </c>
      <c r="J40">
        <f t="shared" si="2"/>
        <v>0</v>
      </c>
      <c r="L40">
        <f t="shared" si="3"/>
        <v>0</v>
      </c>
    </row>
    <row r="41" spans="1:12" x14ac:dyDescent="0.25">
      <c r="A41">
        <v>1749</v>
      </c>
      <c r="B41" t="s">
        <v>56</v>
      </c>
      <c r="C41" t="s">
        <v>77</v>
      </c>
      <c r="D41" t="s">
        <v>33</v>
      </c>
      <c r="H41">
        <v>725</v>
      </c>
      <c r="J41">
        <f t="shared" si="2"/>
        <v>725</v>
      </c>
      <c r="L41">
        <f t="shared" si="3"/>
        <v>0.3236607142857143</v>
      </c>
    </row>
    <row r="42" spans="1:12" x14ac:dyDescent="0.25">
      <c r="A42">
        <v>1749</v>
      </c>
      <c r="B42" t="s">
        <v>90</v>
      </c>
      <c r="C42" t="s">
        <v>77</v>
      </c>
      <c r="D42" t="s">
        <v>33</v>
      </c>
      <c r="H42">
        <v>886</v>
      </c>
      <c r="J42">
        <f t="shared" si="2"/>
        <v>886</v>
      </c>
      <c r="L42">
        <f t="shared" si="3"/>
        <v>0.39553571428571427</v>
      </c>
    </row>
    <row r="43" spans="1:12" x14ac:dyDescent="0.25">
      <c r="A43">
        <v>1749</v>
      </c>
      <c r="B43" t="s">
        <v>20</v>
      </c>
      <c r="C43" t="s">
        <v>77</v>
      </c>
      <c r="D43" t="s">
        <v>33</v>
      </c>
      <c r="J43">
        <f t="shared" si="2"/>
        <v>0</v>
      </c>
      <c r="L43">
        <f t="shared" si="3"/>
        <v>0</v>
      </c>
    </row>
    <row r="44" spans="1:12" x14ac:dyDescent="0.25">
      <c r="A44">
        <v>1749</v>
      </c>
      <c r="B44" t="s">
        <v>21</v>
      </c>
      <c r="C44" t="s">
        <v>77</v>
      </c>
      <c r="D44" t="s">
        <v>33</v>
      </c>
      <c r="H44">
        <v>352</v>
      </c>
      <c r="J44">
        <f t="shared" si="2"/>
        <v>352</v>
      </c>
      <c r="L44">
        <f t="shared" si="3"/>
        <v>0.15714285714285714</v>
      </c>
    </row>
    <row r="45" spans="1:12" x14ac:dyDescent="0.25">
      <c r="A45">
        <v>1749</v>
      </c>
      <c r="B45" t="s">
        <v>22</v>
      </c>
      <c r="C45" t="s">
        <v>77</v>
      </c>
      <c r="D45" t="s">
        <v>33</v>
      </c>
      <c r="J45">
        <f t="shared" si="2"/>
        <v>0</v>
      </c>
      <c r="L45">
        <f t="shared" si="3"/>
        <v>0</v>
      </c>
    </row>
    <row r="46" spans="1:12" x14ac:dyDescent="0.25">
      <c r="A46">
        <v>1749</v>
      </c>
      <c r="B46" t="s">
        <v>63</v>
      </c>
      <c r="C46" t="s">
        <v>77</v>
      </c>
      <c r="D46" t="s">
        <v>33</v>
      </c>
      <c r="J46">
        <f t="shared" si="2"/>
        <v>0</v>
      </c>
      <c r="L46">
        <f t="shared" si="3"/>
        <v>0</v>
      </c>
    </row>
    <row r="47" spans="1:12" x14ac:dyDescent="0.25">
      <c r="A47">
        <v>1749</v>
      </c>
      <c r="B47" t="s">
        <v>64</v>
      </c>
      <c r="C47" t="s">
        <v>77</v>
      </c>
      <c r="D47" t="s">
        <v>33</v>
      </c>
      <c r="E47">
        <v>62</v>
      </c>
      <c r="J47">
        <f t="shared" si="2"/>
        <v>138880</v>
      </c>
      <c r="L47">
        <f t="shared" si="3"/>
        <v>62</v>
      </c>
    </row>
    <row r="48" spans="1:12" x14ac:dyDescent="0.25">
      <c r="A48">
        <v>1749</v>
      </c>
      <c r="B48" t="s">
        <v>65</v>
      </c>
      <c r="C48" t="s">
        <v>77</v>
      </c>
      <c r="D48" t="s">
        <v>33</v>
      </c>
      <c r="J48">
        <f t="shared" si="2"/>
        <v>0</v>
      </c>
      <c r="L48">
        <f t="shared" si="3"/>
        <v>0</v>
      </c>
    </row>
    <row r="49" spans="1:12" x14ac:dyDescent="0.25">
      <c r="A49">
        <v>1749</v>
      </c>
      <c r="B49" t="s">
        <v>73</v>
      </c>
      <c r="C49" t="s">
        <v>77</v>
      </c>
      <c r="D49" t="s">
        <v>33</v>
      </c>
      <c r="J49">
        <f t="shared" si="2"/>
        <v>0</v>
      </c>
      <c r="L49">
        <f t="shared" si="3"/>
        <v>0</v>
      </c>
    </row>
    <row r="50" spans="1:12" x14ac:dyDescent="0.25">
      <c r="A50">
        <v>1749</v>
      </c>
      <c r="B50" t="s">
        <v>66</v>
      </c>
      <c r="C50" t="s">
        <v>77</v>
      </c>
      <c r="D50" t="s">
        <v>33</v>
      </c>
      <c r="E50">
        <v>36</v>
      </c>
      <c r="F50">
        <v>7</v>
      </c>
      <c r="G50">
        <v>2</v>
      </c>
      <c r="H50">
        <v>6</v>
      </c>
      <c r="J50">
        <f t="shared" si="2"/>
        <v>81486</v>
      </c>
      <c r="L50">
        <f t="shared" si="3"/>
        <v>36.377678571428568</v>
      </c>
    </row>
    <row r="51" spans="1:12" x14ac:dyDescent="0.25">
      <c r="A51">
        <v>1749</v>
      </c>
      <c r="B51" t="s">
        <v>67</v>
      </c>
      <c r="C51" t="s">
        <v>77</v>
      </c>
      <c r="D51" t="s">
        <v>33</v>
      </c>
      <c r="J51">
        <f t="shared" si="2"/>
        <v>0</v>
      </c>
      <c r="L51">
        <f t="shared" si="3"/>
        <v>0</v>
      </c>
    </row>
    <row r="52" spans="1:12" x14ac:dyDescent="0.25">
      <c r="A52">
        <v>1749</v>
      </c>
      <c r="B52" t="s">
        <v>6</v>
      </c>
      <c r="C52" t="s">
        <v>77</v>
      </c>
      <c r="D52" t="s">
        <v>35</v>
      </c>
      <c r="F52">
        <v>40471</v>
      </c>
      <c r="G52">
        <v>2</v>
      </c>
      <c r="H52">
        <v>2</v>
      </c>
      <c r="J52">
        <f t="shared" si="2"/>
        <v>4532810</v>
      </c>
      <c r="L52">
        <f t="shared" si="3"/>
        <v>2023.5758928571429</v>
      </c>
    </row>
    <row r="53" spans="1:12" x14ac:dyDescent="0.25">
      <c r="A53">
        <v>1749</v>
      </c>
      <c r="B53" t="s">
        <v>7</v>
      </c>
      <c r="C53" t="s">
        <v>77</v>
      </c>
      <c r="D53" t="s">
        <v>35</v>
      </c>
      <c r="J53">
        <f t="shared" si="2"/>
        <v>0</v>
      </c>
      <c r="L53">
        <f t="shared" si="3"/>
        <v>0</v>
      </c>
    </row>
    <row r="54" spans="1:12" x14ac:dyDescent="0.25">
      <c r="A54">
        <v>1749</v>
      </c>
      <c r="B54" t="s">
        <v>8</v>
      </c>
      <c r="C54" t="s">
        <v>77</v>
      </c>
      <c r="D54" t="s">
        <v>35</v>
      </c>
      <c r="F54">
        <v>12</v>
      </c>
      <c r="G54">
        <v>2</v>
      </c>
      <c r="H54">
        <v>11</v>
      </c>
      <c r="J54">
        <f t="shared" si="2"/>
        <v>1411</v>
      </c>
      <c r="L54">
        <f t="shared" si="3"/>
        <v>0.62991071428571432</v>
      </c>
    </row>
    <row r="55" spans="1:12" x14ac:dyDescent="0.25">
      <c r="A55">
        <v>1749</v>
      </c>
      <c r="B55" t="s">
        <v>9</v>
      </c>
      <c r="C55" t="s">
        <v>77</v>
      </c>
      <c r="D55" t="s">
        <v>35</v>
      </c>
      <c r="H55">
        <f>723.5*200</f>
        <v>144700</v>
      </c>
      <c r="I55" t="s">
        <v>152</v>
      </c>
      <c r="J55">
        <f t="shared" si="2"/>
        <v>144700</v>
      </c>
      <c r="L55">
        <f t="shared" si="3"/>
        <v>64.598214285714292</v>
      </c>
    </row>
    <row r="56" spans="1:12" x14ac:dyDescent="0.25">
      <c r="A56">
        <v>1749</v>
      </c>
      <c r="B56" t="s">
        <v>10</v>
      </c>
      <c r="C56" t="s">
        <v>77</v>
      </c>
      <c r="D56" t="s">
        <v>35</v>
      </c>
      <c r="J56">
        <f t="shared" si="2"/>
        <v>0</v>
      </c>
      <c r="L56">
        <f t="shared" si="3"/>
        <v>0</v>
      </c>
    </row>
    <row r="57" spans="1:12" x14ac:dyDescent="0.25">
      <c r="A57">
        <v>1749</v>
      </c>
      <c r="B57" t="s">
        <v>11</v>
      </c>
      <c r="C57" t="s">
        <v>77</v>
      </c>
      <c r="D57" t="s">
        <v>35</v>
      </c>
      <c r="F57">
        <v>123</v>
      </c>
      <c r="G57">
        <v>2</v>
      </c>
      <c r="H57">
        <v>2</v>
      </c>
      <c r="J57">
        <f t="shared" si="2"/>
        <v>13834</v>
      </c>
      <c r="L57">
        <f t="shared" si="3"/>
        <v>6.1758928571428573</v>
      </c>
    </row>
    <row r="58" spans="1:12" x14ac:dyDescent="0.25">
      <c r="A58">
        <v>1749</v>
      </c>
      <c r="B58" t="s">
        <v>12</v>
      </c>
      <c r="C58" t="s">
        <v>77</v>
      </c>
      <c r="D58" t="s">
        <v>35</v>
      </c>
      <c r="H58">
        <v>707</v>
      </c>
      <c r="J58">
        <f t="shared" si="2"/>
        <v>707</v>
      </c>
      <c r="L58">
        <f t="shared" si="3"/>
        <v>0.31562499999999999</v>
      </c>
    </row>
    <row r="59" spans="1:12" x14ac:dyDescent="0.25">
      <c r="A59">
        <v>1749</v>
      </c>
      <c r="B59" t="s">
        <v>13</v>
      </c>
      <c r="C59" t="s">
        <v>77</v>
      </c>
      <c r="D59" t="s">
        <v>35</v>
      </c>
      <c r="E59">
        <v>33</v>
      </c>
      <c r="F59">
        <v>6</v>
      </c>
      <c r="G59">
        <v>3</v>
      </c>
      <c r="J59">
        <f t="shared" si="2"/>
        <v>74676</v>
      </c>
      <c r="L59">
        <f t="shared" si="3"/>
        <v>33.337499999999999</v>
      </c>
    </row>
    <row r="60" spans="1:12" x14ac:dyDescent="0.25">
      <c r="A60">
        <v>1749</v>
      </c>
      <c r="B60" t="s">
        <v>14</v>
      </c>
      <c r="C60" t="s">
        <v>77</v>
      </c>
      <c r="D60" t="s">
        <v>35</v>
      </c>
      <c r="J60">
        <f t="shared" si="2"/>
        <v>0</v>
      </c>
      <c r="L60">
        <f t="shared" si="3"/>
        <v>0</v>
      </c>
    </row>
    <row r="61" spans="1:12" x14ac:dyDescent="0.25">
      <c r="A61">
        <v>1749</v>
      </c>
      <c r="B61" t="s">
        <v>27</v>
      </c>
      <c r="C61" t="s">
        <v>77</v>
      </c>
      <c r="D61" t="s">
        <v>35</v>
      </c>
      <c r="H61">
        <v>5571</v>
      </c>
      <c r="I61" t="s">
        <v>151</v>
      </c>
      <c r="J61">
        <f t="shared" si="2"/>
        <v>5571</v>
      </c>
      <c r="L61">
        <f t="shared" si="3"/>
        <v>2.4870535714285715</v>
      </c>
    </row>
    <row r="62" spans="1:12" x14ac:dyDescent="0.25">
      <c r="A62">
        <v>1749</v>
      </c>
      <c r="B62" t="s">
        <v>15</v>
      </c>
      <c r="C62" t="s">
        <v>77</v>
      </c>
      <c r="D62" t="s">
        <v>35</v>
      </c>
      <c r="J62">
        <f t="shared" si="2"/>
        <v>0</v>
      </c>
      <c r="L62">
        <f t="shared" si="3"/>
        <v>0</v>
      </c>
    </row>
    <row r="63" spans="1:12" x14ac:dyDescent="0.25">
      <c r="A63">
        <v>1749</v>
      </c>
      <c r="B63" t="s">
        <v>17</v>
      </c>
      <c r="C63" t="s">
        <v>77</v>
      </c>
      <c r="D63" t="s">
        <v>35</v>
      </c>
      <c r="J63">
        <f t="shared" si="2"/>
        <v>0</v>
      </c>
      <c r="L63">
        <f t="shared" si="3"/>
        <v>0</v>
      </c>
    </row>
    <row r="64" spans="1:12" x14ac:dyDescent="0.25">
      <c r="A64">
        <v>1749</v>
      </c>
      <c r="B64" t="s">
        <v>18</v>
      </c>
      <c r="C64" t="s">
        <v>77</v>
      </c>
      <c r="D64" t="s">
        <v>35</v>
      </c>
      <c r="H64">
        <v>95545</v>
      </c>
      <c r="I64" t="s">
        <v>150</v>
      </c>
      <c r="J64">
        <f t="shared" si="2"/>
        <v>95545</v>
      </c>
      <c r="L64">
        <f t="shared" si="3"/>
        <v>42.654017857142854</v>
      </c>
    </row>
    <row r="65" spans="1:12" x14ac:dyDescent="0.25">
      <c r="A65">
        <v>1749</v>
      </c>
      <c r="B65" t="s">
        <v>19</v>
      </c>
      <c r="C65" t="s">
        <v>77</v>
      </c>
      <c r="D65" t="s">
        <v>35</v>
      </c>
      <c r="F65">
        <v>14</v>
      </c>
      <c r="G65">
        <v>1</v>
      </c>
      <c r="H65">
        <v>14</v>
      </c>
      <c r="J65">
        <f t="shared" si="2"/>
        <v>1610</v>
      </c>
      <c r="L65">
        <f t="shared" si="3"/>
        <v>0.71875</v>
      </c>
    </row>
    <row r="66" spans="1:12" x14ac:dyDescent="0.25">
      <c r="A66">
        <v>1749</v>
      </c>
      <c r="B66" t="s">
        <v>56</v>
      </c>
      <c r="C66" t="s">
        <v>77</v>
      </c>
      <c r="D66" t="s">
        <v>35</v>
      </c>
      <c r="H66">
        <v>218</v>
      </c>
      <c r="J66">
        <f t="shared" si="2"/>
        <v>218</v>
      </c>
      <c r="L66">
        <f t="shared" si="3"/>
        <v>9.7321428571428573E-2</v>
      </c>
    </row>
    <row r="67" spans="1:12" x14ac:dyDescent="0.25">
      <c r="A67">
        <v>1749</v>
      </c>
      <c r="B67" t="s">
        <v>21</v>
      </c>
      <c r="C67" t="s">
        <v>77</v>
      </c>
      <c r="D67" t="s">
        <v>35</v>
      </c>
      <c r="H67">
        <v>14</v>
      </c>
      <c r="J67">
        <f t="shared" ref="J67:J72" si="4">(E67*2240)+(F67*112)+(G67*28)+H67</f>
        <v>14</v>
      </c>
      <c r="L67">
        <f t="shared" ref="L67:L72" si="5">J67/2240</f>
        <v>6.2500000000000003E-3</v>
      </c>
    </row>
    <row r="68" spans="1:12" x14ac:dyDescent="0.25">
      <c r="A68">
        <v>1749</v>
      </c>
      <c r="B68" t="s">
        <v>22</v>
      </c>
      <c r="C68" t="s">
        <v>77</v>
      </c>
      <c r="D68" t="s">
        <v>35</v>
      </c>
      <c r="J68">
        <f t="shared" si="4"/>
        <v>0</v>
      </c>
      <c r="L68">
        <f t="shared" si="5"/>
        <v>0</v>
      </c>
    </row>
    <row r="69" spans="1:12" x14ac:dyDescent="0.25">
      <c r="A69">
        <v>1749</v>
      </c>
      <c r="B69" t="s">
        <v>96</v>
      </c>
      <c r="C69" t="s">
        <v>77</v>
      </c>
      <c r="D69" t="s">
        <v>35</v>
      </c>
      <c r="F69">
        <v>42</v>
      </c>
      <c r="G69">
        <v>2</v>
      </c>
      <c r="H69">
        <v>18</v>
      </c>
      <c r="J69">
        <f t="shared" si="4"/>
        <v>4778</v>
      </c>
      <c r="L69">
        <f t="shared" si="5"/>
        <v>2.1330357142857141</v>
      </c>
    </row>
    <row r="70" spans="1:12" x14ac:dyDescent="0.25">
      <c r="A70">
        <v>1749</v>
      </c>
      <c r="B70" t="s">
        <v>64</v>
      </c>
      <c r="C70" t="s">
        <v>77</v>
      </c>
      <c r="D70" t="s">
        <v>35</v>
      </c>
      <c r="E70">
        <v>23</v>
      </c>
      <c r="F70">
        <v>15</v>
      </c>
      <c r="J70">
        <f t="shared" si="4"/>
        <v>53200</v>
      </c>
      <c r="L70">
        <f t="shared" si="5"/>
        <v>23.75</v>
      </c>
    </row>
    <row r="71" spans="1:12" x14ac:dyDescent="0.25">
      <c r="A71">
        <v>1749</v>
      </c>
      <c r="B71" t="s">
        <v>65</v>
      </c>
      <c r="C71" t="s">
        <v>77</v>
      </c>
      <c r="D71" t="s">
        <v>35</v>
      </c>
      <c r="E71">
        <v>7</v>
      </c>
      <c r="J71">
        <f t="shared" si="4"/>
        <v>15680</v>
      </c>
      <c r="L71">
        <f t="shared" si="5"/>
        <v>7</v>
      </c>
    </row>
    <row r="72" spans="1:12" x14ac:dyDescent="0.25">
      <c r="A72">
        <v>1749</v>
      </c>
      <c r="B72" t="s">
        <v>66</v>
      </c>
      <c r="C72" t="s">
        <v>77</v>
      </c>
      <c r="D72" t="s">
        <v>35</v>
      </c>
      <c r="E72">
        <v>21</v>
      </c>
      <c r="J72">
        <f t="shared" si="4"/>
        <v>47040</v>
      </c>
      <c r="L72">
        <f t="shared" si="5"/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1"/>
  <sheetViews>
    <sheetView topLeftCell="A22" workbookViewId="0">
      <selection activeCell="H56" sqref="H56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1749</v>
      </c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1749</v>
      </c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1749</v>
      </c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1749</v>
      </c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1749</v>
      </c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1749</v>
      </c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1749</v>
      </c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1749</v>
      </c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1749</v>
      </c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1749</v>
      </c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1749</v>
      </c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1749</v>
      </c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1749</v>
      </c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1749</v>
      </c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1749</v>
      </c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1749</v>
      </c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1749</v>
      </c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1749</v>
      </c>
      <c r="B19" t="s">
        <v>9</v>
      </c>
      <c r="C19" t="s">
        <v>101</v>
      </c>
      <c r="D19" t="s">
        <v>33</v>
      </c>
      <c r="H19">
        <f>348*200</f>
        <v>69600</v>
      </c>
      <c r="I19" t="s">
        <v>135</v>
      </c>
      <c r="J19">
        <f t="shared" si="0"/>
        <v>69600</v>
      </c>
      <c r="L19">
        <f t="shared" si="1"/>
        <v>31.071428571428573</v>
      </c>
    </row>
    <row r="20" spans="1:12" x14ac:dyDescent="0.25">
      <c r="A20">
        <v>1749</v>
      </c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1749</v>
      </c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1749</v>
      </c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1749</v>
      </c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1749</v>
      </c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1749</v>
      </c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1749</v>
      </c>
      <c r="B26" t="s">
        <v>13</v>
      </c>
      <c r="C26" t="s">
        <v>101</v>
      </c>
      <c r="D26" t="s">
        <v>33</v>
      </c>
      <c r="E26">
        <v>70</v>
      </c>
      <c r="J26">
        <f t="shared" si="0"/>
        <v>156800</v>
      </c>
      <c r="L26">
        <f t="shared" si="1"/>
        <v>70</v>
      </c>
    </row>
    <row r="27" spans="1:12" x14ac:dyDescent="0.25">
      <c r="A27">
        <v>1749</v>
      </c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1749</v>
      </c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1749</v>
      </c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1749</v>
      </c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1749</v>
      </c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1749</v>
      </c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1749</v>
      </c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1749</v>
      </c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1749</v>
      </c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1749</v>
      </c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1749</v>
      </c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1749</v>
      </c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1749</v>
      </c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1749</v>
      </c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1749</v>
      </c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1749</v>
      </c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1749</v>
      </c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1749</v>
      </c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1749</v>
      </c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1749</v>
      </c>
      <c r="B46" t="s">
        <v>64</v>
      </c>
      <c r="C46" t="s">
        <v>101</v>
      </c>
      <c r="D46" t="s">
        <v>33</v>
      </c>
      <c r="E46">
        <v>30</v>
      </c>
      <c r="J46">
        <f t="shared" si="0"/>
        <v>67200</v>
      </c>
      <c r="L46">
        <f t="shared" si="1"/>
        <v>30</v>
      </c>
    </row>
    <row r="47" spans="1:12" x14ac:dyDescent="0.25">
      <c r="A47">
        <v>1749</v>
      </c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1749</v>
      </c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1749</v>
      </c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1749</v>
      </c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1749</v>
      </c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1749</v>
      </c>
      <c r="B52" t="s">
        <v>6</v>
      </c>
      <c r="C52" t="s">
        <v>101</v>
      </c>
      <c r="D52" t="s">
        <v>35</v>
      </c>
      <c r="F52">
        <v>1023</v>
      </c>
      <c r="H52">
        <v>22</v>
      </c>
      <c r="J52">
        <f t="shared" si="0"/>
        <v>114598</v>
      </c>
      <c r="L52">
        <f t="shared" si="1"/>
        <v>51.159821428571426</v>
      </c>
    </row>
    <row r="53" spans="1:12" x14ac:dyDescent="0.25">
      <c r="A53">
        <v>1749</v>
      </c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1749</v>
      </c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1749</v>
      </c>
      <c r="B55" t="s">
        <v>9</v>
      </c>
      <c r="C55" t="s">
        <v>101</v>
      </c>
      <c r="D55" t="s">
        <v>35</v>
      </c>
      <c r="H55">
        <f>318*200</f>
        <v>63600</v>
      </c>
      <c r="I55" t="s">
        <v>154</v>
      </c>
      <c r="J55">
        <f>(E55*2240)+(F55*112)+(G55*28)+H55</f>
        <v>63600</v>
      </c>
      <c r="L55">
        <f t="shared" si="1"/>
        <v>28.392857142857142</v>
      </c>
    </row>
    <row r="56" spans="1:12" x14ac:dyDescent="0.25">
      <c r="A56">
        <v>1749</v>
      </c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1:12" x14ac:dyDescent="0.25">
      <c r="A57">
        <v>1749</v>
      </c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1749</v>
      </c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1749</v>
      </c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1749</v>
      </c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1749</v>
      </c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1749</v>
      </c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1749</v>
      </c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1749</v>
      </c>
      <c r="B64" t="s">
        <v>18</v>
      </c>
      <c r="C64" t="s">
        <v>101</v>
      </c>
      <c r="D64" t="s">
        <v>35</v>
      </c>
      <c r="H64">
        <v>450</v>
      </c>
      <c r="I64" t="s">
        <v>153</v>
      </c>
      <c r="J64">
        <f t="shared" si="0"/>
        <v>450</v>
      </c>
      <c r="L64">
        <f t="shared" si="1"/>
        <v>0.20089285714285715</v>
      </c>
    </row>
    <row r="65" spans="1:12" x14ac:dyDescent="0.25">
      <c r="A65">
        <v>1749</v>
      </c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1749</v>
      </c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1749</v>
      </c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1749</v>
      </c>
      <c r="B68" t="s">
        <v>22</v>
      </c>
      <c r="C68" t="s">
        <v>101</v>
      </c>
      <c r="D68" t="s">
        <v>35</v>
      </c>
      <c r="J68">
        <f t="shared" ref="J68:J71" si="2">(E68*2240)+(F68*112)+(G68*28)+H68</f>
        <v>0</v>
      </c>
      <c r="L68">
        <f t="shared" ref="L68:L71" si="3">J68/2240</f>
        <v>0</v>
      </c>
    </row>
    <row r="69" spans="1:12" x14ac:dyDescent="0.25">
      <c r="A69">
        <v>1749</v>
      </c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1749</v>
      </c>
      <c r="B70" t="s">
        <v>93</v>
      </c>
      <c r="C70" t="s">
        <v>101</v>
      </c>
      <c r="D70" t="s">
        <v>35</v>
      </c>
      <c r="E70">
        <v>8</v>
      </c>
      <c r="J70">
        <f t="shared" si="2"/>
        <v>17920</v>
      </c>
      <c r="L70">
        <f t="shared" si="3"/>
        <v>8</v>
      </c>
    </row>
    <row r="71" spans="1:12" x14ac:dyDescent="0.25">
      <c r="A71">
        <v>1749</v>
      </c>
      <c r="B71" t="s">
        <v>66</v>
      </c>
      <c r="C71" t="s">
        <v>101</v>
      </c>
      <c r="D71" t="s">
        <v>35</v>
      </c>
      <c r="J71">
        <f t="shared" si="2"/>
        <v>0</v>
      </c>
      <c r="L71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2025-04-29T19:26:07Z</dcterms:modified>
</cp:coreProperties>
</file>