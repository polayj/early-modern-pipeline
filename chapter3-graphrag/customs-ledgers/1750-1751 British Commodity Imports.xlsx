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askca1-my.sharepoint.com/personal/lks029_usask_ca/Documents/CommodityImports/"/>
    </mc:Choice>
  </mc:AlternateContent>
  <xr:revisionPtr revIDLastSave="526" documentId="8_{56DC7AEA-7AEE-45EE-AD8B-2A64B9FBD629}" xr6:coauthVersionLast="47" xr6:coauthVersionMax="47" xr10:uidLastSave="{8E890862-8070-4CB4-9A74-48D73DBFEE7B}"/>
  <bookViews>
    <workbookView xWindow="-120" yWindow="-120" windowWidth="29040" windowHeight="15840" xr2:uid="{DA50CDB8-E080-44E0-917E-86E1EE5F77DD}"/>
  </bookViews>
  <sheets>
    <sheet name="Master Goods Sheet" sheetId="1" r:id="rId1"/>
    <sheet name="Anguilla" sheetId="9" r:id="rId2"/>
    <sheet name="Antigua" sheetId="2" r:id="rId3"/>
    <sheet name="Barbados" sheetId="3" r:id="rId4"/>
    <sheet name="Bermuda" sheetId="4" r:id="rId5"/>
    <sheet name="Jamaica" sheetId="5" r:id="rId6"/>
    <sheet name="Mountserat" sheetId="6" r:id="rId7"/>
    <sheet name="Nevis" sheetId="7" r:id="rId8"/>
    <sheet name="St Kitts" sheetId="8" r:id="rId9"/>
    <sheet name="Tortola" sheetId="10" r:id="rId10"/>
    <sheet name="WestIndiesGeneral" sheetId="11" r:id="rId11"/>
  </sheets>
  <definedNames>
    <definedName name="_xlnm._FilterDatabase" localSheetId="3" hidden="1">Barbados!$A$1:$N$54</definedName>
    <definedName name="_xlnm._FilterDatabase" localSheetId="5" hidden="1">Jamaica!$A$1:$O$62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3" i="10" l="1"/>
  <c r="H22" i="10"/>
  <c r="H86" i="8"/>
  <c r="H23" i="8"/>
  <c r="H83" i="7"/>
  <c r="H22" i="7"/>
  <c r="H83" i="6"/>
  <c r="H22" i="6"/>
  <c r="H87" i="5"/>
  <c r="H24" i="5"/>
  <c r="H5" i="4"/>
  <c r="H66" i="3"/>
  <c r="H18" i="3"/>
  <c r="H86" i="2"/>
  <c r="H23" i="2"/>
  <c r="L66" i="8"/>
  <c r="J66" i="8"/>
  <c r="L95" i="3"/>
  <c r="J95" i="3"/>
  <c r="J56" i="8"/>
  <c r="L56" i="8" s="1"/>
  <c r="J2" i="8"/>
  <c r="L2" i="8" s="1"/>
  <c r="L8" i="5"/>
  <c r="J8" i="5"/>
  <c r="L18" i="4"/>
  <c r="J18" i="4"/>
  <c r="J18" i="3"/>
  <c r="L18" i="3" s="1"/>
  <c r="L45" i="3"/>
  <c r="J45" i="3"/>
  <c r="L57" i="2"/>
  <c r="J57" i="2"/>
  <c r="J119" i="5"/>
  <c r="L119" i="5" s="1"/>
  <c r="J73" i="5"/>
  <c r="L73" i="5" s="1"/>
  <c r="J83" i="3"/>
  <c r="L83" i="3" s="1"/>
  <c r="J118" i="2"/>
  <c r="L118" i="2" s="1"/>
  <c r="L54" i="11"/>
  <c r="J54" i="11"/>
  <c r="J10" i="11"/>
  <c r="L10" i="11" s="1"/>
  <c r="J55" i="5"/>
  <c r="L55" i="5" s="1"/>
  <c r="J9" i="5"/>
  <c r="L9" i="5" s="1"/>
  <c r="J14" i="4"/>
  <c r="L14" i="4" s="1"/>
  <c r="J16" i="4"/>
  <c r="L16" i="4" s="1"/>
  <c r="J12" i="4"/>
  <c r="L12" i="4" s="1"/>
  <c r="J9" i="4"/>
  <c r="L9" i="4" s="1"/>
  <c r="J6" i="4"/>
  <c r="L6" i="4" s="1"/>
  <c r="J22" i="3"/>
  <c r="L22" i="3" s="1"/>
  <c r="J29" i="2"/>
  <c r="L29" i="2" s="1"/>
  <c r="J8" i="2"/>
  <c r="L8" i="2" s="1"/>
  <c r="C23" i="1"/>
  <c r="C24" i="1"/>
  <c r="B23" i="1"/>
  <c r="B24" i="1"/>
  <c r="J128" i="11"/>
  <c r="L128" i="11" s="1"/>
  <c r="J127" i="11"/>
  <c r="L127" i="11" s="1"/>
  <c r="J126" i="11"/>
  <c r="L126" i="11" s="1"/>
  <c r="J125" i="11"/>
  <c r="L125" i="11" s="1"/>
  <c r="J124" i="11"/>
  <c r="L124" i="11" s="1"/>
  <c r="J123" i="11"/>
  <c r="L123" i="11" s="1"/>
  <c r="J122" i="11"/>
  <c r="L122" i="11" s="1"/>
  <c r="J121" i="11"/>
  <c r="L121" i="11" s="1"/>
  <c r="J120" i="11"/>
  <c r="L120" i="11" s="1"/>
  <c r="J119" i="11"/>
  <c r="L119" i="11" s="1"/>
  <c r="J118" i="11"/>
  <c r="L118" i="11" s="1"/>
  <c r="J117" i="11"/>
  <c r="L117" i="11" s="1"/>
  <c r="J116" i="11"/>
  <c r="L116" i="11" s="1"/>
  <c r="J115" i="11"/>
  <c r="L115" i="11" s="1"/>
  <c r="J114" i="11"/>
  <c r="L114" i="11" s="1"/>
  <c r="J113" i="11"/>
  <c r="L113" i="11" s="1"/>
  <c r="J112" i="11"/>
  <c r="L112" i="11" s="1"/>
  <c r="J111" i="11"/>
  <c r="L111" i="11" s="1"/>
  <c r="J110" i="11"/>
  <c r="L110" i="11" s="1"/>
  <c r="J109" i="11"/>
  <c r="L109" i="11" s="1"/>
  <c r="J108" i="11"/>
  <c r="L108" i="11" s="1"/>
  <c r="J107" i="11"/>
  <c r="L107" i="11" s="1"/>
  <c r="J106" i="11"/>
  <c r="L106" i="11" s="1"/>
  <c r="J105" i="11"/>
  <c r="L105" i="11" s="1"/>
  <c r="J104" i="11"/>
  <c r="L104" i="11" s="1"/>
  <c r="J103" i="11"/>
  <c r="L103" i="11" s="1"/>
  <c r="J102" i="11"/>
  <c r="L102" i="11" s="1"/>
  <c r="J101" i="11"/>
  <c r="L101" i="11" s="1"/>
  <c r="J100" i="11"/>
  <c r="L100" i="11" s="1"/>
  <c r="J99" i="11"/>
  <c r="L99" i="11" s="1"/>
  <c r="J98" i="11"/>
  <c r="L98" i="11" s="1"/>
  <c r="J97" i="11"/>
  <c r="L97" i="11" s="1"/>
  <c r="J96" i="11"/>
  <c r="L96" i="11" s="1"/>
  <c r="J95" i="11"/>
  <c r="L95" i="11" s="1"/>
  <c r="J94" i="11"/>
  <c r="L94" i="11" s="1"/>
  <c r="J93" i="11"/>
  <c r="L93" i="11" s="1"/>
  <c r="J92" i="11"/>
  <c r="L92" i="11" s="1"/>
  <c r="J91" i="11"/>
  <c r="L91" i="11" s="1"/>
  <c r="J90" i="11"/>
  <c r="L90" i="11" s="1"/>
  <c r="J89" i="11"/>
  <c r="L89" i="11" s="1"/>
  <c r="J88" i="11"/>
  <c r="L88" i="11" s="1"/>
  <c r="J87" i="11"/>
  <c r="L87" i="11" s="1"/>
  <c r="J86" i="11"/>
  <c r="L86" i="11" s="1"/>
  <c r="J85" i="11"/>
  <c r="L85" i="11" s="1"/>
  <c r="J84" i="11"/>
  <c r="L84" i="11" s="1"/>
  <c r="J83" i="11"/>
  <c r="L83" i="11" s="1"/>
  <c r="J82" i="11"/>
  <c r="L82" i="11" s="1"/>
  <c r="J81" i="11"/>
  <c r="L81" i="11" s="1"/>
  <c r="J80" i="11"/>
  <c r="L80" i="11" s="1"/>
  <c r="J79" i="11"/>
  <c r="L79" i="11" s="1"/>
  <c r="J78" i="11"/>
  <c r="L78" i="11" s="1"/>
  <c r="J77" i="11"/>
  <c r="L77" i="11" s="1"/>
  <c r="J76" i="11"/>
  <c r="L76" i="11" s="1"/>
  <c r="J75" i="11"/>
  <c r="L75" i="11" s="1"/>
  <c r="J74" i="11"/>
  <c r="L74" i="11" s="1"/>
  <c r="J73" i="11"/>
  <c r="L73" i="11" s="1"/>
  <c r="J72" i="11"/>
  <c r="L72" i="11" s="1"/>
  <c r="J71" i="11"/>
  <c r="L71" i="11" s="1"/>
  <c r="J70" i="11"/>
  <c r="L70" i="11" s="1"/>
  <c r="J69" i="11"/>
  <c r="L69" i="11" s="1"/>
  <c r="J68" i="11"/>
  <c r="L68" i="11" s="1"/>
  <c r="J67" i="11"/>
  <c r="L67" i="11" s="1"/>
  <c r="J66" i="11"/>
  <c r="L66" i="11" s="1"/>
  <c r="J65" i="11"/>
  <c r="L65" i="11" s="1"/>
  <c r="J64" i="11"/>
  <c r="L64" i="11" s="1"/>
  <c r="J63" i="11"/>
  <c r="L63" i="11" s="1"/>
  <c r="J62" i="11"/>
  <c r="L62" i="11" s="1"/>
  <c r="J61" i="11"/>
  <c r="L61" i="11" s="1"/>
  <c r="J60" i="11"/>
  <c r="L60" i="11" s="1"/>
  <c r="J59" i="11"/>
  <c r="L59" i="11" s="1"/>
  <c r="J58" i="11"/>
  <c r="L58" i="11" s="1"/>
  <c r="J57" i="11"/>
  <c r="L57" i="11" s="1"/>
  <c r="J56" i="11"/>
  <c r="L56" i="11" s="1"/>
  <c r="J55" i="11"/>
  <c r="L55" i="11" s="1"/>
  <c r="J53" i="11"/>
  <c r="L53" i="11" s="1"/>
  <c r="J52" i="11"/>
  <c r="L52" i="11" s="1"/>
  <c r="J51" i="11"/>
  <c r="L51" i="11" s="1"/>
  <c r="J50" i="11"/>
  <c r="L50" i="11" s="1"/>
  <c r="J49" i="11"/>
  <c r="L49" i="11" s="1"/>
  <c r="J48" i="11"/>
  <c r="L48" i="11" s="1"/>
  <c r="J47" i="11"/>
  <c r="L47" i="11" s="1"/>
  <c r="J46" i="11"/>
  <c r="L46" i="11" s="1"/>
  <c r="J45" i="11"/>
  <c r="L45" i="11" s="1"/>
  <c r="J44" i="11"/>
  <c r="L44" i="11" s="1"/>
  <c r="J43" i="11"/>
  <c r="L43" i="11" s="1"/>
  <c r="J42" i="11"/>
  <c r="L42" i="11" s="1"/>
  <c r="J41" i="11"/>
  <c r="L41" i="11" s="1"/>
  <c r="J40" i="11"/>
  <c r="L40" i="11" s="1"/>
  <c r="J39" i="11"/>
  <c r="L39" i="11" s="1"/>
  <c r="J38" i="11"/>
  <c r="L38" i="11" s="1"/>
  <c r="J37" i="11"/>
  <c r="L37" i="11" s="1"/>
  <c r="J36" i="11"/>
  <c r="L36" i="11" s="1"/>
  <c r="J35" i="11"/>
  <c r="L35" i="11" s="1"/>
  <c r="J34" i="11"/>
  <c r="L34" i="11" s="1"/>
  <c r="J33" i="11"/>
  <c r="L33" i="11" s="1"/>
  <c r="J32" i="11"/>
  <c r="L32" i="11" s="1"/>
  <c r="J31" i="11"/>
  <c r="L31" i="11" s="1"/>
  <c r="J30" i="11"/>
  <c r="L30" i="11" s="1"/>
  <c r="J29" i="11"/>
  <c r="L29" i="11" s="1"/>
  <c r="J28" i="11"/>
  <c r="L28" i="11" s="1"/>
  <c r="J27" i="11"/>
  <c r="L27" i="11" s="1"/>
  <c r="J26" i="11"/>
  <c r="L26" i="11" s="1"/>
  <c r="J25" i="11"/>
  <c r="L25" i="11" s="1"/>
  <c r="J24" i="11"/>
  <c r="L24" i="11" s="1"/>
  <c r="J23" i="11"/>
  <c r="L23" i="11" s="1"/>
  <c r="J22" i="11"/>
  <c r="L22" i="11" s="1"/>
  <c r="J21" i="11"/>
  <c r="L21" i="11" s="1"/>
  <c r="J20" i="11"/>
  <c r="L20" i="11" s="1"/>
  <c r="J19" i="11"/>
  <c r="L19" i="11" s="1"/>
  <c r="J18" i="11"/>
  <c r="L18" i="11" s="1"/>
  <c r="J17" i="11"/>
  <c r="L17" i="11" s="1"/>
  <c r="J16" i="11"/>
  <c r="L16" i="11" s="1"/>
  <c r="J15" i="11"/>
  <c r="L15" i="11" s="1"/>
  <c r="J14" i="11"/>
  <c r="L14" i="11" s="1"/>
  <c r="J13" i="11"/>
  <c r="L13" i="11" s="1"/>
  <c r="J12" i="11"/>
  <c r="L12" i="11" s="1"/>
  <c r="J11" i="11"/>
  <c r="L11" i="11" s="1"/>
  <c r="J9" i="11"/>
  <c r="L9" i="11" s="1"/>
  <c r="J8" i="11"/>
  <c r="L8" i="11" s="1"/>
  <c r="J7" i="11"/>
  <c r="L7" i="11" s="1"/>
  <c r="J6" i="11"/>
  <c r="L6" i="11" s="1"/>
  <c r="J5" i="11"/>
  <c r="L5" i="11" s="1"/>
  <c r="J4" i="11"/>
  <c r="L4" i="11" s="1"/>
  <c r="J3" i="11"/>
  <c r="L3" i="11" s="1"/>
  <c r="J2" i="11"/>
  <c r="L2" i="11" s="1"/>
  <c r="J126" i="10"/>
  <c r="L126" i="10" s="1"/>
  <c r="J125" i="10"/>
  <c r="L125" i="10" s="1"/>
  <c r="L124" i="10"/>
  <c r="J124" i="10"/>
  <c r="J123" i="10"/>
  <c r="L123" i="10" s="1"/>
  <c r="J122" i="10"/>
  <c r="L122" i="10" s="1"/>
  <c r="J121" i="10"/>
  <c r="L121" i="10" s="1"/>
  <c r="J120" i="10"/>
  <c r="L120" i="10" s="1"/>
  <c r="J119" i="10"/>
  <c r="L119" i="10" s="1"/>
  <c r="J118" i="10"/>
  <c r="L118" i="10" s="1"/>
  <c r="J117" i="10"/>
  <c r="L117" i="10" s="1"/>
  <c r="J116" i="10"/>
  <c r="L116" i="10" s="1"/>
  <c r="J115" i="10"/>
  <c r="L115" i="10" s="1"/>
  <c r="J114" i="10"/>
  <c r="L114" i="10" s="1"/>
  <c r="J113" i="10"/>
  <c r="L113" i="10" s="1"/>
  <c r="L112" i="10"/>
  <c r="J112" i="10"/>
  <c r="J111" i="10"/>
  <c r="L111" i="10" s="1"/>
  <c r="J110" i="10"/>
  <c r="L110" i="10" s="1"/>
  <c r="J109" i="10"/>
  <c r="L109" i="10" s="1"/>
  <c r="J108" i="10"/>
  <c r="L108" i="10" s="1"/>
  <c r="J107" i="10"/>
  <c r="L107" i="10" s="1"/>
  <c r="J106" i="10"/>
  <c r="L106" i="10" s="1"/>
  <c r="J105" i="10"/>
  <c r="L105" i="10" s="1"/>
  <c r="L104" i="10"/>
  <c r="J104" i="10"/>
  <c r="J103" i="10"/>
  <c r="L103" i="10" s="1"/>
  <c r="J102" i="10"/>
  <c r="L102" i="10" s="1"/>
  <c r="J101" i="10"/>
  <c r="L101" i="10" s="1"/>
  <c r="L100" i="10"/>
  <c r="J100" i="10"/>
  <c r="J99" i="10"/>
  <c r="L99" i="10" s="1"/>
  <c r="J98" i="10"/>
  <c r="L98" i="10" s="1"/>
  <c r="J97" i="10"/>
  <c r="L97" i="10" s="1"/>
  <c r="L96" i="10"/>
  <c r="J96" i="10"/>
  <c r="J95" i="10"/>
  <c r="L95" i="10" s="1"/>
  <c r="J94" i="10"/>
  <c r="L94" i="10" s="1"/>
  <c r="J93" i="10"/>
  <c r="L93" i="10" s="1"/>
  <c r="L92" i="10"/>
  <c r="J92" i="10"/>
  <c r="J91" i="10"/>
  <c r="L91" i="10" s="1"/>
  <c r="J90" i="10"/>
  <c r="L90" i="10" s="1"/>
  <c r="J89" i="10"/>
  <c r="L89" i="10" s="1"/>
  <c r="L88" i="10"/>
  <c r="J88" i="10"/>
  <c r="J87" i="10"/>
  <c r="L87" i="10" s="1"/>
  <c r="J86" i="10"/>
  <c r="L86" i="10" s="1"/>
  <c r="J85" i="10"/>
  <c r="L85" i="10" s="1"/>
  <c r="L84" i="10"/>
  <c r="J84" i="10"/>
  <c r="J83" i="10"/>
  <c r="L83" i="10" s="1"/>
  <c r="J82" i="10"/>
  <c r="L82" i="10" s="1"/>
  <c r="J81" i="10"/>
  <c r="L81" i="10" s="1"/>
  <c r="L80" i="10"/>
  <c r="J80" i="10"/>
  <c r="J79" i="10"/>
  <c r="L79" i="10" s="1"/>
  <c r="J78" i="10"/>
  <c r="L78" i="10" s="1"/>
  <c r="J77" i="10"/>
  <c r="L77" i="10" s="1"/>
  <c r="L76" i="10"/>
  <c r="J76" i="10"/>
  <c r="J75" i="10"/>
  <c r="L75" i="10" s="1"/>
  <c r="J74" i="10"/>
  <c r="L74" i="10" s="1"/>
  <c r="J73" i="10"/>
  <c r="L73" i="10" s="1"/>
  <c r="L72" i="10"/>
  <c r="J72" i="10"/>
  <c r="J71" i="10"/>
  <c r="L71" i="10" s="1"/>
  <c r="J70" i="10"/>
  <c r="L70" i="10" s="1"/>
  <c r="J69" i="10"/>
  <c r="L69" i="10" s="1"/>
  <c r="L68" i="10"/>
  <c r="J68" i="10"/>
  <c r="J67" i="10"/>
  <c r="L67" i="10" s="1"/>
  <c r="J66" i="10"/>
  <c r="L66" i="10" s="1"/>
  <c r="J65" i="10"/>
  <c r="L65" i="10" s="1"/>
  <c r="L64" i="10"/>
  <c r="J64" i="10"/>
  <c r="J63" i="10"/>
  <c r="L63" i="10" s="1"/>
  <c r="J62" i="10"/>
  <c r="L62" i="10" s="1"/>
  <c r="J61" i="10"/>
  <c r="L61" i="10" s="1"/>
  <c r="L60" i="10"/>
  <c r="J60" i="10"/>
  <c r="J59" i="10"/>
  <c r="L59" i="10" s="1"/>
  <c r="J58" i="10"/>
  <c r="L58" i="10" s="1"/>
  <c r="J57" i="10"/>
  <c r="L57" i="10" s="1"/>
  <c r="J56" i="10"/>
  <c r="L56" i="10" s="1"/>
  <c r="J55" i="10"/>
  <c r="L55" i="10" s="1"/>
  <c r="J54" i="10"/>
  <c r="L54" i="10" s="1"/>
  <c r="J53" i="10"/>
  <c r="L53" i="10" s="1"/>
  <c r="L52" i="10"/>
  <c r="J52" i="10"/>
  <c r="J51" i="10"/>
  <c r="L51" i="10" s="1"/>
  <c r="J50" i="10"/>
  <c r="L50" i="10" s="1"/>
  <c r="J49" i="10"/>
  <c r="L49" i="10" s="1"/>
  <c r="L48" i="10"/>
  <c r="J48" i="10"/>
  <c r="J47" i="10"/>
  <c r="L47" i="10" s="1"/>
  <c r="J46" i="10"/>
  <c r="L46" i="10" s="1"/>
  <c r="J45" i="10"/>
  <c r="L45" i="10" s="1"/>
  <c r="L44" i="10"/>
  <c r="J44" i="10"/>
  <c r="J43" i="10"/>
  <c r="L43" i="10" s="1"/>
  <c r="J42" i="10"/>
  <c r="L42" i="10" s="1"/>
  <c r="J41" i="10"/>
  <c r="L41" i="10" s="1"/>
  <c r="L40" i="10"/>
  <c r="J40" i="10"/>
  <c r="J39" i="10"/>
  <c r="L39" i="10" s="1"/>
  <c r="J38" i="10"/>
  <c r="L38" i="10" s="1"/>
  <c r="J37" i="10"/>
  <c r="L37" i="10" s="1"/>
  <c r="L36" i="10"/>
  <c r="J36" i="10"/>
  <c r="J35" i="10"/>
  <c r="L35" i="10" s="1"/>
  <c r="J34" i="10"/>
  <c r="L34" i="10" s="1"/>
  <c r="J33" i="10"/>
  <c r="L33" i="10" s="1"/>
  <c r="L32" i="10"/>
  <c r="J32" i="10"/>
  <c r="J31" i="10"/>
  <c r="L31" i="10" s="1"/>
  <c r="J30" i="10"/>
  <c r="L30" i="10" s="1"/>
  <c r="J29" i="10"/>
  <c r="L29" i="10" s="1"/>
  <c r="L28" i="10"/>
  <c r="J28" i="10"/>
  <c r="J27" i="10"/>
  <c r="L27" i="10" s="1"/>
  <c r="J26" i="10"/>
  <c r="L26" i="10" s="1"/>
  <c r="J25" i="10"/>
  <c r="L25" i="10" s="1"/>
  <c r="L24" i="10"/>
  <c r="J24" i="10"/>
  <c r="J23" i="10"/>
  <c r="L23" i="10" s="1"/>
  <c r="J22" i="10"/>
  <c r="L22" i="10" s="1"/>
  <c r="J21" i="10"/>
  <c r="L21" i="10" s="1"/>
  <c r="L20" i="10"/>
  <c r="J20" i="10"/>
  <c r="J19" i="10"/>
  <c r="L19" i="10" s="1"/>
  <c r="J18" i="10"/>
  <c r="L18" i="10" s="1"/>
  <c r="J17" i="10"/>
  <c r="L17" i="10" s="1"/>
  <c r="L16" i="10"/>
  <c r="J16" i="10"/>
  <c r="J15" i="10"/>
  <c r="L15" i="10" s="1"/>
  <c r="J14" i="10"/>
  <c r="L14" i="10" s="1"/>
  <c r="J13" i="10"/>
  <c r="L13" i="10" s="1"/>
  <c r="J12" i="10"/>
  <c r="L12" i="10" s="1"/>
  <c r="J11" i="10"/>
  <c r="L11" i="10" s="1"/>
  <c r="J10" i="10"/>
  <c r="L10" i="10" s="1"/>
  <c r="J9" i="10"/>
  <c r="L9" i="10" s="1"/>
  <c r="L8" i="10"/>
  <c r="J8" i="10"/>
  <c r="J7" i="10"/>
  <c r="L7" i="10" s="1"/>
  <c r="J6" i="10"/>
  <c r="L6" i="10" s="1"/>
  <c r="J5" i="10"/>
  <c r="L5" i="10" s="1"/>
  <c r="L4" i="10"/>
  <c r="J4" i="10"/>
  <c r="J3" i="10"/>
  <c r="L3" i="10" s="1"/>
  <c r="J2" i="10"/>
  <c r="L2" i="10" s="1"/>
  <c r="J129" i="8"/>
  <c r="L129" i="8" s="1"/>
  <c r="J128" i="8"/>
  <c r="L128" i="8" s="1"/>
  <c r="J127" i="8"/>
  <c r="L127" i="8" s="1"/>
  <c r="J126" i="8"/>
  <c r="L126" i="8" s="1"/>
  <c r="J125" i="8"/>
  <c r="L125" i="8" s="1"/>
  <c r="J124" i="8"/>
  <c r="L124" i="8" s="1"/>
  <c r="J123" i="8"/>
  <c r="L123" i="8" s="1"/>
  <c r="J122" i="8"/>
  <c r="L122" i="8" s="1"/>
  <c r="J121" i="8"/>
  <c r="L121" i="8" s="1"/>
  <c r="J120" i="8"/>
  <c r="L120" i="8" s="1"/>
  <c r="J119" i="8"/>
  <c r="L119" i="8" s="1"/>
  <c r="J118" i="8"/>
  <c r="L118" i="8" s="1"/>
  <c r="J117" i="8"/>
  <c r="L117" i="8" s="1"/>
  <c r="J116" i="8"/>
  <c r="L116" i="8" s="1"/>
  <c r="J115" i="8"/>
  <c r="L115" i="8" s="1"/>
  <c r="J114" i="8"/>
  <c r="L114" i="8" s="1"/>
  <c r="J113" i="8"/>
  <c r="L113" i="8" s="1"/>
  <c r="J112" i="8"/>
  <c r="L112" i="8" s="1"/>
  <c r="J111" i="8"/>
  <c r="L111" i="8" s="1"/>
  <c r="J110" i="8"/>
  <c r="L110" i="8" s="1"/>
  <c r="J109" i="8"/>
  <c r="L109" i="8" s="1"/>
  <c r="J108" i="8"/>
  <c r="L108" i="8" s="1"/>
  <c r="J107" i="8"/>
  <c r="L107" i="8" s="1"/>
  <c r="J106" i="8"/>
  <c r="L106" i="8" s="1"/>
  <c r="J105" i="8"/>
  <c r="L105" i="8" s="1"/>
  <c r="J104" i="8"/>
  <c r="L104" i="8" s="1"/>
  <c r="J103" i="8"/>
  <c r="L103" i="8" s="1"/>
  <c r="J102" i="8"/>
  <c r="L102" i="8" s="1"/>
  <c r="J101" i="8"/>
  <c r="L101" i="8" s="1"/>
  <c r="J100" i="8"/>
  <c r="L100" i="8" s="1"/>
  <c r="J99" i="8"/>
  <c r="L99" i="8" s="1"/>
  <c r="J98" i="8"/>
  <c r="L98" i="8" s="1"/>
  <c r="J97" i="8"/>
  <c r="L97" i="8" s="1"/>
  <c r="J96" i="8"/>
  <c r="L96" i="8" s="1"/>
  <c r="J95" i="8"/>
  <c r="L95" i="8" s="1"/>
  <c r="J94" i="8"/>
  <c r="L94" i="8" s="1"/>
  <c r="J93" i="8"/>
  <c r="L93" i="8" s="1"/>
  <c r="J92" i="8"/>
  <c r="L92" i="8" s="1"/>
  <c r="J91" i="8"/>
  <c r="L91" i="8" s="1"/>
  <c r="J90" i="8"/>
  <c r="L90" i="8" s="1"/>
  <c r="J89" i="8"/>
  <c r="L89" i="8" s="1"/>
  <c r="J88" i="8"/>
  <c r="L88" i="8" s="1"/>
  <c r="J87" i="8"/>
  <c r="L87" i="8" s="1"/>
  <c r="J86" i="8"/>
  <c r="L86" i="8" s="1"/>
  <c r="J85" i="8"/>
  <c r="L85" i="8" s="1"/>
  <c r="J84" i="8"/>
  <c r="L84" i="8" s="1"/>
  <c r="J83" i="8"/>
  <c r="L83" i="8" s="1"/>
  <c r="J82" i="8"/>
  <c r="L82" i="8" s="1"/>
  <c r="J81" i="8"/>
  <c r="L81" i="8" s="1"/>
  <c r="J80" i="8"/>
  <c r="L80" i="8" s="1"/>
  <c r="J79" i="8"/>
  <c r="L79" i="8" s="1"/>
  <c r="J78" i="8"/>
  <c r="L78" i="8" s="1"/>
  <c r="J77" i="8"/>
  <c r="L77" i="8" s="1"/>
  <c r="J76" i="8"/>
  <c r="L76" i="8" s="1"/>
  <c r="J75" i="8"/>
  <c r="L75" i="8" s="1"/>
  <c r="J74" i="8"/>
  <c r="L74" i="8" s="1"/>
  <c r="J73" i="8"/>
  <c r="L73" i="8" s="1"/>
  <c r="J72" i="8"/>
  <c r="L72" i="8" s="1"/>
  <c r="J71" i="8"/>
  <c r="L71" i="8" s="1"/>
  <c r="J70" i="8"/>
  <c r="L70" i="8" s="1"/>
  <c r="J69" i="8"/>
  <c r="L69" i="8" s="1"/>
  <c r="J68" i="8"/>
  <c r="L68" i="8" s="1"/>
  <c r="J67" i="8"/>
  <c r="L67" i="8" s="1"/>
  <c r="J65" i="8"/>
  <c r="L65" i="8" s="1"/>
  <c r="J64" i="8"/>
  <c r="L64" i="8" s="1"/>
  <c r="J63" i="8"/>
  <c r="L63" i="8" s="1"/>
  <c r="J62" i="8"/>
  <c r="L62" i="8" s="1"/>
  <c r="J61" i="8"/>
  <c r="L61" i="8" s="1"/>
  <c r="J60" i="8"/>
  <c r="L60" i="8" s="1"/>
  <c r="J59" i="8"/>
  <c r="L59" i="8" s="1"/>
  <c r="J58" i="8"/>
  <c r="L58" i="8" s="1"/>
  <c r="J57" i="8"/>
  <c r="L57" i="8" s="1"/>
  <c r="J55" i="8"/>
  <c r="L55" i="8" s="1"/>
  <c r="J54" i="8"/>
  <c r="L54" i="8" s="1"/>
  <c r="J53" i="8"/>
  <c r="L53" i="8" s="1"/>
  <c r="J52" i="8"/>
  <c r="L52" i="8" s="1"/>
  <c r="J51" i="8"/>
  <c r="L51" i="8" s="1"/>
  <c r="J50" i="8"/>
  <c r="L50" i="8" s="1"/>
  <c r="J49" i="8"/>
  <c r="L49" i="8" s="1"/>
  <c r="J48" i="8"/>
  <c r="L48" i="8" s="1"/>
  <c r="J47" i="8"/>
  <c r="L47" i="8" s="1"/>
  <c r="J46" i="8"/>
  <c r="L46" i="8" s="1"/>
  <c r="J45" i="8"/>
  <c r="L45" i="8" s="1"/>
  <c r="J44" i="8"/>
  <c r="L44" i="8" s="1"/>
  <c r="J43" i="8"/>
  <c r="L43" i="8" s="1"/>
  <c r="J42" i="8"/>
  <c r="L42" i="8" s="1"/>
  <c r="J41" i="8"/>
  <c r="L41" i="8" s="1"/>
  <c r="J40" i="8"/>
  <c r="L40" i="8" s="1"/>
  <c r="J39" i="8"/>
  <c r="L39" i="8" s="1"/>
  <c r="J38" i="8"/>
  <c r="L38" i="8" s="1"/>
  <c r="J37" i="8"/>
  <c r="L37" i="8" s="1"/>
  <c r="J36" i="8"/>
  <c r="L36" i="8" s="1"/>
  <c r="J35" i="8"/>
  <c r="L35" i="8" s="1"/>
  <c r="J34" i="8"/>
  <c r="L34" i="8" s="1"/>
  <c r="J33" i="8"/>
  <c r="L33" i="8" s="1"/>
  <c r="J32" i="8"/>
  <c r="L32" i="8" s="1"/>
  <c r="J31" i="8"/>
  <c r="L31" i="8" s="1"/>
  <c r="J30" i="8"/>
  <c r="L30" i="8" s="1"/>
  <c r="J29" i="8"/>
  <c r="L29" i="8" s="1"/>
  <c r="J28" i="8"/>
  <c r="L28" i="8" s="1"/>
  <c r="J27" i="8"/>
  <c r="L27" i="8" s="1"/>
  <c r="J26" i="8"/>
  <c r="L26" i="8" s="1"/>
  <c r="J25" i="8"/>
  <c r="L25" i="8" s="1"/>
  <c r="J24" i="8"/>
  <c r="L24" i="8" s="1"/>
  <c r="J23" i="8"/>
  <c r="L23" i="8" s="1"/>
  <c r="J22" i="8"/>
  <c r="L22" i="8" s="1"/>
  <c r="J21" i="8"/>
  <c r="L21" i="8" s="1"/>
  <c r="J20" i="8"/>
  <c r="L20" i="8" s="1"/>
  <c r="J19" i="8"/>
  <c r="L19" i="8" s="1"/>
  <c r="J18" i="8"/>
  <c r="L18" i="8" s="1"/>
  <c r="J17" i="8"/>
  <c r="L17" i="8" s="1"/>
  <c r="J16" i="8"/>
  <c r="L16" i="8" s="1"/>
  <c r="J15" i="8"/>
  <c r="L15" i="8" s="1"/>
  <c r="J14" i="8"/>
  <c r="L14" i="8" s="1"/>
  <c r="J13" i="8"/>
  <c r="L13" i="8" s="1"/>
  <c r="J12" i="8"/>
  <c r="L12" i="8" s="1"/>
  <c r="J11" i="8"/>
  <c r="L11" i="8" s="1"/>
  <c r="J10" i="8"/>
  <c r="L10" i="8" s="1"/>
  <c r="J9" i="8"/>
  <c r="L9" i="8" s="1"/>
  <c r="J8" i="8"/>
  <c r="L8" i="8" s="1"/>
  <c r="J7" i="8"/>
  <c r="L7" i="8" s="1"/>
  <c r="J6" i="8"/>
  <c r="L6" i="8" s="1"/>
  <c r="J5" i="8"/>
  <c r="L5" i="8" s="1"/>
  <c r="J4" i="8"/>
  <c r="L4" i="8" s="1"/>
  <c r="J3" i="8"/>
  <c r="L3" i="8" s="1"/>
  <c r="J126" i="7"/>
  <c r="L126" i="7" s="1"/>
  <c r="J125" i="7"/>
  <c r="L125" i="7" s="1"/>
  <c r="J124" i="7"/>
  <c r="L124" i="7" s="1"/>
  <c r="J123" i="7"/>
  <c r="L123" i="7" s="1"/>
  <c r="J122" i="7"/>
  <c r="L122" i="7" s="1"/>
  <c r="J121" i="7"/>
  <c r="L121" i="7" s="1"/>
  <c r="J120" i="7"/>
  <c r="L120" i="7" s="1"/>
  <c r="J119" i="7"/>
  <c r="L119" i="7" s="1"/>
  <c r="J118" i="7"/>
  <c r="L118" i="7" s="1"/>
  <c r="J117" i="7"/>
  <c r="L117" i="7" s="1"/>
  <c r="J116" i="7"/>
  <c r="L116" i="7" s="1"/>
  <c r="J115" i="7"/>
  <c r="L115" i="7" s="1"/>
  <c r="J114" i="7"/>
  <c r="L114" i="7" s="1"/>
  <c r="J113" i="7"/>
  <c r="L113" i="7" s="1"/>
  <c r="J112" i="7"/>
  <c r="L112" i="7" s="1"/>
  <c r="J111" i="7"/>
  <c r="L111" i="7" s="1"/>
  <c r="J110" i="7"/>
  <c r="L110" i="7" s="1"/>
  <c r="J109" i="7"/>
  <c r="L109" i="7" s="1"/>
  <c r="L108" i="7"/>
  <c r="J108" i="7"/>
  <c r="J107" i="7"/>
  <c r="L107" i="7" s="1"/>
  <c r="J106" i="7"/>
  <c r="L106" i="7" s="1"/>
  <c r="J105" i="7"/>
  <c r="L105" i="7" s="1"/>
  <c r="L104" i="7"/>
  <c r="J104" i="7"/>
  <c r="J103" i="7"/>
  <c r="L103" i="7" s="1"/>
  <c r="J102" i="7"/>
  <c r="L102" i="7" s="1"/>
  <c r="J101" i="7"/>
  <c r="L101" i="7" s="1"/>
  <c r="J100" i="7"/>
  <c r="L100" i="7" s="1"/>
  <c r="J99" i="7"/>
  <c r="L99" i="7" s="1"/>
  <c r="J98" i="7"/>
  <c r="L98" i="7" s="1"/>
  <c r="J97" i="7"/>
  <c r="L97" i="7" s="1"/>
  <c r="J96" i="7"/>
  <c r="L96" i="7" s="1"/>
  <c r="J95" i="7"/>
  <c r="L95" i="7" s="1"/>
  <c r="J94" i="7"/>
  <c r="L94" i="7" s="1"/>
  <c r="J93" i="7"/>
  <c r="L93" i="7" s="1"/>
  <c r="J92" i="7"/>
  <c r="L92" i="7" s="1"/>
  <c r="J91" i="7"/>
  <c r="L91" i="7" s="1"/>
  <c r="J90" i="7"/>
  <c r="L90" i="7" s="1"/>
  <c r="J89" i="7"/>
  <c r="L89" i="7" s="1"/>
  <c r="J88" i="7"/>
  <c r="L88" i="7" s="1"/>
  <c r="J87" i="7"/>
  <c r="L87" i="7" s="1"/>
  <c r="J86" i="7"/>
  <c r="L86" i="7" s="1"/>
  <c r="J85" i="7"/>
  <c r="L85" i="7" s="1"/>
  <c r="J84" i="7"/>
  <c r="L84" i="7" s="1"/>
  <c r="J83" i="7"/>
  <c r="L83" i="7" s="1"/>
  <c r="J82" i="7"/>
  <c r="L82" i="7" s="1"/>
  <c r="J81" i="7"/>
  <c r="L81" i="7" s="1"/>
  <c r="J80" i="7"/>
  <c r="L80" i="7" s="1"/>
  <c r="J79" i="7"/>
  <c r="L79" i="7" s="1"/>
  <c r="J78" i="7"/>
  <c r="L78" i="7" s="1"/>
  <c r="J77" i="7"/>
  <c r="L77" i="7" s="1"/>
  <c r="J76" i="7"/>
  <c r="L76" i="7" s="1"/>
  <c r="J75" i="7"/>
  <c r="L75" i="7" s="1"/>
  <c r="J74" i="7"/>
  <c r="L74" i="7" s="1"/>
  <c r="J73" i="7"/>
  <c r="L73" i="7" s="1"/>
  <c r="J72" i="7"/>
  <c r="L72" i="7" s="1"/>
  <c r="J71" i="7"/>
  <c r="L71" i="7" s="1"/>
  <c r="J70" i="7"/>
  <c r="L70" i="7" s="1"/>
  <c r="J69" i="7"/>
  <c r="L69" i="7" s="1"/>
  <c r="J68" i="7"/>
  <c r="L68" i="7" s="1"/>
  <c r="J67" i="7"/>
  <c r="L67" i="7" s="1"/>
  <c r="J66" i="7"/>
  <c r="L66" i="7" s="1"/>
  <c r="J65" i="7"/>
  <c r="L65" i="7" s="1"/>
  <c r="L64" i="7"/>
  <c r="J64" i="7"/>
  <c r="J63" i="7"/>
  <c r="L63" i="7" s="1"/>
  <c r="J62" i="7"/>
  <c r="L62" i="7" s="1"/>
  <c r="J61" i="7"/>
  <c r="L61" i="7" s="1"/>
  <c r="L60" i="7"/>
  <c r="J60" i="7"/>
  <c r="J59" i="7"/>
  <c r="L59" i="7" s="1"/>
  <c r="J58" i="7"/>
  <c r="L58" i="7" s="1"/>
  <c r="J57" i="7"/>
  <c r="L57" i="7" s="1"/>
  <c r="J56" i="7"/>
  <c r="L56" i="7" s="1"/>
  <c r="J55" i="7"/>
  <c r="L55" i="7" s="1"/>
  <c r="J54" i="7"/>
  <c r="L54" i="7" s="1"/>
  <c r="J53" i="7"/>
  <c r="L53" i="7" s="1"/>
  <c r="J52" i="7"/>
  <c r="L52" i="7" s="1"/>
  <c r="J51" i="7"/>
  <c r="L51" i="7" s="1"/>
  <c r="J50" i="7"/>
  <c r="L50" i="7" s="1"/>
  <c r="J49" i="7"/>
  <c r="L49" i="7" s="1"/>
  <c r="J48" i="7"/>
  <c r="L48" i="7" s="1"/>
  <c r="J47" i="7"/>
  <c r="L47" i="7" s="1"/>
  <c r="J46" i="7"/>
  <c r="L46" i="7" s="1"/>
  <c r="J45" i="7"/>
  <c r="L45" i="7" s="1"/>
  <c r="J44" i="7"/>
  <c r="L44" i="7" s="1"/>
  <c r="J43" i="7"/>
  <c r="L43" i="7" s="1"/>
  <c r="J42" i="7"/>
  <c r="L42" i="7" s="1"/>
  <c r="J41" i="7"/>
  <c r="L41" i="7" s="1"/>
  <c r="J40" i="7"/>
  <c r="L40" i="7" s="1"/>
  <c r="J39" i="7"/>
  <c r="L39" i="7" s="1"/>
  <c r="J38" i="7"/>
  <c r="L38" i="7" s="1"/>
  <c r="J37" i="7"/>
  <c r="L37" i="7" s="1"/>
  <c r="J36" i="7"/>
  <c r="L36" i="7" s="1"/>
  <c r="J35" i="7"/>
  <c r="L35" i="7" s="1"/>
  <c r="J34" i="7"/>
  <c r="L34" i="7" s="1"/>
  <c r="J33" i="7"/>
  <c r="L33" i="7" s="1"/>
  <c r="J32" i="7"/>
  <c r="L32" i="7" s="1"/>
  <c r="J31" i="7"/>
  <c r="L31" i="7" s="1"/>
  <c r="J30" i="7"/>
  <c r="L30" i="7" s="1"/>
  <c r="J29" i="7"/>
  <c r="L29" i="7" s="1"/>
  <c r="J28" i="7"/>
  <c r="L28" i="7" s="1"/>
  <c r="J27" i="7"/>
  <c r="L27" i="7" s="1"/>
  <c r="J26" i="7"/>
  <c r="L26" i="7" s="1"/>
  <c r="J25" i="7"/>
  <c r="L25" i="7" s="1"/>
  <c r="J24" i="7"/>
  <c r="L24" i="7" s="1"/>
  <c r="J23" i="7"/>
  <c r="L23" i="7" s="1"/>
  <c r="J22" i="7"/>
  <c r="L22" i="7" s="1"/>
  <c r="J21" i="7"/>
  <c r="L21" i="7" s="1"/>
  <c r="L20" i="7"/>
  <c r="J20" i="7"/>
  <c r="J19" i="7"/>
  <c r="L19" i="7" s="1"/>
  <c r="J18" i="7"/>
  <c r="L18" i="7" s="1"/>
  <c r="J17" i="7"/>
  <c r="L17" i="7" s="1"/>
  <c r="L16" i="7"/>
  <c r="J16" i="7"/>
  <c r="J15" i="7"/>
  <c r="L15" i="7" s="1"/>
  <c r="J14" i="7"/>
  <c r="L14" i="7" s="1"/>
  <c r="J13" i="7"/>
  <c r="L13" i="7" s="1"/>
  <c r="J12" i="7"/>
  <c r="L12" i="7" s="1"/>
  <c r="J11" i="7"/>
  <c r="L11" i="7" s="1"/>
  <c r="J10" i="7"/>
  <c r="L10" i="7" s="1"/>
  <c r="J9" i="7"/>
  <c r="L9" i="7" s="1"/>
  <c r="J8" i="7"/>
  <c r="L8" i="7" s="1"/>
  <c r="J7" i="7"/>
  <c r="L7" i="7" s="1"/>
  <c r="J6" i="7"/>
  <c r="L6" i="7" s="1"/>
  <c r="J5" i="7"/>
  <c r="L5" i="7" s="1"/>
  <c r="J4" i="7"/>
  <c r="L4" i="7" s="1"/>
  <c r="J3" i="7"/>
  <c r="L3" i="7" s="1"/>
  <c r="J2" i="7"/>
  <c r="L2" i="7" s="1"/>
  <c r="J126" i="6"/>
  <c r="L126" i="6" s="1"/>
  <c r="J125" i="6"/>
  <c r="L125" i="6" s="1"/>
  <c r="J124" i="6"/>
  <c r="L124" i="6" s="1"/>
  <c r="J123" i="6"/>
  <c r="L123" i="6" s="1"/>
  <c r="J122" i="6"/>
  <c r="L122" i="6" s="1"/>
  <c r="J121" i="6"/>
  <c r="L121" i="6" s="1"/>
  <c r="J120" i="6"/>
  <c r="L120" i="6" s="1"/>
  <c r="J119" i="6"/>
  <c r="L119" i="6" s="1"/>
  <c r="J118" i="6"/>
  <c r="L118" i="6" s="1"/>
  <c r="J117" i="6"/>
  <c r="L117" i="6" s="1"/>
  <c r="J116" i="6"/>
  <c r="L116" i="6" s="1"/>
  <c r="J115" i="6"/>
  <c r="L115" i="6" s="1"/>
  <c r="J114" i="6"/>
  <c r="L114" i="6" s="1"/>
  <c r="J113" i="6"/>
  <c r="L113" i="6" s="1"/>
  <c r="J112" i="6"/>
  <c r="L112" i="6" s="1"/>
  <c r="J111" i="6"/>
  <c r="L111" i="6" s="1"/>
  <c r="J110" i="6"/>
  <c r="L110" i="6" s="1"/>
  <c r="J109" i="6"/>
  <c r="L109" i="6" s="1"/>
  <c r="L108" i="6"/>
  <c r="J108" i="6"/>
  <c r="J107" i="6"/>
  <c r="L107" i="6" s="1"/>
  <c r="J106" i="6"/>
  <c r="L106" i="6" s="1"/>
  <c r="J105" i="6"/>
  <c r="L105" i="6" s="1"/>
  <c r="J104" i="6"/>
  <c r="L104" i="6" s="1"/>
  <c r="J103" i="6"/>
  <c r="L103" i="6" s="1"/>
  <c r="J102" i="6"/>
  <c r="L102" i="6" s="1"/>
  <c r="J101" i="6"/>
  <c r="L101" i="6" s="1"/>
  <c r="J100" i="6"/>
  <c r="L100" i="6" s="1"/>
  <c r="J99" i="6"/>
  <c r="L99" i="6" s="1"/>
  <c r="J98" i="6"/>
  <c r="L98" i="6" s="1"/>
  <c r="J97" i="6"/>
  <c r="L97" i="6" s="1"/>
  <c r="J96" i="6"/>
  <c r="L96" i="6" s="1"/>
  <c r="J95" i="6"/>
  <c r="L95" i="6" s="1"/>
  <c r="J94" i="6"/>
  <c r="L94" i="6" s="1"/>
  <c r="J93" i="6"/>
  <c r="L93" i="6" s="1"/>
  <c r="J92" i="6"/>
  <c r="L92" i="6" s="1"/>
  <c r="J91" i="6"/>
  <c r="L91" i="6" s="1"/>
  <c r="J90" i="6"/>
  <c r="L90" i="6" s="1"/>
  <c r="J89" i="6"/>
  <c r="L89" i="6" s="1"/>
  <c r="J88" i="6"/>
  <c r="L88" i="6" s="1"/>
  <c r="L87" i="6"/>
  <c r="J87" i="6"/>
  <c r="J86" i="6"/>
  <c r="L86" i="6" s="1"/>
  <c r="J85" i="6"/>
  <c r="L85" i="6" s="1"/>
  <c r="J84" i="6"/>
  <c r="L84" i="6" s="1"/>
  <c r="J83" i="6"/>
  <c r="L83" i="6" s="1"/>
  <c r="J82" i="6"/>
  <c r="L82" i="6" s="1"/>
  <c r="J81" i="6"/>
  <c r="L81" i="6" s="1"/>
  <c r="J80" i="6"/>
  <c r="L80" i="6" s="1"/>
  <c r="J79" i="6"/>
  <c r="L79" i="6" s="1"/>
  <c r="J78" i="6"/>
  <c r="L78" i="6" s="1"/>
  <c r="J77" i="6"/>
  <c r="L77" i="6" s="1"/>
  <c r="L76" i="6"/>
  <c r="J76" i="6"/>
  <c r="J75" i="6"/>
  <c r="L75" i="6" s="1"/>
  <c r="J74" i="6"/>
  <c r="L74" i="6" s="1"/>
  <c r="J73" i="6"/>
  <c r="L73" i="6" s="1"/>
  <c r="J72" i="6"/>
  <c r="L72" i="6" s="1"/>
  <c r="J71" i="6"/>
  <c r="L71" i="6" s="1"/>
  <c r="J70" i="6"/>
  <c r="L70" i="6" s="1"/>
  <c r="J69" i="6"/>
  <c r="L69" i="6" s="1"/>
  <c r="J68" i="6"/>
  <c r="L68" i="6" s="1"/>
  <c r="J67" i="6"/>
  <c r="L67" i="6" s="1"/>
  <c r="J66" i="6"/>
  <c r="L66" i="6" s="1"/>
  <c r="J65" i="6"/>
  <c r="L65" i="6" s="1"/>
  <c r="J64" i="6"/>
  <c r="L64" i="6" s="1"/>
  <c r="L63" i="6"/>
  <c r="J63" i="6"/>
  <c r="J62" i="6"/>
  <c r="L62" i="6" s="1"/>
  <c r="J61" i="6"/>
  <c r="L61" i="6" s="1"/>
  <c r="J60" i="6"/>
  <c r="L60" i="6" s="1"/>
  <c r="J59" i="6"/>
  <c r="L59" i="6" s="1"/>
  <c r="J58" i="6"/>
  <c r="L58" i="6" s="1"/>
  <c r="J57" i="6"/>
  <c r="L57" i="6" s="1"/>
  <c r="J56" i="6"/>
  <c r="L56" i="6" s="1"/>
  <c r="J55" i="6"/>
  <c r="L55" i="6" s="1"/>
  <c r="J54" i="6"/>
  <c r="L54" i="6" s="1"/>
  <c r="J53" i="6"/>
  <c r="L53" i="6" s="1"/>
  <c r="J52" i="6"/>
  <c r="L52" i="6" s="1"/>
  <c r="J51" i="6"/>
  <c r="L51" i="6" s="1"/>
  <c r="J50" i="6"/>
  <c r="L50" i="6" s="1"/>
  <c r="J49" i="6"/>
  <c r="L49" i="6" s="1"/>
  <c r="J48" i="6"/>
  <c r="L48" i="6" s="1"/>
  <c r="J47" i="6"/>
  <c r="L47" i="6" s="1"/>
  <c r="J46" i="6"/>
  <c r="L46" i="6" s="1"/>
  <c r="J45" i="6"/>
  <c r="L45" i="6" s="1"/>
  <c r="L44" i="6"/>
  <c r="J44" i="6"/>
  <c r="J43" i="6"/>
  <c r="L43" i="6" s="1"/>
  <c r="J42" i="6"/>
  <c r="L42" i="6" s="1"/>
  <c r="J41" i="6"/>
  <c r="L41" i="6" s="1"/>
  <c r="J40" i="6"/>
  <c r="L40" i="6" s="1"/>
  <c r="J39" i="6"/>
  <c r="L39" i="6" s="1"/>
  <c r="J38" i="6"/>
  <c r="L38" i="6" s="1"/>
  <c r="J37" i="6"/>
  <c r="L37" i="6" s="1"/>
  <c r="J36" i="6"/>
  <c r="L36" i="6" s="1"/>
  <c r="J35" i="6"/>
  <c r="L35" i="6" s="1"/>
  <c r="J34" i="6"/>
  <c r="L34" i="6" s="1"/>
  <c r="J33" i="6"/>
  <c r="L33" i="6" s="1"/>
  <c r="J32" i="6"/>
  <c r="L32" i="6" s="1"/>
  <c r="J31" i="6"/>
  <c r="L31" i="6" s="1"/>
  <c r="J30" i="6"/>
  <c r="L30" i="6" s="1"/>
  <c r="J29" i="6"/>
  <c r="L29" i="6" s="1"/>
  <c r="J28" i="6"/>
  <c r="L28" i="6" s="1"/>
  <c r="J27" i="6"/>
  <c r="L27" i="6" s="1"/>
  <c r="J26" i="6"/>
  <c r="L26" i="6" s="1"/>
  <c r="J25" i="6"/>
  <c r="L25" i="6" s="1"/>
  <c r="J24" i="6"/>
  <c r="L24" i="6" s="1"/>
  <c r="L23" i="6"/>
  <c r="J23" i="6"/>
  <c r="J22" i="6"/>
  <c r="L22" i="6" s="1"/>
  <c r="J21" i="6"/>
  <c r="L21" i="6" s="1"/>
  <c r="J20" i="6"/>
  <c r="L20" i="6" s="1"/>
  <c r="J19" i="6"/>
  <c r="L19" i="6" s="1"/>
  <c r="J18" i="6"/>
  <c r="L18" i="6" s="1"/>
  <c r="J17" i="6"/>
  <c r="L17" i="6" s="1"/>
  <c r="J16" i="6"/>
  <c r="L16" i="6" s="1"/>
  <c r="J15" i="6"/>
  <c r="L15" i="6" s="1"/>
  <c r="J14" i="6"/>
  <c r="L14" i="6" s="1"/>
  <c r="J13" i="6"/>
  <c r="L13" i="6" s="1"/>
  <c r="J12" i="6"/>
  <c r="L12" i="6" s="1"/>
  <c r="J11" i="6"/>
  <c r="L11" i="6" s="1"/>
  <c r="J10" i="6"/>
  <c r="L10" i="6" s="1"/>
  <c r="J9" i="6"/>
  <c r="L9" i="6" s="1"/>
  <c r="J8" i="6"/>
  <c r="L8" i="6" s="1"/>
  <c r="J7" i="6"/>
  <c r="L7" i="6" s="1"/>
  <c r="J6" i="6"/>
  <c r="L6" i="6" s="1"/>
  <c r="J5" i="6"/>
  <c r="L5" i="6" s="1"/>
  <c r="J4" i="6"/>
  <c r="L4" i="6" s="1"/>
  <c r="J3" i="6"/>
  <c r="L3" i="6" s="1"/>
  <c r="J2" i="6"/>
  <c r="L2" i="6" s="1"/>
  <c r="J130" i="2"/>
  <c r="L130" i="2" s="1"/>
  <c r="J129" i="2"/>
  <c r="L129" i="2" s="1"/>
  <c r="J128" i="2"/>
  <c r="L128" i="2" s="1"/>
  <c r="J127" i="2"/>
  <c r="L127" i="2" s="1"/>
  <c r="J126" i="2"/>
  <c r="L126" i="2" s="1"/>
  <c r="J125" i="2"/>
  <c r="L125" i="2" s="1"/>
  <c r="J124" i="2"/>
  <c r="L124" i="2" s="1"/>
  <c r="J123" i="2"/>
  <c r="L123" i="2" s="1"/>
  <c r="J122" i="2"/>
  <c r="L122" i="2" s="1"/>
  <c r="J121" i="2"/>
  <c r="L121" i="2" s="1"/>
  <c r="J120" i="2"/>
  <c r="L120" i="2" s="1"/>
  <c r="J119" i="2"/>
  <c r="L119" i="2" s="1"/>
  <c r="J117" i="2"/>
  <c r="L117" i="2" s="1"/>
  <c r="J116" i="2"/>
  <c r="L116" i="2" s="1"/>
  <c r="J115" i="2"/>
  <c r="L115" i="2" s="1"/>
  <c r="J114" i="2"/>
  <c r="L114" i="2" s="1"/>
  <c r="J113" i="2"/>
  <c r="L113" i="2" s="1"/>
  <c r="J112" i="2"/>
  <c r="L112" i="2" s="1"/>
  <c r="J111" i="2"/>
  <c r="L111" i="2" s="1"/>
  <c r="J110" i="2"/>
  <c r="L110" i="2" s="1"/>
  <c r="J109" i="2"/>
  <c r="L109" i="2" s="1"/>
  <c r="J108" i="2"/>
  <c r="L108" i="2" s="1"/>
  <c r="J107" i="2"/>
  <c r="L107" i="2" s="1"/>
  <c r="J106" i="2"/>
  <c r="L106" i="2" s="1"/>
  <c r="J105" i="2"/>
  <c r="L105" i="2" s="1"/>
  <c r="J104" i="2"/>
  <c r="L104" i="2" s="1"/>
  <c r="J103" i="2"/>
  <c r="L103" i="2" s="1"/>
  <c r="J102" i="2"/>
  <c r="L102" i="2" s="1"/>
  <c r="J101" i="2"/>
  <c r="L101" i="2" s="1"/>
  <c r="J100" i="2"/>
  <c r="L100" i="2" s="1"/>
  <c r="J99" i="2"/>
  <c r="L99" i="2" s="1"/>
  <c r="J98" i="2"/>
  <c r="L98" i="2" s="1"/>
  <c r="J97" i="2"/>
  <c r="L97" i="2" s="1"/>
  <c r="J96" i="2"/>
  <c r="L96" i="2" s="1"/>
  <c r="J95" i="2"/>
  <c r="L95" i="2" s="1"/>
  <c r="J94" i="2"/>
  <c r="L94" i="2" s="1"/>
  <c r="J93" i="2"/>
  <c r="L93" i="2" s="1"/>
  <c r="J92" i="2"/>
  <c r="L92" i="2" s="1"/>
  <c r="J91" i="2"/>
  <c r="L91" i="2" s="1"/>
  <c r="J90" i="2"/>
  <c r="L90" i="2" s="1"/>
  <c r="J89" i="2"/>
  <c r="L89" i="2" s="1"/>
  <c r="J88" i="2"/>
  <c r="L88" i="2" s="1"/>
  <c r="J87" i="2"/>
  <c r="L87" i="2" s="1"/>
  <c r="J86" i="2"/>
  <c r="L86" i="2" s="1"/>
  <c r="J85" i="2"/>
  <c r="L85" i="2" s="1"/>
  <c r="J84" i="2"/>
  <c r="L84" i="2" s="1"/>
  <c r="J83" i="2"/>
  <c r="L83" i="2" s="1"/>
  <c r="J82" i="2"/>
  <c r="L82" i="2" s="1"/>
  <c r="J81" i="2"/>
  <c r="L81" i="2" s="1"/>
  <c r="J80" i="2"/>
  <c r="L80" i="2" s="1"/>
  <c r="J79" i="2"/>
  <c r="L79" i="2" s="1"/>
  <c r="J78" i="2"/>
  <c r="L78" i="2" s="1"/>
  <c r="J77" i="2"/>
  <c r="L77" i="2" s="1"/>
  <c r="J76" i="2"/>
  <c r="L76" i="2" s="1"/>
  <c r="J75" i="2"/>
  <c r="L75" i="2" s="1"/>
  <c r="J74" i="2"/>
  <c r="L74" i="2" s="1"/>
  <c r="J73" i="2"/>
  <c r="L73" i="2" s="1"/>
  <c r="J72" i="2"/>
  <c r="L72" i="2" s="1"/>
  <c r="J71" i="2"/>
  <c r="L71" i="2" s="1"/>
  <c r="J70" i="2"/>
  <c r="L70" i="2" s="1"/>
  <c r="J69" i="2"/>
  <c r="L69" i="2" s="1"/>
  <c r="J68" i="2"/>
  <c r="L68" i="2" s="1"/>
  <c r="J67" i="2"/>
  <c r="L67" i="2" s="1"/>
  <c r="J66" i="2"/>
  <c r="L66" i="2" s="1"/>
  <c r="J65" i="2"/>
  <c r="L65" i="2" s="1"/>
  <c r="J64" i="2"/>
  <c r="L64" i="2" s="1"/>
  <c r="J63" i="2"/>
  <c r="L63" i="2" s="1"/>
  <c r="J62" i="2"/>
  <c r="L62" i="2" s="1"/>
  <c r="J61" i="2"/>
  <c r="L61" i="2" s="1"/>
  <c r="J60" i="2"/>
  <c r="L60" i="2" s="1"/>
  <c r="J59" i="2"/>
  <c r="L59" i="2" s="1"/>
  <c r="J58" i="2"/>
  <c r="L58" i="2" s="1"/>
  <c r="J56" i="2"/>
  <c r="L56" i="2" s="1"/>
  <c r="J55" i="2"/>
  <c r="L55" i="2" s="1"/>
  <c r="J54" i="2"/>
  <c r="L54" i="2" s="1"/>
  <c r="J53" i="2"/>
  <c r="L53" i="2" s="1"/>
  <c r="J52" i="2"/>
  <c r="L52" i="2" s="1"/>
  <c r="J51" i="2"/>
  <c r="L51" i="2" s="1"/>
  <c r="J50" i="2"/>
  <c r="L50" i="2" s="1"/>
  <c r="J49" i="2"/>
  <c r="L49" i="2" s="1"/>
  <c r="J48" i="2"/>
  <c r="L48" i="2" s="1"/>
  <c r="J47" i="2"/>
  <c r="L47" i="2" s="1"/>
  <c r="J46" i="2"/>
  <c r="L46" i="2" s="1"/>
  <c r="J45" i="2"/>
  <c r="L45" i="2" s="1"/>
  <c r="J44" i="2"/>
  <c r="L44" i="2" s="1"/>
  <c r="J43" i="2"/>
  <c r="L43" i="2" s="1"/>
  <c r="J42" i="2"/>
  <c r="L42" i="2" s="1"/>
  <c r="J41" i="2"/>
  <c r="L41" i="2" s="1"/>
  <c r="J40" i="2"/>
  <c r="L40" i="2" s="1"/>
  <c r="J39" i="2"/>
  <c r="L39" i="2" s="1"/>
  <c r="J38" i="2"/>
  <c r="L38" i="2" s="1"/>
  <c r="J37" i="2"/>
  <c r="L37" i="2" s="1"/>
  <c r="J36" i="2"/>
  <c r="L36" i="2" s="1"/>
  <c r="J35" i="2"/>
  <c r="L35" i="2" s="1"/>
  <c r="J34" i="2"/>
  <c r="L34" i="2" s="1"/>
  <c r="J33" i="2"/>
  <c r="L33" i="2" s="1"/>
  <c r="J32" i="2"/>
  <c r="L32" i="2" s="1"/>
  <c r="J31" i="2"/>
  <c r="L31" i="2" s="1"/>
  <c r="J30" i="2"/>
  <c r="L30" i="2" s="1"/>
  <c r="J28" i="2"/>
  <c r="L28" i="2" s="1"/>
  <c r="J27" i="2"/>
  <c r="L27" i="2" s="1"/>
  <c r="J26" i="2"/>
  <c r="L26" i="2" s="1"/>
  <c r="J25" i="2"/>
  <c r="L25" i="2" s="1"/>
  <c r="J24" i="2"/>
  <c r="L24" i="2" s="1"/>
  <c r="J23" i="2"/>
  <c r="L23" i="2" s="1"/>
  <c r="J22" i="2"/>
  <c r="L22" i="2" s="1"/>
  <c r="J21" i="2"/>
  <c r="L21" i="2" s="1"/>
  <c r="J20" i="2"/>
  <c r="L20" i="2" s="1"/>
  <c r="J19" i="2"/>
  <c r="L19" i="2" s="1"/>
  <c r="J18" i="2"/>
  <c r="L18" i="2" s="1"/>
  <c r="J17" i="2"/>
  <c r="L17" i="2" s="1"/>
  <c r="J16" i="2"/>
  <c r="L16" i="2" s="1"/>
  <c r="J15" i="2"/>
  <c r="L15" i="2" s="1"/>
  <c r="J14" i="2"/>
  <c r="L14" i="2" s="1"/>
  <c r="J13" i="2"/>
  <c r="L13" i="2" s="1"/>
  <c r="J12" i="2"/>
  <c r="L12" i="2" s="1"/>
  <c r="J11" i="2"/>
  <c r="L11" i="2" s="1"/>
  <c r="J10" i="2"/>
  <c r="L10" i="2" s="1"/>
  <c r="J9" i="2"/>
  <c r="L9" i="2" s="1"/>
  <c r="J7" i="2"/>
  <c r="L7" i="2" s="1"/>
  <c r="J6" i="2"/>
  <c r="L6" i="2" s="1"/>
  <c r="J5" i="2"/>
  <c r="L5" i="2" s="1"/>
  <c r="J4" i="2"/>
  <c r="L4" i="2" s="1"/>
  <c r="J3" i="2"/>
  <c r="L3" i="2" s="1"/>
  <c r="J2" i="2"/>
  <c r="L2" i="2" s="1"/>
  <c r="J3" i="3"/>
  <c r="L3" i="3" s="1"/>
  <c r="J4" i="3"/>
  <c r="L4" i="3" s="1"/>
  <c r="J5" i="3"/>
  <c r="L5" i="3" s="1"/>
  <c r="J6" i="3"/>
  <c r="L6" i="3" s="1"/>
  <c r="J7" i="3"/>
  <c r="L7" i="3" s="1"/>
  <c r="J8" i="3"/>
  <c r="L8" i="3" s="1"/>
  <c r="J9" i="3"/>
  <c r="L9" i="3" s="1"/>
  <c r="J10" i="3"/>
  <c r="L10" i="3" s="1"/>
  <c r="J11" i="3"/>
  <c r="L11" i="3" s="1"/>
  <c r="J12" i="3"/>
  <c r="L12" i="3" s="1"/>
  <c r="J13" i="3"/>
  <c r="L13" i="3" s="1"/>
  <c r="J14" i="3"/>
  <c r="L14" i="3" s="1"/>
  <c r="J15" i="3"/>
  <c r="L15" i="3" s="1"/>
  <c r="J16" i="3"/>
  <c r="L16" i="3" s="1"/>
  <c r="J17" i="3"/>
  <c r="L17" i="3" s="1"/>
  <c r="J19" i="3"/>
  <c r="L19" i="3" s="1"/>
  <c r="J20" i="3"/>
  <c r="L20" i="3" s="1"/>
  <c r="J21" i="3"/>
  <c r="L21" i="3" s="1"/>
  <c r="J23" i="3"/>
  <c r="L23" i="3" s="1"/>
  <c r="J24" i="3"/>
  <c r="L24" i="3" s="1"/>
  <c r="J25" i="3"/>
  <c r="L25" i="3" s="1"/>
  <c r="J26" i="3"/>
  <c r="L26" i="3" s="1"/>
  <c r="J27" i="3"/>
  <c r="L27" i="3" s="1"/>
  <c r="J28" i="3"/>
  <c r="L28" i="3" s="1"/>
  <c r="J29" i="3"/>
  <c r="L29" i="3" s="1"/>
  <c r="J30" i="3"/>
  <c r="L30" i="3" s="1"/>
  <c r="J31" i="3"/>
  <c r="L31" i="3" s="1"/>
  <c r="J32" i="3"/>
  <c r="L32" i="3" s="1"/>
  <c r="J33" i="3"/>
  <c r="L33" i="3" s="1"/>
  <c r="J34" i="3"/>
  <c r="L34" i="3" s="1"/>
  <c r="J35" i="3"/>
  <c r="L35" i="3" s="1"/>
  <c r="J36" i="3"/>
  <c r="L36" i="3" s="1"/>
  <c r="J37" i="3"/>
  <c r="L37" i="3" s="1"/>
  <c r="J38" i="3"/>
  <c r="L38" i="3" s="1"/>
  <c r="J39" i="3"/>
  <c r="L39" i="3" s="1"/>
  <c r="J40" i="3"/>
  <c r="L40" i="3" s="1"/>
  <c r="J41" i="3"/>
  <c r="L41" i="3" s="1"/>
  <c r="J42" i="3"/>
  <c r="L42" i="3" s="1"/>
  <c r="J43" i="3"/>
  <c r="L43" i="3" s="1"/>
  <c r="J44" i="3"/>
  <c r="L44" i="3" s="1"/>
  <c r="J46" i="3"/>
  <c r="L46" i="3" s="1"/>
  <c r="J47" i="3"/>
  <c r="L47" i="3" s="1"/>
  <c r="J48" i="3"/>
  <c r="L48" i="3" s="1"/>
  <c r="J49" i="3"/>
  <c r="L49" i="3" s="1"/>
  <c r="J50" i="3"/>
  <c r="L50" i="3" s="1"/>
  <c r="J51" i="3"/>
  <c r="L51" i="3" s="1"/>
  <c r="J52" i="3"/>
  <c r="L52" i="3" s="1"/>
  <c r="J53" i="3"/>
  <c r="L53" i="3" s="1"/>
  <c r="J54" i="3"/>
  <c r="L54" i="3" s="1"/>
  <c r="J55" i="3"/>
  <c r="L55" i="3" s="1"/>
  <c r="J56" i="3"/>
  <c r="L56" i="3" s="1"/>
  <c r="J57" i="3"/>
  <c r="L57" i="3" s="1"/>
  <c r="J58" i="3"/>
  <c r="L58" i="3" s="1"/>
  <c r="J59" i="3"/>
  <c r="L59" i="3" s="1"/>
  <c r="J60" i="3"/>
  <c r="L60" i="3" s="1"/>
  <c r="J61" i="3"/>
  <c r="L61" i="3" s="1"/>
  <c r="J62" i="3"/>
  <c r="L62" i="3" s="1"/>
  <c r="J63" i="3"/>
  <c r="L63" i="3" s="1"/>
  <c r="J64" i="3"/>
  <c r="L64" i="3" s="1"/>
  <c r="J65" i="3"/>
  <c r="L65" i="3" s="1"/>
  <c r="J66" i="3"/>
  <c r="L66" i="3" s="1"/>
  <c r="J67" i="3"/>
  <c r="L67" i="3" s="1"/>
  <c r="J68" i="3"/>
  <c r="L68" i="3" s="1"/>
  <c r="J69" i="3"/>
  <c r="L69" i="3" s="1"/>
  <c r="J70" i="3"/>
  <c r="L70" i="3" s="1"/>
  <c r="J71" i="3"/>
  <c r="L71" i="3" s="1"/>
  <c r="J72" i="3"/>
  <c r="L72" i="3" s="1"/>
  <c r="J73" i="3"/>
  <c r="L73" i="3" s="1"/>
  <c r="J74" i="3"/>
  <c r="L74" i="3" s="1"/>
  <c r="J75" i="3"/>
  <c r="L75" i="3" s="1"/>
  <c r="J76" i="3"/>
  <c r="L76" i="3" s="1"/>
  <c r="J77" i="3"/>
  <c r="L77" i="3" s="1"/>
  <c r="J78" i="3"/>
  <c r="L78" i="3" s="1"/>
  <c r="J79" i="3"/>
  <c r="L79" i="3" s="1"/>
  <c r="J80" i="3"/>
  <c r="L80" i="3" s="1"/>
  <c r="J81" i="3"/>
  <c r="L81" i="3" s="1"/>
  <c r="J82" i="3"/>
  <c r="L82" i="3" s="1"/>
  <c r="J84" i="3"/>
  <c r="L84" i="3" s="1"/>
  <c r="J85" i="3"/>
  <c r="L85" i="3" s="1"/>
  <c r="J86" i="3"/>
  <c r="L86" i="3" s="1"/>
  <c r="J87" i="3"/>
  <c r="L87" i="3" s="1"/>
  <c r="J88" i="3"/>
  <c r="L88" i="3" s="1"/>
  <c r="J89" i="3"/>
  <c r="L89" i="3" s="1"/>
  <c r="J90" i="3"/>
  <c r="L90" i="3" s="1"/>
  <c r="J91" i="3"/>
  <c r="L91" i="3" s="1"/>
  <c r="J92" i="3"/>
  <c r="L92" i="3" s="1"/>
  <c r="J93" i="3"/>
  <c r="L93" i="3" s="1"/>
  <c r="J94" i="3"/>
  <c r="L94" i="3" s="1"/>
  <c r="J96" i="3"/>
  <c r="L96" i="3" s="1"/>
  <c r="J97" i="3"/>
  <c r="L97" i="3" s="1"/>
  <c r="J98" i="3"/>
  <c r="L98" i="3" s="1"/>
  <c r="J99" i="3"/>
  <c r="L99" i="3" s="1"/>
  <c r="J100" i="3"/>
  <c r="L100" i="3" s="1"/>
  <c r="J101" i="3"/>
  <c r="L101" i="3" s="1"/>
  <c r="J3" i="4"/>
  <c r="L3" i="4" s="1"/>
  <c r="J4" i="4"/>
  <c r="L4" i="4" s="1"/>
  <c r="J5" i="4"/>
  <c r="L5" i="4" s="1"/>
  <c r="J7" i="4"/>
  <c r="L7" i="4" s="1"/>
  <c r="J8" i="4"/>
  <c r="L8" i="4" s="1"/>
  <c r="J10" i="4"/>
  <c r="L10" i="4" s="1"/>
  <c r="J11" i="4"/>
  <c r="L11" i="4" s="1"/>
  <c r="J13" i="4"/>
  <c r="L13" i="4" s="1"/>
  <c r="J15" i="4"/>
  <c r="L15" i="4" s="1"/>
  <c r="J17" i="4"/>
  <c r="L17" i="4" s="1"/>
  <c r="J19" i="4"/>
  <c r="L19" i="4" s="1"/>
  <c r="J20" i="4"/>
  <c r="L20" i="4" s="1"/>
  <c r="J21" i="4"/>
  <c r="L21" i="4" s="1"/>
  <c r="J22" i="4"/>
  <c r="L22" i="4" s="1"/>
  <c r="J23" i="4"/>
  <c r="L23" i="4" s="1"/>
  <c r="J24" i="4"/>
  <c r="L24" i="4" s="1"/>
  <c r="J25" i="4"/>
  <c r="L25" i="4" s="1"/>
  <c r="J26" i="4"/>
  <c r="L26" i="4" s="1"/>
  <c r="J27" i="4"/>
  <c r="L27" i="4" s="1"/>
  <c r="J28" i="4"/>
  <c r="L28" i="4" s="1"/>
  <c r="J29" i="4"/>
  <c r="L29" i="4" s="1"/>
  <c r="J3" i="5"/>
  <c r="L3" i="5" s="1"/>
  <c r="J4" i="5"/>
  <c r="L4" i="5" s="1"/>
  <c r="J5" i="5"/>
  <c r="L5" i="5" s="1"/>
  <c r="J6" i="5"/>
  <c r="L6" i="5" s="1"/>
  <c r="J7" i="5"/>
  <c r="L7" i="5" s="1"/>
  <c r="J10" i="5"/>
  <c r="L10" i="5" s="1"/>
  <c r="J11" i="5"/>
  <c r="L11" i="5" s="1"/>
  <c r="J12" i="5"/>
  <c r="L12" i="5" s="1"/>
  <c r="J13" i="5"/>
  <c r="L13" i="5" s="1"/>
  <c r="J14" i="5"/>
  <c r="L14" i="5" s="1"/>
  <c r="J15" i="5"/>
  <c r="L15" i="5" s="1"/>
  <c r="J16" i="5"/>
  <c r="L16" i="5" s="1"/>
  <c r="J17" i="5"/>
  <c r="L17" i="5" s="1"/>
  <c r="J18" i="5"/>
  <c r="L18" i="5" s="1"/>
  <c r="J19" i="5"/>
  <c r="L19" i="5" s="1"/>
  <c r="J20" i="5"/>
  <c r="L20" i="5" s="1"/>
  <c r="J21" i="5"/>
  <c r="L21" i="5" s="1"/>
  <c r="J22" i="5"/>
  <c r="L22" i="5" s="1"/>
  <c r="J23" i="5"/>
  <c r="L23" i="5" s="1"/>
  <c r="J24" i="5"/>
  <c r="L24" i="5" s="1"/>
  <c r="J25" i="5"/>
  <c r="L25" i="5" s="1"/>
  <c r="J26" i="5"/>
  <c r="L26" i="5" s="1"/>
  <c r="J27" i="5"/>
  <c r="L27" i="5" s="1"/>
  <c r="J28" i="5"/>
  <c r="L28" i="5" s="1"/>
  <c r="J29" i="5"/>
  <c r="L29" i="5" s="1"/>
  <c r="J30" i="5"/>
  <c r="L30" i="5" s="1"/>
  <c r="J31" i="5"/>
  <c r="L31" i="5" s="1"/>
  <c r="J32" i="5"/>
  <c r="L32" i="5" s="1"/>
  <c r="J33" i="5"/>
  <c r="L33" i="5" s="1"/>
  <c r="J34" i="5"/>
  <c r="L34" i="5" s="1"/>
  <c r="J35" i="5"/>
  <c r="L35" i="5" s="1"/>
  <c r="J36" i="5"/>
  <c r="L36" i="5" s="1"/>
  <c r="J37" i="5"/>
  <c r="L37" i="5" s="1"/>
  <c r="J38" i="5"/>
  <c r="L38" i="5" s="1"/>
  <c r="J39" i="5"/>
  <c r="L39" i="5" s="1"/>
  <c r="J40" i="5"/>
  <c r="L40" i="5" s="1"/>
  <c r="J41" i="5"/>
  <c r="L41" i="5" s="1"/>
  <c r="J42" i="5"/>
  <c r="L42" i="5" s="1"/>
  <c r="J43" i="5"/>
  <c r="L43" i="5" s="1"/>
  <c r="J44" i="5"/>
  <c r="L44" i="5" s="1"/>
  <c r="J45" i="5"/>
  <c r="L45" i="5" s="1"/>
  <c r="J46" i="5"/>
  <c r="L46" i="5" s="1"/>
  <c r="J47" i="5"/>
  <c r="L47" i="5" s="1"/>
  <c r="J48" i="5"/>
  <c r="L48" i="5" s="1"/>
  <c r="J49" i="5"/>
  <c r="L49" i="5" s="1"/>
  <c r="J50" i="5"/>
  <c r="L50" i="5" s="1"/>
  <c r="J51" i="5"/>
  <c r="L51" i="5" s="1"/>
  <c r="J52" i="5"/>
  <c r="L52" i="5" s="1"/>
  <c r="J53" i="5"/>
  <c r="L53" i="5" s="1"/>
  <c r="J54" i="5"/>
  <c r="L54" i="5" s="1"/>
  <c r="J56" i="5"/>
  <c r="L56" i="5" s="1"/>
  <c r="J57" i="5"/>
  <c r="L57" i="5" s="1"/>
  <c r="J58" i="5"/>
  <c r="L58" i="5" s="1"/>
  <c r="J59" i="5"/>
  <c r="L59" i="5" s="1"/>
  <c r="J60" i="5"/>
  <c r="L60" i="5" s="1"/>
  <c r="J61" i="5"/>
  <c r="L61" i="5" s="1"/>
  <c r="J62" i="5"/>
  <c r="L62" i="5" s="1"/>
  <c r="J63" i="5"/>
  <c r="L63" i="5" s="1"/>
  <c r="J64" i="5"/>
  <c r="L64" i="5" s="1"/>
  <c r="J65" i="5"/>
  <c r="L65" i="5" s="1"/>
  <c r="J66" i="5"/>
  <c r="L66" i="5" s="1"/>
  <c r="J67" i="5"/>
  <c r="L67" i="5" s="1"/>
  <c r="J68" i="5"/>
  <c r="L68" i="5" s="1"/>
  <c r="J69" i="5"/>
  <c r="L69" i="5" s="1"/>
  <c r="J70" i="5"/>
  <c r="L70" i="5" s="1"/>
  <c r="J71" i="5"/>
  <c r="L71" i="5" s="1"/>
  <c r="J72" i="5"/>
  <c r="L72" i="5" s="1"/>
  <c r="J74" i="5"/>
  <c r="L74" i="5" s="1"/>
  <c r="J75" i="5"/>
  <c r="L75" i="5" s="1"/>
  <c r="J76" i="5"/>
  <c r="L76" i="5" s="1"/>
  <c r="J77" i="5"/>
  <c r="L77" i="5" s="1"/>
  <c r="J78" i="5"/>
  <c r="L78" i="5" s="1"/>
  <c r="J79" i="5"/>
  <c r="L79" i="5" s="1"/>
  <c r="J80" i="5"/>
  <c r="L80" i="5" s="1"/>
  <c r="J81" i="5"/>
  <c r="L81" i="5" s="1"/>
  <c r="J82" i="5"/>
  <c r="L82" i="5" s="1"/>
  <c r="J83" i="5"/>
  <c r="L83" i="5" s="1"/>
  <c r="J84" i="5"/>
  <c r="L84" i="5" s="1"/>
  <c r="J85" i="5"/>
  <c r="L85" i="5" s="1"/>
  <c r="J86" i="5"/>
  <c r="L86" i="5" s="1"/>
  <c r="J87" i="5"/>
  <c r="L87" i="5" s="1"/>
  <c r="J88" i="5"/>
  <c r="L88" i="5" s="1"/>
  <c r="J89" i="5"/>
  <c r="L89" i="5" s="1"/>
  <c r="J90" i="5"/>
  <c r="L90" i="5" s="1"/>
  <c r="J91" i="5"/>
  <c r="L91" i="5" s="1"/>
  <c r="J92" i="5"/>
  <c r="L92" i="5" s="1"/>
  <c r="J93" i="5"/>
  <c r="L93" i="5" s="1"/>
  <c r="J94" i="5"/>
  <c r="L94" i="5" s="1"/>
  <c r="J95" i="5"/>
  <c r="L95" i="5" s="1"/>
  <c r="J96" i="5"/>
  <c r="L96" i="5" s="1"/>
  <c r="J97" i="5"/>
  <c r="L97" i="5" s="1"/>
  <c r="J98" i="5"/>
  <c r="L98" i="5" s="1"/>
  <c r="J99" i="5"/>
  <c r="L99" i="5" s="1"/>
  <c r="J100" i="5"/>
  <c r="L100" i="5" s="1"/>
  <c r="J101" i="5"/>
  <c r="L101" i="5" s="1"/>
  <c r="J102" i="5"/>
  <c r="L102" i="5" s="1"/>
  <c r="J103" i="5"/>
  <c r="L103" i="5" s="1"/>
  <c r="J104" i="5"/>
  <c r="L104" i="5" s="1"/>
  <c r="J105" i="5"/>
  <c r="L105" i="5" s="1"/>
  <c r="J106" i="5"/>
  <c r="L106" i="5" s="1"/>
  <c r="J107" i="5"/>
  <c r="L107" i="5" s="1"/>
  <c r="J108" i="5"/>
  <c r="L108" i="5" s="1"/>
  <c r="J109" i="5"/>
  <c r="L109" i="5" s="1"/>
  <c r="J110" i="5"/>
  <c r="L110" i="5" s="1"/>
  <c r="J111" i="5"/>
  <c r="L111" i="5" s="1"/>
  <c r="J112" i="5"/>
  <c r="L112" i="5" s="1"/>
  <c r="J113" i="5"/>
  <c r="L113" i="5" s="1"/>
  <c r="J114" i="5"/>
  <c r="L114" i="5" s="1"/>
  <c r="J115" i="5"/>
  <c r="L115" i="5" s="1"/>
  <c r="J116" i="5"/>
  <c r="L116" i="5" s="1"/>
  <c r="J117" i="5"/>
  <c r="L117" i="5" s="1"/>
  <c r="J118" i="5"/>
  <c r="L118" i="5" s="1"/>
  <c r="J120" i="5"/>
  <c r="L120" i="5" s="1"/>
  <c r="J121" i="5"/>
  <c r="L121" i="5" s="1"/>
  <c r="J122" i="5"/>
  <c r="L122" i="5" s="1"/>
  <c r="J123" i="5"/>
  <c r="L123" i="5" s="1"/>
  <c r="J124" i="5"/>
  <c r="L124" i="5" s="1"/>
  <c r="J125" i="5"/>
  <c r="L125" i="5" s="1"/>
  <c r="J126" i="5"/>
  <c r="L126" i="5" s="1"/>
  <c r="J127" i="5"/>
  <c r="L127" i="5" s="1"/>
  <c r="J128" i="5"/>
  <c r="L128" i="5" s="1"/>
  <c r="J129" i="5"/>
  <c r="L129" i="5" s="1"/>
  <c r="J130" i="5"/>
  <c r="L130" i="5" s="1"/>
  <c r="J131" i="5"/>
  <c r="L131" i="5" s="1"/>
  <c r="C5" i="1" l="1"/>
  <c r="C13" i="1"/>
  <c r="B14" i="1"/>
  <c r="C16" i="1"/>
  <c r="B25" i="1"/>
  <c r="B31" i="1"/>
  <c r="C25" i="1"/>
  <c r="B3" i="1"/>
  <c r="C15" i="1"/>
  <c r="B16" i="1"/>
  <c r="C4" i="1"/>
  <c r="C18" i="1"/>
  <c r="B27" i="1"/>
  <c r="B17" i="1"/>
  <c r="B10" i="1"/>
  <c r="B15" i="1"/>
  <c r="B9" i="1"/>
  <c r="C22" i="1"/>
  <c r="B11" i="1"/>
  <c r="B18" i="1"/>
  <c r="C26" i="1"/>
  <c r="C19" i="1"/>
  <c r="C20" i="1"/>
  <c r="B28" i="1"/>
  <c r="B4" i="1"/>
  <c r="B6" i="1"/>
  <c r="C2" i="1"/>
  <c r="C7" i="1"/>
  <c r="C21" i="1"/>
  <c r="B12" i="1"/>
  <c r="B20" i="1"/>
  <c r="C8" i="1"/>
  <c r="C27" i="1"/>
  <c r="C12" i="1"/>
  <c r="B19" i="1"/>
  <c r="B2" i="1"/>
  <c r="B21" i="1"/>
  <c r="C9" i="1"/>
  <c r="B5" i="1"/>
  <c r="B26" i="1"/>
  <c r="B13" i="1"/>
  <c r="B7" i="1"/>
  <c r="B22" i="1"/>
  <c r="B8" i="1"/>
  <c r="C14" i="1"/>
  <c r="C3" i="1"/>
  <c r="C28" i="1"/>
  <c r="C29" i="1"/>
  <c r="B29" i="1"/>
  <c r="C10" i="1"/>
  <c r="C17" i="1"/>
  <c r="C30" i="1"/>
  <c r="B30" i="1"/>
  <c r="C6" i="1"/>
  <c r="C11" i="1"/>
  <c r="C31" i="1"/>
  <c r="D24" i="1"/>
  <c r="D23" i="1"/>
  <c r="J2" i="5"/>
  <c r="L2" i="5" s="1"/>
  <c r="J2" i="4"/>
  <c r="L2" i="4" s="1"/>
  <c r="J2" i="3"/>
  <c r="L2" i="3" s="1"/>
  <c r="D13" i="1" l="1"/>
  <c r="D5" i="1"/>
  <c r="D14" i="1"/>
  <c r="D17" i="1"/>
  <c r="D10" i="1"/>
  <c r="D25" i="1"/>
  <c r="D31" i="1"/>
  <c r="D15" i="1"/>
  <c r="D16" i="1"/>
  <c r="D22" i="1"/>
  <c r="D27" i="1"/>
  <c r="D3" i="1"/>
  <c r="D4" i="1"/>
  <c r="D26" i="1"/>
  <c r="D18" i="1"/>
  <c r="D20" i="1"/>
  <c r="D6" i="1"/>
  <c r="D28" i="1"/>
  <c r="D9" i="1"/>
  <c r="D11" i="1"/>
  <c r="D2" i="1"/>
  <c r="D21" i="1"/>
  <c r="D7" i="1"/>
  <c r="D19" i="1"/>
  <c r="D8" i="1"/>
  <c r="D30" i="1"/>
  <c r="D12" i="1"/>
  <c r="D29" i="1"/>
</calcChain>
</file>

<file path=xl/sharedStrings.xml><?xml version="1.0" encoding="utf-8"?>
<sst xmlns="http://schemas.openxmlformats.org/spreadsheetml/2006/main" count="3494" uniqueCount="157">
  <si>
    <t>Item</t>
  </si>
  <si>
    <t>Total London</t>
  </si>
  <si>
    <t>Total Outports</t>
  </si>
  <si>
    <t>Total</t>
  </si>
  <si>
    <t>Annatto</t>
  </si>
  <si>
    <t>Bees Wax</t>
  </si>
  <si>
    <t>Brown Sugar</t>
  </si>
  <si>
    <t>Chocolate</t>
  </si>
  <si>
    <t>Cocoa Nuts</t>
  </si>
  <si>
    <t>Cotton</t>
  </si>
  <si>
    <t>Dry Ginger</t>
  </si>
  <si>
    <t>Elephant Teeth</t>
  </si>
  <si>
    <t>Indigo</t>
  </si>
  <si>
    <t>Lignum Vitae</t>
  </si>
  <si>
    <t>Lime Juice</t>
  </si>
  <si>
    <t>Molasses</t>
  </si>
  <si>
    <t>Pimento</t>
  </si>
  <si>
    <t>Rice</t>
  </si>
  <si>
    <t>Rum</t>
  </si>
  <si>
    <t>Shruff</t>
  </si>
  <si>
    <t>Tobacco</t>
  </si>
  <si>
    <t>Tortoise Shell</t>
  </si>
  <si>
    <t>White Sugar</t>
  </si>
  <si>
    <t>Loaf Sugar</t>
  </si>
  <si>
    <t>Sugar Loaf</t>
  </si>
  <si>
    <t>Muscavado Sugar</t>
  </si>
  <si>
    <t>Sasparilla</t>
  </si>
  <si>
    <t>Madera Wine</t>
  </si>
  <si>
    <t>ton</t>
  </si>
  <si>
    <t>hh</t>
  </si>
  <si>
    <t>quarter</t>
  </si>
  <si>
    <t>lb</t>
  </si>
  <si>
    <t>Total Pounds</t>
  </si>
  <si>
    <t>London</t>
  </si>
  <si>
    <t>Lemon Water</t>
  </si>
  <si>
    <t>Out Ports</t>
  </si>
  <si>
    <t>Aloes Epatica</t>
  </si>
  <si>
    <t>Cocheneal</t>
  </si>
  <si>
    <t>Chocolate Paste</t>
  </si>
  <si>
    <t>Green Ginger</t>
  </si>
  <si>
    <t>Cocoa Paste</t>
  </si>
  <si>
    <t>Logwood</t>
  </si>
  <si>
    <t>Oranges</t>
  </si>
  <si>
    <t>Barrel Staves</t>
  </si>
  <si>
    <t>Hemp</t>
  </si>
  <si>
    <t>Snuff</t>
  </si>
  <si>
    <t>Cortex Winteranus</t>
  </si>
  <si>
    <t>Pickles</t>
  </si>
  <si>
    <t>YEAR</t>
  </si>
  <si>
    <t>COMMODITY_NAME</t>
  </si>
  <si>
    <t>FROM_LOCATION</t>
  </si>
  <si>
    <t>TO_LOCATION</t>
  </si>
  <si>
    <t>WEIGHT</t>
  </si>
  <si>
    <t>Antigua</t>
  </si>
  <si>
    <t>Succads</t>
  </si>
  <si>
    <t>Almonds, Bitter</t>
  </si>
  <si>
    <t>Barbados</t>
  </si>
  <si>
    <t>Almonds, Sweet</t>
  </si>
  <si>
    <t>Anniseeds</t>
  </si>
  <si>
    <t>Brimstone</t>
  </si>
  <si>
    <t>Cassia Fistula</t>
  </si>
  <si>
    <t>Wood, Braziletto</t>
  </si>
  <si>
    <t>Wood, Fustick</t>
  </si>
  <si>
    <t>Wood, Logwood</t>
  </si>
  <si>
    <t>Wood, Redwood</t>
  </si>
  <si>
    <t>Wood, Sweetwood</t>
  </si>
  <si>
    <t>Bermudos Plat</t>
  </si>
  <si>
    <t>Bermuda</t>
  </si>
  <si>
    <t>Jamaica</t>
  </si>
  <si>
    <t>Bacon</t>
  </si>
  <si>
    <t>Wood, Nicaragua</t>
  </si>
  <si>
    <t>Tallow</t>
  </si>
  <si>
    <t>Mountserat</t>
  </si>
  <si>
    <t>Nevis</t>
  </si>
  <si>
    <t>StKitts</t>
  </si>
  <si>
    <t>Anguilla</t>
  </si>
  <si>
    <t>Bay Berries</t>
  </si>
  <si>
    <t>Coffee</t>
  </si>
  <si>
    <t>Cortex Peru</t>
  </si>
  <si>
    <t>Guinea Grains</t>
  </si>
  <si>
    <t>Indigo, Plantation</t>
  </si>
  <si>
    <t>Indigo, Spanish</t>
  </si>
  <si>
    <t>Jallop?</t>
  </si>
  <si>
    <t>Orchelia</t>
  </si>
  <si>
    <t>Saunders Yellow</t>
  </si>
  <si>
    <t>Smalts</t>
  </si>
  <si>
    <t>Tamerinds</t>
  </si>
  <si>
    <t>Wood, Ebony</t>
  </si>
  <si>
    <t>Wood, Iron</t>
  </si>
  <si>
    <t>Wood, Mahogany</t>
  </si>
  <si>
    <t>Turpentine</t>
  </si>
  <si>
    <t>Wood, Cam</t>
  </si>
  <si>
    <t>Barbados T…</t>
  </si>
  <si>
    <t>Old Pewter</t>
  </si>
  <si>
    <t>Tortola</t>
  </si>
  <si>
    <t>Tamarinds</t>
  </si>
  <si>
    <t>Cascarilla</t>
  </si>
  <si>
    <t>Hypococania</t>
  </si>
  <si>
    <t>Wood, Cocus</t>
  </si>
  <si>
    <t>Wood, Cocoa</t>
  </si>
  <si>
    <t>WestIndiesGeneral</t>
  </si>
  <si>
    <t>Balsam Natural</t>
  </si>
  <si>
    <t>Gum Seneca</t>
  </si>
  <si>
    <t>Gum Guiaci</t>
  </si>
  <si>
    <t>Beaver Skins</t>
  </si>
  <si>
    <t>Whalefins</t>
  </si>
  <si>
    <t>Potatoes</t>
  </si>
  <si>
    <t>23g</t>
  </si>
  <si>
    <t>13g</t>
  </si>
  <si>
    <t>18671g</t>
  </si>
  <si>
    <t>32t 19g</t>
  </si>
  <si>
    <t>Wood, Camwood</t>
  </si>
  <si>
    <t>511bags</t>
  </si>
  <si>
    <t>30.5g</t>
  </si>
  <si>
    <t>8819g</t>
  </si>
  <si>
    <t>198t 3h 56g</t>
  </si>
  <si>
    <t>171bags</t>
  </si>
  <si>
    <t>824g</t>
  </si>
  <si>
    <t>4.5 bags</t>
  </si>
  <si>
    <t>Balsam Artificial</t>
  </si>
  <si>
    <t>47g</t>
  </si>
  <si>
    <t>9.75g</t>
  </si>
  <si>
    <t>545176.5g</t>
  </si>
  <si>
    <t>29t 3h 46g</t>
  </si>
  <si>
    <t>1728.5bags</t>
  </si>
  <si>
    <t>4g</t>
  </si>
  <si>
    <t>2947g</t>
  </si>
  <si>
    <t>52t 1h 13g</t>
  </si>
  <si>
    <t>138.25bags</t>
  </si>
  <si>
    <t>2g</t>
  </si>
  <si>
    <t>3314g</t>
  </si>
  <si>
    <t>2t 19g</t>
  </si>
  <si>
    <t>8bags</t>
  </si>
  <si>
    <t>Archelia</t>
  </si>
  <si>
    <t>17g</t>
  </si>
  <si>
    <t>11649g</t>
  </si>
  <si>
    <t>99t 11g</t>
  </si>
  <si>
    <t>612bags</t>
  </si>
  <si>
    <t>177.5bags</t>
  </si>
  <si>
    <t>4293g</t>
  </si>
  <si>
    <t>3t 1h 6g</t>
  </si>
  <si>
    <t>1037.5bags</t>
  </si>
  <si>
    <t>8562g</t>
  </si>
  <si>
    <t>1220bags</t>
  </si>
  <si>
    <t>91224g</t>
  </si>
  <si>
    <t>7t 46g</t>
  </si>
  <si>
    <t>1322.5bags</t>
  </si>
  <si>
    <t>281g</t>
  </si>
  <si>
    <t>173bags</t>
  </si>
  <si>
    <t>118.5g</t>
  </si>
  <si>
    <t>29.5bags</t>
  </si>
  <si>
    <t>17687g</t>
  </si>
  <si>
    <t>2t 5g</t>
  </si>
  <si>
    <t>416.75bags</t>
  </si>
  <si>
    <t>119g</t>
  </si>
  <si>
    <t>2t 3h 15g</t>
  </si>
  <si>
    <t>988bags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</si>
</sst>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E34F2-F1DF-460D-957C-2DA5A774C49B}">
  <dimension ref="A1:D31"/>
  <sheetViews>
    <sheetView tabSelected="1" workbookViewId="0"/>
  </sheetViews>
  <sheetFormatPr defaultRowHeight="15" x14ac:dyDescent="0.25"/>
  <cols>
    <col min="1" max="1" width="17.140625" customWidth="1"/>
    <col min="2" max="2" width="21.85546875" customWidth="1"/>
    <col min="3" max="3" width="21" customWidth="1"/>
    <col min="4" max="4" width="20.85546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f>SUMIFS(Antigua!$L:$L, Antigua!$B:$B, $A2, Antigua!$D:$D, "London") + SUMIFS(Barbados!$L:$L, Barbados!$B:$B, $A2, Barbados!$D:$D, "London") + SUMIFS(Bermuda!$L:$L, Bermuda!$B:$B, $A2, Bermuda!$D:$D, "London") + SUMIFS(Jamaica!$L:$L, Jamaica!$B:$B, $A2, Jamaica!$D:$D, "London") + SUMIFS(Mountserat!$L:$L, Mountserat!$B:$B, $A2, Mountserat!$D:$D, "London") + SUMIFS(Nevis!$L:$L, Nevis!$B:$B, $A2, Nevis!$D:$D, "London") + SUMIFS('St Kitts'!$L:$L, 'St Kitts'!$B:$B, $A2, 'St Kitts'!$D:$D, "London") + SUMIFS(WestIndiesGeneral!$L:$L, WestIndiesGeneral!$B:$B, $A2, WestIndiesGeneral!$D:$D, "London")</f>
        <v>3.8299107142857145</v>
      </c>
      <c r="C2">
        <f>SUMIFS(Antigua!$L:$L, Antigua!$B:$B, $A2, Antigua!$D:$D, "Out Ports") + SUMIFS(Barbados!$L:$L, Barbados!$B:$B, $A2, Barbados!$D:$D, "Out Ports") + SUMIFS(Bermuda!$L:$L, Bermuda!$B:$B, $A2, Bermuda!$D:$D, "Out Ports") + SUMIFS(Jamaica!$L:$L, Jamaica!$B:$B, $A2, Jamaica!$D:$D, "Out Ports") + SUMIFS(Mountserat!$L:$L, Mountserat!$B:$B, $A2, Mountserat!$D:$D, "Out Ports") + SUMIFS(Nevis!$L:$L, Nevis!$B:$B, $A2, Nevis!$D:$D, "Out Ports") + SUMIFS('St Kitts'!$L:$L, 'St Kitts'!$B:$B, $A2, 'St Kitts'!$D:$D, "Out Ports") + SUMIFS(WestIndiesGeneral!$L:$L, WestIndiesGeneral!$B:$B, $A2, WestIndiesGeneral!$D:$D, "London")</f>
        <v>0</v>
      </c>
      <c r="D2">
        <f>B2+C2</f>
        <v>3.8299107142857145</v>
      </c>
    </row>
    <row r="3" spans="1:4" x14ac:dyDescent="0.25">
      <c r="A3" t="s">
        <v>5</v>
      </c>
      <c r="B3">
        <f>SUMIFS(Antigua!$L:$L, Antigua!$B:$B, $A3, Antigua!$D:$D, "London") + SUMIFS(Barbados!$L:$L, Barbados!$B:$B, $A3, Barbados!$D:$D, "London") + SUMIFS(Bermuda!$L:$L, Bermuda!$B:$B, $A3, Bermuda!$D:$D, "London") + SUMIFS(Jamaica!$L:$L, Jamaica!$B:$B, $A3, Jamaica!$D:$D, "London") + SUMIFS(Mountserat!$L:$L, Mountserat!$B:$B, $A3, Mountserat!$D:$D, "London") + SUMIFS(Nevis!$L:$L, Nevis!$B:$B, $A3, Nevis!$D:$D, "London") + SUMIFS('St Kitts'!$L:$L, 'St Kitts'!$B:$B, $A3, 'St Kitts'!$D:$D, "London") + SUMIFS(WestIndiesGeneral!$L:$L, WestIndiesGeneral!$B:$B, $A3, WestIndiesGeneral!$D:$D, "London")</f>
        <v>2.0142857142857142</v>
      </c>
      <c r="C3">
        <f>SUMIFS(Antigua!$L:$L, Antigua!$B:$B, $A3, Antigua!$D:$D, "Out Ports") + SUMIFS(Barbados!$L:$L, Barbados!$B:$B, $A3, Barbados!$D:$D, "Out Ports") + SUMIFS(Bermuda!$L:$L, Bermuda!$B:$B, $A3, Bermuda!$D:$D, "Out Ports") + SUMIFS(Jamaica!$L:$L, Jamaica!$B:$B, $A3, Jamaica!$D:$D, "Out Ports") + SUMIFS(Mountserat!$L:$L, Mountserat!$B:$B, $A3, Mountserat!$D:$D, "Out Ports") + SUMIFS(Nevis!$L:$L, Nevis!$B:$B, $A3, Nevis!$D:$D, "Out Ports") + SUMIFS('St Kitts'!$L:$L, 'St Kitts'!$B:$B, $A3, 'St Kitts'!$D:$D, "Out Ports") + SUMIFS(WestIndiesGeneral!$L:$L, WestIndiesGeneral!$B:$B, $A3, WestIndiesGeneral!$D:$D, "London")</f>
        <v>1.4281250000000001</v>
      </c>
      <c r="D3">
        <f t="shared" ref="D3:D31" si="0">B3+C3</f>
        <v>3.4424107142857143</v>
      </c>
    </row>
    <row r="4" spans="1:4" x14ac:dyDescent="0.25">
      <c r="A4" t="s">
        <v>6</v>
      </c>
      <c r="B4">
        <f>SUMIFS(Antigua!$L:$L, Antigua!$B:$B, $A4, Antigua!$D:$D, "London") + SUMIFS(Barbados!$L:$L, Barbados!$B:$B, $A4, Barbados!$D:$D, "London") + SUMIFS(Bermuda!$L:$L, Bermuda!$B:$B, $A4, Bermuda!$D:$D, "London") + SUMIFS(Jamaica!$L:$L, Jamaica!$B:$B, $A4, Jamaica!$D:$D, "London") + SUMIFS(Mountserat!$L:$L, Mountserat!$B:$B, $A4, Mountserat!$D:$D, "London") + SUMIFS(Nevis!$L:$L, Nevis!$B:$B, $A4, Nevis!$D:$D, "London") + SUMIFS('St Kitts'!$L:$L, 'St Kitts'!$B:$B, $A4, 'St Kitts'!$D:$D, "London") + SUMIFS(WestIndiesGeneral!$L:$L, WestIndiesGeneral!$B:$B, $A4, WestIndiesGeneral!$D:$D, "London")</f>
        <v>30674.496874999997</v>
      </c>
      <c r="C4">
        <f>SUMIFS(Antigua!$L:$L, Antigua!$B:$B, $A4, Antigua!$D:$D, "Out Ports") + SUMIFS(Barbados!$L:$L, Barbados!$B:$B, $A4, Barbados!$D:$D, "Out Ports") + SUMIFS(Bermuda!$L:$L, Bermuda!$B:$B, $A4, Bermuda!$D:$D, "Out Ports") + SUMIFS(Jamaica!$L:$L, Jamaica!$B:$B, $A4, Jamaica!$D:$D, "Out Ports") + SUMIFS(Mountserat!$L:$L, Mountserat!$B:$B, $A4, Mountserat!$D:$D, "Out Ports") + SUMIFS(Nevis!$L:$L, Nevis!$B:$B, $A4, Nevis!$D:$D, "Out Ports") + SUMIFS('St Kitts'!$L:$L, 'St Kitts'!$B:$B, $A4, 'St Kitts'!$D:$D, "Out Ports") + SUMIFS(WestIndiesGeneral!$L:$L, WestIndiesGeneral!$B:$B, $A4, WestIndiesGeneral!$D:$D, "London")</f>
        <v>10501.927678571428</v>
      </c>
      <c r="D4">
        <f t="shared" si="0"/>
        <v>41176.424553571429</v>
      </c>
    </row>
    <row r="5" spans="1:4" x14ac:dyDescent="0.25">
      <c r="A5" t="s">
        <v>7</v>
      </c>
      <c r="B5">
        <f>SUMIFS(Antigua!$L:$L, Antigua!$B:$B, $A5, Antigua!$D:$D, "London") + SUMIFS(Barbados!$L:$L, Barbados!$B:$B, $A5, Barbados!$D:$D, "London") + SUMIFS(Bermuda!$L:$L, Bermuda!$B:$B, $A5, Bermuda!$D:$D, "London") + SUMIFS(Jamaica!$L:$L, Jamaica!$B:$B, $A5, Jamaica!$D:$D, "London") + SUMIFS(Mountserat!$L:$L, Mountserat!$B:$B, $A5, Mountserat!$D:$D, "London") + SUMIFS(Nevis!$L:$L, Nevis!$B:$B, $A5, Nevis!$D:$D, "London") + SUMIFS('St Kitts'!$L:$L, 'St Kitts'!$B:$B, $A5, 'St Kitts'!$D:$D, "London") + SUMIFS(WestIndiesGeneral!$L:$L, WestIndiesGeneral!$B:$B, $A5, WestIndiesGeneral!$D:$D, "London")</f>
        <v>0</v>
      </c>
      <c r="C5">
        <f>SUMIFS(Antigua!$L:$L, Antigua!$B:$B, $A5, Antigua!$D:$D, "Out Ports") + SUMIFS(Barbados!$L:$L, Barbados!$B:$B, $A5, Barbados!$D:$D, "Out Ports") + SUMIFS(Bermuda!$L:$L, Bermuda!$B:$B, $A5, Bermuda!$D:$D, "Out Ports") + SUMIFS(Jamaica!$L:$L, Jamaica!$B:$B, $A5, Jamaica!$D:$D, "Out Ports") + SUMIFS(Mountserat!$L:$L, Mountserat!$B:$B, $A5, Mountserat!$D:$D, "Out Ports") + SUMIFS(Nevis!$L:$L, Nevis!$B:$B, $A5, Nevis!$D:$D, "Out Ports") + SUMIFS('St Kitts'!$L:$L, 'St Kitts'!$B:$B, $A5, 'St Kitts'!$D:$D, "Out Ports") + SUMIFS(WestIndiesGeneral!$L:$L, WestIndiesGeneral!$B:$B, $A5, WestIndiesGeneral!$D:$D, "London")</f>
        <v>0</v>
      </c>
      <c r="D5">
        <f t="shared" si="0"/>
        <v>0</v>
      </c>
    </row>
    <row r="6" spans="1:4" x14ac:dyDescent="0.25">
      <c r="A6" t="s">
        <v>8</v>
      </c>
      <c r="B6">
        <f>SUMIFS(Antigua!$L:$L, Antigua!$B:$B, $A6, Antigua!$D:$D, "London") + SUMIFS(Barbados!$L:$L, Barbados!$B:$B, $A6, Barbados!$D:$D, "London") + SUMIFS(Bermuda!$L:$L, Bermuda!$B:$B, $A6, Bermuda!$D:$D, "London") + SUMIFS(Jamaica!$L:$L, Jamaica!$B:$B, $A6, Jamaica!$D:$D, "London") + SUMIFS(Mountserat!$L:$L, Mountserat!$B:$B, $A6, Mountserat!$D:$D, "London") + SUMIFS(Nevis!$L:$L, Nevis!$B:$B, $A6, Nevis!$D:$D, "London") + SUMIFS('St Kitts'!$L:$L, 'St Kitts'!$B:$B, $A6, 'St Kitts'!$D:$D, "London") + SUMIFS(WestIndiesGeneral!$L:$L, WestIndiesGeneral!$B:$B, $A6, WestIndiesGeneral!$D:$D, "London")</f>
        <v>28.438839285714284</v>
      </c>
      <c r="C6">
        <f>SUMIFS(Antigua!$L:$L, Antigua!$B:$B, $A6, Antigua!$D:$D, "Out Ports") + SUMIFS(Barbados!$L:$L, Barbados!$B:$B, $A6, Barbados!$D:$D, "Out Ports") + SUMIFS(Bermuda!$L:$L, Bermuda!$B:$B, $A6, Bermuda!$D:$D, "Out Ports") + SUMIFS(Jamaica!$L:$L, Jamaica!$B:$B, $A6, Jamaica!$D:$D, "Out Ports") + SUMIFS(Mountserat!$L:$L, Mountserat!$B:$B, $A6, Mountserat!$D:$D, "Out Ports") + SUMIFS(Nevis!$L:$L, Nevis!$B:$B, $A6, Nevis!$D:$D, "Out Ports") + SUMIFS('St Kitts'!$L:$L, 'St Kitts'!$B:$B, $A6, 'St Kitts'!$D:$D, "Out Ports") + SUMIFS(WestIndiesGeneral!$L:$L, WestIndiesGeneral!$B:$B, $A6, WestIndiesGeneral!$D:$D, "London")</f>
        <v>9.1566964285714274</v>
      </c>
      <c r="D6">
        <f t="shared" si="0"/>
        <v>37.59553571428571</v>
      </c>
    </row>
    <row r="7" spans="1:4" x14ac:dyDescent="0.25">
      <c r="A7" t="s">
        <v>9</v>
      </c>
      <c r="B7">
        <f>SUMIFS(Antigua!$L:$L, Antigua!$B:$B, $A7, Antigua!$D:$D, "London") + SUMIFS(Barbados!$L:$L, Barbados!$B:$B, $A7, Barbados!$D:$D, "London") + SUMIFS(Bermuda!$L:$L, Bermuda!$B:$B, $A7, Bermuda!$D:$D, "London") + SUMIFS(Jamaica!$L:$L, Jamaica!$B:$B, $A7, Jamaica!$D:$D, "London") + SUMIFS(Mountserat!$L:$L, Mountserat!$B:$B, $A7, Mountserat!$D:$D, "London") + SUMIFS(Nevis!$L:$L, Nevis!$B:$B, $A7, Nevis!$D:$D, "London") + SUMIFS('St Kitts'!$L:$L, 'St Kitts'!$B:$B, $A7, 'St Kitts'!$D:$D, "London") + SUMIFS(WestIndiesGeneral!$L:$L, WestIndiesGeneral!$B:$B, $A7, WestIndiesGeneral!$D:$D, "London")</f>
        <v>283.32589285714289</v>
      </c>
      <c r="C7">
        <f>SUMIFS(Antigua!$L:$L, Antigua!$B:$B, $A7, Antigua!$D:$D, "Out Ports") + SUMIFS(Barbados!$L:$L, Barbados!$B:$B, $A7, Barbados!$D:$D, "Out Ports") + SUMIFS(Bermuda!$L:$L, Bermuda!$B:$B, $A7, Bermuda!$D:$D, "Out Ports") + SUMIFS(Jamaica!$L:$L, Jamaica!$B:$B, $A7, Jamaica!$D:$D, "Out Ports") + SUMIFS(Mountserat!$L:$L, Mountserat!$B:$B, $A7, Mountserat!$D:$D, "Out Ports") + SUMIFS(Nevis!$L:$L, Nevis!$B:$B, $A7, Nevis!$D:$D, "Out Ports") + SUMIFS('St Kitts'!$L:$L, 'St Kitts'!$B:$B, $A7, 'St Kitts'!$D:$D, "Out Ports") + SUMIFS(WestIndiesGeneral!$L:$L, WestIndiesGeneral!$B:$B, $A7, WestIndiesGeneral!$D:$D, "London")</f>
        <v>374.93303571428567</v>
      </c>
      <c r="D7">
        <f t="shared" si="0"/>
        <v>658.25892857142856</v>
      </c>
    </row>
    <row r="8" spans="1:4" x14ac:dyDescent="0.25">
      <c r="A8" t="s">
        <v>10</v>
      </c>
      <c r="B8">
        <f>SUMIFS(Antigua!$L:$L, Antigua!$B:$B, $A8, Antigua!$D:$D, "London") + SUMIFS(Barbados!$L:$L, Barbados!$B:$B, $A8, Barbados!$D:$D, "London") + SUMIFS(Bermuda!$L:$L, Bermuda!$B:$B, $A8, Bermuda!$D:$D, "London") + SUMIFS(Jamaica!$L:$L, Jamaica!$B:$B, $A8, Jamaica!$D:$D, "London") + SUMIFS(Mountserat!$L:$L, Mountserat!$B:$B, $A8, Mountserat!$D:$D, "London") + SUMIFS(Nevis!$L:$L, Nevis!$B:$B, $A8, Nevis!$D:$D, "London") + SUMIFS('St Kitts'!$L:$L, 'St Kitts'!$B:$B, $A8, 'St Kitts'!$D:$D, "London") + SUMIFS(WestIndiesGeneral!$L:$L, WestIndiesGeneral!$B:$B, $A8, WestIndiesGeneral!$D:$D, "London")</f>
        <v>535.32455357142851</v>
      </c>
      <c r="C8">
        <f>SUMIFS(Antigua!$L:$L, Antigua!$B:$B, $A8, Antigua!$D:$D, "Out Ports") + SUMIFS(Barbados!$L:$L, Barbados!$B:$B, $A8, Barbados!$D:$D, "Out Ports") + SUMIFS(Bermuda!$L:$L, Bermuda!$B:$B, $A8, Bermuda!$D:$D, "Out Ports") + SUMIFS(Jamaica!$L:$L, Jamaica!$B:$B, $A8, Jamaica!$D:$D, "Out Ports") + SUMIFS(Mountserat!$L:$L, Mountserat!$B:$B, $A8, Mountserat!$D:$D, "Out Ports") + SUMIFS(Nevis!$L:$L, Nevis!$B:$B, $A8, Nevis!$D:$D, "Out Ports") + SUMIFS('St Kitts'!$L:$L, 'St Kitts'!$B:$B, $A8, 'St Kitts'!$D:$D, "Out Ports") + SUMIFS(WestIndiesGeneral!$L:$L, WestIndiesGeneral!$B:$B, $A8, WestIndiesGeneral!$D:$D, "London")</f>
        <v>443.28437500000001</v>
      </c>
      <c r="D8">
        <f t="shared" si="0"/>
        <v>978.60892857142858</v>
      </c>
    </row>
    <row r="9" spans="1:4" x14ac:dyDescent="0.25">
      <c r="A9" t="s">
        <v>11</v>
      </c>
      <c r="B9">
        <f>SUMIFS(Antigua!$L:$L, Antigua!$B:$B, $A9, Antigua!$D:$D, "London") + SUMIFS(Barbados!$L:$L, Barbados!$B:$B, $A9, Barbados!$D:$D, "London") + SUMIFS(Bermuda!$L:$L, Bermuda!$B:$B, $A9, Bermuda!$D:$D, "London") + SUMIFS(Jamaica!$L:$L, Jamaica!$B:$B, $A9, Jamaica!$D:$D, "London") + SUMIFS(Mountserat!$L:$L, Mountserat!$B:$B, $A9, Mountserat!$D:$D, "London") + SUMIFS(Nevis!$L:$L, Nevis!$B:$B, $A9, Nevis!$D:$D, "London") + SUMIFS('St Kitts'!$L:$L, 'St Kitts'!$B:$B, $A9, 'St Kitts'!$D:$D, "London") + SUMIFS(WestIndiesGeneral!$L:$L, WestIndiesGeneral!$B:$B, $A9, WestIndiesGeneral!$D:$D, "London")</f>
        <v>21.427678571428572</v>
      </c>
      <c r="C9">
        <f>SUMIFS(Antigua!$L:$L, Antigua!$B:$B, $A9, Antigua!$D:$D, "Out Ports") + SUMIFS(Barbados!$L:$L, Barbados!$B:$B, $A9, Barbados!$D:$D, "Out Ports") + SUMIFS(Bermuda!$L:$L, Bermuda!$B:$B, $A9, Bermuda!$D:$D, "Out Ports") + SUMIFS(Jamaica!$L:$L, Jamaica!$B:$B, $A9, Jamaica!$D:$D, "Out Ports") + SUMIFS(Mountserat!$L:$L, Mountserat!$B:$B, $A9, Mountserat!$D:$D, "Out Ports") + SUMIFS(Nevis!$L:$L, Nevis!$B:$B, $A9, Nevis!$D:$D, "Out Ports") + SUMIFS('St Kitts'!$L:$L, 'St Kitts'!$B:$B, $A9, 'St Kitts'!$D:$D, "Out Ports") + SUMIFS(WestIndiesGeneral!$L:$L, WestIndiesGeneral!$B:$B, $A9, WestIndiesGeneral!$D:$D, "London")</f>
        <v>22.796428571428574</v>
      </c>
      <c r="D9">
        <f t="shared" si="0"/>
        <v>44.22410714285715</v>
      </c>
    </row>
    <row r="10" spans="1:4" x14ac:dyDescent="0.25">
      <c r="A10" t="s">
        <v>12</v>
      </c>
      <c r="B10">
        <f>SUMIFS(Antigua!$L:$L, Antigua!$B:$B, $A10, Antigua!$D:$D, "London") + SUMIFS(Barbados!$L:$L, Barbados!$B:$B, $A10, Barbados!$D:$D, "London") + SUMIFS(Bermuda!$L:$L, Bermuda!$B:$B, $A10, Bermuda!$D:$D, "London") + SUMIFS(Jamaica!$L:$L, Jamaica!$B:$B, $A10, Jamaica!$D:$D, "London") + SUMIFS(Mountserat!$L:$L, Mountserat!$B:$B, $A10, Mountserat!$D:$D, "London") + SUMIFS(Nevis!$L:$L, Nevis!$B:$B, $A10, Nevis!$D:$D, "London") + SUMIFS('St Kitts'!$L:$L, 'St Kitts'!$B:$B, $A10, 'St Kitts'!$D:$D, "London") + SUMIFS(WestIndiesGeneral!$L:$L, WestIndiesGeneral!$B:$B, $A10, WestIndiesGeneral!$D:$D, "London")</f>
        <v>5.5058035714285705</v>
      </c>
      <c r="C10">
        <f>SUMIFS(Antigua!$L:$L, Antigua!$B:$B, $A10, Antigua!$D:$D, "Out Ports") + SUMIFS(Barbados!$L:$L, Barbados!$B:$B, $A10, Barbados!$D:$D, "Out Ports") + SUMIFS(Bermuda!$L:$L, Bermuda!$B:$B, $A10, Bermuda!$D:$D, "Out Ports") + SUMIFS(Jamaica!$L:$L, Jamaica!$B:$B, $A10, Jamaica!$D:$D, "Out Ports") + SUMIFS(Mountserat!$L:$L, Mountserat!$B:$B, $A10, Mountserat!$D:$D, "Out Ports") + SUMIFS(Nevis!$L:$L, Nevis!$B:$B, $A10, Nevis!$D:$D, "Out Ports") + SUMIFS('St Kitts'!$L:$L, 'St Kitts'!$B:$B, $A10, 'St Kitts'!$D:$D, "Out Ports") + SUMIFS(WestIndiesGeneral!$L:$L, WestIndiesGeneral!$B:$B, $A10, WestIndiesGeneral!$D:$D, "London")</f>
        <v>3.7750000000000004</v>
      </c>
      <c r="D10">
        <f t="shared" si="0"/>
        <v>9.2808035714285708</v>
      </c>
    </row>
    <row r="11" spans="1:4" x14ac:dyDescent="0.25">
      <c r="A11" t="s">
        <v>13</v>
      </c>
      <c r="B11">
        <f>SUMIFS(Antigua!$L:$L, Antigua!$B:$B, $A11, Antigua!$D:$D, "London") + SUMIFS(Barbados!$L:$L, Barbados!$B:$B, $A11, Barbados!$D:$D, "London") + SUMIFS(Bermuda!$L:$L, Bermuda!$B:$B, $A11, Bermuda!$D:$D, "London") + SUMIFS(Jamaica!$L:$L, Jamaica!$B:$B, $A11, Jamaica!$D:$D, "London") + SUMIFS(Mountserat!$L:$L, Mountserat!$B:$B, $A11, Mountserat!$D:$D, "London") + SUMIFS(Nevis!$L:$L, Nevis!$B:$B, $A11, Nevis!$D:$D, "London") + SUMIFS('St Kitts'!$L:$L, 'St Kitts'!$B:$B, $A11, 'St Kitts'!$D:$D, "London") + SUMIFS(WestIndiesGeneral!$L:$L, WestIndiesGeneral!$B:$B, $A11, WestIndiesGeneral!$D:$D, "London")</f>
        <v>957.8125</v>
      </c>
      <c r="C11">
        <f>SUMIFS(Antigua!$L:$L, Antigua!$B:$B, $A11, Antigua!$D:$D, "Out Ports") + SUMIFS(Barbados!$L:$L, Barbados!$B:$B, $A11, Barbados!$D:$D, "Out Ports") + SUMIFS(Bermuda!$L:$L, Bermuda!$B:$B, $A11, Bermuda!$D:$D, "Out Ports") + SUMIFS(Jamaica!$L:$L, Jamaica!$B:$B, $A11, Jamaica!$D:$D, "Out Ports") + SUMIFS(Mountserat!$L:$L, Mountserat!$B:$B, $A11, Mountserat!$D:$D, "Out Ports") + SUMIFS(Nevis!$L:$L, Nevis!$B:$B, $A11, Nevis!$D:$D, "Out Ports") + SUMIFS('St Kitts'!$L:$L, 'St Kitts'!$B:$B, $A11, 'St Kitts'!$D:$D, "Out Ports") + SUMIFS(WestIndiesGeneral!$L:$L, WestIndiesGeneral!$B:$B, $A11, WestIndiesGeneral!$D:$D, "London")</f>
        <v>300.00357142857138</v>
      </c>
      <c r="D11">
        <f t="shared" si="0"/>
        <v>1257.8160714285714</v>
      </c>
    </row>
    <row r="12" spans="1:4" x14ac:dyDescent="0.25">
      <c r="A12" t="s">
        <v>14</v>
      </c>
      <c r="B12">
        <f>SUMIFS(Antigua!$L:$L, Antigua!$B:$B, $A12, Antigua!$D:$D, "London") + SUMIFS(Barbados!$L:$L, Barbados!$B:$B, $A12, Barbados!$D:$D, "London") + SUMIFS(Bermuda!$L:$L, Bermuda!$B:$B, $A12, Bermuda!$D:$D, "London") + SUMIFS(Jamaica!$L:$L, Jamaica!$B:$B, $A12, Jamaica!$D:$D, "London") + SUMIFS(Mountserat!$L:$L, Mountserat!$B:$B, $A12, Mountserat!$D:$D, "London") + SUMIFS(Nevis!$L:$L, Nevis!$B:$B, $A12, Nevis!$D:$D, "London") + SUMIFS('St Kitts'!$L:$L, 'St Kitts'!$B:$B, $A12, 'St Kitts'!$D:$D, "London") + SUMIFS(WestIndiesGeneral!$L:$L, WestIndiesGeneral!$B:$B, $A12, WestIndiesGeneral!$D:$D, "London")</f>
        <v>0.33035714285714285</v>
      </c>
      <c r="C12">
        <f>SUMIFS(Antigua!$L:$L, Antigua!$B:$B, $A12, Antigua!$D:$D, "Out Ports") + SUMIFS(Barbados!$L:$L, Barbados!$B:$B, $A12, Barbados!$D:$D, "Out Ports") + SUMIFS(Bermuda!$L:$L, Bermuda!$B:$B, $A12, Bermuda!$D:$D, "Out Ports") + SUMIFS(Jamaica!$L:$L, Jamaica!$B:$B, $A12, Jamaica!$D:$D, "Out Ports") + SUMIFS(Mountserat!$L:$L, Mountserat!$B:$B, $A12, Mountserat!$D:$D, "Out Ports") + SUMIFS(Nevis!$L:$L, Nevis!$B:$B, $A12, Nevis!$D:$D, "Out Ports") + SUMIFS('St Kitts'!$L:$L, 'St Kitts'!$B:$B, $A12, 'St Kitts'!$D:$D, "Out Ports") + SUMIFS(WestIndiesGeneral!$L:$L, WestIndiesGeneral!$B:$B, $A12, WestIndiesGeneral!$D:$D, "London")</f>
        <v>0</v>
      </c>
      <c r="D12">
        <f t="shared" si="0"/>
        <v>0.33035714285714285</v>
      </c>
    </row>
    <row r="13" spans="1:4" x14ac:dyDescent="0.25">
      <c r="A13" t="s">
        <v>15</v>
      </c>
      <c r="B13">
        <f>SUMIFS(Antigua!$L:$L, Antigua!$B:$B, $A13, Antigua!$D:$D, "London") + SUMIFS(Barbados!$L:$L, Barbados!$B:$B, $A13, Barbados!$D:$D, "London") + SUMIFS(Bermuda!$L:$L, Bermuda!$B:$B, $A13, Bermuda!$D:$D, "London") + SUMIFS(Jamaica!$L:$L, Jamaica!$B:$B, $A13, Jamaica!$D:$D, "London") + SUMIFS(Mountserat!$L:$L, Mountserat!$B:$B, $A13, Mountserat!$D:$D, "London") + SUMIFS(Nevis!$L:$L, Nevis!$B:$B, $A13, Nevis!$D:$D, "London") + SUMIFS('St Kitts'!$L:$L, 'St Kitts'!$B:$B, $A13, 'St Kitts'!$D:$D, "London") + SUMIFS(WestIndiesGeneral!$L:$L, WestIndiesGeneral!$B:$B, $A13, WestIndiesGeneral!$D:$D, "London")</f>
        <v>0</v>
      </c>
      <c r="C13">
        <f>SUMIFS(Antigua!$L:$L, Antigua!$B:$B, $A13, Antigua!$D:$D, "Out Ports") + SUMIFS(Barbados!$L:$L, Barbados!$B:$B, $A13, Barbados!$D:$D, "Out Ports") + SUMIFS(Bermuda!$L:$L, Bermuda!$B:$B, $A13, Bermuda!$D:$D, "Out Ports") + SUMIFS(Jamaica!$L:$L, Jamaica!$B:$B, $A13, Jamaica!$D:$D, "Out Ports") + SUMIFS(Mountserat!$L:$L, Mountserat!$B:$B, $A13, Mountserat!$D:$D, "Out Ports") + SUMIFS(Nevis!$L:$L, Nevis!$B:$B, $A13, Nevis!$D:$D, "Out Ports") + SUMIFS('St Kitts'!$L:$L, 'St Kitts'!$B:$B, $A13, 'St Kitts'!$D:$D, "Out Ports") + SUMIFS(WestIndiesGeneral!$L:$L, WestIndiesGeneral!$B:$B, $A13, WestIndiesGeneral!$D:$D, "London")</f>
        <v>0</v>
      </c>
      <c r="D13">
        <f t="shared" si="0"/>
        <v>0</v>
      </c>
    </row>
    <row r="14" spans="1:4" x14ac:dyDescent="0.25">
      <c r="A14" t="s">
        <v>16</v>
      </c>
      <c r="B14">
        <f>SUMIFS(Antigua!$L:$L, Antigua!$B:$B, $A14, Antigua!$D:$D, "London") + SUMIFS(Barbados!$L:$L, Barbados!$B:$B, $A14, Barbados!$D:$D, "London") + SUMIFS(Bermuda!$L:$L, Bermuda!$B:$B, $A14, Bermuda!$D:$D, "London") + SUMIFS(Jamaica!$L:$L, Jamaica!$B:$B, $A14, Jamaica!$D:$D, "London") + SUMIFS(Mountserat!$L:$L, Mountserat!$B:$B, $A14, Mountserat!$D:$D, "London") + SUMIFS(Nevis!$L:$L, Nevis!$B:$B, $A14, Nevis!$D:$D, "London") + SUMIFS('St Kitts'!$L:$L, 'St Kitts'!$B:$B, $A14, 'St Kitts'!$D:$D, "London") + SUMIFS(WestIndiesGeneral!$L:$L, WestIndiesGeneral!$B:$B, $A14, WestIndiesGeneral!$D:$D, "London")</f>
        <v>149.91919642857141</v>
      </c>
      <c r="C14">
        <f>SUMIFS(Antigua!$L:$L, Antigua!$B:$B, $A14, Antigua!$D:$D, "Out Ports") + SUMIFS(Barbados!$L:$L, Barbados!$B:$B, $A14, Barbados!$D:$D, "Out Ports") + SUMIFS(Bermuda!$L:$L, Bermuda!$B:$B, $A14, Bermuda!$D:$D, "Out Ports") + SUMIFS(Jamaica!$L:$L, Jamaica!$B:$B, $A14, Jamaica!$D:$D, "Out Ports") + SUMIFS(Mountserat!$L:$L, Mountserat!$B:$B, $A14, Mountserat!$D:$D, "Out Ports") + SUMIFS(Nevis!$L:$L, Nevis!$B:$B, $A14, Nevis!$D:$D, "Out Ports") + SUMIFS('St Kitts'!$L:$L, 'St Kitts'!$B:$B, $A14, 'St Kitts'!$D:$D, "Out Ports") + SUMIFS(WestIndiesGeneral!$L:$L, WestIndiesGeneral!$B:$B, $A14, WestIndiesGeneral!$D:$D, "London")</f>
        <v>114.51562500000001</v>
      </c>
      <c r="D14">
        <f t="shared" si="0"/>
        <v>264.43482142857141</v>
      </c>
    </row>
    <row r="15" spans="1:4" x14ac:dyDescent="0.25">
      <c r="A15" t="s">
        <v>17</v>
      </c>
      <c r="B15">
        <f>SUMIFS(Antigua!$L:$L, Antigua!$B:$B, $A15, Antigua!$D:$D, "London") + SUMIFS(Barbados!$L:$L, Barbados!$B:$B, $A15, Barbados!$D:$D, "London") + SUMIFS(Bermuda!$L:$L, Bermuda!$B:$B, $A15, Bermuda!$D:$D, "London") + SUMIFS(Jamaica!$L:$L, Jamaica!$B:$B, $A15, Jamaica!$D:$D, "London") + SUMIFS(Mountserat!$L:$L, Mountserat!$B:$B, $A15, Mountserat!$D:$D, "London") + SUMIFS(Nevis!$L:$L, Nevis!$B:$B, $A15, Nevis!$D:$D, "London") + SUMIFS('St Kitts'!$L:$L, 'St Kitts'!$B:$B, $A15, 'St Kitts'!$D:$D, "London") + SUMIFS(WestIndiesGeneral!$L:$L, WestIndiesGeneral!$B:$B, $A15, WestIndiesGeneral!$D:$D, "London")</f>
        <v>187.49598214285714</v>
      </c>
      <c r="C15">
        <f>SUMIFS(Antigua!$L:$L, Antigua!$B:$B, $A15, Antigua!$D:$D, "Out Ports") + SUMIFS(Barbados!$L:$L, Barbados!$B:$B, $A15, Barbados!$D:$D, "Out Ports") + SUMIFS(Bermuda!$L:$L, Bermuda!$B:$B, $A15, Bermuda!$D:$D, "Out Ports") + SUMIFS(Jamaica!$L:$L, Jamaica!$B:$B, $A15, Jamaica!$D:$D, "Out Ports") + SUMIFS(Mountserat!$L:$L, Mountserat!$B:$B, $A15, Mountserat!$D:$D, "Out Ports") + SUMIFS(Nevis!$L:$L, Nevis!$B:$B, $A15, Nevis!$D:$D, "Out Ports") + SUMIFS('St Kitts'!$L:$L, 'St Kitts'!$B:$B, $A15, 'St Kitts'!$D:$D, "Out Ports") + SUMIFS(WestIndiesGeneral!$L:$L, WestIndiesGeneral!$B:$B, $A15, WestIndiesGeneral!$D:$D, "London")</f>
        <v>90.383928571428569</v>
      </c>
      <c r="D15">
        <f t="shared" si="0"/>
        <v>277.8799107142857</v>
      </c>
    </row>
    <row r="16" spans="1:4" x14ac:dyDescent="0.25">
      <c r="A16" t="s">
        <v>18</v>
      </c>
      <c r="B16">
        <f>SUMIFS(Antigua!$L:$L, Antigua!$B:$B, $A16, Antigua!$D:$D, "London") + SUMIFS(Barbados!$L:$L, Barbados!$B:$B, $A16, Barbados!$D:$D, "London") + SUMIFS(Bermuda!$L:$L, Bermuda!$B:$B, $A16, Bermuda!$D:$D, "London") + SUMIFS(Jamaica!$L:$L, Jamaica!$B:$B, $A16, Jamaica!$D:$D, "London") + SUMIFS(Mountserat!$L:$L, Mountserat!$B:$B, $A16, Mountserat!$D:$D, "London") + SUMIFS(Nevis!$L:$L, Nevis!$B:$B, $A16, Nevis!$D:$D, "London") + SUMIFS('St Kitts'!$L:$L, 'St Kitts'!$B:$B, $A16, 'St Kitts'!$D:$D, "London") + SUMIFS(WestIndiesGeneral!$L:$L, WestIndiesGeneral!$B:$B, $A16, WestIndiesGeneral!$D:$D, "London")</f>
        <v>2640.8589285714288</v>
      </c>
      <c r="C16">
        <f>SUMIFS(Antigua!$L:$L, Antigua!$B:$B, $A16, Antigua!$D:$D, "Out Ports") + SUMIFS(Barbados!$L:$L, Barbados!$B:$B, $A16, Barbados!$D:$D, "Out Ports") + SUMIFS(Bermuda!$L:$L, Bermuda!$B:$B, $A16, Bermuda!$D:$D, "Out Ports") + SUMIFS(Jamaica!$L:$L, Jamaica!$B:$B, $A16, Jamaica!$D:$D, "Out Ports") + SUMIFS(Mountserat!$L:$L, Mountserat!$B:$B, $A16, Mountserat!$D:$D, "Out Ports") + SUMIFS(Nevis!$L:$L, Nevis!$B:$B, $A16, Nevis!$D:$D, "Out Ports") + SUMIFS('St Kitts'!$L:$L, 'St Kitts'!$B:$B, $A16, 'St Kitts'!$D:$D, "Out Ports") + SUMIFS(WestIndiesGeneral!$L:$L, WestIndiesGeneral!$B:$B, $A16, WestIndiesGeneral!$D:$D, "London")</f>
        <v>545.52187499999991</v>
      </c>
      <c r="D16">
        <f t="shared" si="0"/>
        <v>3186.3808035714287</v>
      </c>
    </row>
    <row r="17" spans="1:4" x14ac:dyDescent="0.25">
      <c r="A17" t="s">
        <v>19</v>
      </c>
      <c r="B17">
        <f>SUMIFS(Antigua!$L:$L, Antigua!$B:$B, $A17, Antigua!$D:$D, "London") + SUMIFS(Barbados!$L:$L, Barbados!$B:$B, $A17, Barbados!$D:$D, "London") + SUMIFS(Bermuda!$L:$L, Bermuda!$B:$B, $A17, Bermuda!$D:$D, "London") + SUMIFS(Jamaica!$L:$L, Jamaica!$B:$B, $A17, Jamaica!$D:$D, "London") + SUMIFS(Mountserat!$L:$L, Mountserat!$B:$B, $A17, Mountserat!$D:$D, "London") + SUMIFS(Nevis!$L:$L, Nevis!$B:$B, $A17, Nevis!$D:$D, "London") + SUMIFS('St Kitts'!$L:$L, 'St Kitts'!$B:$B, $A17, 'St Kitts'!$D:$D, "London") + SUMIFS(WestIndiesGeneral!$L:$L, WestIndiesGeneral!$B:$B, $A17, WestIndiesGeneral!$D:$D, "London")</f>
        <v>0</v>
      </c>
      <c r="C17">
        <f>SUMIFS(Antigua!$L:$L, Antigua!$B:$B, $A17, Antigua!$D:$D, "Out Ports") + SUMIFS(Barbados!$L:$L, Barbados!$B:$B, $A17, Barbados!$D:$D, "Out Ports") + SUMIFS(Bermuda!$L:$L, Bermuda!$B:$B, $A17, Bermuda!$D:$D, "Out Ports") + SUMIFS(Jamaica!$L:$L, Jamaica!$B:$B, $A17, Jamaica!$D:$D, "Out Ports") + SUMIFS(Mountserat!$L:$L, Mountserat!$B:$B, $A17, Mountserat!$D:$D, "Out Ports") + SUMIFS(Nevis!$L:$L, Nevis!$B:$B, $A17, Nevis!$D:$D, "Out Ports") + SUMIFS('St Kitts'!$L:$L, 'St Kitts'!$B:$B, $A17, 'St Kitts'!$D:$D, "Out Ports") + SUMIFS(WestIndiesGeneral!$L:$L, WestIndiesGeneral!$B:$B, $A17, WestIndiesGeneral!$D:$D, "London")</f>
        <v>3.9714285714285715</v>
      </c>
      <c r="D17">
        <f t="shared" si="0"/>
        <v>3.9714285714285715</v>
      </c>
    </row>
    <row r="18" spans="1:4" x14ac:dyDescent="0.25">
      <c r="A18" t="s">
        <v>54</v>
      </c>
      <c r="B18">
        <f>SUMIFS(Antigua!$L:$L, Antigua!$B:$B, $A18, Antigua!$D:$D, "London") + SUMIFS(Barbados!$L:$L, Barbados!$B:$B, $A18, Barbados!$D:$D, "London") + SUMIFS(Bermuda!$L:$L, Bermuda!$B:$B, $A18, Bermuda!$D:$D, "London") + SUMIFS(Jamaica!$L:$L, Jamaica!$B:$B, $A18, Jamaica!$D:$D, "London") + SUMIFS(Mountserat!$L:$L, Mountserat!$B:$B, $A18, Mountserat!$D:$D, "London") + SUMIFS(Nevis!$L:$L, Nevis!$B:$B, $A18, Nevis!$D:$D, "London") + SUMIFS('St Kitts'!$L:$L, 'St Kitts'!$B:$B, $A18, 'St Kitts'!$D:$D, "London") + SUMIFS(WestIndiesGeneral!$L:$L, WestIndiesGeneral!$B:$B, $A18, WestIndiesGeneral!$D:$D, "London")</f>
        <v>2.3821428571428576</v>
      </c>
      <c r="C18">
        <f>SUMIFS(Antigua!$L:$L, Antigua!$B:$B, $A18, Antigua!$D:$D, "Out Ports") + SUMIFS(Barbados!$L:$L, Barbados!$B:$B, $A18, Barbados!$D:$D, "Out Ports") + SUMIFS(Bermuda!$L:$L, Bermuda!$B:$B, $A18, Bermuda!$D:$D, "Out Ports") + SUMIFS(Jamaica!$L:$L, Jamaica!$B:$B, $A18, Jamaica!$D:$D, "Out Ports") + SUMIFS(Mountserat!$L:$L, Mountserat!$B:$B, $A18, Mountserat!$D:$D, "Out Ports") + SUMIFS(Nevis!$L:$L, Nevis!$B:$B, $A18, Nevis!$D:$D, "Out Ports") + SUMIFS('St Kitts'!$L:$L, 'St Kitts'!$B:$B, $A18, 'St Kitts'!$D:$D, "Out Ports") + SUMIFS(WestIndiesGeneral!$L:$L, WestIndiesGeneral!$B:$B, $A18, WestIndiesGeneral!$D:$D, "London")</f>
        <v>0.25848214285714283</v>
      </c>
      <c r="D18">
        <f t="shared" si="0"/>
        <v>2.6406250000000004</v>
      </c>
    </row>
    <row r="19" spans="1:4" x14ac:dyDescent="0.25">
      <c r="A19" t="s">
        <v>20</v>
      </c>
      <c r="B19">
        <f>SUMIFS(Antigua!$L:$L, Antigua!$B:$B, $A19, Antigua!$D:$D, "London") + SUMIFS(Barbados!$L:$L, Barbados!$B:$B, $A19, Barbados!$D:$D, "London") + SUMIFS(Bermuda!$L:$L, Bermuda!$B:$B, $A19, Bermuda!$D:$D, "London") + SUMIFS(Jamaica!$L:$L, Jamaica!$B:$B, $A19, Jamaica!$D:$D, "London") + SUMIFS(Mountserat!$L:$L, Mountserat!$B:$B, $A19, Mountserat!$D:$D, "London") + SUMIFS(Nevis!$L:$L, Nevis!$B:$B, $A19, Nevis!$D:$D, "London") + SUMIFS('St Kitts'!$L:$L, 'St Kitts'!$B:$B, $A19, 'St Kitts'!$D:$D, "London") + SUMIFS(WestIndiesGeneral!$L:$L, WestIndiesGeneral!$B:$B, $A19, WestIndiesGeneral!$D:$D, "London")</f>
        <v>0</v>
      </c>
      <c r="C19">
        <f>SUMIFS(Antigua!$L:$L, Antigua!$B:$B, $A19, Antigua!$D:$D, "Out Ports") + SUMIFS(Barbados!$L:$L, Barbados!$B:$B, $A19, Barbados!$D:$D, "Out Ports") + SUMIFS(Bermuda!$L:$L, Bermuda!$B:$B, $A19, Bermuda!$D:$D, "Out Ports") + SUMIFS(Jamaica!$L:$L, Jamaica!$B:$B, $A19, Jamaica!$D:$D, "Out Ports") + SUMIFS(Mountserat!$L:$L, Mountserat!$B:$B, $A19, Mountserat!$D:$D, "Out Ports") + SUMIFS(Nevis!$L:$L, Nevis!$B:$B, $A19, Nevis!$D:$D, "Out Ports") + SUMIFS('St Kitts'!$L:$L, 'St Kitts'!$B:$B, $A19, 'St Kitts'!$D:$D, "Out Ports") + SUMIFS(WestIndiesGeneral!$L:$L, WestIndiesGeneral!$B:$B, $A19, WestIndiesGeneral!$D:$D, "London")</f>
        <v>0</v>
      </c>
      <c r="D19">
        <f t="shared" si="0"/>
        <v>0</v>
      </c>
    </row>
    <row r="20" spans="1:4" x14ac:dyDescent="0.25">
      <c r="A20" t="s">
        <v>21</v>
      </c>
      <c r="B20">
        <f>SUMIFS(Antigua!$L:$L, Antigua!$B:$B, $A20, Antigua!$D:$D, "London") + SUMIFS(Barbados!$L:$L, Barbados!$B:$B, $A20, Barbados!$D:$D, "London") + SUMIFS(Bermuda!$L:$L, Bermuda!$B:$B, $A20, Bermuda!$D:$D, "London") + SUMIFS(Jamaica!$L:$L, Jamaica!$B:$B, $A20, Jamaica!$D:$D, "London") + SUMIFS(Mountserat!$L:$L, Mountserat!$B:$B, $A20, Mountserat!$D:$D, "London") + SUMIFS(Nevis!$L:$L, Nevis!$B:$B, $A20, Nevis!$D:$D, "London") + SUMIFS('St Kitts'!$L:$L, 'St Kitts'!$B:$B, $A20, 'St Kitts'!$D:$D, "London") + SUMIFS(WestIndiesGeneral!$L:$L, WestIndiesGeneral!$B:$B, $A20, WestIndiesGeneral!$D:$D, "London")</f>
        <v>1.953125</v>
      </c>
      <c r="C20">
        <f>SUMIFS(Antigua!$L:$L, Antigua!$B:$B, $A20, Antigua!$D:$D, "Out Ports") + SUMIFS(Barbados!$L:$L, Barbados!$B:$B, $A20, Barbados!$D:$D, "Out Ports") + SUMIFS(Bermuda!$L:$L, Bermuda!$B:$B, $A20, Bermuda!$D:$D, "Out Ports") + SUMIFS(Jamaica!$L:$L, Jamaica!$B:$B, $A20, Jamaica!$D:$D, "Out Ports") + SUMIFS(Mountserat!$L:$L, Mountserat!$B:$B, $A20, Mountserat!$D:$D, "Out Ports") + SUMIFS(Nevis!$L:$L, Nevis!$B:$B, $A20, Nevis!$D:$D, "Out Ports") + SUMIFS('St Kitts'!$L:$L, 'St Kitts'!$B:$B, $A20, 'St Kitts'!$D:$D, "Out Ports") + SUMIFS(WestIndiesGeneral!$L:$L, WestIndiesGeneral!$B:$B, $A20, WestIndiesGeneral!$D:$D, "London")</f>
        <v>0.77589285714285716</v>
      </c>
      <c r="D20">
        <f t="shared" si="0"/>
        <v>2.7290178571428569</v>
      </c>
    </row>
    <row r="21" spans="1:4" x14ac:dyDescent="0.25">
      <c r="A21" t="s">
        <v>22</v>
      </c>
      <c r="B21">
        <f>SUMIFS(Antigua!$L:$L, Antigua!$B:$B, $A21, Antigua!$D:$D, "London") + SUMIFS(Barbados!$L:$L, Barbados!$B:$B, $A21, Barbados!$D:$D, "London") + SUMIFS(Bermuda!$L:$L, Bermuda!$B:$B, $A21, Bermuda!$D:$D, "London") + SUMIFS(Jamaica!$L:$L, Jamaica!$B:$B, $A21, Jamaica!$D:$D, "London") + SUMIFS(Mountserat!$L:$L, Mountserat!$B:$B, $A21, Mountserat!$D:$D, "London") + SUMIFS(Nevis!$L:$L, Nevis!$B:$B, $A21, Nevis!$D:$D, "London") + SUMIFS('St Kitts'!$L:$L, 'St Kitts'!$B:$B, $A21, 'St Kitts'!$D:$D, "London") + SUMIFS(WestIndiesGeneral!$L:$L, WestIndiesGeneral!$B:$B, $A21, WestIndiesGeneral!$D:$D, "London")</f>
        <v>0</v>
      </c>
      <c r="C21">
        <f>SUMIFS(Antigua!$L:$L, Antigua!$B:$B, $A21, Antigua!$D:$D, "Out Ports") + SUMIFS(Barbados!$L:$L, Barbados!$B:$B, $A21, Barbados!$D:$D, "Out Ports") + SUMIFS(Bermuda!$L:$L, Bermuda!$B:$B, $A21, Bermuda!$D:$D, "Out Ports") + SUMIFS(Jamaica!$L:$L, Jamaica!$B:$B, $A21, Jamaica!$D:$D, "Out Ports") + SUMIFS(Mountserat!$L:$L, Mountserat!$B:$B, $A21, Mountserat!$D:$D, "Out Ports") + SUMIFS(Nevis!$L:$L, Nevis!$B:$B, $A21, Nevis!$D:$D, "Out Ports") + SUMIFS('St Kitts'!$L:$L, 'St Kitts'!$B:$B, $A21, 'St Kitts'!$D:$D, "Out Ports") + SUMIFS(WestIndiesGeneral!$L:$L, WestIndiesGeneral!$B:$B, $A21, WestIndiesGeneral!$D:$D, "London")</f>
        <v>0</v>
      </c>
      <c r="D21">
        <f t="shared" si="0"/>
        <v>0</v>
      </c>
    </row>
    <row r="22" spans="1:4" x14ac:dyDescent="0.25">
      <c r="A22" t="s">
        <v>23</v>
      </c>
      <c r="B22">
        <f>SUMIFS(Antigua!$L:$L, Antigua!$B:$B, $A22, Antigua!$D:$D, "London") + SUMIFS(Barbados!$L:$L, Barbados!$B:$B, $A22, Barbados!$D:$D, "London") + SUMIFS(Bermuda!$L:$L, Bermuda!$B:$B, $A22, Bermuda!$D:$D, "London") + SUMIFS(Jamaica!$L:$L, Jamaica!$B:$B, $A22, Jamaica!$D:$D, "London") + SUMIFS(Mountserat!$L:$L, Mountserat!$B:$B, $A22, Mountserat!$D:$D, "London") + SUMIFS(Nevis!$L:$L, Nevis!$B:$B, $A22, Nevis!$D:$D, "London") + SUMIFS('St Kitts'!$L:$L, 'St Kitts'!$B:$B, $A22, 'St Kitts'!$D:$D, "London") + SUMIFS(WestIndiesGeneral!$L:$L, WestIndiesGeneral!$B:$B, $A22, WestIndiesGeneral!$D:$D, "London")</f>
        <v>0</v>
      </c>
      <c r="C22">
        <f>SUMIFS(Antigua!$L:$L, Antigua!$B:$B, $A22, Antigua!$D:$D, "Out Ports") + SUMIFS(Barbados!$L:$L, Barbados!$B:$B, $A22, Barbados!$D:$D, "Out Ports") + SUMIFS(Bermuda!$L:$L, Bermuda!$B:$B, $A22, Bermuda!$D:$D, "Out Ports") + SUMIFS(Jamaica!$L:$L, Jamaica!$B:$B, $A22, Jamaica!$D:$D, "Out Ports") + SUMIFS(Mountserat!$L:$L, Mountserat!$B:$B, $A22, Mountserat!$D:$D, "Out Ports") + SUMIFS(Nevis!$L:$L, Nevis!$B:$B, $A22, Nevis!$D:$D, "Out Ports") + SUMIFS('St Kitts'!$L:$L, 'St Kitts'!$B:$B, $A22, 'St Kitts'!$D:$D, "Out Ports") + SUMIFS(WestIndiesGeneral!$L:$L, WestIndiesGeneral!$B:$B, $A22, WestIndiesGeneral!$D:$D, "London")</f>
        <v>0</v>
      </c>
      <c r="D22">
        <f t="shared" si="0"/>
        <v>0</v>
      </c>
    </row>
    <row r="23" spans="1:4" x14ac:dyDescent="0.25">
      <c r="A23" t="s">
        <v>24</v>
      </c>
      <c r="B23">
        <f>SUMIFS(Antigua!$L:$L, Antigua!$B:$B, $A23, Antigua!$D:$D, "London") + SUMIFS(Barbados!$L:$L, Barbados!$B:$B, $A23, Barbados!$D:$D, "London") + SUMIFS(Bermuda!$L:$L, Bermuda!$B:$B, $A23, Bermuda!$D:$D, "London") + SUMIFS(Jamaica!$L:$L, Jamaica!$B:$B, $A23, Jamaica!$D:$D, "London") + SUMIFS(Mountserat!$L:$L, Mountserat!$B:$B, $A23, Mountserat!$D:$D, "London") + SUMIFS(Nevis!$L:$L, Nevis!$B:$B, $A23, Nevis!$D:$D, "London") + SUMIFS('St Kitts'!$L:$L, 'St Kitts'!$B:$B, $A23, 'St Kitts'!$D:$D, "London") + SUMIFS(WestIndiesGeneral!$L:$L, WestIndiesGeneral!$B:$B, $A23, WestIndiesGeneral!$D:$D, "London")</f>
        <v>0</v>
      </c>
      <c r="C23">
        <f>SUMIFS(Antigua!$L:$L, Antigua!$B:$B, $A23, Antigua!$D:$D, "Out Ports") + SUMIFS(Barbados!$L:$L, Barbados!$B:$B, $A23, Barbados!$D:$D, "Out Ports") + SUMIFS(Bermuda!$L:$L, Bermuda!$B:$B, $A23, Bermuda!$D:$D, "Out Ports") + SUMIFS(Jamaica!$L:$L, Jamaica!$B:$B, $A23, Jamaica!$D:$D, "Out Ports") + SUMIFS(Mountserat!$L:$L, Mountserat!$B:$B, $A23, Mountserat!$D:$D, "Out Ports") + SUMIFS(Nevis!$L:$L, Nevis!$B:$B, $A23, Nevis!$D:$D, "Out Ports") + SUMIFS('St Kitts'!$L:$L, 'St Kitts'!$B:$B, $A23, 'St Kitts'!$D:$D, "Out Ports") + SUMIFS(WestIndiesGeneral!$L:$L, WestIndiesGeneral!$B:$B, $A23, WestIndiesGeneral!$D:$D, "London")</f>
        <v>0</v>
      </c>
      <c r="D23">
        <f t="shared" si="0"/>
        <v>0</v>
      </c>
    </row>
    <row r="24" spans="1:4" x14ac:dyDescent="0.25">
      <c r="A24" t="s">
        <v>25</v>
      </c>
      <c r="B24">
        <f>SUMIFS(Antigua!$L:$L, Antigua!$B:$B, $A24, Antigua!$D:$D, "London") + SUMIFS(Barbados!$L:$L, Barbados!$B:$B, $A24, Barbados!$D:$D, "London") + SUMIFS(Bermuda!$L:$L, Bermuda!$B:$B, $A24, Bermuda!$D:$D, "London") + SUMIFS(Jamaica!$L:$L, Jamaica!$B:$B, $A24, Jamaica!$D:$D, "London") + SUMIFS(Mountserat!$L:$L, Mountserat!$B:$B, $A24, Mountserat!$D:$D, "London") + SUMIFS(Nevis!$L:$L, Nevis!$B:$B, $A24, Nevis!$D:$D, "London") + SUMIFS('St Kitts'!$L:$L, 'St Kitts'!$B:$B, $A24, 'St Kitts'!$D:$D, "London") + SUMIFS(WestIndiesGeneral!$L:$L, WestIndiesGeneral!$B:$B, $A24, WestIndiesGeneral!$D:$D, "London")</f>
        <v>0</v>
      </c>
      <c r="C24">
        <f>SUMIFS(Antigua!$L:$L, Antigua!$B:$B, $A24, Antigua!$D:$D, "Out Ports") + SUMIFS(Barbados!$L:$L, Barbados!$B:$B, $A24, Barbados!$D:$D, "Out Ports") + SUMIFS(Bermuda!$L:$L, Bermuda!$B:$B, $A24, Bermuda!$D:$D, "Out Ports") + SUMIFS(Jamaica!$L:$L, Jamaica!$B:$B, $A24, Jamaica!$D:$D, "Out Ports") + SUMIFS(Mountserat!$L:$L, Mountserat!$B:$B, $A24, Mountserat!$D:$D, "Out Ports") + SUMIFS(Nevis!$L:$L, Nevis!$B:$B, $A24, Nevis!$D:$D, "Out Ports") + SUMIFS('St Kitts'!$L:$L, 'St Kitts'!$B:$B, $A24, 'St Kitts'!$D:$D, "Out Ports") + SUMIFS(WestIndiesGeneral!$L:$L, WestIndiesGeneral!$B:$B, $A24, WestIndiesGeneral!$D:$D, "London")</f>
        <v>0</v>
      </c>
      <c r="D24">
        <f t="shared" si="0"/>
        <v>0</v>
      </c>
    </row>
    <row r="25" spans="1:4" x14ac:dyDescent="0.25">
      <c r="A25" t="s">
        <v>26</v>
      </c>
      <c r="B25">
        <f>SUMIFS(Antigua!$L:$L, Antigua!$B:$B, $A25, Antigua!$D:$D, "London") + SUMIFS(Barbados!$L:$L, Barbados!$B:$B, $A25, Barbados!$D:$D, "London") + SUMIFS(Bermuda!$L:$L, Bermuda!$B:$B, $A25, Bermuda!$D:$D, "London") + SUMIFS(Jamaica!$L:$L, Jamaica!$B:$B, $A25, Jamaica!$D:$D, "London") + SUMIFS(Mountserat!$L:$L, Mountserat!$B:$B, $A25, Mountserat!$D:$D, "London") + SUMIFS(Nevis!$L:$L, Nevis!$B:$B, $A25, Nevis!$D:$D, "London") + SUMIFS('St Kitts'!$L:$L, 'St Kitts'!$B:$B, $A25, 'St Kitts'!$D:$D, "London") + SUMIFS(WestIndiesGeneral!$L:$L, WestIndiesGeneral!$B:$B, $A25, WestIndiesGeneral!$D:$D, "London")</f>
        <v>9.8933035714285715</v>
      </c>
      <c r="C25">
        <f>SUMIFS(Antigua!$L:$L, Antigua!$B:$B, $A25, Antigua!$D:$D, "Out Ports") + SUMIFS(Barbados!$L:$L, Barbados!$B:$B, $A25, Barbados!$D:$D, "Out Ports") + SUMIFS(Bermuda!$L:$L, Bermuda!$B:$B, $A25, Bermuda!$D:$D, "Out Ports") + SUMIFS(Jamaica!$L:$L, Jamaica!$B:$B, $A25, Jamaica!$D:$D, "Out Ports") + SUMIFS(Mountserat!$L:$L, Mountserat!$B:$B, $A25, Mountserat!$D:$D, "Out Ports") + SUMIFS(Nevis!$L:$L, Nevis!$B:$B, $A25, Nevis!$D:$D, "Out Ports") + SUMIFS('St Kitts'!$L:$L, 'St Kitts'!$B:$B, $A25, 'St Kitts'!$D:$D, "Out Ports") + SUMIFS(WestIndiesGeneral!$L:$L, WestIndiesGeneral!$B:$B, $A25, WestIndiesGeneral!$D:$D, "London")</f>
        <v>0</v>
      </c>
      <c r="D25">
        <f t="shared" si="0"/>
        <v>9.8933035714285715</v>
      </c>
    </row>
    <row r="26" spans="1:4" x14ac:dyDescent="0.25">
      <c r="A26" t="s">
        <v>27</v>
      </c>
      <c r="B26">
        <f>SUMIFS(Antigua!$L:$L, Antigua!$B:$B, $A26, Antigua!$D:$D, "London") + SUMIFS(Barbados!$L:$L, Barbados!$B:$B, $A26, Barbados!$D:$D, "London") + SUMIFS(Bermuda!$L:$L, Bermuda!$B:$B, $A26, Bermuda!$D:$D, "London") + SUMIFS(Jamaica!$L:$L, Jamaica!$B:$B, $A26, Jamaica!$D:$D, "London") + SUMIFS(Mountserat!$L:$L, Mountserat!$B:$B, $A26, Mountserat!$D:$D, "London") + SUMIFS(Nevis!$L:$L, Nevis!$B:$B, $A26, Nevis!$D:$D, "London") + SUMIFS('St Kitts'!$L:$L, 'St Kitts'!$B:$B, $A26, 'St Kitts'!$D:$D, "London") + SUMIFS(WestIndiesGeneral!$L:$L, WestIndiesGeneral!$B:$B, $A26, WestIndiesGeneral!$D:$D, "London")</f>
        <v>466.32098214285719</v>
      </c>
      <c r="C26">
        <f>SUMIFS(Antigua!$L:$L, Antigua!$B:$B, $A26, Antigua!$D:$D, "Out Ports") + SUMIFS(Barbados!$L:$L, Barbados!$B:$B, $A26, Barbados!$D:$D, "Out Ports") + SUMIFS(Bermuda!$L:$L, Bermuda!$B:$B, $A26, Bermuda!$D:$D, "Out Ports") + SUMIFS(Jamaica!$L:$L, Jamaica!$B:$B, $A26, Jamaica!$D:$D, "Out Ports") + SUMIFS(Mountserat!$L:$L, Mountserat!$B:$B, $A26, Mountserat!$D:$D, "Out Ports") + SUMIFS(Nevis!$L:$L, Nevis!$B:$B, $A26, Nevis!$D:$D, "Out Ports") + SUMIFS('St Kitts'!$L:$L, 'St Kitts'!$B:$B, $A26, 'St Kitts'!$D:$D, "Out Ports") + SUMIFS(WestIndiesGeneral!$L:$L, WestIndiesGeneral!$B:$B, $A26, WestIndiesGeneral!$D:$D, "London")</f>
        <v>14.039285714285715</v>
      </c>
      <c r="D26">
        <f t="shared" si="0"/>
        <v>480.3602678571429</v>
      </c>
    </row>
    <row r="27" spans="1:4" x14ac:dyDescent="0.25">
      <c r="A27" t="s">
        <v>61</v>
      </c>
      <c r="B27">
        <f>SUMIFS(Antigua!$L:$L, Antigua!$B:$B, $A27, Antigua!$D:$D, "London") + SUMIFS(Barbados!$L:$L, Barbados!$B:$B, $A27, Barbados!$D:$D, "London") + SUMIFS(Bermuda!$L:$L, Bermuda!$B:$B, $A27, Bermuda!$D:$D, "London") + SUMIFS(Jamaica!$L:$L, Jamaica!$B:$B, $A27, Jamaica!$D:$D, "London") + SUMIFS(Mountserat!$L:$L, Mountserat!$B:$B, $A27, Mountserat!$D:$D, "London") + SUMIFS(Nevis!$L:$L, Nevis!$B:$B, $A27, Nevis!$D:$D, "London") + SUMIFS('St Kitts'!$L:$L, 'St Kitts'!$B:$B, $A27, 'St Kitts'!$D:$D, "London") + SUMIFS(WestIndiesGeneral!$L:$L, WestIndiesGeneral!$B:$B, $A27, WestIndiesGeneral!$D:$D, "London")</f>
        <v>126.1</v>
      </c>
      <c r="C27">
        <f>SUMIFS(Antigua!$L:$L, Antigua!$B:$B, $A27, Antigua!$D:$D, "Out Ports") + SUMIFS(Barbados!$L:$L, Barbados!$B:$B, $A27, Barbados!$D:$D, "Out Ports") + SUMIFS(Bermuda!$L:$L, Bermuda!$B:$B, $A27, Bermuda!$D:$D, "Out Ports") + SUMIFS(Jamaica!$L:$L, Jamaica!$B:$B, $A27, Jamaica!$D:$D, "Out Ports") + SUMIFS(Mountserat!$L:$L, Mountserat!$B:$B, $A27, Mountserat!$D:$D, "Out Ports") + SUMIFS(Nevis!$L:$L, Nevis!$B:$B, $A27, Nevis!$D:$D, "Out Ports") + SUMIFS('St Kitts'!$L:$L, 'St Kitts'!$B:$B, $A27, 'St Kitts'!$D:$D, "Out Ports") + SUMIFS(WestIndiesGeneral!$L:$L, WestIndiesGeneral!$B:$B, $A27, WestIndiesGeneral!$D:$D, "London")</f>
        <v>18.5625</v>
      </c>
      <c r="D27">
        <f t="shared" si="0"/>
        <v>144.66249999999999</v>
      </c>
    </row>
    <row r="28" spans="1:4" x14ac:dyDescent="0.25">
      <c r="A28" t="s">
        <v>62</v>
      </c>
      <c r="B28">
        <f>SUMIFS(Antigua!$L:$L, Antigua!$B:$B, $A28, Antigua!$D:$D, "London") + SUMIFS(Barbados!$L:$L, Barbados!$B:$B, $A28, Barbados!$D:$D, "London") + SUMIFS(Bermuda!$L:$L, Bermuda!$B:$B, $A28, Bermuda!$D:$D, "London") + SUMIFS(Jamaica!$L:$L, Jamaica!$B:$B, $A28, Jamaica!$D:$D, "London") + SUMIFS(Mountserat!$L:$L, Mountserat!$B:$B, $A28, Mountserat!$D:$D, "London") + SUMIFS(Nevis!$L:$L, Nevis!$B:$B, $A28, Nevis!$D:$D, "London") + SUMIFS('St Kitts'!$L:$L, 'St Kitts'!$B:$B, $A28, 'St Kitts'!$D:$D, "London") + SUMIFS(WestIndiesGeneral!$L:$L, WestIndiesGeneral!$B:$B, $A28, WestIndiesGeneral!$D:$D, "London")</f>
        <v>480.1464285714286</v>
      </c>
      <c r="C28">
        <f>SUMIFS(Antigua!$L:$L, Antigua!$B:$B, $A28, Antigua!$D:$D, "Out Ports") + SUMIFS(Barbados!$L:$L, Barbados!$B:$B, $A28, Barbados!$D:$D, "Out Ports") + SUMIFS(Bermuda!$L:$L, Bermuda!$B:$B, $A28, Bermuda!$D:$D, "Out Ports") + SUMIFS(Jamaica!$L:$L, Jamaica!$B:$B, $A28, Jamaica!$D:$D, "Out Ports") + SUMIFS(Mountserat!$L:$L, Mountserat!$B:$B, $A28, Mountserat!$D:$D, "Out Ports") + SUMIFS(Nevis!$L:$L, Nevis!$B:$B, $A28, Nevis!$D:$D, "Out Ports") + SUMIFS('St Kitts'!$L:$L, 'St Kitts'!$B:$B, $A28, 'St Kitts'!$D:$D, "Out Ports") + SUMIFS(WestIndiesGeneral!$L:$L, WestIndiesGeneral!$B:$B, $A28, WestIndiesGeneral!$D:$D, "London")</f>
        <v>526.62544642857142</v>
      </c>
      <c r="D28">
        <f t="shared" si="0"/>
        <v>1006.771875</v>
      </c>
    </row>
    <row r="29" spans="1:4" x14ac:dyDescent="0.25">
      <c r="A29" t="s">
        <v>63</v>
      </c>
      <c r="B29">
        <f>SUMIFS(Antigua!$L:$L, Antigua!$B:$B, $A29, Antigua!$D:$D, "London") + SUMIFS(Barbados!$L:$L, Barbados!$B:$B, $A29, Barbados!$D:$D, "London") + SUMIFS(Bermuda!$L:$L, Bermuda!$B:$B, $A29, Bermuda!$D:$D, "London") + SUMIFS(Jamaica!$L:$L, Jamaica!$B:$B, $A29, Jamaica!$D:$D, "London") + SUMIFS(Mountserat!$L:$L, Mountserat!$B:$B, $A29, Mountserat!$D:$D, "London") + SUMIFS(Nevis!$L:$L, Nevis!$B:$B, $A29, Nevis!$D:$D, "London") + SUMIFS('St Kitts'!$L:$L, 'St Kitts'!$B:$B, $A29, 'St Kitts'!$D:$D, "London") + SUMIFS(WestIndiesGeneral!$L:$L, WestIndiesGeneral!$B:$B, $A29, WestIndiesGeneral!$D:$D, "London")</f>
        <v>3692.8522321428572</v>
      </c>
      <c r="C29">
        <f>SUMIFS(Antigua!$L:$L, Antigua!$B:$B, $A29, Antigua!$D:$D, "Out Ports") + SUMIFS(Barbados!$L:$L, Barbados!$B:$B, $A29, Barbados!$D:$D, "Out Ports") + SUMIFS(Bermuda!$L:$L, Bermuda!$B:$B, $A29, Bermuda!$D:$D, "Out Ports") + SUMIFS(Jamaica!$L:$L, Jamaica!$B:$B, $A29, Jamaica!$D:$D, "Out Ports") + SUMIFS(Mountserat!$L:$L, Mountserat!$B:$B, $A29, Mountserat!$D:$D, "Out Ports") + SUMIFS(Nevis!$L:$L, Nevis!$B:$B, $A29, Nevis!$D:$D, "Out Ports") + SUMIFS('St Kitts'!$L:$L, 'St Kitts'!$B:$B, $A29, 'St Kitts'!$D:$D, "Out Ports") + SUMIFS(WestIndiesGeneral!$L:$L, WestIndiesGeneral!$B:$B, $A29, WestIndiesGeneral!$D:$D, "London")</f>
        <v>544.22053571428569</v>
      </c>
      <c r="D29">
        <f t="shared" si="0"/>
        <v>4237.0727678571429</v>
      </c>
    </row>
    <row r="30" spans="1:4" x14ac:dyDescent="0.25">
      <c r="A30" t="s">
        <v>64</v>
      </c>
      <c r="B30">
        <f>SUMIFS(Antigua!$L:$L, Antigua!$B:$B, $A30, Antigua!$D:$D, "London") + SUMIFS(Barbados!$L:$L, Barbados!$B:$B, $A30, Barbados!$D:$D, "London") + SUMIFS(Bermuda!$L:$L, Bermuda!$B:$B, $A30, Bermuda!$D:$D, "London") + SUMIFS(Jamaica!$L:$L, Jamaica!$B:$B, $A30, Jamaica!$D:$D, "London") + SUMIFS(Mountserat!$L:$L, Mountserat!$B:$B, $A30, Mountserat!$D:$D, "London") + SUMIFS(Nevis!$L:$L, Nevis!$B:$B, $A30, Nevis!$D:$D, "London") + SUMIFS('St Kitts'!$L:$L, 'St Kitts'!$B:$B, $A30, 'St Kitts'!$D:$D, "London") + SUMIFS(WestIndiesGeneral!$L:$L, WestIndiesGeneral!$B:$B, $A30, WestIndiesGeneral!$D:$D, "London")</f>
        <v>17.5</v>
      </c>
      <c r="C30">
        <f>SUMIFS(Antigua!$L:$L, Antigua!$B:$B, $A30, Antigua!$D:$D, "Out Ports") + SUMIFS(Barbados!$L:$L, Barbados!$B:$B, $A30, Barbados!$D:$D, "Out Ports") + SUMIFS(Bermuda!$L:$L, Bermuda!$B:$B, $A30, Bermuda!$D:$D, "Out Ports") + SUMIFS(Jamaica!$L:$L, Jamaica!$B:$B, $A30, Jamaica!$D:$D, "Out Ports") + SUMIFS(Mountserat!$L:$L, Mountserat!$B:$B, $A30, Mountserat!$D:$D, "Out Ports") + SUMIFS(Nevis!$L:$L, Nevis!$B:$B, $A30, Nevis!$D:$D, "Out Ports") + SUMIFS('St Kitts'!$L:$L, 'St Kitts'!$B:$B, $A30, 'St Kitts'!$D:$D, "Out Ports") + SUMIFS(WestIndiesGeneral!$L:$L, WestIndiesGeneral!$B:$B, $A30, WestIndiesGeneral!$D:$D, "London")</f>
        <v>4.0276785714285719</v>
      </c>
      <c r="D30">
        <f t="shared" si="0"/>
        <v>21.527678571428574</v>
      </c>
    </row>
    <row r="31" spans="1:4" x14ac:dyDescent="0.25">
      <c r="A31" t="s">
        <v>65</v>
      </c>
      <c r="B31">
        <f>SUMIFS(Antigua!$L:$L, Antigua!$B:$B, $A31, Antigua!$D:$D, "London") + SUMIFS(Barbados!$L:$L, Barbados!$B:$B, $A31, Barbados!$D:$D, "London") + SUMIFS(Bermuda!$L:$L, Bermuda!$B:$B, $A31, Bermuda!$D:$D, "London") + SUMIFS(Jamaica!$L:$L, Jamaica!$B:$B, $A31, Jamaica!$D:$D, "London") + SUMIFS(Mountserat!$L:$L, Mountserat!$B:$B, $A31, Mountserat!$D:$D, "London") + SUMIFS(Nevis!$L:$L, Nevis!$B:$B, $A31, Nevis!$D:$D, "London") + SUMIFS('St Kitts'!$L:$L, 'St Kitts'!$B:$B, $A31, 'St Kitts'!$D:$D, "London") + SUMIFS(WestIndiesGeneral!$L:$L, WestIndiesGeneral!$B:$B, $A31, WestIndiesGeneral!$D:$D, "London")</f>
        <v>0</v>
      </c>
      <c r="C31">
        <f>SUMIFS(Antigua!$L:$L, Antigua!$B:$B, $A31, Antigua!$D:$D, "Out Ports") + SUMIFS(Barbados!$L:$L, Barbados!$B:$B, $A31, Barbados!$D:$D, "Out Ports") + SUMIFS(Bermuda!$L:$L, Bermuda!$B:$B, $A31, Bermuda!$D:$D, "Out Ports") + SUMIFS(Jamaica!$L:$L, Jamaica!$B:$B, $A31, Jamaica!$D:$D, "Out Ports") + SUMIFS(Mountserat!$L:$L, Mountserat!$B:$B, $A31, Mountserat!$D:$D, "Out Ports") + SUMIFS(Nevis!$L:$L, Nevis!$B:$B, $A31, Nevis!$D:$D, "Out Ports") + SUMIFS('St Kitts'!$L:$L, 'St Kitts'!$B:$B, $A31, 'St Kitts'!$D:$D, "Out Ports") + SUMIFS(WestIndiesGeneral!$L:$L, WestIndiesGeneral!$B:$B, $A31, WestIndiesGeneral!$D:$D, "London")</f>
        <v>0</v>
      </c>
      <c r="D31">
        <f t="shared" si="0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E63DC-F16F-4A70-B138-C92491A2691B}">
  <dimension ref="A1:L88"/>
  <sheetViews>
    <sheetView workbookViewId="0">
      <selection activeCell="A2" sqref="A2"/>
    </sheetView>
  </sheetViews>
  <sheetFormatPr defaultRowHeight="15" x14ac:dyDescent="0.25"/>
  <cols>
    <col min="2" max="2" width="18.85546875" customWidth="1"/>
    <col min="3" max="3" width="17.140625" customWidth="1"/>
    <col min="4" max="4" width="14.7109375" customWidth="1"/>
  </cols>
  <sheetData>
    <row r="1" spans="1:12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</row>
    <row r="2" spans="1:12" x14ac:dyDescent="0.25">
      <c r="B2" t="s">
        <v>55</v>
      </c>
      <c r="C2" t="s">
        <v>75</v>
      </c>
      <c r="D2" t="s">
        <v>33</v>
      </c>
    </row>
    <row r="3" spans="1:12" x14ac:dyDescent="0.25">
      <c r="B3" t="s">
        <v>57</v>
      </c>
      <c r="C3" t="s">
        <v>75</v>
      </c>
      <c r="D3" t="s">
        <v>33</v>
      </c>
    </row>
    <row r="4" spans="1:12" x14ac:dyDescent="0.25">
      <c r="B4" t="s">
        <v>36</v>
      </c>
      <c r="C4" t="s">
        <v>75</v>
      </c>
      <c r="D4" t="s">
        <v>33</v>
      </c>
    </row>
    <row r="5" spans="1:12" x14ac:dyDescent="0.25">
      <c r="B5" t="s">
        <v>4</v>
      </c>
      <c r="C5" t="s">
        <v>75</v>
      </c>
      <c r="D5" t="s">
        <v>33</v>
      </c>
    </row>
    <row r="6" spans="1:12" x14ac:dyDescent="0.25">
      <c r="B6" t="s">
        <v>58</v>
      </c>
      <c r="C6" t="s">
        <v>75</v>
      </c>
      <c r="D6" t="s">
        <v>33</v>
      </c>
    </row>
    <row r="7" spans="1:12" x14ac:dyDescent="0.25">
      <c r="B7" t="s">
        <v>69</v>
      </c>
      <c r="C7" t="s">
        <v>75</v>
      </c>
      <c r="D7" t="s">
        <v>33</v>
      </c>
    </row>
    <row r="8" spans="1:12" x14ac:dyDescent="0.25">
      <c r="B8" t="s">
        <v>43</v>
      </c>
      <c r="C8" t="s">
        <v>75</v>
      </c>
      <c r="D8" t="s">
        <v>33</v>
      </c>
    </row>
    <row r="9" spans="1:12" x14ac:dyDescent="0.25">
      <c r="B9" t="s">
        <v>76</v>
      </c>
      <c r="C9" t="s">
        <v>75</v>
      </c>
      <c r="D9" t="s">
        <v>33</v>
      </c>
    </row>
    <row r="10" spans="1:12" x14ac:dyDescent="0.25">
      <c r="B10" t="s">
        <v>5</v>
      </c>
      <c r="C10" t="s">
        <v>75</v>
      </c>
      <c r="D10" t="s">
        <v>33</v>
      </c>
    </row>
    <row r="11" spans="1:12" x14ac:dyDescent="0.25">
      <c r="B11" t="s">
        <v>59</v>
      </c>
      <c r="C11" t="s">
        <v>75</v>
      </c>
      <c r="D11" t="s">
        <v>33</v>
      </c>
    </row>
    <row r="12" spans="1:12" x14ac:dyDescent="0.25">
      <c r="B12" t="s">
        <v>6</v>
      </c>
      <c r="C12" t="s">
        <v>75</v>
      </c>
      <c r="D12" t="s">
        <v>33</v>
      </c>
    </row>
    <row r="13" spans="1:12" x14ac:dyDescent="0.25">
      <c r="B13" t="s">
        <v>60</v>
      </c>
      <c r="C13" t="s">
        <v>75</v>
      </c>
      <c r="D13" t="s">
        <v>33</v>
      </c>
    </row>
    <row r="14" spans="1:12" x14ac:dyDescent="0.25">
      <c r="B14" t="s">
        <v>38</v>
      </c>
      <c r="C14" t="s">
        <v>75</v>
      </c>
      <c r="D14" t="s">
        <v>33</v>
      </c>
    </row>
    <row r="15" spans="1:12" x14ac:dyDescent="0.25">
      <c r="B15" t="s">
        <v>37</v>
      </c>
      <c r="C15" t="s">
        <v>75</v>
      </c>
      <c r="D15" t="s">
        <v>33</v>
      </c>
    </row>
    <row r="16" spans="1:12" x14ac:dyDescent="0.25">
      <c r="B16" t="s">
        <v>8</v>
      </c>
      <c r="C16" t="s">
        <v>75</v>
      </c>
      <c r="D16" t="s">
        <v>33</v>
      </c>
    </row>
    <row r="17" spans="2:4" x14ac:dyDescent="0.25">
      <c r="B17" t="s">
        <v>40</v>
      </c>
      <c r="C17" t="s">
        <v>75</v>
      </c>
      <c r="D17" t="s">
        <v>33</v>
      </c>
    </row>
    <row r="18" spans="2:4" x14ac:dyDescent="0.25">
      <c r="B18" t="s">
        <v>77</v>
      </c>
      <c r="C18" t="s">
        <v>75</v>
      </c>
      <c r="D18" t="s">
        <v>33</v>
      </c>
    </row>
    <row r="19" spans="2:4" x14ac:dyDescent="0.25">
      <c r="B19" t="s">
        <v>78</v>
      </c>
      <c r="C19" t="s">
        <v>75</v>
      </c>
      <c r="D19" t="s">
        <v>33</v>
      </c>
    </row>
    <row r="20" spans="2:4" x14ac:dyDescent="0.25">
      <c r="B20" t="s">
        <v>46</v>
      </c>
      <c r="C20" t="s">
        <v>75</v>
      </c>
      <c r="D20" t="s">
        <v>33</v>
      </c>
    </row>
    <row r="21" spans="2:4" x14ac:dyDescent="0.25">
      <c r="B21" t="s">
        <v>9</v>
      </c>
      <c r="C21" t="s">
        <v>75</v>
      </c>
      <c r="D21" t="s">
        <v>33</v>
      </c>
    </row>
    <row r="22" spans="2:4" x14ac:dyDescent="0.25">
      <c r="B22" t="s">
        <v>10</v>
      </c>
      <c r="C22" t="s">
        <v>75</v>
      </c>
      <c r="D22" t="s">
        <v>33</v>
      </c>
    </row>
    <row r="23" spans="2:4" x14ac:dyDescent="0.25">
      <c r="B23" t="s">
        <v>11</v>
      </c>
      <c r="C23" t="s">
        <v>75</v>
      </c>
      <c r="D23" t="s">
        <v>33</v>
      </c>
    </row>
    <row r="24" spans="2:4" x14ac:dyDescent="0.25">
      <c r="B24" t="s">
        <v>39</v>
      </c>
      <c r="C24" t="s">
        <v>75</v>
      </c>
      <c r="D24" t="s">
        <v>33</v>
      </c>
    </row>
    <row r="25" spans="2:4" x14ac:dyDescent="0.25">
      <c r="B25" t="s">
        <v>79</v>
      </c>
      <c r="C25" t="s">
        <v>75</v>
      </c>
      <c r="D25" t="s">
        <v>33</v>
      </c>
    </row>
    <row r="26" spans="2:4" x14ac:dyDescent="0.25">
      <c r="B26" t="s">
        <v>103</v>
      </c>
      <c r="C26" t="s">
        <v>75</v>
      </c>
      <c r="D26" t="s">
        <v>33</v>
      </c>
    </row>
    <row r="27" spans="2:4" x14ac:dyDescent="0.25">
      <c r="B27" t="s">
        <v>44</v>
      </c>
      <c r="C27" t="s">
        <v>75</v>
      </c>
      <c r="D27" t="s">
        <v>33</v>
      </c>
    </row>
    <row r="28" spans="2:4" x14ac:dyDescent="0.25">
      <c r="B28" t="s">
        <v>80</v>
      </c>
      <c r="C28" t="s">
        <v>75</v>
      </c>
      <c r="D28" t="s">
        <v>33</v>
      </c>
    </row>
    <row r="29" spans="2:4" x14ac:dyDescent="0.25">
      <c r="B29" t="s">
        <v>81</v>
      </c>
      <c r="C29" t="s">
        <v>75</v>
      </c>
      <c r="D29" t="s">
        <v>33</v>
      </c>
    </row>
    <row r="30" spans="2:4" x14ac:dyDescent="0.25">
      <c r="B30" t="s">
        <v>82</v>
      </c>
      <c r="C30" t="s">
        <v>75</v>
      </c>
      <c r="D30" t="s">
        <v>33</v>
      </c>
    </row>
    <row r="31" spans="2:4" x14ac:dyDescent="0.25">
      <c r="B31" t="s">
        <v>34</v>
      </c>
      <c r="C31" t="s">
        <v>75</v>
      </c>
      <c r="D31" t="s">
        <v>33</v>
      </c>
    </row>
    <row r="32" spans="2:4" x14ac:dyDescent="0.25">
      <c r="B32" t="s">
        <v>13</v>
      </c>
      <c r="C32" t="s">
        <v>75</v>
      </c>
      <c r="D32" t="s">
        <v>33</v>
      </c>
    </row>
    <row r="33" spans="2:4" x14ac:dyDescent="0.25">
      <c r="B33" t="s">
        <v>14</v>
      </c>
      <c r="C33" t="s">
        <v>75</v>
      </c>
      <c r="D33" t="s">
        <v>33</v>
      </c>
    </row>
    <row r="34" spans="2:4" x14ac:dyDescent="0.25">
      <c r="B34" t="s">
        <v>23</v>
      </c>
      <c r="C34" t="s">
        <v>75</v>
      </c>
      <c r="D34" t="s">
        <v>33</v>
      </c>
    </row>
    <row r="35" spans="2:4" x14ac:dyDescent="0.25">
      <c r="B35" t="s">
        <v>27</v>
      </c>
      <c r="C35" t="s">
        <v>75</v>
      </c>
      <c r="D35" t="s">
        <v>33</v>
      </c>
    </row>
    <row r="36" spans="2:4" x14ac:dyDescent="0.25">
      <c r="B36" t="s">
        <v>15</v>
      </c>
      <c r="C36" t="s">
        <v>75</v>
      </c>
      <c r="D36" t="s">
        <v>33</v>
      </c>
    </row>
    <row r="37" spans="2:4" x14ac:dyDescent="0.25">
      <c r="B37" t="s">
        <v>42</v>
      </c>
      <c r="C37" t="s">
        <v>75</v>
      </c>
      <c r="D37" t="s">
        <v>33</v>
      </c>
    </row>
    <row r="38" spans="2:4" x14ac:dyDescent="0.25">
      <c r="B38" t="s">
        <v>83</v>
      </c>
      <c r="C38" t="s">
        <v>75</v>
      </c>
      <c r="D38" t="s">
        <v>33</v>
      </c>
    </row>
    <row r="39" spans="2:4" x14ac:dyDescent="0.25">
      <c r="B39" t="s">
        <v>47</v>
      </c>
      <c r="C39" t="s">
        <v>75</v>
      </c>
      <c r="D39" t="s">
        <v>33</v>
      </c>
    </row>
    <row r="40" spans="2:4" x14ac:dyDescent="0.25">
      <c r="B40" t="s">
        <v>16</v>
      </c>
      <c r="C40" t="s">
        <v>75</v>
      </c>
      <c r="D40" t="s">
        <v>33</v>
      </c>
    </row>
    <row r="41" spans="2:4" x14ac:dyDescent="0.25">
      <c r="B41" t="s">
        <v>17</v>
      </c>
      <c r="C41" t="s">
        <v>75</v>
      </c>
      <c r="D41" t="s">
        <v>33</v>
      </c>
    </row>
    <row r="42" spans="2:4" x14ac:dyDescent="0.25">
      <c r="B42" t="s">
        <v>18</v>
      </c>
      <c r="C42" t="s">
        <v>75</v>
      </c>
      <c r="D42" t="s">
        <v>33</v>
      </c>
    </row>
    <row r="43" spans="2:4" x14ac:dyDescent="0.25">
      <c r="B43" t="s">
        <v>26</v>
      </c>
      <c r="C43" t="s">
        <v>75</v>
      </c>
      <c r="D43" t="s">
        <v>33</v>
      </c>
    </row>
    <row r="44" spans="2:4" x14ac:dyDescent="0.25">
      <c r="B44" t="s">
        <v>84</v>
      </c>
      <c r="C44" t="s">
        <v>75</v>
      </c>
      <c r="D44" t="s">
        <v>33</v>
      </c>
    </row>
    <row r="45" spans="2:4" x14ac:dyDescent="0.25">
      <c r="B45" t="s">
        <v>19</v>
      </c>
      <c r="C45" t="s">
        <v>75</v>
      </c>
      <c r="D45" t="s">
        <v>33</v>
      </c>
    </row>
    <row r="46" spans="2:4" x14ac:dyDescent="0.25">
      <c r="B46" t="s">
        <v>45</v>
      </c>
      <c r="C46" t="s">
        <v>75</v>
      </c>
      <c r="D46" t="s">
        <v>33</v>
      </c>
    </row>
    <row r="47" spans="2:4" x14ac:dyDescent="0.25">
      <c r="B47" t="s">
        <v>85</v>
      </c>
      <c r="C47" t="s">
        <v>75</v>
      </c>
      <c r="D47" t="s">
        <v>33</v>
      </c>
    </row>
    <row r="48" spans="2:4" x14ac:dyDescent="0.25">
      <c r="B48" t="s">
        <v>54</v>
      </c>
      <c r="C48" t="s">
        <v>75</v>
      </c>
      <c r="D48" t="s">
        <v>33</v>
      </c>
    </row>
    <row r="49" spans="2:4" x14ac:dyDescent="0.25">
      <c r="B49" t="s">
        <v>86</v>
      </c>
      <c r="C49" t="s">
        <v>75</v>
      </c>
      <c r="D49" t="s">
        <v>33</v>
      </c>
    </row>
    <row r="50" spans="2:4" x14ac:dyDescent="0.25">
      <c r="B50" t="s">
        <v>20</v>
      </c>
      <c r="C50" t="s">
        <v>75</v>
      </c>
      <c r="D50" t="s">
        <v>33</v>
      </c>
    </row>
    <row r="51" spans="2:4" x14ac:dyDescent="0.25">
      <c r="B51" t="s">
        <v>21</v>
      </c>
      <c r="C51" t="s">
        <v>75</v>
      </c>
      <c r="D51" t="s">
        <v>33</v>
      </c>
    </row>
    <row r="52" spans="2:4" x14ac:dyDescent="0.25">
      <c r="B52" t="s">
        <v>22</v>
      </c>
      <c r="C52" t="s">
        <v>75</v>
      </c>
      <c r="D52" t="s">
        <v>33</v>
      </c>
    </row>
    <row r="53" spans="2:4" x14ac:dyDescent="0.25">
      <c r="B53" t="s">
        <v>61</v>
      </c>
      <c r="C53" t="s">
        <v>75</v>
      </c>
      <c r="D53" t="s">
        <v>33</v>
      </c>
    </row>
    <row r="54" spans="2:4" x14ac:dyDescent="0.25">
      <c r="B54" t="s">
        <v>87</v>
      </c>
      <c r="C54" t="s">
        <v>75</v>
      </c>
      <c r="D54" t="s">
        <v>33</v>
      </c>
    </row>
    <row r="55" spans="2:4" x14ac:dyDescent="0.25">
      <c r="B55" t="s">
        <v>62</v>
      </c>
      <c r="C55" t="s">
        <v>75</v>
      </c>
      <c r="D55" t="s">
        <v>33</v>
      </c>
    </row>
    <row r="56" spans="2:4" x14ac:dyDescent="0.25">
      <c r="B56" t="s">
        <v>88</v>
      </c>
      <c r="C56" t="s">
        <v>75</v>
      </c>
      <c r="D56" t="s">
        <v>33</v>
      </c>
    </row>
    <row r="57" spans="2:4" x14ac:dyDescent="0.25">
      <c r="B57" t="s">
        <v>63</v>
      </c>
      <c r="C57" t="s">
        <v>75</v>
      </c>
      <c r="D57" t="s">
        <v>33</v>
      </c>
    </row>
    <row r="58" spans="2:4" x14ac:dyDescent="0.25">
      <c r="B58" t="s">
        <v>89</v>
      </c>
      <c r="C58" t="s">
        <v>75</v>
      </c>
      <c r="D58" t="s">
        <v>33</v>
      </c>
    </row>
    <row r="59" spans="2:4" x14ac:dyDescent="0.25">
      <c r="B59" t="s">
        <v>70</v>
      </c>
      <c r="C59" t="s">
        <v>75</v>
      </c>
      <c r="D59" t="s">
        <v>33</v>
      </c>
    </row>
    <row r="60" spans="2:4" x14ac:dyDescent="0.25">
      <c r="B60" t="s">
        <v>64</v>
      </c>
      <c r="C60" t="s">
        <v>75</v>
      </c>
      <c r="D60" t="s">
        <v>33</v>
      </c>
    </row>
    <row r="61" spans="2:4" x14ac:dyDescent="0.25">
      <c r="B61" t="s">
        <v>65</v>
      </c>
      <c r="C61" t="s">
        <v>75</v>
      </c>
      <c r="D61" t="s">
        <v>33</v>
      </c>
    </row>
    <row r="62" spans="2:4" x14ac:dyDescent="0.25">
      <c r="B62" t="s">
        <v>4</v>
      </c>
      <c r="C62" t="s">
        <v>75</v>
      </c>
      <c r="D62" t="s">
        <v>35</v>
      </c>
    </row>
    <row r="63" spans="2:4" x14ac:dyDescent="0.25">
      <c r="B63" t="s">
        <v>6</v>
      </c>
      <c r="C63" t="s">
        <v>75</v>
      </c>
      <c r="D63" t="s">
        <v>35</v>
      </c>
    </row>
    <row r="64" spans="2:4" x14ac:dyDescent="0.25">
      <c r="B64" t="s">
        <v>60</v>
      </c>
      <c r="C64" t="s">
        <v>75</v>
      </c>
      <c r="D64" t="s">
        <v>35</v>
      </c>
    </row>
    <row r="65" spans="2:4" x14ac:dyDescent="0.25">
      <c r="B65" t="s">
        <v>7</v>
      </c>
      <c r="C65" t="s">
        <v>75</v>
      </c>
      <c r="D65" t="s">
        <v>35</v>
      </c>
    </row>
    <row r="66" spans="2:4" x14ac:dyDescent="0.25">
      <c r="B66" t="s">
        <v>8</v>
      </c>
      <c r="C66" t="s">
        <v>75</v>
      </c>
      <c r="D66" t="s">
        <v>35</v>
      </c>
    </row>
    <row r="67" spans="2:4" x14ac:dyDescent="0.25">
      <c r="B67" t="s">
        <v>9</v>
      </c>
      <c r="C67" t="s">
        <v>75</v>
      </c>
      <c r="D67" t="s">
        <v>35</v>
      </c>
    </row>
    <row r="68" spans="2:4" x14ac:dyDescent="0.25">
      <c r="B68" t="s">
        <v>10</v>
      </c>
      <c r="C68" t="s">
        <v>75</v>
      </c>
      <c r="D68" t="s">
        <v>35</v>
      </c>
    </row>
    <row r="69" spans="2:4" x14ac:dyDescent="0.25">
      <c r="B69" t="s">
        <v>11</v>
      </c>
      <c r="C69" t="s">
        <v>75</v>
      </c>
      <c r="D69" t="s">
        <v>35</v>
      </c>
    </row>
    <row r="70" spans="2:4" x14ac:dyDescent="0.25">
      <c r="B70" t="s">
        <v>12</v>
      </c>
      <c r="C70" t="s">
        <v>75</v>
      </c>
      <c r="D70" t="s">
        <v>35</v>
      </c>
    </row>
    <row r="71" spans="2:4" x14ac:dyDescent="0.25">
      <c r="B71" t="s">
        <v>13</v>
      </c>
      <c r="C71" t="s">
        <v>75</v>
      </c>
      <c r="D71" t="s">
        <v>35</v>
      </c>
    </row>
    <row r="72" spans="2:4" x14ac:dyDescent="0.25">
      <c r="B72" t="s">
        <v>14</v>
      </c>
      <c r="C72" t="s">
        <v>75</v>
      </c>
      <c r="D72" t="s">
        <v>35</v>
      </c>
    </row>
    <row r="73" spans="2:4" x14ac:dyDescent="0.25">
      <c r="B73" t="s">
        <v>27</v>
      </c>
      <c r="C73" t="s">
        <v>75</v>
      </c>
      <c r="D73" t="s">
        <v>35</v>
      </c>
    </row>
    <row r="74" spans="2:4" x14ac:dyDescent="0.25">
      <c r="B74" t="s">
        <v>15</v>
      </c>
      <c r="C74" t="s">
        <v>75</v>
      </c>
      <c r="D74" t="s">
        <v>35</v>
      </c>
    </row>
    <row r="75" spans="2:4" x14ac:dyDescent="0.25">
      <c r="B75" t="s">
        <v>16</v>
      </c>
      <c r="C75" t="s">
        <v>75</v>
      </c>
      <c r="D75" t="s">
        <v>35</v>
      </c>
    </row>
    <row r="76" spans="2:4" x14ac:dyDescent="0.25">
      <c r="B76" t="s">
        <v>17</v>
      </c>
      <c r="C76" t="s">
        <v>75</v>
      </c>
      <c r="D76" t="s">
        <v>35</v>
      </c>
    </row>
    <row r="77" spans="2:4" x14ac:dyDescent="0.25">
      <c r="B77" t="s">
        <v>18</v>
      </c>
      <c r="C77" t="s">
        <v>75</v>
      </c>
      <c r="D77" t="s">
        <v>35</v>
      </c>
    </row>
    <row r="78" spans="2:4" x14ac:dyDescent="0.25">
      <c r="B78" t="s">
        <v>19</v>
      </c>
      <c r="C78" t="s">
        <v>75</v>
      </c>
      <c r="D78" t="s">
        <v>35</v>
      </c>
    </row>
    <row r="79" spans="2:4" x14ac:dyDescent="0.25">
      <c r="B79" t="s">
        <v>45</v>
      </c>
      <c r="C79" t="s">
        <v>75</v>
      </c>
      <c r="D79" t="s">
        <v>35</v>
      </c>
    </row>
    <row r="80" spans="2:4" x14ac:dyDescent="0.25">
      <c r="B80" t="s">
        <v>54</v>
      </c>
      <c r="C80" t="s">
        <v>75</v>
      </c>
      <c r="D80" t="s">
        <v>35</v>
      </c>
    </row>
    <row r="81" spans="2:4" x14ac:dyDescent="0.25">
      <c r="B81" t="s">
        <v>71</v>
      </c>
      <c r="C81" t="s">
        <v>75</v>
      </c>
      <c r="D81" t="s">
        <v>35</v>
      </c>
    </row>
    <row r="82" spans="2:4" x14ac:dyDescent="0.25">
      <c r="B82" t="s">
        <v>21</v>
      </c>
      <c r="C82" t="s">
        <v>75</v>
      </c>
      <c r="D82" t="s">
        <v>35</v>
      </c>
    </row>
    <row r="83" spans="2:4" x14ac:dyDescent="0.25">
      <c r="B83" t="s">
        <v>22</v>
      </c>
      <c r="C83" t="s">
        <v>75</v>
      </c>
      <c r="D83" t="s">
        <v>35</v>
      </c>
    </row>
    <row r="84" spans="2:4" x14ac:dyDescent="0.25">
      <c r="B84" t="s">
        <v>61</v>
      </c>
      <c r="C84" t="s">
        <v>75</v>
      </c>
      <c r="D84" t="s">
        <v>35</v>
      </c>
    </row>
    <row r="85" spans="2:4" x14ac:dyDescent="0.25">
      <c r="B85" t="s">
        <v>62</v>
      </c>
      <c r="C85" t="s">
        <v>75</v>
      </c>
      <c r="D85" t="s">
        <v>35</v>
      </c>
    </row>
    <row r="86" spans="2:4" x14ac:dyDescent="0.25">
      <c r="B86" t="s">
        <v>63</v>
      </c>
      <c r="C86" t="s">
        <v>75</v>
      </c>
      <c r="D86" t="s">
        <v>35</v>
      </c>
    </row>
    <row r="87" spans="2:4" x14ac:dyDescent="0.25">
      <c r="B87" t="s">
        <v>70</v>
      </c>
      <c r="C87" t="s">
        <v>75</v>
      </c>
      <c r="D87" t="s">
        <v>35</v>
      </c>
    </row>
    <row r="88" spans="2:4" x14ac:dyDescent="0.25">
      <c r="B88" t="s">
        <v>64</v>
      </c>
      <c r="C88" t="s">
        <v>75</v>
      </c>
      <c r="D88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3741A-C4CD-4212-8E63-66DBAEEBDB55}">
  <dimension ref="A1:O130"/>
  <sheetViews>
    <sheetView topLeftCell="A23" workbookViewId="0">
      <selection activeCell="I23" sqref="I23"/>
    </sheetView>
  </sheetViews>
  <sheetFormatPr defaultRowHeight="15" x14ac:dyDescent="0.25"/>
  <cols>
    <col min="1" max="1" width="10.85546875" customWidth="1"/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5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  <c r="O1" s="1"/>
    </row>
    <row r="2" spans="1:15" x14ac:dyDescent="0.25">
      <c r="A2">
        <v>1751</v>
      </c>
      <c r="B2" t="s">
        <v>55</v>
      </c>
      <c r="C2" t="s">
        <v>53</v>
      </c>
      <c r="D2" t="s">
        <v>33</v>
      </c>
      <c r="J2">
        <f>(E2*2240)+(F2*112)+(G2*28)+H2</f>
        <v>0</v>
      </c>
      <c r="L2">
        <f>J2/2240</f>
        <v>0</v>
      </c>
    </row>
    <row r="3" spans="1:15" x14ac:dyDescent="0.25">
      <c r="A3">
        <v>1751</v>
      </c>
      <c r="B3" t="s">
        <v>57</v>
      </c>
      <c r="C3" t="s">
        <v>53</v>
      </c>
      <c r="D3" t="s">
        <v>33</v>
      </c>
      <c r="J3">
        <f t="shared" ref="J3:J69" si="0">(E3*2240)+(F3*112)+(G3*28)+H3</f>
        <v>0</v>
      </c>
      <c r="L3">
        <f t="shared" ref="L3:L69" si="1">J3/2240</f>
        <v>0</v>
      </c>
    </row>
    <row r="4" spans="1:15" x14ac:dyDescent="0.25">
      <c r="A4">
        <v>1751</v>
      </c>
      <c r="B4" t="s">
        <v>36</v>
      </c>
      <c r="C4" t="s">
        <v>53</v>
      </c>
      <c r="D4" t="s">
        <v>33</v>
      </c>
      <c r="J4">
        <f t="shared" si="0"/>
        <v>0</v>
      </c>
      <c r="L4">
        <f t="shared" si="1"/>
        <v>0</v>
      </c>
    </row>
    <row r="5" spans="1:15" x14ac:dyDescent="0.25">
      <c r="A5">
        <v>1751</v>
      </c>
      <c r="B5" t="s">
        <v>4</v>
      </c>
      <c r="C5" t="s">
        <v>53</v>
      </c>
      <c r="D5" t="s">
        <v>33</v>
      </c>
      <c r="J5">
        <f t="shared" si="0"/>
        <v>0</v>
      </c>
      <c r="L5">
        <f t="shared" si="1"/>
        <v>0</v>
      </c>
    </row>
    <row r="6" spans="1:15" x14ac:dyDescent="0.25">
      <c r="A6">
        <v>1751</v>
      </c>
      <c r="B6" t="s">
        <v>58</v>
      </c>
      <c r="C6" t="s">
        <v>53</v>
      </c>
      <c r="D6" t="s">
        <v>33</v>
      </c>
      <c r="J6">
        <f t="shared" si="0"/>
        <v>0</v>
      </c>
      <c r="L6">
        <f t="shared" si="1"/>
        <v>0</v>
      </c>
    </row>
    <row r="7" spans="1:15" x14ac:dyDescent="0.25">
      <c r="A7">
        <v>1751</v>
      </c>
      <c r="B7" t="s">
        <v>69</v>
      </c>
      <c r="C7" t="s">
        <v>53</v>
      </c>
      <c r="D7" t="s">
        <v>33</v>
      </c>
      <c r="J7">
        <f t="shared" si="0"/>
        <v>0</v>
      </c>
      <c r="L7">
        <f t="shared" si="1"/>
        <v>0</v>
      </c>
    </row>
    <row r="8" spans="1:15" x14ac:dyDescent="0.25">
      <c r="A8">
        <v>1751</v>
      </c>
      <c r="B8" t="s">
        <v>101</v>
      </c>
      <c r="C8" t="s">
        <v>53</v>
      </c>
      <c r="D8" t="s">
        <v>33</v>
      </c>
      <c r="J8">
        <f t="shared" si="0"/>
        <v>0</v>
      </c>
      <c r="L8">
        <f t="shared" si="1"/>
        <v>0</v>
      </c>
    </row>
    <row r="9" spans="1:15" x14ac:dyDescent="0.25">
      <c r="A9">
        <v>1751</v>
      </c>
      <c r="B9" t="s">
        <v>43</v>
      </c>
      <c r="C9" t="s">
        <v>53</v>
      </c>
      <c r="D9" t="s">
        <v>33</v>
      </c>
      <c r="J9">
        <f t="shared" si="0"/>
        <v>0</v>
      </c>
      <c r="L9">
        <f t="shared" si="1"/>
        <v>0</v>
      </c>
    </row>
    <row r="10" spans="1:15" x14ac:dyDescent="0.25">
      <c r="A10">
        <v>1751</v>
      </c>
      <c r="B10" t="s">
        <v>76</v>
      </c>
      <c r="C10" t="s">
        <v>53</v>
      </c>
      <c r="D10" t="s">
        <v>33</v>
      </c>
      <c r="J10">
        <f t="shared" si="0"/>
        <v>0</v>
      </c>
      <c r="L10">
        <f t="shared" si="1"/>
        <v>0</v>
      </c>
    </row>
    <row r="11" spans="1:15" x14ac:dyDescent="0.25">
      <c r="A11">
        <v>1751</v>
      </c>
      <c r="B11" t="s">
        <v>5</v>
      </c>
      <c r="C11" t="s">
        <v>53</v>
      </c>
      <c r="D11" t="s">
        <v>33</v>
      </c>
      <c r="J11">
        <f t="shared" si="0"/>
        <v>0</v>
      </c>
      <c r="L11">
        <f t="shared" si="1"/>
        <v>0</v>
      </c>
    </row>
    <row r="12" spans="1:15" x14ac:dyDescent="0.25">
      <c r="A12">
        <v>1751</v>
      </c>
      <c r="B12" t="s">
        <v>59</v>
      </c>
      <c r="C12" t="s">
        <v>53</v>
      </c>
      <c r="D12" t="s">
        <v>33</v>
      </c>
      <c r="J12">
        <f t="shared" si="0"/>
        <v>0</v>
      </c>
      <c r="L12">
        <f t="shared" si="1"/>
        <v>0</v>
      </c>
    </row>
    <row r="13" spans="1:15" x14ac:dyDescent="0.25">
      <c r="A13">
        <v>1751</v>
      </c>
      <c r="B13" t="s">
        <v>6</v>
      </c>
      <c r="C13" t="s">
        <v>53</v>
      </c>
      <c r="D13" t="s">
        <v>33</v>
      </c>
      <c r="F13">
        <v>108765</v>
      </c>
      <c r="H13">
        <v>4</v>
      </c>
      <c r="J13">
        <f t="shared" si="0"/>
        <v>12181684</v>
      </c>
      <c r="L13">
        <f t="shared" si="1"/>
        <v>5438.2517857142857</v>
      </c>
    </row>
    <row r="14" spans="1:15" x14ac:dyDescent="0.25">
      <c r="A14">
        <v>1751</v>
      </c>
      <c r="B14" t="s">
        <v>96</v>
      </c>
      <c r="C14" t="s">
        <v>53</v>
      </c>
      <c r="D14" t="s">
        <v>33</v>
      </c>
      <c r="J14">
        <f t="shared" si="0"/>
        <v>0</v>
      </c>
      <c r="L14">
        <f t="shared" si="1"/>
        <v>0</v>
      </c>
    </row>
    <row r="15" spans="1:15" x14ac:dyDescent="0.25">
      <c r="A15">
        <v>1751</v>
      </c>
      <c r="B15" t="s">
        <v>60</v>
      </c>
      <c r="C15" t="s">
        <v>53</v>
      </c>
      <c r="D15" t="s">
        <v>33</v>
      </c>
      <c r="J15">
        <f t="shared" si="0"/>
        <v>0</v>
      </c>
      <c r="L15">
        <f t="shared" si="1"/>
        <v>0</v>
      </c>
    </row>
    <row r="16" spans="1:15" x14ac:dyDescent="0.25">
      <c r="A16">
        <v>1751</v>
      </c>
      <c r="B16" t="s">
        <v>7</v>
      </c>
      <c r="C16" t="s">
        <v>53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1751</v>
      </c>
      <c r="B17" t="s">
        <v>37</v>
      </c>
      <c r="C17" t="s">
        <v>53</v>
      </c>
      <c r="D17" t="s">
        <v>33</v>
      </c>
      <c r="H17">
        <v>740</v>
      </c>
      <c r="J17">
        <f t="shared" si="0"/>
        <v>740</v>
      </c>
      <c r="L17">
        <f t="shared" si="1"/>
        <v>0.33035714285714285</v>
      </c>
    </row>
    <row r="18" spans="1:12" x14ac:dyDescent="0.25">
      <c r="A18">
        <v>1751</v>
      </c>
      <c r="B18" t="s">
        <v>8</v>
      </c>
      <c r="C18" t="s">
        <v>53</v>
      </c>
      <c r="D18" t="s">
        <v>33</v>
      </c>
      <c r="F18">
        <v>199</v>
      </c>
      <c r="J18">
        <f t="shared" si="0"/>
        <v>22288</v>
      </c>
      <c r="L18">
        <f t="shared" si="1"/>
        <v>9.9499999999999993</v>
      </c>
    </row>
    <row r="19" spans="1:12" x14ac:dyDescent="0.25">
      <c r="A19">
        <v>1751</v>
      </c>
      <c r="B19" t="s">
        <v>40</v>
      </c>
      <c r="C19" t="s">
        <v>53</v>
      </c>
      <c r="D19" t="s">
        <v>33</v>
      </c>
      <c r="J19">
        <f t="shared" si="0"/>
        <v>0</v>
      </c>
      <c r="L19">
        <f t="shared" si="1"/>
        <v>0</v>
      </c>
    </row>
    <row r="20" spans="1:12" x14ac:dyDescent="0.25">
      <c r="A20">
        <v>1751</v>
      </c>
      <c r="B20" t="s">
        <v>77</v>
      </c>
      <c r="C20" t="s">
        <v>53</v>
      </c>
      <c r="D20" t="s">
        <v>33</v>
      </c>
      <c r="J20">
        <f t="shared" si="0"/>
        <v>0</v>
      </c>
      <c r="L20">
        <f t="shared" si="1"/>
        <v>0</v>
      </c>
    </row>
    <row r="21" spans="1:12" x14ac:dyDescent="0.25">
      <c r="A21">
        <v>1751</v>
      </c>
      <c r="B21" t="s">
        <v>78</v>
      </c>
      <c r="C21" t="s">
        <v>53</v>
      </c>
      <c r="D21" t="s">
        <v>33</v>
      </c>
      <c r="J21">
        <f t="shared" si="0"/>
        <v>0</v>
      </c>
      <c r="L21">
        <f t="shared" si="1"/>
        <v>0</v>
      </c>
    </row>
    <row r="22" spans="1:12" x14ac:dyDescent="0.25">
      <c r="A22">
        <v>1751</v>
      </c>
      <c r="B22" t="s">
        <v>46</v>
      </c>
      <c r="C22" t="s">
        <v>53</v>
      </c>
      <c r="D22" t="s">
        <v>33</v>
      </c>
      <c r="J22">
        <f t="shared" si="0"/>
        <v>0</v>
      </c>
      <c r="L22">
        <f t="shared" si="1"/>
        <v>0</v>
      </c>
    </row>
    <row r="23" spans="1:12" x14ac:dyDescent="0.25">
      <c r="A23">
        <v>1751</v>
      </c>
      <c r="B23" t="s">
        <v>9</v>
      </c>
      <c r="C23" t="s">
        <v>53</v>
      </c>
      <c r="D23" t="s">
        <v>33</v>
      </c>
      <c r="H23">
        <f>511*200</f>
        <v>102200</v>
      </c>
      <c r="I23" t="s">
        <v>112</v>
      </c>
      <c r="J23">
        <f t="shared" si="0"/>
        <v>102200</v>
      </c>
      <c r="L23">
        <f t="shared" si="1"/>
        <v>45.625</v>
      </c>
    </row>
    <row r="24" spans="1:12" x14ac:dyDescent="0.25">
      <c r="A24">
        <v>1751</v>
      </c>
      <c r="B24" t="s">
        <v>10</v>
      </c>
      <c r="C24" t="s">
        <v>53</v>
      </c>
      <c r="D24" t="s">
        <v>33</v>
      </c>
      <c r="F24">
        <v>270</v>
      </c>
      <c r="G24">
        <v>1</v>
      </c>
      <c r="H24">
        <v>10</v>
      </c>
      <c r="J24">
        <f t="shared" si="0"/>
        <v>30278</v>
      </c>
      <c r="L24">
        <f t="shared" si="1"/>
        <v>13.516964285714286</v>
      </c>
    </row>
    <row r="25" spans="1:12" x14ac:dyDescent="0.25">
      <c r="A25">
        <v>1751</v>
      </c>
      <c r="B25" t="s">
        <v>11</v>
      </c>
      <c r="C25" t="s">
        <v>53</v>
      </c>
      <c r="D25" t="s">
        <v>33</v>
      </c>
      <c r="F25">
        <v>4</v>
      </c>
      <c r="G25">
        <v>3</v>
      </c>
      <c r="H25">
        <v>16</v>
      </c>
      <c r="J25">
        <f t="shared" si="0"/>
        <v>548</v>
      </c>
      <c r="L25">
        <f t="shared" si="1"/>
        <v>0.24464285714285713</v>
      </c>
    </row>
    <row r="26" spans="1:12" x14ac:dyDescent="0.25">
      <c r="A26">
        <v>1751</v>
      </c>
      <c r="B26" t="s">
        <v>39</v>
      </c>
      <c r="C26" t="s">
        <v>53</v>
      </c>
      <c r="D26" t="s">
        <v>33</v>
      </c>
      <c r="H26">
        <v>35</v>
      </c>
      <c r="J26">
        <f t="shared" si="0"/>
        <v>35</v>
      </c>
      <c r="L26">
        <f t="shared" si="1"/>
        <v>1.5625E-2</v>
      </c>
    </row>
    <row r="27" spans="1:12" x14ac:dyDescent="0.25">
      <c r="A27">
        <v>1751</v>
      </c>
      <c r="B27" t="s">
        <v>79</v>
      </c>
      <c r="C27" t="s">
        <v>53</v>
      </c>
      <c r="D27" t="s">
        <v>33</v>
      </c>
      <c r="J27">
        <f t="shared" si="0"/>
        <v>0</v>
      </c>
      <c r="L27">
        <f t="shared" si="1"/>
        <v>0</v>
      </c>
    </row>
    <row r="28" spans="1:12" x14ac:dyDescent="0.25">
      <c r="A28">
        <v>1751</v>
      </c>
      <c r="B28" t="s">
        <v>103</v>
      </c>
      <c r="C28" t="s">
        <v>53</v>
      </c>
      <c r="D28" t="s">
        <v>33</v>
      </c>
      <c r="J28">
        <f t="shared" si="0"/>
        <v>0</v>
      </c>
      <c r="L28">
        <f t="shared" si="1"/>
        <v>0</v>
      </c>
    </row>
    <row r="29" spans="1:12" x14ac:dyDescent="0.25">
      <c r="A29">
        <v>1751</v>
      </c>
      <c r="B29" t="s">
        <v>102</v>
      </c>
      <c r="C29" t="s">
        <v>53</v>
      </c>
      <c r="D29" t="s">
        <v>33</v>
      </c>
      <c r="J29">
        <f t="shared" si="0"/>
        <v>0</v>
      </c>
      <c r="L29">
        <f t="shared" si="1"/>
        <v>0</v>
      </c>
    </row>
    <row r="30" spans="1:12" x14ac:dyDescent="0.25">
      <c r="A30">
        <v>1751</v>
      </c>
      <c r="B30" t="s">
        <v>44</v>
      </c>
      <c r="C30" t="s">
        <v>53</v>
      </c>
      <c r="D30" t="s">
        <v>33</v>
      </c>
      <c r="J30">
        <f t="shared" si="0"/>
        <v>0</v>
      </c>
      <c r="L30">
        <f t="shared" si="1"/>
        <v>0</v>
      </c>
    </row>
    <row r="31" spans="1:12" x14ac:dyDescent="0.25">
      <c r="A31">
        <v>1751</v>
      </c>
      <c r="B31" t="s">
        <v>97</v>
      </c>
      <c r="C31" t="s">
        <v>53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25">
      <c r="A32">
        <v>1751</v>
      </c>
      <c r="B32" t="s">
        <v>12</v>
      </c>
      <c r="C32" t="s">
        <v>53</v>
      </c>
      <c r="D32" t="s">
        <v>33</v>
      </c>
      <c r="H32">
        <v>2000</v>
      </c>
      <c r="J32">
        <f t="shared" si="0"/>
        <v>2000</v>
      </c>
      <c r="L32">
        <f t="shared" si="1"/>
        <v>0.8928571428571429</v>
      </c>
    </row>
    <row r="33" spans="1:12" x14ac:dyDescent="0.25">
      <c r="A33">
        <v>1751</v>
      </c>
      <c r="B33" t="s">
        <v>82</v>
      </c>
      <c r="C33" t="s">
        <v>53</v>
      </c>
      <c r="D33" t="s">
        <v>33</v>
      </c>
      <c r="J33">
        <f t="shared" si="0"/>
        <v>0</v>
      </c>
      <c r="L33">
        <f t="shared" si="1"/>
        <v>0</v>
      </c>
    </row>
    <row r="34" spans="1:12" x14ac:dyDescent="0.25">
      <c r="A34">
        <v>1751</v>
      </c>
      <c r="B34" t="s">
        <v>34</v>
      </c>
      <c r="C34" t="s">
        <v>53</v>
      </c>
      <c r="D34" t="s">
        <v>33</v>
      </c>
      <c r="J34">
        <f t="shared" si="0"/>
        <v>0</v>
      </c>
      <c r="L34">
        <f t="shared" si="1"/>
        <v>0</v>
      </c>
    </row>
    <row r="35" spans="1:12" x14ac:dyDescent="0.25">
      <c r="A35">
        <v>1751</v>
      </c>
      <c r="B35" t="s">
        <v>13</v>
      </c>
      <c r="C35" t="s">
        <v>53</v>
      </c>
      <c r="D35" t="s">
        <v>33</v>
      </c>
      <c r="E35">
        <v>273</v>
      </c>
      <c r="J35">
        <f t="shared" si="0"/>
        <v>611520</v>
      </c>
      <c r="L35">
        <f t="shared" si="1"/>
        <v>273</v>
      </c>
    </row>
    <row r="36" spans="1:12" x14ac:dyDescent="0.25">
      <c r="A36">
        <v>1751</v>
      </c>
      <c r="B36" t="s">
        <v>14</v>
      </c>
      <c r="C36" t="s">
        <v>53</v>
      </c>
      <c r="D36" t="s">
        <v>33</v>
      </c>
      <c r="H36">
        <v>230</v>
      </c>
      <c r="I36" t="s">
        <v>107</v>
      </c>
      <c r="J36">
        <f t="shared" si="0"/>
        <v>230</v>
      </c>
      <c r="L36">
        <f t="shared" si="1"/>
        <v>0.10267857142857142</v>
      </c>
    </row>
    <row r="37" spans="1:12" x14ac:dyDescent="0.25">
      <c r="A37">
        <v>1751</v>
      </c>
      <c r="B37" t="s">
        <v>23</v>
      </c>
      <c r="C37" t="s">
        <v>53</v>
      </c>
      <c r="D37" t="s">
        <v>33</v>
      </c>
      <c r="J37">
        <f t="shared" si="0"/>
        <v>0</v>
      </c>
      <c r="L37">
        <f t="shared" si="1"/>
        <v>0</v>
      </c>
    </row>
    <row r="38" spans="1:12" x14ac:dyDescent="0.25">
      <c r="A38">
        <v>1751</v>
      </c>
      <c r="B38" t="s">
        <v>27</v>
      </c>
      <c r="C38" t="s">
        <v>53</v>
      </c>
      <c r="D38" t="s">
        <v>33</v>
      </c>
      <c r="H38">
        <v>80851</v>
      </c>
      <c r="I38" t="s">
        <v>110</v>
      </c>
      <c r="J38">
        <f t="shared" si="0"/>
        <v>80851</v>
      </c>
      <c r="L38">
        <f t="shared" si="1"/>
        <v>36.094196428571429</v>
      </c>
    </row>
    <row r="39" spans="1:12" x14ac:dyDescent="0.25">
      <c r="A39">
        <v>1751</v>
      </c>
      <c r="B39" t="s">
        <v>15</v>
      </c>
      <c r="C39" t="s">
        <v>53</v>
      </c>
      <c r="D39" t="s">
        <v>33</v>
      </c>
      <c r="J39">
        <f t="shared" si="0"/>
        <v>0</v>
      </c>
      <c r="L39">
        <f t="shared" si="1"/>
        <v>0</v>
      </c>
    </row>
    <row r="40" spans="1:12" x14ac:dyDescent="0.25">
      <c r="A40">
        <v>1751</v>
      </c>
      <c r="B40" t="s">
        <v>42</v>
      </c>
      <c r="C40" t="s">
        <v>53</v>
      </c>
      <c r="D40" t="s">
        <v>33</v>
      </c>
      <c r="J40">
        <f t="shared" si="0"/>
        <v>0</v>
      </c>
      <c r="L40">
        <f t="shared" si="1"/>
        <v>0</v>
      </c>
    </row>
    <row r="41" spans="1:12" x14ac:dyDescent="0.25">
      <c r="A41">
        <v>1751</v>
      </c>
      <c r="B41" t="s">
        <v>83</v>
      </c>
      <c r="C41" t="s">
        <v>53</v>
      </c>
      <c r="D41" t="s">
        <v>33</v>
      </c>
      <c r="J41">
        <f t="shared" si="0"/>
        <v>0</v>
      </c>
      <c r="L41">
        <f t="shared" si="1"/>
        <v>0</v>
      </c>
    </row>
    <row r="42" spans="1:12" x14ac:dyDescent="0.25">
      <c r="A42">
        <v>1751</v>
      </c>
      <c r="B42" t="s">
        <v>47</v>
      </c>
      <c r="C42" t="s">
        <v>53</v>
      </c>
      <c r="D42" t="s">
        <v>33</v>
      </c>
      <c r="H42">
        <v>130</v>
      </c>
      <c r="I42" t="s">
        <v>108</v>
      </c>
      <c r="J42">
        <f t="shared" si="0"/>
        <v>130</v>
      </c>
      <c r="L42">
        <f t="shared" si="1"/>
        <v>5.8035714285714288E-2</v>
      </c>
    </row>
    <row r="43" spans="1:12" x14ac:dyDescent="0.25">
      <c r="A43">
        <v>1751</v>
      </c>
      <c r="B43" t="s">
        <v>16</v>
      </c>
      <c r="C43" t="s">
        <v>53</v>
      </c>
      <c r="D43" t="s">
        <v>33</v>
      </c>
      <c r="H43">
        <v>9649</v>
      </c>
      <c r="J43">
        <f t="shared" si="0"/>
        <v>9649</v>
      </c>
      <c r="L43">
        <f t="shared" si="1"/>
        <v>4.3075892857142861</v>
      </c>
    </row>
    <row r="44" spans="1:12" x14ac:dyDescent="0.25">
      <c r="A44">
        <v>1751</v>
      </c>
      <c r="B44" t="s">
        <v>17</v>
      </c>
      <c r="C44" t="s">
        <v>53</v>
      </c>
      <c r="D44" t="s">
        <v>33</v>
      </c>
      <c r="F44">
        <v>3644</v>
      </c>
      <c r="G44">
        <v>3</v>
      </c>
      <c r="H44">
        <v>19</v>
      </c>
      <c r="J44">
        <f t="shared" si="0"/>
        <v>408231</v>
      </c>
      <c r="L44">
        <f t="shared" si="1"/>
        <v>182.24598214285714</v>
      </c>
    </row>
    <row r="45" spans="1:12" x14ac:dyDescent="0.25">
      <c r="A45">
        <v>1751</v>
      </c>
      <c r="B45" t="s">
        <v>18</v>
      </c>
      <c r="C45" t="s">
        <v>53</v>
      </c>
      <c r="D45" t="s">
        <v>33</v>
      </c>
      <c r="H45">
        <v>186758</v>
      </c>
      <c r="I45" t="s">
        <v>109</v>
      </c>
      <c r="J45">
        <f t="shared" si="0"/>
        <v>186758</v>
      </c>
      <c r="L45">
        <f t="shared" si="1"/>
        <v>83.374107142857142</v>
      </c>
    </row>
    <row r="46" spans="1:12" x14ac:dyDescent="0.25">
      <c r="A46">
        <v>1751</v>
      </c>
      <c r="B46" t="s">
        <v>26</v>
      </c>
      <c r="C46" t="s">
        <v>53</v>
      </c>
      <c r="D46" t="s">
        <v>33</v>
      </c>
      <c r="J46">
        <f t="shared" si="0"/>
        <v>0</v>
      </c>
      <c r="L46">
        <f t="shared" si="1"/>
        <v>0</v>
      </c>
    </row>
    <row r="47" spans="1:12" x14ac:dyDescent="0.25">
      <c r="A47">
        <v>1751</v>
      </c>
      <c r="B47" t="s">
        <v>84</v>
      </c>
      <c r="C47" t="s">
        <v>53</v>
      </c>
      <c r="D47" t="s">
        <v>33</v>
      </c>
      <c r="J47">
        <f t="shared" si="0"/>
        <v>0</v>
      </c>
      <c r="L47">
        <f t="shared" si="1"/>
        <v>0</v>
      </c>
    </row>
    <row r="48" spans="1:12" x14ac:dyDescent="0.25">
      <c r="A48">
        <v>1751</v>
      </c>
      <c r="B48" t="s">
        <v>19</v>
      </c>
      <c r="C48" t="s">
        <v>53</v>
      </c>
      <c r="D48" t="s">
        <v>33</v>
      </c>
      <c r="J48">
        <f t="shared" si="0"/>
        <v>0</v>
      </c>
      <c r="L48">
        <f t="shared" si="1"/>
        <v>0</v>
      </c>
    </row>
    <row r="49" spans="1:12" x14ac:dyDescent="0.25">
      <c r="A49">
        <v>1751</v>
      </c>
      <c r="B49" t="s">
        <v>45</v>
      </c>
      <c r="C49" t="s">
        <v>53</v>
      </c>
      <c r="D49" t="s">
        <v>33</v>
      </c>
      <c r="J49">
        <f t="shared" si="0"/>
        <v>0</v>
      </c>
      <c r="L49">
        <f t="shared" si="1"/>
        <v>0</v>
      </c>
    </row>
    <row r="50" spans="1:12" x14ac:dyDescent="0.25">
      <c r="A50">
        <v>1751</v>
      </c>
      <c r="B50" t="s">
        <v>85</v>
      </c>
      <c r="C50" t="s">
        <v>53</v>
      </c>
      <c r="D50" t="s">
        <v>33</v>
      </c>
      <c r="J50">
        <f t="shared" si="0"/>
        <v>0</v>
      </c>
      <c r="L50">
        <f t="shared" si="1"/>
        <v>0</v>
      </c>
    </row>
    <row r="51" spans="1:12" x14ac:dyDescent="0.25">
      <c r="A51">
        <v>1751</v>
      </c>
      <c r="B51" t="s">
        <v>54</v>
      </c>
      <c r="C51" t="s">
        <v>53</v>
      </c>
      <c r="D51" t="s">
        <v>33</v>
      </c>
      <c r="H51">
        <v>634</v>
      </c>
      <c r="J51">
        <f t="shared" si="0"/>
        <v>634</v>
      </c>
      <c r="L51">
        <f t="shared" si="1"/>
        <v>0.28303571428571428</v>
      </c>
    </row>
    <row r="52" spans="1:12" x14ac:dyDescent="0.25">
      <c r="A52">
        <v>1751</v>
      </c>
      <c r="B52" t="s">
        <v>95</v>
      </c>
      <c r="C52" t="s">
        <v>53</v>
      </c>
      <c r="D52" t="s">
        <v>33</v>
      </c>
      <c r="H52">
        <v>188</v>
      </c>
      <c r="J52">
        <f t="shared" si="0"/>
        <v>188</v>
      </c>
      <c r="L52">
        <f t="shared" si="1"/>
        <v>8.3928571428571422E-2</v>
      </c>
    </row>
    <row r="53" spans="1:12" x14ac:dyDescent="0.25">
      <c r="A53">
        <v>1751</v>
      </c>
      <c r="B53" t="s">
        <v>20</v>
      </c>
      <c r="C53" t="s">
        <v>53</v>
      </c>
      <c r="D53" t="s">
        <v>33</v>
      </c>
      <c r="J53">
        <f t="shared" si="0"/>
        <v>0</v>
      </c>
      <c r="L53">
        <f t="shared" si="1"/>
        <v>0</v>
      </c>
    </row>
    <row r="54" spans="1:12" x14ac:dyDescent="0.25">
      <c r="A54">
        <v>1751</v>
      </c>
      <c r="B54" t="s">
        <v>21</v>
      </c>
      <c r="C54" t="s">
        <v>53</v>
      </c>
      <c r="D54" t="s">
        <v>33</v>
      </c>
      <c r="H54">
        <v>108</v>
      </c>
      <c r="J54">
        <f t="shared" si="0"/>
        <v>108</v>
      </c>
      <c r="L54">
        <f t="shared" si="1"/>
        <v>4.8214285714285716E-2</v>
      </c>
    </row>
    <row r="55" spans="1:12" x14ac:dyDescent="0.25">
      <c r="A55">
        <v>1751</v>
      </c>
      <c r="B55" t="s">
        <v>22</v>
      </c>
      <c r="C55" t="s">
        <v>53</v>
      </c>
      <c r="D55" t="s">
        <v>33</v>
      </c>
      <c r="J55">
        <f t="shared" si="0"/>
        <v>0</v>
      </c>
      <c r="L55">
        <f t="shared" si="1"/>
        <v>0</v>
      </c>
    </row>
    <row r="56" spans="1:12" x14ac:dyDescent="0.25">
      <c r="A56">
        <v>1751</v>
      </c>
      <c r="B56" t="s">
        <v>61</v>
      </c>
      <c r="C56" t="s">
        <v>53</v>
      </c>
      <c r="D56" t="s">
        <v>33</v>
      </c>
      <c r="E56">
        <v>45</v>
      </c>
      <c r="F56">
        <v>4</v>
      </c>
      <c r="J56">
        <f t="shared" si="0"/>
        <v>101248</v>
      </c>
      <c r="L56">
        <f t="shared" si="1"/>
        <v>45.2</v>
      </c>
    </row>
    <row r="57" spans="1:12" x14ac:dyDescent="0.25">
      <c r="A57">
        <v>1751</v>
      </c>
      <c r="B57" t="s">
        <v>111</v>
      </c>
      <c r="C57" t="s">
        <v>53</v>
      </c>
      <c r="D57" t="s">
        <v>33</v>
      </c>
      <c r="F57">
        <v>7</v>
      </c>
      <c r="J57">
        <f t="shared" si="0"/>
        <v>784</v>
      </c>
      <c r="L57">
        <f t="shared" si="1"/>
        <v>0.35</v>
      </c>
    </row>
    <row r="58" spans="1:12" x14ac:dyDescent="0.25">
      <c r="A58">
        <v>1751</v>
      </c>
      <c r="B58" t="s">
        <v>99</v>
      </c>
      <c r="C58" t="s">
        <v>53</v>
      </c>
      <c r="D58" t="s">
        <v>33</v>
      </c>
      <c r="J58">
        <f t="shared" si="0"/>
        <v>0</v>
      </c>
      <c r="L58">
        <f t="shared" si="1"/>
        <v>0</v>
      </c>
    </row>
    <row r="59" spans="1:12" x14ac:dyDescent="0.25">
      <c r="A59">
        <v>1751</v>
      </c>
      <c r="B59" t="s">
        <v>87</v>
      </c>
      <c r="C59" t="s">
        <v>53</v>
      </c>
      <c r="D59" t="s">
        <v>33</v>
      </c>
      <c r="E59">
        <v>12</v>
      </c>
      <c r="J59">
        <f t="shared" si="0"/>
        <v>26880</v>
      </c>
      <c r="L59">
        <f t="shared" si="1"/>
        <v>12</v>
      </c>
    </row>
    <row r="60" spans="1:12" x14ac:dyDescent="0.25">
      <c r="A60">
        <v>1751</v>
      </c>
      <c r="B60" t="s">
        <v>62</v>
      </c>
      <c r="C60" t="s">
        <v>53</v>
      </c>
      <c r="D60" t="s">
        <v>33</v>
      </c>
      <c r="E60">
        <v>131</v>
      </c>
      <c r="F60">
        <v>8</v>
      </c>
      <c r="G60">
        <v>3</v>
      </c>
      <c r="H60">
        <v>20</v>
      </c>
      <c r="J60">
        <f t="shared" si="0"/>
        <v>294440</v>
      </c>
      <c r="L60">
        <f t="shared" si="1"/>
        <v>131.44642857142858</v>
      </c>
    </row>
    <row r="61" spans="1:12" x14ac:dyDescent="0.25">
      <c r="A61">
        <v>1751</v>
      </c>
      <c r="B61" t="s">
        <v>88</v>
      </c>
      <c r="C61" t="s">
        <v>53</v>
      </c>
      <c r="D61" t="s">
        <v>33</v>
      </c>
      <c r="J61">
        <f t="shared" si="0"/>
        <v>0</v>
      </c>
      <c r="L61">
        <f t="shared" si="1"/>
        <v>0</v>
      </c>
    </row>
    <row r="62" spans="1:12" x14ac:dyDescent="0.25">
      <c r="A62">
        <v>1751</v>
      </c>
      <c r="B62" t="s">
        <v>63</v>
      </c>
      <c r="C62" t="s">
        <v>53</v>
      </c>
      <c r="D62" t="s">
        <v>33</v>
      </c>
      <c r="E62">
        <v>198</v>
      </c>
      <c r="J62">
        <f t="shared" si="0"/>
        <v>443520</v>
      </c>
      <c r="L62">
        <f t="shared" si="1"/>
        <v>198</v>
      </c>
    </row>
    <row r="63" spans="1:12" x14ac:dyDescent="0.25">
      <c r="A63">
        <v>1751</v>
      </c>
      <c r="B63" t="s">
        <v>89</v>
      </c>
      <c r="C63" t="s">
        <v>53</v>
      </c>
      <c r="D63" t="s">
        <v>33</v>
      </c>
      <c r="E63">
        <v>4</v>
      </c>
      <c r="J63">
        <f t="shared" si="0"/>
        <v>8960</v>
      </c>
      <c r="L63">
        <f t="shared" si="1"/>
        <v>4</v>
      </c>
    </row>
    <row r="64" spans="1:12" x14ac:dyDescent="0.25">
      <c r="A64">
        <v>1751</v>
      </c>
      <c r="B64" t="s">
        <v>70</v>
      </c>
      <c r="C64" t="s">
        <v>53</v>
      </c>
      <c r="D64" t="s">
        <v>33</v>
      </c>
      <c r="J64">
        <f t="shared" si="0"/>
        <v>0</v>
      </c>
      <c r="L64">
        <f t="shared" si="1"/>
        <v>0</v>
      </c>
    </row>
    <row r="65" spans="1:12" x14ac:dyDescent="0.25">
      <c r="A65">
        <v>1751</v>
      </c>
      <c r="B65" t="s">
        <v>64</v>
      </c>
      <c r="C65" t="s">
        <v>53</v>
      </c>
      <c r="D65" t="s">
        <v>33</v>
      </c>
      <c r="E65">
        <v>6.5</v>
      </c>
      <c r="J65">
        <f t="shared" si="0"/>
        <v>14560</v>
      </c>
      <c r="L65">
        <f t="shared" si="1"/>
        <v>6.5</v>
      </c>
    </row>
    <row r="66" spans="1:12" x14ac:dyDescent="0.25">
      <c r="A66">
        <v>1751</v>
      </c>
      <c r="B66" t="s">
        <v>65</v>
      </c>
      <c r="C66" t="s">
        <v>53</v>
      </c>
      <c r="D66" t="s">
        <v>33</v>
      </c>
      <c r="J66">
        <f t="shared" si="0"/>
        <v>0</v>
      </c>
      <c r="L66">
        <f t="shared" si="1"/>
        <v>0</v>
      </c>
    </row>
    <row r="67" spans="1:12" x14ac:dyDescent="0.25">
      <c r="A67">
        <v>1751</v>
      </c>
      <c r="B67" t="s">
        <v>55</v>
      </c>
      <c r="C67" t="s">
        <v>53</v>
      </c>
      <c r="D67" t="s">
        <v>35</v>
      </c>
      <c r="J67">
        <f t="shared" si="0"/>
        <v>0</v>
      </c>
      <c r="L67">
        <f t="shared" si="1"/>
        <v>0</v>
      </c>
    </row>
    <row r="68" spans="1:12" x14ac:dyDescent="0.25">
      <c r="A68">
        <v>1751</v>
      </c>
      <c r="B68" t="s">
        <v>57</v>
      </c>
      <c r="C68" t="s">
        <v>53</v>
      </c>
      <c r="D68" t="s">
        <v>35</v>
      </c>
      <c r="J68">
        <f t="shared" si="0"/>
        <v>0</v>
      </c>
      <c r="L68">
        <f t="shared" si="1"/>
        <v>0</v>
      </c>
    </row>
    <row r="69" spans="1:12" x14ac:dyDescent="0.25">
      <c r="A69">
        <v>1751</v>
      </c>
      <c r="B69" t="s">
        <v>36</v>
      </c>
      <c r="C69" t="s">
        <v>53</v>
      </c>
      <c r="D69" t="s">
        <v>35</v>
      </c>
      <c r="J69">
        <f t="shared" si="0"/>
        <v>0</v>
      </c>
      <c r="L69">
        <f t="shared" si="1"/>
        <v>0</v>
      </c>
    </row>
    <row r="70" spans="1:12" x14ac:dyDescent="0.25">
      <c r="A70">
        <v>1751</v>
      </c>
      <c r="B70" t="s">
        <v>4</v>
      </c>
      <c r="C70" t="s">
        <v>53</v>
      </c>
      <c r="D70" t="s">
        <v>35</v>
      </c>
      <c r="J70">
        <f t="shared" ref="J70:J130" si="2">(E70*2240)+(F70*112)+(G70*28)+H70</f>
        <v>0</v>
      </c>
      <c r="L70">
        <f t="shared" ref="L70:L130" si="3">J70/2240</f>
        <v>0</v>
      </c>
    </row>
    <row r="71" spans="1:12" x14ac:dyDescent="0.25">
      <c r="A71">
        <v>1751</v>
      </c>
      <c r="B71" t="s">
        <v>58</v>
      </c>
      <c r="C71" t="s">
        <v>53</v>
      </c>
      <c r="D71" t="s">
        <v>35</v>
      </c>
      <c r="J71">
        <f t="shared" si="2"/>
        <v>0</v>
      </c>
      <c r="L71">
        <f t="shared" si="3"/>
        <v>0</v>
      </c>
    </row>
    <row r="72" spans="1:12" x14ac:dyDescent="0.25">
      <c r="A72">
        <v>1751</v>
      </c>
      <c r="B72" t="s">
        <v>69</v>
      </c>
      <c r="C72" t="s">
        <v>53</v>
      </c>
      <c r="D72" t="s">
        <v>35</v>
      </c>
      <c r="J72">
        <f t="shared" si="2"/>
        <v>0</v>
      </c>
      <c r="L72">
        <f t="shared" si="3"/>
        <v>0</v>
      </c>
    </row>
    <row r="73" spans="1:12" x14ac:dyDescent="0.25">
      <c r="A73">
        <v>1751</v>
      </c>
      <c r="B73" t="s">
        <v>43</v>
      </c>
      <c r="C73" t="s">
        <v>53</v>
      </c>
      <c r="D73" t="s">
        <v>35</v>
      </c>
      <c r="J73">
        <f t="shared" si="2"/>
        <v>0</v>
      </c>
      <c r="L73">
        <f t="shared" si="3"/>
        <v>0</v>
      </c>
    </row>
    <row r="74" spans="1:12" x14ac:dyDescent="0.25">
      <c r="A74">
        <v>1751</v>
      </c>
      <c r="B74" t="s">
        <v>76</v>
      </c>
      <c r="C74" t="s">
        <v>53</v>
      </c>
      <c r="D74" t="s">
        <v>35</v>
      </c>
      <c r="J74">
        <f t="shared" si="2"/>
        <v>0</v>
      </c>
      <c r="L74">
        <f t="shared" si="3"/>
        <v>0</v>
      </c>
    </row>
    <row r="75" spans="1:12" x14ac:dyDescent="0.25">
      <c r="A75">
        <v>1751</v>
      </c>
      <c r="B75" t="s">
        <v>5</v>
      </c>
      <c r="C75" t="s">
        <v>53</v>
      </c>
      <c r="D75" t="s">
        <v>35</v>
      </c>
      <c r="J75">
        <f t="shared" si="2"/>
        <v>0</v>
      </c>
      <c r="L75">
        <f t="shared" si="3"/>
        <v>0</v>
      </c>
    </row>
    <row r="76" spans="1:12" x14ac:dyDescent="0.25">
      <c r="A76">
        <v>1751</v>
      </c>
      <c r="B76" t="s">
        <v>59</v>
      </c>
      <c r="C76" t="s">
        <v>53</v>
      </c>
      <c r="D76" t="s">
        <v>35</v>
      </c>
      <c r="J76">
        <f t="shared" si="2"/>
        <v>0</v>
      </c>
      <c r="L76">
        <f t="shared" si="3"/>
        <v>0</v>
      </c>
    </row>
    <row r="77" spans="1:12" x14ac:dyDescent="0.25">
      <c r="A77">
        <v>1751</v>
      </c>
      <c r="B77" t="s">
        <v>6</v>
      </c>
      <c r="C77" t="s">
        <v>53</v>
      </c>
      <c r="D77" t="s">
        <v>35</v>
      </c>
      <c r="F77">
        <v>22524</v>
      </c>
      <c r="G77">
        <v>1</v>
      </c>
      <c r="H77">
        <v>12</v>
      </c>
      <c r="J77">
        <f t="shared" si="2"/>
        <v>2522728</v>
      </c>
      <c r="L77">
        <f t="shared" si="3"/>
        <v>1126.2178571428572</v>
      </c>
    </row>
    <row r="78" spans="1:12" x14ac:dyDescent="0.25">
      <c r="A78">
        <v>1751</v>
      </c>
      <c r="B78" t="s">
        <v>60</v>
      </c>
      <c r="C78" t="s">
        <v>53</v>
      </c>
      <c r="D78" t="s">
        <v>35</v>
      </c>
      <c r="J78">
        <f t="shared" si="2"/>
        <v>0</v>
      </c>
      <c r="L78">
        <f t="shared" si="3"/>
        <v>0</v>
      </c>
    </row>
    <row r="79" spans="1:12" x14ac:dyDescent="0.25">
      <c r="A79">
        <v>1751</v>
      </c>
      <c r="B79" t="s">
        <v>7</v>
      </c>
      <c r="C79" t="s">
        <v>53</v>
      </c>
      <c r="D79" t="s">
        <v>35</v>
      </c>
      <c r="J79">
        <f t="shared" si="2"/>
        <v>0</v>
      </c>
      <c r="L79">
        <f t="shared" si="3"/>
        <v>0</v>
      </c>
    </row>
    <row r="80" spans="1:12" x14ac:dyDescent="0.25">
      <c r="A80">
        <v>1751</v>
      </c>
      <c r="B80" t="s">
        <v>37</v>
      </c>
      <c r="C80" t="s">
        <v>53</v>
      </c>
      <c r="D80" t="s">
        <v>35</v>
      </c>
      <c r="J80">
        <f t="shared" si="2"/>
        <v>0</v>
      </c>
      <c r="L80">
        <f t="shared" si="3"/>
        <v>0</v>
      </c>
    </row>
    <row r="81" spans="1:12" x14ac:dyDescent="0.25">
      <c r="A81">
        <v>1751</v>
      </c>
      <c r="B81" t="s">
        <v>8</v>
      </c>
      <c r="C81" t="s">
        <v>53</v>
      </c>
      <c r="D81" t="s">
        <v>35</v>
      </c>
      <c r="F81">
        <v>174</v>
      </c>
      <c r="G81">
        <v>2</v>
      </c>
      <c r="J81">
        <f t="shared" si="2"/>
        <v>19544</v>
      </c>
      <c r="L81">
        <f t="shared" si="3"/>
        <v>8.7249999999999996</v>
      </c>
    </row>
    <row r="82" spans="1:12" x14ac:dyDescent="0.25">
      <c r="A82">
        <v>1751</v>
      </c>
      <c r="B82" t="s">
        <v>40</v>
      </c>
      <c r="C82" t="s">
        <v>53</v>
      </c>
      <c r="D82" t="s">
        <v>35</v>
      </c>
      <c r="J82">
        <f t="shared" si="2"/>
        <v>0</v>
      </c>
      <c r="L82">
        <f t="shared" si="3"/>
        <v>0</v>
      </c>
    </row>
    <row r="83" spans="1:12" x14ac:dyDescent="0.25">
      <c r="A83">
        <v>1751</v>
      </c>
      <c r="B83" t="s">
        <v>77</v>
      </c>
      <c r="C83" t="s">
        <v>53</v>
      </c>
      <c r="D83" t="s">
        <v>35</v>
      </c>
      <c r="J83">
        <f t="shared" si="2"/>
        <v>0</v>
      </c>
      <c r="L83">
        <f t="shared" si="3"/>
        <v>0</v>
      </c>
    </row>
    <row r="84" spans="1:12" x14ac:dyDescent="0.25">
      <c r="A84">
        <v>1751</v>
      </c>
      <c r="B84" t="s">
        <v>78</v>
      </c>
      <c r="C84" t="s">
        <v>53</v>
      </c>
      <c r="D84" t="s">
        <v>35</v>
      </c>
      <c r="J84">
        <f t="shared" si="2"/>
        <v>0</v>
      </c>
      <c r="L84">
        <f t="shared" si="3"/>
        <v>0</v>
      </c>
    </row>
    <row r="85" spans="1:12" x14ac:dyDescent="0.25">
      <c r="A85">
        <v>1751</v>
      </c>
      <c r="B85" t="s">
        <v>46</v>
      </c>
      <c r="C85" t="s">
        <v>53</v>
      </c>
      <c r="D85" t="s">
        <v>35</v>
      </c>
      <c r="J85">
        <f t="shared" si="2"/>
        <v>0</v>
      </c>
      <c r="L85">
        <f t="shared" si="3"/>
        <v>0</v>
      </c>
    </row>
    <row r="86" spans="1:12" x14ac:dyDescent="0.25">
      <c r="A86">
        <v>1751</v>
      </c>
      <c r="B86" t="s">
        <v>9</v>
      </c>
      <c r="C86" t="s">
        <v>53</v>
      </c>
      <c r="D86" t="s">
        <v>35</v>
      </c>
      <c r="H86">
        <f>1037.5*200</f>
        <v>207500</v>
      </c>
      <c r="I86" t="s">
        <v>141</v>
      </c>
      <c r="J86">
        <f t="shared" si="2"/>
        <v>207500</v>
      </c>
      <c r="L86">
        <f t="shared" si="3"/>
        <v>92.633928571428569</v>
      </c>
    </row>
    <row r="87" spans="1:12" x14ac:dyDescent="0.25">
      <c r="A87">
        <v>1751</v>
      </c>
      <c r="B87" t="s">
        <v>10</v>
      </c>
      <c r="C87" t="s">
        <v>53</v>
      </c>
      <c r="D87" t="s">
        <v>35</v>
      </c>
      <c r="F87">
        <v>174</v>
      </c>
      <c r="G87">
        <v>2</v>
      </c>
      <c r="J87">
        <f t="shared" si="2"/>
        <v>19544</v>
      </c>
      <c r="L87">
        <f t="shared" si="3"/>
        <v>8.7249999999999996</v>
      </c>
    </row>
    <row r="88" spans="1:12" x14ac:dyDescent="0.25">
      <c r="A88">
        <v>1751</v>
      </c>
      <c r="B88" t="s">
        <v>11</v>
      </c>
      <c r="C88" t="s">
        <v>53</v>
      </c>
      <c r="D88" t="s">
        <v>35</v>
      </c>
      <c r="F88">
        <v>43</v>
      </c>
      <c r="J88">
        <f t="shared" si="2"/>
        <v>4816</v>
      </c>
      <c r="L88">
        <f t="shared" si="3"/>
        <v>2.15</v>
      </c>
    </row>
    <row r="89" spans="1:12" x14ac:dyDescent="0.25">
      <c r="A89">
        <v>1751</v>
      </c>
      <c r="B89" t="s">
        <v>39</v>
      </c>
      <c r="C89" t="s">
        <v>53</v>
      </c>
      <c r="D89" t="s">
        <v>35</v>
      </c>
      <c r="J89">
        <f t="shared" si="2"/>
        <v>0</v>
      </c>
      <c r="L89">
        <f t="shared" si="3"/>
        <v>0</v>
      </c>
    </row>
    <row r="90" spans="1:12" x14ac:dyDescent="0.25">
      <c r="A90">
        <v>1751</v>
      </c>
      <c r="B90" t="s">
        <v>79</v>
      </c>
      <c r="C90" t="s">
        <v>53</v>
      </c>
      <c r="D90" t="s">
        <v>35</v>
      </c>
      <c r="J90">
        <f t="shared" si="2"/>
        <v>0</v>
      </c>
      <c r="L90">
        <f t="shared" si="3"/>
        <v>0</v>
      </c>
    </row>
    <row r="91" spans="1:12" x14ac:dyDescent="0.25">
      <c r="A91">
        <v>1751</v>
      </c>
      <c r="B91" t="s">
        <v>103</v>
      </c>
      <c r="C91" t="s">
        <v>53</v>
      </c>
      <c r="D91" t="s">
        <v>35</v>
      </c>
      <c r="J91">
        <f t="shared" si="2"/>
        <v>0</v>
      </c>
      <c r="L91">
        <f t="shared" si="3"/>
        <v>0</v>
      </c>
    </row>
    <row r="92" spans="1:12" x14ac:dyDescent="0.25">
      <c r="A92">
        <v>1751</v>
      </c>
      <c r="B92" t="s">
        <v>44</v>
      </c>
      <c r="C92" t="s">
        <v>53</v>
      </c>
      <c r="D92" t="s">
        <v>35</v>
      </c>
      <c r="J92">
        <f t="shared" si="2"/>
        <v>0</v>
      </c>
      <c r="L92">
        <f t="shared" si="3"/>
        <v>0</v>
      </c>
    </row>
    <row r="93" spans="1:12" x14ac:dyDescent="0.25">
      <c r="A93">
        <v>1751</v>
      </c>
      <c r="B93" t="s">
        <v>97</v>
      </c>
      <c r="C93" t="s">
        <v>53</v>
      </c>
      <c r="D93" t="s">
        <v>35</v>
      </c>
      <c r="J93">
        <f t="shared" si="2"/>
        <v>0</v>
      </c>
      <c r="L93">
        <f t="shared" si="3"/>
        <v>0</v>
      </c>
    </row>
    <row r="94" spans="1:12" x14ac:dyDescent="0.25">
      <c r="A94">
        <v>1751</v>
      </c>
      <c r="B94" t="s">
        <v>12</v>
      </c>
      <c r="C94" t="s">
        <v>53</v>
      </c>
      <c r="D94" t="s">
        <v>35</v>
      </c>
      <c r="J94">
        <f t="shared" si="2"/>
        <v>0</v>
      </c>
      <c r="L94">
        <f t="shared" si="3"/>
        <v>0</v>
      </c>
    </row>
    <row r="95" spans="1:12" x14ac:dyDescent="0.25">
      <c r="A95">
        <v>1751</v>
      </c>
      <c r="B95" t="s">
        <v>82</v>
      </c>
      <c r="C95" t="s">
        <v>53</v>
      </c>
      <c r="D95" t="s">
        <v>35</v>
      </c>
      <c r="J95">
        <f t="shared" si="2"/>
        <v>0</v>
      </c>
      <c r="L95">
        <f t="shared" si="3"/>
        <v>0</v>
      </c>
    </row>
    <row r="96" spans="1:12" x14ac:dyDescent="0.25">
      <c r="A96">
        <v>1751</v>
      </c>
      <c r="B96" t="s">
        <v>34</v>
      </c>
      <c r="C96" t="s">
        <v>53</v>
      </c>
      <c r="D96" t="s">
        <v>35</v>
      </c>
      <c r="J96">
        <f t="shared" si="2"/>
        <v>0</v>
      </c>
      <c r="L96">
        <f t="shared" si="3"/>
        <v>0</v>
      </c>
    </row>
    <row r="97" spans="1:12" x14ac:dyDescent="0.25">
      <c r="A97">
        <v>1751</v>
      </c>
      <c r="B97" t="s">
        <v>13</v>
      </c>
      <c r="C97" t="s">
        <v>53</v>
      </c>
      <c r="D97" t="s">
        <v>35</v>
      </c>
      <c r="E97">
        <v>50</v>
      </c>
      <c r="F97">
        <v>19</v>
      </c>
      <c r="G97">
        <v>2</v>
      </c>
      <c r="J97">
        <f t="shared" si="2"/>
        <v>114184</v>
      </c>
      <c r="L97">
        <f t="shared" si="3"/>
        <v>50.975000000000001</v>
      </c>
    </row>
    <row r="98" spans="1:12" x14ac:dyDescent="0.25">
      <c r="A98">
        <v>1751</v>
      </c>
      <c r="B98" t="s">
        <v>14</v>
      </c>
      <c r="C98" t="s">
        <v>53</v>
      </c>
      <c r="D98" t="s">
        <v>35</v>
      </c>
      <c r="J98">
        <f t="shared" si="2"/>
        <v>0</v>
      </c>
      <c r="L98">
        <f t="shared" si="3"/>
        <v>0</v>
      </c>
    </row>
    <row r="99" spans="1:12" x14ac:dyDescent="0.25">
      <c r="A99">
        <v>1751</v>
      </c>
      <c r="B99" t="s">
        <v>23</v>
      </c>
      <c r="C99" t="s">
        <v>53</v>
      </c>
      <c r="D99" t="s">
        <v>35</v>
      </c>
      <c r="J99">
        <f t="shared" si="2"/>
        <v>0</v>
      </c>
      <c r="L99">
        <f t="shared" si="3"/>
        <v>0</v>
      </c>
    </row>
    <row r="100" spans="1:12" x14ac:dyDescent="0.25">
      <c r="A100">
        <v>1751</v>
      </c>
      <c r="B100" t="s">
        <v>27</v>
      </c>
      <c r="C100" t="s">
        <v>53</v>
      </c>
      <c r="D100" t="s">
        <v>35</v>
      </c>
      <c r="H100">
        <v>8252</v>
      </c>
      <c r="I100" t="s">
        <v>140</v>
      </c>
      <c r="J100">
        <f t="shared" si="2"/>
        <v>8252</v>
      </c>
      <c r="L100">
        <f t="shared" si="3"/>
        <v>3.6839285714285714</v>
      </c>
    </row>
    <row r="101" spans="1:12" x14ac:dyDescent="0.25">
      <c r="A101">
        <v>1751</v>
      </c>
      <c r="B101" t="s">
        <v>15</v>
      </c>
      <c r="C101" t="s">
        <v>53</v>
      </c>
      <c r="D101" t="s">
        <v>35</v>
      </c>
      <c r="J101">
        <f t="shared" si="2"/>
        <v>0</v>
      </c>
      <c r="L101">
        <f t="shared" si="3"/>
        <v>0</v>
      </c>
    </row>
    <row r="102" spans="1:12" x14ac:dyDescent="0.25">
      <c r="A102">
        <v>1751</v>
      </c>
      <c r="B102" t="s">
        <v>93</v>
      </c>
      <c r="C102" t="s">
        <v>53</v>
      </c>
      <c r="D102" t="s">
        <v>35</v>
      </c>
      <c r="J102">
        <f t="shared" si="2"/>
        <v>0</v>
      </c>
      <c r="L102">
        <f t="shared" si="3"/>
        <v>0</v>
      </c>
    </row>
    <row r="103" spans="1:12" x14ac:dyDescent="0.25">
      <c r="A103">
        <v>1751</v>
      </c>
      <c r="B103" t="s">
        <v>42</v>
      </c>
      <c r="C103" t="s">
        <v>53</v>
      </c>
      <c r="D103" t="s">
        <v>35</v>
      </c>
      <c r="J103">
        <f t="shared" si="2"/>
        <v>0</v>
      </c>
      <c r="L103">
        <f t="shared" si="3"/>
        <v>0</v>
      </c>
    </row>
    <row r="104" spans="1:12" x14ac:dyDescent="0.25">
      <c r="A104">
        <v>1751</v>
      </c>
      <c r="B104" t="s">
        <v>83</v>
      </c>
      <c r="C104" t="s">
        <v>53</v>
      </c>
      <c r="D104" t="s">
        <v>35</v>
      </c>
      <c r="J104">
        <f t="shared" si="2"/>
        <v>0</v>
      </c>
      <c r="L104">
        <f t="shared" si="3"/>
        <v>0</v>
      </c>
    </row>
    <row r="105" spans="1:12" x14ac:dyDescent="0.25">
      <c r="A105">
        <v>1751</v>
      </c>
      <c r="B105" t="s">
        <v>47</v>
      </c>
      <c r="C105" t="s">
        <v>53</v>
      </c>
      <c r="D105" t="s">
        <v>35</v>
      </c>
      <c r="J105">
        <f t="shared" si="2"/>
        <v>0</v>
      </c>
      <c r="L105">
        <f t="shared" si="3"/>
        <v>0</v>
      </c>
    </row>
    <row r="106" spans="1:12" x14ac:dyDescent="0.25">
      <c r="A106">
        <v>1751</v>
      </c>
      <c r="B106" t="s">
        <v>16</v>
      </c>
      <c r="C106" t="s">
        <v>53</v>
      </c>
      <c r="D106" t="s">
        <v>35</v>
      </c>
      <c r="J106">
        <f t="shared" si="2"/>
        <v>0</v>
      </c>
      <c r="L106">
        <f t="shared" si="3"/>
        <v>0</v>
      </c>
    </row>
    <row r="107" spans="1:12" x14ac:dyDescent="0.25">
      <c r="A107">
        <v>1751</v>
      </c>
      <c r="B107" t="s">
        <v>17</v>
      </c>
      <c r="C107" t="s">
        <v>53</v>
      </c>
      <c r="D107" t="s">
        <v>35</v>
      </c>
      <c r="F107">
        <v>1187</v>
      </c>
      <c r="H107">
        <v>14</v>
      </c>
      <c r="J107">
        <f t="shared" si="2"/>
        <v>132958</v>
      </c>
      <c r="L107">
        <f t="shared" si="3"/>
        <v>59.356250000000003</v>
      </c>
    </row>
    <row r="108" spans="1:12" x14ac:dyDescent="0.25">
      <c r="A108">
        <v>1751</v>
      </c>
      <c r="B108" t="s">
        <v>18</v>
      </c>
      <c r="C108" t="s">
        <v>53</v>
      </c>
      <c r="D108" t="s">
        <v>35</v>
      </c>
      <c r="H108">
        <v>42941</v>
      </c>
      <c r="I108" t="s">
        <v>139</v>
      </c>
      <c r="J108">
        <f t="shared" si="2"/>
        <v>42941</v>
      </c>
      <c r="L108">
        <f t="shared" si="3"/>
        <v>19.170089285714287</v>
      </c>
    </row>
    <row r="109" spans="1:12" x14ac:dyDescent="0.25">
      <c r="A109">
        <v>1751</v>
      </c>
      <c r="B109" t="s">
        <v>26</v>
      </c>
      <c r="C109" t="s">
        <v>53</v>
      </c>
      <c r="D109" t="s">
        <v>35</v>
      </c>
      <c r="J109">
        <f t="shared" si="2"/>
        <v>0</v>
      </c>
      <c r="L109">
        <f t="shared" si="3"/>
        <v>0</v>
      </c>
    </row>
    <row r="110" spans="1:12" x14ac:dyDescent="0.25">
      <c r="A110">
        <v>1751</v>
      </c>
      <c r="B110" t="s">
        <v>84</v>
      </c>
      <c r="C110" t="s">
        <v>53</v>
      </c>
      <c r="D110" t="s">
        <v>35</v>
      </c>
      <c r="J110">
        <f t="shared" si="2"/>
        <v>0</v>
      </c>
      <c r="L110">
        <f t="shared" si="3"/>
        <v>0</v>
      </c>
    </row>
    <row r="111" spans="1:12" x14ac:dyDescent="0.25">
      <c r="A111">
        <v>1751</v>
      </c>
      <c r="B111" t="s">
        <v>19</v>
      </c>
      <c r="C111" t="s">
        <v>53</v>
      </c>
      <c r="D111" t="s">
        <v>35</v>
      </c>
      <c r="G111">
        <v>3</v>
      </c>
      <c r="H111">
        <v>16</v>
      </c>
      <c r="J111">
        <f t="shared" si="2"/>
        <v>100</v>
      </c>
      <c r="L111">
        <f t="shared" si="3"/>
        <v>4.4642857142857144E-2</v>
      </c>
    </row>
    <row r="112" spans="1:12" x14ac:dyDescent="0.25">
      <c r="A112">
        <v>1751</v>
      </c>
      <c r="B112" t="s">
        <v>45</v>
      </c>
      <c r="C112" t="s">
        <v>53</v>
      </c>
      <c r="D112" t="s">
        <v>35</v>
      </c>
      <c r="J112">
        <f t="shared" si="2"/>
        <v>0</v>
      </c>
      <c r="L112">
        <f t="shared" si="3"/>
        <v>0</v>
      </c>
    </row>
    <row r="113" spans="1:12" x14ac:dyDescent="0.25">
      <c r="A113">
        <v>1751</v>
      </c>
      <c r="B113" t="s">
        <v>85</v>
      </c>
      <c r="C113" t="s">
        <v>53</v>
      </c>
      <c r="D113" t="s">
        <v>35</v>
      </c>
      <c r="J113">
        <f t="shared" si="2"/>
        <v>0</v>
      </c>
      <c r="L113">
        <f t="shared" si="3"/>
        <v>0</v>
      </c>
    </row>
    <row r="114" spans="1:12" x14ac:dyDescent="0.25">
      <c r="A114">
        <v>1751</v>
      </c>
      <c r="B114" t="s">
        <v>54</v>
      </c>
      <c r="C114" t="s">
        <v>53</v>
      </c>
      <c r="D114" t="s">
        <v>35</v>
      </c>
      <c r="H114">
        <v>6</v>
      </c>
      <c r="J114">
        <f t="shared" si="2"/>
        <v>6</v>
      </c>
      <c r="L114">
        <f t="shared" si="3"/>
        <v>2.6785714285714286E-3</v>
      </c>
    </row>
    <row r="115" spans="1:12" x14ac:dyDescent="0.25">
      <c r="A115">
        <v>1751</v>
      </c>
      <c r="B115" t="s">
        <v>95</v>
      </c>
      <c r="C115" t="s">
        <v>53</v>
      </c>
      <c r="D115" t="s">
        <v>35</v>
      </c>
      <c r="J115">
        <f t="shared" si="2"/>
        <v>0</v>
      </c>
      <c r="L115">
        <f t="shared" si="3"/>
        <v>0</v>
      </c>
    </row>
    <row r="116" spans="1:12" x14ac:dyDescent="0.25">
      <c r="A116">
        <v>1751</v>
      </c>
      <c r="B116" t="s">
        <v>20</v>
      </c>
      <c r="C116" t="s">
        <v>53</v>
      </c>
      <c r="D116" t="s">
        <v>35</v>
      </c>
      <c r="J116">
        <f t="shared" si="2"/>
        <v>0</v>
      </c>
      <c r="L116">
        <f t="shared" si="3"/>
        <v>0</v>
      </c>
    </row>
    <row r="117" spans="1:12" x14ac:dyDescent="0.25">
      <c r="A117">
        <v>1751</v>
      </c>
      <c r="B117" t="s">
        <v>21</v>
      </c>
      <c r="C117" t="s">
        <v>53</v>
      </c>
      <c r="D117" t="s">
        <v>35</v>
      </c>
      <c r="H117">
        <v>36</v>
      </c>
      <c r="J117">
        <f t="shared" si="2"/>
        <v>36</v>
      </c>
      <c r="L117">
        <f t="shared" si="3"/>
        <v>1.607142857142857E-2</v>
      </c>
    </row>
    <row r="118" spans="1:12" x14ac:dyDescent="0.25">
      <c r="A118">
        <v>1751</v>
      </c>
      <c r="B118" t="s">
        <v>105</v>
      </c>
      <c r="C118" t="s">
        <v>53</v>
      </c>
      <c r="D118" t="s">
        <v>35</v>
      </c>
      <c r="J118">
        <f t="shared" si="2"/>
        <v>0</v>
      </c>
      <c r="L118">
        <f t="shared" si="3"/>
        <v>0</v>
      </c>
    </row>
    <row r="119" spans="1:12" x14ac:dyDescent="0.25">
      <c r="A119">
        <v>1751</v>
      </c>
      <c r="B119" t="s">
        <v>22</v>
      </c>
      <c r="C119" t="s">
        <v>53</v>
      </c>
      <c r="D119" t="s">
        <v>35</v>
      </c>
      <c r="J119">
        <f t="shared" si="2"/>
        <v>0</v>
      </c>
      <c r="L119">
        <f t="shared" si="3"/>
        <v>0</v>
      </c>
    </row>
    <row r="120" spans="1:12" x14ac:dyDescent="0.25">
      <c r="A120">
        <v>1751</v>
      </c>
      <c r="B120" t="s">
        <v>61</v>
      </c>
      <c r="C120" t="s">
        <v>53</v>
      </c>
      <c r="D120" t="s">
        <v>35</v>
      </c>
      <c r="J120">
        <f t="shared" si="2"/>
        <v>0</v>
      </c>
      <c r="L120">
        <f t="shared" si="3"/>
        <v>0</v>
      </c>
    </row>
    <row r="121" spans="1:12" x14ac:dyDescent="0.25">
      <c r="A121">
        <v>1751</v>
      </c>
      <c r="B121" t="s">
        <v>111</v>
      </c>
      <c r="C121" t="s">
        <v>53</v>
      </c>
      <c r="D121" t="s">
        <v>35</v>
      </c>
      <c r="E121">
        <v>3</v>
      </c>
      <c r="F121">
        <v>2</v>
      </c>
      <c r="G121">
        <v>2</v>
      </c>
      <c r="H121">
        <v>10</v>
      </c>
      <c r="J121">
        <f t="shared" si="2"/>
        <v>7010</v>
      </c>
      <c r="L121">
        <f t="shared" si="3"/>
        <v>3.1294642857142856</v>
      </c>
    </row>
    <row r="122" spans="1:12" x14ac:dyDescent="0.25">
      <c r="A122">
        <v>1751</v>
      </c>
      <c r="B122" t="s">
        <v>98</v>
      </c>
      <c r="C122" t="s">
        <v>53</v>
      </c>
      <c r="D122" t="s">
        <v>35</v>
      </c>
      <c r="J122">
        <f t="shared" si="2"/>
        <v>0</v>
      </c>
      <c r="L122">
        <f t="shared" si="3"/>
        <v>0</v>
      </c>
    </row>
    <row r="123" spans="1:12" x14ac:dyDescent="0.25">
      <c r="A123">
        <v>1751</v>
      </c>
      <c r="B123" t="s">
        <v>87</v>
      </c>
      <c r="C123" t="s">
        <v>53</v>
      </c>
      <c r="D123" t="s">
        <v>35</v>
      </c>
      <c r="F123">
        <v>4</v>
      </c>
      <c r="J123">
        <f t="shared" si="2"/>
        <v>448</v>
      </c>
      <c r="L123">
        <f t="shared" si="3"/>
        <v>0.2</v>
      </c>
    </row>
    <row r="124" spans="1:12" x14ac:dyDescent="0.25">
      <c r="A124">
        <v>1751</v>
      </c>
      <c r="B124" t="s">
        <v>62</v>
      </c>
      <c r="C124" t="s">
        <v>53</v>
      </c>
      <c r="D124" t="s">
        <v>35</v>
      </c>
      <c r="E124">
        <v>175</v>
      </c>
      <c r="F124">
        <v>5</v>
      </c>
      <c r="J124">
        <f t="shared" si="2"/>
        <v>392560</v>
      </c>
      <c r="L124">
        <f t="shared" si="3"/>
        <v>175.25</v>
      </c>
    </row>
    <row r="125" spans="1:12" x14ac:dyDescent="0.25">
      <c r="A125">
        <v>1751</v>
      </c>
      <c r="B125" t="s">
        <v>88</v>
      </c>
      <c r="C125" t="s">
        <v>53</v>
      </c>
      <c r="D125" t="s">
        <v>35</v>
      </c>
      <c r="J125">
        <f t="shared" si="2"/>
        <v>0</v>
      </c>
      <c r="L125">
        <f t="shared" si="3"/>
        <v>0</v>
      </c>
    </row>
    <row r="126" spans="1:12" x14ac:dyDescent="0.25">
      <c r="A126">
        <v>1751</v>
      </c>
      <c r="B126" t="s">
        <v>63</v>
      </c>
      <c r="C126" t="s">
        <v>53</v>
      </c>
      <c r="D126" t="s">
        <v>35</v>
      </c>
      <c r="E126">
        <v>60</v>
      </c>
      <c r="F126">
        <v>6</v>
      </c>
      <c r="J126">
        <f t="shared" si="2"/>
        <v>135072</v>
      </c>
      <c r="L126">
        <f t="shared" si="3"/>
        <v>60.3</v>
      </c>
    </row>
    <row r="127" spans="1:12" x14ac:dyDescent="0.25">
      <c r="A127">
        <v>1751</v>
      </c>
      <c r="B127" t="s">
        <v>89</v>
      </c>
      <c r="C127" t="s">
        <v>53</v>
      </c>
      <c r="D127" t="s">
        <v>35</v>
      </c>
      <c r="J127">
        <f t="shared" si="2"/>
        <v>0</v>
      </c>
      <c r="L127">
        <f t="shared" si="3"/>
        <v>0</v>
      </c>
    </row>
    <row r="128" spans="1:12" x14ac:dyDescent="0.25">
      <c r="A128">
        <v>1751</v>
      </c>
      <c r="B128" t="s">
        <v>70</v>
      </c>
      <c r="C128" t="s">
        <v>53</v>
      </c>
      <c r="D128" t="s">
        <v>35</v>
      </c>
      <c r="J128">
        <f t="shared" si="2"/>
        <v>0</v>
      </c>
      <c r="L128">
        <f t="shared" si="3"/>
        <v>0</v>
      </c>
    </row>
    <row r="129" spans="1:12" x14ac:dyDescent="0.25">
      <c r="A129">
        <v>1751</v>
      </c>
      <c r="B129" t="s">
        <v>64</v>
      </c>
      <c r="C129" t="s">
        <v>53</v>
      </c>
      <c r="D129" t="s">
        <v>35</v>
      </c>
      <c r="J129">
        <f t="shared" si="2"/>
        <v>0</v>
      </c>
      <c r="L129">
        <f t="shared" si="3"/>
        <v>0</v>
      </c>
    </row>
    <row r="130" spans="1:12" x14ac:dyDescent="0.25">
      <c r="A130">
        <v>1751</v>
      </c>
      <c r="B130" t="s">
        <v>65</v>
      </c>
      <c r="C130" t="s">
        <v>53</v>
      </c>
      <c r="D130" t="s">
        <v>35</v>
      </c>
      <c r="J130">
        <f t="shared" si="2"/>
        <v>0</v>
      </c>
      <c r="L130">
        <f t="shared" si="3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EB8C4-5365-4995-8CB0-F02A292F01C2}">
  <dimension ref="A1:L101"/>
  <sheetViews>
    <sheetView topLeftCell="A33" workbookViewId="0">
      <selection activeCell="H67" sqref="H67"/>
    </sheetView>
  </sheetViews>
  <sheetFormatPr defaultRowHeight="15" x14ac:dyDescent="0.25"/>
  <cols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2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</row>
    <row r="2" spans="1:12" x14ac:dyDescent="0.25">
      <c r="A2">
        <v>1751</v>
      </c>
      <c r="B2" t="s">
        <v>55</v>
      </c>
      <c r="C2" t="s">
        <v>56</v>
      </c>
      <c r="D2" t="s">
        <v>33</v>
      </c>
      <c r="J2">
        <f t="shared" ref="J2:J67" si="0">(E2*2240)+(F2*112)+(G2*28)+H2</f>
        <v>0</v>
      </c>
      <c r="L2">
        <f t="shared" ref="L2:L67" si="1">J2/2240</f>
        <v>0</v>
      </c>
    </row>
    <row r="3" spans="1:12" x14ac:dyDescent="0.25">
      <c r="A3">
        <v>1751</v>
      </c>
      <c r="B3" t="s">
        <v>57</v>
      </c>
      <c r="C3" t="s">
        <v>56</v>
      </c>
      <c r="D3" t="s">
        <v>33</v>
      </c>
      <c r="J3">
        <f t="shared" si="0"/>
        <v>0</v>
      </c>
      <c r="L3">
        <f t="shared" si="1"/>
        <v>0</v>
      </c>
    </row>
    <row r="4" spans="1:12" x14ac:dyDescent="0.25">
      <c r="A4">
        <v>1751</v>
      </c>
      <c r="B4" t="s">
        <v>36</v>
      </c>
      <c r="C4" t="s">
        <v>56</v>
      </c>
      <c r="D4" t="s">
        <v>33</v>
      </c>
      <c r="H4">
        <v>10171</v>
      </c>
      <c r="J4">
        <f t="shared" si="0"/>
        <v>10171</v>
      </c>
      <c r="L4">
        <f t="shared" si="1"/>
        <v>4.5406250000000004</v>
      </c>
    </row>
    <row r="5" spans="1:12" x14ac:dyDescent="0.25">
      <c r="A5">
        <v>1751</v>
      </c>
      <c r="B5" t="s">
        <v>4</v>
      </c>
      <c r="C5" t="s">
        <v>56</v>
      </c>
      <c r="D5" t="s">
        <v>33</v>
      </c>
      <c r="H5">
        <v>8579</v>
      </c>
      <c r="J5">
        <f t="shared" si="0"/>
        <v>8579</v>
      </c>
      <c r="L5">
        <f t="shared" si="1"/>
        <v>3.8299107142857145</v>
      </c>
    </row>
    <row r="6" spans="1:12" x14ac:dyDescent="0.25">
      <c r="A6">
        <v>1751</v>
      </c>
      <c r="B6" t="s">
        <v>58</v>
      </c>
      <c r="C6" t="s">
        <v>56</v>
      </c>
      <c r="D6" t="s">
        <v>33</v>
      </c>
      <c r="J6">
        <f t="shared" si="0"/>
        <v>0</v>
      </c>
      <c r="L6">
        <f t="shared" si="1"/>
        <v>0</v>
      </c>
    </row>
    <row r="7" spans="1:12" x14ac:dyDescent="0.25">
      <c r="A7">
        <v>1751</v>
      </c>
      <c r="B7" t="s">
        <v>92</v>
      </c>
      <c r="C7" t="s">
        <v>56</v>
      </c>
      <c r="D7" t="s">
        <v>33</v>
      </c>
      <c r="H7">
        <v>756</v>
      </c>
      <c r="J7">
        <f t="shared" si="0"/>
        <v>756</v>
      </c>
      <c r="L7">
        <f t="shared" si="1"/>
        <v>0.33750000000000002</v>
      </c>
    </row>
    <row r="8" spans="1:12" x14ac:dyDescent="0.25">
      <c r="A8">
        <v>1751</v>
      </c>
      <c r="B8" t="s">
        <v>43</v>
      </c>
      <c r="C8" t="s">
        <v>56</v>
      </c>
      <c r="D8" t="s">
        <v>33</v>
      </c>
      <c r="J8">
        <f t="shared" si="0"/>
        <v>0</v>
      </c>
      <c r="L8">
        <f t="shared" si="1"/>
        <v>0</v>
      </c>
    </row>
    <row r="9" spans="1:12" x14ac:dyDescent="0.25">
      <c r="A9">
        <v>1751</v>
      </c>
      <c r="B9" t="s">
        <v>5</v>
      </c>
      <c r="C9" t="s">
        <v>56</v>
      </c>
      <c r="D9" t="s">
        <v>33</v>
      </c>
      <c r="J9">
        <f t="shared" si="0"/>
        <v>0</v>
      </c>
      <c r="L9">
        <f t="shared" si="1"/>
        <v>0</v>
      </c>
    </row>
    <row r="10" spans="1:12" x14ac:dyDescent="0.25">
      <c r="A10">
        <v>1751</v>
      </c>
      <c r="B10" t="s">
        <v>59</v>
      </c>
      <c r="C10" t="s">
        <v>56</v>
      </c>
      <c r="D10" t="s">
        <v>33</v>
      </c>
      <c r="J10">
        <f t="shared" si="0"/>
        <v>0</v>
      </c>
      <c r="L10">
        <f t="shared" si="1"/>
        <v>0</v>
      </c>
    </row>
    <row r="11" spans="1:12" x14ac:dyDescent="0.25">
      <c r="A11">
        <v>1751</v>
      </c>
      <c r="B11" t="s">
        <v>6</v>
      </c>
      <c r="C11" t="s">
        <v>56</v>
      </c>
      <c r="D11" t="s">
        <v>33</v>
      </c>
      <c r="F11">
        <v>54915</v>
      </c>
      <c r="G11">
        <v>1</v>
      </c>
      <c r="H11">
        <v>23</v>
      </c>
      <c r="J11">
        <f t="shared" si="0"/>
        <v>6150531</v>
      </c>
      <c r="L11">
        <f t="shared" si="1"/>
        <v>2745.7727678571428</v>
      </c>
    </row>
    <row r="12" spans="1:12" x14ac:dyDescent="0.25">
      <c r="A12">
        <v>1751</v>
      </c>
      <c r="B12" t="s">
        <v>60</v>
      </c>
      <c r="C12" t="s">
        <v>56</v>
      </c>
      <c r="D12" t="s">
        <v>33</v>
      </c>
      <c r="H12">
        <v>476</v>
      </c>
      <c r="J12">
        <f t="shared" si="0"/>
        <v>476</v>
      </c>
      <c r="L12">
        <f t="shared" si="1"/>
        <v>0.21249999999999999</v>
      </c>
    </row>
    <row r="13" spans="1:12" x14ac:dyDescent="0.25">
      <c r="A13">
        <v>1751</v>
      </c>
      <c r="B13" t="s">
        <v>7</v>
      </c>
      <c r="C13" t="s">
        <v>56</v>
      </c>
      <c r="D13" t="s">
        <v>33</v>
      </c>
      <c r="J13">
        <f t="shared" si="0"/>
        <v>0</v>
      </c>
      <c r="L13">
        <f t="shared" si="1"/>
        <v>0</v>
      </c>
    </row>
    <row r="14" spans="1:12" x14ac:dyDescent="0.25">
      <c r="A14">
        <v>1751</v>
      </c>
      <c r="B14" t="s">
        <v>37</v>
      </c>
      <c r="C14" t="s">
        <v>56</v>
      </c>
      <c r="D14" t="s">
        <v>33</v>
      </c>
      <c r="H14">
        <v>8000</v>
      </c>
      <c r="J14">
        <f t="shared" si="0"/>
        <v>8000</v>
      </c>
      <c r="L14">
        <f t="shared" si="1"/>
        <v>3.5714285714285716</v>
      </c>
    </row>
    <row r="15" spans="1:12" x14ac:dyDescent="0.25">
      <c r="A15">
        <v>1751</v>
      </c>
      <c r="B15" t="s">
        <v>8</v>
      </c>
      <c r="C15" t="s">
        <v>56</v>
      </c>
      <c r="D15" t="s">
        <v>33</v>
      </c>
      <c r="F15">
        <v>112</v>
      </c>
      <c r="G15">
        <v>1</v>
      </c>
      <c r="H15">
        <v>10</v>
      </c>
      <c r="J15">
        <f t="shared" si="0"/>
        <v>12582</v>
      </c>
      <c r="L15">
        <f t="shared" si="1"/>
        <v>5.6169642857142854</v>
      </c>
    </row>
    <row r="16" spans="1:12" x14ac:dyDescent="0.25">
      <c r="A16">
        <v>1751</v>
      </c>
      <c r="B16" t="s">
        <v>40</v>
      </c>
      <c r="C16" t="s">
        <v>56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1751</v>
      </c>
      <c r="B17" t="s">
        <v>78</v>
      </c>
      <c r="C17" t="s">
        <v>56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1751</v>
      </c>
      <c r="B18" t="s">
        <v>9</v>
      </c>
      <c r="C18" t="s">
        <v>56</v>
      </c>
      <c r="D18" t="s">
        <v>33</v>
      </c>
      <c r="H18">
        <f>171*200</f>
        <v>34200</v>
      </c>
      <c r="I18" t="s">
        <v>116</v>
      </c>
      <c r="J18">
        <f t="shared" si="0"/>
        <v>34200</v>
      </c>
      <c r="L18">
        <f t="shared" si="1"/>
        <v>15.267857142857142</v>
      </c>
    </row>
    <row r="19" spans="1:12" x14ac:dyDescent="0.25">
      <c r="A19">
        <v>1751</v>
      </c>
      <c r="B19" t="s">
        <v>10</v>
      </c>
      <c r="C19" t="s">
        <v>56</v>
      </c>
      <c r="D19" t="s">
        <v>33</v>
      </c>
      <c r="F19">
        <v>5336</v>
      </c>
      <c r="H19">
        <v>8</v>
      </c>
      <c r="J19">
        <f t="shared" si="0"/>
        <v>597640</v>
      </c>
      <c r="L19">
        <f t="shared" si="1"/>
        <v>266.80357142857144</v>
      </c>
    </row>
    <row r="20" spans="1:12" x14ac:dyDescent="0.25">
      <c r="A20">
        <v>1751</v>
      </c>
      <c r="B20" t="s">
        <v>11</v>
      </c>
      <c r="C20" t="s">
        <v>56</v>
      </c>
      <c r="D20" t="s">
        <v>33</v>
      </c>
      <c r="F20">
        <v>123</v>
      </c>
      <c r="G20">
        <v>2</v>
      </c>
      <c r="H20">
        <v>14</v>
      </c>
      <c r="J20">
        <f t="shared" si="0"/>
        <v>13846</v>
      </c>
      <c r="L20">
        <f t="shared" si="1"/>
        <v>6.1812500000000004</v>
      </c>
    </row>
    <row r="21" spans="1:12" x14ac:dyDescent="0.25">
      <c r="A21">
        <v>1751</v>
      </c>
      <c r="B21" t="s">
        <v>39</v>
      </c>
      <c r="C21" t="s">
        <v>56</v>
      </c>
      <c r="D21" t="s">
        <v>33</v>
      </c>
      <c r="H21">
        <v>1072</v>
      </c>
      <c r="J21">
        <f t="shared" si="0"/>
        <v>1072</v>
      </c>
      <c r="L21">
        <f t="shared" si="1"/>
        <v>0.47857142857142859</v>
      </c>
    </row>
    <row r="22" spans="1:12" x14ac:dyDescent="0.25">
      <c r="A22">
        <v>1751</v>
      </c>
      <c r="B22" t="s">
        <v>102</v>
      </c>
      <c r="C22" t="s">
        <v>56</v>
      </c>
      <c r="D22" t="s">
        <v>33</v>
      </c>
      <c r="J22">
        <f t="shared" si="0"/>
        <v>0</v>
      </c>
      <c r="L22">
        <f t="shared" si="1"/>
        <v>0</v>
      </c>
    </row>
    <row r="23" spans="1:12" x14ac:dyDescent="0.25">
      <c r="A23">
        <v>1751</v>
      </c>
      <c r="B23" t="s">
        <v>44</v>
      </c>
      <c r="C23" t="s">
        <v>56</v>
      </c>
      <c r="D23" t="s">
        <v>33</v>
      </c>
      <c r="J23">
        <f t="shared" si="0"/>
        <v>0</v>
      </c>
      <c r="L23">
        <f t="shared" si="1"/>
        <v>0</v>
      </c>
    </row>
    <row r="24" spans="1:12" x14ac:dyDescent="0.25">
      <c r="A24">
        <v>1751</v>
      </c>
      <c r="B24" t="s">
        <v>12</v>
      </c>
      <c r="C24" t="s">
        <v>56</v>
      </c>
      <c r="D24" t="s">
        <v>33</v>
      </c>
      <c r="H24">
        <v>6000</v>
      </c>
      <c r="J24">
        <f t="shared" si="0"/>
        <v>6000</v>
      </c>
      <c r="L24">
        <f t="shared" si="1"/>
        <v>2.6785714285714284</v>
      </c>
    </row>
    <row r="25" spans="1:12" x14ac:dyDescent="0.25">
      <c r="A25">
        <v>1751</v>
      </c>
      <c r="B25" t="s">
        <v>34</v>
      </c>
      <c r="C25" t="s">
        <v>56</v>
      </c>
      <c r="D25" t="s">
        <v>33</v>
      </c>
      <c r="J25">
        <f t="shared" si="0"/>
        <v>0</v>
      </c>
      <c r="L25">
        <f t="shared" si="1"/>
        <v>0</v>
      </c>
    </row>
    <row r="26" spans="1:12" x14ac:dyDescent="0.25">
      <c r="A26">
        <v>1751</v>
      </c>
      <c r="B26" t="s">
        <v>13</v>
      </c>
      <c r="C26" t="s">
        <v>56</v>
      </c>
      <c r="D26" t="s">
        <v>33</v>
      </c>
      <c r="E26">
        <v>12</v>
      </c>
      <c r="J26">
        <f t="shared" si="0"/>
        <v>26880</v>
      </c>
      <c r="L26">
        <f t="shared" si="1"/>
        <v>12</v>
      </c>
    </row>
    <row r="27" spans="1:12" x14ac:dyDescent="0.25">
      <c r="A27">
        <v>1751</v>
      </c>
      <c r="B27" t="s">
        <v>14</v>
      </c>
      <c r="C27" t="s">
        <v>56</v>
      </c>
      <c r="D27" t="s">
        <v>33</v>
      </c>
      <c r="J27">
        <f t="shared" si="0"/>
        <v>0</v>
      </c>
      <c r="L27">
        <f t="shared" si="1"/>
        <v>0</v>
      </c>
    </row>
    <row r="28" spans="1:12" x14ac:dyDescent="0.25">
      <c r="A28">
        <v>1751</v>
      </c>
      <c r="B28" t="s">
        <v>23</v>
      </c>
      <c r="C28" t="s">
        <v>56</v>
      </c>
      <c r="D28" t="s">
        <v>33</v>
      </c>
      <c r="J28">
        <f t="shared" si="0"/>
        <v>0</v>
      </c>
      <c r="L28">
        <f t="shared" si="1"/>
        <v>0</v>
      </c>
    </row>
    <row r="29" spans="1:12" x14ac:dyDescent="0.25">
      <c r="A29">
        <v>1751</v>
      </c>
      <c r="B29" t="s">
        <v>27</v>
      </c>
      <c r="C29" t="s">
        <v>56</v>
      </c>
      <c r="D29" t="s">
        <v>33</v>
      </c>
      <c r="H29">
        <v>501539</v>
      </c>
      <c r="I29" t="s">
        <v>115</v>
      </c>
      <c r="J29">
        <f t="shared" si="0"/>
        <v>501539</v>
      </c>
      <c r="L29">
        <f t="shared" si="1"/>
        <v>223.90133928571427</v>
      </c>
    </row>
    <row r="30" spans="1:12" x14ac:dyDescent="0.25">
      <c r="A30">
        <v>1751</v>
      </c>
      <c r="B30" t="s">
        <v>15</v>
      </c>
      <c r="C30" t="s">
        <v>56</v>
      </c>
      <c r="D30" t="s">
        <v>33</v>
      </c>
      <c r="J30">
        <f t="shared" si="0"/>
        <v>0</v>
      </c>
      <c r="L30">
        <f t="shared" si="1"/>
        <v>0</v>
      </c>
    </row>
    <row r="31" spans="1:12" x14ac:dyDescent="0.25">
      <c r="A31">
        <v>1751</v>
      </c>
      <c r="B31" t="s">
        <v>42</v>
      </c>
      <c r="C31" t="s">
        <v>56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25">
      <c r="A32">
        <v>1751</v>
      </c>
      <c r="B32" t="s">
        <v>47</v>
      </c>
      <c r="C32" t="s">
        <v>56</v>
      </c>
      <c r="D32" t="s">
        <v>33</v>
      </c>
      <c r="H32">
        <v>305</v>
      </c>
      <c r="I32" t="s">
        <v>113</v>
      </c>
      <c r="J32">
        <f t="shared" si="0"/>
        <v>305</v>
      </c>
      <c r="L32">
        <f t="shared" si="1"/>
        <v>0.13616071428571427</v>
      </c>
    </row>
    <row r="33" spans="1:12" x14ac:dyDescent="0.25">
      <c r="A33">
        <v>1751</v>
      </c>
      <c r="B33" t="s">
        <v>16</v>
      </c>
      <c r="C33" t="s">
        <v>56</v>
      </c>
      <c r="D33" t="s">
        <v>33</v>
      </c>
      <c r="J33">
        <f t="shared" si="0"/>
        <v>0</v>
      </c>
      <c r="L33">
        <f t="shared" si="1"/>
        <v>0</v>
      </c>
    </row>
    <row r="34" spans="1:12" x14ac:dyDescent="0.25">
      <c r="A34">
        <v>1751</v>
      </c>
      <c r="B34" t="s">
        <v>17</v>
      </c>
      <c r="C34" t="s">
        <v>56</v>
      </c>
      <c r="D34" t="s">
        <v>33</v>
      </c>
      <c r="J34">
        <f t="shared" si="0"/>
        <v>0</v>
      </c>
      <c r="L34">
        <f t="shared" si="1"/>
        <v>0</v>
      </c>
    </row>
    <row r="35" spans="1:12" x14ac:dyDescent="0.25">
      <c r="A35">
        <v>1751</v>
      </c>
      <c r="B35" t="s">
        <v>18</v>
      </c>
      <c r="C35" t="s">
        <v>56</v>
      </c>
      <c r="D35" t="s">
        <v>33</v>
      </c>
      <c r="H35">
        <v>88212.5</v>
      </c>
      <c r="I35" t="s">
        <v>114</v>
      </c>
      <c r="J35">
        <f t="shared" si="0"/>
        <v>88212.5</v>
      </c>
      <c r="L35">
        <f t="shared" si="1"/>
        <v>39.380580357142854</v>
      </c>
    </row>
    <row r="36" spans="1:12" x14ac:dyDescent="0.25">
      <c r="A36">
        <v>1751</v>
      </c>
      <c r="B36" t="s">
        <v>26</v>
      </c>
      <c r="C36" t="s">
        <v>56</v>
      </c>
      <c r="D36" t="s">
        <v>33</v>
      </c>
      <c r="J36">
        <f t="shared" si="0"/>
        <v>0</v>
      </c>
      <c r="L36">
        <f t="shared" si="1"/>
        <v>0</v>
      </c>
    </row>
    <row r="37" spans="1:12" x14ac:dyDescent="0.25">
      <c r="A37">
        <v>1751</v>
      </c>
      <c r="B37" t="s">
        <v>19</v>
      </c>
      <c r="C37" t="s">
        <v>56</v>
      </c>
      <c r="D37" t="s">
        <v>33</v>
      </c>
      <c r="J37">
        <f t="shared" si="0"/>
        <v>0</v>
      </c>
      <c r="L37">
        <f t="shared" si="1"/>
        <v>0</v>
      </c>
    </row>
    <row r="38" spans="1:12" x14ac:dyDescent="0.25">
      <c r="A38">
        <v>1751</v>
      </c>
      <c r="B38" t="s">
        <v>45</v>
      </c>
      <c r="C38" t="s">
        <v>56</v>
      </c>
      <c r="D38" t="s">
        <v>33</v>
      </c>
      <c r="J38">
        <f t="shared" si="0"/>
        <v>0</v>
      </c>
      <c r="L38">
        <f t="shared" si="1"/>
        <v>0</v>
      </c>
    </row>
    <row r="39" spans="1:12" x14ac:dyDescent="0.25">
      <c r="A39">
        <v>1751</v>
      </c>
      <c r="B39" t="s">
        <v>54</v>
      </c>
      <c r="C39" t="s">
        <v>56</v>
      </c>
      <c r="D39" t="s">
        <v>33</v>
      </c>
      <c r="H39">
        <v>1889</v>
      </c>
      <c r="J39">
        <f t="shared" si="0"/>
        <v>1889</v>
      </c>
      <c r="L39">
        <f t="shared" si="1"/>
        <v>0.84330357142857137</v>
      </c>
    </row>
    <row r="40" spans="1:12" x14ac:dyDescent="0.25">
      <c r="A40">
        <v>1751</v>
      </c>
      <c r="B40" t="s">
        <v>95</v>
      </c>
      <c r="C40" t="s">
        <v>56</v>
      </c>
      <c r="D40" t="s">
        <v>33</v>
      </c>
      <c r="H40">
        <v>878</v>
      </c>
      <c r="J40">
        <f t="shared" si="0"/>
        <v>878</v>
      </c>
      <c r="L40">
        <f t="shared" si="1"/>
        <v>0.39196428571428571</v>
      </c>
    </row>
    <row r="41" spans="1:12" x14ac:dyDescent="0.25">
      <c r="A41">
        <v>1751</v>
      </c>
      <c r="B41" t="s">
        <v>20</v>
      </c>
      <c r="C41" t="s">
        <v>56</v>
      </c>
      <c r="D41" t="s">
        <v>33</v>
      </c>
      <c r="J41">
        <f t="shared" si="0"/>
        <v>0</v>
      </c>
      <c r="L41">
        <f t="shared" si="1"/>
        <v>0</v>
      </c>
    </row>
    <row r="42" spans="1:12" x14ac:dyDescent="0.25">
      <c r="A42">
        <v>1751</v>
      </c>
      <c r="B42" t="s">
        <v>21</v>
      </c>
      <c r="C42" t="s">
        <v>56</v>
      </c>
      <c r="D42" t="s">
        <v>33</v>
      </c>
      <c r="H42">
        <v>45</v>
      </c>
      <c r="J42">
        <f t="shared" si="0"/>
        <v>45</v>
      </c>
      <c r="L42">
        <f t="shared" si="1"/>
        <v>2.0089285714285716E-2</v>
      </c>
    </row>
    <row r="43" spans="1:12" x14ac:dyDescent="0.25">
      <c r="A43">
        <v>1751</v>
      </c>
      <c r="B43" t="s">
        <v>22</v>
      </c>
      <c r="C43" t="s">
        <v>56</v>
      </c>
      <c r="D43" t="s">
        <v>33</v>
      </c>
      <c r="J43">
        <f t="shared" si="0"/>
        <v>0</v>
      </c>
      <c r="L43">
        <f t="shared" si="1"/>
        <v>0</v>
      </c>
    </row>
    <row r="44" spans="1:12" x14ac:dyDescent="0.25">
      <c r="A44">
        <v>1751</v>
      </c>
      <c r="B44" t="s">
        <v>61</v>
      </c>
      <c r="C44" t="s">
        <v>56</v>
      </c>
      <c r="D44" t="s">
        <v>33</v>
      </c>
      <c r="J44">
        <f t="shared" si="0"/>
        <v>0</v>
      </c>
      <c r="L44">
        <f t="shared" si="1"/>
        <v>0</v>
      </c>
    </row>
    <row r="45" spans="1:12" x14ac:dyDescent="0.25">
      <c r="A45">
        <v>1751</v>
      </c>
      <c r="B45" t="s">
        <v>111</v>
      </c>
      <c r="C45" t="s">
        <v>56</v>
      </c>
      <c r="D45" t="s">
        <v>33</v>
      </c>
      <c r="E45">
        <v>3</v>
      </c>
      <c r="J45">
        <f t="shared" si="0"/>
        <v>6720</v>
      </c>
      <c r="L45">
        <f t="shared" si="1"/>
        <v>3</v>
      </c>
    </row>
    <row r="46" spans="1:12" x14ac:dyDescent="0.25">
      <c r="A46">
        <v>1751</v>
      </c>
      <c r="B46" t="s">
        <v>62</v>
      </c>
      <c r="C46" t="s">
        <v>56</v>
      </c>
      <c r="D46" t="s">
        <v>33</v>
      </c>
      <c r="E46">
        <v>31</v>
      </c>
      <c r="J46">
        <f t="shared" si="0"/>
        <v>69440</v>
      </c>
      <c r="L46">
        <f t="shared" si="1"/>
        <v>31</v>
      </c>
    </row>
    <row r="47" spans="1:12" x14ac:dyDescent="0.25">
      <c r="A47">
        <v>1751</v>
      </c>
      <c r="B47" t="s">
        <v>63</v>
      </c>
      <c r="C47" t="s">
        <v>56</v>
      </c>
      <c r="D47" t="s">
        <v>33</v>
      </c>
      <c r="E47">
        <v>130</v>
      </c>
      <c r="J47">
        <f t="shared" si="0"/>
        <v>291200</v>
      </c>
      <c r="L47">
        <f t="shared" si="1"/>
        <v>130</v>
      </c>
    </row>
    <row r="48" spans="1:12" x14ac:dyDescent="0.25">
      <c r="A48">
        <v>1751</v>
      </c>
      <c r="B48" t="s">
        <v>70</v>
      </c>
      <c r="C48" t="s">
        <v>56</v>
      </c>
      <c r="D48" t="s">
        <v>33</v>
      </c>
      <c r="J48">
        <f t="shared" si="0"/>
        <v>0</v>
      </c>
      <c r="L48">
        <f t="shared" si="1"/>
        <v>0</v>
      </c>
    </row>
    <row r="49" spans="1:12" x14ac:dyDescent="0.25">
      <c r="A49">
        <v>1751</v>
      </c>
      <c r="B49" t="s">
        <v>64</v>
      </c>
      <c r="C49" t="s">
        <v>56</v>
      </c>
      <c r="D49" t="s">
        <v>33</v>
      </c>
      <c r="E49">
        <v>3</v>
      </c>
      <c r="J49">
        <f t="shared" si="0"/>
        <v>6720</v>
      </c>
      <c r="L49">
        <f t="shared" si="1"/>
        <v>3</v>
      </c>
    </row>
    <row r="50" spans="1:12" x14ac:dyDescent="0.25">
      <c r="A50">
        <v>1751</v>
      </c>
      <c r="B50" t="s">
        <v>65</v>
      </c>
      <c r="C50" t="s">
        <v>56</v>
      </c>
      <c r="D50" t="s">
        <v>33</v>
      </c>
      <c r="J50">
        <f t="shared" si="0"/>
        <v>0</v>
      </c>
      <c r="L50">
        <f t="shared" si="1"/>
        <v>0</v>
      </c>
    </row>
    <row r="51" spans="1:12" x14ac:dyDescent="0.25">
      <c r="A51">
        <v>1751</v>
      </c>
      <c r="B51" t="s">
        <v>55</v>
      </c>
      <c r="C51" t="s">
        <v>56</v>
      </c>
      <c r="D51" t="s">
        <v>35</v>
      </c>
      <c r="J51">
        <f t="shared" si="0"/>
        <v>0</v>
      </c>
      <c r="L51">
        <f t="shared" si="1"/>
        <v>0</v>
      </c>
    </row>
    <row r="52" spans="1:12" x14ac:dyDescent="0.25">
      <c r="A52">
        <v>1751</v>
      </c>
      <c r="B52" t="s">
        <v>57</v>
      </c>
      <c r="C52" t="s">
        <v>56</v>
      </c>
      <c r="D52" t="s">
        <v>35</v>
      </c>
      <c r="J52">
        <f t="shared" si="0"/>
        <v>0</v>
      </c>
      <c r="L52">
        <f t="shared" si="1"/>
        <v>0</v>
      </c>
    </row>
    <row r="53" spans="1:12" x14ac:dyDescent="0.25">
      <c r="A53">
        <v>1751</v>
      </c>
      <c r="B53" t="s">
        <v>36</v>
      </c>
      <c r="C53" t="s">
        <v>56</v>
      </c>
      <c r="D53" t="s">
        <v>35</v>
      </c>
      <c r="H53">
        <v>2022</v>
      </c>
      <c r="J53">
        <f t="shared" si="0"/>
        <v>2022</v>
      </c>
      <c r="L53">
        <f t="shared" si="1"/>
        <v>0.90267857142857144</v>
      </c>
    </row>
    <row r="54" spans="1:12" x14ac:dyDescent="0.25">
      <c r="A54">
        <v>1751</v>
      </c>
      <c r="B54" t="s">
        <v>4</v>
      </c>
      <c r="C54" t="s">
        <v>56</v>
      </c>
      <c r="D54" t="s">
        <v>35</v>
      </c>
      <c r="J54">
        <f t="shared" si="0"/>
        <v>0</v>
      </c>
      <c r="L54">
        <f t="shared" si="1"/>
        <v>0</v>
      </c>
    </row>
    <row r="55" spans="1:12" x14ac:dyDescent="0.25">
      <c r="A55">
        <v>1751</v>
      </c>
      <c r="B55" t="s">
        <v>58</v>
      </c>
      <c r="C55" t="s">
        <v>56</v>
      </c>
      <c r="D55" t="s">
        <v>35</v>
      </c>
      <c r="J55">
        <f t="shared" si="0"/>
        <v>0</v>
      </c>
      <c r="L55">
        <f t="shared" si="1"/>
        <v>0</v>
      </c>
    </row>
    <row r="56" spans="1:12" x14ac:dyDescent="0.25">
      <c r="A56">
        <v>1751</v>
      </c>
      <c r="B56" t="s">
        <v>92</v>
      </c>
      <c r="C56" t="s">
        <v>56</v>
      </c>
      <c r="D56" t="s">
        <v>35</v>
      </c>
      <c r="H56">
        <v>37</v>
      </c>
      <c r="J56">
        <f t="shared" si="0"/>
        <v>37</v>
      </c>
      <c r="L56">
        <f t="shared" si="1"/>
        <v>1.6517857142857143E-2</v>
      </c>
    </row>
    <row r="57" spans="1:12" x14ac:dyDescent="0.25">
      <c r="A57">
        <v>1751</v>
      </c>
      <c r="B57" t="s">
        <v>43</v>
      </c>
      <c r="C57" t="s">
        <v>56</v>
      </c>
      <c r="D57" t="s">
        <v>35</v>
      </c>
      <c r="J57">
        <f t="shared" si="0"/>
        <v>0</v>
      </c>
      <c r="L57">
        <f t="shared" si="1"/>
        <v>0</v>
      </c>
    </row>
    <row r="58" spans="1:12" x14ac:dyDescent="0.25">
      <c r="A58">
        <v>1751</v>
      </c>
      <c r="B58" t="s">
        <v>5</v>
      </c>
      <c r="C58" t="s">
        <v>56</v>
      </c>
      <c r="D58" t="s">
        <v>35</v>
      </c>
      <c r="F58">
        <v>23</v>
      </c>
      <c r="G58">
        <v>3</v>
      </c>
      <c r="H58">
        <v>14</v>
      </c>
      <c r="J58">
        <f t="shared" si="0"/>
        <v>2674</v>
      </c>
      <c r="L58">
        <f t="shared" si="1"/>
        <v>1.1937500000000001</v>
      </c>
    </row>
    <row r="59" spans="1:12" x14ac:dyDescent="0.25">
      <c r="A59">
        <v>1751</v>
      </c>
      <c r="B59" t="s">
        <v>59</v>
      </c>
      <c r="C59" t="s">
        <v>56</v>
      </c>
      <c r="D59" t="s">
        <v>35</v>
      </c>
      <c r="J59">
        <f t="shared" si="0"/>
        <v>0</v>
      </c>
      <c r="L59">
        <f t="shared" si="1"/>
        <v>0</v>
      </c>
    </row>
    <row r="60" spans="1:12" x14ac:dyDescent="0.25">
      <c r="A60">
        <v>1751</v>
      </c>
      <c r="B60" t="s">
        <v>6</v>
      </c>
      <c r="C60" t="s">
        <v>56</v>
      </c>
      <c r="D60" t="s">
        <v>35</v>
      </c>
      <c r="F60">
        <v>33103</v>
      </c>
      <c r="G60">
        <v>2</v>
      </c>
      <c r="J60">
        <f t="shared" si="0"/>
        <v>3707592</v>
      </c>
      <c r="L60">
        <f t="shared" si="1"/>
        <v>1655.175</v>
      </c>
    </row>
    <row r="61" spans="1:12" x14ac:dyDescent="0.25">
      <c r="A61">
        <v>1751</v>
      </c>
      <c r="B61" t="s">
        <v>60</v>
      </c>
      <c r="C61" t="s">
        <v>56</v>
      </c>
      <c r="D61" t="s">
        <v>35</v>
      </c>
      <c r="J61">
        <f t="shared" si="0"/>
        <v>0</v>
      </c>
      <c r="L61">
        <f t="shared" si="1"/>
        <v>0</v>
      </c>
    </row>
    <row r="62" spans="1:12" x14ac:dyDescent="0.25">
      <c r="A62">
        <v>1751</v>
      </c>
      <c r="B62" t="s">
        <v>38</v>
      </c>
      <c r="C62" t="s">
        <v>56</v>
      </c>
      <c r="D62" t="s">
        <v>35</v>
      </c>
      <c r="J62">
        <f t="shared" si="0"/>
        <v>0</v>
      </c>
      <c r="L62">
        <f t="shared" si="1"/>
        <v>0</v>
      </c>
    </row>
    <row r="63" spans="1:12" x14ac:dyDescent="0.25">
      <c r="A63">
        <v>1751</v>
      </c>
      <c r="B63" t="s">
        <v>37</v>
      </c>
      <c r="C63" t="s">
        <v>56</v>
      </c>
      <c r="D63" t="s">
        <v>35</v>
      </c>
      <c r="J63">
        <f t="shared" si="0"/>
        <v>0</v>
      </c>
      <c r="L63">
        <f t="shared" si="1"/>
        <v>0</v>
      </c>
    </row>
    <row r="64" spans="1:12" x14ac:dyDescent="0.25">
      <c r="A64">
        <v>1751</v>
      </c>
      <c r="B64" t="s">
        <v>8</v>
      </c>
      <c r="C64" t="s">
        <v>56</v>
      </c>
      <c r="D64" t="s">
        <v>35</v>
      </c>
      <c r="F64">
        <v>7</v>
      </c>
      <c r="G64">
        <v>3</v>
      </c>
      <c r="H64">
        <v>6</v>
      </c>
      <c r="J64">
        <f t="shared" si="0"/>
        <v>874</v>
      </c>
      <c r="L64">
        <f t="shared" si="1"/>
        <v>0.39017857142857143</v>
      </c>
    </row>
    <row r="65" spans="1:12" x14ac:dyDescent="0.25">
      <c r="A65">
        <v>1751</v>
      </c>
      <c r="B65" t="s">
        <v>40</v>
      </c>
      <c r="C65" t="s">
        <v>56</v>
      </c>
      <c r="D65" t="s">
        <v>35</v>
      </c>
      <c r="J65">
        <f t="shared" si="0"/>
        <v>0</v>
      </c>
      <c r="L65">
        <f t="shared" si="1"/>
        <v>0</v>
      </c>
    </row>
    <row r="66" spans="1:12" x14ac:dyDescent="0.25">
      <c r="A66">
        <v>1751</v>
      </c>
      <c r="B66" t="s">
        <v>9</v>
      </c>
      <c r="C66" t="s">
        <v>56</v>
      </c>
      <c r="D66" t="s">
        <v>35</v>
      </c>
      <c r="H66">
        <f>1220*200</f>
        <v>244000</v>
      </c>
      <c r="I66" t="s">
        <v>143</v>
      </c>
      <c r="J66">
        <f t="shared" si="0"/>
        <v>244000</v>
      </c>
      <c r="L66">
        <f t="shared" si="1"/>
        <v>108.92857142857143</v>
      </c>
    </row>
    <row r="67" spans="1:12" x14ac:dyDescent="0.25">
      <c r="A67">
        <v>1751</v>
      </c>
      <c r="B67" t="s">
        <v>10</v>
      </c>
      <c r="C67" t="s">
        <v>56</v>
      </c>
      <c r="D67" t="s">
        <v>35</v>
      </c>
      <c r="F67">
        <v>2501</v>
      </c>
      <c r="H67">
        <v>14</v>
      </c>
      <c r="J67">
        <f t="shared" si="0"/>
        <v>280126</v>
      </c>
      <c r="L67">
        <f t="shared" si="1"/>
        <v>125.05625000000001</v>
      </c>
    </row>
    <row r="68" spans="1:12" x14ac:dyDescent="0.25">
      <c r="A68">
        <v>1751</v>
      </c>
      <c r="B68" t="s">
        <v>11</v>
      </c>
      <c r="C68" t="s">
        <v>56</v>
      </c>
      <c r="D68" t="s">
        <v>35</v>
      </c>
      <c r="F68">
        <v>191</v>
      </c>
      <c r="G68">
        <v>2</v>
      </c>
      <c r="H68">
        <v>20</v>
      </c>
      <c r="J68">
        <f t="shared" ref="J68:J101" si="2">(E68*2240)+(F68*112)+(G68*28)+H68</f>
        <v>21468</v>
      </c>
      <c r="L68">
        <f t="shared" ref="L68:L101" si="3">J68/2240</f>
        <v>9.5839285714285722</v>
      </c>
    </row>
    <row r="69" spans="1:12" x14ac:dyDescent="0.25">
      <c r="A69">
        <v>1751</v>
      </c>
      <c r="B69" t="s">
        <v>39</v>
      </c>
      <c r="C69" t="s">
        <v>56</v>
      </c>
      <c r="D69" t="s">
        <v>35</v>
      </c>
      <c r="J69">
        <f t="shared" si="2"/>
        <v>0</v>
      </c>
      <c r="L69">
        <f t="shared" si="3"/>
        <v>0</v>
      </c>
    </row>
    <row r="70" spans="1:12" x14ac:dyDescent="0.25">
      <c r="A70">
        <v>1751</v>
      </c>
      <c r="B70" t="s">
        <v>79</v>
      </c>
      <c r="C70" t="s">
        <v>56</v>
      </c>
      <c r="D70" t="s">
        <v>35</v>
      </c>
      <c r="J70">
        <f t="shared" si="2"/>
        <v>0</v>
      </c>
      <c r="L70">
        <f t="shared" si="3"/>
        <v>0</v>
      </c>
    </row>
    <row r="71" spans="1:12" x14ac:dyDescent="0.25">
      <c r="A71">
        <v>1751</v>
      </c>
      <c r="B71" t="s">
        <v>44</v>
      </c>
      <c r="C71" t="s">
        <v>56</v>
      </c>
      <c r="D71" t="s">
        <v>35</v>
      </c>
      <c r="J71">
        <f t="shared" si="2"/>
        <v>0</v>
      </c>
      <c r="L71">
        <f t="shared" si="3"/>
        <v>0</v>
      </c>
    </row>
    <row r="72" spans="1:12" x14ac:dyDescent="0.25">
      <c r="A72">
        <v>1751</v>
      </c>
      <c r="B72" t="s">
        <v>12</v>
      </c>
      <c r="C72" t="s">
        <v>56</v>
      </c>
      <c r="D72" t="s">
        <v>35</v>
      </c>
      <c r="H72">
        <v>2600</v>
      </c>
      <c r="J72">
        <f t="shared" si="2"/>
        <v>2600</v>
      </c>
      <c r="L72">
        <f t="shared" si="3"/>
        <v>1.1607142857142858</v>
      </c>
    </row>
    <row r="73" spans="1:12" x14ac:dyDescent="0.25">
      <c r="A73">
        <v>1751</v>
      </c>
      <c r="B73" t="s">
        <v>34</v>
      </c>
      <c r="C73" t="s">
        <v>56</v>
      </c>
      <c r="D73" t="s">
        <v>35</v>
      </c>
      <c r="J73">
        <f t="shared" si="2"/>
        <v>0</v>
      </c>
      <c r="L73">
        <f t="shared" si="3"/>
        <v>0</v>
      </c>
    </row>
    <row r="74" spans="1:12" x14ac:dyDescent="0.25">
      <c r="A74">
        <v>1751</v>
      </c>
      <c r="B74" t="s">
        <v>13</v>
      </c>
      <c r="C74" t="s">
        <v>56</v>
      </c>
      <c r="D74" t="s">
        <v>35</v>
      </c>
      <c r="E74">
        <v>9</v>
      </c>
      <c r="F74">
        <v>10</v>
      </c>
      <c r="J74">
        <f t="shared" si="2"/>
        <v>21280</v>
      </c>
      <c r="L74">
        <f t="shared" si="3"/>
        <v>9.5</v>
      </c>
    </row>
    <row r="75" spans="1:12" x14ac:dyDescent="0.25">
      <c r="A75">
        <v>1751</v>
      </c>
      <c r="B75" t="s">
        <v>14</v>
      </c>
      <c r="C75" t="s">
        <v>56</v>
      </c>
      <c r="D75" t="s">
        <v>35</v>
      </c>
      <c r="J75">
        <f t="shared" si="2"/>
        <v>0</v>
      </c>
      <c r="L75">
        <f t="shared" si="3"/>
        <v>0</v>
      </c>
    </row>
    <row r="76" spans="1:12" x14ac:dyDescent="0.25">
      <c r="A76">
        <v>1751</v>
      </c>
      <c r="B76" t="s">
        <v>23</v>
      </c>
      <c r="C76" t="s">
        <v>56</v>
      </c>
      <c r="D76" t="s">
        <v>35</v>
      </c>
      <c r="J76">
        <f t="shared" si="2"/>
        <v>0</v>
      </c>
      <c r="L76">
        <f t="shared" si="3"/>
        <v>0</v>
      </c>
    </row>
    <row r="77" spans="1:12" x14ac:dyDescent="0.25">
      <c r="A77">
        <v>1751</v>
      </c>
      <c r="B77" t="s">
        <v>27</v>
      </c>
      <c r="C77" t="s">
        <v>56</v>
      </c>
      <c r="D77" t="s">
        <v>35</v>
      </c>
      <c r="J77">
        <f t="shared" si="2"/>
        <v>0</v>
      </c>
      <c r="L77">
        <f t="shared" si="3"/>
        <v>0</v>
      </c>
    </row>
    <row r="78" spans="1:12" x14ac:dyDescent="0.25">
      <c r="A78">
        <v>1751</v>
      </c>
      <c r="B78" t="s">
        <v>15</v>
      </c>
      <c r="C78" t="s">
        <v>56</v>
      </c>
      <c r="D78" t="s">
        <v>35</v>
      </c>
      <c r="J78">
        <f t="shared" si="2"/>
        <v>0</v>
      </c>
      <c r="L78">
        <f t="shared" si="3"/>
        <v>0</v>
      </c>
    </row>
    <row r="79" spans="1:12" x14ac:dyDescent="0.25">
      <c r="A79">
        <v>1751</v>
      </c>
      <c r="B79" t="s">
        <v>93</v>
      </c>
      <c r="C79" t="s">
        <v>56</v>
      </c>
      <c r="D79" t="s">
        <v>35</v>
      </c>
      <c r="J79">
        <f t="shared" si="2"/>
        <v>0</v>
      </c>
      <c r="L79">
        <f t="shared" si="3"/>
        <v>0</v>
      </c>
    </row>
    <row r="80" spans="1:12" x14ac:dyDescent="0.25">
      <c r="A80">
        <v>1751</v>
      </c>
      <c r="B80" t="s">
        <v>42</v>
      </c>
      <c r="C80" t="s">
        <v>56</v>
      </c>
      <c r="D80" t="s">
        <v>35</v>
      </c>
      <c r="J80">
        <f t="shared" si="2"/>
        <v>0</v>
      </c>
      <c r="L80">
        <f t="shared" si="3"/>
        <v>0</v>
      </c>
    </row>
    <row r="81" spans="1:12" x14ac:dyDescent="0.25">
      <c r="A81">
        <v>1751</v>
      </c>
      <c r="B81" t="s">
        <v>47</v>
      </c>
      <c r="C81" t="s">
        <v>56</v>
      </c>
      <c r="D81" t="s">
        <v>35</v>
      </c>
      <c r="J81">
        <f t="shared" si="2"/>
        <v>0</v>
      </c>
      <c r="L81">
        <f t="shared" si="3"/>
        <v>0</v>
      </c>
    </row>
    <row r="82" spans="1:12" x14ac:dyDescent="0.25">
      <c r="A82">
        <v>1751</v>
      </c>
      <c r="B82" t="s">
        <v>16</v>
      </c>
      <c r="C82" t="s">
        <v>56</v>
      </c>
      <c r="D82" t="s">
        <v>35</v>
      </c>
      <c r="H82">
        <v>30</v>
      </c>
      <c r="J82">
        <f t="shared" si="2"/>
        <v>30</v>
      </c>
      <c r="L82">
        <f t="shared" si="3"/>
        <v>1.3392857142857142E-2</v>
      </c>
    </row>
    <row r="83" spans="1:12" x14ac:dyDescent="0.25">
      <c r="A83">
        <v>1751</v>
      </c>
      <c r="B83" t="s">
        <v>106</v>
      </c>
      <c r="C83" t="s">
        <v>56</v>
      </c>
      <c r="D83" t="s">
        <v>35</v>
      </c>
      <c r="J83">
        <f t="shared" si="2"/>
        <v>0</v>
      </c>
      <c r="L83">
        <f t="shared" si="3"/>
        <v>0</v>
      </c>
    </row>
    <row r="84" spans="1:12" x14ac:dyDescent="0.25">
      <c r="A84">
        <v>1751</v>
      </c>
      <c r="B84" t="s">
        <v>17</v>
      </c>
      <c r="C84" t="s">
        <v>56</v>
      </c>
      <c r="D84" t="s">
        <v>35</v>
      </c>
      <c r="F84">
        <v>620</v>
      </c>
      <c r="G84">
        <v>2</v>
      </c>
      <c r="H84">
        <v>6</v>
      </c>
      <c r="J84">
        <f t="shared" si="2"/>
        <v>69502</v>
      </c>
      <c r="L84">
        <f t="shared" si="3"/>
        <v>31.02767857142857</v>
      </c>
    </row>
    <row r="85" spans="1:12" x14ac:dyDescent="0.25">
      <c r="A85">
        <v>1751</v>
      </c>
      <c r="B85" t="s">
        <v>18</v>
      </c>
      <c r="C85" t="s">
        <v>56</v>
      </c>
      <c r="D85" t="s">
        <v>35</v>
      </c>
      <c r="H85">
        <v>85642</v>
      </c>
      <c r="I85" t="s">
        <v>142</v>
      </c>
      <c r="J85">
        <f t="shared" si="2"/>
        <v>85642</v>
      </c>
      <c r="L85">
        <f t="shared" si="3"/>
        <v>38.233035714285712</v>
      </c>
    </row>
    <row r="86" spans="1:12" x14ac:dyDescent="0.25">
      <c r="A86">
        <v>1751</v>
      </c>
      <c r="B86" t="s">
        <v>26</v>
      </c>
      <c r="C86" t="s">
        <v>56</v>
      </c>
      <c r="D86" t="s">
        <v>35</v>
      </c>
      <c r="J86">
        <f t="shared" si="2"/>
        <v>0</v>
      </c>
      <c r="L86">
        <f t="shared" si="3"/>
        <v>0</v>
      </c>
    </row>
    <row r="87" spans="1:12" x14ac:dyDescent="0.25">
      <c r="A87">
        <v>1751</v>
      </c>
      <c r="B87" t="s">
        <v>19</v>
      </c>
      <c r="C87" t="s">
        <v>56</v>
      </c>
      <c r="D87" t="s">
        <v>35</v>
      </c>
      <c r="J87">
        <f t="shared" si="2"/>
        <v>0</v>
      </c>
      <c r="L87">
        <f t="shared" si="3"/>
        <v>0</v>
      </c>
    </row>
    <row r="88" spans="1:12" x14ac:dyDescent="0.25">
      <c r="A88">
        <v>1751</v>
      </c>
      <c r="B88" t="s">
        <v>45</v>
      </c>
      <c r="C88" t="s">
        <v>56</v>
      </c>
      <c r="D88" t="s">
        <v>35</v>
      </c>
      <c r="J88">
        <f t="shared" si="2"/>
        <v>0</v>
      </c>
      <c r="L88">
        <f t="shared" si="3"/>
        <v>0</v>
      </c>
    </row>
    <row r="89" spans="1:12" x14ac:dyDescent="0.25">
      <c r="A89">
        <v>1751</v>
      </c>
      <c r="B89" t="s">
        <v>54</v>
      </c>
      <c r="C89" t="s">
        <v>56</v>
      </c>
      <c r="D89" t="s">
        <v>35</v>
      </c>
      <c r="H89">
        <v>292</v>
      </c>
      <c r="J89">
        <f t="shared" si="2"/>
        <v>292</v>
      </c>
      <c r="L89">
        <f t="shared" si="3"/>
        <v>0.13035714285714287</v>
      </c>
    </row>
    <row r="90" spans="1:12" x14ac:dyDescent="0.25">
      <c r="A90">
        <v>1751</v>
      </c>
      <c r="B90" t="s">
        <v>95</v>
      </c>
      <c r="C90" t="s">
        <v>56</v>
      </c>
      <c r="D90" t="s">
        <v>35</v>
      </c>
      <c r="H90">
        <v>398</v>
      </c>
      <c r="J90">
        <f t="shared" si="2"/>
        <v>398</v>
      </c>
      <c r="L90">
        <f t="shared" si="3"/>
        <v>0.17767857142857144</v>
      </c>
    </row>
    <row r="91" spans="1:12" x14ac:dyDescent="0.25">
      <c r="A91">
        <v>1751</v>
      </c>
      <c r="B91" t="s">
        <v>20</v>
      </c>
      <c r="C91" t="s">
        <v>56</v>
      </c>
      <c r="D91" t="s">
        <v>35</v>
      </c>
      <c r="J91">
        <f t="shared" si="2"/>
        <v>0</v>
      </c>
      <c r="L91">
        <f t="shared" si="3"/>
        <v>0</v>
      </c>
    </row>
    <row r="92" spans="1:12" x14ac:dyDescent="0.25">
      <c r="A92">
        <v>1751</v>
      </c>
      <c r="B92" t="s">
        <v>21</v>
      </c>
      <c r="C92" t="s">
        <v>56</v>
      </c>
      <c r="D92" t="s">
        <v>35</v>
      </c>
      <c r="H92">
        <v>5</v>
      </c>
      <c r="J92">
        <f t="shared" si="2"/>
        <v>5</v>
      </c>
      <c r="L92">
        <f t="shared" si="3"/>
        <v>2.232142857142857E-3</v>
      </c>
    </row>
    <row r="93" spans="1:12" x14ac:dyDescent="0.25">
      <c r="A93">
        <v>1751</v>
      </c>
      <c r="B93" t="s">
        <v>22</v>
      </c>
      <c r="C93" t="s">
        <v>56</v>
      </c>
      <c r="D93" t="s">
        <v>35</v>
      </c>
      <c r="J93">
        <f t="shared" si="2"/>
        <v>0</v>
      </c>
      <c r="L93">
        <f t="shared" si="3"/>
        <v>0</v>
      </c>
    </row>
    <row r="94" spans="1:12" x14ac:dyDescent="0.25">
      <c r="A94">
        <v>1751</v>
      </c>
      <c r="B94" t="s">
        <v>61</v>
      </c>
      <c r="C94" t="s">
        <v>56</v>
      </c>
      <c r="D94" t="s">
        <v>35</v>
      </c>
      <c r="E94">
        <v>18</v>
      </c>
      <c r="F94">
        <v>11</v>
      </c>
      <c r="G94">
        <v>1</v>
      </c>
      <c r="J94">
        <f t="shared" si="2"/>
        <v>41580</v>
      </c>
      <c r="L94">
        <f t="shared" si="3"/>
        <v>18.5625</v>
      </c>
    </row>
    <row r="95" spans="1:12" x14ac:dyDescent="0.25">
      <c r="A95">
        <v>1751</v>
      </c>
      <c r="B95" t="s">
        <v>111</v>
      </c>
      <c r="C95" t="s">
        <v>56</v>
      </c>
      <c r="D95" t="s">
        <v>35</v>
      </c>
      <c r="F95">
        <v>19</v>
      </c>
      <c r="H95">
        <v>25</v>
      </c>
      <c r="J95">
        <f t="shared" si="2"/>
        <v>2153</v>
      </c>
      <c r="L95">
        <f t="shared" si="3"/>
        <v>0.96116071428571426</v>
      </c>
    </row>
    <row r="96" spans="1:12" x14ac:dyDescent="0.25">
      <c r="A96">
        <v>1751</v>
      </c>
      <c r="B96" t="s">
        <v>62</v>
      </c>
      <c r="C96" t="s">
        <v>56</v>
      </c>
      <c r="D96" t="s">
        <v>35</v>
      </c>
      <c r="E96">
        <v>171</v>
      </c>
      <c r="F96">
        <v>12</v>
      </c>
      <c r="G96">
        <v>3</v>
      </c>
      <c r="H96">
        <v>18</v>
      </c>
      <c r="J96">
        <f t="shared" si="2"/>
        <v>384486</v>
      </c>
      <c r="L96">
        <f t="shared" si="3"/>
        <v>171.64553571428573</v>
      </c>
    </row>
    <row r="97" spans="1:12" x14ac:dyDescent="0.25">
      <c r="A97">
        <v>1751</v>
      </c>
      <c r="B97" t="s">
        <v>63</v>
      </c>
      <c r="C97" t="s">
        <v>56</v>
      </c>
      <c r="D97" t="s">
        <v>35</v>
      </c>
      <c r="F97">
        <v>2</v>
      </c>
      <c r="J97">
        <f t="shared" si="2"/>
        <v>224</v>
      </c>
      <c r="L97">
        <f t="shared" si="3"/>
        <v>0.1</v>
      </c>
    </row>
    <row r="98" spans="1:12" x14ac:dyDescent="0.25">
      <c r="A98">
        <v>1751</v>
      </c>
      <c r="B98" t="s">
        <v>89</v>
      </c>
      <c r="C98" t="s">
        <v>56</v>
      </c>
      <c r="D98" t="s">
        <v>35</v>
      </c>
      <c r="E98">
        <v>14</v>
      </c>
      <c r="F98">
        <v>2</v>
      </c>
      <c r="G98">
        <v>1</v>
      </c>
      <c r="H98">
        <v>14</v>
      </c>
      <c r="J98">
        <f t="shared" si="2"/>
        <v>31626</v>
      </c>
      <c r="L98">
        <f t="shared" si="3"/>
        <v>14.11875</v>
      </c>
    </row>
    <row r="99" spans="1:12" x14ac:dyDescent="0.25">
      <c r="A99">
        <v>1751</v>
      </c>
      <c r="B99" t="s">
        <v>70</v>
      </c>
      <c r="C99" t="s">
        <v>56</v>
      </c>
      <c r="D99" t="s">
        <v>35</v>
      </c>
      <c r="J99">
        <f t="shared" si="2"/>
        <v>0</v>
      </c>
      <c r="L99">
        <f t="shared" si="3"/>
        <v>0</v>
      </c>
    </row>
    <row r="100" spans="1:12" x14ac:dyDescent="0.25">
      <c r="A100">
        <v>1751</v>
      </c>
      <c r="B100" t="s">
        <v>64</v>
      </c>
      <c r="C100" t="s">
        <v>56</v>
      </c>
      <c r="D100" t="s">
        <v>35</v>
      </c>
      <c r="E100">
        <v>1</v>
      </c>
      <c r="F100">
        <v>18</v>
      </c>
      <c r="H100">
        <v>10</v>
      </c>
      <c r="J100">
        <f t="shared" si="2"/>
        <v>4266</v>
      </c>
      <c r="L100">
        <f t="shared" si="3"/>
        <v>1.9044642857142857</v>
      </c>
    </row>
    <row r="101" spans="1:12" x14ac:dyDescent="0.25">
      <c r="A101">
        <v>1751</v>
      </c>
      <c r="B101" t="s">
        <v>65</v>
      </c>
      <c r="C101" t="s">
        <v>56</v>
      </c>
      <c r="D101" t="s">
        <v>35</v>
      </c>
      <c r="J101">
        <f t="shared" si="2"/>
        <v>0</v>
      </c>
      <c r="L101">
        <f t="shared" si="3"/>
        <v>0</v>
      </c>
    </row>
  </sheetData>
  <autoFilter ref="A1:N54" xr:uid="{AAD1F908-12B8-4B3A-A65D-184CD229ACD4}">
    <sortState xmlns:xlrd2="http://schemas.microsoft.com/office/spreadsheetml/2017/richdata2" ref="A2:N54">
      <sortCondition ref="B1:B54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32DCE-EE6D-47FD-92B8-104BB2E94424}">
  <dimension ref="A1:L29"/>
  <sheetViews>
    <sheetView workbookViewId="0">
      <selection activeCell="H6" sqref="H6"/>
    </sheetView>
  </sheetViews>
  <sheetFormatPr defaultRowHeight="15" x14ac:dyDescent="0.25"/>
  <cols>
    <col min="2" max="3" width="17.140625" customWidth="1"/>
    <col min="4" max="4" width="13.5703125" customWidth="1"/>
    <col min="7" max="7" width="12.42578125" customWidth="1"/>
    <col min="8" max="8" width="13.85546875" customWidth="1"/>
  </cols>
  <sheetData>
    <row r="1" spans="1:12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</row>
    <row r="2" spans="1:12" x14ac:dyDescent="0.25">
      <c r="A2">
        <v>1751</v>
      </c>
      <c r="B2" t="s">
        <v>66</v>
      </c>
      <c r="C2" t="s">
        <v>67</v>
      </c>
      <c r="D2" t="s">
        <v>33</v>
      </c>
      <c r="J2">
        <f t="shared" ref="J2:J29" si="0">(E2*2240)+(F2*112)+(G2*28)+H2</f>
        <v>0</v>
      </c>
      <c r="L2">
        <f t="shared" ref="L2:L29" si="1">J2/2240</f>
        <v>0</v>
      </c>
    </row>
    <row r="3" spans="1:12" x14ac:dyDescent="0.25">
      <c r="A3">
        <v>1751</v>
      </c>
      <c r="B3" t="s">
        <v>6</v>
      </c>
      <c r="C3" t="s">
        <v>67</v>
      </c>
      <c r="D3" t="s">
        <v>33</v>
      </c>
      <c r="E3" s="1"/>
      <c r="F3">
        <v>292</v>
      </c>
      <c r="I3" s="1"/>
      <c r="J3">
        <f t="shared" si="0"/>
        <v>32704</v>
      </c>
      <c r="K3" s="1"/>
      <c r="L3">
        <f t="shared" si="1"/>
        <v>14.6</v>
      </c>
    </row>
    <row r="4" spans="1:12" x14ac:dyDescent="0.25">
      <c r="A4">
        <v>1751</v>
      </c>
      <c r="B4" t="s">
        <v>8</v>
      </c>
      <c r="C4" t="s">
        <v>67</v>
      </c>
      <c r="D4" t="s">
        <v>33</v>
      </c>
      <c r="E4" s="1"/>
      <c r="F4">
        <v>22</v>
      </c>
      <c r="G4">
        <v>2</v>
      </c>
      <c r="H4">
        <v>7</v>
      </c>
      <c r="I4" s="1"/>
      <c r="J4">
        <f t="shared" si="0"/>
        <v>2527</v>
      </c>
      <c r="K4" s="1"/>
      <c r="L4">
        <f t="shared" si="1"/>
        <v>1.128125</v>
      </c>
    </row>
    <row r="5" spans="1:12" x14ac:dyDescent="0.25">
      <c r="A5">
        <v>1751</v>
      </c>
      <c r="B5" t="s">
        <v>9</v>
      </c>
      <c r="C5" t="s">
        <v>67</v>
      </c>
      <c r="D5" t="s">
        <v>33</v>
      </c>
      <c r="H5">
        <f>4.5*200</f>
        <v>900</v>
      </c>
      <c r="I5" t="s">
        <v>118</v>
      </c>
      <c r="J5">
        <f t="shared" si="0"/>
        <v>900</v>
      </c>
      <c r="L5">
        <f t="shared" si="1"/>
        <v>0.4017857142857143</v>
      </c>
    </row>
    <row r="6" spans="1:12" x14ac:dyDescent="0.25">
      <c r="A6">
        <v>1751</v>
      </c>
      <c r="B6" t="s">
        <v>11</v>
      </c>
      <c r="C6" t="s">
        <v>67</v>
      </c>
      <c r="D6" t="s">
        <v>33</v>
      </c>
      <c r="J6">
        <f t="shared" si="0"/>
        <v>0</v>
      </c>
      <c r="L6">
        <f t="shared" si="1"/>
        <v>0</v>
      </c>
    </row>
    <row r="7" spans="1:12" x14ac:dyDescent="0.25">
      <c r="A7">
        <v>1751</v>
      </c>
      <c r="B7" t="s">
        <v>12</v>
      </c>
      <c r="C7" t="s">
        <v>67</v>
      </c>
      <c r="D7" t="s">
        <v>33</v>
      </c>
      <c r="H7">
        <v>1550</v>
      </c>
      <c r="J7">
        <f t="shared" si="0"/>
        <v>1550</v>
      </c>
      <c r="L7">
        <f t="shared" si="1"/>
        <v>0.6919642857142857</v>
      </c>
    </row>
    <row r="8" spans="1:12" x14ac:dyDescent="0.25">
      <c r="A8">
        <v>1751</v>
      </c>
      <c r="B8" t="s">
        <v>27</v>
      </c>
      <c r="C8" t="s">
        <v>67</v>
      </c>
      <c r="D8" t="s">
        <v>33</v>
      </c>
      <c r="J8">
        <f t="shared" si="0"/>
        <v>0</v>
      </c>
      <c r="K8" s="1"/>
      <c r="L8">
        <f t="shared" si="1"/>
        <v>0</v>
      </c>
    </row>
    <row r="9" spans="1:12" x14ac:dyDescent="0.25">
      <c r="A9">
        <v>1751</v>
      </c>
      <c r="B9" t="s">
        <v>15</v>
      </c>
      <c r="C9" t="s">
        <v>67</v>
      </c>
      <c r="D9" t="s">
        <v>33</v>
      </c>
      <c r="J9">
        <f t="shared" si="0"/>
        <v>0</v>
      </c>
      <c r="K9" s="1"/>
      <c r="L9">
        <f t="shared" si="1"/>
        <v>0</v>
      </c>
    </row>
    <row r="10" spans="1:12" x14ac:dyDescent="0.25">
      <c r="A10">
        <v>1751</v>
      </c>
      <c r="B10" t="s">
        <v>17</v>
      </c>
      <c r="C10" t="s">
        <v>67</v>
      </c>
      <c r="D10" t="s">
        <v>33</v>
      </c>
      <c r="J10">
        <f t="shared" si="0"/>
        <v>0</v>
      </c>
      <c r="K10" s="1"/>
      <c r="L10">
        <f t="shared" si="1"/>
        <v>0</v>
      </c>
    </row>
    <row r="11" spans="1:12" x14ac:dyDescent="0.25">
      <c r="A11">
        <v>1751</v>
      </c>
      <c r="B11" t="s">
        <v>18</v>
      </c>
      <c r="C11" t="s">
        <v>67</v>
      </c>
      <c r="D11" t="s">
        <v>33</v>
      </c>
      <c r="H11">
        <v>8242</v>
      </c>
      <c r="I11" t="s">
        <v>117</v>
      </c>
      <c r="J11">
        <f t="shared" si="0"/>
        <v>8242</v>
      </c>
      <c r="L11">
        <f t="shared" si="1"/>
        <v>3.6794642857142859</v>
      </c>
    </row>
    <row r="12" spans="1:12" x14ac:dyDescent="0.25">
      <c r="A12">
        <v>1751</v>
      </c>
      <c r="B12" t="s">
        <v>19</v>
      </c>
      <c r="C12" t="s">
        <v>67</v>
      </c>
      <c r="D12" t="s">
        <v>33</v>
      </c>
      <c r="J12">
        <f t="shared" si="0"/>
        <v>0</v>
      </c>
      <c r="L12">
        <f t="shared" si="1"/>
        <v>0</v>
      </c>
    </row>
    <row r="13" spans="1:12" x14ac:dyDescent="0.25">
      <c r="A13">
        <v>1751</v>
      </c>
      <c r="B13" t="s">
        <v>21</v>
      </c>
      <c r="C13" t="s">
        <v>67</v>
      </c>
      <c r="D13" t="s">
        <v>33</v>
      </c>
      <c r="H13">
        <v>27</v>
      </c>
      <c r="J13">
        <f t="shared" si="0"/>
        <v>27</v>
      </c>
      <c r="L13">
        <f t="shared" si="1"/>
        <v>1.2053571428571429E-2</v>
      </c>
    </row>
    <row r="14" spans="1:12" x14ac:dyDescent="0.25">
      <c r="A14">
        <v>1751</v>
      </c>
      <c r="B14" t="s">
        <v>90</v>
      </c>
      <c r="C14" t="s">
        <v>67</v>
      </c>
      <c r="D14" t="s">
        <v>33</v>
      </c>
      <c r="J14">
        <f t="shared" si="0"/>
        <v>0</v>
      </c>
      <c r="L14">
        <f t="shared" si="1"/>
        <v>0</v>
      </c>
    </row>
    <row r="15" spans="1:12" x14ac:dyDescent="0.25">
      <c r="A15">
        <v>1751</v>
      </c>
      <c r="B15" t="s">
        <v>61</v>
      </c>
      <c r="C15" t="s">
        <v>67</v>
      </c>
      <c r="D15" t="s">
        <v>33</v>
      </c>
      <c r="E15">
        <v>22</v>
      </c>
      <c r="F15">
        <v>8</v>
      </c>
      <c r="J15">
        <f t="shared" si="0"/>
        <v>50176</v>
      </c>
      <c r="L15">
        <f t="shared" si="1"/>
        <v>22.4</v>
      </c>
    </row>
    <row r="16" spans="1:12" x14ac:dyDescent="0.25">
      <c r="A16">
        <v>1751</v>
      </c>
      <c r="B16" t="s">
        <v>62</v>
      </c>
      <c r="C16" t="s">
        <v>67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1751</v>
      </c>
      <c r="B17" t="s">
        <v>63</v>
      </c>
      <c r="C17" t="s">
        <v>67</v>
      </c>
      <c r="D17" t="s">
        <v>33</v>
      </c>
      <c r="E17">
        <v>24</v>
      </c>
      <c r="F17">
        <v>8</v>
      </c>
      <c r="G17">
        <v>2</v>
      </c>
      <c r="J17">
        <f t="shared" si="0"/>
        <v>54712</v>
      </c>
      <c r="L17">
        <f t="shared" si="1"/>
        <v>24.425000000000001</v>
      </c>
    </row>
    <row r="18" spans="1:12" x14ac:dyDescent="0.25">
      <c r="A18">
        <v>1751</v>
      </c>
      <c r="B18" t="s">
        <v>89</v>
      </c>
      <c r="C18" t="s">
        <v>67</v>
      </c>
      <c r="D18" t="s">
        <v>33</v>
      </c>
      <c r="E18">
        <v>20</v>
      </c>
      <c r="J18">
        <f t="shared" si="0"/>
        <v>44800</v>
      </c>
      <c r="L18">
        <f t="shared" si="1"/>
        <v>20</v>
      </c>
    </row>
    <row r="19" spans="1:12" x14ac:dyDescent="0.25">
      <c r="A19">
        <v>1751</v>
      </c>
      <c r="B19" t="s">
        <v>6</v>
      </c>
      <c r="C19" t="s">
        <v>67</v>
      </c>
      <c r="D19" t="s">
        <v>35</v>
      </c>
      <c r="J19">
        <f t="shared" si="0"/>
        <v>0</v>
      </c>
      <c r="L19">
        <f t="shared" si="1"/>
        <v>0</v>
      </c>
    </row>
    <row r="20" spans="1:12" x14ac:dyDescent="0.25">
      <c r="A20">
        <v>1751</v>
      </c>
      <c r="B20" t="s">
        <v>12</v>
      </c>
      <c r="C20" t="s">
        <v>67</v>
      </c>
      <c r="D20" t="s">
        <v>35</v>
      </c>
      <c r="J20">
        <f t="shared" si="0"/>
        <v>0</v>
      </c>
      <c r="L20">
        <f t="shared" si="1"/>
        <v>0</v>
      </c>
    </row>
    <row r="21" spans="1:12" x14ac:dyDescent="0.25">
      <c r="A21">
        <v>1751</v>
      </c>
      <c r="B21" t="s">
        <v>41</v>
      </c>
      <c r="C21" t="s">
        <v>67</v>
      </c>
      <c r="D21" t="s">
        <v>35</v>
      </c>
      <c r="J21">
        <f t="shared" si="0"/>
        <v>0</v>
      </c>
      <c r="L21">
        <f t="shared" si="1"/>
        <v>0</v>
      </c>
    </row>
    <row r="22" spans="1:12" x14ac:dyDescent="0.25">
      <c r="A22">
        <v>1751</v>
      </c>
      <c r="B22" t="s">
        <v>27</v>
      </c>
      <c r="C22" t="s">
        <v>67</v>
      </c>
      <c r="D22" t="s">
        <v>35</v>
      </c>
      <c r="J22">
        <f t="shared" si="0"/>
        <v>0</v>
      </c>
      <c r="L22">
        <f t="shared" si="1"/>
        <v>0</v>
      </c>
    </row>
    <row r="23" spans="1:12" x14ac:dyDescent="0.25">
      <c r="A23">
        <v>1751</v>
      </c>
      <c r="B23" t="s">
        <v>17</v>
      </c>
      <c r="C23" t="s">
        <v>67</v>
      </c>
      <c r="D23" t="s">
        <v>35</v>
      </c>
      <c r="J23">
        <f t="shared" si="0"/>
        <v>0</v>
      </c>
      <c r="L23">
        <f t="shared" si="1"/>
        <v>0</v>
      </c>
    </row>
    <row r="24" spans="1:12" x14ac:dyDescent="0.25">
      <c r="A24">
        <v>1751</v>
      </c>
      <c r="B24" t="s">
        <v>19</v>
      </c>
      <c r="C24" t="s">
        <v>67</v>
      </c>
      <c r="D24" t="s">
        <v>35</v>
      </c>
      <c r="J24">
        <f t="shared" si="0"/>
        <v>0</v>
      </c>
      <c r="L24">
        <f t="shared" si="1"/>
        <v>0</v>
      </c>
    </row>
    <row r="25" spans="1:12" x14ac:dyDescent="0.25">
      <c r="A25">
        <v>1751</v>
      </c>
      <c r="B25" t="s">
        <v>54</v>
      </c>
      <c r="C25" t="s">
        <v>67</v>
      </c>
      <c r="D25" t="s">
        <v>35</v>
      </c>
      <c r="J25">
        <f t="shared" si="0"/>
        <v>0</v>
      </c>
      <c r="L25">
        <f t="shared" si="1"/>
        <v>0</v>
      </c>
    </row>
    <row r="26" spans="1:12" x14ac:dyDescent="0.25">
      <c r="A26">
        <v>1751</v>
      </c>
      <c r="B26" t="s">
        <v>9</v>
      </c>
      <c r="C26" t="s">
        <v>67</v>
      </c>
      <c r="D26" t="s">
        <v>35</v>
      </c>
      <c r="J26">
        <f t="shared" si="0"/>
        <v>0</v>
      </c>
      <c r="L26">
        <f t="shared" si="1"/>
        <v>0</v>
      </c>
    </row>
    <row r="27" spans="1:12" x14ac:dyDescent="0.25">
      <c r="A27">
        <v>1751</v>
      </c>
      <c r="B27" t="s">
        <v>8</v>
      </c>
      <c r="C27" t="s">
        <v>67</v>
      </c>
      <c r="D27" t="s">
        <v>35</v>
      </c>
      <c r="J27">
        <f t="shared" si="0"/>
        <v>0</v>
      </c>
      <c r="L27">
        <f t="shared" si="1"/>
        <v>0</v>
      </c>
    </row>
    <row r="28" spans="1:12" x14ac:dyDescent="0.25">
      <c r="A28">
        <v>1751</v>
      </c>
      <c r="B28" t="s">
        <v>61</v>
      </c>
      <c r="C28" t="s">
        <v>67</v>
      </c>
      <c r="D28" t="s">
        <v>35</v>
      </c>
      <c r="J28">
        <f t="shared" si="0"/>
        <v>0</v>
      </c>
      <c r="L28">
        <f t="shared" si="1"/>
        <v>0</v>
      </c>
    </row>
    <row r="29" spans="1:12" x14ac:dyDescent="0.25">
      <c r="A29">
        <v>1751</v>
      </c>
      <c r="B29" t="s">
        <v>63</v>
      </c>
      <c r="C29" t="s">
        <v>67</v>
      </c>
      <c r="D29" t="s">
        <v>35</v>
      </c>
      <c r="J29">
        <f t="shared" si="0"/>
        <v>0</v>
      </c>
      <c r="L29">
        <f t="shared" si="1"/>
        <v>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A30DD-B439-4D0D-A79E-805D40D33689}">
  <dimension ref="A1:L131"/>
  <sheetViews>
    <sheetView topLeftCell="A54" zoomScaleNormal="100" workbookViewId="0">
      <selection activeCell="H88" sqref="H88"/>
    </sheetView>
  </sheetViews>
  <sheetFormatPr defaultRowHeight="15" x14ac:dyDescent="0.25"/>
  <cols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2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</row>
    <row r="2" spans="1:12" x14ac:dyDescent="0.25">
      <c r="A2">
        <v>1751</v>
      </c>
      <c r="B2" t="s">
        <v>55</v>
      </c>
      <c r="C2" t="s">
        <v>68</v>
      </c>
      <c r="D2" t="s">
        <v>33</v>
      </c>
      <c r="J2">
        <f>(E2*2240)+(F2*112)+(G2*28)+H2</f>
        <v>0</v>
      </c>
      <c r="L2">
        <f>J2/2240</f>
        <v>0</v>
      </c>
    </row>
    <row r="3" spans="1:12" x14ac:dyDescent="0.25">
      <c r="A3">
        <v>1751</v>
      </c>
      <c r="B3" t="s">
        <v>57</v>
      </c>
      <c r="C3" t="s">
        <v>68</v>
      </c>
      <c r="D3" t="s">
        <v>33</v>
      </c>
      <c r="J3">
        <f t="shared" ref="J3:J69" si="0">(E3*2240)+(F3*112)+(G3*28)+H3</f>
        <v>0</v>
      </c>
      <c r="L3">
        <f t="shared" ref="L3:L69" si="1">J3/2240</f>
        <v>0</v>
      </c>
    </row>
    <row r="4" spans="1:12" x14ac:dyDescent="0.25">
      <c r="A4">
        <v>1751</v>
      </c>
      <c r="B4" t="s">
        <v>36</v>
      </c>
      <c r="C4" t="s">
        <v>68</v>
      </c>
      <c r="D4" t="s">
        <v>33</v>
      </c>
      <c r="J4">
        <f t="shared" si="0"/>
        <v>0</v>
      </c>
      <c r="L4">
        <f t="shared" si="1"/>
        <v>0</v>
      </c>
    </row>
    <row r="5" spans="1:12" x14ac:dyDescent="0.25">
      <c r="A5">
        <v>1751</v>
      </c>
      <c r="B5" t="s">
        <v>4</v>
      </c>
      <c r="C5" t="s">
        <v>68</v>
      </c>
      <c r="D5" t="s">
        <v>33</v>
      </c>
      <c r="J5">
        <f t="shared" si="0"/>
        <v>0</v>
      </c>
      <c r="L5">
        <f t="shared" si="1"/>
        <v>0</v>
      </c>
    </row>
    <row r="6" spans="1:12" x14ac:dyDescent="0.25">
      <c r="A6">
        <v>1751</v>
      </c>
      <c r="B6" t="s">
        <v>58</v>
      </c>
      <c r="C6" t="s">
        <v>68</v>
      </c>
      <c r="D6" t="s">
        <v>33</v>
      </c>
      <c r="J6">
        <f t="shared" si="0"/>
        <v>0</v>
      </c>
      <c r="L6">
        <f t="shared" si="1"/>
        <v>0</v>
      </c>
    </row>
    <row r="7" spans="1:12" x14ac:dyDescent="0.25">
      <c r="A7">
        <v>1751</v>
      </c>
      <c r="B7" t="s">
        <v>69</v>
      </c>
      <c r="C7" t="s">
        <v>68</v>
      </c>
      <c r="D7" t="s">
        <v>33</v>
      </c>
      <c r="J7">
        <f t="shared" si="0"/>
        <v>0</v>
      </c>
      <c r="L7">
        <f t="shared" si="1"/>
        <v>0</v>
      </c>
    </row>
    <row r="8" spans="1:12" x14ac:dyDescent="0.25">
      <c r="A8">
        <v>1751</v>
      </c>
      <c r="B8" t="s">
        <v>119</v>
      </c>
      <c r="C8" t="s">
        <v>68</v>
      </c>
      <c r="D8" t="s">
        <v>33</v>
      </c>
      <c r="H8">
        <v>1018</v>
      </c>
      <c r="J8">
        <f t="shared" si="0"/>
        <v>1018</v>
      </c>
      <c r="L8">
        <f t="shared" si="1"/>
        <v>0.45446428571428571</v>
      </c>
    </row>
    <row r="9" spans="1:12" x14ac:dyDescent="0.25">
      <c r="A9">
        <v>1751</v>
      </c>
      <c r="B9" t="s">
        <v>101</v>
      </c>
      <c r="C9" t="s">
        <v>68</v>
      </c>
      <c r="D9" t="s">
        <v>33</v>
      </c>
      <c r="H9">
        <v>337</v>
      </c>
      <c r="J9">
        <f t="shared" si="0"/>
        <v>337</v>
      </c>
      <c r="L9">
        <f t="shared" si="1"/>
        <v>0.15044642857142856</v>
      </c>
    </row>
    <row r="10" spans="1:12" x14ac:dyDescent="0.25">
      <c r="A10">
        <v>1751</v>
      </c>
      <c r="B10" t="s">
        <v>43</v>
      </c>
      <c r="C10" t="s">
        <v>68</v>
      </c>
      <c r="D10" t="s">
        <v>33</v>
      </c>
      <c r="J10">
        <f t="shared" si="0"/>
        <v>0</v>
      </c>
      <c r="L10">
        <f t="shared" si="1"/>
        <v>0</v>
      </c>
    </row>
    <row r="11" spans="1:12" x14ac:dyDescent="0.25">
      <c r="A11">
        <v>1751</v>
      </c>
      <c r="B11" t="s">
        <v>76</v>
      </c>
      <c r="C11" t="s">
        <v>68</v>
      </c>
      <c r="D11" t="s">
        <v>33</v>
      </c>
      <c r="J11">
        <f t="shared" si="0"/>
        <v>0</v>
      </c>
      <c r="L11">
        <f t="shared" si="1"/>
        <v>0</v>
      </c>
    </row>
    <row r="12" spans="1:12" x14ac:dyDescent="0.25">
      <c r="A12">
        <v>1751</v>
      </c>
      <c r="B12" t="s">
        <v>5</v>
      </c>
      <c r="C12" t="s">
        <v>68</v>
      </c>
      <c r="D12" t="s">
        <v>33</v>
      </c>
      <c r="F12">
        <v>15</v>
      </c>
      <c r="G12">
        <v>1</v>
      </c>
      <c r="H12">
        <v>4</v>
      </c>
      <c r="J12">
        <f t="shared" si="0"/>
        <v>1712</v>
      </c>
      <c r="L12">
        <f t="shared" si="1"/>
        <v>0.76428571428571423</v>
      </c>
    </row>
    <row r="13" spans="1:12" x14ac:dyDescent="0.25">
      <c r="A13">
        <v>1751</v>
      </c>
      <c r="B13" t="s">
        <v>59</v>
      </c>
      <c r="C13" t="s">
        <v>68</v>
      </c>
      <c r="D13" t="s">
        <v>33</v>
      </c>
      <c r="J13">
        <f t="shared" si="0"/>
        <v>0</v>
      </c>
      <c r="L13">
        <f t="shared" si="1"/>
        <v>0</v>
      </c>
    </row>
    <row r="14" spans="1:12" x14ac:dyDescent="0.25">
      <c r="A14">
        <v>1751</v>
      </c>
      <c r="B14" t="s">
        <v>6</v>
      </c>
      <c r="C14" t="s">
        <v>68</v>
      </c>
      <c r="D14" t="s">
        <v>33</v>
      </c>
      <c r="F14">
        <v>266827</v>
      </c>
      <c r="H14">
        <v>7</v>
      </c>
      <c r="J14">
        <f t="shared" si="0"/>
        <v>29884631</v>
      </c>
      <c r="L14">
        <f t="shared" si="1"/>
        <v>13341.353125</v>
      </c>
    </row>
    <row r="15" spans="1:12" x14ac:dyDescent="0.25">
      <c r="A15">
        <v>1751</v>
      </c>
      <c r="B15" t="s">
        <v>96</v>
      </c>
      <c r="C15" t="s">
        <v>68</v>
      </c>
      <c r="D15" t="s">
        <v>33</v>
      </c>
      <c r="J15">
        <f t="shared" si="0"/>
        <v>0</v>
      </c>
      <c r="L15">
        <f t="shared" si="1"/>
        <v>0</v>
      </c>
    </row>
    <row r="16" spans="1:12" x14ac:dyDescent="0.25">
      <c r="A16">
        <v>1751</v>
      </c>
      <c r="B16" t="s">
        <v>60</v>
      </c>
      <c r="C16" t="s">
        <v>68</v>
      </c>
      <c r="D16" t="s">
        <v>33</v>
      </c>
      <c r="H16">
        <v>682</v>
      </c>
      <c r="J16">
        <f t="shared" si="0"/>
        <v>682</v>
      </c>
      <c r="L16">
        <f t="shared" si="1"/>
        <v>0.30446428571428569</v>
      </c>
    </row>
    <row r="17" spans="1:12" x14ac:dyDescent="0.25">
      <c r="A17">
        <v>1751</v>
      </c>
      <c r="B17" t="s">
        <v>7</v>
      </c>
      <c r="C17" t="s">
        <v>68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1751</v>
      </c>
      <c r="B18" t="s">
        <v>37</v>
      </c>
      <c r="C18" t="s">
        <v>68</v>
      </c>
      <c r="D18" t="s">
        <v>33</v>
      </c>
      <c r="J18">
        <f t="shared" si="0"/>
        <v>0</v>
      </c>
      <c r="L18">
        <f t="shared" si="1"/>
        <v>0</v>
      </c>
    </row>
    <row r="19" spans="1:12" x14ac:dyDescent="0.25">
      <c r="A19">
        <v>1751</v>
      </c>
      <c r="B19" t="s">
        <v>8</v>
      </c>
      <c r="C19" t="s">
        <v>68</v>
      </c>
      <c r="D19" t="s">
        <v>33</v>
      </c>
      <c r="F19">
        <v>228</v>
      </c>
      <c r="G19">
        <v>2</v>
      </c>
      <c r="H19">
        <v>7</v>
      </c>
      <c r="J19">
        <f t="shared" si="0"/>
        <v>25599</v>
      </c>
      <c r="L19">
        <f t="shared" si="1"/>
        <v>11.428125</v>
      </c>
    </row>
    <row r="20" spans="1:12" x14ac:dyDescent="0.25">
      <c r="A20">
        <v>1751</v>
      </c>
      <c r="B20" t="s">
        <v>40</v>
      </c>
      <c r="C20" t="s">
        <v>68</v>
      </c>
      <c r="D20" t="s">
        <v>33</v>
      </c>
      <c r="J20">
        <f t="shared" si="0"/>
        <v>0</v>
      </c>
      <c r="L20">
        <f t="shared" si="1"/>
        <v>0</v>
      </c>
    </row>
    <row r="21" spans="1:12" x14ac:dyDescent="0.25">
      <c r="A21">
        <v>1751</v>
      </c>
      <c r="B21" t="s">
        <v>77</v>
      </c>
      <c r="C21" t="s">
        <v>68</v>
      </c>
      <c r="D21" t="s">
        <v>33</v>
      </c>
      <c r="F21">
        <v>266</v>
      </c>
      <c r="H21">
        <v>4</v>
      </c>
      <c r="J21">
        <f t="shared" si="0"/>
        <v>29796</v>
      </c>
      <c r="L21">
        <f t="shared" si="1"/>
        <v>13.301785714285714</v>
      </c>
    </row>
    <row r="22" spans="1:12" x14ac:dyDescent="0.25">
      <c r="A22">
        <v>1751</v>
      </c>
      <c r="B22" t="s">
        <v>78</v>
      </c>
      <c r="C22" t="s">
        <v>68</v>
      </c>
      <c r="D22" t="s">
        <v>33</v>
      </c>
      <c r="H22">
        <v>20834</v>
      </c>
      <c r="J22">
        <f t="shared" si="0"/>
        <v>20834</v>
      </c>
      <c r="L22">
        <f t="shared" si="1"/>
        <v>9.3008928571428573</v>
      </c>
    </row>
    <row r="23" spans="1:12" x14ac:dyDescent="0.25">
      <c r="A23">
        <v>1751</v>
      </c>
      <c r="B23" t="s">
        <v>46</v>
      </c>
      <c r="C23" t="s">
        <v>68</v>
      </c>
      <c r="D23" t="s">
        <v>33</v>
      </c>
      <c r="H23">
        <v>4038</v>
      </c>
      <c r="J23">
        <f t="shared" si="0"/>
        <v>4038</v>
      </c>
      <c r="L23">
        <f t="shared" si="1"/>
        <v>1.8026785714285714</v>
      </c>
    </row>
    <row r="24" spans="1:12" x14ac:dyDescent="0.25">
      <c r="A24">
        <v>1751</v>
      </c>
      <c r="B24" t="s">
        <v>9</v>
      </c>
      <c r="C24" t="s">
        <v>68</v>
      </c>
      <c r="D24" t="s">
        <v>33</v>
      </c>
      <c r="H24">
        <f>1728.5*200</f>
        <v>345700</v>
      </c>
      <c r="I24" t="s">
        <v>124</v>
      </c>
      <c r="J24">
        <f t="shared" si="0"/>
        <v>345700</v>
      </c>
      <c r="L24">
        <f t="shared" si="1"/>
        <v>154.33035714285714</v>
      </c>
    </row>
    <row r="25" spans="1:12" x14ac:dyDescent="0.25">
      <c r="A25">
        <v>1751</v>
      </c>
      <c r="B25" t="s">
        <v>10</v>
      </c>
      <c r="C25" t="s">
        <v>68</v>
      </c>
      <c r="D25" t="s">
        <v>33</v>
      </c>
      <c r="F25">
        <v>5078</v>
      </c>
      <c r="G25">
        <v>3</v>
      </c>
      <c r="H25">
        <v>23</v>
      </c>
      <c r="J25">
        <f t="shared" si="0"/>
        <v>568843</v>
      </c>
      <c r="L25">
        <f t="shared" si="1"/>
        <v>253.94776785714285</v>
      </c>
    </row>
    <row r="26" spans="1:12" x14ac:dyDescent="0.25">
      <c r="A26">
        <v>1751</v>
      </c>
      <c r="B26" t="s">
        <v>11</v>
      </c>
      <c r="C26" t="s">
        <v>68</v>
      </c>
      <c r="D26" t="s">
        <v>33</v>
      </c>
      <c r="F26">
        <v>166</v>
      </c>
      <c r="G26">
        <v>2</v>
      </c>
      <c r="J26">
        <f t="shared" si="0"/>
        <v>18648</v>
      </c>
      <c r="L26">
        <f t="shared" si="1"/>
        <v>8.3249999999999993</v>
      </c>
    </row>
    <row r="27" spans="1:12" x14ac:dyDescent="0.25">
      <c r="A27">
        <v>1751</v>
      </c>
      <c r="B27" t="s">
        <v>39</v>
      </c>
      <c r="C27" t="s">
        <v>68</v>
      </c>
      <c r="D27" t="s">
        <v>33</v>
      </c>
      <c r="H27">
        <v>302</v>
      </c>
      <c r="J27">
        <f t="shared" si="0"/>
        <v>302</v>
      </c>
      <c r="L27">
        <f t="shared" si="1"/>
        <v>0.13482142857142856</v>
      </c>
    </row>
    <row r="28" spans="1:12" x14ac:dyDescent="0.25">
      <c r="A28">
        <v>1751</v>
      </c>
      <c r="B28" t="s">
        <v>79</v>
      </c>
      <c r="C28" t="s">
        <v>68</v>
      </c>
      <c r="D28" t="s">
        <v>33</v>
      </c>
      <c r="J28">
        <f t="shared" si="0"/>
        <v>0</v>
      </c>
      <c r="L28">
        <f t="shared" si="1"/>
        <v>0</v>
      </c>
    </row>
    <row r="29" spans="1:12" x14ac:dyDescent="0.25">
      <c r="A29">
        <v>1751</v>
      </c>
      <c r="B29" t="s">
        <v>103</v>
      </c>
      <c r="C29" t="s">
        <v>68</v>
      </c>
      <c r="D29" t="s">
        <v>33</v>
      </c>
      <c r="H29">
        <v>1334</v>
      </c>
      <c r="J29">
        <f t="shared" si="0"/>
        <v>1334</v>
      </c>
      <c r="L29">
        <f t="shared" si="1"/>
        <v>0.59553571428571428</v>
      </c>
    </row>
    <row r="30" spans="1:12" x14ac:dyDescent="0.25">
      <c r="A30">
        <v>1751</v>
      </c>
      <c r="B30" t="s">
        <v>44</v>
      </c>
      <c r="C30" t="s">
        <v>68</v>
      </c>
      <c r="D30" t="s">
        <v>33</v>
      </c>
      <c r="J30">
        <f t="shared" si="0"/>
        <v>0</v>
      </c>
      <c r="L30">
        <f t="shared" si="1"/>
        <v>0</v>
      </c>
    </row>
    <row r="31" spans="1:12" x14ac:dyDescent="0.25">
      <c r="A31">
        <v>1751</v>
      </c>
      <c r="B31" t="s">
        <v>97</v>
      </c>
      <c r="C31" t="s">
        <v>68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25">
      <c r="A32">
        <v>1751</v>
      </c>
      <c r="B32" t="s">
        <v>12</v>
      </c>
      <c r="C32" t="s">
        <v>68</v>
      </c>
      <c r="D32" t="s">
        <v>33</v>
      </c>
      <c r="H32">
        <v>1200</v>
      </c>
      <c r="J32">
        <f t="shared" si="0"/>
        <v>1200</v>
      </c>
      <c r="L32">
        <f t="shared" si="1"/>
        <v>0.5357142857142857</v>
      </c>
    </row>
    <row r="33" spans="1:12" x14ac:dyDescent="0.25">
      <c r="A33">
        <v>1751</v>
      </c>
      <c r="B33" t="s">
        <v>82</v>
      </c>
      <c r="C33" t="s">
        <v>68</v>
      </c>
      <c r="D33" t="s">
        <v>33</v>
      </c>
      <c r="J33">
        <f t="shared" si="0"/>
        <v>0</v>
      </c>
      <c r="L33">
        <f t="shared" si="1"/>
        <v>0</v>
      </c>
    </row>
    <row r="34" spans="1:12" x14ac:dyDescent="0.25">
      <c r="A34">
        <v>1751</v>
      </c>
      <c r="B34" t="s">
        <v>34</v>
      </c>
      <c r="C34" t="s">
        <v>68</v>
      </c>
      <c r="D34" t="s">
        <v>33</v>
      </c>
      <c r="J34">
        <f t="shared" si="0"/>
        <v>0</v>
      </c>
      <c r="L34">
        <f t="shared" si="1"/>
        <v>0</v>
      </c>
    </row>
    <row r="35" spans="1:12" x14ac:dyDescent="0.25">
      <c r="A35">
        <v>1751</v>
      </c>
      <c r="B35" t="s">
        <v>13</v>
      </c>
      <c r="C35" t="s">
        <v>68</v>
      </c>
      <c r="D35" t="s">
        <v>33</v>
      </c>
      <c r="E35">
        <v>113</v>
      </c>
      <c r="J35">
        <f t="shared" si="0"/>
        <v>253120</v>
      </c>
      <c r="L35">
        <f t="shared" si="1"/>
        <v>113</v>
      </c>
    </row>
    <row r="36" spans="1:12" x14ac:dyDescent="0.25">
      <c r="A36">
        <v>1751</v>
      </c>
      <c r="B36" t="s">
        <v>14</v>
      </c>
      <c r="C36" t="s">
        <v>68</v>
      </c>
      <c r="D36" t="s">
        <v>33</v>
      </c>
      <c r="H36">
        <v>470</v>
      </c>
      <c r="I36" t="s">
        <v>120</v>
      </c>
      <c r="J36">
        <f t="shared" si="0"/>
        <v>470</v>
      </c>
      <c r="L36">
        <f t="shared" si="1"/>
        <v>0.20982142857142858</v>
      </c>
    </row>
    <row r="37" spans="1:12" x14ac:dyDescent="0.25">
      <c r="A37">
        <v>1751</v>
      </c>
      <c r="B37" t="s">
        <v>23</v>
      </c>
      <c r="C37" t="s">
        <v>68</v>
      </c>
      <c r="D37" t="s">
        <v>33</v>
      </c>
      <c r="J37">
        <f t="shared" si="0"/>
        <v>0</v>
      </c>
      <c r="L37">
        <f t="shared" si="1"/>
        <v>0</v>
      </c>
    </row>
    <row r="38" spans="1:12" x14ac:dyDescent="0.25">
      <c r="A38">
        <v>1751</v>
      </c>
      <c r="B38" t="s">
        <v>27</v>
      </c>
      <c r="C38" t="s">
        <v>68</v>
      </c>
      <c r="D38" t="s">
        <v>33</v>
      </c>
      <c r="H38">
        <v>75449.5</v>
      </c>
      <c r="I38" t="s">
        <v>123</v>
      </c>
      <c r="J38">
        <f t="shared" si="0"/>
        <v>75449.5</v>
      </c>
      <c r="L38">
        <f t="shared" si="1"/>
        <v>33.682812499999997</v>
      </c>
    </row>
    <row r="39" spans="1:12" x14ac:dyDescent="0.25">
      <c r="A39">
        <v>1751</v>
      </c>
      <c r="B39" t="s">
        <v>15</v>
      </c>
      <c r="C39" t="s">
        <v>68</v>
      </c>
      <c r="D39" t="s">
        <v>33</v>
      </c>
      <c r="J39">
        <f t="shared" si="0"/>
        <v>0</v>
      </c>
      <c r="L39">
        <f t="shared" si="1"/>
        <v>0</v>
      </c>
    </row>
    <row r="40" spans="1:12" x14ac:dyDescent="0.25">
      <c r="A40">
        <v>1751</v>
      </c>
      <c r="B40" t="s">
        <v>42</v>
      </c>
      <c r="C40" t="s">
        <v>68</v>
      </c>
      <c r="D40" t="s">
        <v>33</v>
      </c>
      <c r="J40">
        <f t="shared" si="0"/>
        <v>0</v>
      </c>
      <c r="L40">
        <f t="shared" si="1"/>
        <v>0</v>
      </c>
    </row>
    <row r="41" spans="1:12" x14ac:dyDescent="0.25">
      <c r="A41">
        <v>1751</v>
      </c>
      <c r="B41" t="s">
        <v>83</v>
      </c>
      <c r="C41" t="s">
        <v>68</v>
      </c>
      <c r="D41" t="s">
        <v>33</v>
      </c>
      <c r="J41">
        <f t="shared" si="0"/>
        <v>0</v>
      </c>
      <c r="L41">
        <f t="shared" si="1"/>
        <v>0</v>
      </c>
    </row>
    <row r="42" spans="1:12" x14ac:dyDescent="0.25">
      <c r="A42">
        <v>1751</v>
      </c>
      <c r="B42" t="s">
        <v>47</v>
      </c>
      <c r="C42" t="s">
        <v>68</v>
      </c>
      <c r="D42" t="s">
        <v>33</v>
      </c>
      <c r="H42">
        <v>97.5</v>
      </c>
      <c r="I42" t="s">
        <v>121</v>
      </c>
      <c r="J42">
        <f t="shared" si="0"/>
        <v>97.5</v>
      </c>
      <c r="L42">
        <f t="shared" si="1"/>
        <v>4.3526785714285712E-2</v>
      </c>
    </row>
    <row r="43" spans="1:12" x14ac:dyDescent="0.25">
      <c r="A43">
        <v>1751</v>
      </c>
      <c r="B43" t="s">
        <v>16</v>
      </c>
      <c r="C43" t="s">
        <v>68</v>
      </c>
      <c r="D43" t="s">
        <v>33</v>
      </c>
      <c r="H43">
        <v>326170</v>
      </c>
      <c r="J43">
        <f t="shared" si="0"/>
        <v>326170</v>
      </c>
      <c r="L43">
        <f t="shared" si="1"/>
        <v>145.61160714285714</v>
      </c>
    </row>
    <row r="44" spans="1:12" x14ac:dyDescent="0.25">
      <c r="A44">
        <v>1751</v>
      </c>
      <c r="B44" t="s">
        <v>17</v>
      </c>
      <c r="C44" t="s">
        <v>68</v>
      </c>
      <c r="D44" t="s">
        <v>33</v>
      </c>
      <c r="F44">
        <v>105</v>
      </c>
      <c r="J44">
        <f t="shared" si="0"/>
        <v>11760</v>
      </c>
      <c r="L44">
        <f t="shared" si="1"/>
        <v>5.25</v>
      </c>
    </row>
    <row r="45" spans="1:12" x14ac:dyDescent="0.25">
      <c r="A45">
        <v>1751</v>
      </c>
      <c r="B45" t="s">
        <v>18</v>
      </c>
      <c r="C45" t="s">
        <v>68</v>
      </c>
      <c r="D45" t="s">
        <v>33</v>
      </c>
      <c r="H45">
        <v>5453165.5</v>
      </c>
      <c r="I45" t="s">
        <v>122</v>
      </c>
      <c r="J45">
        <f t="shared" si="0"/>
        <v>5453165.5</v>
      </c>
      <c r="L45">
        <f t="shared" si="1"/>
        <v>2434.4488839285714</v>
      </c>
    </row>
    <row r="46" spans="1:12" x14ac:dyDescent="0.25">
      <c r="A46">
        <v>1751</v>
      </c>
      <c r="B46" t="s">
        <v>26</v>
      </c>
      <c r="C46" t="s">
        <v>68</v>
      </c>
      <c r="D46" t="s">
        <v>33</v>
      </c>
      <c r="H46">
        <v>22161</v>
      </c>
      <c r="J46">
        <f t="shared" si="0"/>
        <v>22161</v>
      </c>
      <c r="L46">
        <f t="shared" si="1"/>
        <v>9.8933035714285715</v>
      </c>
    </row>
    <row r="47" spans="1:12" x14ac:dyDescent="0.25">
      <c r="A47">
        <v>1751</v>
      </c>
      <c r="B47" t="s">
        <v>84</v>
      </c>
      <c r="C47" t="s">
        <v>68</v>
      </c>
      <c r="D47" t="s">
        <v>33</v>
      </c>
      <c r="J47">
        <f t="shared" si="0"/>
        <v>0</v>
      </c>
      <c r="L47">
        <f t="shared" si="1"/>
        <v>0</v>
      </c>
    </row>
    <row r="48" spans="1:12" x14ac:dyDescent="0.25">
      <c r="A48">
        <v>1751</v>
      </c>
      <c r="B48" t="s">
        <v>19</v>
      </c>
      <c r="C48" t="s">
        <v>68</v>
      </c>
      <c r="D48" t="s">
        <v>33</v>
      </c>
      <c r="J48">
        <f t="shared" si="0"/>
        <v>0</v>
      </c>
      <c r="L48">
        <f t="shared" si="1"/>
        <v>0</v>
      </c>
    </row>
    <row r="49" spans="1:12" x14ac:dyDescent="0.25">
      <c r="A49">
        <v>1751</v>
      </c>
      <c r="B49" t="s">
        <v>45</v>
      </c>
      <c r="C49" t="s">
        <v>68</v>
      </c>
      <c r="D49" t="s">
        <v>33</v>
      </c>
      <c r="H49">
        <v>3940</v>
      </c>
      <c r="J49">
        <f t="shared" si="0"/>
        <v>3940</v>
      </c>
      <c r="L49">
        <f t="shared" si="1"/>
        <v>1.7589285714285714</v>
      </c>
    </row>
    <row r="50" spans="1:12" x14ac:dyDescent="0.25">
      <c r="A50">
        <v>1751</v>
      </c>
      <c r="B50" t="s">
        <v>85</v>
      </c>
      <c r="C50" t="s">
        <v>68</v>
      </c>
      <c r="D50" t="s">
        <v>33</v>
      </c>
      <c r="J50">
        <f t="shared" si="0"/>
        <v>0</v>
      </c>
      <c r="L50">
        <f t="shared" si="1"/>
        <v>0</v>
      </c>
    </row>
    <row r="51" spans="1:12" x14ac:dyDescent="0.25">
      <c r="A51">
        <v>1751</v>
      </c>
      <c r="B51" t="s">
        <v>54</v>
      </c>
      <c r="C51" t="s">
        <v>68</v>
      </c>
      <c r="D51" t="s">
        <v>33</v>
      </c>
      <c r="H51">
        <v>1912</v>
      </c>
      <c r="J51">
        <f t="shared" si="0"/>
        <v>1912</v>
      </c>
      <c r="L51">
        <f t="shared" si="1"/>
        <v>0.85357142857142854</v>
      </c>
    </row>
    <row r="52" spans="1:12" x14ac:dyDescent="0.25">
      <c r="A52">
        <v>1751</v>
      </c>
      <c r="B52" t="s">
        <v>95</v>
      </c>
      <c r="C52" t="s">
        <v>68</v>
      </c>
      <c r="D52" t="s">
        <v>33</v>
      </c>
      <c r="H52">
        <v>3857</v>
      </c>
      <c r="J52">
        <f t="shared" si="0"/>
        <v>3857</v>
      </c>
      <c r="L52">
        <f t="shared" si="1"/>
        <v>1.721875</v>
      </c>
    </row>
    <row r="53" spans="1:12" x14ac:dyDescent="0.25">
      <c r="A53">
        <v>1751</v>
      </c>
      <c r="B53" t="s">
        <v>20</v>
      </c>
      <c r="C53" t="s">
        <v>68</v>
      </c>
      <c r="D53" t="s">
        <v>33</v>
      </c>
      <c r="J53">
        <f t="shared" si="0"/>
        <v>0</v>
      </c>
      <c r="L53">
        <f t="shared" si="1"/>
        <v>0</v>
      </c>
    </row>
    <row r="54" spans="1:12" x14ac:dyDescent="0.25">
      <c r="A54">
        <v>1751</v>
      </c>
      <c r="B54" t="s">
        <v>21</v>
      </c>
      <c r="C54" t="s">
        <v>68</v>
      </c>
      <c r="D54" t="s">
        <v>33</v>
      </c>
      <c r="H54">
        <v>4192</v>
      </c>
      <c r="J54">
        <f t="shared" si="0"/>
        <v>4192</v>
      </c>
      <c r="L54">
        <f t="shared" si="1"/>
        <v>1.8714285714285714</v>
      </c>
    </row>
    <row r="55" spans="1:12" x14ac:dyDescent="0.25">
      <c r="A55">
        <v>1751</v>
      </c>
      <c r="B55" t="s">
        <v>90</v>
      </c>
      <c r="C55" t="s">
        <v>68</v>
      </c>
      <c r="D55" t="s">
        <v>33</v>
      </c>
      <c r="J55">
        <f t="shared" si="0"/>
        <v>0</v>
      </c>
      <c r="L55">
        <f t="shared" si="1"/>
        <v>0</v>
      </c>
    </row>
    <row r="56" spans="1:12" x14ac:dyDescent="0.25">
      <c r="A56">
        <v>1751</v>
      </c>
      <c r="B56" t="s">
        <v>22</v>
      </c>
      <c r="C56" t="s">
        <v>68</v>
      </c>
      <c r="D56" t="s">
        <v>33</v>
      </c>
      <c r="J56">
        <f t="shared" si="0"/>
        <v>0</v>
      </c>
      <c r="L56">
        <f t="shared" si="1"/>
        <v>0</v>
      </c>
    </row>
    <row r="57" spans="1:12" x14ac:dyDescent="0.25">
      <c r="A57">
        <v>1751</v>
      </c>
      <c r="B57" t="s">
        <v>61</v>
      </c>
      <c r="C57" t="s">
        <v>68</v>
      </c>
      <c r="D57" t="s">
        <v>33</v>
      </c>
      <c r="E57">
        <v>25</v>
      </c>
      <c r="F57">
        <v>10</v>
      </c>
      <c r="J57">
        <f t="shared" si="0"/>
        <v>57120</v>
      </c>
      <c r="L57">
        <f t="shared" si="1"/>
        <v>25.5</v>
      </c>
    </row>
    <row r="58" spans="1:12" x14ac:dyDescent="0.25">
      <c r="A58">
        <v>1751</v>
      </c>
      <c r="B58" t="s">
        <v>98</v>
      </c>
      <c r="C58" t="s">
        <v>68</v>
      </c>
      <c r="D58" t="s">
        <v>33</v>
      </c>
      <c r="J58">
        <f t="shared" si="0"/>
        <v>0</v>
      </c>
      <c r="L58">
        <f t="shared" si="1"/>
        <v>0</v>
      </c>
    </row>
    <row r="59" spans="1:12" x14ac:dyDescent="0.25">
      <c r="A59">
        <v>1751</v>
      </c>
      <c r="B59" t="s">
        <v>87</v>
      </c>
      <c r="C59" t="s">
        <v>68</v>
      </c>
      <c r="D59" t="s">
        <v>33</v>
      </c>
      <c r="E59">
        <v>78</v>
      </c>
      <c r="F59">
        <v>10</v>
      </c>
      <c r="J59">
        <f t="shared" si="0"/>
        <v>175840</v>
      </c>
      <c r="L59">
        <f t="shared" si="1"/>
        <v>78.5</v>
      </c>
    </row>
    <row r="60" spans="1:12" x14ac:dyDescent="0.25">
      <c r="A60">
        <v>1751</v>
      </c>
      <c r="B60" t="s">
        <v>62</v>
      </c>
      <c r="C60" t="s">
        <v>68</v>
      </c>
      <c r="D60" t="s">
        <v>33</v>
      </c>
      <c r="E60">
        <v>271</v>
      </c>
      <c r="F60">
        <v>14</v>
      </c>
      <c r="J60">
        <f t="shared" si="0"/>
        <v>608608</v>
      </c>
      <c r="L60">
        <f t="shared" si="1"/>
        <v>271.7</v>
      </c>
    </row>
    <row r="61" spans="1:12" x14ac:dyDescent="0.25">
      <c r="A61">
        <v>1751</v>
      </c>
      <c r="B61" t="s">
        <v>88</v>
      </c>
      <c r="C61" t="s">
        <v>68</v>
      </c>
      <c r="D61" t="s">
        <v>33</v>
      </c>
      <c r="J61">
        <f t="shared" si="0"/>
        <v>0</v>
      </c>
      <c r="L61">
        <f t="shared" si="1"/>
        <v>0</v>
      </c>
    </row>
    <row r="62" spans="1:12" x14ac:dyDescent="0.25">
      <c r="A62">
        <v>1751</v>
      </c>
      <c r="B62" t="s">
        <v>63</v>
      </c>
      <c r="C62" t="s">
        <v>68</v>
      </c>
      <c r="D62" t="s">
        <v>33</v>
      </c>
      <c r="E62">
        <v>3240</v>
      </c>
      <c r="F62">
        <v>8</v>
      </c>
      <c r="G62">
        <v>2</v>
      </c>
      <c r="H62">
        <v>5</v>
      </c>
      <c r="J62">
        <f t="shared" si="0"/>
        <v>7258557</v>
      </c>
      <c r="L62">
        <f t="shared" si="1"/>
        <v>3240.4272321428571</v>
      </c>
    </row>
    <row r="63" spans="1:12" x14ac:dyDescent="0.25">
      <c r="A63">
        <v>1751</v>
      </c>
      <c r="B63" t="s">
        <v>89</v>
      </c>
      <c r="C63" t="s">
        <v>68</v>
      </c>
      <c r="D63" t="s">
        <v>33</v>
      </c>
      <c r="E63">
        <v>1769</v>
      </c>
      <c r="F63">
        <v>11</v>
      </c>
      <c r="G63">
        <v>3</v>
      </c>
      <c r="H63">
        <v>12</v>
      </c>
      <c r="J63">
        <f t="shared" si="0"/>
        <v>3963888</v>
      </c>
      <c r="L63">
        <f t="shared" si="1"/>
        <v>1769.5928571428572</v>
      </c>
    </row>
    <row r="64" spans="1:12" x14ac:dyDescent="0.25">
      <c r="A64">
        <v>1751</v>
      </c>
      <c r="B64" t="s">
        <v>70</v>
      </c>
      <c r="C64" t="s">
        <v>68</v>
      </c>
      <c r="D64" t="s">
        <v>33</v>
      </c>
      <c r="E64">
        <v>168</v>
      </c>
      <c r="J64">
        <f t="shared" si="0"/>
        <v>376320</v>
      </c>
      <c r="L64">
        <f t="shared" si="1"/>
        <v>168</v>
      </c>
    </row>
    <row r="65" spans="1:12" x14ac:dyDescent="0.25">
      <c r="A65">
        <v>1751</v>
      </c>
      <c r="B65" t="s">
        <v>64</v>
      </c>
      <c r="C65" t="s">
        <v>68</v>
      </c>
      <c r="D65" t="s">
        <v>33</v>
      </c>
      <c r="E65">
        <v>8</v>
      </c>
      <c r="J65">
        <f t="shared" si="0"/>
        <v>17920</v>
      </c>
      <c r="L65">
        <f t="shared" si="1"/>
        <v>8</v>
      </c>
    </row>
    <row r="66" spans="1:12" x14ac:dyDescent="0.25">
      <c r="A66">
        <v>1751</v>
      </c>
      <c r="B66" t="s">
        <v>65</v>
      </c>
      <c r="C66" t="s">
        <v>68</v>
      </c>
      <c r="D66" t="s">
        <v>33</v>
      </c>
      <c r="J66">
        <f t="shared" si="0"/>
        <v>0</v>
      </c>
      <c r="L66">
        <f t="shared" si="1"/>
        <v>0</v>
      </c>
    </row>
    <row r="67" spans="1:12" x14ac:dyDescent="0.25">
      <c r="A67">
        <v>1751</v>
      </c>
      <c r="B67" t="s">
        <v>55</v>
      </c>
      <c r="C67" t="s">
        <v>68</v>
      </c>
      <c r="D67" t="s">
        <v>35</v>
      </c>
      <c r="J67">
        <f t="shared" si="0"/>
        <v>0</v>
      </c>
      <c r="L67">
        <f t="shared" si="1"/>
        <v>0</v>
      </c>
    </row>
    <row r="68" spans="1:12" x14ac:dyDescent="0.25">
      <c r="A68">
        <v>1751</v>
      </c>
      <c r="B68" t="s">
        <v>57</v>
      </c>
      <c r="C68" t="s">
        <v>68</v>
      </c>
      <c r="D68" t="s">
        <v>35</v>
      </c>
      <c r="J68">
        <f t="shared" si="0"/>
        <v>0</v>
      </c>
      <c r="L68">
        <f t="shared" si="1"/>
        <v>0</v>
      </c>
    </row>
    <row r="69" spans="1:12" x14ac:dyDescent="0.25">
      <c r="A69">
        <v>1751</v>
      </c>
      <c r="B69" t="s">
        <v>36</v>
      </c>
      <c r="C69" t="s">
        <v>68</v>
      </c>
      <c r="D69" t="s">
        <v>35</v>
      </c>
      <c r="J69">
        <f t="shared" si="0"/>
        <v>0</v>
      </c>
      <c r="L69">
        <f t="shared" si="1"/>
        <v>0</v>
      </c>
    </row>
    <row r="70" spans="1:12" x14ac:dyDescent="0.25">
      <c r="A70">
        <v>1751</v>
      </c>
      <c r="B70" t="s">
        <v>4</v>
      </c>
      <c r="C70" t="s">
        <v>68</v>
      </c>
      <c r="D70" t="s">
        <v>35</v>
      </c>
      <c r="J70">
        <f t="shared" ref="J70:J131" si="2">(E70*2240)+(F70*112)+(G70*28)+H70</f>
        <v>0</v>
      </c>
      <c r="L70">
        <f t="shared" ref="L70:L131" si="3">J70/2240</f>
        <v>0</v>
      </c>
    </row>
    <row r="71" spans="1:12" x14ac:dyDescent="0.25">
      <c r="A71">
        <v>1751</v>
      </c>
      <c r="B71" t="s">
        <v>58</v>
      </c>
      <c r="C71" t="s">
        <v>68</v>
      </c>
      <c r="D71" t="s">
        <v>35</v>
      </c>
      <c r="J71">
        <f t="shared" si="2"/>
        <v>0</v>
      </c>
      <c r="L71">
        <f t="shared" si="3"/>
        <v>0</v>
      </c>
    </row>
    <row r="72" spans="1:12" x14ac:dyDescent="0.25">
      <c r="A72">
        <v>1751</v>
      </c>
      <c r="B72" t="s">
        <v>69</v>
      </c>
      <c r="C72" t="s">
        <v>68</v>
      </c>
      <c r="D72" t="s">
        <v>35</v>
      </c>
      <c r="J72">
        <f t="shared" si="2"/>
        <v>0</v>
      </c>
      <c r="L72">
        <f t="shared" si="3"/>
        <v>0</v>
      </c>
    </row>
    <row r="73" spans="1:12" x14ac:dyDescent="0.25">
      <c r="A73">
        <v>1751</v>
      </c>
      <c r="B73" t="s">
        <v>101</v>
      </c>
      <c r="C73" t="s">
        <v>68</v>
      </c>
      <c r="D73" t="s">
        <v>35</v>
      </c>
      <c r="H73">
        <v>30</v>
      </c>
      <c r="J73">
        <f t="shared" si="2"/>
        <v>30</v>
      </c>
      <c r="L73">
        <f t="shared" si="3"/>
        <v>1.3392857142857142E-2</v>
      </c>
    </row>
    <row r="74" spans="1:12" x14ac:dyDescent="0.25">
      <c r="A74">
        <v>1751</v>
      </c>
      <c r="B74" t="s">
        <v>43</v>
      </c>
      <c r="C74" t="s">
        <v>68</v>
      </c>
      <c r="D74" t="s">
        <v>35</v>
      </c>
      <c r="J74">
        <f t="shared" si="2"/>
        <v>0</v>
      </c>
      <c r="L74">
        <f t="shared" si="3"/>
        <v>0</v>
      </c>
    </row>
    <row r="75" spans="1:12" x14ac:dyDescent="0.25">
      <c r="A75">
        <v>1751</v>
      </c>
      <c r="B75" t="s">
        <v>76</v>
      </c>
      <c r="C75" t="s">
        <v>68</v>
      </c>
      <c r="D75" t="s">
        <v>35</v>
      </c>
      <c r="J75">
        <f t="shared" si="2"/>
        <v>0</v>
      </c>
      <c r="L75">
        <f t="shared" si="3"/>
        <v>0</v>
      </c>
    </row>
    <row r="76" spans="1:12" x14ac:dyDescent="0.25">
      <c r="A76">
        <v>1751</v>
      </c>
      <c r="B76" t="s">
        <v>5</v>
      </c>
      <c r="C76" t="s">
        <v>68</v>
      </c>
      <c r="D76" t="s">
        <v>35</v>
      </c>
      <c r="F76">
        <v>4</v>
      </c>
      <c r="J76">
        <f t="shared" si="2"/>
        <v>448</v>
      </c>
      <c r="L76">
        <f t="shared" si="3"/>
        <v>0.2</v>
      </c>
    </row>
    <row r="77" spans="1:12" x14ac:dyDescent="0.25">
      <c r="A77">
        <v>1751</v>
      </c>
      <c r="B77" t="s">
        <v>59</v>
      </c>
      <c r="C77" t="s">
        <v>68</v>
      </c>
      <c r="D77" t="s">
        <v>35</v>
      </c>
      <c r="J77">
        <f t="shared" si="2"/>
        <v>0</v>
      </c>
      <c r="L77">
        <f t="shared" si="3"/>
        <v>0</v>
      </c>
    </row>
    <row r="78" spans="1:12" x14ac:dyDescent="0.25">
      <c r="A78">
        <v>1751</v>
      </c>
      <c r="B78" t="s">
        <v>6</v>
      </c>
      <c r="C78" t="s">
        <v>68</v>
      </c>
      <c r="D78" t="s">
        <v>35</v>
      </c>
      <c r="F78">
        <v>117661</v>
      </c>
      <c r="G78">
        <v>3</v>
      </c>
      <c r="J78">
        <f t="shared" si="2"/>
        <v>13178116</v>
      </c>
      <c r="L78">
        <f t="shared" si="3"/>
        <v>5883.0874999999996</v>
      </c>
    </row>
    <row r="79" spans="1:12" x14ac:dyDescent="0.25">
      <c r="A79">
        <v>1751</v>
      </c>
      <c r="B79" t="s">
        <v>60</v>
      </c>
      <c r="C79" t="s">
        <v>68</v>
      </c>
      <c r="D79" t="s">
        <v>35</v>
      </c>
      <c r="J79">
        <f t="shared" si="2"/>
        <v>0</v>
      </c>
      <c r="L79">
        <f t="shared" si="3"/>
        <v>0</v>
      </c>
    </row>
    <row r="80" spans="1:12" x14ac:dyDescent="0.25">
      <c r="A80">
        <v>1751</v>
      </c>
      <c r="B80" t="s">
        <v>38</v>
      </c>
      <c r="C80" t="s">
        <v>68</v>
      </c>
      <c r="D80" t="s">
        <v>35</v>
      </c>
      <c r="J80">
        <f t="shared" si="2"/>
        <v>0</v>
      </c>
      <c r="L80">
        <f t="shared" si="3"/>
        <v>0</v>
      </c>
    </row>
    <row r="81" spans="1:12" x14ac:dyDescent="0.25">
      <c r="A81">
        <v>1751</v>
      </c>
      <c r="B81" t="s">
        <v>37</v>
      </c>
      <c r="C81" t="s">
        <v>68</v>
      </c>
      <c r="D81" t="s">
        <v>35</v>
      </c>
      <c r="J81">
        <f t="shared" si="2"/>
        <v>0</v>
      </c>
      <c r="L81">
        <f t="shared" si="3"/>
        <v>0</v>
      </c>
    </row>
    <row r="82" spans="1:12" x14ac:dyDescent="0.25">
      <c r="A82">
        <v>1751</v>
      </c>
      <c r="B82" t="s">
        <v>8</v>
      </c>
      <c r="C82" t="s">
        <v>68</v>
      </c>
      <c r="D82" t="s">
        <v>35</v>
      </c>
      <c r="G82">
        <v>3</v>
      </c>
      <c r="H82">
        <v>9</v>
      </c>
      <c r="J82">
        <f t="shared" si="2"/>
        <v>93</v>
      </c>
      <c r="L82">
        <f t="shared" si="3"/>
        <v>4.1517857142857141E-2</v>
      </c>
    </row>
    <row r="83" spans="1:12" x14ac:dyDescent="0.25">
      <c r="A83">
        <v>1751</v>
      </c>
      <c r="B83" t="s">
        <v>40</v>
      </c>
      <c r="C83" t="s">
        <v>68</v>
      </c>
      <c r="D83" t="s">
        <v>35</v>
      </c>
      <c r="J83">
        <f t="shared" si="2"/>
        <v>0</v>
      </c>
      <c r="L83">
        <f t="shared" si="3"/>
        <v>0</v>
      </c>
    </row>
    <row r="84" spans="1:12" x14ac:dyDescent="0.25">
      <c r="A84">
        <v>1751</v>
      </c>
      <c r="B84" t="s">
        <v>77</v>
      </c>
      <c r="C84" t="s">
        <v>68</v>
      </c>
      <c r="D84" t="s">
        <v>35</v>
      </c>
      <c r="F84">
        <v>103</v>
      </c>
      <c r="G84">
        <v>2</v>
      </c>
      <c r="J84">
        <f t="shared" si="2"/>
        <v>11592</v>
      </c>
      <c r="L84">
        <f t="shared" si="3"/>
        <v>5.1749999999999998</v>
      </c>
    </row>
    <row r="85" spans="1:12" x14ac:dyDescent="0.25">
      <c r="A85">
        <v>1751</v>
      </c>
      <c r="B85" t="s">
        <v>78</v>
      </c>
      <c r="C85" t="s">
        <v>68</v>
      </c>
      <c r="D85" t="s">
        <v>35</v>
      </c>
      <c r="H85">
        <v>100</v>
      </c>
      <c r="J85">
        <f t="shared" si="2"/>
        <v>100</v>
      </c>
      <c r="L85">
        <f t="shared" si="3"/>
        <v>4.4642857142857144E-2</v>
      </c>
    </row>
    <row r="86" spans="1:12" x14ac:dyDescent="0.25">
      <c r="A86">
        <v>1751</v>
      </c>
      <c r="B86" t="s">
        <v>46</v>
      </c>
      <c r="C86" t="s">
        <v>68</v>
      </c>
      <c r="D86" t="s">
        <v>35</v>
      </c>
      <c r="J86">
        <f t="shared" si="2"/>
        <v>0</v>
      </c>
      <c r="L86">
        <f t="shared" si="3"/>
        <v>0</v>
      </c>
    </row>
    <row r="87" spans="1:12" x14ac:dyDescent="0.25">
      <c r="A87">
        <v>1751</v>
      </c>
      <c r="B87" t="s">
        <v>9</v>
      </c>
      <c r="C87" t="s">
        <v>68</v>
      </c>
      <c r="D87" t="s">
        <v>35</v>
      </c>
      <c r="H87">
        <f>1322.5*200</f>
        <v>264500</v>
      </c>
      <c r="I87" t="s">
        <v>146</v>
      </c>
      <c r="J87">
        <f t="shared" si="2"/>
        <v>264500</v>
      </c>
      <c r="L87">
        <f t="shared" si="3"/>
        <v>118.08035714285714</v>
      </c>
    </row>
    <row r="88" spans="1:12" x14ac:dyDescent="0.25">
      <c r="A88">
        <v>1751</v>
      </c>
      <c r="B88" t="s">
        <v>10</v>
      </c>
      <c r="C88" t="s">
        <v>68</v>
      </c>
      <c r="D88" t="s">
        <v>35</v>
      </c>
      <c r="F88">
        <v>6190</v>
      </c>
      <c r="H88">
        <v>7</v>
      </c>
      <c r="J88">
        <f t="shared" si="2"/>
        <v>693287</v>
      </c>
      <c r="L88">
        <f t="shared" si="3"/>
        <v>309.50312500000001</v>
      </c>
    </row>
    <row r="89" spans="1:12" x14ac:dyDescent="0.25">
      <c r="A89">
        <v>1751</v>
      </c>
      <c r="B89" t="s">
        <v>11</v>
      </c>
      <c r="C89" t="s">
        <v>68</v>
      </c>
      <c r="D89" t="s">
        <v>35</v>
      </c>
      <c r="F89">
        <v>157</v>
      </c>
      <c r="G89">
        <v>3</v>
      </c>
      <c r="J89">
        <f t="shared" si="2"/>
        <v>17668</v>
      </c>
      <c r="L89">
        <f t="shared" si="3"/>
        <v>7.8875000000000002</v>
      </c>
    </row>
    <row r="90" spans="1:12" x14ac:dyDescent="0.25">
      <c r="A90">
        <v>1751</v>
      </c>
      <c r="B90" t="s">
        <v>39</v>
      </c>
      <c r="C90" t="s">
        <v>68</v>
      </c>
      <c r="D90" t="s">
        <v>35</v>
      </c>
      <c r="J90">
        <f t="shared" si="2"/>
        <v>0</v>
      </c>
      <c r="L90">
        <f t="shared" si="3"/>
        <v>0</v>
      </c>
    </row>
    <row r="91" spans="1:12" x14ac:dyDescent="0.25">
      <c r="A91">
        <v>1751</v>
      </c>
      <c r="B91" t="s">
        <v>79</v>
      </c>
      <c r="C91" t="s">
        <v>68</v>
      </c>
      <c r="D91" t="s">
        <v>35</v>
      </c>
      <c r="H91">
        <v>841</v>
      </c>
      <c r="J91">
        <f t="shared" si="2"/>
        <v>841</v>
      </c>
      <c r="L91">
        <f t="shared" si="3"/>
        <v>0.37544642857142857</v>
      </c>
    </row>
    <row r="92" spans="1:12" x14ac:dyDescent="0.25">
      <c r="A92">
        <v>1751</v>
      </c>
      <c r="B92" t="s">
        <v>103</v>
      </c>
      <c r="C92" t="s">
        <v>68</v>
      </c>
      <c r="D92" t="s">
        <v>35</v>
      </c>
      <c r="H92">
        <v>28</v>
      </c>
      <c r="J92">
        <f t="shared" si="2"/>
        <v>28</v>
      </c>
      <c r="L92">
        <f t="shared" si="3"/>
        <v>1.2500000000000001E-2</v>
      </c>
    </row>
    <row r="93" spans="1:12" x14ac:dyDescent="0.25">
      <c r="A93">
        <v>1751</v>
      </c>
      <c r="B93" t="s">
        <v>44</v>
      </c>
      <c r="C93" t="s">
        <v>68</v>
      </c>
      <c r="D93" t="s">
        <v>35</v>
      </c>
      <c r="J93">
        <f t="shared" si="2"/>
        <v>0</v>
      </c>
      <c r="L93">
        <f t="shared" si="3"/>
        <v>0</v>
      </c>
    </row>
    <row r="94" spans="1:12" x14ac:dyDescent="0.25">
      <c r="A94">
        <v>1751</v>
      </c>
      <c r="B94" t="s">
        <v>97</v>
      </c>
      <c r="C94" t="s">
        <v>68</v>
      </c>
      <c r="D94" t="s">
        <v>35</v>
      </c>
      <c r="J94">
        <f t="shared" si="2"/>
        <v>0</v>
      </c>
      <c r="L94">
        <f t="shared" si="3"/>
        <v>0</v>
      </c>
    </row>
    <row r="95" spans="1:12" x14ac:dyDescent="0.25">
      <c r="A95">
        <v>1751</v>
      </c>
      <c r="B95" t="s">
        <v>12</v>
      </c>
      <c r="C95" t="s">
        <v>68</v>
      </c>
      <c r="D95" t="s">
        <v>35</v>
      </c>
      <c r="H95">
        <v>5580</v>
      </c>
      <c r="J95">
        <f t="shared" si="2"/>
        <v>5580</v>
      </c>
      <c r="L95">
        <f t="shared" si="3"/>
        <v>2.4910714285714284</v>
      </c>
    </row>
    <row r="96" spans="1:12" x14ac:dyDescent="0.25">
      <c r="A96">
        <v>1751</v>
      </c>
      <c r="B96" t="s">
        <v>82</v>
      </c>
      <c r="C96" t="s">
        <v>68</v>
      </c>
      <c r="D96" t="s">
        <v>35</v>
      </c>
      <c r="J96">
        <f t="shared" si="2"/>
        <v>0</v>
      </c>
      <c r="L96">
        <f t="shared" si="3"/>
        <v>0</v>
      </c>
    </row>
    <row r="97" spans="1:12" x14ac:dyDescent="0.25">
      <c r="A97">
        <v>1751</v>
      </c>
      <c r="B97" t="s">
        <v>34</v>
      </c>
      <c r="C97" t="s">
        <v>68</v>
      </c>
      <c r="D97" t="s">
        <v>35</v>
      </c>
      <c r="J97">
        <f t="shared" si="2"/>
        <v>0</v>
      </c>
      <c r="L97">
        <f t="shared" si="3"/>
        <v>0</v>
      </c>
    </row>
    <row r="98" spans="1:12" x14ac:dyDescent="0.25">
      <c r="A98">
        <v>1751</v>
      </c>
      <c r="B98" t="s">
        <v>13</v>
      </c>
      <c r="C98" t="s">
        <v>68</v>
      </c>
      <c r="D98" t="s">
        <v>35</v>
      </c>
      <c r="E98">
        <v>72</v>
      </c>
      <c r="F98">
        <v>5</v>
      </c>
      <c r="G98">
        <v>1</v>
      </c>
      <c r="H98">
        <v>8</v>
      </c>
      <c r="J98">
        <f t="shared" si="2"/>
        <v>161876</v>
      </c>
      <c r="L98">
        <f t="shared" si="3"/>
        <v>72.266071428571422</v>
      </c>
    </row>
    <row r="99" spans="1:12" x14ac:dyDescent="0.25">
      <c r="A99">
        <v>1751</v>
      </c>
      <c r="B99" t="s">
        <v>14</v>
      </c>
      <c r="C99" t="s">
        <v>68</v>
      </c>
      <c r="D99" t="s">
        <v>35</v>
      </c>
      <c r="J99">
        <f t="shared" si="2"/>
        <v>0</v>
      </c>
      <c r="L99">
        <f t="shared" si="3"/>
        <v>0</v>
      </c>
    </row>
    <row r="100" spans="1:12" x14ac:dyDescent="0.25">
      <c r="A100">
        <v>1751</v>
      </c>
      <c r="B100" t="s">
        <v>23</v>
      </c>
      <c r="C100" t="s">
        <v>68</v>
      </c>
      <c r="D100" t="s">
        <v>35</v>
      </c>
      <c r="J100">
        <f t="shared" si="2"/>
        <v>0</v>
      </c>
      <c r="L100">
        <f t="shared" si="3"/>
        <v>0</v>
      </c>
    </row>
    <row r="101" spans="1:12" x14ac:dyDescent="0.25">
      <c r="A101">
        <v>1751</v>
      </c>
      <c r="B101" t="s">
        <v>27</v>
      </c>
      <c r="C101" t="s">
        <v>68</v>
      </c>
      <c r="D101" t="s">
        <v>35</v>
      </c>
      <c r="H101">
        <v>18104.5</v>
      </c>
      <c r="I101" t="s">
        <v>145</v>
      </c>
      <c r="J101">
        <f t="shared" si="2"/>
        <v>18104.5</v>
      </c>
      <c r="L101">
        <f t="shared" si="3"/>
        <v>8.0823660714285719</v>
      </c>
    </row>
    <row r="102" spans="1:12" x14ac:dyDescent="0.25">
      <c r="A102">
        <v>1751</v>
      </c>
      <c r="B102" t="s">
        <v>15</v>
      </c>
      <c r="C102" t="s">
        <v>68</v>
      </c>
      <c r="D102" t="s">
        <v>35</v>
      </c>
      <c r="J102">
        <f t="shared" si="2"/>
        <v>0</v>
      </c>
      <c r="L102">
        <f t="shared" si="3"/>
        <v>0</v>
      </c>
    </row>
    <row r="103" spans="1:12" x14ac:dyDescent="0.25">
      <c r="A103">
        <v>1751</v>
      </c>
      <c r="B103" t="s">
        <v>93</v>
      </c>
      <c r="C103" t="s">
        <v>68</v>
      </c>
      <c r="D103" t="s">
        <v>35</v>
      </c>
      <c r="J103">
        <f t="shared" si="2"/>
        <v>0</v>
      </c>
      <c r="L103">
        <f t="shared" si="3"/>
        <v>0</v>
      </c>
    </row>
    <row r="104" spans="1:12" x14ac:dyDescent="0.25">
      <c r="A104">
        <v>1751</v>
      </c>
      <c r="B104" t="s">
        <v>42</v>
      </c>
      <c r="C104" t="s">
        <v>68</v>
      </c>
      <c r="D104" t="s">
        <v>35</v>
      </c>
      <c r="J104">
        <f t="shared" si="2"/>
        <v>0</v>
      </c>
      <c r="L104">
        <f t="shared" si="3"/>
        <v>0</v>
      </c>
    </row>
    <row r="105" spans="1:12" x14ac:dyDescent="0.25">
      <c r="A105">
        <v>1751</v>
      </c>
      <c r="B105" t="s">
        <v>83</v>
      </c>
      <c r="C105" t="s">
        <v>68</v>
      </c>
      <c r="D105" t="s">
        <v>35</v>
      </c>
      <c r="J105">
        <f t="shared" si="2"/>
        <v>0</v>
      </c>
      <c r="L105">
        <f t="shared" si="3"/>
        <v>0</v>
      </c>
    </row>
    <row r="106" spans="1:12" x14ac:dyDescent="0.25">
      <c r="A106">
        <v>1751</v>
      </c>
      <c r="B106" t="s">
        <v>47</v>
      </c>
      <c r="C106" t="s">
        <v>68</v>
      </c>
      <c r="D106" t="s">
        <v>35</v>
      </c>
      <c r="J106">
        <f t="shared" si="2"/>
        <v>0</v>
      </c>
      <c r="L106">
        <f t="shared" si="3"/>
        <v>0</v>
      </c>
    </row>
    <row r="107" spans="1:12" x14ac:dyDescent="0.25">
      <c r="A107">
        <v>1751</v>
      </c>
      <c r="B107" t="s">
        <v>16</v>
      </c>
      <c r="C107" t="s">
        <v>68</v>
      </c>
      <c r="D107" t="s">
        <v>35</v>
      </c>
      <c r="H107">
        <v>256136</v>
      </c>
      <c r="J107">
        <f t="shared" si="2"/>
        <v>256136</v>
      </c>
      <c r="L107">
        <f t="shared" si="3"/>
        <v>114.34642857142858</v>
      </c>
    </row>
    <row r="108" spans="1:12" x14ac:dyDescent="0.25">
      <c r="A108">
        <v>1751</v>
      </c>
      <c r="B108" t="s">
        <v>17</v>
      </c>
      <c r="C108" t="s">
        <v>68</v>
      </c>
      <c r="D108" t="s">
        <v>35</v>
      </c>
      <c r="J108">
        <f t="shared" si="2"/>
        <v>0</v>
      </c>
      <c r="L108">
        <f t="shared" si="3"/>
        <v>0</v>
      </c>
    </row>
    <row r="109" spans="1:12" x14ac:dyDescent="0.25">
      <c r="A109">
        <v>1751</v>
      </c>
      <c r="B109" t="s">
        <v>18</v>
      </c>
      <c r="C109" t="s">
        <v>68</v>
      </c>
      <c r="D109" t="s">
        <v>35</v>
      </c>
      <c r="H109">
        <v>912474.5</v>
      </c>
      <c r="I109" t="s">
        <v>144</v>
      </c>
      <c r="J109">
        <f t="shared" si="2"/>
        <v>912474.5</v>
      </c>
      <c r="L109">
        <f t="shared" si="3"/>
        <v>407.35468750000001</v>
      </c>
    </row>
    <row r="110" spans="1:12" x14ac:dyDescent="0.25">
      <c r="A110">
        <v>1751</v>
      </c>
      <c r="B110" t="s">
        <v>26</v>
      </c>
      <c r="C110" t="s">
        <v>68</v>
      </c>
      <c r="D110" t="s">
        <v>35</v>
      </c>
      <c r="J110">
        <f t="shared" si="2"/>
        <v>0</v>
      </c>
      <c r="L110">
        <f t="shared" si="3"/>
        <v>0</v>
      </c>
    </row>
    <row r="111" spans="1:12" x14ac:dyDescent="0.25">
      <c r="A111">
        <v>1751</v>
      </c>
      <c r="B111" t="s">
        <v>84</v>
      </c>
      <c r="C111" t="s">
        <v>68</v>
      </c>
      <c r="D111" t="s">
        <v>35</v>
      </c>
      <c r="J111">
        <f t="shared" si="2"/>
        <v>0</v>
      </c>
      <c r="L111">
        <f t="shared" si="3"/>
        <v>0</v>
      </c>
    </row>
    <row r="112" spans="1:12" x14ac:dyDescent="0.25">
      <c r="A112">
        <v>1751</v>
      </c>
      <c r="B112" t="s">
        <v>19</v>
      </c>
      <c r="C112" t="s">
        <v>68</v>
      </c>
      <c r="D112" t="s">
        <v>35</v>
      </c>
      <c r="F112">
        <v>66</v>
      </c>
      <c r="G112">
        <v>1</v>
      </c>
      <c r="H112">
        <v>4</v>
      </c>
      <c r="J112">
        <f t="shared" si="2"/>
        <v>7424</v>
      </c>
      <c r="L112">
        <f t="shared" si="3"/>
        <v>3.3142857142857145</v>
      </c>
    </row>
    <row r="113" spans="1:12" x14ac:dyDescent="0.25">
      <c r="A113">
        <v>1751</v>
      </c>
      <c r="B113" t="s">
        <v>45</v>
      </c>
      <c r="C113" t="s">
        <v>68</v>
      </c>
      <c r="D113" t="s">
        <v>35</v>
      </c>
      <c r="H113">
        <v>4</v>
      </c>
      <c r="J113">
        <f t="shared" si="2"/>
        <v>4</v>
      </c>
      <c r="L113">
        <f t="shared" si="3"/>
        <v>1.7857142857142857E-3</v>
      </c>
    </row>
    <row r="114" spans="1:12" x14ac:dyDescent="0.25">
      <c r="A114">
        <v>1751</v>
      </c>
      <c r="B114" t="s">
        <v>85</v>
      </c>
      <c r="C114" t="s">
        <v>68</v>
      </c>
      <c r="D114" t="s">
        <v>35</v>
      </c>
      <c r="J114">
        <f t="shared" si="2"/>
        <v>0</v>
      </c>
      <c r="L114">
        <f t="shared" si="3"/>
        <v>0</v>
      </c>
    </row>
    <row r="115" spans="1:12" x14ac:dyDescent="0.25">
      <c r="A115">
        <v>1751</v>
      </c>
      <c r="B115" t="s">
        <v>54</v>
      </c>
      <c r="C115" t="s">
        <v>68</v>
      </c>
      <c r="D115" t="s">
        <v>35</v>
      </c>
      <c r="H115">
        <v>264</v>
      </c>
      <c r="J115">
        <f t="shared" si="2"/>
        <v>264</v>
      </c>
      <c r="L115">
        <f t="shared" si="3"/>
        <v>0.11785714285714285</v>
      </c>
    </row>
    <row r="116" spans="1:12" x14ac:dyDescent="0.25">
      <c r="A116">
        <v>1751</v>
      </c>
      <c r="B116" t="s">
        <v>95</v>
      </c>
      <c r="C116" t="s">
        <v>68</v>
      </c>
      <c r="D116" t="s">
        <v>35</v>
      </c>
      <c r="H116">
        <v>618</v>
      </c>
      <c r="J116">
        <f t="shared" si="2"/>
        <v>618</v>
      </c>
      <c r="L116">
        <f t="shared" si="3"/>
        <v>0.27589285714285716</v>
      </c>
    </row>
    <row r="117" spans="1:12" x14ac:dyDescent="0.25">
      <c r="A117">
        <v>1751</v>
      </c>
      <c r="B117" t="s">
        <v>20</v>
      </c>
      <c r="C117" t="s">
        <v>68</v>
      </c>
      <c r="D117" t="s">
        <v>35</v>
      </c>
      <c r="J117">
        <f t="shared" si="2"/>
        <v>0</v>
      </c>
      <c r="L117">
        <f t="shared" si="3"/>
        <v>0</v>
      </c>
    </row>
    <row r="118" spans="1:12" x14ac:dyDescent="0.25">
      <c r="A118">
        <v>1751</v>
      </c>
      <c r="B118" t="s">
        <v>21</v>
      </c>
      <c r="C118" t="s">
        <v>68</v>
      </c>
      <c r="D118" t="s">
        <v>35</v>
      </c>
      <c r="H118">
        <v>1697</v>
      </c>
      <c r="J118">
        <f t="shared" si="2"/>
        <v>1697</v>
      </c>
      <c r="L118">
        <f t="shared" si="3"/>
        <v>0.75758928571428574</v>
      </c>
    </row>
    <row r="119" spans="1:12" x14ac:dyDescent="0.25">
      <c r="A119">
        <v>1751</v>
      </c>
      <c r="B119" t="s">
        <v>90</v>
      </c>
      <c r="C119" t="s">
        <v>68</v>
      </c>
      <c r="D119" t="s">
        <v>35</v>
      </c>
      <c r="J119">
        <f t="shared" si="2"/>
        <v>0</v>
      </c>
      <c r="L119">
        <f t="shared" si="3"/>
        <v>0</v>
      </c>
    </row>
    <row r="120" spans="1:12" x14ac:dyDescent="0.25">
      <c r="A120">
        <v>1751</v>
      </c>
      <c r="B120" t="s">
        <v>22</v>
      </c>
      <c r="C120" t="s">
        <v>68</v>
      </c>
      <c r="D120" t="s">
        <v>35</v>
      </c>
      <c r="J120">
        <f t="shared" si="2"/>
        <v>0</v>
      </c>
      <c r="L120">
        <f t="shared" si="3"/>
        <v>0</v>
      </c>
    </row>
    <row r="121" spans="1:12" x14ac:dyDescent="0.25">
      <c r="A121">
        <v>1751</v>
      </c>
      <c r="B121" t="s">
        <v>61</v>
      </c>
      <c r="C121" t="s">
        <v>68</v>
      </c>
      <c r="D121" t="s">
        <v>35</v>
      </c>
      <c r="J121">
        <f t="shared" si="2"/>
        <v>0</v>
      </c>
      <c r="L121">
        <f t="shared" si="3"/>
        <v>0</v>
      </c>
    </row>
    <row r="122" spans="1:12" x14ac:dyDescent="0.25">
      <c r="A122">
        <v>1751</v>
      </c>
      <c r="B122" t="s">
        <v>111</v>
      </c>
      <c r="C122" t="s">
        <v>68</v>
      </c>
      <c r="D122" t="s">
        <v>35</v>
      </c>
      <c r="F122">
        <v>4</v>
      </c>
      <c r="J122">
        <f t="shared" si="2"/>
        <v>448</v>
      </c>
      <c r="L122">
        <f t="shared" si="3"/>
        <v>0.2</v>
      </c>
    </row>
    <row r="123" spans="1:12" x14ac:dyDescent="0.25">
      <c r="A123">
        <v>1751</v>
      </c>
      <c r="B123" t="s">
        <v>98</v>
      </c>
      <c r="C123" t="s">
        <v>68</v>
      </c>
      <c r="D123" t="s">
        <v>35</v>
      </c>
      <c r="J123">
        <f t="shared" si="2"/>
        <v>0</v>
      </c>
      <c r="L123">
        <f t="shared" si="3"/>
        <v>0</v>
      </c>
    </row>
    <row r="124" spans="1:12" x14ac:dyDescent="0.25">
      <c r="A124">
        <v>1751</v>
      </c>
      <c r="B124" t="s">
        <v>87</v>
      </c>
      <c r="C124" t="s">
        <v>68</v>
      </c>
      <c r="D124" t="s">
        <v>35</v>
      </c>
      <c r="J124">
        <f t="shared" si="2"/>
        <v>0</v>
      </c>
      <c r="L124">
        <f t="shared" si="3"/>
        <v>0</v>
      </c>
    </row>
    <row r="125" spans="1:12" x14ac:dyDescent="0.25">
      <c r="A125">
        <v>1751</v>
      </c>
      <c r="B125" t="s">
        <v>62</v>
      </c>
      <c r="C125" t="s">
        <v>68</v>
      </c>
      <c r="D125" t="s">
        <v>35</v>
      </c>
      <c r="E125">
        <v>137</v>
      </c>
      <c r="F125">
        <v>17</v>
      </c>
      <c r="G125">
        <v>2</v>
      </c>
      <c r="J125">
        <f t="shared" si="2"/>
        <v>308840</v>
      </c>
      <c r="L125">
        <f t="shared" si="3"/>
        <v>137.875</v>
      </c>
    </row>
    <row r="126" spans="1:12" x14ac:dyDescent="0.25">
      <c r="A126">
        <v>1751</v>
      </c>
      <c r="B126" t="s">
        <v>88</v>
      </c>
      <c r="C126" t="s">
        <v>68</v>
      </c>
      <c r="D126" t="s">
        <v>35</v>
      </c>
      <c r="J126">
        <f t="shared" si="2"/>
        <v>0</v>
      </c>
      <c r="L126">
        <f t="shared" si="3"/>
        <v>0</v>
      </c>
    </row>
    <row r="127" spans="1:12" x14ac:dyDescent="0.25">
      <c r="A127">
        <v>1751</v>
      </c>
      <c r="B127" t="s">
        <v>63</v>
      </c>
      <c r="C127" t="s">
        <v>68</v>
      </c>
      <c r="D127" t="s">
        <v>35</v>
      </c>
      <c r="E127">
        <v>483</v>
      </c>
      <c r="F127">
        <v>6</v>
      </c>
      <c r="G127">
        <v>1</v>
      </c>
      <c r="H127">
        <v>18</v>
      </c>
      <c r="J127">
        <f t="shared" si="2"/>
        <v>1082638</v>
      </c>
      <c r="L127">
        <f t="shared" si="3"/>
        <v>483.32053571428571</v>
      </c>
    </row>
    <row r="128" spans="1:12" x14ac:dyDescent="0.25">
      <c r="A128">
        <v>1751</v>
      </c>
      <c r="B128" t="s">
        <v>89</v>
      </c>
      <c r="C128" t="s">
        <v>68</v>
      </c>
      <c r="D128" t="s">
        <v>35</v>
      </c>
      <c r="E128">
        <v>322</v>
      </c>
      <c r="F128">
        <v>13</v>
      </c>
      <c r="G128">
        <v>1</v>
      </c>
      <c r="H128">
        <v>16</v>
      </c>
      <c r="J128">
        <f t="shared" si="2"/>
        <v>722780</v>
      </c>
      <c r="L128">
        <f t="shared" si="3"/>
        <v>322.66964285714283</v>
      </c>
    </row>
    <row r="129" spans="1:12" x14ac:dyDescent="0.25">
      <c r="A129">
        <v>1751</v>
      </c>
      <c r="B129" t="s">
        <v>70</v>
      </c>
      <c r="C129" t="s">
        <v>68</v>
      </c>
      <c r="D129" t="s">
        <v>35</v>
      </c>
      <c r="E129">
        <v>47</v>
      </c>
      <c r="F129">
        <v>4</v>
      </c>
      <c r="G129">
        <v>3</v>
      </c>
      <c r="J129">
        <f t="shared" si="2"/>
        <v>105812</v>
      </c>
      <c r="L129">
        <f t="shared" si="3"/>
        <v>47.237499999999997</v>
      </c>
    </row>
    <row r="130" spans="1:12" x14ac:dyDescent="0.25">
      <c r="A130">
        <v>1751</v>
      </c>
      <c r="B130" t="s">
        <v>64</v>
      </c>
      <c r="C130" t="s">
        <v>68</v>
      </c>
      <c r="D130" t="s">
        <v>35</v>
      </c>
      <c r="E130">
        <v>1</v>
      </c>
      <c r="F130">
        <v>13</v>
      </c>
      <c r="G130">
        <v>3</v>
      </c>
      <c r="J130">
        <f t="shared" si="2"/>
        <v>3780</v>
      </c>
      <c r="L130">
        <f t="shared" si="3"/>
        <v>1.6875</v>
      </c>
    </row>
    <row r="131" spans="1:12" x14ac:dyDescent="0.25">
      <c r="A131">
        <v>1751</v>
      </c>
      <c r="B131" t="s">
        <v>65</v>
      </c>
      <c r="C131" t="s">
        <v>68</v>
      </c>
      <c r="D131" t="s">
        <v>35</v>
      </c>
      <c r="J131">
        <f t="shared" si="2"/>
        <v>0</v>
      </c>
      <c r="L131">
        <f t="shared" si="3"/>
        <v>0</v>
      </c>
    </row>
  </sheetData>
  <autoFilter ref="A1:O62" xr:uid="{8C2F7725-5A61-4A1B-A740-CC887BCB0E68}">
    <sortState xmlns:xlrd2="http://schemas.microsoft.com/office/spreadsheetml/2017/richdata2" ref="A2:O62">
      <sortCondition ref="B1:B62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13998-4536-4659-A938-5514675D65BA}">
  <dimension ref="A1:O126"/>
  <sheetViews>
    <sheetView topLeftCell="A50" workbookViewId="0">
      <selection activeCell="H84" sqref="H84"/>
    </sheetView>
  </sheetViews>
  <sheetFormatPr defaultRowHeight="15" x14ac:dyDescent="0.25"/>
  <cols>
    <col min="1" max="1" width="10.85546875" customWidth="1"/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5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  <c r="O1" s="1"/>
    </row>
    <row r="2" spans="1:15" x14ac:dyDescent="0.25">
      <c r="A2">
        <v>1751</v>
      </c>
      <c r="B2" t="s">
        <v>55</v>
      </c>
      <c r="C2" t="s">
        <v>72</v>
      </c>
      <c r="D2" t="s">
        <v>33</v>
      </c>
      <c r="J2">
        <f>(E2*2240)+(F2*112)+(G2*28)+H2</f>
        <v>0</v>
      </c>
      <c r="L2">
        <f>J2/2240</f>
        <v>0</v>
      </c>
    </row>
    <row r="3" spans="1:15" x14ac:dyDescent="0.25">
      <c r="A3">
        <v>1751</v>
      </c>
      <c r="B3" t="s">
        <v>57</v>
      </c>
      <c r="C3" t="s">
        <v>72</v>
      </c>
      <c r="D3" t="s">
        <v>33</v>
      </c>
      <c r="J3">
        <f t="shared" ref="J3:J66" si="0">(E3*2240)+(F3*112)+(G3*28)+H3</f>
        <v>0</v>
      </c>
      <c r="L3">
        <f t="shared" ref="L3:L66" si="1">J3/2240</f>
        <v>0</v>
      </c>
    </row>
    <row r="4" spans="1:15" x14ac:dyDescent="0.25">
      <c r="A4">
        <v>1751</v>
      </c>
      <c r="B4" t="s">
        <v>36</v>
      </c>
      <c r="C4" t="s">
        <v>72</v>
      </c>
      <c r="D4" t="s">
        <v>33</v>
      </c>
      <c r="J4">
        <f t="shared" si="0"/>
        <v>0</v>
      </c>
      <c r="L4">
        <f t="shared" si="1"/>
        <v>0</v>
      </c>
    </row>
    <row r="5" spans="1:15" x14ac:dyDescent="0.25">
      <c r="A5">
        <v>1751</v>
      </c>
      <c r="B5" t="s">
        <v>4</v>
      </c>
      <c r="C5" t="s">
        <v>72</v>
      </c>
      <c r="D5" t="s">
        <v>33</v>
      </c>
      <c r="J5">
        <f t="shared" si="0"/>
        <v>0</v>
      </c>
      <c r="L5">
        <f t="shared" si="1"/>
        <v>0</v>
      </c>
    </row>
    <row r="6" spans="1:15" x14ac:dyDescent="0.25">
      <c r="A6">
        <v>1751</v>
      </c>
      <c r="B6" t="s">
        <v>58</v>
      </c>
      <c r="C6" t="s">
        <v>72</v>
      </c>
      <c r="D6" t="s">
        <v>33</v>
      </c>
      <c r="J6">
        <f t="shared" si="0"/>
        <v>0</v>
      </c>
      <c r="L6">
        <f t="shared" si="1"/>
        <v>0</v>
      </c>
    </row>
    <row r="7" spans="1:15" x14ac:dyDescent="0.25">
      <c r="A7">
        <v>1751</v>
      </c>
      <c r="B7" t="s">
        <v>69</v>
      </c>
      <c r="C7" t="s">
        <v>72</v>
      </c>
      <c r="D7" t="s">
        <v>33</v>
      </c>
      <c r="J7">
        <f t="shared" si="0"/>
        <v>0</v>
      </c>
      <c r="L7">
        <f t="shared" si="1"/>
        <v>0</v>
      </c>
    </row>
    <row r="8" spans="1:15" x14ac:dyDescent="0.25">
      <c r="A8">
        <v>1751</v>
      </c>
      <c r="B8" t="s">
        <v>43</v>
      </c>
      <c r="C8" t="s">
        <v>72</v>
      </c>
      <c r="D8" t="s">
        <v>33</v>
      </c>
      <c r="J8">
        <f t="shared" si="0"/>
        <v>0</v>
      </c>
      <c r="L8">
        <f t="shared" si="1"/>
        <v>0</v>
      </c>
    </row>
    <row r="9" spans="1:15" x14ac:dyDescent="0.25">
      <c r="A9">
        <v>1751</v>
      </c>
      <c r="B9" t="s">
        <v>76</v>
      </c>
      <c r="C9" t="s">
        <v>72</v>
      </c>
      <c r="D9" t="s">
        <v>33</v>
      </c>
      <c r="J9">
        <f t="shared" si="0"/>
        <v>0</v>
      </c>
      <c r="L9">
        <f t="shared" si="1"/>
        <v>0</v>
      </c>
    </row>
    <row r="10" spans="1:15" x14ac:dyDescent="0.25">
      <c r="A10">
        <v>1751</v>
      </c>
      <c r="B10" t="s">
        <v>5</v>
      </c>
      <c r="C10" t="s">
        <v>72</v>
      </c>
      <c r="D10" t="s">
        <v>33</v>
      </c>
      <c r="J10">
        <f t="shared" si="0"/>
        <v>0</v>
      </c>
      <c r="L10">
        <f t="shared" si="1"/>
        <v>0</v>
      </c>
    </row>
    <row r="11" spans="1:15" x14ac:dyDescent="0.25">
      <c r="A11">
        <v>1751</v>
      </c>
      <c r="B11" t="s">
        <v>59</v>
      </c>
      <c r="C11" t="s">
        <v>72</v>
      </c>
      <c r="D11" t="s">
        <v>33</v>
      </c>
      <c r="J11">
        <f t="shared" si="0"/>
        <v>0</v>
      </c>
      <c r="L11">
        <f t="shared" si="1"/>
        <v>0</v>
      </c>
    </row>
    <row r="12" spans="1:15" x14ac:dyDescent="0.25">
      <c r="A12">
        <v>1751</v>
      </c>
      <c r="B12" t="s">
        <v>6</v>
      </c>
      <c r="C12" t="s">
        <v>72</v>
      </c>
      <c r="D12" t="s">
        <v>33</v>
      </c>
      <c r="F12">
        <v>31254</v>
      </c>
      <c r="G12">
        <v>3</v>
      </c>
      <c r="H12">
        <v>22</v>
      </c>
      <c r="J12">
        <f t="shared" si="0"/>
        <v>3500554</v>
      </c>
      <c r="L12">
        <f t="shared" si="1"/>
        <v>1562.7473214285715</v>
      </c>
    </row>
    <row r="13" spans="1:15" x14ac:dyDescent="0.25">
      <c r="A13">
        <v>1751</v>
      </c>
      <c r="B13" t="s">
        <v>96</v>
      </c>
      <c r="C13" t="s">
        <v>72</v>
      </c>
      <c r="D13" t="s">
        <v>33</v>
      </c>
      <c r="J13">
        <f t="shared" si="0"/>
        <v>0</v>
      </c>
      <c r="L13">
        <f t="shared" si="1"/>
        <v>0</v>
      </c>
    </row>
    <row r="14" spans="1:15" x14ac:dyDescent="0.25">
      <c r="A14">
        <v>1751</v>
      </c>
      <c r="B14" t="s">
        <v>60</v>
      </c>
      <c r="C14" t="s">
        <v>72</v>
      </c>
      <c r="D14" t="s">
        <v>33</v>
      </c>
      <c r="J14">
        <f t="shared" si="0"/>
        <v>0</v>
      </c>
      <c r="L14">
        <f t="shared" si="1"/>
        <v>0</v>
      </c>
    </row>
    <row r="15" spans="1:15" x14ac:dyDescent="0.25">
      <c r="A15">
        <v>1751</v>
      </c>
      <c r="B15" t="s">
        <v>7</v>
      </c>
      <c r="C15" t="s">
        <v>72</v>
      </c>
      <c r="D15" t="s">
        <v>33</v>
      </c>
      <c r="J15">
        <f t="shared" si="0"/>
        <v>0</v>
      </c>
      <c r="L15">
        <f t="shared" si="1"/>
        <v>0</v>
      </c>
    </row>
    <row r="16" spans="1:15" x14ac:dyDescent="0.25">
      <c r="A16">
        <v>1751</v>
      </c>
      <c r="B16" t="s">
        <v>37</v>
      </c>
      <c r="C16" t="s">
        <v>72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1751</v>
      </c>
      <c r="B17" t="s">
        <v>8</v>
      </c>
      <c r="C17" t="s">
        <v>72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1751</v>
      </c>
      <c r="B18" t="s">
        <v>40</v>
      </c>
      <c r="C18" t="s">
        <v>72</v>
      </c>
      <c r="D18" t="s">
        <v>33</v>
      </c>
      <c r="J18">
        <f t="shared" si="0"/>
        <v>0</v>
      </c>
      <c r="L18">
        <f t="shared" si="1"/>
        <v>0</v>
      </c>
    </row>
    <row r="19" spans="1:12" x14ac:dyDescent="0.25">
      <c r="A19">
        <v>1751</v>
      </c>
      <c r="B19" t="s">
        <v>77</v>
      </c>
      <c r="C19" t="s">
        <v>72</v>
      </c>
      <c r="D19" t="s">
        <v>33</v>
      </c>
      <c r="J19">
        <f t="shared" si="0"/>
        <v>0</v>
      </c>
      <c r="L19">
        <f t="shared" si="1"/>
        <v>0</v>
      </c>
    </row>
    <row r="20" spans="1:12" x14ac:dyDescent="0.25">
      <c r="A20">
        <v>1751</v>
      </c>
      <c r="B20" t="s">
        <v>78</v>
      </c>
      <c r="C20" t="s">
        <v>72</v>
      </c>
      <c r="D20" t="s">
        <v>33</v>
      </c>
      <c r="J20">
        <f t="shared" si="0"/>
        <v>0</v>
      </c>
      <c r="L20">
        <f t="shared" si="1"/>
        <v>0</v>
      </c>
    </row>
    <row r="21" spans="1:12" x14ac:dyDescent="0.25">
      <c r="A21">
        <v>1751</v>
      </c>
      <c r="B21" t="s">
        <v>46</v>
      </c>
      <c r="C21" t="s">
        <v>72</v>
      </c>
      <c r="D21" t="s">
        <v>33</v>
      </c>
      <c r="J21">
        <f t="shared" si="0"/>
        <v>0</v>
      </c>
      <c r="L21">
        <f t="shared" si="1"/>
        <v>0</v>
      </c>
    </row>
    <row r="22" spans="1:12" x14ac:dyDescent="0.25">
      <c r="A22">
        <v>1751</v>
      </c>
      <c r="B22" t="s">
        <v>9</v>
      </c>
      <c r="C22" t="s">
        <v>72</v>
      </c>
      <c r="D22" t="s">
        <v>33</v>
      </c>
      <c r="H22">
        <f>138.25*200</f>
        <v>27650</v>
      </c>
      <c r="I22" t="s">
        <v>128</v>
      </c>
      <c r="J22">
        <f t="shared" si="0"/>
        <v>27650</v>
      </c>
      <c r="L22">
        <f t="shared" si="1"/>
        <v>12.34375</v>
      </c>
    </row>
    <row r="23" spans="1:12" x14ac:dyDescent="0.25">
      <c r="A23">
        <v>1751</v>
      </c>
      <c r="B23" t="s">
        <v>10</v>
      </c>
      <c r="C23" t="s">
        <v>72</v>
      </c>
      <c r="D23" t="s">
        <v>33</v>
      </c>
      <c r="J23">
        <f t="shared" si="0"/>
        <v>0</v>
      </c>
      <c r="L23">
        <f t="shared" si="1"/>
        <v>0</v>
      </c>
    </row>
    <row r="24" spans="1:12" x14ac:dyDescent="0.25">
      <c r="A24">
        <v>1751</v>
      </c>
      <c r="B24" t="s">
        <v>11</v>
      </c>
      <c r="C24" t="s">
        <v>72</v>
      </c>
      <c r="D24" t="s">
        <v>33</v>
      </c>
      <c r="F24">
        <v>12</v>
      </c>
      <c r="G24">
        <v>3</v>
      </c>
      <c r="H24">
        <v>4</v>
      </c>
      <c r="J24">
        <f t="shared" si="0"/>
        <v>1432</v>
      </c>
      <c r="L24">
        <f t="shared" si="1"/>
        <v>0.63928571428571423</v>
      </c>
    </row>
    <row r="25" spans="1:12" x14ac:dyDescent="0.25">
      <c r="A25">
        <v>1751</v>
      </c>
      <c r="B25" t="s">
        <v>39</v>
      </c>
      <c r="C25" t="s">
        <v>72</v>
      </c>
      <c r="D25" t="s">
        <v>33</v>
      </c>
      <c r="H25">
        <v>7</v>
      </c>
      <c r="J25">
        <f t="shared" si="0"/>
        <v>7</v>
      </c>
      <c r="L25">
        <f t="shared" si="1"/>
        <v>3.1250000000000002E-3</v>
      </c>
    </row>
    <row r="26" spans="1:12" x14ac:dyDescent="0.25">
      <c r="A26">
        <v>1751</v>
      </c>
      <c r="B26" t="s">
        <v>79</v>
      </c>
      <c r="C26" t="s">
        <v>72</v>
      </c>
      <c r="D26" t="s">
        <v>33</v>
      </c>
      <c r="J26">
        <f t="shared" si="0"/>
        <v>0</v>
      </c>
      <c r="L26">
        <f t="shared" si="1"/>
        <v>0</v>
      </c>
    </row>
    <row r="27" spans="1:12" x14ac:dyDescent="0.25">
      <c r="A27">
        <v>1751</v>
      </c>
      <c r="B27" t="s">
        <v>103</v>
      </c>
      <c r="C27" t="s">
        <v>72</v>
      </c>
      <c r="D27" t="s">
        <v>33</v>
      </c>
      <c r="J27">
        <f t="shared" si="0"/>
        <v>0</v>
      </c>
      <c r="L27">
        <f t="shared" si="1"/>
        <v>0</v>
      </c>
    </row>
    <row r="28" spans="1:12" x14ac:dyDescent="0.25">
      <c r="A28">
        <v>1751</v>
      </c>
      <c r="B28" t="s">
        <v>44</v>
      </c>
      <c r="C28" t="s">
        <v>72</v>
      </c>
      <c r="D28" t="s">
        <v>33</v>
      </c>
      <c r="J28">
        <f t="shared" si="0"/>
        <v>0</v>
      </c>
      <c r="L28">
        <f t="shared" si="1"/>
        <v>0</v>
      </c>
    </row>
    <row r="29" spans="1:12" x14ac:dyDescent="0.25">
      <c r="A29">
        <v>1751</v>
      </c>
      <c r="B29" t="s">
        <v>97</v>
      </c>
      <c r="C29" t="s">
        <v>72</v>
      </c>
      <c r="D29" t="s">
        <v>33</v>
      </c>
      <c r="J29">
        <f t="shared" si="0"/>
        <v>0</v>
      </c>
      <c r="L29">
        <f t="shared" si="1"/>
        <v>0</v>
      </c>
    </row>
    <row r="30" spans="1:12" x14ac:dyDescent="0.25">
      <c r="A30">
        <v>1751</v>
      </c>
      <c r="B30" t="s">
        <v>12</v>
      </c>
      <c r="C30" t="s">
        <v>72</v>
      </c>
      <c r="D30" t="s">
        <v>33</v>
      </c>
      <c r="H30">
        <v>1553</v>
      </c>
      <c r="J30">
        <f t="shared" si="0"/>
        <v>1553</v>
      </c>
      <c r="L30">
        <f t="shared" si="1"/>
        <v>0.69330357142857146</v>
      </c>
    </row>
    <row r="31" spans="1:12" x14ac:dyDescent="0.25">
      <c r="A31">
        <v>1751</v>
      </c>
      <c r="B31" t="s">
        <v>82</v>
      </c>
      <c r="C31" t="s">
        <v>72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25">
      <c r="A32">
        <v>1751</v>
      </c>
      <c r="B32" t="s">
        <v>34</v>
      </c>
      <c r="C32" t="s">
        <v>72</v>
      </c>
      <c r="D32" t="s">
        <v>33</v>
      </c>
      <c r="J32">
        <f t="shared" si="0"/>
        <v>0</v>
      </c>
      <c r="L32">
        <f t="shared" si="1"/>
        <v>0</v>
      </c>
    </row>
    <row r="33" spans="1:12" x14ac:dyDescent="0.25">
      <c r="A33">
        <v>1751</v>
      </c>
      <c r="B33" t="s">
        <v>13</v>
      </c>
      <c r="C33" t="s">
        <v>72</v>
      </c>
      <c r="D33" t="s">
        <v>33</v>
      </c>
      <c r="E33">
        <v>20</v>
      </c>
      <c r="J33">
        <f t="shared" si="0"/>
        <v>44800</v>
      </c>
      <c r="L33">
        <f t="shared" si="1"/>
        <v>20</v>
      </c>
    </row>
    <row r="34" spans="1:12" x14ac:dyDescent="0.25">
      <c r="A34">
        <v>1751</v>
      </c>
      <c r="B34" t="s">
        <v>14</v>
      </c>
      <c r="C34" t="s">
        <v>72</v>
      </c>
      <c r="D34" t="s">
        <v>33</v>
      </c>
      <c r="H34">
        <v>40</v>
      </c>
      <c r="I34" t="s">
        <v>125</v>
      </c>
      <c r="J34">
        <f t="shared" si="0"/>
        <v>40</v>
      </c>
      <c r="L34">
        <f t="shared" si="1"/>
        <v>1.7857142857142856E-2</v>
      </c>
    </row>
    <row r="35" spans="1:12" x14ac:dyDescent="0.25">
      <c r="A35">
        <v>1751</v>
      </c>
      <c r="B35" t="s">
        <v>23</v>
      </c>
      <c r="C35" t="s">
        <v>72</v>
      </c>
      <c r="D35" t="s">
        <v>33</v>
      </c>
      <c r="J35">
        <f t="shared" si="0"/>
        <v>0</v>
      </c>
      <c r="L35">
        <f t="shared" si="1"/>
        <v>0</v>
      </c>
    </row>
    <row r="36" spans="1:12" x14ac:dyDescent="0.25">
      <c r="A36">
        <v>1751</v>
      </c>
      <c r="B36" t="s">
        <v>27</v>
      </c>
      <c r="C36" t="s">
        <v>72</v>
      </c>
      <c r="D36" t="s">
        <v>33</v>
      </c>
      <c r="H36">
        <v>131834</v>
      </c>
      <c r="I36" t="s">
        <v>127</v>
      </c>
      <c r="J36">
        <f t="shared" si="0"/>
        <v>131834</v>
      </c>
      <c r="L36">
        <f t="shared" si="1"/>
        <v>58.854464285714286</v>
      </c>
    </row>
    <row r="37" spans="1:12" x14ac:dyDescent="0.25">
      <c r="A37">
        <v>1751</v>
      </c>
      <c r="B37" t="s">
        <v>15</v>
      </c>
      <c r="C37" t="s">
        <v>72</v>
      </c>
      <c r="D37" t="s">
        <v>33</v>
      </c>
      <c r="J37">
        <f t="shared" si="0"/>
        <v>0</v>
      </c>
      <c r="L37">
        <f t="shared" si="1"/>
        <v>0</v>
      </c>
    </row>
    <row r="38" spans="1:12" x14ac:dyDescent="0.25">
      <c r="A38">
        <v>1751</v>
      </c>
      <c r="B38" t="s">
        <v>42</v>
      </c>
      <c r="C38" t="s">
        <v>72</v>
      </c>
      <c r="D38" t="s">
        <v>33</v>
      </c>
      <c r="J38">
        <f t="shared" si="0"/>
        <v>0</v>
      </c>
      <c r="L38">
        <f t="shared" si="1"/>
        <v>0</v>
      </c>
    </row>
    <row r="39" spans="1:12" x14ac:dyDescent="0.25">
      <c r="A39">
        <v>1751</v>
      </c>
      <c r="B39" t="s">
        <v>83</v>
      </c>
      <c r="C39" t="s">
        <v>72</v>
      </c>
      <c r="D39" t="s">
        <v>33</v>
      </c>
      <c r="J39">
        <f t="shared" si="0"/>
        <v>0</v>
      </c>
      <c r="L39">
        <f t="shared" si="1"/>
        <v>0</v>
      </c>
    </row>
    <row r="40" spans="1:12" x14ac:dyDescent="0.25">
      <c r="A40">
        <v>1751</v>
      </c>
      <c r="B40" t="s">
        <v>47</v>
      </c>
      <c r="C40" t="s">
        <v>72</v>
      </c>
      <c r="D40" t="s">
        <v>33</v>
      </c>
      <c r="H40">
        <v>40</v>
      </c>
      <c r="I40" t="s">
        <v>125</v>
      </c>
      <c r="J40">
        <f t="shared" si="0"/>
        <v>40</v>
      </c>
      <c r="L40">
        <f t="shared" si="1"/>
        <v>1.7857142857142856E-2</v>
      </c>
    </row>
    <row r="41" spans="1:12" x14ac:dyDescent="0.25">
      <c r="A41">
        <v>1751</v>
      </c>
      <c r="B41" t="s">
        <v>16</v>
      </c>
      <c r="C41" t="s">
        <v>72</v>
      </c>
      <c r="D41" t="s">
        <v>33</v>
      </c>
      <c r="J41">
        <f t="shared" si="0"/>
        <v>0</v>
      </c>
      <c r="L41">
        <f t="shared" si="1"/>
        <v>0</v>
      </c>
    </row>
    <row r="42" spans="1:12" x14ac:dyDescent="0.25">
      <c r="A42">
        <v>1751</v>
      </c>
      <c r="B42" t="s">
        <v>17</v>
      </c>
      <c r="C42" t="s">
        <v>72</v>
      </c>
      <c r="D42" t="s">
        <v>33</v>
      </c>
      <c r="J42">
        <f t="shared" si="0"/>
        <v>0</v>
      </c>
      <c r="L42">
        <f t="shared" si="1"/>
        <v>0</v>
      </c>
    </row>
    <row r="43" spans="1:12" x14ac:dyDescent="0.25">
      <c r="A43">
        <v>1751</v>
      </c>
      <c r="B43" t="s">
        <v>18</v>
      </c>
      <c r="C43" t="s">
        <v>72</v>
      </c>
      <c r="D43" t="s">
        <v>33</v>
      </c>
      <c r="H43">
        <v>29477.5</v>
      </c>
      <c r="I43" t="s">
        <v>126</v>
      </c>
      <c r="J43">
        <f t="shared" si="0"/>
        <v>29477.5</v>
      </c>
      <c r="L43">
        <f t="shared" si="1"/>
        <v>13.159598214285714</v>
      </c>
    </row>
    <row r="44" spans="1:12" x14ac:dyDescent="0.25">
      <c r="A44">
        <v>1751</v>
      </c>
      <c r="B44" t="s">
        <v>26</v>
      </c>
      <c r="C44" t="s">
        <v>72</v>
      </c>
      <c r="D44" t="s">
        <v>33</v>
      </c>
      <c r="J44">
        <f t="shared" si="0"/>
        <v>0</v>
      </c>
      <c r="L44">
        <f t="shared" si="1"/>
        <v>0</v>
      </c>
    </row>
    <row r="45" spans="1:12" x14ac:dyDescent="0.25">
      <c r="A45">
        <v>1751</v>
      </c>
      <c r="B45" t="s">
        <v>84</v>
      </c>
      <c r="C45" t="s">
        <v>72</v>
      </c>
      <c r="D45" t="s">
        <v>33</v>
      </c>
      <c r="J45">
        <f t="shared" si="0"/>
        <v>0</v>
      </c>
      <c r="L45">
        <f t="shared" si="1"/>
        <v>0</v>
      </c>
    </row>
    <row r="46" spans="1:12" x14ac:dyDescent="0.25">
      <c r="A46">
        <v>1751</v>
      </c>
      <c r="B46" t="s">
        <v>19</v>
      </c>
      <c r="C46" t="s">
        <v>72</v>
      </c>
      <c r="D46" t="s">
        <v>33</v>
      </c>
      <c r="J46">
        <f t="shared" si="0"/>
        <v>0</v>
      </c>
      <c r="L46">
        <f t="shared" si="1"/>
        <v>0</v>
      </c>
    </row>
    <row r="47" spans="1:12" x14ac:dyDescent="0.25">
      <c r="A47">
        <v>1751</v>
      </c>
      <c r="B47" t="s">
        <v>45</v>
      </c>
      <c r="C47" t="s">
        <v>72</v>
      </c>
      <c r="D47" t="s">
        <v>33</v>
      </c>
      <c r="J47">
        <f t="shared" si="0"/>
        <v>0</v>
      </c>
      <c r="L47">
        <f t="shared" si="1"/>
        <v>0</v>
      </c>
    </row>
    <row r="48" spans="1:12" x14ac:dyDescent="0.25">
      <c r="A48">
        <v>1751</v>
      </c>
      <c r="B48" t="s">
        <v>85</v>
      </c>
      <c r="C48" t="s">
        <v>72</v>
      </c>
      <c r="D48" t="s">
        <v>33</v>
      </c>
      <c r="J48">
        <f t="shared" si="0"/>
        <v>0</v>
      </c>
      <c r="L48">
        <f t="shared" si="1"/>
        <v>0</v>
      </c>
    </row>
    <row r="49" spans="1:12" x14ac:dyDescent="0.25">
      <c r="A49">
        <v>1751</v>
      </c>
      <c r="B49" t="s">
        <v>54</v>
      </c>
      <c r="C49" t="s">
        <v>72</v>
      </c>
      <c r="D49" t="s">
        <v>33</v>
      </c>
      <c r="H49">
        <v>250</v>
      </c>
      <c r="J49">
        <f t="shared" si="0"/>
        <v>250</v>
      </c>
      <c r="L49">
        <f t="shared" si="1"/>
        <v>0.11160714285714286</v>
      </c>
    </row>
    <row r="50" spans="1:12" x14ac:dyDescent="0.25">
      <c r="A50">
        <v>1751</v>
      </c>
      <c r="B50" t="s">
        <v>95</v>
      </c>
      <c r="C50" t="s">
        <v>72</v>
      </c>
      <c r="D50" t="s">
        <v>33</v>
      </c>
      <c r="H50">
        <v>113</v>
      </c>
      <c r="J50">
        <f t="shared" si="0"/>
        <v>113</v>
      </c>
      <c r="L50">
        <f t="shared" si="1"/>
        <v>5.0446428571428573E-2</v>
      </c>
    </row>
    <row r="51" spans="1:12" x14ac:dyDescent="0.25">
      <c r="A51">
        <v>1751</v>
      </c>
      <c r="B51" t="s">
        <v>20</v>
      </c>
      <c r="C51" t="s">
        <v>72</v>
      </c>
      <c r="D51" t="s">
        <v>33</v>
      </c>
      <c r="J51">
        <f t="shared" si="0"/>
        <v>0</v>
      </c>
      <c r="L51">
        <f t="shared" si="1"/>
        <v>0</v>
      </c>
    </row>
    <row r="52" spans="1:12" x14ac:dyDescent="0.25">
      <c r="A52">
        <v>1751</v>
      </c>
      <c r="B52" t="s">
        <v>21</v>
      </c>
      <c r="C52" t="s">
        <v>72</v>
      </c>
      <c r="D52" t="s">
        <v>33</v>
      </c>
      <c r="J52">
        <f t="shared" si="0"/>
        <v>0</v>
      </c>
      <c r="L52">
        <f t="shared" si="1"/>
        <v>0</v>
      </c>
    </row>
    <row r="53" spans="1:12" x14ac:dyDescent="0.25">
      <c r="A53">
        <v>1751</v>
      </c>
      <c r="B53" t="s">
        <v>22</v>
      </c>
      <c r="C53" t="s">
        <v>72</v>
      </c>
      <c r="D53" t="s">
        <v>33</v>
      </c>
      <c r="J53">
        <f t="shared" si="0"/>
        <v>0</v>
      </c>
      <c r="L53">
        <f t="shared" si="1"/>
        <v>0</v>
      </c>
    </row>
    <row r="54" spans="1:12" x14ac:dyDescent="0.25">
      <c r="A54">
        <v>1751</v>
      </c>
      <c r="B54" t="s">
        <v>61</v>
      </c>
      <c r="C54" t="s">
        <v>72</v>
      </c>
      <c r="D54" t="s">
        <v>33</v>
      </c>
      <c r="J54">
        <f t="shared" si="0"/>
        <v>0</v>
      </c>
      <c r="L54">
        <f t="shared" si="1"/>
        <v>0</v>
      </c>
    </row>
    <row r="55" spans="1:12" x14ac:dyDescent="0.25">
      <c r="A55">
        <v>1751</v>
      </c>
      <c r="B55" t="s">
        <v>99</v>
      </c>
      <c r="C55" t="s">
        <v>72</v>
      </c>
      <c r="D55" t="s">
        <v>33</v>
      </c>
      <c r="J55">
        <f t="shared" si="0"/>
        <v>0</v>
      </c>
      <c r="L55">
        <f t="shared" si="1"/>
        <v>0</v>
      </c>
    </row>
    <row r="56" spans="1:12" x14ac:dyDescent="0.25">
      <c r="A56">
        <v>1751</v>
      </c>
      <c r="B56" t="s">
        <v>87</v>
      </c>
      <c r="C56" t="s">
        <v>72</v>
      </c>
      <c r="D56" t="s">
        <v>33</v>
      </c>
      <c r="J56">
        <f t="shared" si="0"/>
        <v>0</v>
      </c>
      <c r="L56">
        <f t="shared" si="1"/>
        <v>0</v>
      </c>
    </row>
    <row r="57" spans="1:12" x14ac:dyDescent="0.25">
      <c r="A57">
        <v>1751</v>
      </c>
      <c r="B57" t="s">
        <v>62</v>
      </c>
      <c r="C57" t="s">
        <v>72</v>
      </c>
      <c r="D57" t="s">
        <v>33</v>
      </c>
      <c r="J57">
        <f t="shared" si="0"/>
        <v>0</v>
      </c>
      <c r="L57">
        <f t="shared" si="1"/>
        <v>0</v>
      </c>
    </row>
    <row r="58" spans="1:12" x14ac:dyDescent="0.25">
      <c r="A58">
        <v>1751</v>
      </c>
      <c r="B58" t="s">
        <v>88</v>
      </c>
      <c r="C58" t="s">
        <v>72</v>
      </c>
      <c r="D58" t="s">
        <v>33</v>
      </c>
      <c r="J58">
        <f t="shared" si="0"/>
        <v>0</v>
      </c>
      <c r="L58">
        <f t="shared" si="1"/>
        <v>0</v>
      </c>
    </row>
    <row r="59" spans="1:12" x14ac:dyDescent="0.25">
      <c r="A59">
        <v>1751</v>
      </c>
      <c r="B59" t="s">
        <v>63</v>
      </c>
      <c r="C59" t="s">
        <v>72</v>
      </c>
      <c r="D59" t="s">
        <v>33</v>
      </c>
      <c r="J59">
        <f t="shared" si="0"/>
        <v>0</v>
      </c>
      <c r="L59">
        <f t="shared" si="1"/>
        <v>0</v>
      </c>
    </row>
    <row r="60" spans="1:12" x14ac:dyDescent="0.25">
      <c r="A60">
        <v>1751</v>
      </c>
      <c r="B60" t="s">
        <v>89</v>
      </c>
      <c r="C60" t="s">
        <v>72</v>
      </c>
      <c r="D60" t="s">
        <v>33</v>
      </c>
      <c r="J60">
        <f t="shared" si="0"/>
        <v>0</v>
      </c>
      <c r="L60">
        <f t="shared" si="1"/>
        <v>0</v>
      </c>
    </row>
    <row r="61" spans="1:12" x14ac:dyDescent="0.25">
      <c r="A61">
        <v>1751</v>
      </c>
      <c r="B61" t="s">
        <v>70</v>
      </c>
      <c r="C61" t="s">
        <v>72</v>
      </c>
      <c r="D61" t="s">
        <v>33</v>
      </c>
      <c r="J61">
        <f t="shared" si="0"/>
        <v>0</v>
      </c>
      <c r="L61">
        <f t="shared" si="1"/>
        <v>0</v>
      </c>
    </row>
    <row r="62" spans="1:12" x14ac:dyDescent="0.25">
      <c r="A62">
        <v>1751</v>
      </c>
      <c r="B62" t="s">
        <v>64</v>
      </c>
      <c r="C62" t="s">
        <v>72</v>
      </c>
      <c r="D62" t="s">
        <v>33</v>
      </c>
      <c r="J62">
        <f t="shared" si="0"/>
        <v>0</v>
      </c>
      <c r="L62">
        <f t="shared" si="1"/>
        <v>0</v>
      </c>
    </row>
    <row r="63" spans="1:12" x14ac:dyDescent="0.25">
      <c r="A63">
        <v>1751</v>
      </c>
      <c r="B63" t="s">
        <v>65</v>
      </c>
      <c r="C63" t="s">
        <v>72</v>
      </c>
      <c r="D63" t="s">
        <v>33</v>
      </c>
      <c r="J63">
        <f t="shared" si="0"/>
        <v>0</v>
      </c>
      <c r="L63">
        <f t="shared" si="1"/>
        <v>0</v>
      </c>
    </row>
    <row r="64" spans="1:12" x14ac:dyDescent="0.25">
      <c r="A64">
        <v>1751</v>
      </c>
      <c r="B64" t="s">
        <v>55</v>
      </c>
      <c r="C64" t="s">
        <v>72</v>
      </c>
      <c r="D64" t="s">
        <v>35</v>
      </c>
      <c r="J64">
        <f t="shared" si="0"/>
        <v>0</v>
      </c>
      <c r="L64">
        <f t="shared" si="1"/>
        <v>0</v>
      </c>
    </row>
    <row r="65" spans="1:12" x14ac:dyDescent="0.25">
      <c r="A65">
        <v>1751</v>
      </c>
      <c r="B65" t="s">
        <v>57</v>
      </c>
      <c r="C65" t="s">
        <v>72</v>
      </c>
      <c r="D65" t="s">
        <v>35</v>
      </c>
      <c r="J65">
        <f t="shared" si="0"/>
        <v>0</v>
      </c>
      <c r="L65">
        <f t="shared" si="1"/>
        <v>0</v>
      </c>
    </row>
    <row r="66" spans="1:12" x14ac:dyDescent="0.25">
      <c r="A66">
        <v>1751</v>
      </c>
      <c r="B66" t="s">
        <v>36</v>
      </c>
      <c r="C66" t="s">
        <v>72</v>
      </c>
      <c r="D66" t="s">
        <v>35</v>
      </c>
      <c r="J66">
        <f t="shared" si="0"/>
        <v>0</v>
      </c>
      <c r="L66">
        <f t="shared" si="1"/>
        <v>0</v>
      </c>
    </row>
    <row r="67" spans="1:12" x14ac:dyDescent="0.25">
      <c r="A67">
        <v>1751</v>
      </c>
      <c r="B67" t="s">
        <v>4</v>
      </c>
      <c r="C67" t="s">
        <v>72</v>
      </c>
      <c r="D67" t="s">
        <v>35</v>
      </c>
      <c r="J67">
        <f t="shared" ref="J67:J126" si="2">(E67*2240)+(F67*112)+(G67*28)+H67</f>
        <v>0</v>
      </c>
      <c r="L67">
        <f t="shared" ref="L67:L126" si="3">J67/2240</f>
        <v>0</v>
      </c>
    </row>
    <row r="68" spans="1:12" x14ac:dyDescent="0.25">
      <c r="A68">
        <v>1751</v>
      </c>
      <c r="B68" t="s">
        <v>58</v>
      </c>
      <c r="C68" t="s">
        <v>72</v>
      </c>
      <c r="D68" t="s">
        <v>35</v>
      </c>
      <c r="J68">
        <f t="shared" si="2"/>
        <v>0</v>
      </c>
      <c r="L68">
        <f t="shared" si="3"/>
        <v>0</v>
      </c>
    </row>
    <row r="69" spans="1:12" x14ac:dyDescent="0.25">
      <c r="A69">
        <v>1751</v>
      </c>
      <c r="B69" t="s">
        <v>69</v>
      </c>
      <c r="C69" t="s">
        <v>72</v>
      </c>
      <c r="D69" t="s">
        <v>35</v>
      </c>
      <c r="J69">
        <f t="shared" si="2"/>
        <v>0</v>
      </c>
      <c r="L69">
        <f t="shared" si="3"/>
        <v>0</v>
      </c>
    </row>
    <row r="70" spans="1:12" x14ac:dyDescent="0.25">
      <c r="A70">
        <v>1751</v>
      </c>
      <c r="B70" t="s">
        <v>43</v>
      </c>
      <c r="C70" t="s">
        <v>72</v>
      </c>
      <c r="D70" t="s">
        <v>35</v>
      </c>
      <c r="J70">
        <f t="shared" si="2"/>
        <v>0</v>
      </c>
      <c r="L70">
        <f t="shared" si="3"/>
        <v>0</v>
      </c>
    </row>
    <row r="71" spans="1:12" x14ac:dyDescent="0.25">
      <c r="A71">
        <v>1751</v>
      </c>
      <c r="B71" t="s">
        <v>76</v>
      </c>
      <c r="C71" t="s">
        <v>72</v>
      </c>
      <c r="D71" t="s">
        <v>35</v>
      </c>
      <c r="J71">
        <f t="shared" si="2"/>
        <v>0</v>
      </c>
      <c r="L71">
        <f t="shared" si="3"/>
        <v>0</v>
      </c>
    </row>
    <row r="72" spans="1:12" x14ac:dyDescent="0.25">
      <c r="A72">
        <v>1751</v>
      </c>
      <c r="B72" t="s">
        <v>5</v>
      </c>
      <c r="C72" t="s">
        <v>72</v>
      </c>
      <c r="D72" t="s">
        <v>35</v>
      </c>
      <c r="J72">
        <f t="shared" si="2"/>
        <v>0</v>
      </c>
      <c r="L72">
        <f t="shared" si="3"/>
        <v>0</v>
      </c>
    </row>
    <row r="73" spans="1:12" x14ac:dyDescent="0.25">
      <c r="A73">
        <v>1751</v>
      </c>
      <c r="B73" t="s">
        <v>59</v>
      </c>
      <c r="C73" t="s">
        <v>72</v>
      </c>
      <c r="D73" t="s">
        <v>35</v>
      </c>
      <c r="J73">
        <f t="shared" si="2"/>
        <v>0</v>
      </c>
      <c r="L73">
        <f t="shared" si="3"/>
        <v>0</v>
      </c>
    </row>
    <row r="74" spans="1:12" x14ac:dyDescent="0.25">
      <c r="A74">
        <v>1751</v>
      </c>
      <c r="B74" t="s">
        <v>6</v>
      </c>
      <c r="C74" t="s">
        <v>72</v>
      </c>
      <c r="D74" t="s">
        <v>35</v>
      </c>
      <c r="F74">
        <v>5411</v>
      </c>
      <c r="H74">
        <v>2</v>
      </c>
      <c r="J74">
        <f t="shared" si="2"/>
        <v>606034</v>
      </c>
      <c r="L74">
        <f t="shared" si="3"/>
        <v>270.55089285714286</v>
      </c>
    </row>
    <row r="75" spans="1:12" x14ac:dyDescent="0.25">
      <c r="A75">
        <v>1751</v>
      </c>
      <c r="B75" t="s">
        <v>60</v>
      </c>
      <c r="C75" t="s">
        <v>72</v>
      </c>
      <c r="D75" t="s">
        <v>35</v>
      </c>
      <c r="J75">
        <f t="shared" si="2"/>
        <v>0</v>
      </c>
      <c r="L75">
        <f t="shared" si="3"/>
        <v>0</v>
      </c>
    </row>
    <row r="76" spans="1:12" x14ac:dyDescent="0.25">
      <c r="A76">
        <v>1751</v>
      </c>
      <c r="B76" t="s">
        <v>7</v>
      </c>
      <c r="C76" t="s">
        <v>72</v>
      </c>
      <c r="D76" t="s">
        <v>35</v>
      </c>
      <c r="J76">
        <f t="shared" si="2"/>
        <v>0</v>
      </c>
      <c r="L76">
        <f t="shared" si="3"/>
        <v>0</v>
      </c>
    </row>
    <row r="77" spans="1:12" x14ac:dyDescent="0.25">
      <c r="A77">
        <v>1751</v>
      </c>
      <c r="B77" t="s">
        <v>37</v>
      </c>
      <c r="C77" t="s">
        <v>72</v>
      </c>
      <c r="D77" t="s">
        <v>35</v>
      </c>
      <c r="J77">
        <f t="shared" si="2"/>
        <v>0</v>
      </c>
      <c r="L77">
        <f t="shared" si="3"/>
        <v>0</v>
      </c>
    </row>
    <row r="78" spans="1:12" x14ac:dyDescent="0.25">
      <c r="A78">
        <v>1751</v>
      </c>
      <c r="B78" t="s">
        <v>8</v>
      </c>
      <c r="C78" t="s">
        <v>72</v>
      </c>
      <c r="D78" t="s">
        <v>35</v>
      </c>
      <c r="J78">
        <f t="shared" si="2"/>
        <v>0</v>
      </c>
      <c r="L78">
        <f t="shared" si="3"/>
        <v>0</v>
      </c>
    </row>
    <row r="79" spans="1:12" x14ac:dyDescent="0.25">
      <c r="A79">
        <v>1751</v>
      </c>
      <c r="B79" t="s">
        <v>40</v>
      </c>
      <c r="C79" t="s">
        <v>72</v>
      </c>
      <c r="D79" t="s">
        <v>35</v>
      </c>
      <c r="J79">
        <f t="shared" si="2"/>
        <v>0</v>
      </c>
      <c r="L79">
        <f t="shared" si="3"/>
        <v>0</v>
      </c>
    </row>
    <row r="80" spans="1:12" x14ac:dyDescent="0.25">
      <c r="A80">
        <v>1751</v>
      </c>
      <c r="B80" t="s">
        <v>77</v>
      </c>
      <c r="C80" t="s">
        <v>72</v>
      </c>
      <c r="D80" t="s">
        <v>35</v>
      </c>
      <c r="J80">
        <f t="shared" si="2"/>
        <v>0</v>
      </c>
      <c r="L80">
        <f t="shared" si="3"/>
        <v>0</v>
      </c>
    </row>
    <row r="81" spans="1:12" x14ac:dyDescent="0.25">
      <c r="A81">
        <v>1751</v>
      </c>
      <c r="B81" t="s">
        <v>78</v>
      </c>
      <c r="C81" t="s">
        <v>72</v>
      </c>
      <c r="D81" t="s">
        <v>35</v>
      </c>
      <c r="J81">
        <f t="shared" si="2"/>
        <v>0</v>
      </c>
      <c r="L81">
        <f t="shared" si="3"/>
        <v>0</v>
      </c>
    </row>
    <row r="82" spans="1:12" x14ac:dyDescent="0.25">
      <c r="A82">
        <v>1751</v>
      </c>
      <c r="B82" t="s">
        <v>46</v>
      </c>
      <c r="C82" t="s">
        <v>72</v>
      </c>
      <c r="D82" t="s">
        <v>35</v>
      </c>
      <c r="J82">
        <f t="shared" si="2"/>
        <v>0</v>
      </c>
      <c r="L82">
        <f t="shared" si="3"/>
        <v>0</v>
      </c>
    </row>
    <row r="83" spans="1:12" x14ac:dyDescent="0.25">
      <c r="A83">
        <v>1751</v>
      </c>
      <c r="B83" t="s">
        <v>9</v>
      </c>
      <c r="C83" t="s">
        <v>72</v>
      </c>
      <c r="D83" t="s">
        <v>35</v>
      </c>
      <c r="H83">
        <f>173*200</f>
        <v>34600</v>
      </c>
      <c r="I83" t="s">
        <v>148</v>
      </c>
      <c r="J83">
        <f t="shared" si="2"/>
        <v>34600</v>
      </c>
      <c r="L83">
        <f t="shared" si="3"/>
        <v>15.446428571428571</v>
      </c>
    </row>
    <row r="84" spans="1:12" x14ac:dyDescent="0.25">
      <c r="A84">
        <v>1751</v>
      </c>
      <c r="B84" t="s">
        <v>10</v>
      </c>
      <c r="C84" t="s">
        <v>72</v>
      </c>
      <c r="D84" t="s">
        <v>35</v>
      </c>
      <c r="J84">
        <f t="shared" si="2"/>
        <v>0</v>
      </c>
      <c r="L84">
        <f t="shared" si="3"/>
        <v>0</v>
      </c>
    </row>
    <row r="85" spans="1:12" x14ac:dyDescent="0.25">
      <c r="A85">
        <v>1751</v>
      </c>
      <c r="B85" t="s">
        <v>11</v>
      </c>
      <c r="C85" t="s">
        <v>72</v>
      </c>
      <c r="D85" t="s">
        <v>35</v>
      </c>
      <c r="J85">
        <f t="shared" si="2"/>
        <v>0</v>
      </c>
      <c r="L85">
        <f t="shared" si="3"/>
        <v>0</v>
      </c>
    </row>
    <row r="86" spans="1:12" x14ac:dyDescent="0.25">
      <c r="A86">
        <v>1751</v>
      </c>
      <c r="B86" t="s">
        <v>39</v>
      </c>
      <c r="C86" t="s">
        <v>72</v>
      </c>
      <c r="D86" t="s">
        <v>35</v>
      </c>
      <c r="J86">
        <f t="shared" si="2"/>
        <v>0</v>
      </c>
      <c r="L86">
        <f t="shared" si="3"/>
        <v>0</v>
      </c>
    </row>
    <row r="87" spans="1:12" x14ac:dyDescent="0.25">
      <c r="A87">
        <v>1751</v>
      </c>
      <c r="B87" t="s">
        <v>79</v>
      </c>
      <c r="C87" t="s">
        <v>72</v>
      </c>
      <c r="D87" t="s">
        <v>35</v>
      </c>
      <c r="J87">
        <f t="shared" si="2"/>
        <v>0</v>
      </c>
      <c r="L87">
        <f t="shared" si="3"/>
        <v>0</v>
      </c>
    </row>
    <row r="88" spans="1:12" x14ac:dyDescent="0.25">
      <c r="A88">
        <v>1751</v>
      </c>
      <c r="B88" t="s">
        <v>103</v>
      </c>
      <c r="C88" t="s">
        <v>72</v>
      </c>
      <c r="D88" t="s">
        <v>35</v>
      </c>
      <c r="J88">
        <f t="shared" si="2"/>
        <v>0</v>
      </c>
      <c r="L88">
        <f t="shared" si="3"/>
        <v>0</v>
      </c>
    </row>
    <row r="89" spans="1:12" x14ac:dyDescent="0.25">
      <c r="A89">
        <v>1751</v>
      </c>
      <c r="B89" t="s">
        <v>44</v>
      </c>
      <c r="C89" t="s">
        <v>72</v>
      </c>
      <c r="D89" t="s">
        <v>35</v>
      </c>
      <c r="J89">
        <f t="shared" si="2"/>
        <v>0</v>
      </c>
      <c r="L89">
        <f t="shared" si="3"/>
        <v>0</v>
      </c>
    </row>
    <row r="90" spans="1:12" x14ac:dyDescent="0.25">
      <c r="A90">
        <v>1751</v>
      </c>
      <c r="B90" t="s">
        <v>97</v>
      </c>
      <c r="C90" t="s">
        <v>72</v>
      </c>
      <c r="D90" t="s">
        <v>35</v>
      </c>
      <c r="J90">
        <f t="shared" si="2"/>
        <v>0</v>
      </c>
      <c r="L90">
        <f t="shared" si="3"/>
        <v>0</v>
      </c>
    </row>
    <row r="91" spans="1:12" x14ac:dyDescent="0.25">
      <c r="A91">
        <v>1751</v>
      </c>
      <c r="B91" t="s">
        <v>12</v>
      </c>
      <c r="C91" t="s">
        <v>72</v>
      </c>
      <c r="D91" t="s">
        <v>35</v>
      </c>
      <c r="J91">
        <f t="shared" si="2"/>
        <v>0</v>
      </c>
      <c r="L91">
        <f t="shared" si="3"/>
        <v>0</v>
      </c>
    </row>
    <row r="92" spans="1:12" x14ac:dyDescent="0.25">
      <c r="A92">
        <v>1751</v>
      </c>
      <c r="B92" t="s">
        <v>82</v>
      </c>
      <c r="C92" t="s">
        <v>72</v>
      </c>
      <c r="D92" t="s">
        <v>35</v>
      </c>
      <c r="J92">
        <f t="shared" si="2"/>
        <v>0</v>
      </c>
      <c r="L92">
        <f t="shared" si="3"/>
        <v>0</v>
      </c>
    </row>
    <row r="93" spans="1:12" x14ac:dyDescent="0.25">
      <c r="A93">
        <v>1751</v>
      </c>
      <c r="B93" t="s">
        <v>34</v>
      </c>
      <c r="C93" t="s">
        <v>72</v>
      </c>
      <c r="D93" t="s">
        <v>35</v>
      </c>
      <c r="J93">
        <f t="shared" si="2"/>
        <v>0</v>
      </c>
      <c r="L93">
        <f t="shared" si="3"/>
        <v>0</v>
      </c>
    </row>
    <row r="94" spans="1:12" x14ac:dyDescent="0.25">
      <c r="A94">
        <v>1751</v>
      </c>
      <c r="B94" t="s">
        <v>13</v>
      </c>
      <c r="C94" t="s">
        <v>72</v>
      </c>
      <c r="D94" t="s">
        <v>35</v>
      </c>
      <c r="J94">
        <f t="shared" si="2"/>
        <v>0</v>
      </c>
      <c r="L94">
        <f t="shared" si="3"/>
        <v>0</v>
      </c>
    </row>
    <row r="95" spans="1:12" x14ac:dyDescent="0.25">
      <c r="A95">
        <v>1751</v>
      </c>
      <c r="B95" t="s">
        <v>14</v>
      </c>
      <c r="C95" t="s">
        <v>72</v>
      </c>
      <c r="D95" t="s">
        <v>35</v>
      </c>
      <c r="J95">
        <f t="shared" si="2"/>
        <v>0</v>
      </c>
      <c r="L95">
        <f t="shared" si="3"/>
        <v>0</v>
      </c>
    </row>
    <row r="96" spans="1:12" x14ac:dyDescent="0.25">
      <c r="A96">
        <v>1751</v>
      </c>
      <c r="B96" t="s">
        <v>23</v>
      </c>
      <c r="C96" t="s">
        <v>72</v>
      </c>
      <c r="D96" t="s">
        <v>35</v>
      </c>
      <c r="J96">
        <f t="shared" si="2"/>
        <v>0</v>
      </c>
      <c r="L96">
        <f t="shared" si="3"/>
        <v>0</v>
      </c>
    </row>
    <row r="97" spans="1:12" x14ac:dyDescent="0.25">
      <c r="A97">
        <v>1751</v>
      </c>
      <c r="B97" t="s">
        <v>27</v>
      </c>
      <c r="C97" t="s">
        <v>72</v>
      </c>
      <c r="D97" t="s">
        <v>35</v>
      </c>
      <c r="J97">
        <f t="shared" si="2"/>
        <v>0</v>
      </c>
      <c r="L97">
        <f t="shared" si="3"/>
        <v>0</v>
      </c>
    </row>
    <row r="98" spans="1:12" x14ac:dyDescent="0.25">
      <c r="A98">
        <v>1751</v>
      </c>
      <c r="B98" t="s">
        <v>15</v>
      </c>
      <c r="C98" t="s">
        <v>72</v>
      </c>
      <c r="D98" t="s">
        <v>35</v>
      </c>
      <c r="J98">
        <f t="shared" si="2"/>
        <v>0</v>
      </c>
      <c r="L98">
        <f t="shared" si="3"/>
        <v>0</v>
      </c>
    </row>
    <row r="99" spans="1:12" x14ac:dyDescent="0.25">
      <c r="A99">
        <v>1751</v>
      </c>
      <c r="B99" t="s">
        <v>93</v>
      </c>
      <c r="C99" t="s">
        <v>72</v>
      </c>
      <c r="D99" t="s">
        <v>35</v>
      </c>
      <c r="J99">
        <f t="shared" si="2"/>
        <v>0</v>
      </c>
      <c r="L99">
        <f t="shared" si="3"/>
        <v>0</v>
      </c>
    </row>
    <row r="100" spans="1:12" x14ac:dyDescent="0.25">
      <c r="A100">
        <v>1751</v>
      </c>
      <c r="B100" t="s">
        <v>42</v>
      </c>
      <c r="C100" t="s">
        <v>72</v>
      </c>
      <c r="D100" t="s">
        <v>35</v>
      </c>
      <c r="J100">
        <f t="shared" si="2"/>
        <v>0</v>
      </c>
      <c r="L100">
        <f t="shared" si="3"/>
        <v>0</v>
      </c>
    </row>
    <row r="101" spans="1:12" x14ac:dyDescent="0.25">
      <c r="A101">
        <v>1751</v>
      </c>
      <c r="B101" t="s">
        <v>83</v>
      </c>
      <c r="C101" t="s">
        <v>72</v>
      </c>
      <c r="D101" t="s">
        <v>35</v>
      </c>
      <c r="J101">
        <f t="shared" si="2"/>
        <v>0</v>
      </c>
      <c r="L101">
        <f t="shared" si="3"/>
        <v>0</v>
      </c>
    </row>
    <row r="102" spans="1:12" x14ac:dyDescent="0.25">
      <c r="A102">
        <v>1751</v>
      </c>
      <c r="B102" t="s">
        <v>47</v>
      </c>
      <c r="C102" t="s">
        <v>72</v>
      </c>
      <c r="D102" t="s">
        <v>35</v>
      </c>
      <c r="J102">
        <f t="shared" si="2"/>
        <v>0</v>
      </c>
      <c r="L102">
        <f t="shared" si="3"/>
        <v>0</v>
      </c>
    </row>
    <row r="103" spans="1:12" x14ac:dyDescent="0.25">
      <c r="A103">
        <v>1751</v>
      </c>
      <c r="B103" t="s">
        <v>16</v>
      </c>
      <c r="C103" t="s">
        <v>72</v>
      </c>
      <c r="D103" t="s">
        <v>35</v>
      </c>
      <c r="H103">
        <v>349</v>
      </c>
      <c r="J103">
        <f t="shared" si="2"/>
        <v>349</v>
      </c>
      <c r="L103">
        <f t="shared" si="3"/>
        <v>0.15580357142857143</v>
      </c>
    </row>
    <row r="104" spans="1:12" x14ac:dyDescent="0.25">
      <c r="A104">
        <v>1751</v>
      </c>
      <c r="B104" t="s">
        <v>17</v>
      </c>
      <c r="C104" t="s">
        <v>72</v>
      </c>
      <c r="D104" t="s">
        <v>35</v>
      </c>
      <c r="J104">
        <f t="shared" si="2"/>
        <v>0</v>
      </c>
      <c r="L104">
        <f t="shared" si="3"/>
        <v>0</v>
      </c>
    </row>
    <row r="105" spans="1:12" x14ac:dyDescent="0.25">
      <c r="A105">
        <v>1751</v>
      </c>
      <c r="B105" t="s">
        <v>18</v>
      </c>
      <c r="C105" t="s">
        <v>72</v>
      </c>
      <c r="D105" t="s">
        <v>35</v>
      </c>
      <c r="H105">
        <v>2810.5</v>
      </c>
      <c r="I105" t="s">
        <v>147</v>
      </c>
      <c r="J105">
        <f t="shared" si="2"/>
        <v>2810.5</v>
      </c>
      <c r="L105">
        <f t="shared" si="3"/>
        <v>1.2546875</v>
      </c>
    </row>
    <row r="106" spans="1:12" x14ac:dyDescent="0.25">
      <c r="A106">
        <v>1751</v>
      </c>
      <c r="B106" t="s">
        <v>26</v>
      </c>
      <c r="C106" t="s">
        <v>72</v>
      </c>
      <c r="D106" t="s">
        <v>35</v>
      </c>
      <c r="J106">
        <f t="shared" si="2"/>
        <v>0</v>
      </c>
      <c r="L106">
        <f t="shared" si="3"/>
        <v>0</v>
      </c>
    </row>
    <row r="107" spans="1:12" x14ac:dyDescent="0.25">
      <c r="A107">
        <v>1751</v>
      </c>
      <c r="B107" t="s">
        <v>84</v>
      </c>
      <c r="C107" t="s">
        <v>72</v>
      </c>
      <c r="D107" t="s">
        <v>35</v>
      </c>
      <c r="J107">
        <f t="shared" si="2"/>
        <v>0</v>
      </c>
      <c r="L107">
        <f t="shared" si="3"/>
        <v>0</v>
      </c>
    </row>
    <row r="108" spans="1:12" x14ac:dyDescent="0.25">
      <c r="A108">
        <v>1751</v>
      </c>
      <c r="B108" t="s">
        <v>19</v>
      </c>
      <c r="C108" t="s">
        <v>72</v>
      </c>
      <c r="D108" t="s">
        <v>35</v>
      </c>
      <c r="J108">
        <f t="shared" si="2"/>
        <v>0</v>
      </c>
      <c r="L108">
        <f t="shared" si="3"/>
        <v>0</v>
      </c>
    </row>
    <row r="109" spans="1:12" x14ac:dyDescent="0.25">
      <c r="A109">
        <v>1751</v>
      </c>
      <c r="B109" t="s">
        <v>45</v>
      </c>
      <c r="C109" t="s">
        <v>72</v>
      </c>
      <c r="D109" t="s">
        <v>35</v>
      </c>
      <c r="J109">
        <f t="shared" si="2"/>
        <v>0</v>
      </c>
      <c r="L109">
        <f t="shared" si="3"/>
        <v>0</v>
      </c>
    </row>
    <row r="110" spans="1:12" x14ac:dyDescent="0.25">
      <c r="A110">
        <v>1751</v>
      </c>
      <c r="B110" t="s">
        <v>85</v>
      </c>
      <c r="C110" t="s">
        <v>72</v>
      </c>
      <c r="D110" t="s">
        <v>35</v>
      </c>
      <c r="J110">
        <f t="shared" si="2"/>
        <v>0</v>
      </c>
      <c r="L110">
        <f t="shared" si="3"/>
        <v>0</v>
      </c>
    </row>
    <row r="111" spans="1:12" x14ac:dyDescent="0.25">
      <c r="A111">
        <v>1751</v>
      </c>
      <c r="B111" t="s">
        <v>54</v>
      </c>
      <c r="C111" t="s">
        <v>72</v>
      </c>
      <c r="D111" t="s">
        <v>35</v>
      </c>
      <c r="J111">
        <f t="shared" si="2"/>
        <v>0</v>
      </c>
      <c r="L111">
        <f t="shared" si="3"/>
        <v>0</v>
      </c>
    </row>
    <row r="112" spans="1:12" x14ac:dyDescent="0.25">
      <c r="A112">
        <v>1751</v>
      </c>
      <c r="B112" t="s">
        <v>95</v>
      </c>
      <c r="C112" t="s">
        <v>72</v>
      </c>
      <c r="D112" t="s">
        <v>35</v>
      </c>
      <c r="J112">
        <f t="shared" si="2"/>
        <v>0</v>
      </c>
      <c r="L112">
        <f t="shared" si="3"/>
        <v>0</v>
      </c>
    </row>
    <row r="113" spans="1:12" x14ac:dyDescent="0.25">
      <c r="A113">
        <v>1751</v>
      </c>
      <c r="B113" t="s">
        <v>20</v>
      </c>
      <c r="C113" t="s">
        <v>72</v>
      </c>
      <c r="D113" t="s">
        <v>35</v>
      </c>
      <c r="J113">
        <f t="shared" si="2"/>
        <v>0</v>
      </c>
      <c r="L113">
        <f t="shared" si="3"/>
        <v>0</v>
      </c>
    </row>
    <row r="114" spans="1:12" x14ac:dyDescent="0.25">
      <c r="A114">
        <v>1751</v>
      </c>
      <c r="B114" t="s">
        <v>21</v>
      </c>
      <c r="C114" t="s">
        <v>72</v>
      </c>
      <c r="D114" t="s">
        <v>35</v>
      </c>
      <c r="J114">
        <f t="shared" si="2"/>
        <v>0</v>
      </c>
      <c r="L114">
        <f t="shared" si="3"/>
        <v>0</v>
      </c>
    </row>
    <row r="115" spans="1:12" x14ac:dyDescent="0.25">
      <c r="A115">
        <v>1751</v>
      </c>
      <c r="B115" t="s">
        <v>22</v>
      </c>
      <c r="C115" t="s">
        <v>72</v>
      </c>
      <c r="D115" t="s">
        <v>35</v>
      </c>
      <c r="J115">
        <f t="shared" si="2"/>
        <v>0</v>
      </c>
      <c r="L115">
        <f t="shared" si="3"/>
        <v>0</v>
      </c>
    </row>
    <row r="116" spans="1:12" x14ac:dyDescent="0.25">
      <c r="A116">
        <v>1751</v>
      </c>
      <c r="B116" t="s">
        <v>61</v>
      </c>
      <c r="C116" t="s">
        <v>72</v>
      </c>
      <c r="D116" t="s">
        <v>35</v>
      </c>
      <c r="J116">
        <f t="shared" si="2"/>
        <v>0</v>
      </c>
      <c r="L116">
        <f t="shared" si="3"/>
        <v>0</v>
      </c>
    </row>
    <row r="117" spans="1:12" x14ac:dyDescent="0.25">
      <c r="A117">
        <v>1751</v>
      </c>
      <c r="B117" t="s">
        <v>91</v>
      </c>
      <c r="C117" t="s">
        <v>72</v>
      </c>
      <c r="D117" t="s">
        <v>35</v>
      </c>
      <c r="J117">
        <f t="shared" si="2"/>
        <v>0</v>
      </c>
      <c r="L117">
        <f t="shared" si="3"/>
        <v>0</v>
      </c>
    </row>
    <row r="118" spans="1:12" x14ac:dyDescent="0.25">
      <c r="A118">
        <v>1751</v>
      </c>
      <c r="B118" t="s">
        <v>98</v>
      </c>
      <c r="C118" t="s">
        <v>72</v>
      </c>
      <c r="D118" t="s">
        <v>35</v>
      </c>
      <c r="J118">
        <f t="shared" si="2"/>
        <v>0</v>
      </c>
      <c r="L118">
        <f t="shared" si="3"/>
        <v>0</v>
      </c>
    </row>
    <row r="119" spans="1:12" x14ac:dyDescent="0.25">
      <c r="A119">
        <v>1751</v>
      </c>
      <c r="B119" t="s">
        <v>87</v>
      </c>
      <c r="C119" t="s">
        <v>72</v>
      </c>
      <c r="D119" t="s">
        <v>35</v>
      </c>
      <c r="J119">
        <f t="shared" si="2"/>
        <v>0</v>
      </c>
      <c r="L119">
        <f t="shared" si="3"/>
        <v>0</v>
      </c>
    </row>
    <row r="120" spans="1:12" x14ac:dyDescent="0.25">
      <c r="A120">
        <v>1751</v>
      </c>
      <c r="B120" t="s">
        <v>62</v>
      </c>
      <c r="C120" t="s">
        <v>72</v>
      </c>
      <c r="D120" t="s">
        <v>35</v>
      </c>
      <c r="E120">
        <v>25</v>
      </c>
      <c r="J120">
        <f t="shared" si="2"/>
        <v>56000</v>
      </c>
      <c r="L120">
        <f t="shared" si="3"/>
        <v>25</v>
      </c>
    </row>
    <row r="121" spans="1:12" x14ac:dyDescent="0.25">
      <c r="A121">
        <v>1751</v>
      </c>
      <c r="B121" t="s">
        <v>88</v>
      </c>
      <c r="C121" t="s">
        <v>72</v>
      </c>
      <c r="D121" t="s">
        <v>35</v>
      </c>
      <c r="J121">
        <f t="shared" si="2"/>
        <v>0</v>
      </c>
      <c r="L121">
        <f t="shared" si="3"/>
        <v>0</v>
      </c>
    </row>
    <row r="122" spans="1:12" x14ac:dyDescent="0.25">
      <c r="A122">
        <v>1751</v>
      </c>
      <c r="B122" t="s">
        <v>63</v>
      </c>
      <c r="C122" t="s">
        <v>72</v>
      </c>
      <c r="D122" t="s">
        <v>35</v>
      </c>
      <c r="J122">
        <f t="shared" si="2"/>
        <v>0</v>
      </c>
      <c r="L122">
        <f t="shared" si="3"/>
        <v>0</v>
      </c>
    </row>
    <row r="123" spans="1:12" x14ac:dyDescent="0.25">
      <c r="A123">
        <v>1751</v>
      </c>
      <c r="B123" t="s">
        <v>89</v>
      </c>
      <c r="C123" t="s">
        <v>72</v>
      </c>
      <c r="D123" t="s">
        <v>35</v>
      </c>
      <c r="J123">
        <f t="shared" si="2"/>
        <v>0</v>
      </c>
      <c r="L123">
        <f t="shared" si="3"/>
        <v>0</v>
      </c>
    </row>
    <row r="124" spans="1:12" x14ac:dyDescent="0.25">
      <c r="A124">
        <v>1751</v>
      </c>
      <c r="B124" t="s">
        <v>70</v>
      </c>
      <c r="C124" t="s">
        <v>72</v>
      </c>
      <c r="D124" t="s">
        <v>35</v>
      </c>
      <c r="J124">
        <f t="shared" si="2"/>
        <v>0</v>
      </c>
      <c r="L124">
        <f t="shared" si="3"/>
        <v>0</v>
      </c>
    </row>
    <row r="125" spans="1:12" x14ac:dyDescent="0.25">
      <c r="A125">
        <v>1751</v>
      </c>
      <c r="B125" t="s">
        <v>64</v>
      </c>
      <c r="C125" t="s">
        <v>72</v>
      </c>
      <c r="D125" t="s">
        <v>35</v>
      </c>
      <c r="J125">
        <f t="shared" si="2"/>
        <v>0</v>
      </c>
      <c r="L125">
        <f t="shared" si="3"/>
        <v>0</v>
      </c>
    </row>
    <row r="126" spans="1:12" x14ac:dyDescent="0.25">
      <c r="A126">
        <v>1751</v>
      </c>
      <c r="B126" t="s">
        <v>65</v>
      </c>
      <c r="C126" t="s">
        <v>72</v>
      </c>
      <c r="D126" t="s">
        <v>35</v>
      </c>
      <c r="J126">
        <f t="shared" si="2"/>
        <v>0</v>
      </c>
      <c r="L126">
        <f t="shared" si="3"/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78D41-F260-45DD-BAFF-5C983F846926}">
  <dimension ref="A1:O126"/>
  <sheetViews>
    <sheetView topLeftCell="A50" workbookViewId="0">
      <selection activeCell="H84" sqref="H84"/>
    </sheetView>
  </sheetViews>
  <sheetFormatPr defaultRowHeight="15" x14ac:dyDescent="0.25"/>
  <cols>
    <col min="1" max="1" width="10.85546875" customWidth="1"/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5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  <c r="O1" s="1"/>
    </row>
    <row r="2" spans="1:15" x14ac:dyDescent="0.25">
      <c r="A2">
        <v>1751</v>
      </c>
      <c r="B2" t="s">
        <v>55</v>
      </c>
      <c r="C2" t="s">
        <v>73</v>
      </c>
      <c r="D2" t="s">
        <v>33</v>
      </c>
      <c r="J2">
        <f>(E2*2240)+(F2*112)+(G2*28)+H2</f>
        <v>0</v>
      </c>
      <c r="L2">
        <f>J2/2240</f>
        <v>0</v>
      </c>
    </row>
    <row r="3" spans="1:15" x14ac:dyDescent="0.25">
      <c r="A3">
        <v>1751</v>
      </c>
      <c r="B3" t="s">
        <v>57</v>
      </c>
      <c r="C3" t="s">
        <v>73</v>
      </c>
      <c r="D3" t="s">
        <v>33</v>
      </c>
      <c r="J3">
        <f t="shared" ref="J3:J66" si="0">(E3*2240)+(F3*112)+(G3*28)+H3</f>
        <v>0</v>
      </c>
      <c r="L3">
        <f t="shared" ref="L3:L66" si="1">J3/2240</f>
        <v>0</v>
      </c>
    </row>
    <row r="4" spans="1:15" x14ac:dyDescent="0.25">
      <c r="A4">
        <v>1751</v>
      </c>
      <c r="B4" t="s">
        <v>36</v>
      </c>
      <c r="C4" t="s">
        <v>73</v>
      </c>
      <c r="D4" t="s">
        <v>33</v>
      </c>
      <c r="J4">
        <f t="shared" si="0"/>
        <v>0</v>
      </c>
      <c r="L4">
        <f t="shared" si="1"/>
        <v>0</v>
      </c>
    </row>
    <row r="5" spans="1:15" x14ac:dyDescent="0.25">
      <c r="A5">
        <v>1751</v>
      </c>
      <c r="B5" t="s">
        <v>4</v>
      </c>
      <c r="C5" t="s">
        <v>73</v>
      </c>
      <c r="D5" t="s">
        <v>33</v>
      </c>
      <c r="J5">
        <f t="shared" si="0"/>
        <v>0</v>
      </c>
      <c r="L5">
        <f t="shared" si="1"/>
        <v>0</v>
      </c>
    </row>
    <row r="6" spans="1:15" x14ac:dyDescent="0.25">
      <c r="A6">
        <v>1751</v>
      </c>
      <c r="B6" t="s">
        <v>58</v>
      </c>
      <c r="C6" t="s">
        <v>73</v>
      </c>
      <c r="D6" t="s">
        <v>33</v>
      </c>
      <c r="J6">
        <f t="shared" si="0"/>
        <v>0</v>
      </c>
      <c r="L6">
        <f t="shared" si="1"/>
        <v>0</v>
      </c>
    </row>
    <row r="7" spans="1:15" x14ac:dyDescent="0.25">
      <c r="A7">
        <v>1751</v>
      </c>
      <c r="B7" t="s">
        <v>69</v>
      </c>
      <c r="C7" t="s">
        <v>73</v>
      </c>
      <c r="D7" t="s">
        <v>33</v>
      </c>
      <c r="J7">
        <f t="shared" si="0"/>
        <v>0</v>
      </c>
      <c r="L7">
        <f t="shared" si="1"/>
        <v>0</v>
      </c>
    </row>
    <row r="8" spans="1:15" x14ac:dyDescent="0.25">
      <c r="A8">
        <v>1751</v>
      </c>
      <c r="B8" t="s">
        <v>43</v>
      </c>
      <c r="C8" t="s">
        <v>73</v>
      </c>
      <c r="D8" t="s">
        <v>33</v>
      </c>
      <c r="J8">
        <f t="shared" si="0"/>
        <v>0</v>
      </c>
      <c r="L8">
        <f t="shared" si="1"/>
        <v>0</v>
      </c>
    </row>
    <row r="9" spans="1:15" x14ac:dyDescent="0.25">
      <c r="A9">
        <v>1751</v>
      </c>
      <c r="B9" t="s">
        <v>76</v>
      </c>
      <c r="C9" t="s">
        <v>73</v>
      </c>
      <c r="D9" t="s">
        <v>33</v>
      </c>
      <c r="J9">
        <f t="shared" si="0"/>
        <v>0</v>
      </c>
      <c r="L9">
        <f t="shared" si="1"/>
        <v>0</v>
      </c>
    </row>
    <row r="10" spans="1:15" x14ac:dyDescent="0.25">
      <c r="A10">
        <v>1751</v>
      </c>
      <c r="B10" t="s">
        <v>5</v>
      </c>
      <c r="C10" t="s">
        <v>73</v>
      </c>
      <c r="D10" t="s">
        <v>33</v>
      </c>
      <c r="J10">
        <f t="shared" si="0"/>
        <v>0</v>
      </c>
      <c r="L10">
        <f t="shared" si="1"/>
        <v>0</v>
      </c>
    </row>
    <row r="11" spans="1:15" x14ac:dyDescent="0.25">
      <c r="A11">
        <v>1751</v>
      </c>
      <c r="B11" t="s">
        <v>59</v>
      </c>
      <c r="C11" t="s">
        <v>73</v>
      </c>
      <c r="D11" t="s">
        <v>33</v>
      </c>
      <c r="J11">
        <f t="shared" si="0"/>
        <v>0</v>
      </c>
      <c r="L11">
        <f t="shared" si="1"/>
        <v>0</v>
      </c>
    </row>
    <row r="12" spans="1:15" x14ac:dyDescent="0.25">
      <c r="A12">
        <v>1751</v>
      </c>
      <c r="B12" t="s">
        <v>6</v>
      </c>
      <c r="C12" t="s">
        <v>73</v>
      </c>
      <c r="D12" t="s">
        <v>33</v>
      </c>
      <c r="F12">
        <v>21383</v>
      </c>
      <c r="G12">
        <v>3</v>
      </c>
      <c r="H12">
        <v>3</v>
      </c>
      <c r="J12">
        <f t="shared" si="0"/>
        <v>2394983</v>
      </c>
      <c r="L12">
        <f t="shared" si="1"/>
        <v>1069.1888392857143</v>
      </c>
    </row>
    <row r="13" spans="1:15" x14ac:dyDescent="0.25">
      <c r="A13">
        <v>1751</v>
      </c>
      <c r="B13" t="s">
        <v>96</v>
      </c>
      <c r="C13" t="s">
        <v>73</v>
      </c>
      <c r="D13" t="s">
        <v>33</v>
      </c>
      <c r="J13">
        <f t="shared" si="0"/>
        <v>0</v>
      </c>
      <c r="L13">
        <f t="shared" si="1"/>
        <v>0</v>
      </c>
    </row>
    <row r="14" spans="1:15" x14ac:dyDescent="0.25">
      <c r="A14">
        <v>1751</v>
      </c>
      <c r="B14" t="s">
        <v>60</v>
      </c>
      <c r="C14" t="s">
        <v>73</v>
      </c>
      <c r="D14" t="s">
        <v>33</v>
      </c>
      <c r="J14">
        <f t="shared" si="0"/>
        <v>0</v>
      </c>
      <c r="L14">
        <f t="shared" si="1"/>
        <v>0</v>
      </c>
    </row>
    <row r="15" spans="1:15" x14ac:dyDescent="0.25">
      <c r="A15">
        <v>1751</v>
      </c>
      <c r="B15" t="s">
        <v>7</v>
      </c>
      <c r="C15" t="s">
        <v>73</v>
      </c>
      <c r="D15" t="s">
        <v>33</v>
      </c>
      <c r="J15">
        <f t="shared" si="0"/>
        <v>0</v>
      </c>
      <c r="L15">
        <f t="shared" si="1"/>
        <v>0</v>
      </c>
    </row>
    <row r="16" spans="1:15" x14ac:dyDescent="0.25">
      <c r="A16">
        <v>1751</v>
      </c>
      <c r="B16" t="s">
        <v>37</v>
      </c>
      <c r="C16" t="s">
        <v>73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1751</v>
      </c>
      <c r="B17" t="s">
        <v>8</v>
      </c>
      <c r="C17" t="s">
        <v>73</v>
      </c>
      <c r="D17" t="s">
        <v>33</v>
      </c>
      <c r="G17">
        <v>3</v>
      </c>
      <c r="J17">
        <f t="shared" si="0"/>
        <v>84</v>
      </c>
      <c r="L17">
        <f t="shared" si="1"/>
        <v>3.7499999999999999E-2</v>
      </c>
    </row>
    <row r="18" spans="1:12" x14ac:dyDescent="0.25">
      <c r="A18">
        <v>1751</v>
      </c>
      <c r="B18" t="s">
        <v>40</v>
      </c>
      <c r="C18" t="s">
        <v>73</v>
      </c>
      <c r="D18" t="s">
        <v>33</v>
      </c>
      <c r="J18">
        <f t="shared" si="0"/>
        <v>0</v>
      </c>
      <c r="L18">
        <f t="shared" si="1"/>
        <v>0</v>
      </c>
    </row>
    <row r="19" spans="1:12" x14ac:dyDescent="0.25">
      <c r="A19">
        <v>1751</v>
      </c>
      <c r="B19" t="s">
        <v>77</v>
      </c>
      <c r="C19" t="s">
        <v>73</v>
      </c>
      <c r="D19" t="s">
        <v>33</v>
      </c>
      <c r="J19">
        <f t="shared" si="0"/>
        <v>0</v>
      </c>
      <c r="L19">
        <f t="shared" si="1"/>
        <v>0</v>
      </c>
    </row>
    <row r="20" spans="1:12" x14ac:dyDescent="0.25">
      <c r="A20">
        <v>1751</v>
      </c>
      <c r="B20" t="s">
        <v>78</v>
      </c>
      <c r="C20" t="s">
        <v>73</v>
      </c>
      <c r="D20" t="s">
        <v>33</v>
      </c>
      <c r="J20">
        <f t="shared" si="0"/>
        <v>0</v>
      </c>
      <c r="L20">
        <f t="shared" si="1"/>
        <v>0</v>
      </c>
    </row>
    <row r="21" spans="1:12" x14ac:dyDescent="0.25">
      <c r="A21">
        <v>1751</v>
      </c>
      <c r="B21" t="s">
        <v>46</v>
      </c>
      <c r="C21" t="s">
        <v>73</v>
      </c>
      <c r="D21" t="s">
        <v>33</v>
      </c>
      <c r="J21">
        <f t="shared" si="0"/>
        <v>0</v>
      </c>
      <c r="L21">
        <f t="shared" si="1"/>
        <v>0</v>
      </c>
    </row>
    <row r="22" spans="1:12" x14ac:dyDescent="0.25">
      <c r="A22">
        <v>1751</v>
      </c>
      <c r="B22" t="s">
        <v>9</v>
      </c>
      <c r="C22" t="s">
        <v>73</v>
      </c>
      <c r="D22" t="s">
        <v>33</v>
      </c>
      <c r="H22">
        <f>8*200</f>
        <v>1600</v>
      </c>
      <c r="I22" t="s">
        <v>132</v>
      </c>
      <c r="J22">
        <f t="shared" si="0"/>
        <v>1600</v>
      </c>
      <c r="L22">
        <f t="shared" si="1"/>
        <v>0.7142857142857143</v>
      </c>
    </row>
    <row r="23" spans="1:12" x14ac:dyDescent="0.25">
      <c r="A23">
        <v>1751</v>
      </c>
      <c r="B23" t="s">
        <v>10</v>
      </c>
      <c r="C23" t="s">
        <v>73</v>
      </c>
      <c r="D23" t="s">
        <v>33</v>
      </c>
      <c r="J23">
        <f t="shared" si="0"/>
        <v>0</v>
      </c>
      <c r="L23">
        <f t="shared" si="1"/>
        <v>0</v>
      </c>
    </row>
    <row r="24" spans="1:12" x14ac:dyDescent="0.25">
      <c r="A24">
        <v>1751</v>
      </c>
      <c r="B24" t="s">
        <v>11</v>
      </c>
      <c r="C24" t="s">
        <v>73</v>
      </c>
      <c r="D24" t="s">
        <v>33</v>
      </c>
      <c r="J24">
        <f t="shared" si="0"/>
        <v>0</v>
      </c>
      <c r="L24">
        <f t="shared" si="1"/>
        <v>0</v>
      </c>
    </row>
    <row r="25" spans="1:12" x14ac:dyDescent="0.25">
      <c r="A25">
        <v>1751</v>
      </c>
      <c r="B25" t="s">
        <v>39</v>
      </c>
      <c r="C25" t="s">
        <v>73</v>
      </c>
      <c r="D25" t="s">
        <v>33</v>
      </c>
      <c r="J25">
        <f t="shared" si="0"/>
        <v>0</v>
      </c>
      <c r="L25">
        <f t="shared" si="1"/>
        <v>0</v>
      </c>
    </row>
    <row r="26" spans="1:12" x14ac:dyDescent="0.25">
      <c r="A26">
        <v>1751</v>
      </c>
      <c r="B26" t="s">
        <v>79</v>
      </c>
      <c r="C26" t="s">
        <v>73</v>
      </c>
      <c r="D26" t="s">
        <v>33</v>
      </c>
      <c r="J26">
        <f t="shared" si="0"/>
        <v>0</v>
      </c>
      <c r="L26">
        <f t="shared" si="1"/>
        <v>0</v>
      </c>
    </row>
    <row r="27" spans="1:12" x14ac:dyDescent="0.25">
      <c r="A27">
        <v>1751</v>
      </c>
      <c r="B27" t="s">
        <v>103</v>
      </c>
      <c r="C27" t="s">
        <v>73</v>
      </c>
      <c r="D27" t="s">
        <v>33</v>
      </c>
      <c r="J27">
        <f t="shared" si="0"/>
        <v>0</v>
      </c>
      <c r="L27">
        <f t="shared" si="1"/>
        <v>0</v>
      </c>
    </row>
    <row r="28" spans="1:12" x14ac:dyDescent="0.25">
      <c r="A28">
        <v>1751</v>
      </c>
      <c r="B28" t="s">
        <v>44</v>
      </c>
      <c r="C28" t="s">
        <v>73</v>
      </c>
      <c r="D28" t="s">
        <v>33</v>
      </c>
      <c r="J28">
        <f t="shared" si="0"/>
        <v>0</v>
      </c>
      <c r="L28">
        <f t="shared" si="1"/>
        <v>0</v>
      </c>
    </row>
    <row r="29" spans="1:12" x14ac:dyDescent="0.25">
      <c r="A29">
        <v>1751</v>
      </c>
      <c r="B29" t="s">
        <v>97</v>
      </c>
      <c r="C29" t="s">
        <v>73</v>
      </c>
      <c r="D29" t="s">
        <v>33</v>
      </c>
      <c r="J29">
        <f t="shared" si="0"/>
        <v>0</v>
      </c>
      <c r="L29">
        <f t="shared" si="1"/>
        <v>0</v>
      </c>
    </row>
    <row r="30" spans="1:12" x14ac:dyDescent="0.25">
      <c r="A30">
        <v>1751</v>
      </c>
      <c r="B30" t="s">
        <v>12</v>
      </c>
      <c r="C30" t="s">
        <v>73</v>
      </c>
      <c r="D30" t="s">
        <v>33</v>
      </c>
      <c r="J30">
        <f t="shared" si="0"/>
        <v>0</v>
      </c>
      <c r="L30">
        <f t="shared" si="1"/>
        <v>0</v>
      </c>
    </row>
    <row r="31" spans="1:12" x14ac:dyDescent="0.25">
      <c r="A31">
        <v>1751</v>
      </c>
      <c r="B31" t="s">
        <v>82</v>
      </c>
      <c r="C31" t="s">
        <v>73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25">
      <c r="A32">
        <v>1751</v>
      </c>
      <c r="B32" t="s">
        <v>34</v>
      </c>
      <c r="C32" t="s">
        <v>73</v>
      </c>
      <c r="D32" t="s">
        <v>33</v>
      </c>
      <c r="J32">
        <f t="shared" si="0"/>
        <v>0</v>
      </c>
      <c r="L32">
        <f t="shared" si="1"/>
        <v>0</v>
      </c>
    </row>
    <row r="33" spans="1:12" x14ac:dyDescent="0.25">
      <c r="A33">
        <v>1751</v>
      </c>
      <c r="B33" t="s">
        <v>13</v>
      </c>
      <c r="C33" t="s">
        <v>73</v>
      </c>
      <c r="D33" t="s">
        <v>33</v>
      </c>
      <c r="J33">
        <f t="shared" si="0"/>
        <v>0</v>
      </c>
      <c r="L33">
        <f t="shared" si="1"/>
        <v>0</v>
      </c>
    </row>
    <row r="34" spans="1:12" x14ac:dyDescent="0.25">
      <c r="A34">
        <v>1751</v>
      </c>
      <c r="B34" t="s">
        <v>14</v>
      </c>
      <c r="C34" t="s">
        <v>73</v>
      </c>
      <c r="D34" t="s">
        <v>33</v>
      </c>
      <c r="J34">
        <f t="shared" si="0"/>
        <v>0</v>
      </c>
      <c r="L34">
        <f t="shared" si="1"/>
        <v>0</v>
      </c>
    </row>
    <row r="35" spans="1:12" x14ac:dyDescent="0.25">
      <c r="A35">
        <v>1751</v>
      </c>
      <c r="B35" t="s">
        <v>23</v>
      </c>
      <c r="C35" t="s">
        <v>73</v>
      </c>
      <c r="D35" t="s">
        <v>33</v>
      </c>
      <c r="J35">
        <f t="shared" si="0"/>
        <v>0</v>
      </c>
      <c r="L35">
        <f t="shared" si="1"/>
        <v>0</v>
      </c>
    </row>
    <row r="36" spans="1:12" x14ac:dyDescent="0.25">
      <c r="A36">
        <v>1751</v>
      </c>
      <c r="B36" t="s">
        <v>27</v>
      </c>
      <c r="C36" t="s">
        <v>73</v>
      </c>
      <c r="D36" t="s">
        <v>33</v>
      </c>
      <c r="H36">
        <v>5231.5</v>
      </c>
      <c r="I36" t="s">
        <v>131</v>
      </c>
      <c r="J36">
        <f t="shared" si="0"/>
        <v>5231.5</v>
      </c>
      <c r="L36">
        <f t="shared" si="1"/>
        <v>2.3354910714285713</v>
      </c>
    </row>
    <row r="37" spans="1:12" x14ac:dyDescent="0.25">
      <c r="A37">
        <v>1751</v>
      </c>
      <c r="B37" t="s">
        <v>15</v>
      </c>
      <c r="C37" t="s">
        <v>73</v>
      </c>
      <c r="D37" t="s">
        <v>33</v>
      </c>
      <c r="J37">
        <f t="shared" si="0"/>
        <v>0</v>
      </c>
      <c r="L37">
        <f t="shared" si="1"/>
        <v>0</v>
      </c>
    </row>
    <row r="38" spans="1:12" x14ac:dyDescent="0.25">
      <c r="A38">
        <v>1751</v>
      </c>
      <c r="B38" t="s">
        <v>42</v>
      </c>
      <c r="C38" t="s">
        <v>73</v>
      </c>
      <c r="D38" t="s">
        <v>33</v>
      </c>
      <c r="J38">
        <f t="shared" si="0"/>
        <v>0</v>
      </c>
      <c r="L38">
        <f t="shared" si="1"/>
        <v>0</v>
      </c>
    </row>
    <row r="39" spans="1:12" x14ac:dyDescent="0.25">
      <c r="A39">
        <v>1751</v>
      </c>
      <c r="B39" t="s">
        <v>83</v>
      </c>
      <c r="C39" t="s">
        <v>73</v>
      </c>
      <c r="D39" t="s">
        <v>33</v>
      </c>
      <c r="J39">
        <f t="shared" si="0"/>
        <v>0</v>
      </c>
      <c r="L39">
        <f t="shared" si="1"/>
        <v>0</v>
      </c>
    </row>
    <row r="40" spans="1:12" x14ac:dyDescent="0.25">
      <c r="A40">
        <v>1751</v>
      </c>
      <c r="B40" t="s">
        <v>47</v>
      </c>
      <c r="C40" t="s">
        <v>73</v>
      </c>
      <c r="D40" t="s">
        <v>33</v>
      </c>
      <c r="H40">
        <v>20</v>
      </c>
      <c r="I40" t="s">
        <v>129</v>
      </c>
      <c r="J40">
        <f t="shared" si="0"/>
        <v>20</v>
      </c>
      <c r="L40">
        <f t="shared" si="1"/>
        <v>8.9285714285714281E-3</v>
      </c>
    </row>
    <row r="41" spans="1:12" x14ac:dyDescent="0.25">
      <c r="A41">
        <v>1751</v>
      </c>
      <c r="B41" t="s">
        <v>16</v>
      </c>
      <c r="C41" t="s">
        <v>73</v>
      </c>
      <c r="D41" t="s">
        <v>33</v>
      </c>
      <c r="J41">
        <f t="shared" si="0"/>
        <v>0</v>
      </c>
      <c r="L41">
        <f t="shared" si="1"/>
        <v>0</v>
      </c>
    </row>
    <row r="42" spans="1:12" x14ac:dyDescent="0.25">
      <c r="A42">
        <v>1751</v>
      </c>
      <c r="B42" t="s">
        <v>17</v>
      </c>
      <c r="C42" t="s">
        <v>73</v>
      </c>
      <c r="D42" t="s">
        <v>33</v>
      </c>
      <c r="J42">
        <f t="shared" si="0"/>
        <v>0</v>
      </c>
      <c r="L42">
        <f t="shared" si="1"/>
        <v>0</v>
      </c>
    </row>
    <row r="43" spans="1:12" x14ac:dyDescent="0.25">
      <c r="A43">
        <v>1751</v>
      </c>
      <c r="B43" t="s">
        <v>18</v>
      </c>
      <c r="C43" t="s">
        <v>73</v>
      </c>
      <c r="D43" t="s">
        <v>33</v>
      </c>
      <c r="H43">
        <v>33148.5</v>
      </c>
      <c r="I43" t="s">
        <v>130</v>
      </c>
      <c r="J43">
        <f t="shared" si="0"/>
        <v>33148.5</v>
      </c>
      <c r="L43">
        <f t="shared" si="1"/>
        <v>14.7984375</v>
      </c>
    </row>
    <row r="44" spans="1:12" x14ac:dyDescent="0.25">
      <c r="A44">
        <v>1751</v>
      </c>
      <c r="B44" t="s">
        <v>26</v>
      </c>
      <c r="C44" t="s">
        <v>73</v>
      </c>
      <c r="D44" t="s">
        <v>33</v>
      </c>
      <c r="J44">
        <f t="shared" si="0"/>
        <v>0</v>
      </c>
      <c r="L44">
        <f t="shared" si="1"/>
        <v>0</v>
      </c>
    </row>
    <row r="45" spans="1:12" x14ac:dyDescent="0.25">
      <c r="A45">
        <v>1751</v>
      </c>
      <c r="B45" t="s">
        <v>84</v>
      </c>
      <c r="C45" t="s">
        <v>73</v>
      </c>
      <c r="D45" t="s">
        <v>33</v>
      </c>
      <c r="J45">
        <f t="shared" si="0"/>
        <v>0</v>
      </c>
      <c r="L45">
        <f t="shared" si="1"/>
        <v>0</v>
      </c>
    </row>
    <row r="46" spans="1:12" x14ac:dyDescent="0.25">
      <c r="A46">
        <v>1751</v>
      </c>
      <c r="B46" t="s">
        <v>19</v>
      </c>
      <c r="C46" t="s">
        <v>73</v>
      </c>
      <c r="D46" t="s">
        <v>33</v>
      </c>
      <c r="J46">
        <f t="shared" si="0"/>
        <v>0</v>
      </c>
      <c r="L46">
        <f t="shared" si="1"/>
        <v>0</v>
      </c>
    </row>
    <row r="47" spans="1:12" x14ac:dyDescent="0.25">
      <c r="A47">
        <v>1751</v>
      </c>
      <c r="B47" t="s">
        <v>45</v>
      </c>
      <c r="C47" t="s">
        <v>73</v>
      </c>
      <c r="D47" t="s">
        <v>33</v>
      </c>
      <c r="J47">
        <f t="shared" si="0"/>
        <v>0</v>
      </c>
      <c r="L47">
        <f t="shared" si="1"/>
        <v>0</v>
      </c>
    </row>
    <row r="48" spans="1:12" x14ac:dyDescent="0.25">
      <c r="A48">
        <v>1751</v>
      </c>
      <c r="B48" t="s">
        <v>85</v>
      </c>
      <c r="C48" t="s">
        <v>73</v>
      </c>
      <c r="D48" t="s">
        <v>33</v>
      </c>
      <c r="J48">
        <f t="shared" si="0"/>
        <v>0</v>
      </c>
      <c r="L48">
        <f t="shared" si="1"/>
        <v>0</v>
      </c>
    </row>
    <row r="49" spans="1:12" x14ac:dyDescent="0.25">
      <c r="A49">
        <v>1751</v>
      </c>
      <c r="B49" t="s">
        <v>54</v>
      </c>
      <c r="C49" t="s">
        <v>73</v>
      </c>
      <c r="D49" t="s">
        <v>33</v>
      </c>
      <c r="H49">
        <v>109</v>
      </c>
      <c r="J49">
        <f t="shared" si="0"/>
        <v>109</v>
      </c>
      <c r="L49">
        <f t="shared" si="1"/>
        <v>4.8660714285714286E-2</v>
      </c>
    </row>
    <row r="50" spans="1:12" x14ac:dyDescent="0.25">
      <c r="A50">
        <v>1751</v>
      </c>
      <c r="B50" t="s">
        <v>95</v>
      </c>
      <c r="C50" t="s">
        <v>73</v>
      </c>
      <c r="D50" t="s">
        <v>33</v>
      </c>
      <c r="H50">
        <v>106</v>
      </c>
      <c r="J50">
        <f t="shared" si="0"/>
        <v>106</v>
      </c>
      <c r="L50">
        <f t="shared" si="1"/>
        <v>4.732142857142857E-2</v>
      </c>
    </row>
    <row r="51" spans="1:12" x14ac:dyDescent="0.25">
      <c r="A51">
        <v>1751</v>
      </c>
      <c r="B51" t="s">
        <v>20</v>
      </c>
      <c r="C51" t="s">
        <v>73</v>
      </c>
      <c r="D51" t="s">
        <v>33</v>
      </c>
      <c r="J51">
        <f t="shared" si="0"/>
        <v>0</v>
      </c>
      <c r="L51">
        <f t="shared" si="1"/>
        <v>0</v>
      </c>
    </row>
    <row r="52" spans="1:12" x14ac:dyDescent="0.25">
      <c r="A52">
        <v>1751</v>
      </c>
      <c r="B52" t="s">
        <v>21</v>
      </c>
      <c r="C52" t="s">
        <v>73</v>
      </c>
      <c r="D52" t="s">
        <v>33</v>
      </c>
      <c r="J52">
        <f t="shared" si="0"/>
        <v>0</v>
      </c>
      <c r="L52">
        <f t="shared" si="1"/>
        <v>0</v>
      </c>
    </row>
    <row r="53" spans="1:12" x14ac:dyDescent="0.25">
      <c r="A53">
        <v>1751</v>
      </c>
      <c r="B53" t="s">
        <v>22</v>
      </c>
      <c r="C53" t="s">
        <v>73</v>
      </c>
      <c r="D53" t="s">
        <v>33</v>
      </c>
      <c r="J53">
        <f t="shared" si="0"/>
        <v>0</v>
      </c>
      <c r="L53">
        <f t="shared" si="1"/>
        <v>0</v>
      </c>
    </row>
    <row r="54" spans="1:12" x14ac:dyDescent="0.25">
      <c r="A54">
        <v>1751</v>
      </c>
      <c r="B54" t="s">
        <v>61</v>
      </c>
      <c r="C54" t="s">
        <v>73</v>
      </c>
      <c r="D54" t="s">
        <v>33</v>
      </c>
      <c r="J54">
        <f t="shared" si="0"/>
        <v>0</v>
      </c>
      <c r="L54">
        <f t="shared" si="1"/>
        <v>0</v>
      </c>
    </row>
    <row r="55" spans="1:12" x14ac:dyDescent="0.25">
      <c r="A55">
        <v>1751</v>
      </c>
      <c r="B55" t="s">
        <v>99</v>
      </c>
      <c r="C55" t="s">
        <v>73</v>
      </c>
      <c r="D55" t="s">
        <v>33</v>
      </c>
      <c r="J55">
        <f t="shared" si="0"/>
        <v>0</v>
      </c>
      <c r="L55">
        <f t="shared" si="1"/>
        <v>0</v>
      </c>
    </row>
    <row r="56" spans="1:12" x14ac:dyDescent="0.25">
      <c r="A56">
        <v>1751</v>
      </c>
      <c r="B56" t="s">
        <v>87</v>
      </c>
      <c r="C56" t="s">
        <v>73</v>
      </c>
      <c r="D56" t="s">
        <v>33</v>
      </c>
      <c r="E56">
        <v>10</v>
      </c>
      <c r="J56">
        <f t="shared" si="0"/>
        <v>22400</v>
      </c>
      <c r="L56">
        <f t="shared" si="1"/>
        <v>10</v>
      </c>
    </row>
    <row r="57" spans="1:12" x14ac:dyDescent="0.25">
      <c r="A57">
        <v>1751</v>
      </c>
      <c r="B57" t="s">
        <v>62</v>
      </c>
      <c r="C57" t="s">
        <v>73</v>
      </c>
      <c r="D57" t="s">
        <v>33</v>
      </c>
      <c r="E57">
        <v>7</v>
      </c>
      <c r="J57">
        <f t="shared" si="0"/>
        <v>15680</v>
      </c>
      <c r="L57">
        <f t="shared" si="1"/>
        <v>7</v>
      </c>
    </row>
    <row r="58" spans="1:12" x14ac:dyDescent="0.25">
      <c r="A58">
        <v>1751</v>
      </c>
      <c r="B58" t="s">
        <v>88</v>
      </c>
      <c r="C58" t="s">
        <v>73</v>
      </c>
      <c r="D58" t="s">
        <v>33</v>
      </c>
      <c r="J58">
        <f t="shared" si="0"/>
        <v>0</v>
      </c>
      <c r="L58">
        <f t="shared" si="1"/>
        <v>0</v>
      </c>
    </row>
    <row r="59" spans="1:12" x14ac:dyDescent="0.25">
      <c r="A59">
        <v>1751</v>
      </c>
      <c r="B59" t="s">
        <v>63</v>
      </c>
      <c r="C59" t="s">
        <v>73</v>
      </c>
      <c r="D59" t="s">
        <v>33</v>
      </c>
      <c r="J59">
        <f t="shared" si="0"/>
        <v>0</v>
      </c>
      <c r="L59">
        <f t="shared" si="1"/>
        <v>0</v>
      </c>
    </row>
    <row r="60" spans="1:12" x14ac:dyDescent="0.25">
      <c r="A60">
        <v>1751</v>
      </c>
      <c r="B60" t="s">
        <v>89</v>
      </c>
      <c r="C60" t="s">
        <v>73</v>
      </c>
      <c r="D60" t="s">
        <v>33</v>
      </c>
      <c r="J60">
        <f t="shared" si="0"/>
        <v>0</v>
      </c>
      <c r="L60">
        <f t="shared" si="1"/>
        <v>0</v>
      </c>
    </row>
    <row r="61" spans="1:12" x14ac:dyDescent="0.25">
      <c r="A61">
        <v>1751</v>
      </c>
      <c r="B61" t="s">
        <v>70</v>
      </c>
      <c r="C61" t="s">
        <v>73</v>
      </c>
      <c r="D61" t="s">
        <v>33</v>
      </c>
      <c r="J61">
        <f t="shared" si="0"/>
        <v>0</v>
      </c>
      <c r="L61">
        <f t="shared" si="1"/>
        <v>0</v>
      </c>
    </row>
    <row r="62" spans="1:12" x14ac:dyDescent="0.25">
      <c r="A62">
        <v>1751</v>
      </c>
      <c r="B62" t="s">
        <v>64</v>
      </c>
      <c r="C62" t="s">
        <v>73</v>
      </c>
      <c r="D62" t="s">
        <v>33</v>
      </c>
      <c r="J62">
        <f t="shared" si="0"/>
        <v>0</v>
      </c>
      <c r="L62">
        <f t="shared" si="1"/>
        <v>0</v>
      </c>
    </row>
    <row r="63" spans="1:12" x14ac:dyDescent="0.25">
      <c r="A63">
        <v>1751</v>
      </c>
      <c r="B63" t="s">
        <v>65</v>
      </c>
      <c r="C63" t="s">
        <v>73</v>
      </c>
      <c r="D63" t="s">
        <v>33</v>
      </c>
      <c r="J63">
        <f t="shared" si="0"/>
        <v>0</v>
      </c>
      <c r="L63">
        <f t="shared" si="1"/>
        <v>0</v>
      </c>
    </row>
    <row r="64" spans="1:12" x14ac:dyDescent="0.25">
      <c r="A64">
        <v>1751</v>
      </c>
      <c r="B64" t="s">
        <v>55</v>
      </c>
      <c r="C64" t="s">
        <v>73</v>
      </c>
      <c r="D64" t="s">
        <v>35</v>
      </c>
      <c r="J64">
        <f t="shared" si="0"/>
        <v>0</v>
      </c>
      <c r="L64">
        <f t="shared" si="1"/>
        <v>0</v>
      </c>
    </row>
    <row r="65" spans="1:12" x14ac:dyDescent="0.25">
      <c r="A65">
        <v>1751</v>
      </c>
      <c r="B65" t="s">
        <v>57</v>
      </c>
      <c r="C65" t="s">
        <v>73</v>
      </c>
      <c r="D65" t="s">
        <v>35</v>
      </c>
      <c r="J65">
        <f t="shared" si="0"/>
        <v>0</v>
      </c>
      <c r="L65">
        <f t="shared" si="1"/>
        <v>0</v>
      </c>
    </row>
    <row r="66" spans="1:12" x14ac:dyDescent="0.25">
      <c r="A66">
        <v>1751</v>
      </c>
      <c r="B66" t="s">
        <v>36</v>
      </c>
      <c r="C66" t="s">
        <v>73</v>
      </c>
      <c r="D66" t="s">
        <v>35</v>
      </c>
      <c r="J66">
        <f t="shared" si="0"/>
        <v>0</v>
      </c>
      <c r="L66">
        <f t="shared" si="1"/>
        <v>0</v>
      </c>
    </row>
    <row r="67" spans="1:12" x14ac:dyDescent="0.25">
      <c r="A67">
        <v>1751</v>
      </c>
      <c r="B67" t="s">
        <v>4</v>
      </c>
      <c r="C67" t="s">
        <v>73</v>
      </c>
      <c r="D67" t="s">
        <v>35</v>
      </c>
      <c r="J67">
        <f t="shared" ref="J67:J126" si="2">(E67*2240)+(F67*112)+(G67*28)+H67</f>
        <v>0</v>
      </c>
      <c r="L67">
        <f t="shared" ref="L67:L126" si="3">J67/2240</f>
        <v>0</v>
      </c>
    </row>
    <row r="68" spans="1:12" x14ac:dyDescent="0.25">
      <c r="A68">
        <v>1751</v>
      </c>
      <c r="B68" t="s">
        <v>58</v>
      </c>
      <c r="C68" t="s">
        <v>73</v>
      </c>
      <c r="D68" t="s">
        <v>35</v>
      </c>
      <c r="J68">
        <f t="shared" si="2"/>
        <v>0</v>
      </c>
      <c r="L68">
        <f t="shared" si="3"/>
        <v>0</v>
      </c>
    </row>
    <row r="69" spans="1:12" x14ac:dyDescent="0.25">
      <c r="A69">
        <v>1751</v>
      </c>
      <c r="B69" t="s">
        <v>69</v>
      </c>
      <c r="C69" t="s">
        <v>73</v>
      </c>
      <c r="D69" t="s">
        <v>35</v>
      </c>
      <c r="J69">
        <f t="shared" si="2"/>
        <v>0</v>
      </c>
      <c r="L69">
        <f t="shared" si="3"/>
        <v>0</v>
      </c>
    </row>
    <row r="70" spans="1:12" x14ac:dyDescent="0.25">
      <c r="A70">
        <v>1751</v>
      </c>
      <c r="B70" t="s">
        <v>43</v>
      </c>
      <c r="C70" t="s">
        <v>73</v>
      </c>
      <c r="D70" t="s">
        <v>35</v>
      </c>
      <c r="J70">
        <f t="shared" si="2"/>
        <v>0</v>
      </c>
      <c r="L70">
        <f t="shared" si="3"/>
        <v>0</v>
      </c>
    </row>
    <row r="71" spans="1:12" x14ac:dyDescent="0.25">
      <c r="A71">
        <v>1751</v>
      </c>
      <c r="B71" t="s">
        <v>76</v>
      </c>
      <c r="C71" t="s">
        <v>73</v>
      </c>
      <c r="D71" t="s">
        <v>35</v>
      </c>
      <c r="J71">
        <f t="shared" si="2"/>
        <v>0</v>
      </c>
      <c r="L71">
        <f t="shared" si="3"/>
        <v>0</v>
      </c>
    </row>
    <row r="72" spans="1:12" x14ac:dyDescent="0.25">
      <c r="A72">
        <v>1751</v>
      </c>
      <c r="B72" t="s">
        <v>5</v>
      </c>
      <c r="C72" t="s">
        <v>73</v>
      </c>
      <c r="D72" t="s">
        <v>35</v>
      </c>
      <c r="J72">
        <f t="shared" si="2"/>
        <v>0</v>
      </c>
      <c r="L72">
        <f t="shared" si="3"/>
        <v>0</v>
      </c>
    </row>
    <row r="73" spans="1:12" x14ac:dyDescent="0.25">
      <c r="A73">
        <v>1751</v>
      </c>
      <c r="B73" t="s">
        <v>59</v>
      </c>
      <c r="C73" t="s">
        <v>73</v>
      </c>
      <c r="D73" t="s">
        <v>35</v>
      </c>
      <c r="J73">
        <f t="shared" si="2"/>
        <v>0</v>
      </c>
      <c r="L73">
        <f t="shared" si="3"/>
        <v>0</v>
      </c>
    </row>
    <row r="74" spans="1:12" x14ac:dyDescent="0.25">
      <c r="A74">
        <v>1751</v>
      </c>
      <c r="B74" t="s">
        <v>6</v>
      </c>
      <c r="C74" t="s">
        <v>73</v>
      </c>
      <c r="D74" t="s">
        <v>35</v>
      </c>
      <c r="F74">
        <v>3746</v>
      </c>
      <c r="G74">
        <v>1</v>
      </c>
      <c r="H74">
        <v>6</v>
      </c>
      <c r="J74">
        <f t="shared" si="2"/>
        <v>419586</v>
      </c>
      <c r="L74">
        <f t="shared" si="3"/>
        <v>187.31517857142856</v>
      </c>
    </row>
    <row r="75" spans="1:12" x14ac:dyDescent="0.25">
      <c r="A75">
        <v>1751</v>
      </c>
      <c r="B75" t="s">
        <v>60</v>
      </c>
      <c r="C75" t="s">
        <v>73</v>
      </c>
      <c r="D75" t="s">
        <v>35</v>
      </c>
      <c r="J75">
        <f t="shared" si="2"/>
        <v>0</v>
      </c>
      <c r="L75">
        <f t="shared" si="3"/>
        <v>0</v>
      </c>
    </row>
    <row r="76" spans="1:12" x14ac:dyDescent="0.25">
      <c r="A76">
        <v>1751</v>
      </c>
      <c r="B76" t="s">
        <v>7</v>
      </c>
      <c r="C76" t="s">
        <v>73</v>
      </c>
      <c r="D76" t="s">
        <v>35</v>
      </c>
      <c r="J76">
        <f t="shared" si="2"/>
        <v>0</v>
      </c>
      <c r="L76">
        <f t="shared" si="3"/>
        <v>0</v>
      </c>
    </row>
    <row r="77" spans="1:12" x14ac:dyDescent="0.25">
      <c r="A77">
        <v>1751</v>
      </c>
      <c r="B77" t="s">
        <v>37</v>
      </c>
      <c r="C77" t="s">
        <v>73</v>
      </c>
      <c r="D77" t="s">
        <v>35</v>
      </c>
      <c r="J77">
        <f t="shared" si="2"/>
        <v>0</v>
      </c>
      <c r="L77">
        <f t="shared" si="3"/>
        <v>0</v>
      </c>
    </row>
    <row r="78" spans="1:12" x14ac:dyDescent="0.25">
      <c r="A78">
        <v>1751</v>
      </c>
      <c r="B78" t="s">
        <v>8</v>
      </c>
      <c r="C78" t="s">
        <v>73</v>
      </c>
      <c r="D78" t="s">
        <v>35</v>
      </c>
      <c r="J78">
        <f t="shared" si="2"/>
        <v>0</v>
      </c>
      <c r="L78">
        <f t="shared" si="3"/>
        <v>0</v>
      </c>
    </row>
    <row r="79" spans="1:12" x14ac:dyDescent="0.25">
      <c r="A79">
        <v>1751</v>
      </c>
      <c r="B79" t="s">
        <v>40</v>
      </c>
      <c r="C79" t="s">
        <v>73</v>
      </c>
      <c r="D79" t="s">
        <v>35</v>
      </c>
      <c r="J79">
        <f t="shared" si="2"/>
        <v>0</v>
      </c>
      <c r="L79">
        <f t="shared" si="3"/>
        <v>0</v>
      </c>
    </row>
    <row r="80" spans="1:12" x14ac:dyDescent="0.25">
      <c r="A80">
        <v>1751</v>
      </c>
      <c r="B80" t="s">
        <v>77</v>
      </c>
      <c r="C80" t="s">
        <v>73</v>
      </c>
      <c r="D80" t="s">
        <v>35</v>
      </c>
      <c r="J80">
        <f t="shared" si="2"/>
        <v>0</v>
      </c>
      <c r="L80">
        <f t="shared" si="3"/>
        <v>0</v>
      </c>
    </row>
    <row r="81" spans="1:12" x14ac:dyDescent="0.25">
      <c r="A81">
        <v>1751</v>
      </c>
      <c r="B81" t="s">
        <v>78</v>
      </c>
      <c r="C81" t="s">
        <v>73</v>
      </c>
      <c r="D81" t="s">
        <v>35</v>
      </c>
      <c r="J81">
        <f t="shared" si="2"/>
        <v>0</v>
      </c>
      <c r="L81">
        <f t="shared" si="3"/>
        <v>0</v>
      </c>
    </row>
    <row r="82" spans="1:12" x14ac:dyDescent="0.25">
      <c r="A82">
        <v>1751</v>
      </c>
      <c r="B82" t="s">
        <v>46</v>
      </c>
      <c r="C82" t="s">
        <v>73</v>
      </c>
      <c r="D82" t="s">
        <v>35</v>
      </c>
      <c r="J82">
        <f t="shared" si="2"/>
        <v>0</v>
      </c>
      <c r="L82">
        <f t="shared" si="3"/>
        <v>0</v>
      </c>
    </row>
    <row r="83" spans="1:12" x14ac:dyDescent="0.25">
      <c r="A83">
        <v>1751</v>
      </c>
      <c r="B83" t="s">
        <v>9</v>
      </c>
      <c r="C83" t="s">
        <v>73</v>
      </c>
      <c r="D83" t="s">
        <v>35</v>
      </c>
      <c r="H83">
        <f>29.5*200</f>
        <v>5900</v>
      </c>
      <c r="I83" t="s">
        <v>150</v>
      </c>
      <c r="J83">
        <f t="shared" si="2"/>
        <v>5900</v>
      </c>
      <c r="L83">
        <f t="shared" si="3"/>
        <v>2.6339285714285716</v>
      </c>
    </row>
    <row r="84" spans="1:12" x14ac:dyDescent="0.25">
      <c r="A84">
        <v>1751</v>
      </c>
      <c r="B84" t="s">
        <v>10</v>
      </c>
      <c r="C84" t="s">
        <v>73</v>
      </c>
      <c r="D84" t="s">
        <v>35</v>
      </c>
      <c r="J84">
        <f t="shared" si="2"/>
        <v>0</v>
      </c>
      <c r="L84">
        <f t="shared" si="3"/>
        <v>0</v>
      </c>
    </row>
    <row r="85" spans="1:12" x14ac:dyDescent="0.25">
      <c r="A85">
        <v>1751</v>
      </c>
      <c r="B85" t="s">
        <v>11</v>
      </c>
      <c r="C85" t="s">
        <v>73</v>
      </c>
      <c r="D85" t="s">
        <v>35</v>
      </c>
      <c r="J85">
        <f t="shared" si="2"/>
        <v>0</v>
      </c>
      <c r="L85">
        <f t="shared" si="3"/>
        <v>0</v>
      </c>
    </row>
    <row r="86" spans="1:12" x14ac:dyDescent="0.25">
      <c r="A86">
        <v>1751</v>
      </c>
      <c r="B86" t="s">
        <v>39</v>
      </c>
      <c r="C86" t="s">
        <v>73</v>
      </c>
      <c r="D86" t="s">
        <v>35</v>
      </c>
      <c r="J86">
        <f t="shared" si="2"/>
        <v>0</v>
      </c>
      <c r="L86">
        <f t="shared" si="3"/>
        <v>0</v>
      </c>
    </row>
    <row r="87" spans="1:12" x14ac:dyDescent="0.25">
      <c r="A87">
        <v>1751</v>
      </c>
      <c r="B87" t="s">
        <v>79</v>
      </c>
      <c r="C87" t="s">
        <v>73</v>
      </c>
      <c r="D87" t="s">
        <v>35</v>
      </c>
      <c r="J87">
        <f t="shared" si="2"/>
        <v>0</v>
      </c>
      <c r="L87">
        <f t="shared" si="3"/>
        <v>0</v>
      </c>
    </row>
    <row r="88" spans="1:12" x14ac:dyDescent="0.25">
      <c r="A88">
        <v>1751</v>
      </c>
      <c r="B88" t="s">
        <v>103</v>
      </c>
      <c r="C88" t="s">
        <v>73</v>
      </c>
      <c r="D88" t="s">
        <v>35</v>
      </c>
      <c r="J88">
        <f t="shared" si="2"/>
        <v>0</v>
      </c>
      <c r="L88">
        <f t="shared" si="3"/>
        <v>0</v>
      </c>
    </row>
    <row r="89" spans="1:12" x14ac:dyDescent="0.25">
      <c r="A89">
        <v>1751</v>
      </c>
      <c r="B89" t="s">
        <v>44</v>
      </c>
      <c r="C89" t="s">
        <v>73</v>
      </c>
      <c r="D89" t="s">
        <v>35</v>
      </c>
      <c r="J89">
        <f t="shared" si="2"/>
        <v>0</v>
      </c>
      <c r="L89">
        <f t="shared" si="3"/>
        <v>0</v>
      </c>
    </row>
    <row r="90" spans="1:12" x14ac:dyDescent="0.25">
      <c r="A90">
        <v>1751</v>
      </c>
      <c r="B90" t="s">
        <v>97</v>
      </c>
      <c r="C90" t="s">
        <v>73</v>
      </c>
      <c r="D90" t="s">
        <v>35</v>
      </c>
      <c r="J90">
        <f t="shared" si="2"/>
        <v>0</v>
      </c>
      <c r="L90">
        <f t="shared" si="3"/>
        <v>0</v>
      </c>
    </row>
    <row r="91" spans="1:12" x14ac:dyDescent="0.25">
      <c r="A91">
        <v>1751</v>
      </c>
      <c r="B91" t="s">
        <v>12</v>
      </c>
      <c r="C91" t="s">
        <v>73</v>
      </c>
      <c r="D91" t="s">
        <v>35</v>
      </c>
      <c r="J91">
        <f t="shared" si="2"/>
        <v>0</v>
      </c>
      <c r="L91">
        <f t="shared" si="3"/>
        <v>0</v>
      </c>
    </row>
    <row r="92" spans="1:12" x14ac:dyDescent="0.25">
      <c r="A92">
        <v>1751</v>
      </c>
      <c r="B92" t="s">
        <v>82</v>
      </c>
      <c r="C92" t="s">
        <v>73</v>
      </c>
      <c r="D92" t="s">
        <v>35</v>
      </c>
      <c r="J92">
        <f t="shared" si="2"/>
        <v>0</v>
      </c>
      <c r="L92">
        <f t="shared" si="3"/>
        <v>0</v>
      </c>
    </row>
    <row r="93" spans="1:12" x14ac:dyDescent="0.25">
      <c r="A93">
        <v>1751</v>
      </c>
      <c r="B93" t="s">
        <v>34</v>
      </c>
      <c r="C93" t="s">
        <v>73</v>
      </c>
      <c r="D93" t="s">
        <v>35</v>
      </c>
      <c r="J93">
        <f t="shared" si="2"/>
        <v>0</v>
      </c>
      <c r="L93">
        <f t="shared" si="3"/>
        <v>0</v>
      </c>
    </row>
    <row r="94" spans="1:12" x14ac:dyDescent="0.25">
      <c r="A94">
        <v>1751</v>
      </c>
      <c r="B94" t="s">
        <v>13</v>
      </c>
      <c r="C94" t="s">
        <v>73</v>
      </c>
      <c r="D94" t="s">
        <v>35</v>
      </c>
      <c r="E94">
        <v>27</v>
      </c>
      <c r="J94">
        <f t="shared" si="2"/>
        <v>60480</v>
      </c>
      <c r="L94">
        <f t="shared" si="3"/>
        <v>27</v>
      </c>
    </row>
    <row r="95" spans="1:12" x14ac:dyDescent="0.25">
      <c r="A95">
        <v>1751</v>
      </c>
      <c r="B95" t="s">
        <v>14</v>
      </c>
      <c r="C95" t="s">
        <v>73</v>
      </c>
      <c r="D95" t="s">
        <v>35</v>
      </c>
      <c r="J95">
        <f t="shared" si="2"/>
        <v>0</v>
      </c>
      <c r="L95">
        <f t="shared" si="3"/>
        <v>0</v>
      </c>
    </row>
    <row r="96" spans="1:12" x14ac:dyDescent="0.25">
      <c r="A96">
        <v>1751</v>
      </c>
      <c r="B96" t="s">
        <v>23</v>
      </c>
      <c r="C96" t="s">
        <v>73</v>
      </c>
      <c r="D96" t="s">
        <v>35</v>
      </c>
      <c r="J96">
        <f t="shared" si="2"/>
        <v>0</v>
      </c>
      <c r="L96">
        <f t="shared" si="3"/>
        <v>0</v>
      </c>
    </row>
    <row r="97" spans="1:12" x14ac:dyDescent="0.25">
      <c r="A97">
        <v>1751</v>
      </c>
      <c r="B97" t="s">
        <v>27</v>
      </c>
      <c r="C97" t="s">
        <v>73</v>
      </c>
      <c r="D97" t="s">
        <v>35</v>
      </c>
      <c r="J97">
        <f t="shared" si="2"/>
        <v>0</v>
      </c>
      <c r="L97">
        <f t="shared" si="3"/>
        <v>0</v>
      </c>
    </row>
    <row r="98" spans="1:12" x14ac:dyDescent="0.25">
      <c r="A98">
        <v>1751</v>
      </c>
      <c r="B98" t="s">
        <v>15</v>
      </c>
      <c r="C98" t="s">
        <v>73</v>
      </c>
      <c r="D98" t="s">
        <v>35</v>
      </c>
      <c r="J98">
        <f t="shared" si="2"/>
        <v>0</v>
      </c>
      <c r="L98">
        <f t="shared" si="3"/>
        <v>0</v>
      </c>
    </row>
    <row r="99" spans="1:12" x14ac:dyDescent="0.25">
      <c r="A99">
        <v>1751</v>
      </c>
      <c r="B99" t="s">
        <v>93</v>
      </c>
      <c r="C99" t="s">
        <v>73</v>
      </c>
      <c r="D99" t="s">
        <v>35</v>
      </c>
      <c r="J99">
        <f t="shared" si="2"/>
        <v>0</v>
      </c>
      <c r="L99">
        <f t="shared" si="3"/>
        <v>0</v>
      </c>
    </row>
    <row r="100" spans="1:12" x14ac:dyDescent="0.25">
      <c r="A100">
        <v>1751</v>
      </c>
      <c r="B100" t="s">
        <v>42</v>
      </c>
      <c r="C100" t="s">
        <v>73</v>
      </c>
      <c r="D100" t="s">
        <v>35</v>
      </c>
      <c r="J100">
        <f t="shared" si="2"/>
        <v>0</v>
      </c>
      <c r="L100">
        <f t="shared" si="3"/>
        <v>0</v>
      </c>
    </row>
    <row r="101" spans="1:12" x14ac:dyDescent="0.25">
      <c r="A101">
        <v>1751</v>
      </c>
      <c r="B101" t="s">
        <v>83</v>
      </c>
      <c r="C101" t="s">
        <v>73</v>
      </c>
      <c r="D101" t="s">
        <v>35</v>
      </c>
      <c r="J101">
        <f t="shared" si="2"/>
        <v>0</v>
      </c>
      <c r="L101">
        <f t="shared" si="3"/>
        <v>0</v>
      </c>
    </row>
    <row r="102" spans="1:12" x14ac:dyDescent="0.25">
      <c r="A102">
        <v>1751</v>
      </c>
      <c r="B102" t="s">
        <v>47</v>
      </c>
      <c r="C102" t="s">
        <v>73</v>
      </c>
      <c r="D102" t="s">
        <v>35</v>
      </c>
      <c r="J102">
        <f t="shared" si="2"/>
        <v>0</v>
      </c>
      <c r="L102">
        <f t="shared" si="3"/>
        <v>0</v>
      </c>
    </row>
    <row r="103" spans="1:12" x14ac:dyDescent="0.25">
      <c r="A103">
        <v>1751</v>
      </c>
      <c r="B103" t="s">
        <v>16</v>
      </c>
      <c r="C103" t="s">
        <v>73</v>
      </c>
      <c r="D103" t="s">
        <v>35</v>
      </c>
      <c r="J103">
        <f t="shared" si="2"/>
        <v>0</v>
      </c>
      <c r="L103">
        <f t="shared" si="3"/>
        <v>0</v>
      </c>
    </row>
    <row r="104" spans="1:12" x14ac:dyDescent="0.25">
      <c r="A104">
        <v>1751</v>
      </c>
      <c r="B104" t="s">
        <v>17</v>
      </c>
      <c r="C104" t="s">
        <v>73</v>
      </c>
      <c r="D104" t="s">
        <v>35</v>
      </c>
      <c r="J104">
        <f t="shared" si="2"/>
        <v>0</v>
      </c>
      <c r="L104">
        <f t="shared" si="3"/>
        <v>0</v>
      </c>
    </row>
    <row r="105" spans="1:12" x14ac:dyDescent="0.25">
      <c r="A105">
        <v>1751</v>
      </c>
      <c r="B105" t="s">
        <v>18</v>
      </c>
      <c r="C105" t="s">
        <v>73</v>
      </c>
      <c r="D105" t="s">
        <v>35</v>
      </c>
      <c r="H105">
        <v>1185.5</v>
      </c>
      <c r="I105" t="s">
        <v>149</v>
      </c>
      <c r="J105">
        <f t="shared" si="2"/>
        <v>1185.5</v>
      </c>
      <c r="L105">
        <f t="shared" si="3"/>
        <v>0.52924107142857146</v>
      </c>
    </row>
    <row r="106" spans="1:12" x14ac:dyDescent="0.25">
      <c r="A106">
        <v>1751</v>
      </c>
      <c r="B106" t="s">
        <v>26</v>
      </c>
      <c r="C106" t="s">
        <v>73</v>
      </c>
      <c r="D106" t="s">
        <v>35</v>
      </c>
      <c r="J106">
        <f t="shared" si="2"/>
        <v>0</v>
      </c>
      <c r="L106">
        <f t="shared" si="3"/>
        <v>0</v>
      </c>
    </row>
    <row r="107" spans="1:12" x14ac:dyDescent="0.25">
      <c r="A107">
        <v>1751</v>
      </c>
      <c r="B107" t="s">
        <v>84</v>
      </c>
      <c r="C107" t="s">
        <v>73</v>
      </c>
      <c r="D107" t="s">
        <v>35</v>
      </c>
      <c r="J107">
        <f t="shared" si="2"/>
        <v>0</v>
      </c>
      <c r="L107">
        <f t="shared" si="3"/>
        <v>0</v>
      </c>
    </row>
    <row r="108" spans="1:12" x14ac:dyDescent="0.25">
      <c r="A108">
        <v>1751</v>
      </c>
      <c r="B108" t="s">
        <v>19</v>
      </c>
      <c r="C108" t="s">
        <v>73</v>
      </c>
      <c r="D108" t="s">
        <v>35</v>
      </c>
      <c r="J108">
        <f t="shared" si="2"/>
        <v>0</v>
      </c>
      <c r="L108">
        <f t="shared" si="3"/>
        <v>0</v>
      </c>
    </row>
    <row r="109" spans="1:12" x14ac:dyDescent="0.25">
      <c r="A109">
        <v>1751</v>
      </c>
      <c r="B109" t="s">
        <v>45</v>
      </c>
      <c r="C109" t="s">
        <v>73</v>
      </c>
      <c r="D109" t="s">
        <v>35</v>
      </c>
      <c r="J109">
        <f t="shared" si="2"/>
        <v>0</v>
      </c>
      <c r="L109">
        <f t="shared" si="3"/>
        <v>0</v>
      </c>
    </row>
    <row r="110" spans="1:12" x14ac:dyDescent="0.25">
      <c r="A110">
        <v>1751</v>
      </c>
      <c r="B110" t="s">
        <v>85</v>
      </c>
      <c r="C110" t="s">
        <v>73</v>
      </c>
      <c r="D110" t="s">
        <v>35</v>
      </c>
      <c r="J110">
        <f t="shared" si="2"/>
        <v>0</v>
      </c>
      <c r="L110">
        <f t="shared" si="3"/>
        <v>0</v>
      </c>
    </row>
    <row r="111" spans="1:12" x14ac:dyDescent="0.25">
      <c r="A111">
        <v>1751</v>
      </c>
      <c r="B111" t="s">
        <v>54</v>
      </c>
      <c r="C111" t="s">
        <v>73</v>
      </c>
      <c r="D111" t="s">
        <v>35</v>
      </c>
      <c r="H111">
        <v>7</v>
      </c>
      <c r="J111">
        <f t="shared" si="2"/>
        <v>7</v>
      </c>
      <c r="L111">
        <f t="shared" si="3"/>
        <v>3.1250000000000002E-3</v>
      </c>
    </row>
    <row r="112" spans="1:12" x14ac:dyDescent="0.25">
      <c r="A112">
        <v>1751</v>
      </c>
      <c r="B112" t="s">
        <v>95</v>
      </c>
      <c r="C112" t="s">
        <v>73</v>
      </c>
      <c r="D112" t="s">
        <v>35</v>
      </c>
      <c r="H112">
        <v>20</v>
      </c>
      <c r="J112">
        <f t="shared" si="2"/>
        <v>20</v>
      </c>
      <c r="L112">
        <f t="shared" si="3"/>
        <v>8.9285714285714281E-3</v>
      </c>
    </row>
    <row r="113" spans="1:12" x14ac:dyDescent="0.25">
      <c r="A113">
        <v>1751</v>
      </c>
      <c r="B113" t="s">
        <v>20</v>
      </c>
      <c r="C113" t="s">
        <v>73</v>
      </c>
      <c r="D113" t="s">
        <v>35</v>
      </c>
      <c r="J113">
        <f t="shared" si="2"/>
        <v>0</v>
      </c>
      <c r="L113">
        <f t="shared" si="3"/>
        <v>0</v>
      </c>
    </row>
    <row r="114" spans="1:12" x14ac:dyDescent="0.25">
      <c r="A114">
        <v>1751</v>
      </c>
      <c r="B114" t="s">
        <v>21</v>
      </c>
      <c r="C114" t="s">
        <v>73</v>
      </c>
      <c r="D114" t="s">
        <v>35</v>
      </c>
      <c r="J114">
        <f t="shared" si="2"/>
        <v>0</v>
      </c>
      <c r="L114">
        <f t="shared" si="3"/>
        <v>0</v>
      </c>
    </row>
    <row r="115" spans="1:12" x14ac:dyDescent="0.25">
      <c r="A115">
        <v>1751</v>
      </c>
      <c r="B115" t="s">
        <v>22</v>
      </c>
      <c r="C115" t="s">
        <v>73</v>
      </c>
      <c r="D115" t="s">
        <v>35</v>
      </c>
      <c r="J115">
        <f t="shared" si="2"/>
        <v>0</v>
      </c>
      <c r="L115">
        <f t="shared" si="3"/>
        <v>0</v>
      </c>
    </row>
    <row r="116" spans="1:12" x14ac:dyDescent="0.25">
      <c r="A116">
        <v>1751</v>
      </c>
      <c r="B116" t="s">
        <v>61</v>
      </c>
      <c r="C116" t="s">
        <v>73</v>
      </c>
      <c r="D116" t="s">
        <v>35</v>
      </c>
      <c r="J116">
        <f t="shared" si="2"/>
        <v>0</v>
      </c>
      <c r="L116">
        <f t="shared" si="3"/>
        <v>0</v>
      </c>
    </row>
    <row r="117" spans="1:12" x14ac:dyDescent="0.25">
      <c r="A117">
        <v>1751</v>
      </c>
      <c r="B117" t="s">
        <v>91</v>
      </c>
      <c r="C117" t="s">
        <v>73</v>
      </c>
      <c r="D117" t="s">
        <v>35</v>
      </c>
      <c r="J117">
        <f t="shared" si="2"/>
        <v>0</v>
      </c>
      <c r="L117">
        <f t="shared" si="3"/>
        <v>0</v>
      </c>
    </row>
    <row r="118" spans="1:12" x14ac:dyDescent="0.25">
      <c r="A118">
        <v>1751</v>
      </c>
      <c r="B118" t="s">
        <v>98</v>
      </c>
      <c r="C118" t="s">
        <v>73</v>
      </c>
      <c r="D118" t="s">
        <v>35</v>
      </c>
      <c r="J118">
        <f t="shared" si="2"/>
        <v>0</v>
      </c>
      <c r="L118">
        <f t="shared" si="3"/>
        <v>0</v>
      </c>
    </row>
    <row r="119" spans="1:12" x14ac:dyDescent="0.25">
      <c r="A119">
        <v>1751</v>
      </c>
      <c r="B119" t="s">
        <v>87</v>
      </c>
      <c r="C119" t="s">
        <v>73</v>
      </c>
      <c r="D119" t="s">
        <v>35</v>
      </c>
      <c r="J119">
        <f t="shared" si="2"/>
        <v>0</v>
      </c>
      <c r="L119">
        <f t="shared" si="3"/>
        <v>0</v>
      </c>
    </row>
    <row r="120" spans="1:12" x14ac:dyDescent="0.25">
      <c r="A120">
        <v>1751</v>
      </c>
      <c r="B120" t="s">
        <v>62</v>
      </c>
      <c r="C120" t="s">
        <v>73</v>
      </c>
      <c r="D120" t="s">
        <v>35</v>
      </c>
      <c r="J120">
        <f t="shared" si="2"/>
        <v>0</v>
      </c>
      <c r="L120">
        <f t="shared" si="3"/>
        <v>0</v>
      </c>
    </row>
    <row r="121" spans="1:12" x14ac:dyDescent="0.25">
      <c r="A121">
        <v>1751</v>
      </c>
      <c r="B121" t="s">
        <v>88</v>
      </c>
      <c r="C121" t="s">
        <v>73</v>
      </c>
      <c r="D121" t="s">
        <v>35</v>
      </c>
      <c r="J121">
        <f t="shared" si="2"/>
        <v>0</v>
      </c>
      <c r="L121">
        <f t="shared" si="3"/>
        <v>0</v>
      </c>
    </row>
    <row r="122" spans="1:12" x14ac:dyDescent="0.25">
      <c r="A122">
        <v>1751</v>
      </c>
      <c r="B122" t="s">
        <v>63</v>
      </c>
      <c r="C122" t="s">
        <v>73</v>
      </c>
      <c r="D122" t="s">
        <v>35</v>
      </c>
      <c r="J122">
        <f t="shared" si="2"/>
        <v>0</v>
      </c>
      <c r="L122">
        <f t="shared" si="3"/>
        <v>0</v>
      </c>
    </row>
    <row r="123" spans="1:12" x14ac:dyDescent="0.25">
      <c r="A123">
        <v>1751</v>
      </c>
      <c r="B123" t="s">
        <v>89</v>
      </c>
      <c r="C123" t="s">
        <v>73</v>
      </c>
      <c r="D123" t="s">
        <v>35</v>
      </c>
      <c r="J123">
        <f t="shared" si="2"/>
        <v>0</v>
      </c>
      <c r="L123">
        <f t="shared" si="3"/>
        <v>0</v>
      </c>
    </row>
    <row r="124" spans="1:12" x14ac:dyDescent="0.25">
      <c r="A124">
        <v>1751</v>
      </c>
      <c r="B124" t="s">
        <v>70</v>
      </c>
      <c r="C124" t="s">
        <v>73</v>
      </c>
      <c r="D124" t="s">
        <v>35</v>
      </c>
      <c r="J124">
        <f t="shared" si="2"/>
        <v>0</v>
      </c>
      <c r="L124">
        <f t="shared" si="3"/>
        <v>0</v>
      </c>
    </row>
    <row r="125" spans="1:12" x14ac:dyDescent="0.25">
      <c r="A125">
        <v>1751</v>
      </c>
      <c r="B125" t="s">
        <v>64</v>
      </c>
      <c r="C125" t="s">
        <v>73</v>
      </c>
      <c r="D125" t="s">
        <v>35</v>
      </c>
      <c r="J125">
        <f t="shared" si="2"/>
        <v>0</v>
      </c>
      <c r="L125">
        <f t="shared" si="3"/>
        <v>0</v>
      </c>
    </row>
    <row r="126" spans="1:12" x14ac:dyDescent="0.25">
      <c r="A126">
        <v>1751</v>
      </c>
      <c r="B126" t="s">
        <v>65</v>
      </c>
      <c r="C126" t="s">
        <v>73</v>
      </c>
      <c r="D126" t="s">
        <v>35</v>
      </c>
      <c r="J126">
        <f t="shared" si="2"/>
        <v>0</v>
      </c>
      <c r="L126">
        <f t="shared" si="3"/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C988A-EF5D-4D8D-966B-955CB5EB687E}">
  <dimension ref="A1:O129"/>
  <sheetViews>
    <sheetView topLeftCell="A53" workbookViewId="0">
      <selection activeCell="H87" sqref="H87"/>
    </sheetView>
  </sheetViews>
  <sheetFormatPr defaultRowHeight="15" x14ac:dyDescent="0.25"/>
  <cols>
    <col min="1" max="1" width="10.85546875" customWidth="1"/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5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  <c r="O1" s="1"/>
    </row>
    <row r="2" spans="1:15" x14ac:dyDescent="0.25">
      <c r="A2">
        <v>1751</v>
      </c>
      <c r="B2" t="s">
        <v>133</v>
      </c>
      <c r="C2" t="s">
        <v>74</v>
      </c>
      <c r="D2" t="s">
        <v>33</v>
      </c>
      <c r="F2">
        <v>185</v>
      </c>
      <c r="G2">
        <v>2</v>
      </c>
      <c r="H2">
        <v>24</v>
      </c>
      <c r="J2">
        <f>(E2*2240)+(F2*112)+(G2*28)+H2</f>
        <v>20800</v>
      </c>
      <c r="K2" s="1"/>
      <c r="L2">
        <f>J2/2240</f>
        <v>9.2857142857142865</v>
      </c>
      <c r="O2" s="1"/>
    </row>
    <row r="3" spans="1:15" x14ac:dyDescent="0.25">
      <c r="A3">
        <v>1751</v>
      </c>
      <c r="B3" t="s">
        <v>55</v>
      </c>
      <c r="C3" t="s">
        <v>74</v>
      </c>
      <c r="D3" t="s">
        <v>33</v>
      </c>
      <c r="J3">
        <f>(E3*2240)+(F3*112)+(G3*28)+H3</f>
        <v>0</v>
      </c>
      <c r="L3">
        <f>J3/2240</f>
        <v>0</v>
      </c>
    </row>
    <row r="4" spans="1:15" x14ac:dyDescent="0.25">
      <c r="A4">
        <v>1751</v>
      </c>
      <c r="B4" t="s">
        <v>57</v>
      </c>
      <c r="C4" t="s">
        <v>74</v>
      </c>
      <c r="D4" t="s">
        <v>33</v>
      </c>
      <c r="J4">
        <f t="shared" ref="J4:J69" si="0">(E4*2240)+(F4*112)+(G4*28)+H4</f>
        <v>0</v>
      </c>
      <c r="L4">
        <f t="shared" ref="L4:L69" si="1">J4/2240</f>
        <v>0</v>
      </c>
    </row>
    <row r="5" spans="1:15" x14ac:dyDescent="0.25">
      <c r="A5">
        <v>1751</v>
      </c>
      <c r="B5" t="s">
        <v>36</v>
      </c>
      <c r="C5" t="s">
        <v>74</v>
      </c>
      <c r="D5" t="s">
        <v>33</v>
      </c>
      <c r="J5">
        <f t="shared" si="0"/>
        <v>0</v>
      </c>
      <c r="L5">
        <f t="shared" si="1"/>
        <v>0</v>
      </c>
    </row>
    <row r="6" spans="1:15" x14ac:dyDescent="0.25">
      <c r="A6">
        <v>1751</v>
      </c>
      <c r="B6" t="s">
        <v>4</v>
      </c>
      <c r="C6" t="s">
        <v>74</v>
      </c>
      <c r="D6" t="s">
        <v>33</v>
      </c>
      <c r="J6">
        <f t="shared" si="0"/>
        <v>0</v>
      </c>
      <c r="L6">
        <f t="shared" si="1"/>
        <v>0</v>
      </c>
    </row>
    <row r="7" spans="1:15" x14ac:dyDescent="0.25">
      <c r="A7">
        <v>1751</v>
      </c>
      <c r="B7" t="s">
        <v>58</v>
      </c>
      <c r="C7" t="s">
        <v>74</v>
      </c>
      <c r="D7" t="s">
        <v>33</v>
      </c>
      <c r="J7">
        <f t="shared" si="0"/>
        <v>0</v>
      </c>
      <c r="L7">
        <f t="shared" si="1"/>
        <v>0</v>
      </c>
    </row>
    <row r="8" spans="1:15" x14ac:dyDescent="0.25">
      <c r="A8">
        <v>1751</v>
      </c>
      <c r="B8" t="s">
        <v>69</v>
      </c>
      <c r="C8" t="s">
        <v>74</v>
      </c>
      <c r="D8" t="s">
        <v>33</v>
      </c>
      <c r="J8">
        <f t="shared" si="0"/>
        <v>0</v>
      </c>
      <c r="L8">
        <f t="shared" si="1"/>
        <v>0</v>
      </c>
    </row>
    <row r="9" spans="1:15" x14ac:dyDescent="0.25">
      <c r="A9">
        <v>1751</v>
      </c>
      <c r="B9" t="s">
        <v>43</v>
      </c>
      <c r="C9" t="s">
        <v>74</v>
      </c>
      <c r="D9" t="s">
        <v>33</v>
      </c>
      <c r="J9">
        <f t="shared" si="0"/>
        <v>0</v>
      </c>
      <c r="L9">
        <f t="shared" si="1"/>
        <v>0</v>
      </c>
    </row>
    <row r="10" spans="1:15" x14ac:dyDescent="0.25">
      <c r="A10">
        <v>1751</v>
      </c>
      <c r="B10" t="s">
        <v>76</v>
      </c>
      <c r="C10" t="s">
        <v>74</v>
      </c>
      <c r="D10" t="s">
        <v>33</v>
      </c>
      <c r="J10">
        <f t="shared" si="0"/>
        <v>0</v>
      </c>
      <c r="L10">
        <f t="shared" si="1"/>
        <v>0</v>
      </c>
    </row>
    <row r="11" spans="1:15" x14ac:dyDescent="0.25">
      <c r="A11">
        <v>1751</v>
      </c>
      <c r="B11" t="s">
        <v>5</v>
      </c>
      <c r="C11" t="s">
        <v>74</v>
      </c>
      <c r="D11" t="s">
        <v>33</v>
      </c>
      <c r="F11">
        <v>25</v>
      </c>
      <c r="J11">
        <f t="shared" si="0"/>
        <v>2800</v>
      </c>
      <c r="L11">
        <f t="shared" si="1"/>
        <v>1.25</v>
      </c>
    </row>
    <row r="12" spans="1:15" x14ac:dyDescent="0.25">
      <c r="A12">
        <v>1751</v>
      </c>
      <c r="B12" t="s">
        <v>59</v>
      </c>
      <c r="C12" t="s">
        <v>74</v>
      </c>
      <c r="D12" t="s">
        <v>33</v>
      </c>
      <c r="J12">
        <f t="shared" si="0"/>
        <v>0</v>
      </c>
      <c r="L12">
        <f t="shared" si="1"/>
        <v>0</v>
      </c>
    </row>
    <row r="13" spans="1:15" x14ac:dyDescent="0.25">
      <c r="A13">
        <v>1751</v>
      </c>
      <c r="B13" t="s">
        <v>6</v>
      </c>
      <c r="C13" t="s">
        <v>74</v>
      </c>
      <c r="D13" t="s">
        <v>33</v>
      </c>
      <c r="F13">
        <v>130051</v>
      </c>
      <c r="G13">
        <v>2</v>
      </c>
      <c r="H13">
        <v>18</v>
      </c>
      <c r="J13">
        <f t="shared" si="0"/>
        <v>14565786</v>
      </c>
      <c r="L13">
        <f t="shared" si="1"/>
        <v>6502.5830357142859</v>
      </c>
    </row>
    <row r="14" spans="1:15" x14ac:dyDescent="0.25">
      <c r="A14">
        <v>1751</v>
      </c>
      <c r="B14" t="s">
        <v>96</v>
      </c>
      <c r="C14" t="s">
        <v>74</v>
      </c>
      <c r="D14" t="s">
        <v>33</v>
      </c>
      <c r="J14">
        <f t="shared" si="0"/>
        <v>0</v>
      </c>
      <c r="L14">
        <f t="shared" si="1"/>
        <v>0</v>
      </c>
    </row>
    <row r="15" spans="1:15" x14ac:dyDescent="0.25">
      <c r="A15">
        <v>1751</v>
      </c>
      <c r="B15" t="s">
        <v>60</v>
      </c>
      <c r="C15" t="s">
        <v>74</v>
      </c>
      <c r="D15" t="s">
        <v>33</v>
      </c>
      <c r="J15">
        <f t="shared" si="0"/>
        <v>0</v>
      </c>
      <c r="L15">
        <f t="shared" si="1"/>
        <v>0</v>
      </c>
    </row>
    <row r="16" spans="1:15" x14ac:dyDescent="0.25">
      <c r="A16">
        <v>1751</v>
      </c>
      <c r="B16" t="s">
        <v>7</v>
      </c>
      <c r="C16" t="s">
        <v>74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1751</v>
      </c>
      <c r="B17" t="s">
        <v>37</v>
      </c>
      <c r="C17" t="s">
        <v>74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1751</v>
      </c>
      <c r="B18" t="s">
        <v>8</v>
      </c>
      <c r="C18" t="s">
        <v>74</v>
      </c>
      <c r="D18" t="s">
        <v>33</v>
      </c>
      <c r="F18">
        <v>5</v>
      </c>
      <c r="G18">
        <v>2</v>
      </c>
      <c r="H18">
        <v>7</v>
      </c>
      <c r="J18">
        <f t="shared" si="0"/>
        <v>623</v>
      </c>
      <c r="L18">
        <f t="shared" si="1"/>
        <v>0.27812500000000001</v>
      </c>
    </row>
    <row r="19" spans="1:12" x14ac:dyDescent="0.25">
      <c r="A19">
        <v>1751</v>
      </c>
      <c r="B19" t="s">
        <v>40</v>
      </c>
      <c r="C19" t="s">
        <v>74</v>
      </c>
      <c r="D19" t="s">
        <v>33</v>
      </c>
      <c r="J19">
        <f t="shared" si="0"/>
        <v>0</v>
      </c>
      <c r="L19">
        <f t="shared" si="1"/>
        <v>0</v>
      </c>
    </row>
    <row r="20" spans="1:12" x14ac:dyDescent="0.25">
      <c r="A20">
        <v>1751</v>
      </c>
      <c r="B20" t="s">
        <v>77</v>
      </c>
      <c r="C20" t="s">
        <v>74</v>
      </c>
      <c r="D20" t="s">
        <v>33</v>
      </c>
      <c r="J20">
        <f t="shared" si="0"/>
        <v>0</v>
      </c>
      <c r="L20">
        <f t="shared" si="1"/>
        <v>0</v>
      </c>
    </row>
    <row r="21" spans="1:12" x14ac:dyDescent="0.25">
      <c r="A21">
        <v>1751</v>
      </c>
      <c r="B21" t="s">
        <v>78</v>
      </c>
      <c r="C21" t="s">
        <v>74</v>
      </c>
      <c r="D21" t="s">
        <v>33</v>
      </c>
      <c r="J21">
        <f t="shared" si="0"/>
        <v>0</v>
      </c>
      <c r="L21">
        <f t="shared" si="1"/>
        <v>0</v>
      </c>
    </row>
    <row r="22" spans="1:12" x14ac:dyDescent="0.25">
      <c r="A22">
        <v>1751</v>
      </c>
      <c r="B22" t="s">
        <v>46</v>
      </c>
      <c r="C22" t="s">
        <v>74</v>
      </c>
      <c r="D22" t="s">
        <v>33</v>
      </c>
      <c r="J22">
        <f t="shared" si="0"/>
        <v>0</v>
      </c>
      <c r="L22">
        <f t="shared" si="1"/>
        <v>0</v>
      </c>
    </row>
    <row r="23" spans="1:12" x14ac:dyDescent="0.25">
      <c r="A23">
        <v>1751</v>
      </c>
      <c r="B23" t="s">
        <v>9</v>
      </c>
      <c r="C23" t="s">
        <v>74</v>
      </c>
      <c r="D23" t="s">
        <v>33</v>
      </c>
      <c r="H23">
        <f>612*200</f>
        <v>122400</v>
      </c>
      <c r="I23" t="s">
        <v>137</v>
      </c>
      <c r="J23">
        <f t="shared" si="0"/>
        <v>122400</v>
      </c>
      <c r="L23">
        <f t="shared" si="1"/>
        <v>54.642857142857146</v>
      </c>
    </row>
    <row r="24" spans="1:12" x14ac:dyDescent="0.25">
      <c r="A24">
        <v>1751</v>
      </c>
      <c r="B24" t="s">
        <v>10</v>
      </c>
      <c r="C24" t="s">
        <v>74</v>
      </c>
      <c r="D24" t="s">
        <v>33</v>
      </c>
      <c r="F24">
        <v>21</v>
      </c>
      <c r="H24">
        <v>14</v>
      </c>
      <c r="J24">
        <f t="shared" si="0"/>
        <v>2366</v>
      </c>
      <c r="L24">
        <f t="shared" si="1"/>
        <v>1.0562499999999999</v>
      </c>
    </row>
    <row r="25" spans="1:12" x14ac:dyDescent="0.25">
      <c r="A25">
        <v>1751</v>
      </c>
      <c r="B25" t="s">
        <v>11</v>
      </c>
      <c r="C25" t="s">
        <v>74</v>
      </c>
      <c r="D25" t="s">
        <v>33</v>
      </c>
      <c r="F25">
        <v>120</v>
      </c>
      <c r="G25">
        <v>3</v>
      </c>
      <c r="J25">
        <f t="shared" si="0"/>
        <v>13524</v>
      </c>
      <c r="L25">
        <f t="shared" si="1"/>
        <v>6.0374999999999996</v>
      </c>
    </row>
    <row r="26" spans="1:12" x14ac:dyDescent="0.25">
      <c r="A26">
        <v>1751</v>
      </c>
      <c r="B26" t="s">
        <v>39</v>
      </c>
      <c r="C26" t="s">
        <v>74</v>
      </c>
      <c r="D26" t="s">
        <v>33</v>
      </c>
      <c r="H26">
        <v>76</v>
      </c>
      <c r="J26">
        <f t="shared" si="0"/>
        <v>76</v>
      </c>
      <c r="L26">
        <f t="shared" si="1"/>
        <v>3.3928571428571426E-2</v>
      </c>
    </row>
    <row r="27" spans="1:12" x14ac:dyDescent="0.25">
      <c r="A27">
        <v>1751</v>
      </c>
      <c r="B27" t="s">
        <v>79</v>
      </c>
      <c r="C27" t="s">
        <v>74</v>
      </c>
      <c r="D27" t="s">
        <v>33</v>
      </c>
      <c r="H27">
        <v>312</v>
      </c>
      <c r="J27">
        <f t="shared" si="0"/>
        <v>312</v>
      </c>
      <c r="L27">
        <f t="shared" si="1"/>
        <v>0.13928571428571429</v>
      </c>
    </row>
    <row r="28" spans="1:12" x14ac:dyDescent="0.25">
      <c r="A28">
        <v>1751</v>
      </c>
      <c r="B28" t="s">
        <v>103</v>
      </c>
      <c r="C28" t="s">
        <v>74</v>
      </c>
      <c r="D28" t="s">
        <v>33</v>
      </c>
      <c r="J28">
        <f t="shared" si="0"/>
        <v>0</v>
      </c>
      <c r="L28">
        <f t="shared" si="1"/>
        <v>0</v>
      </c>
    </row>
    <row r="29" spans="1:12" x14ac:dyDescent="0.25">
      <c r="A29">
        <v>1751</v>
      </c>
      <c r="B29" t="s">
        <v>44</v>
      </c>
      <c r="C29" t="s">
        <v>74</v>
      </c>
      <c r="D29" t="s">
        <v>33</v>
      </c>
      <c r="J29">
        <f t="shared" si="0"/>
        <v>0</v>
      </c>
      <c r="L29">
        <f t="shared" si="1"/>
        <v>0</v>
      </c>
    </row>
    <row r="30" spans="1:12" x14ac:dyDescent="0.25">
      <c r="A30">
        <v>1751</v>
      </c>
      <c r="B30" t="s">
        <v>97</v>
      </c>
      <c r="C30" t="s">
        <v>74</v>
      </c>
      <c r="D30" t="s">
        <v>33</v>
      </c>
      <c r="J30">
        <f t="shared" si="0"/>
        <v>0</v>
      </c>
      <c r="L30">
        <f t="shared" si="1"/>
        <v>0</v>
      </c>
    </row>
    <row r="31" spans="1:12" x14ac:dyDescent="0.25">
      <c r="A31">
        <v>1751</v>
      </c>
      <c r="B31" t="s">
        <v>12</v>
      </c>
      <c r="C31" t="s">
        <v>74</v>
      </c>
      <c r="D31" t="s">
        <v>33</v>
      </c>
      <c r="H31">
        <v>30</v>
      </c>
      <c r="J31">
        <f t="shared" si="0"/>
        <v>30</v>
      </c>
      <c r="L31">
        <f t="shared" si="1"/>
        <v>1.3392857142857142E-2</v>
      </c>
    </row>
    <row r="32" spans="1:12" x14ac:dyDescent="0.25">
      <c r="A32">
        <v>1751</v>
      </c>
      <c r="B32" t="s">
        <v>82</v>
      </c>
      <c r="C32" t="s">
        <v>74</v>
      </c>
      <c r="D32" t="s">
        <v>33</v>
      </c>
      <c r="J32">
        <f t="shared" si="0"/>
        <v>0</v>
      </c>
      <c r="L32">
        <f t="shared" si="1"/>
        <v>0</v>
      </c>
    </row>
    <row r="33" spans="1:12" x14ac:dyDescent="0.25">
      <c r="A33">
        <v>1751</v>
      </c>
      <c r="B33" t="s">
        <v>34</v>
      </c>
      <c r="C33" t="s">
        <v>74</v>
      </c>
      <c r="D33" t="s">
        <v>33</v>
      </c>
      <c r="J33">
        <f t="shared" si="0"/>
        <v>0</v>
      </c>
      <c r="L33">
        <f t="shared" si="1"/>
        <v>0</v>
      </c>
    </row>
    <row r="34" spans="1:12" x14ac:dyDescent="0.25">
      <c r="A34">
        <v>1751</v>
      </c>
      <c r="B34" t="s">
        <v>13</v>
      </c>
      <c r="C34" t="s">
        <v>74</v>
      </c>
      <c r="D34" t="s">
        <v>33</v>
      </c>
      <c r="E34">
        <v>539</v>
      </c>
      <c r="F34">
        <v>16</v>
      </c>
      <c r="G34">
        <v>1</v>
      </c>
      <c r="J34">
        <f t="shared" si="0"/>
        <v>1209180</v>
      </c>
      <c r="L34">
        <f t="shared" si="1"/>
        <v>539.8125</v>
      </c>
    </row>
    <row r="35" spans="1:12" x14ac:dyDescent="0.25">
      <c r="A35">
        <v>1751</v>
      </c>
      <c r="B35" t="s">
        <v>14</v>
      </c>
      <c r="C35" t="s">
        <v>74</v>
      </c>
      <c r="D35" t="s">
        <v>33</v>
      </c>
      <c r="J35">
        <f t="shared" si="0"/>
        <v>0</v>
      </c>
      <c r="L35">
        <f t="shared" si="1"/>
        <v>0</v>
      </c>
    </row>
    <row r="36" spans="1:12" x14ac:dyDescent="0.25">
      <c r="A36">
        <v>1751</v>
      </c>
      <c r="B36" t="s">
        <v>23</v>
      </c>
      <c r="C36" t="s">
        <v>74</v>
      </c>
      <c r="D36" t="s">
        <v>33</v>
      </c>
      <c r="J36">
        <f t="shared" si="0"/>
        <v>0</v>
      </c>
      <c r="L36">
        <f t="shared" si="1"/>
        <v>0</v>
      </c>
    </row>
    <row r="37" spans="1:12" x14ac:dyDescent="0.25">
      <c r="A37">
        <v>1751</v>
      </c>
      <c r="B37" t="s">
        <v>27</v>
      </c>
      <c r="C37" t="s">
        <v>74</v>
      </c>
      <c r="D37" t="s">
        <v>33</v>
      </c>
      <c r="H37">
        <v>249654</v>
      </c>
      <c r="I37" t="s">
        <v>136</v>
      </c>
      <c r="J37">
        <f t="shared" si="0"/>
        <v>249654</v>
      </c>
      <c r="L37">
        <f t="shared" si="1"/>
        <v>111.45267857142858</v>
      </c>
    </row>
    <row r="38" spans="1:12" x14ac:dyDescent="0.25">
      <c r="A38">
        <v>1751</v>
      </c>
      <c r="B38" t="s">
        <v>15</v>
      </c>
      <c r="C38" t="s">
        <v>74</v>
      </c>
      <c r="D38" t="s">
        <v>33</v>
      </c>
      <c r="J38">
        <f t="shared" si="0"/>
        <v>0</v>
      </c>
      <c r="L38">
        <f t="shared" si="1"/>
        <v>0</v>
      </c>
    </row>
    <row r="39" spans="1:12" x14ac:dyDescent="0.25">
      <c r="A39">
        <v>1751</v>
      </c>
      <c r="B39" t="s">
        <v>42</v>
      </c>
      <c r="C39" t="s">
        <v>74</v>
      </c>
      <c r="D39" t="s">
        <v>33</v>
      </c>
      <c r="J39">
        <f t="shared" si="0"/>
        <v>0</v>
      </c>
      <c r="L39">
        <f t="shared" si="1"/>
        <v>0</v>
      </c>
    </row>
    <row r="40" spans="1:12" x14ac:dyDescent="0.25">
      <c r="A40">
        <v>1751</v>
      </c>
      <c r="B40" t="s">
        <v>83</v>
      </c>
      <c r="C40" t="s">
        <v>74</v>
      </c>
      <c r="D40" t="s">
        <v>33</v>
      </c>
      <c r="J40">
        <f t="shared" si="0"/>
        <v>0</v>
      </c>
      <c r="L40">
        <f t="shared" si="1"/>
        <v>0</v>
      </c>
    </row>
    <row r="41" spans="1:12" x14ac:dyDescent="0.25">
      <c r="A41">
        <v>1751</v>
      </c>
      <c r="B41" t="s">
        <v>47</v>
      </c>
      <c r="C41" t="s">
        <v>74</v>
      </c>
      <c r="D41" t="s">
        <v>33</v>
      </c>
      <c r="H41">
        <v>170</v>
      </c>
      <c r="I41" t="s">
        <v>134</v>
      </c>
      <c r="J41">
        <f t="shared" si="0"/>
        <v>170</v>
      </c>
      <c r="L41">
        <f t="shared" si="1"/>
        <v>7.5892857142857137E-2</v>
      </c>
    </row>
    <row r="42" spans="1:12" x14ac:dyDescent="0.25">
      <c r="A42">
        <v>1751</v>
      </c>
      <c r="B42" t="s">
        <v>16</v>
      </c>
      <c r="C42" t="s">
        <v>74</v>
      </c>
      <c r="D42" t="s">
        <v>33</v>
      </c>
      <c r="J42">
        <f t="shared" si="0"/>
        <v>0</v>
      </c>
      <c r="L42">
        <f t="shared" si="1"/>
        <v>0</v>
      </c>
    </row>
    <row r="43" spans="1:12" x14ac:dyDescent="0.25">
      <c r="A43">
        <v>1751</v>
      </c>
      <c r="B43" t="s">
        <v>17</v>
      </c>
      <c r="C43" t="s">
        <v>74</v>
      </c>
      <c r="D43" t="s">
        <v>33</v>
      </c>
      <c r="J43">
        <f t="shared" si="0"/>
        <v>0</v>
      </c>
      <c r="L43">
        <f t="shared" si="1"/>
        <v>0</v>
      </c>
    </row>
    <row r="44" spans="1:12" x14ac:dyDescent="0.25">
      <c r="A44">
        <v>1751</v>
      </c>
      <c r="B44" t="s">
        <v>18</v>
      </c>
      <c r="C44" t="s">
        <v>74</v>
      </c>
      <c r="D44" t="s">
        <v>33</v>
      </c>
      <c r="H44">
        <v>116520</v>
      </c>
      <c r="I44" t="s">
        <v>135</v>
      </c>
      <c r="J44">
        <f t="shared" si="0"/>
        <v>116520</v>
      </c>
      <c r="L44">
        <f t="shared" si="1"/>
        <v>52.017857142857146</v>
      </c>
    </row>
    <row r="45" spans="1:12" x14ac:dyDescent="0.25">
      <c r="A45">
        <v>1751</v>
      </c>
      <c r="B45" t="s">
        <v>26</v>
      </c>
      <c r="C45" t="s">
        <v>74</v>
      </c>
      <c r="D45" t="s">
        <v>33</v>
      </c>
      <c r="J45">
        <f t="shared" si="0"/>
        <v>0</v>
      </c>
      <c r="L45">
        <f t="shared" si="1"/>
        <v>0</v>
      </c>
    </row>
    <row r="46" spans="1:12" x14ac:dyDescent="0.25">
      <c r="A46">
        <v>1751</v>
      </c>
      <c r="B46" t="s">
        <v>84</v>
      </c>
      <c r="C46" t="s">
        <v>74</v>
      </c>
      <c r="D46" t="s">
        <v>33</v>
      </c>
      <c r="J46">
        <f t="shared" si="0"/>
        <v>0</v>
      </c>
      <c r="L46">
        <f t="shared" si="1"/>
        <v>0</v>
      </c>
    </row>
    <row r="47" spans="1:12" x14ac:dyDescent="0.25">
      <c r="A47">
        <v>1751</v>
      </c>
      <c r="B47" t="s">
        <v>19</v>
      </c>
      <c r="C47" t="s">
        <v>74</v>
      </c>
      <c r="D47" t="s">
        <v>33</v>
      </c>
      <c r="J47">
        <f t="shared" si="0"/>
        <v>0</v>
      </c>
      <c r="L47">
        <f t="shared" si="1"/>
        <v>0</v>
      </c>
    </row>
    <row r="48" spans="1:12" x14ac:dyDescent="0.25">
      <c r="A48">
        <v>1751</v>
      </c>
      <c r="B48" t="s">
        <v>45</v>
      </c>
      <c r="C48" t="s">
        <v>74</v>
      </c>
      <c r="D48" t="s">
        <v>33</v>
      </c>
      <c r="J48">
        <f t="shared" si="0"/>
        <v>0</v>
      </c>
      <c r="L48">
        <f t="shared" si="1"/>
        <v>0</v>
      </c>
    </row>
    <row r="49" spans="1:12" x14ac:dyDescent="0.25">
      <c r="A49">
        <v>1751</v>
      </c>
      <c r="B49" t="s">
        <v>85</v>
      </c>
      <c r="C49" t="s">
        <v>74</v>
      </c>
      <c r="D49" t="s">
        <v>33</v>
      </c>
      <c r="J49">
        <f t="shared" si="0"/>
        <v>0</v>
      </c>
      <c r="L49">
        <f t="shared" si="1"/>
        <v>0</v>
      </c>
    </row>
    <row r="50" spans="1:12" x14ac:dyDescent="0.25">
      <c r="A50">
        <v>1751</v>
      </c>
      <c r="B50" t="s">
        <v>54</v>
      </c>
      <c r="C50" t="s">
        <v>74</v>
      </c>
      <c r="D50" t="s">
        <v>33</v>
      </c>
      <c r="H50">
        <v>542</v>
      </c>
      <c r="J50">
        <f t="shared" si="0"/>
        <v>542</v>
      </c>
      <c r="L50">
        <f t="shared" si="1"/>
        <v>0.24196428571428572</v>
      </c>
    </row>
    <row r="51" spans="1:12" x14ac:dyDescent="0.25">
      <c r="A51">
        <v>1751</v>
      </c>
      <c r="B51" t="s">
        <v>95</v>
      </c>
      <c r="C51" t="s">
        <v>74</v>
      </c>
      <c r="D51" t="s">
        <v>33</v>
      </c>
      <c r="H51">
        <v>733</v>
      </c>
      <c r="J51">
        <f t="shared" si="0"/>
        <v>733</v>
      </c>
      <c r="L51">
        <f t="shared" si="1"/>
        <v>0.32723214285714286</v>
      </c>
    </row>
    <row r="52" spans="1:12" x14ac:dyDescent="0.25">
      <c r="A52">
        <v>1751</v>
      </c>
      <c r="B52" t="s">
        <v>20</v>
      </c>
      <c r="C52" t="s">
        <v>74</v>
      </c>
      <c r="D52" t="s">
        <v>33</v>
      </c>
      <c r="J52">
        <f t="shared" si="0"/>
        <v>0</v>
      </c>
      <c r="L52">
        <f t="shared" si="1"/>
        <v>0</v>
      </c>
    </row>
    <row r="53" spans="1:12" x14ac:dyDescent="0.25">
      <c r="A53">
        <v>1751</v>
      </c>
      <c r="B53" t="s">
        <v>21</v>
      </c>
      <c r="C53" t="s">
        <v>74</v>
      </c>
      <c r="D53" t="s">
        <v>33</v>
      </c>
      <c r="H53">
        <v>3</v>
      </c>
      <c r="J53">
        <f t="shared" si="0"/>
        <v>3</v>
      </c>
      <c r="L53">
        <f t="shared" si="1"/>
        <v>1.3392857142857143E-3</v>
      </c>
    </row>
    <row r="54" spans="1:12" x14ac:dyDescent="0.25">
      <c r="A54">
        <v>1751</v>
      </c>
      <c r="B54" t="s">
        <v>22</v>
      </c>
      <c r="C54" t="s">
        <v>74</v>
      </c>
      <c r="D54" t="s">
        <v>33</v>
      </c>
      <c r="J54">
        <f t="shared" si="0"/>
        <v>0</v>
      </c>
      <c r="L54">
        <f t="shared" si="1"/>
        <v>0</v>
      </c>
    </row>
    <row r="55" spans="1:12" x14ac:dyDescent="0.25">
      <c r="A55">
        <v>1751</v>
      </c>
      <c r="B55" t="s">
        <v>61</v>
      </c>
      <c r="C55" t="s">
        <v>74</v>
      </c>
      <c r="D55" t="s">
        <v>33</v>
      </c>
      <c r="E55">
        <v>33</v>
      </c>
      <c r="J55">
        <f t="shared" si="0"/>
        <v>73920</v>
      </c>
      <c r="L55">
        <f t="shared" si="1"/>
        <v>33</v>
      </c>
    </row>
    <row r="56" spans="1:12" x14ac:dyDescent="0.25">
      <c r="A56">
        <v>1751</v>
      </c>
      <c r="B56" t="s">
        <v>111</v>
      </c>
      <c r="C56" t="s">
        <v>74</v>
      </c>
      <c r="D56" t="s">
        <v>33</v>
      </c>
      <c r="E56">
        <v>7</v>
      </c>
      <c r="J56">
        <f t="shared" si="0"/>
        <v>15680</v>
      </c>
      <c r="L56">
        <f t="shared" si="1"/>
        <v>7</v>
      </c>
    </row>
    <row r="57" spans="1:12" x14ac:dyDescent="0.25">
      <c r="A57">
        <v>1751</v>
      </c>
      <c r="B57" t="s">
        <v>99</v>
      </c>
      <c r="C57" t="s">
        <v>74</v>
      </c>
      <c r="D57" t="s">
        <v>33</v>
      </c>
      <c r="J57">
        <f t="shared" si="0"/>
        <v>0</v>
      </c>
      <c r="L57">
        <f t="shared" si="1"/>
        <v>0</v>
      </c>
    </row>
    <row r="58" spans="1:12" x14ac:dyDescent="0.25">
      <c r="A58">
        <v>1751</v>
      </c>
      <c r="B58" t="s">
        <v>87</v>
      </c>
      <c r="C58" t="s">
        <v>74</v>
      </c>
      <c r="D58" t="s">
        <v>33</v>
      </c>
      <c r="E58">
        <v>10</v>
      </c>
      <c r="J58">
        <f t="shared" si="0"/>
        <v>22400</v>
      </c>
      <c r="L58">
        <f t="shared" si="1"/>
        <v>10</v>
      </c>
    </row>
    <row r="59" spans="1:12" x14ac:dyDescent="0.25">
      <c r="A59">
        <v>1751</v>
      </c>
      <c r="B59" t="s">
        <v>62</v>
      </c>
      <c r="C59" t="s">
        <v>74</v>
      </c>
      <c r="D59" t="s">
        <v>33</v>
      </c>
      <c r="E59">
        <v>39</v>
      </c>
      <c r="J59">
        <f t="shared" si="0"/>
        <v>87360</v>
      </c>
      <c r="L59">
        <f t="shared" si="1"/>
        <v>39</v>
      </c>
    </row>
    <row r="60" spans="1:12" x14ac:dyDescent="0.25">
      <c r="A60">
        <v>1751</v>
      </c>
      <c r="B60" t="s">
        <v>88</v>
      </c>
      <c r="C60" t="s">
        <v>74</v>
      </c>
      <c r="D60" t="s">
        <v>33</v>
      </c>
      <c r="J60">
        <f t="shared" si="0"/>
        <v>0</v>
      </c>
      <c r="L60">
        <f t="shared" si="1"/>
        <v>0</v>
      </c>
    </row>
    <row r="61" spans="1:12" x14ac:dyDescent="0.25">
      <c r="A61">
        <v>1751</v>
      </c>
      <c r="B61" t="s">
        <v>63</v>
      </c>
      <c r="C61" t="s">
        <v>74</v>
      </c>
      <c r="D61" t="s">
        <v>33</v>
      </c>
      <c r="E61">
        <v>100</v>
      </c>
      <c r="J61">
        <f t="shared" si="0"/>
        <v>224000</v>
      </c>
      <c r="L61">
        <f t="shared" si="1"/>
        <v>100</v>
      </c>
    </row>
    <row r="62" spans="1:12" x14ac:dyDescent="0.25">
      <c r="A62">
        <v>1751</v>
      </c>
      <c r="B62" t="s">
        <v>89</v>
      </c>
      <c r="C62" t="s">
        <v>74</v>
      </c>
      <c r="D62" t="s">
        <v>33</v>
      </c>
      <c r="E62">
        <v>72</v>
      </c>
      <c r="J62">
        <f t="shared" si="0"/>
        <v>161280</v>
      </c>
      <c r="L62">
        <f t="shared" si="1"/>
        <v>72</v>
      </c>
    </row>
    <row r="63" spans="1:12" x14ac:dyDescent="0.25">
      <c r="A63">
        <v>1751</v>
      </c>
      <c r="B63" t="s">
        <v>70</v>
      </c>
      <c r="C63" t="s">
        <v>74</v>
      </c>
      <c r="D63" t="s">
        <v>33</v>
      </c>
      <c r="J63">
        <f t="shared" si="0"/>
        <v>0</v>
      </c>
      <c r="L63">
        <f t="shared" si="1"/>
        <v>0</v>
      </c>
    </row>
    <row r="64" spans="1:12" x14ac:dyDescent="0.25">
      <c r="A64">
        <v>1751</v>
      </c>
      <c r="B64" t="s">
        <v>64</v>
      </c>
      <c r="C64" t="s">
        <v>74</v>
      </c>
      <c r="D64" t="s">
        <v>33</v>
      </c>
      <c r="J64">
        <f t="shared" si="0"/>
        <v>0</v>
      </c>
      <c r="L64">
        <f t="shared" si="1"/>
        <v>0</v>
      </c>
    </row>
    <row r="65" spans="1:12" x14ac:dyDescent="0.25">
      <c r="A65">
        <v>1751</v>
      </c>
      <c r="B65" t="s">
        <v>65</v>
      </c>
      <c r="C65" t="s">
        <v>74</v>
      </c>
      <c r="D65" t="s">
        <v>33</v>
      </c>
      <c r="J65">
        <f t="shared" si="0"/>
        <v>0</v>
      </c>
      <c r="L65">
        <f t="shared" si="1"/>
        <v>0</v>
      </c>
    </row>
    <row r="66" spans="1:12" x14ac:dyDescent="0.25">
      <c r="A66">
        <v>1751</v>
      </c>
      <c r="B66" t="s">
        <v>133</v>
      </c>
      <c r="C66" t="s">
        <v>74</v>
      </c>
      <c r="D66" t="s">
        <v>35</v>
      </c>
      <c r="F66">
        <v>116</v>
      </c>
      <c r="H66">
        <v>10</v>
      </c>
      <c r="J66">
        <f t="shared" si="0"/>
        <v>13002</v>
      </c>
      <c r="L66">
        <f t="shared" si="1"/>
        <v>5.8044642857142854</v>
      </c>
    </row>
    <row r="67" spans="1:12" x14ac:dyDescent="0.25">
      <c r="A67">
        <v>1751</v>
      </c>
      <c r="B67" t="s">
        <v>55</v>
      </c>
      <c r="C67" t="s">
        <v>74</v>
      </c>
      <c r="D67" t="s">
        <v>35</v>
      </c>
      <c r="J67">
        <f t="shared" si="0"/>
        <v>0</v>
      </c>
      <c r="L67">
        <f t="shared" si="1"/>
        <v>0</v>
      </c>
    </row>
    <row r="68" spans="1:12" x14ac:dyDescent="0.25">
      <c r="A68">
        <v>1751</v>
      </c>
      <c r="B68" t="s">
        <v>57</v>
      </c>
      <c r="C68" t="s">
        <v>74</v>
      </c>
      <c r="D68" t="s">
        <v>35</v>
      </c>
      <c r="J68">
        <f t="shared" si="0"/>
        <v>0</v>
      </c>
      <c r="L68">
        <f t="shared" si="1"/>
        <v>0</v>
      </c>
    </row>
    <row r="69" spans="1:12" x14ac:dyDescent="0.25">
      <c r="A69">
        <v>1751</v>
      </c>
      <c r="B69" t="s">
        <v>36</v>
      </c>
      <c r="C69" t="s">
        <v>74</v>
      </c>
      <c r="D69" t="s">
        <v>35</v>
      </c>
      <c r="J69">
        <f t="shared" si="0"/>
        <v>0</v>
      </c>
      <c r="L69">
        <f t="shared" si="1"/>
        <v>0</v>
      </c>
    </row>
    <row r="70" spans="1:12" x14ac:dyDescent="0.25">
      <c r="A70">
        <v>1751</v>
      </c>
      <c r="B70" t="s">
        <v>4</v>
      </c>
      <c r="C70" t="s">
        <v>74</v>
      </c>
      <c r="D70" t="s">
        <v>35</v>
      </c>
      <c r="J70">
        <f t="shared" ref="J70:J129" si="2">(E70*2240)+(F70*112)+(G70*28)+H70</f>
        <v>0</v>
      </c>
      <c r="L70">
        <f t="shared" ref="L70:L129" si="3">J70/2240</f>
        <v>0</v>
      </c>
    </row>
    <row r="71" spans="1:12" x14ac:dyDescent="0.25">
      <c r="A71">
        <v>1751</v>
      </c>
      <c r="B71" t="s">
        <v>58</v>
      </c>
      <c r="C71" t="s">
        <v>74</v>
      </c>
      <c r="D71" t="s">
        <v>35</v>
      </c>
      <c r="J71">
        <f t="shared" si="2"/>
        <v>0</v>
      </c>
      <c r="L71">
        <f t="shared" si="3"/>
        <v>0</v>
      </c>
    </row>
    <row r="72" spans="1:12" x14ac:dyDescent="0.25">
      <c r="A72">
        <v>1751</v>
      </c>
      <c r="B72" t="s">
        <v>69</v>
      </c>
      <c r="C72" t="s">
        <v>74</v>
      </c>
      <c r="D72" t="s">
        <v>35</v>
      </c>
      <c r="J72">
        <f t="shared" si="2"/>
        <v>0</v>
      </c>
      <c r="L72">
        <f t="shared" si="3"/>
        <v>0</v>
      </c>
    </row>
    <row r="73" spans="1:12" x14ac:dyDescent="0.25">
      <c r="A73">
        <v>1751</v>
      </c>
      <c r="B73" t="s">
        <v>43</v>
      </c>
      <c r="C73" t="s">
        <v>74</v>
      </c>
      <c r="D73" t="s">
        <v>35</v>
      </c>
      <c r="J73">
        <f t="shared" si="2"/>
        <v>0</v>
      </c>
      <c r="L73">
        <f t="shared" si="3"/>
        <v>0</v>
      </c>
    </row>
    <row r="74" spans="1:12" x14ac:dyDescent="0.25">
      <c r="A74">
        <v>1751</v>
      </c>
      <c r="B74" t="s">
        <v>76</v>
      </c>
      <c r="C74" t="s">
        <v>74</v>
      </c>
      <c r="D74" t="s">
        <v>35</v>
      </c>
      <c r="J74">
        <f t="shared" si="2"/>
        <v>0</v>
      </c>
      <c r="L74">
        <f t="shared" si="3"/>
        <v>0</v>
      </c>
    </row>
    <row r="75" spans="1:12" x14ac:dyDescent="0.25">
      <c r="A75">
        <v>1751</v>
      </c>
      <c r="B75" t="s">
        <v>5</v>
      </c>
      <c r="C75" t="s">
        <v>74</v>
      </c>
      <c r="D75" t="s">
        <v>35</v>
      </c>
      <c r="G75">
        <v>2</v>
      </c>
      <c r="H75">
        <v>21</v>
      </c>
      <c r="J75">
        <f t="shared" si="2"/>
        <v>77</v>
      </c>
      <c r="L75">
        <f t="shared" si="3"/>
        <v>3.4375000000000003E-2</v>
      </c>
    </row>
    <row r="76" spans="1:12" x14ac:dyDescent="0.25">
      <c r="A76">
        <v>1751</v>
      </c>
      <c r="B76" t="s">
        <v>59</v>
      </c>
      <c r="C76" t="s">
        <v>74</v>
      </c>
      <c r="D76" t="s">
        <v>35</v>
      </c>
      <c r="J76">
        <f t="shared" si="2"/>
        <v>0</v>
      </c>
      <c r="L76">
        <f t="shared" si="3"/>
        <v>0</v>
      </c>
    </row>
    <row r="77" spans="1:12" x14ac:dyDescent="0.25">
      <c r="A77">
        <v>1751</v>
      </c>
      <c r="B77" t="s">
        <v>6</v>
      </c>
      <c r="C77" t="s">
        <v>74</v>
      </c>
      <c r="D77" t="s">
        <v>35</v>
      </c>
      <c r="F77">
        <v>27591</v>
      </c>
      <c r="G77">
        <v>2</v>
      </c>
      <c r="H77">
        <v>14</v>
      </c>
      <c r="J77">
        <f t="shared" si="2"/>
        <v>3090262</v>
      </c>
      <c r="L77">
        <f t="shared" si="3"/>
        <v>1379.58125</v>
      </c>
    </row>
    <row r="78" spans="1:12" x14ac:dyDescent="0.25">
      <c r="A78">
        <v>1751</v>
      </c>
      <c r="B78" t="s">
        <v>60</v>
      </c>
      <c r="C78" t="s">
        <v>74</v>
      </c>
      <c r="D78" t="s">
        <v>35</v>
      </c>
      <c r="J78">
        <f t="shared" si="2"/>
        <v>0</v>
      </c>
      <c r="L78">
        <f t="shared" si="3"/>
        <v>0</v>
      </c>
    </row>
    <row r="79" spans="1:12" x14ac:dyDescent="0.25">
      <c r="A79">
        <v>1751</v>
      </c>
      <c r="B79" t="s">
        <v>7</v>
      </c>
      <c r="C79" t="s">
        <v>74</v>
      </c>
      <c r="D79" t="s">
        <v>35</v>
      </c>
      <c r="J79">
        <f t="shared" si="2"/>
        <v>0</v>
      </c>
      <c r="L79">
        <f t="shared" si="3"/>
        <v>0</v>
      </c>
    </row>
    <row r="80" spans="1:12" x14ac:dyDescent="0.25">
      <c r="A80">
        <v>1751</v>
      </c>
      <c r="B80" t="s">
        <v>37</v>
      </c>
      <c r="C80" t="s">
        <v>74</v>
      </c>
      <c r="D80" t="s">
        <v>35</v>
      </c>
      <c r="J80">
        <f t="shared" si="2"/>
        <v>0</v>
      </c>
      <c r="L80">
        <f t="shared" si="3"/>
        <v>0</v>
      </c>
    </row>
    <row r="81" spans="1:12" x14ac:dyDescent="0.25">
      <c r="A81">
        <v>1751</v>
      </c>
      <c r="B81" t="s">
        <v>8</v>
      </c>
      <c r="C81" t="s">
        <v>74</v>
      </c>
      <c r="D81" t="s">
        <v>35</v>
      </c>
      <c r="J81">
        <f t="shared" si="2"/>
        <v>0</v>
      </c>
      <c r="L81">
        <f t="shared" si="3"/>
        <v>0</v>
      </c>
    </row>
    <row r="82" spans="1:12" x14ac:dyDescent="0.25">
      <c r="A82">
        <v>1751</v>
      </c>
      <c r="B82" t="s">
        <v>40</v>
      </c>
      <c r="C82" t="s">
        <v>74</v>
      </c>
      <c r="D82" t="s">
        <v>35</v>
      </c>
      <c r="J82">
        <f t="shared" si="2"/>
        <v>0</v>
      </c>
      <c r="L82">
        <f t="shared" si="3"/>
        <v>0</v>
      </c>
    </row>
    <row r="83" spans="1:12" x14ac:dyDescent="0.25">
      <c r="A83">
        <v>1751</v>
      </c>
      <c r="B83" t="s">
        <v>77</v>
      </c>
      <c r="C83" t="s">
        <v>74</v>
      </c>
      <c r="D83" t="s">
        <v>35</v>
      </c>
      <c r="J83">
        <f t="shared" si="2"/>
        <v>0</v>
      </c>
      <c r="L83">
        <f t="shared" si="3"/>
        <v>0</v>
      </c>
    </row>
    <row r="84" spans="1:12" x14ac:dyDescent="0.25">
      <c r="A84">
        <v>1751</v>
      </c>
      <c r="B84" t="s">
        <v>78</v>
      </c>
      <c r="C84" t="s">
        <v>74</v>
      </c>
      <c r="D84" t="s">
        <v>35</v>
      </c>
      <c r="J84">
        <f t="shared" si="2"/>
        <v>0</v>
      </c>
      <c r="L84">
        <f t="shared" si="3"/>
        <v>0</v>
      </c>
    </row>
    <row r="85" spans="1:12" x14ac:dyDescent="0.25">
      <c r="A85">
        <v>1751</v>
      </c>
      <c r="B85" t="s">
        <v>46</v>
      </c>
      <c r="C85" t="s">
        <v>74</v>
      </c>
      <c r="D85" t="s">
        <v>35</v>
      </c>
      <c r="J85">
        <f t="shared" si="2"/>
        <v>0</v>
      </c>
      <c r="L85">
        <f t="shared" si="3"/>
        <v>0</v>
      </c>
    </row>
    <row r="86" spans="1:12" x14ac:dyDescent="0.25">
      <c r="A86">
        <v>1751</v>
      </c>
      <c r="B86" t="s">
        <v>9</v>
      </c>
      <c r="C86" t="s">
        <v>74</v>
      </c>
      <c r="D86" t="s">
        <v>35</v>
      </c>
      <c r="H86">
        <f>416.75*200</f>
        <v>83350</v>
      </c>
      <c r="I86" t="s">
        <v>153</v>
      </c>
      <c r="J86">
        <f t="shared" si="2"/>
        <v>83350</v>
      </c>
      <c r="L86">
        <f t="shared" si="3"/>
        <v>37.209821428571431</v>
      </c>
    </row>
    <row r="87" spans="1:12" x14ac:dyDescent="0.25">
      <c r="A87">
        <v>1751</v>
      </c>
      <c r="B87" t="s">
        <v>10</v>
      </c>
      <c r="C87" t="s">
        <v>74</v>
      </c>
      <c r="D87" t="s">
        <v>35</v>
      </c>
      <c r="J87">
        <f t="shared" si="2"/>
        <v>0</v>
      </c>
      <c r="L87">
        <f t="shared" si="3"/>
        <v>0</v>
      </c>
    </row>
    <row r="88" spans="1:12" x14ac:dyDescent="0.25">
      <c r="A88">
        <v>1751</v>
      </c>
      <c r="B88" t="s">
        <v>11</v>
      </c>
      <c r="C88" t="s">
        <v>74</v>
      </c>
      <c r="D88" t="s">
        <v>35</v>
      </c>
      <c r="F88">
        <v>63</v>
      </c>
      <c r="G88">
        <v>2</v>
      </c>
      <c r="J88">
        <f t="shared" si="2"/>
        <v>7112</v>
      </c>
      <c r="L88">
        <f t="shared" si="3"/>
        <v>3.1749999999999998</v>
      </c>
    </row>
    <row r="89" spans="1:12" x14ac:dyDescent="0.25">
      <c r="A89">
        <v>1751</v>
      </c>
      <c r="B89" t="s">
        <v>39</v>
      </c>
      <c r="C89" t="s">
        <v>74</v>
      </c>
      <c r="D89" t="s">
        <v>35</v>
      </c>
      <c r="J89">
        <f t="shared" si="2"/>
        <v>0</v>
      </c>
      <c r="L89">
        <f t="shared" si="3"/>
        <v>0</v>
      </c>
    </row>
    <row r="90" spans="1:12" x14ac:dyDescent="0.25">
      <c r="A90">
        <v>1751</v>
      </c>
      <c r="B90" t="s">
        <v>79</v>
      </c>
      <c r="C90" t="s">
        <v>74</v>
      </c>
      <c r="D90" t="s">
        <v>35</v>
      </c>
      <c r="J90">
        <f t="shared" si="2"/>
        <v>0</v>
      </c>
      <c r="L90">
        <f t="shared" si="3"/>
        <v>0</v>
      </c>
    </row>
    <row r="91" spans="1:12" x14ac:dyDescent="0.25">
      <c r="A91">
        <v>1751</v>
      </c>
      <c r="B91" t="s">
        <v>103</v>
      </c>
      <c r="C91" t="s">
        <v>74</v>
      </c>
      <c r="D91" t="s">
        <v>35</v>
      </c>
      <c r="J91">
        <f t="shared" si="2"/>
        <v>0</v>
      </c>
      <c r="L91">
        <f t="shared" si="3"/>
        <v>0</v>
      </c>
    </row>
    <row r="92" spans="1:12" x14ac:dyDescent="0.25">
      <c r="A92">
        <v>1751</v>
      </c>
      <c r="B92" t="s">
        <v>44</v>
      </c>
      <c r="C92" t="s">
        <v>74</v>
      </c>
      <c r="D92" t="s">
        <v>35</v>
      </c>
      <c r="J92">
        <f t="shared" si="2"/>
        <v>0</v>
      </c>
      <c r="L92">
        <f t="shared" si="3"/>
        <v>0</v>
      </c>
    </row>
    <row r="93" spans="1:12" x14ac:dyDescent="0.25">
      <c r="A93">
        <v>1751</v>
      </c>
      <c r="B93" t="s">
        <v>97</v>
      </c>
      <c r="C93" t="s">
        <v>74</v>
      </c>
      <c r="D93" t="s">
        <v>35</v>
      </c>
      <c r="J93">
        <f t="shared" si="2"/>
        <v>0</v>
      </c>
      <c r="L93">
        <f t="shared" si="3"/>
        <v>0</v>
      </c>
    </row>
    <row r="94" spans="1:12" x14ac:dyDescent="0.25">
      <c r="A94">
        <v>1751</v>
      </c>
      <c r="B94" t="s">
        <v>12</v>
      </c>
      <c r="C94" t="s">
        <v>74</v>
      </c>
      <c r="D94" t="s">
        <v>35</v>
      </c>
      <c r="H94">
        <v>276</v>
      </c>
      <c r="J94">
        <f t="shared" si="2"/>
        <v>276</v>
      </c>
      <c r="L94">
        <f t="shared" si="3"/>
        <v>0.12321428571428572</v>
      </c>
    </row>
    <row r="95" spans="1:12" x14ac:dyDescent="0.25">
      <c r="A95">
        <v>1751</v>
      </c>
      <c r="B95" t="s">
        <v>82</v>
      </c>
      <c r="C95" t="s">
        <v>74</v>
      </c>
      <c r="D95" t="s">
        <v>35</v>
      </c>
      <c r="J95">
        <f t="shared" si="2"/>
        <v>0</v>
      </c>
      <c r="L95">
        <f t="shared" si="3"/>
        <v>0</v>
      </c>
    </row>
    <row r="96" spans="1:12" x14ac:dyDescent="0.25">
      <c r="A96">
        <v>1751</v>
      </c>
      <c r="B96" t="s">
        <v>34</v>
      </c>
      <c r="C96" t="s">
        <v>74</v>
      </c>
      <c r="D96" t="s">
        <v>35</v>
      </c>
      <c r="J96">
        <f t="shared" si="2"/>
        <v>0</v>
      </c>
      <c r="L96">
        <f t="shared" si="3"/>
        <v>0</v>
      </c>
    </row>
    <row r="97" spans="1:12" x14ac:dyDescent="0.25">
      <c r="A97">
        <v>1751</v>
      </c>
      <c r="B97" t="s">
        <v>13</v>
      </c>
      <c r="C97" t="s">
        <v>74</v>
      </c>
      <c r="D97" t="s">
        <v>35</v>
      </c>
      <c r="E97">
        <v>140</v>
      </c>
      <c r="F97">
        <v>5</v>
      </c>
      <c r="G97">
        <v>1</v>
      </c>
      <c r="J97">
        <f t="shared" si="2"/>
        <v>314188</v>
      </c>
      <c r="L97">
        <f t="shared" si="3"/>
        <v>140.26249999999999</v>
      </c>
    </row>
    <row r="98" spans="1:12" x14ac:dyDescent="0.25">
      <c r="A98">
        <v>1751</v>
      </c>
      <c r="B98" t="s">
        <v>14</v>
      </c>
      <c r="C98" t="s">
        <v>74</v>
      </c>
      <c r="D98" t="s">
        <v>35</v>
      </c>
      <c r="J98">
        <f t="shared" si="2"/>
        <v>0</v>
      </c>
      <c r="L98">
        <f t="shared" si="3"/>
        <v>0</v>
      </c>
    </row>
    <row r="99" spans="1:12" x14ac:dyDescent="0.25">
      <c r="A99">
        <v>1751</v>
      </c>
      <c r="B99" t="s">
        <v>23</v>
      </c>
      <c r="C99" t="s">
        <v>74</v>
      </c>
      <c r="D99" t="s">
        <v>35</v>
      </c>
      <c r="J99">
        <f t="shared" si="2"/>
        <v>0</v>
      </c>
      <c r="L99">
        <f t="shared" si="3"/>
        <v>0</v>
      </c>
    </row>
    <row r="100" spans="1:12" x14ac:dyDescent="0.25">
      <c r="A100">
        <v>1751</v>
      </c>
      <c r="B100" t="s">
        <v>27</v>
      </c>
      <c r="C100" t="s">
        <v>74</v>
      </c>
      <c r="D100" t="s">
        <v>35</v>
      </c>
      <c r="H100">
        <v>5091.5</v>
      </c>
      <c r="I100" t="s">
        <v>152</v>
      </c>
      <c r="J100">
        <f t="shared" si="2"/>
        <v>5091.5</v>
      </c>
      <c r="L100">
        <f t="shared" si="3"/>
        <v>2.2729910714285713</v>
      </c>
    </row>
    <row r="101" spans="1:12" x14ac:dyDescent="0.25">
      <c r="A101">
        <v>1751</v>
      </c>
      <c r="B101" t="s">
        <v>15</v>
      </c>
      <c r="C101" t="s">
        <v>74</v>
      </c>
      <c r="D101" t="s">
        <v>35</v>
      </c>
      <c r="J101">
        <f t="shared" si="2"/>
        <v>0</v>
      </c>
      <c r="L101">
        <f t="shared" si="3"/>
        <v>0</v>
      </c>
    </row>
    <row r="102" spans="1:12" x14ac:dyDescent="0.25">
      <c r="A102">
        <v>1751</v>
      </c>
      <c r="B102" t="s">
        <v>93</v>
      </c>
      <c r="C102" t="s">
        <v>74</v>
      </c>
      <c r="D102" t="s">
        <v>35</v>
      </c>
      <c r="J102">
        <f t="shared" si="2"/>
        <v>0</v>
      </c>
      <c r="L102">
        <f t="shared" si="3"/>
        <v>0</v>
      </c>
    </row>
    <row r="103" spans="1:12" x14ac:dyDescent="0.25">
      <c r="A103">
        <v>1751</v>
      </c>
      <c r="B103" t="s">
        <v>42</v>
      </c>
      <c r="C103" t="s">
        <v>74</v>
      </c>
      <c r="D103" t="s">
        <v>35</v>
      </c>
      <c r="J103">
        <f t="shared" si="2"/>
        <v>0</v>
      </c>
      <c r="L103">
        <f t="shared" si="3"/>
        <v>0</v>
      </c>
    </row>
    <row r="104" spans="1:12" x14ac:dyDescent="0.25">
      <c r="A104">
        <v>1751</v>
      </c>
      <c r="B104" t="s">
        <v>83</v>
      </c>
      <c r="C104" t="s">
        <v>74</v>
      </c>
      <c r="D104" t="s">
        <v>35</v>
      </c>
      <c r="J104">
        <f t="shared" si="2"/>
        <v>0</v>
      </c>
      <c r="L104">
        <f t="shared" si="3"/>
        <v>0</v>
      </c>
    </row>
    <row r="105" spans="1:12" x14ac:dyDescent="0.25">
      <c r="A105">
        <v>1751</v>
      </c>
      <c r="B105" t="s">
        <v>47</v>
      </c>
      <c r="C105" t="s">
        <v>74</v>
      </c>
      <c r="D105" t="s">
        <v>35</v>
      </c>
      <c r="J105">
        <f t="shared" si="2"/>
        <v>0</v>
      </c>
      <c r="L105">
        <f t="shared" si="3"/>
        <v>0</v>
      </c>
    </row>
    <row r="106" spans="1:12" x14ac:dyDescent="0.25">
      <c r="A106">
        <v>1751</v>
      </c>
      <c r="B106" t="s">
        <v>16</v>
      </c>
      <c r="C106" t="s">
        <v>74</v>
      </c>
      <c r="D106" t="s">
        <v>35</v>
      </c>
      <c r="J106">
        <f t="shared" si="2"/>
        <v>0</v>
      </c>
      <c r="L106">
        <f t="shared" si="3"/>
        <v>0</v>
      </c>
    </row>
    <row r="107" spans="1:12" x14ac:dyDescent="0.25">
      <c r="A107">
        <v>1751</v>
      </c>
      <c r="B107" t="s">
        <v>17</v>
      </c>
      <c r="C107" t="s">
        <v>74</v>
      </c>
      <c r="D107" t="s">
        <v>35</v>
      </c>
      <c r="J107">
        <f t="shared" si="2"/>
        <v>0</v>
      </c>
      <c r="L107">
        <f t="shared" si="3"/>
        <v>0</v>
      </c>
    </row>
    <row r="108" spans="1:12" x14ac:dyDescent="0.25">
      <c r="A108">
        <v>1751</v>
      </c>
      <c r="B108" t="s">
        <v>18</v>
      </c>
      <c r="C108" t="s">
        <v>74</v>
      </c>
      <c r="D108" t="s">
        <v>35</v>
      </c>
      <c r="H108">
        <v>176915.5</v>
      </c>
      <c r="I108" t="s">
        <v>151</v>
      </c>
      <c r="J108">
        <f t="shared" si="2"/>
        <v>176915.5</v>
      </c>
      <c r="L108">
        <f t="shared" si="3"/>
        <v>78.980133928571433</v>
      </c>
    </row>
    <row r="109" spans="1:12" x14ac:dyDescent="0.25">
      <c r="A109">
        <v>1751</v>
      </c>
      <c r="B109" t="s">
        <v>26</v>
      </c>
      <c r="C109" t="s">
        <v>74</v>
      </c>
      <c r="D109" t="s">
        <v>35</v>
      </c>
      <c r="J109">
        <f t="shared" si="2"/>
        <v>0</v>
      </c>
      <c r="L109">
        <f t="shared" si="3"/>
        <v>0</v>
      </c>
    </row>
    <row r="110" spans="1:12" x14ac:dyDescent="0.25">
      <c r="A110">
        <v>1751</v>
      </c>
      <c r="B110" t="s">
        <v>84</v>
      </c>
      <c r="C110" t="s">
        <v>74</v>
      </c>
      <c r="D110" t="s">
        <v>35</v>
      </c>
      <c r="J110">
        <f t="shared" si="2"/>
        <v>0</v>
      </c>
      <c r="L110">
        <f t="shared" si="3"/>
        <v>0</v>
      </c>
    </row>
    <row r="111" spans="1:12" x14ac:dyDescent="0.25">
      <c r="A111">
        <v>1751</v>
      </c>
      <c r="B111" t="s">
        <v>19</v>
      </c>
      <c r="C111" t="s">
        <v>74</v>
      </c>
      <c r="D111" t="s">
        <v>35</v>
      </c>
      <c r="F111">
        <v>12</v>
      </c>
      <c r="G111">
        <v>1</v>
      </c>
      <c r="J111">
        <f t="shared" si="2"/>
        <v>1372</v>
      </c>
      <c r="L111">
        <f t="shared" si="3"/>
        <v>0.61250000000000004</v>
      </c>
    </row>
    <row r="112" spans="1:12" x14ac:dyDescent="0.25">
      <c r="A112">
        <v>1751</v>
      </c>
      <c r="B112" t="s">
        <v>45</v>
      </c>
      <c r="C112" t="s">
        <v>74</v>
      </c>
      <c r="D112" t="s">
        <v>35</v>
      </c>
      <c r="J112">
        <f t="shared" si="2"/>
        <v>0</v>
      </c>
      <c r="L112">
        <f t="shared" si="3"/>
        <v>0</v>
      </c>
    </row>
    <row r="113" spans="1:12" x14ac:dyDescent="0.25">
      <c r="A113">
        <v>1751</v>
      </c>
      <c r="B113" t="s">
        <v>85</v>
      </c>
      <c r="C113" t="s">
        <v>74</v>
      </c>
      <c r="D113" t="s">
        <v>35</v>
      </c>
      <c r="J113">
        <f t="shared" si="2"/>
        <v>0</v>
      </c>
      <c r="L113">
        <f t="shared" si="3"/>
        <v>0</v>
      </c>
    </row>
    <row r="114" spans="1:12" x14ac:dyDescent="0.25">
      <c r="A114">
        <v>1751</v>
      </c>
      <c r="B114" t="s">
        <v>54</v>
      </c>
      <c r="C114" t="s">
        <v>74</v>
      </c>
      <c r="D114" t="s">
        <v>35</v>
      </c>
      <c r="H114">
        <v>10</v>
      </c>
      <c r="J114">
        <f t="shared" si="2"/>
        <v>10</v>
      </c>
      <c r="L114">
        <f t="shared" si="3"/>
        <v>4.464285714285714E-3</v>
      </c>
    </row>
    <row r="115" spans="1:12" x14ac:dyDescent="0.25">
      <c r="A115">
        <v>1751</v>
      </c>
      <c r="B115" t="s">
        <v>95</v>
      </c>
      <c r="C115" t="s">
        <v>74</v>
      </c>
      <c r="D115" t="s">
        <v>35</v>
      </c>
      <c r="J115">
        <f t="shared" si="2"/>
        <v>0</v>
      </c>
      <c r="L115">
        <f t="shared" si="3"/>
        <v>0</v>
      </c>
    </row>
    <row r="116" spans="1:12" x14ac:dyDescent="0.25">
      <c r="A116">
        <v>1751</v>
      </c>
      <c r="B116" t="s">
        <v>20</v>
      </c>
      <c r="C116" t="s">
        <v>74</v>
      </c>
      <c r="D116" t="s">
        <v>35</v>
      </c>
      <c r="J116">
        <f t="shared" si="2"/>
        <v>0</v>
      </c>
      <c r="L116">
        <f t="shared" si="3"/>
        <v>0</v>
      </c>
    </row>
    <row r="117" spans="1:12" x14ac:dyDescent="0.25">
      <c r="A117">
        <v>1751</v>
      </c>
      <c r="B117" t="s">
        <v>21</v>
      </c>
      <c r="C117" t="s">
        <v>74</v>
      </c>
      <c r="D117" t="s">
        <v>35</v>
      </c>
      <c r="J117">
        <f t="shared" si="2"/>
        <v>0</v>
      </c>
      <c r="L117">
        <f t="shared" si="3"/>
        <v>0</v>
      </c>
    </row>
    <row r="118" spans="1:12" x14ac:dyDescent="0.25">
      <c r="A118">
        <v>1751</v>
      </c>
      <c r="B118" t="s">
        <v>22</v>
      </c>
      <c r="C118" t="s">
        <v>74</v>
      </c>
      <c r="D118" t="s">
        <v>35</v>
      </c>
      <c r="J118">
        <f t="shared" si="2"/>
        <v>0</v>
      </c>
      <c r="L118">
        <f t="shared" si="3"/>
        <v>0</v>
      </c>
    </row>
    <row r="119" spans="1:12" x14ac:dyDescent="0.25">
      <c r="A119">
        <v>1751</v>
      </c>
      <c r="B119" t="s">
        <v>61</v>
      </c>
      <c r="C119" t="s">
        <v>74</v>
      </c>
      <c r="D119" t="s">
        <v>35</v>
      </c>
      <c r="J119">
        <f t="shared" si="2"/>
        <v>0</v>
      </c>
      <c r="L119">
        <f t="shared" si="3"/>
        <v>0</v>
      </c>
    </row>
    <row r="120" spans="1:12" x14ac:dyDescent="0.25">
      <c r="A120">
        <v>1751</v>
      </c>
      <c r="B120" t="s">
        <v>91</v>
      </c>
      <c r="C120" t="s">
        <v>74</v>
      </c>
      <c r="D120" t="s">
        <v>35</v>
      </c>
      <c r="J120">
        <f t="shared" si="2"/>
        <v>0</v>
      </c>
      <c r="L120">
        <f t="shared" si="3"/>
        <v>0</v>
      </c>
    </row>
    <row r="121" spans="1:12" x14ac:dyDescent="0.25">
      <c r="A121">
        <v>1751</v>
      </c>
      <c r="B121" t="s">
        <v>98</v>
      </c>
      <c r="C121" t="s">
        <v>74</v>
      </c>
      <c r="D121" t="s">
        <v>35</v>
      </c>
      <c r="J121">
        <f t="shared" si="2"/>
        <v>0</v>
      </c>
      <c r="L121">
        <f t="shared" si="3"/>
        <v>0</v>
      </c>
    </row>
    <row r="122" spans="1:12" x14ac:dyDescent="0.25">
      <c r="A122">
        <v>1751</v>
      </c>
      <c r="B122" t="s">
        <v>87</v>
      </c>
      <c r="C122" t="s">
        <v>74</v>
      </c>
      <c r="D122" t="s">
        <v>35</v>
      </c>
      <c r="E122">
        <v>6</v>
      </c>
      <c r="J122">
        <f t="shared" si="2"/>
        <v>13440</v>
      </c>
      <c r="L122">
        <f t="shared" si="3"/>
        <v>6</v>
      </c>
    </row>
    <row r="123" spans="1:12" x14ac:dyDescent="0.25">
      <c r="A123">
        <v>1751</v>
      </c>
      <c r="B123" t="s">
        <v>62</v>
      </c>
      <c r="C123" t="s">
        <v>74</v>
      </c>
      <c r="D123" t="s">
        <v>35</v>
      </c>
      <c r="E123">
        <v>16</v>
      </c>
      <c r="F123">
        <v>17</v>
      </c>
      <c r="H123">
        <v>11</v>
      </c>
      <c r="J123">
        <f t="shared" si="2"/>
        <v>37755</v>
      </c>
      <c r="L123">
        <f t="shared" si="3"/>
        <v>16.854910714285715</v>
      </c>
    </row>
    <row r="124" spans="1:12" x14ac:dyDescent="0.25">
      <c r="A124">
        <v>1751</v>
      </c>
      <c r="B124" t="s">
        <v>88</v>
      </c>
      <c r="C124" t="s">
        <v>74</v>
      </c>
      <c r="D124" t="s">
        <v>35</v>
      </c>
      <c r="J124">
        <f t="shared" si="2"/>
        <v>0</v>
      </c>
      <c r="L124">
        <f t="shared" si="3"/>
        <v>0</v>
      </c>
    </row>
    <row r="125" spans="1:12" x14ac:dyDescent="0.25">
      <c r="A125">
        <v>1751</v>
      </c>
      <c r="B125" t="s">
        <v>63</v>
      </c>
      <c r="C125" t="s">
        <v>74</v>
      </c>
      <c r="D125" t="s">
        <v>35</v>
      </c>
      <c r="F125">
        <v>10</v>
      </c>
      <c r="J125">
        <f t="shared" si="2"/>
        <v>1120</v>
      </c>
      <c r="L125">
        <f t="shared" si="3"/>
        <v>0.5</v>
      </c>
    </row>
    <row r="126" spans="1:12" x14ac:dyDescent="0.25">
      <c r="A126">
        <v>1751</v>
      </c>
      <c r="B126" t="s">
        <v>89</v>
      </c>
      <c r="C126" t="s">
        <v>74</v>
      </c>
      <c r="D126" t="s">
        <v>35</v>
      </c>
      <c r="E126">
        <v>17</v>
      </c>
      <c r="F126">
        <v>19</v>
      </c>
      <c r="G126">
        <v>2</v>
      </c>
      <c r="H126">
        <v>14</v>
      </c>
      <c r="J126">
        <f t="shared" si="2"/>
        <v>40278</v>
      </c>
      <c r="L126">
        <f t="shared" si="3"/>
        <v>17.981249999999999</v>
      </c>
    </row>
    <row r="127" spans="1:12" x14ac:dyDescent="0.25">
      <c r="A127">
        <v>1751</v>
      </c>
      <c r="B127" t="s">
        <v>70</v>
      </c>
      <c r="C127" t="s">
        <v>74</v>
      </c>
      <c r="D127" t="s">
        <v>35</v>
      </c>
      <c r="J127">
        <f t="shared" si="2"/>
        <v>0</v>
      </c>
      <c r="L127">
        <f t="shared" si="3"/>
        <v>0</v>
      </c>
    </row>
    <row r="128" spans="1:12" x14ac:dyDescent="0.25">
      <c r="A128">
        <v>1751</v>
      </c>
      <c r="B128" t="s">
        <v>64</v>
      </c>
      <c r="C128" t="s">
        <v>74</v>
      </c>
      <c r="D128" t="s">
        <v>35</v>
      </c>
      <c r="F128">
        <v>8</v>
      </c>
      <c r="G128">
        <v>2</v>
      </c>
      <c r="H128">
        <v>24</v>
      </c>
      <c r="J128">
        <f t="shared" si="2"/>
        <v>976</v>
      </c>
      <c r="L128">
        <f t="shared" si="3"/>
        <v>0.43571428571428572</v>
      </c>
    </row>
    <row r="129" spans="1:12" x14ac:dyDescent="0.25">
      <c r="A129">
        <v>1751</v>
      </c>
      <c r="B129" t="s">
        <v>65</v>
      </c>
      <c r="C129" t="s">
        <v>74</v>
      </c>
      <c r="D129" t="s">
        <v>35</v>
      </c>
      <c r="J129">
        <f t="shared" si="2"/>
        <v>0</v>
      </c>
      <c r="L129">
        <f t="shared" si="3"/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AF944-0B45-405A-9B1E-A7700FAB2F9A}">
  <dimension ref="A1:O126"/>
  <sheetViews>
    <sheetView topLeftCell="A50" workbookViewId="0">
      <selection activeCell="H84" sqref="H84"/>
    </sheetView>
  </sheetViews>
  <sheetFormatPr defaultRowHeight="15" x14ac:dyDescent="0.25"/>
  <cols>
    <col min="1" max="1" width="10.85546875" customWidth="1"/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5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  <c r="O1" s="1"/>
    </row>
    <row r="2" spans="1:15" x14ac:dyDescent="0.25">
      <c r="A2">
        <v>1751</v>
      </c>
      <c r="B2" t="s">
        <v>55</v>
      </c>
      <c r="C2" t="s">
        <v>94</v>
      </c>
      <c r="D2" t="s">
        <v>33</v>
      </c>
      <c r="J2">
        <f>(E2*2240)+(F2*112)+(G2*28)+H2</f>
        <v>0</v>
      </c>
      <c r="L2">
        <f>J2/2240</f>
        <v>0</v>
      </c>
    </row>
    <row r="3" spans="1:15" x14ac:dyDescent="0.25">
      <c r="A3">
        <v>1751</v>
      </c>
      <c r="B3" t="s">
        <v>57</v>
      </c>
      <c r="C3" t="s">
        <v>94</v>
      </c>
      <c r="D3" t="s">
        <v>33</v>
      </c>
      <c r="J3">
        <f t="shared" ref="J3:J66" si="0">(E3*2240)+(F3*112)+(G3*28)+H3</f>
        <v>0</v>
      </c>
      <c r="L3">
        <f t="shared" ref="L3:L66" si="1">J3/2240</f>
        <v>0</v>
      </c>
    </row>
    <row r="4" spans="1:15" x14ac:dyDescent="0.25">
      <c r="A4">
        <v>1751</v>
      </c>
      <c r="B4" t="s">
        <v>36</v>
      </c>
      <c r="C4" t="s">
        <v>94</v>
      </c>
      <c r="D4" t="s">
        <v>33</v>
      </c>
      <c r="J4">
        <f t="shared" si="0"/>
        <v>0</v>
      </c>
      <c r="L4">
        <f t="shared" si="1"/>
        <v>0</v>
      </c>
    </row>
    <row r="5" spans="1:15" x14ac:dyDescent="0.25">
      <c r="A5">
        <v>1751</v>
      </c>
      <c r="B5" t="s">
        <v>4</v>
      </c>
      <c r="C5" t="s">
        <v>94</v>
      </c>
      <c r="D5" t="s">
        <v>33</v>
      </c>
      <c r="J5">
        <f t="shared" si="0"/>
        <v>0</v>
      </c>
      <c r="L5">
        <f t="shared" si="1"/>
        <v>0</v>
      </c>
    </row>
    <row r="6" spans="1:15" x14ac:dyDescent="0.25">
      <c r="A6">
        <v>1751</v>
      </c>
      <c r="B6" t="s">
        <v>58</v>
      </c>
      <c r="C6" t="s">
        <v>94</v>
      </c>
      <c r="D6" t="s">
        <v>33</v>
      </c>
      <c r="J6">
        <f t="shared" si="0"/>
        <v>0</v>
      </c>
      <c r="L6">
        <f t="shared" si="1"/>
        <v>0</v>
      </c>
    </row>
    <row r="7" spans="1:15" x14ac:dyDescent="0.25">
      <c r="A7">
        <v>1751</v>
      </c>
      <c r="B7" t="s">
        <v>69</v>
      </c>
      <c r="C7" t="s">
        <v>94</v>
      </c>
      <c r="D7" t="s">
        <v>33</v>
      </c>
      <c r="J7">
        <f t="shared" si="0"/>
        <v>0</v>
      </c>
      <c r="L7">
        <f t="shared" si="1"/>
        <v>0</v>
      </c>
    </row>
    <row r="8" spans="1:15" x14ac:dyDescent="0.25">
      <c r="A8">
        <v>1751</v>
      </c>
      <c r="B8" t="s">
        <v>43</v>
      </c>
      <c r="C8" t="s">
        <v>94</v>
      </c>
      <c r="D8" t="s">
        <v>33</v>
      </c>
      <c r="J8">
        <f t="shared" si="0"/>
        <v>0</v>
      </c>
      <c r="L8">
        <f t="shared" si="1"/>
        <v>0</v>
      </c>
    </row>
    <row r="9" spans="1:15" x14ac:dyDescent="0.25">
      <c r="A9">
        <v>1751</v>
      </c>
      <c r="B9" t="s">
        <v>76</v>
      </c>
      <c r="C9" t="s">
        <v>94</v>
      </c>
      <c r="D9" t="s">
        <v>33</v>
      </c>
      <c r="J9">
        <f t="shared" si="0"/>
        <v>0</v>
      </c>
      <c r="L9">
        <f t="shared" si="1"/>
        <v>0</v>
      </c>
    </row>
    <row r="10" spans="1:15" x14ac:dyDescent="0.25">
      <c r="A10">
        <v>1751</v>
      </c>
      <c r="B10" t="s">
        <v>5</v>
      </c>
      <c r="C10" t="s">
        <v>94</v>
      </c>
      <c r="D10" t="s">
        <v>33</v>
      </c>
      <c r="J10">
        <f t="shared" si="0"/>
        <v>0</v>
      </c>
      <c r="L10">
        <f t="shared" si="1"/>
        <v>0</v>
      </c>
    </row>
    <row r="11" spans="1:15" x14ac:dyDescent="0.25">
      <c r="A11">
        <v>1751</v>
      </c>
      <c r="B11" t="s">
        <v>59</v>
      </c>
      <c r="C11" t="s">
        <v>94</v>
      </c>
      <c r="D11" t="s">
        <v>33</v>
      </c>
      <c r="J11">
        <f t="shared" si="0"/>
        <v>0</v>
      </c>
      <c r="L11">
        <f t="shared" si="1"/>
        <v>0</v>
      </c>
    </row>
    <row r="12" spans="1:15" x14ac:dyDescent="0.25">
      <c r="A12">
        <v>1751</v>
      </c>
      <c r="B12" t="s">
        <v>6</v>
      </c>
      <c r="C12" t="s">
        <v>94</v>
      </c>
      <c r="D12" t="s">
        <v>33</v>
      </c>
      <c r="F12">
        <v>873</v>
      </c>
      <c r="G12">
        <v>2</v>
      </c>
      <c r="J12">
        <f t="shared" si="0"/>
        <v>97832</v>
      </c>
      <c r="L12">
        <f t="shared" si="1"/>
        <v>43.674999999999997</v>
      </c>
    </row>
    <row r="13" spans="1:15" x14ac:dyDescent="0.25">
      <c r="A13">
        <v>1751</v>
      </c>
      <c r="B13" t="s">
        <v>96</v>
      </c>
      <c r="C13" t="s">
        <v>94</v>
      </c>
      <c r="D13" t="s">
        <v>33</v>
      </c>
      <c r="J13">
        <f t="shared" si="0"/>
        <v>0</v>
      </c>
      <c r="L13">
        <f t="shared" si="1"/>
        <v>0</v>
      </c>
    </row>
    <row r="14" spans="1:15" x14ac:dyDescent="0.25">
      <c r="A14">
        <v>1751</v>
      </c>
      <c r="B14" t="s">
        <v>60</v>
      </c>
      <c r="C14" t="s">
        <v>94</v>
      </c>
      <c r="D14" t="s">
        <v>33</v>
      </c>
      <c r="J14">
        <f t="shared" si="0"/>
        <v>0</v>
      </c>
      <c r="L14">
        <f t="shared" si="1"/>
        <v>0</v>
      </c>
    </row>
    <row r="15" spans="1:15" x14ac:dyDescent="0.25">
      <c r="A15">
        <v>1751</v>
      </c>
      <c r="B15" t="s">
        <v>7</v>
      </c>
      <c r="C15" t="s">
        <v>94</v>
      </c>
      <c r="D15" t="s">
        <v>33</v>
      </c>
      <c r="J15">
        <f t="shared" si="0"/>
        <v>0</v>
      </c>
      <c r="L15">
        <f t="shared" si="1"/>
        <v>0</v>
      </c>
    </row>
    <row r="16" spans="1:15" x14ac:dyDescent="0.25">
      <c r="A16">
        <v>1751</v>
      </c>
      <c r="B16" t="s">
        <v>37</v>
      </c>
      <c r="C16" t="s">
        <v>94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1751</v>
      </c>
      <c r="B17" t="s">
        <v>8</v>
      </c>
      <c r="C17" t="s">
        <v>94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1751</v>
      </c>
      <c r="B18" t="s">
        <v>40</v>
      </c>
      <c r="C18" t="s">
        <v>94</v>
      </c>
      <c r="D18" t="s">
        <v>33</v>
      </c>
      <c r="J18">
        <f t="shared" si="0"/>
        <v>0</v>
      </c>
      <c r="L18">
        <f t="shared" si="1"/>
        <v>0</v>
      </c>
    </row>
    <row r="19" spans="1:12" x14ac:dyDescent="0.25">
      <c r="A19">
        <v>1751</v>
      </c>
      <c r="B19" t="s">
        <v>77</v>
      </c>
      <c r="C19" t="s">
        <v>94</v>
      </c>
      <c r="D19" t="s">
        <v>33</v>
      </c>
      <c r="J19">
        <f t="shared" si="0"/>
        <v>0</v>
      </c>
      <c r="L19">
        <f t="shared" si="1"/>
        <v>0</v>
      </c>
    </row>
    <row r="20" spans="1:12" x14ac:dyDescent="0.25">
      <c r="A20">
        <v>1751</v>
      </c>
      <c r="B20" t="s">
        <v>78</v>
      </c>
      <c r="C20" t="s">
        <v>94</v>
      </c>
      <c r="D20" t="s">
        <v>33</v>
      </c>
      <c r="J20">
        <f t="shared" si="0"/>
        <v>0</v>
      </c>
      <c r="L20">
        <f t="shared" si="1"/>
        <v>0</v>
      </c>
    </row>
    <row r="21" spans="1:12" x14ac:dyDescent="0.25">
      <c r="A21">
        <v>1751</v>
      </c>
      <c r="B21" t="s">
        <v>46</v>
      </c>
      <c r="C21" t="s">
        <v>94</v>
      </c>
      <c r="D21" t="s">
        <v>33</v>
      </c>
      <c r="J21">
        <f t="shared" si="0"/>
        <v>0</v>
      </c>
      <c r="L21">
        <f t="shared" si="1"/>
        <v>0</v>
      </c>
    </row>
    <row r="22" spans="1:12" x14ac:dyDescent="0.25">
      <c r="A22">
        <v>1751</v>
      </c>
      <c r="B22" t="s">
        <v>9</v>
      </c>
      <c r="C22" t="s">
        <v>94</v>
      </c>
      <c r="D22" t="s">
        <v>33</v>
      </c>
      <c r="H22">
        <f>177.5*200</f>
        <v>35500</v>
      </c>
      <c r="I22" t="s">
        <v>138</v>
      </c>
      <c r="J22">
        <f t="shared" si="0"/>
        <v>35500</v>
      </c>
      <c r="L22">
        <f t="shared" si="1"/>
        <v>15.848214285714286</v>
      </c>
    </row>
    <row r="23" spans="1:12" x14ac:dyDescent="0.25">
      <c r="A23">
        <v>1751</v>
      </c>
      <c r="B23" t="s">
        <v>10</v>
      </c>
      <c r="C23" t="s">
        <v>94</v>
      </c>
      <c r="D23" t="s">
        <v>33</v>
      </c>
      <c r="J23">
        <f t="shared" si="0"/>
        <v>0</v>
      </c>
      <c r="L23">
        <f t="shared" si="1"/>
        <v>0</v>
      </c>
    </row>
    <row r="24" spans="1:12" x14ac:dyDescent="0.25">
      <c r="A24">
        <v>1751</v>
      </c>
      <c r="B24" t="s">
        <v>11</v>
      </c>
      <c r="C24" t="s">
        <v>94</v>
      </c>
      <c r="D24" t="s">
        <v>33</v>
      </c>
      <c r="J24">
        <f t="shared" si="0"/>
        <v>0</v>
      </c>
      <c r="L24">
        <f t="shared" si="1"/>
        <v>0</v>
      </c>
    </row>
    <row r="25" spans="1:12" x14ac:dyDescent="0.25">
      <c r="A25">
        <v>1751</v>
      </c>
      <c r="B25" t="s">
        <v>39</v>
      </c>
      <c r="C25" t="s">
        <v>94</v>
      </c>
      <c r="D25" t="s">
        <v>33</v>
      </c>
      <c r="J25">
        <f t="shared" si="0"/>
        <v>0</v>
      </c>
      <c r="L25">
        <f t="shared" si="1"/>
        <v>0</v>
      </c>
    </row>
    <row r="26" spans="1:12" x14ac:dyDescent="0.25">
      <c r="A26">
        <v>1751</v>
      </c>
      <c r="B26" t="s">
        <v>79</v>
      </c>
      <c r="C26" t="s">
        <v>94</v>
      </c>
      <c r="D26" t="s">
        <v>33</v>
      </c>
      <c r="J26">
        <f t="shared" si="0"/>
        <v>0</v>
      </c>
      <c r="L26">
        <f t="shared" si="1"/>
        <v>0</v>
      </c>
    </row>
    <row r="27" spans="1:12" x14ac:dyDescent="0.25">
      <c r="A27">
        <v>1751</v>
      </c>
      <c r="B27" t="s">
        <v>103</v>
      </c>
      <c r="C27" t="s">
        <v>94</v>
      </c>
      <c r="D27" t="s">
        <v>33</v>
      </c>
      <c r="J27">
        <f t="shared" si="0"/>
        <v>0</v>
      </c>
      <c r="L27">
        <f t="shared" si="1"/>
        <v>0</v>
      </c>
    </row>
    <row r="28" spans="1:12" x14ac:dyDescent="0.25">
      <c r="A28">
        <v>1751</v>
      </c>
      <c r="B28" t="s">
        <v>44</v>
      </c>
      <c r="C28" t="s">
        <v>94</v>
      </c>
      <c r="D28" t="s">
        <v>33</v>
      </c>
      <c r="J28">
        <f t="shared" si="0"/>
        <v>0</v>
      </c>
      <c r="L28">
        <f t="shared" si="1"/>
        <v>0</v>
      </c>
    </row>
    <row r="29" spans="1:12" x14ac:dyDescent="0.25">
      <c r="A29">
        <v>1751</v>
      </c>
      <c r="B29" t="s">
        <v>97</v>
      </c>
      <c r="C29" t="s">
        <v>94</v>
      </c>
      <c r="D29" t="s">
        <v>33</v>
      </c>
      <c r="J29">
        <f t="shared" si="0"/>
        <v>0</v>
      </c>
      <c r="L29">
        <f t="shared" si="1"/>
        <v>0</v>
      </c>
    </row>
    <row r="30" spans="1:12" x14ac:dyDescent="0.25">
      <c r="A30">
        <v>1751</v>
      </c>
      <c r="B30" t="s">
        <v>12</v>
      </c>
      <c r="C30" t="s">
        <v>94</v>
      </c>
      <c r="D30" t="s">
        <v>33</v>
      </c>
      <c r="J30">
        <f t="shared" si="0"/>
        <v>0</v>
      </c>
      <c r="L30">
        <f t="shared" si="1"/>
        <v>0</v>
      </c>
    </row>
    <row r="31" spans="1:12" x14ac:dyDescent="0.25">
      <c r="A31">
        <v>1751</v>
      </c>
      <c r="B31" t="s">
        <v>82</v>
      </c>
      <c r="C31" t="s">
        <v>94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25">
      <c r="A32">
        <v>1751</v>
      </c>
      <c r="B32" t="s">
        <v>34</v>
      </c>
      <c r="C32" t="s">
        <v>94</v>
      </c>
      <c r="D32" t="s">
        <v>33</v>
      </c>
      <c r="J32">
        <f t="shared" si="0"/>
        <v>0</v>
      </c>
      <c r="L32">
        <f t="shared" si="1"/>
        <v>0</v>
      </c>
    </row>
    <row r="33" spans="1:12" x14ac:dyDescent="0.25">
      <c r="A33">
        <v>1751</v>
      </c>
      <c r="B33" t="s">
        <v>13</v>
      </c>
      <c r="C33" t="s">
        <v>94</v>
      </c>
      <c r="D33" t="s">
        <v>33</v>
      </c>
      <c r="E33">
        <v>123</v>
      </c>
      <c r="J33">
        <f t="shared" si="0"/>
        <v>275520</v>
      </c>
      <c r="L33">
        <f t="shared" si="1"/>
        <v>123</v>
      </c>
    </row>
    <row r="34" spans="1:12" x14ac:dyDescent="0.25">
      <c r="A34">
        <v>1751</v>
      </c>
      <c r="B34" t="s">
        <v>14</v>
      </c>
      <c r="C34" t="s">
        <v>94</v>
      </c>
      <c r="D34" t="s">
        <v>33</v>
      </c>
      <c r="J34">
        <f t="shared" si="0"/>
        <v>0</v>
      </c>
      <c r="L34">
        <f t="shared" si="1"/>
        <v>0</v>
      </c>
    </row>
    <row r="35" spans="1:12" x14ac:dyDescent="0.25">
      <c r="A35">
        <v>1751</v>
      </c>
      <c r="B35" t="s">
        <v>23</v>
      </c>
      <c r="C35" t="s">
        <v>94</v>
      </c>
      <c r="D35" t="s">
        <v>33</v>
      </c>
      <c r="J35">
        <f t="shared" si="0"/>
        <v>0</v>
      </c>
      <c r="L35">
        <f t="shared" si="1"/>
        <v>0</v>
      </c>
    </row>
    <row r="36" spans="1:12" x14ac:dyDescent="0.25">
      <c r="A36">
        <v>1751</v>
      </c>
      <c r="B36" t="s">
        <v>27</v>
      </c>
      <c r="C36" t="s">
        <v>94</v>
      </c>
      <c r="D36" t="s">
        <v>33</v>
      </c>
      <c r="J36">
        <f t="shared" si="0"/>
        <v>0</v>
      </c>
      <c r="L36">
        <f t="shared" si="1"/>
        <v>0</v>
      </c>
    </row>
    <row r="37" spans="1:12" x14ac:dyDescent="0.25">
      <c r="A37">
        <v>1751</v>
      </c>
      <c r="B37" t="s">
        <v>15</v>
      </c>
      <c r="C37" t="s">
        <v>94</v>
      </c>
      <c r="D37" t="s">
        <v>33</v>
      </c>
      <c r="J37">
        <f t="shared" si="0"/>
        <v>0</v>
      </c>
      <c r="L37">
        <f t="shared" si="1"/>
        <v>0</v>
      </c>
    </row>
    <row r="38" spans="1:12" x14ac:dyDescent="0.25">
      <c r="A38">
        <v>1751</v>
      </c>
      <c r="B38" t="s">
        <v>42</v>
      </c>
      <c r="C38" t="s">
        <v>94</v>
      </c>
      <c r="D38" t="s">
        <v>33</v>
      </c>
      <c r="J38">
        <f t="shared" si="0"/>
        <v>0</v>
      </c>
      <c r="L38">
        <f t="shared" si="1"/>
        <v>0</v>
      </c>
    </row>
    <row r="39" spans="1:12" x14ac:dyDescent="0.25">
      <c r="A39">
        <v>1751</v>
      </c>
      <c r="B39" t="s">
        <v>83</v>
      </c>
      <c r="C39" t="s">
        <v>94</v>
      </c>
      <c r="D39" t="s">
        <v>33</v>
      </c>
      <c r="J39">
        <f t="shared" si="0"/>
        <v>0</v>
      </c>
      <c r="L39">
        <f t="shared" si="1"/>
        <v>0</v>
      </c>
    </row>
    <row r="40" spans="1:12" x14ac:dyDescent="0.25">
      <c r="A40">
        <v>1751</v>
      </c>
      <c r="B40" t="s">
        <v>47</v>
      </c>
      <c r="C40" t="s">
        <v>94</v>
      </c>
      <c r="D40" t="s">
        <v>33</v>
      </c>
      <c r="J40">
        <f t="shared" si="0"/>
        <v>0</v>
      </c>
      <c r="L40">
        <f t="shared" si="1"/>
        <v>0</v>
      </c>
    </row>
    <row r="41" spans="1:12" x14ac:dyDescent="0.25">
      <c r="A41">
        <v>1751</v>
      </c>
      <c r="B41" t="s">
        <v>16</v>
      </c>
      <c r="C41" t="s">
        <v>94</v>
      </c>
      <c r="D41" t="s">
        <v>33</v>
      </c>
      <c r="J41">
        <f t="shared" si="0"/>
        <v>0</v>
      </c>
      <c r="L41">
        <f t="shared" si="1"/>
        <v>0</v>
      </c>
    </row>
    <row r="42" spans="1:12" x14ac:dyDescent="0.25">
      <c r="A42">
        <v>1751</v>
      </c>
      <c r="B42" t="s">
        <v>17</v>
      </c>
      <c r="C42" t="s">
        <v>94</v>
      </c>
      <c r="D42" t="s">
        <v>33</v>
      </c>
      <c r="J42">
        <f t="shared" si="0"/>
        <v>0</v>
      </c>
      <c r="L42">
        <f t="shared" si="1"/>
        <v>0</v>
      </c>
    </row>
    <row r="43" spans="1:12" x14ac:dyDescent="0.25">
      <c r="A43">
        <v>1751</v>
      </c>
      <c r="B43" t="s">
        <v>18</v>
      </c>
      <c r="C43" t="s">
        <v>94</v>
      </c>
      <c r="D43" t="s">
        <v>33</v>
      </c>
      <c r="J43">
        <f t="shared" si="0"/>
        <v>0</v>
      </c>
      <c r="L43">
        <f t="shared" si="1"/>
        <v>0</v>
      </c>
    </row>
    <row r="44" spans="1:12" x14ac:dyDescent="0.25">
      <c r="A44">
        <v>1751</v>
      </c>
      <c r="B44" t="s">
        <v>26</v>
      </c>
      <c r="C44" t="s">
        <v>94</v>
      </c>
      <c r="D44" t="s">
        <v>33</v>
      </c>
      <c r="J44">
        <f t="shared" si="0"/>
        <v>0</v>
      </c>
      <c r="L44">
        <f t="shared" si="1"/>
        <v>0</v>
      </c>
    </row>
    <row r="45" spans="1:12" x14ac:dyDescent="0.25">
      <c r="A45">
        <v>1751</v>
      </c>
      <c r="B45" t="s">
        <v>84</v>
      </c>
      <c r="C45" t="s">
        <v>94</v>
      </c>
      <c r="D45" t="s">
        <v>33</v>
      </c>
      <c r="J45">
        <f t="shared" si="0"/>
        <v>0</v>
      </c>
      <c r="L45">
        <f t="shared" si="1"/>
        <v>0</v>
      </c>
    </row>
    <row r="46" spans="1:12" x14ac:dyDescent="0.25">
      <c r="A46">
        <v>1751</v>
      </c>
      <c r="B46" t="s">
        <v>19</v>
      </c>
      <c r="C46" t="s">
        <v>94</v>
      </c>
      <c r="D46" t="s">
        <v>33</v>
      </c>
      <c r="J46">
        <f t="shared" si="0"/>
        <v>0</v>
      </c>
      <c r="L46">
        <f t="shared" si="1"/>
        <v>0</v>
      </c>
    </row>
    <row r="47" spans="1:12" x14ac:dyDescent="0.25">
      <c r="A47">
        <v>1751</v>
      </c>
      <c r="B47" t="s">
        <v>45</v>
      </c>
      <c r="C47" t="s">
        <v>94</v>
      </c>
      <c r="D47" t="s">
        <v>33</v>
      </c>
      <c r="J47">
        <f t="shared" si="0"/>
        <v>0</v>
      </c>
      <c r="L47">
        <f t="shared" si="1"/>
        <v>0</v>
      </c>
    </row>
    <row r="48" spans="1:12" x14ac:dyDescent="0.25">
      <c r="A48">
        <v>1751</v>
      </c>
      <c r="B48" t="s">
        <v>85</v>
      </c>
      <c r="C48" t="s">
        <v>94</v>
      </c>
      <c r="D48" t="s">
        <v>33</v>
      </c>
      <c r="J48">
        <f t="shared" si="0"/>
        <v>0</v>
      </c>
      <c r="L48">
        <f t="shared" si="1"/>
        <v>0</v>
      </c>
    </row>
    <row r="49" spans="1:12" x14ac:dyDescent="0.25">
      <c r="A49">
        <v>1751</v>
      </c>
      <c r="B49" t="s">
        <v>54</v>
      </c>
      <c r="C49" t="s">
        <v>94</v>
      </c>
      <c r="D49" t="s">
        <v>33</v>
      </c>
      <c r="H49">
        <v>22</v>
      </c>
      <c r="J49">
        <f t="shared" si="0"/>
        <v>22</v>
      </c>
      <c r="L49">
        <f t="shared" si="1"/>
        <v>9.8214285714285712E-3</v>
      </c>
    </row>
    <row r="50" spans="1:12" x14ac:dyDescent="0.25">
      <c r="A50">
        <v>1751</v>
      </c>
      <c r="B50" t="s">
        <v>95</v>
      </c>
      <c r="C50" t="s">
        <v>94</v>
      </c>
      <c r="D50" t="s">
        <v>33</v>
      </c>
      <c r="J50">
        <f t="shared" si="0"/>
        <v>0</v>
      </c>
      <c r="L50">
        <f t="shared" si="1"/>
        <v>0</v>
      </c>
    </row>
    <row r="51" spans="1:12" x14ac:dyDescent="0.25">
      <c r="A51">
        <v>1751</v>
      </c>
      <c r="B51" t="s">
        <v>20</v>
      </c>
      <c r="C51" t="s">
        <v>94</v>
      </c>
      <c r="D51" t="s">
        <v>33</v>
      </c>
      <c r="J51">
        <f t="shared" si="0"/>
        <v>0</v>
      </c>
      <c r="L51">
        <f t="shared" si="1"/>
        <v>0</v>
      </c>
    </row>
    <row r="52" spans="1:12" x14ac:dyDescent="0.25">
      <c r="A52">
        <v>1751</v>
      </c>
      <c r="B52" t="s">
        <v>21</v>
      </c>
      <c r="C52" t="s">
        <v>94</v>
      </c>
      <c r="D52" t="s">
        <v>33</v>
      </c>
      <c r="J52">
        <f t="shared" si="0"/>
        <v>0</v>
      </c>
      <c r="L52">
        <f t="shared" si="1"/>
        <v>0</v>
      </c>
    </row>
    <row r="53" spans="1:12" x14ac:dyDescent="0.25">
      <c r="A53">
        <v>1751</v>
      </c>
      <c r="B53" t="s">
        <v>22</v>
      </c>
      <c r="C53" t="s">
        <v>94</v>
      </c>
      <c r="D53" t="s">
        <v>33</v>
      </c>
      <c r="J53">
        <f t="shared" si="0"/>
        <v>0</v>
      </c>
      <c r="L53">
        <f t="shared" si="1"/>
        <v>0</v>
      </c>
    </row>
    <row r="54" spans="1:12" x14ac:dyDescent="0.25">
      <c r="A54">
        <v>1751</v>
      </c>
      <c r="B54" t="s">
        <v>61</v>
      </c>
      <c r="C54" t="s">
        <v>94</v>
      </c>
      <c r="D54" t="s">
        <v>33</v>
      </c>
      <c r="J54">
        <f t="shared" si="0"/>
        <v>0</v>
      </c>
      <c r="L54">
        <f t="shared" si="1"/>
        <v>0</v>
      </c>
    </row>
    <row r="55" spans="1:12" x14ac:dyDescent="0.25">
      <c r="A55">
        <v>1751</v>
      </c>
      <c r="B55" t="s">
        <v>99</v>
      </c>
      <c r="C55" t="s">
        <v>94</v>
      </c>
      <c r="D55" t="s">
        <v>33</v>
      </c>
      <c r="J55">
        <f t="shared" si="0"/>
        <v>0</v>
      </c>
      <c r="L55">
        <f t="shared" si="1"/>
        <v>0</v>
      </c>
    </row>
    <row r="56" spans="1:12" x14ac:dyDescent="0.25">
      <c r="A56">
        <v>1751</v>
      </c>
      <c r="B56" t="s">
        <v>87</v>
      </c>
      <c r="C56" t="s">
        <v>94</v>
      </c>
      <c r="D56" t="s">
        <v>33</v>
      </c>
      <c r="E56">
        <v>46</v>
      </c>
      <c r="F56">
        <v>5</v>
      </c>
      <c r="J56">
        <f t="shared" si="0"/>
        <v>103600</v>
      </c>
      <c r="L56">
        <f t="shared" si="1"/>
        <v>46.25</v>
      </c>
    </row>
    <row r="57" spans="1:12" x14ac:dyDescent="0.25">
      <c r="A57">
        <v>1751</v>
      </c>
      <c r="B57" t="s">
        <v>62</v>
      </c>
      <c r="C57" t="s">
        <v>94</v>
      </c>
      <c r="D57" t="s">
        <v>33</v>
      </c>
      <c r="J57">
        <f t="shared" si="0"/>
        <v>0</v>
      </c>
      <c r="L57">
        <f t="shared" si="1"/>
        <v>0</v>
      </c>
    </row>
    <row r="58" spans="1:12" x14ac:dyDescent="0.25">
      <c r="A58">
        <v>1751</v>
      </c>
      <c r="B58" t="s">
        <v>88</v>
      </c>
      <c r="C58" t="s">
        <v>94</v>
      </c>
      <c r="D58" t="s">
        <v>33</v>
      </c>
      <c r="J58">
        <f t="shared" si="0"/>
        <v>0</v>
      </c>
      <c r="L58">
        <f t="shared" si="1"/>
        <v>0</v>
      </c>
    </row>
    <row r="59" spans="1:12" x14ac:dyDescent="0.25">
      <c r="A59">
        <v>1751</v>
      </c>
      <c r="B59" t="s">
        <v>63</v>
      </c>
      <c r="C59" t="s">
        <v>94</v>
      </c>
      <c r="D59" t="s">
        <v>33</v>
      </c>
      <c r="J59">
        <f t="shared" si="0"/>
        <v>0</v>
      </c>
      <c r="L59">
        <f t="shared" si="1"/>
        <v>0</v>
      </c>
    </row>
    <row r="60" spans="1:12" x14ac:dyDescent="0.25">
      <c r="A60">
        <v>1751</v>
      </c>
      <c r="B60" t="s">
        <v>89</v>
      </c>
      <c r="C60" t="s">
        <v>94</v>
      </c>
      <c r="D60" t="s">
        <v>33</v>
      </c>
      <c r="J60">
        <f t="shared" si="0"/>
        <v>0</v>
      </c>
      <c r="L60">
        <f t="shared" si="1"/>
        <v>0</v>
      </c>
    </row>
    <row r="61" spans="1:12" x14ac:dyDescent="0.25">
      <c r="A61">
        <v>1751</v>
      </c>
      <c r="B61" t="s">
        <v>70</v>
      </c>
      <c r="C61" t="s">
        <v>94</v>
      </c>
      <c r="D61" t="s">
        <v>33</v>
      </c>
      <c r="J61">
        <f t="shared" si="0"/>
        <v>0</v>
      </c>
      <c r="L61">
        <f t="shared" si="1"/>
        <v>0</v>
      </c>
    </row>
    <row r="62" spans="1:12" x14ac:dyDescent="0.25">
      <c r="A62">
        <v>1751</v>
      </c>
      <c r="B62" t="s">
        <v>64</v>
      </c>
      <c r="C62" t="s">
        <v>94</v>
      </c>
      <c r="D62" t="s">
        <v>33</v>
      </c>
      <c r="J62">
        <f t="shared" si="0"/>
        <v>0</v>
      </c>
      <c r="L62">
        <f t="shared" si="1"/>
        <v>0</v>
      </c>
    </row>
    <row r="63" spans="1:12" x14ac:dyDescent="0.25">
      <c r="A63">
        <v>1751</v>
      </c>
      <c r="B63" t="s">
        <v>65</v>
      </c>
      <c r="C63" t="s">
        <v>94</v>
      </c>
      <c r="D63" t="s">
        <v>33</v>
      </c>
      <c r="J63">
        <f t="shared" si="0"/>
        <v>0</v>
      </c>
      <c r="L63">
        <f t="shared" si="1"/>
        <v>0</v>
      </c>
    </row>
    <row r="64" spans="1:12" x14ac:dyDescent="0.25">
      <c r="A64">
        <v>1751</v>
      </c>
      <c r="B64" t="s">
        <v>55</v>
      </c>
      <c r="C64" t="s">
        <v>94</v>
      </c>
      <c r="D64" t="s">
        <v>35</v>
      </c>
      <c r="J64">
        <f t="shared" si="0"/>
        <v>0</v>
      </c>
      <c r="L64">
        <f t="shared" si="1"/>
        <v>0</v>
      </c>
    </row>
    <row r="65" spans="1:12" x14ac:dyDescent="0.25">
      <c r="A65">
        <v>1751</v>
      </c>
      <c r="B65" t="s">
        <v>57</v>
      </c>
      <c r="C65" t="s">
        <v>94</v>
      </c>
      <c r="D65" t="s">
        <v>35</v>
      </c>
      <c r="J65">
        <f t="shared" si="0"/>
        <v>0</v>
      </c>
      <c r="L65">
        <f t="shared" si="1"/>
        <v>0</v>
      </c>
    </row>
    <row r="66" spans="1:12" x14ac:dyDescent="0.25">
      <c r="A66">
        <v>1751</v>
      </c>
      <c r="B66" t="s">
        <v>36</v>
      </c>
      <c r="C66" t="s">
        <v>94</v>
      </c>
      <c r="D66" t="s">
        <v>35</v>
      </c>
      <c r="J66">
        <f t="shared" si="0"/>
        <v>0</v>
      </c>
      <c r="L66">
        <f t="shared" si="1"/>
        <v>0</v>
      </c>
    </row>
    <row r="67" spans="1:12" x14ac:dyDescent="0.25">
      <c r="A67">
        <v>1751</v>
      </c>
      <c r="B67" t="s">
        <v>4</v>
      </c>
      <c r="C67" t="s">
        <v>94</v>
      </c>
      <c r="D67" t="s">
        <v>35</v>
      </c>
      <c r="J67">
        <f t="shared" ref="J67:J126" si="2">(E67*2240)+(F67*112)+(G67*28)+H67</f>
        <v>0</v>
      </c>
      <c r="L67">
        <f t="shared" ref="L67:L126" si="3">J67/2240</f>
        <v>0</v>
      </c>
    </row>
    <row r="68" spans="1:12" x14ac:dyDescent="0.25">
      <c r="A68">
        <v>1751</v>
      </c>
      <c r="B68" t="s">
        <v>58</v>
      </c>
      <c r="C68" t="s">
        <v>94</v>
      </c>
      <c r="D68" t="s">
        <v>35</v>
      </c>
      <c r="J68">
        <f t="shared" si="2"/>
        <v>0</v>
      </c>
      <c r="L68">
        <f t="shared" si="3"/>
        <v>0</v>
      </c>
    </row>
    <row r="69" spans="1:12" x14ac:dyDescent="0.25">
      <c r="A69">
        <v>1751</v>
      </c>
      <c r="B69" t="s">
        <v>69</v>
      </c>
      <c r="C69" t="s">
        <v>94</v>
      </c>
      <c r="D69" t="s">
        <v>35</v>
      </c>
      <c r="J69">
        <f t="shared" si="2"/>
        <v>0</v>
      </c>
      <c r="L69">
        <f t="shared" si="3"/>
        <v>0</v>
      </c>
    </row>
    <row r="70" spans="1:12" x14ac:dyDescent="0.25">
      <c r="A70">
        <v>1751</v>
      </c>
      <c r="B70" t="s">
        <v>43</v>
      </c>
      <c r="C70" t="s">
        <v>94</v>
      </c>
      <c r="D70" t="s">
        <v>35</v>
      </c>
      <c r="J70">
        <f t="shared" si="2"/>
        <v>0</v>
      </c>
      <c r="L70">
        <f t="shared" si="3"/>
        <v>0</v>
      </c>
    </row>
    <row r="71" spans="1:12" x14ac:dyDescent="0.25">
      <c r="A71">
        <v>1751</v>
      </c>
      <c r="B71" t="s">
        <v>76</v>
      </c>
      <c r="C71" t="s">
        <v>94</v>
      </c>
      <c r="D71" t="s">
        <v>35</v>
      </c>
      <c r="J71">
        <f t="shared" si="2"/>
        <v>0</v>
      </c>
      <c r="L71">
        <f t="shared" si="3"/>
        <v>0</v>
      </c>
    </row>
    <row r="72" spans="1:12" x14ac:dyDescent="0.25">
      <c r="A72">
        <v>1751</v>
      </c>
      <c r="B72" t="s">
        <v>5</v>
      </c>
      <c r="C72" t="s">
        <v>94</v>
      </c>
      <c r="D72" t="s">
        <v>35</v>
      </c>
      <c r="J72">
        <f t="shared" si="2"/>
        <v>0</v>
      </c>
      <c r="L72">
        <f t="shared" si="3"/>
        <v>0</v>
      </c>
    </row>
    <row r="73" spans="1:12" x14ac:dyDescent="0.25">
      <c r="A73">
        <v>1751</v>
      </c>
      <c r="B73" t="s">
        <v>59</v>
      </c>
      <c r="C73" t="s">
        <v>94</v>
      </c>
      <c r="D73" t="s">
        <v>35</v>
      </c>
      <c r="J73">
        <f t="shared" si="2"/>
        <v>0</v>
      </c>
      <c r="L73">
        <f t="shared" si="3"/>
        <v>0</v>
      </c>
    </row>
    <row r="74" spans="1:12" x14ac:dyDescent="0.25">
      <c r="A74">
        <v>1751</v>
      </c>
      <c r="B74" t="s">
        <v>6</v>
      </c>
      <c r="C74" t="s">
        <v>94</v>
      </c>
      <c r="D74" t="s">
        <v>35</v>
      </c>
      <c r="F74">
        <v>945</v>
      </c>
      <c r="G74">
        <v>3</v>
      </c>
      <c r="J74">
        <f t="shared" si="2"/>
        <v>105924</v>
      </c>
      <c r="L74">
        <f t="shared" si="3"/>
        <v>47.287500000000001</v>
      </c>
    </row>
    <row r="75" spans="1:12" x14ac:dyDescent="0.25">
      <c r="A75">
        <v>1751</v>
      </c>
      <c r="B75" t="s">
        <v>60</v>
      </c>
      <c r="C75" t="s">
        <v>94</v>
      </c>
      <c r="D75" t="s">
        <v>35</v>
      </c>
      <c r="J75">
        <f t="shared" si="2"/>
        <v>0</v>
      </c>
      <c r="L75">
        <f t="shared" si="3"/>
        <v>0</v>
      </c>
    </row>
    <row r="76" spans="1:12" x14ac:dyDescent="0.25">
      <c r="A76">
        <v>1751</v>
      </c>
      <c r="B76" t="s">
        <v>7</v>
      </c>
      <c r="C76" t="s">
        <v>94</v>
      </c>
      <c r="D76" t="s">
        <v>35</v>
      </c>
      <c r="J76">
        <f t="shared" si="2"/>
        <v>0</v>
      </c>
      <c r="L76">
        <f t="shared" si="3"/>
        <v>0</v>
      </c>
    </row>
    <row r="77" spans="1:12" x14ac:dyDescent="0.25">
      <c r="A77">
        <v>1751</v>
      </c>
      <c r="B77" t="s">
        <v>37</v>
      </c>
      <c r="C77" t="s">
        <v>94</v>
      </c>
      <c r="D77" t="s">
        <v>35</v>
      </c>
      <c r="J77">
        <f t="shared" si="2"/>
        <v>0</v>
      </c>
      <c r="L77">
        <f t="shared" si="3"/>
        <v>0</v>
      </c>
    </row>
    <row r="78" spans="1:12" x14ac:dyDescent="0.25">
      <c r="A78">
        <v>1751</v>
      </c>
      <c r="B78" t="s">
        <v>8</v>
      </c>
      <c r="C78" t="s">
        <v>94</v>
      </c>
      <c r="D78" t="s">
        <v>35</v>
      </c>
      <c r="J78">
        <f t="shared" si="2"/>
        <v>0</v>
      </c>
      <c r="L78">
        <f t="shared" si="3"/>
        <v>0</v>
      </c>
    </row>
    <row r="79" spans="1:12" x14ac:dyDescent="0.25">
      <c r="A79">
        <v>1751</v>
      </c>
      <c r="B79" t="s">
        <v>40</v>
      </c>
      <c r="C79" t="s">
        <v>94</v>
      </c>
      <c r="D79" t="s">
        <v>35</v>
      </c>
      <c r="J79">
        <f t="shared" si="2"/>
        <v>0</v>
      </c>
      <c r="L79">
        <f t="shared" si="3"/>
        <v>0</v>
      </c>
    </row>
    <row r="80" spans="1:12" x14ac:dyDescent="0.25">
      <c r="A80">
        <v>1751</v>
      </c>
      <c r="B80" t="s">
        <v>77</v>
      </c>
      <c r="C80" t="s">
        <v>94</v>
      </c>
      <c r="D80" t="s">
        <v>35</v>
      </c>
      <c r="J80">
        <f t="shared" si="2"/>
        <v>0</v>
      </c>
      <c r="L80">
        <f t="shared" si="3"/>
        <v>0</v>
      </c>
    </row>
    <row r="81" spans="1:12" x14ac:dyDescent="0.25">
      <c r="A81">
        <v>1751</v>
      </c>
      <c r="B81" t="s">
        <v>78</v>
      </c>
      <c r="C81" t="s">
        <v>94</v>
      </c>
      <c r="D81" t="s">
        <v>35</v>
      </c>
      <c r="J81">
        <f t="shared" si="2"/>
        <v>0</v>
      </c>
      <c r="L81">
        <f t="shared" si="3"/>
        <v>0</v>
      </c>
    </row>
    <row r="82" spans="1:12" x14ac:dyDescent="0.25">
      <c r="A82">
        <v>1751</v>
      </c>
      <c r="B82" t="s">
        <v>46</v>
      </c>
      <c r="C82" t="s">
        <v>94</v>
      </c>
      <c r="D82" t="s">
        <v>35</v>
      </c>
      <c r="J82">
        <f t="shared" si="2"/>
        <v>0</v>
      </c>
      <c r="L82">
        <f t="shared" si="3"/>
        <v>0</v>
      </c>
    </row>
    <row r="83" spans="1:12" x14ac:dyDescent="0.25">
      <c r="A83">
        <v>1751</v>
      </c>
      <c r="B83" t="s">
        <v>9</v>
      </c>
      <c r="C83" t="s">
        <v>94</v>
      </c>
      <c r="D83" t="s">
        <v>35</v>
      </c>
      <c r="H83">
        <f>988*200</f>
        <v>197600</v>
      </c>
      <c r="I83" t="s">
        <v>156</v>
      </c>
      <c r="J83">
        <f t="shared" si="2"/>
        <v>197600</v>
      </c>
      <c r="L83">
        <f t="shared" si="3"/>
        <v>88.214285714285708</v>
      </c>
    </row>
    <row r="84" spans="1:12" x14ac:dyDescent="0.25">
      <c r="A84">
        <v>1751</v>
      </c>
      <c r="B84" t="s">
        <v>10</v>
      </c>
      <c r="C84" t="s">
        <v>94</v>
      </c>
      <c r="D84" t="s">
        <v>35</v>
      </c>
      <c r="J84">
        <f t="shared" si="2"/>
        <v>0</v>
      </c>
      <c r="L84">
        <f t="shared" si="3"/>
        <v>0</v>
      </c>
    </row>
    <row r="85" spans="1:12" x14ac:dyDescent="0.25">
      <c r="A85">
        <v>1751</v>
      </c>
      <c r="B85" t="s">
        <v>11</v>
      </c>
      <c r="C85" t="s">
        <v>94</v>
      </c>
      <c r="D85" t="s">
        <v>35</v>
      </c>
      <c r="F85">
        <v>19</v>
      </c>
      <c r="H85">
        <v>20</v>
      </c>
      <c r="J85">
        <f t="shared" si="2"/>
        <v>2148</v>
      </c>
      <c r="L85">
        <f t="shared" si="3"/>
        <v>0.95892857142857146</v>
      </c>
    </row>
    <row r="86" spans="1:12" x14ac:dyDescent="0.25">
      <c r="A86">
        <v>1751</v>
      </c>
      <c r="B86" t="s">
        <v>39</v>
      </c>
      <c r="C86" t="s">
        <v>94</v>
      </c>
      <c r="D86" t="s">
        <v>35</v>
      </c>
      <c r="J86">
        <f t="shared" si="2"/>
        <v>0</v>
      </c>
      <c r="L86">
        <f t="shared" si="3"/>
        <v>0</v>
      </c>
    </row>
    <row r="87" spans="1:12" x14ac:dyDescent="0.25">
      <c r="A87">
        <v>1751</v>
      </c>
      <c r="B87" t="s">
        <v>79</v>
      </c>
      <c r="C87" t="s">
        <v>94</v>
      </c>
      <c r="D87" t="s">
        <v>35</v>
      </c>
      <c r="J87">
        <f t="shared" si="2"/>
        <v>0</v>
      </c>
      <c r="L87">
        <f t="shared" si="3"/>
        <v>0</v>
      </c>
    </row>
    <row r="88" spans="1:12" x14ac:dyDescent="0.25">
      <c r="A88">
        <v>1751</v>
      </c>
      <c r="B88" t="s">
        <v>103</v>
      </c>
      <c r="C88" t="s">
        <v>94</v>
      </c>
      <c r="D88" t="s">
        <v>35</v>
      </c>
      <c r="J88">
        <f t="shared" si="2"/>
        <v>0</v>
      </c>
      <c r="L88">
        <f t="shared" si="3"/>
        <v>0</v>
      </c>
    </row>
    <row r="89" spans="1:12" x14ac:dyDescent="0.25">
      <c r="A89">
        <v>1751</v>
      </c>
      <c r="B89" t="s">
        <v>44</v>
      </c>
      <c r="C89" t="s">
        <v>94</v>
      </c>
      <c r="D89" t="s">
        <v>35</v>
      </c>
      <c r="J89">
        <f t="shared" si="2"/>
        <v>0</v>
      </c>
      <c r="L89">
        <f t="shared" si="3"/>
        <v>0</v>
      </c>
    </row>
    <row r="90" spans="1:12" x14ac:dyDescent="0.25">
      <c r="A90">
        <v>1751</v>
      </c>
      <c r="B90" t="s">
        <v>97</v>
      </c>
      <c r="C90" t="s">
        <v>94</v>
      </c>
      <c r="D90" t="s">
        <v>35</v>
      </c>
      <c r="J90">
        <f t="shared" si="2"/>
        <v>0</v>
      </c>
      <c r="L90">
        <f t="shared" si="3"/>
        <v>0</v>
      </c>
    </row>
    <row r="91" spans="1:12" x14ac:dyDescent="0.25">
      <c r="A91">
        <v>1751</v>
      </c>
      <c r="B91" t="s">
        <v>12</v>
      </c>
      <c r="C91" t="s">
        <v>94</v>
      </c>
      <c r="D91" t="s">
        <v>35</v>
      </c>
      <c r="J91">
        <f t="shared" si="2"/>
        <v>0</v>
      </c>
      <c r="L91">
        <f t="shared" si="3"/>
        <v>0</v>
      </c>
    </row>
    <row r="92" spans="1:12" x14ac:dyDescent="0.25">
      <c r="A92">
        <v>1751</v>
      </c>
      <c r="B92" t="s">
        <v>82</v>
      </c>
      <c r="C92" t="s">
        <v>94</v>
      </c>
      <c r="D92" t="s">
        <v>35</v>
      </c>
      <c r="J92">
        <f t="shared" si="2"/>
        <v>0</v>
      </c>
      <c r="L92">
        <f t="shared" si="3"/>
        <v>0</v>
      </c>
    </row>
    <row r="93" spans="1:12" x14ac:dyDescent="0.25">
      <c r="A93">
        <v>1751</v>
      </c>
      <c r="B93" t="s">
        <v>34</v>
      </c>
      <c r="C93" t="s">
        <v>94</v>
      </c>
      <c r="D93" t="s">
        <v>35</v>
      </c>
      <c r="J93">
        <f t="shared" si="2"/>
        <v>0</v>
      </c>
      <c r="L93">
        <f t="shared" si="3"/>
        <v>0</v>
      </c>
    </row>
    <row r="94" spans="1:12" x14ac:dyDescent="0.25">
      <c r="A94">
        <v>1751</v>
      </c>
      <c r="B94" t="s">
        <v>13</v>
      </c>
      <c r="C94" t="s">
        <v>94</v>
      </c>
      <c r="D94" t="s">
        <v>35</v>
      </c>
      <c r="E94">
        <v>51</v>
      </c>
      <c r="J94">
        <f t="shared" si="2"/>
        <v>114240</v>
      </c>
      <c r="L94">
        <f t="shared" si="3"/>
        <v>51</v>
      </c>
    </row>
    <row r="95" spans="1:12" x14ac:dyDescent="0.25">
      <c r="A95">
        <v>1751</v>
      </c>
      <c r="B95" t="s">
        <v>14</v>
      </c>
      <c r="C95" t="s">
        <v>94</v>
      </c>
      <c r="D95" t="s">
        <v>35</v>
      </c>
      <c r="J95">
        <f t="shared" si="2"/>
        <v>0</v>
      </c>
      <c r="L95">
        <f t="shared" si="3"/>
        <v>0</v>
      </c>
    </row>
    <row r="96" spans="1:12" x14ac:dyDescent="0.25">
      <c r="A96">
        <v>1751</v>
      </c>
      <c r="B96" t="s">
        <v>23</v>
      </c>
      <c r="C96" t="s">
        <v>94</v>
      </c>
      <c r="D96" t="s">
        <v>35</v>
      </c>
      <c r="J96">
        <f t="shared" si="2"/>
        <v>0</v>
      </c>
      <c r="L96">
        <f t="shared" si="3"/>
        <v>0</v>
      </c>
    </row>
    <row r="97" spans="1:12" x14ac:dyDescent="0.25">
      <c r="A97">
        <v>1751</v>
      </c>
      <c r="B97" t="s">
        <v>27</v>
      </c>
      <c r="C97" t="s">
        <v>94</v>
      </c>
      <c r="D97" t="s">
        <v>35</v>
      </c>
      <c r="H97">
        <v>7082</v>
      </c>
      <c r="I97" t="s">
        <v>155</v>
      </c>
      <c r="J97">
        <f t="shared" si="2"/>
        <v>7082</v>
      </c>
      <c r="L97">
        <f t="shared" si="3"/>
        <v>3.1616071428571431</v>
      </c>
    </row>
    <row r="98" spans="1:12" x14ac:dyDescent="0.25">
      <c r="A98">
        <v>1751</v>
      </c>
      <c r="B98" t="s">
        <v>15</v>
      </c>
      <c r="C98" t="s">
        <v>94</v>
      </c>
      <c r="D98" t="s">
        <v>35</v>
      </c>
      <c r="J98">
        <f t="shared" si="2"/>
        <v>0</v>
      </c>
      <c r="L98">
        <f t="shared" si="3"/>
        <v>0</v>
      </c>
    </row>
    <row r="99" spans="1:12" x14ac:dyDescent="0.25">
      <c r="A99">
        <v>1751</v>
      </c>
      <c r="B99" t="s">
        <v>93</v>
      </c>
      <c r="C99" t="s">
        <v>94</v>
      </c>
      <c r="D99" t="s">
        <v>35</v>
      </c>
      <c r="J99">
        <f t="shared" si="2"/>
        <v>0</v>
      </c>
      <c r="L99">
        <f t="shared" si="3"/>
        <v>0</v>
      </c>
    </row>
    <row r="100" spans="1:12" x14ac:dyDescent="0.25">
      <c r="A100">
        <v>1751</v>
      </c>
      <c r="B100" t="s">
        <v>42</v>
      </c>
      <c r="C100" t="s">
        <v>94</v>
      </c>
      <c r="D100" t="s">
        <v>35</v>
      </c>
      <c r="J100">
        <f t="shared" si="2"/>
        <v>0</v>
      </c>
      <c r="L100">
        <f t="shared" si="3"/>
        <v>0</v>
      </c>
    </row>
    <row r="101" spans="1:12" x14ac:dyDescent="0.25">
      <c r="A101">
        <v>1751</v>
      </c>
      <c r="B101" t="s">
        <v>83</v>
      </c>
      <c r="C101" t="s">
        <v>94</v>
      </c>
      <c r="D101" t="s">
        <v>35</v>
      </c>
      <c r="J101">
        <f t="shared" si="2"/>
        <v>0</v>
      </c>
      <c r="L101">
        <f t="shared" si="3"/>
        <v>0</v>
      </c>
    </row>
    <row r="102" spans="1:12" x14ac:dyDescent="0.25">
      <c r="A102">
        <v>1751</v>
      </c>
      <c r="B102" t="s">
        <v>47</v>
      </c>
      <c r="C102" t="s">
        <v>94</v>
      </c>
      <c r="D102" t="s">
        <v>35</v>
      </c>
      <c r="J102">
        <f t="shared" si="2"/>
        <v>0</v>
      </c>
      <c r="L102">
        <f t="shared" si="3"/>
        <v>0</v>
      </c>
    </row>
    <row r="103" spans="1:12" x14ac:dyDescent="0.25">
      <c r="A103">
        <v>1751</v>
      </c>
      <c r="B103" t="s">
        <v>16</v>
      </c>
      <c r="C103" t="s">
        <v>94</v>
      </c>
      <c r="D103" t="s">
        <v>35</v>
      </c>
      <c r="J103">
        <f t="shared" si="2"/>
        <v>0</v>
      </c>
      <c r="L103">
        <f t="shared" si="3"/>
        <v>0</v>
      </c>
    </row>
    <row r="104" spans="1:12" x14ac:dyDescent="0.25">
      <c r="A104">
        <v>1751</v>
      </c>
      <c r="B104" t="s">
        <v>17</v>
      </c>
      <c r="C104" t="s">
        <v>94</v>
      </c>
      <c r="D104" t="s">
        <v>35</v>
      </c>
      <c r="J104">
        <f t="shared" si="2"/>
        <v>0</v>
      </c>
      <c r="L104">
        <f t="shared" si="3"/>
        <v>0</v>
      </c>
    </row>
    <row r="105" spans="1:12" x14ac:dyDescent="0.25">
      <c r="A105">
        <v>1751</v>
      </c>
      <c r="B105" t="s">
        <v>18</v>
      </c>
      <c r="C105" t="s">
        <v>94</v>
      </c>
      <c r="D105" t="s">
        <v>35</v>
      </c>
      <c r="H105">
        <v>1190.5</v>
      </c>
      <c r="I105" t="s">
        <v>154</v>
      </c>
      <c r="J105">
        <f t="shared" si="2"/>
        <v>1190.5</v>
      </c>
      <c r="L105">
        <f t="shared" si="3"/>
        <v>0.53147321428571426</v>
      </c>
    </row>
    <row r="106" spans="1:12" x14ac:dyDescent="0.25">
      <c r="A106">
        <v>1751</v>
      </c>
      <c r="B106" t="s">
        <v>26</v>
      </c>
      <c r="C106" t="s">
        <v>94</v>
      </c>
      <c r="D106" t="s">
        <v>35</v>
      </c>
      <c r="J106">
        <f t="shared" si="2"/>
        <v>0</v>
      </c>
      <c r="L106">
        <f t="shared" si="3"/>
        <v>0</v>
      </c>
    </row>
    <row r="107" spans="1:12" x14ac:dyDescent="0.25">
      <c r="A107">
        <v>1751</v>
      </c>
      <c r="B107" t="s">
        <v>84</v>
      </c>
      <c r="C107" t="s">
        <v>94</v>
      </c>
      <c r="D107" t="s">
        <v>35</v>
      </c>
      <c r="J107">
        <f t="shared" si="2"/>
        <v>0</v>
      </c>
      <c r="L107">
        <f t="shared" si="3"/>
        <v>0</v>
      </c>
    </row>
    <row r="108" spans="1:12" x14ac:dyDescent="0.25">
      <c r="A108">
        <v>1751</v>
      </c>
      <c r="B108" t="s">
        <v>19</v>
      </c>
      <c r="C108" t="s">
        <v>94</v>
      </c>
      <c r="D108" t="s">
        <v>35</v>
      </c>
      <c r="F108">
        <v>11</v>
      </c>
      <c r="G108">
        <v>1</v>
      </c>
      <c r="J108">
        <f t="shared" si="2"/>
        <v>1260</v>
      </c>
      <c r="L108">
        <f t="shared" si="3"/>
        <v>0.5625</v>
      </c>
    </row>
    <row r="109" spans="1:12" x14ac:dyDescent="0.25">
      <c r="A109">
        <v>1751</v>
      </c>
      <c r="B109" t="s">
        <v>45</v>
      </c>
      <c r="C109" t="s">
        <v>94</v>
      </c>
      <c r="D109" t="s">
        <v>35</v>
      </c>
      <c r="J109">
        <f t="shared" si="2"/>
        <v>0</v>
      </c>
      <c r="L109">
        <f t="shared" si="3"/>
        <v>0</v>
      </c>
    </row>
    <row r="110" spans="1:12" x14ac:dyDescent="0.25">
      <c r="A110">
        <v>1751</v>
      </c>
      <c r="B110" t="s">
        <v>85</v>
      </c>
      <c r="C110" t="s">
        <v>94</v>
      </c>
      <c r="D110" t="s">
        <v>35</v>
      </c>
      <c r="J110">
        <f t="shared" si="2"/>
        <v>0</v>
      </c>
      <c r="L110">
        <f t="shared" si="3"/>
        <v>0</v>
      </c>
    </row>
    <row r="111" spans="1:12" x14ac:dyDescent="0.25">
      <c r="A111">
        <v>1751</v>
      </c>
      <c r="B111" t="s">
        <v>54</v>
      </c>
      <c r="C111" t="s">
        <v>94</v>
      </c>
      <c r="D111" t="s">
        <v>35</v>
      </c>
      <c r="J111">
        <f t="shared" si="2"/>
        <v>0</v>
      </c>
      <c r="L111">
        <f t="shared" si="3"/>
        <v>0</v>
      </c>
    </row>
    <row r="112" spans="1:12" x14ac:dyDescent="0.25">
      <c r="A112">
        <v>1751</v>
      </c>
      <c r="B112" t="s">
        <v>95</v>
      </c>
      <c r="C112" t="s">
        <v>94</v>
      </c>
      <c r="D112" t="s">
        <v>35</v>
      </c>
      <c r="J112">
        <f t="shared" si="2"/>
        <v>0</v>
      </c>
      <c r="L112">
        <f t="shared" si="3"/>
        <v>0</v>
      </c>
    </row>
    <row r="113" spans="1:12" x14ac:dyDescent="0.25">
      <c r="A113">
        <v>1751</v>
      </c>
      <c r="B113" t="s">
        <v>20</v>
      </c>
      <c r="C113" t="s">
        <v>94</v>
      </c>
      <c r="D113" t="s">
        <v>35</v>
      </c>
      <c r="J113">
        <f t="shared" si="2"/>
        <v>0</v>
      </c>
      <c r="L113">
        <f t="shared" si="3"/>
        <v>0</v>
      </c>
    </row>
    <row r="114" spans="1:12" x14ac:dyDescent="0.25">
      <c r="A114">
        <v>1751</v>
      </c>
      <c r="B114" t="s">
        <v>21</v>
      </c>
      <c r="C114" t="s">
        <v>94</v>
      </c>
      <c r="D114" t="s">
        <v>35</v>
      </c>
      <c r="J114">
        <f t="shared" si="2"/>
        <v>0</v>
      </c>
      <c r="L114">
        <f t="shared" si="3"/>
        <v>0</v>
      </c>
    </row>
    <row r="115" spans="1:12" x14ac:dyDescent="0.25">
      <c r="A115">
        <v>1751</v>
      </c>
      <c r="B115" t="s">
        <v>22</v>
      </c>
      <c r="C115" t="s">
        <v>94</v>
      </c>
      <c r="D115" t="s">
        <v>35</v>
      </c>
      <c r="J115">
        <f t="shared" si="2"/>
        <v>0</v>
      </c>
      <c r="L115">
        <f t="shared" si="3"/>
        <v>0</v>
      </c>
    </row>
    <row r="116" spans="1:12" x14ac:dyDescent="0.25">
      <c r="A116">
        <v>1751</v>
      </c>
      <c r="B116" t="s">
        <v>61</v>
      </c>
      <c r="C116" t="s">
        <v>94</v>
      </c>
      <c r="D116" t="s">
        <v>35</v>
      </c>
      <c r="E116">
        <v>1</v>
      </c>
      <c r="J116">
        <f t="shared" si="2"/>
        <v>2240</v>
      </c>
      <c r="L116">
        <f t="shared" si="3"/>
        <v>1</v>
      </c>
    </row>
    <row r="117" spans="1:12" x14ac:dyDescent="0.25">
      <c r="A117">
        <v>1751</v>
      </c>
      <c r="B117" t="s">
        <v>91</v>
      </c>
      <c r="C117" t="s">
        <v>94</v>
      </c>
      <c r="D117" t="s">
        <v>35</v>
      </c>
      <c r="J117">
        <f t="shared" si="2"/>
        <v>0</v>
      </c>
      <c r="L117">
        <f t="shared" si="3"/>
        <v>0</v>
      </c>
    </row>
    <row r="118" spans="1:12" x14ac:dyDescent="0.25">
      <c r="A118">
        <v>1751</v>
      </c>
      <c r="B118" t="s">
        <v>98</v>
      </c>
      <c r="C118" t="s">
        <v>94</v>
      </c>
      <c r="D118" t="s">
        <v>35</v>
      </c>
      <c r="J118">
        <f t="shared" si="2"/>
        <v>0</v>
      </c>
      <c r="L118">
        <f t="shared" si="3"/>
        <v>0</v>
      </c>
    </row>
    <row r="119" spans="1:12" x14ac:dyDescent="0.25">
      <c r="A119">
        <v>1751</v>
      </c>
      <c r="B119" t="s">
        <v>87</v>
      </c>
      <c r="C119" t="s">
        <v>94</v>
      </c>
      <c r="D119" t="s">
        <v>35</v>
      </c>
      <c r="J119">
        <f t="shared" si="2"/>
        <v>0</v>
      </c>
      <c r="L119">
        <f t="shared" si="3"/>
        <v>0</v>
      </c>
    </row>
    <row r="120" spans="1:12" x14ac:dyDescent="0.25">
      <c r="A120">
        <v>1751</v>
      </c>
      <c r="B120" t="s">
        <v>62</v>
      </c>
      <c r="C120" t="s">
        <v>94</v>
      </c>
      <c r="D120" t="s">
        <v>35</v>
      </c>
      <c r="E120">
        <v>52</v>
      </c>
      <c r="J120">
        <f t="shared" si="2"/>
        <v>116480</v>
      </c>
      <c r="L120">
        <f t="shared" si="3"/>
        <v>52</v>
      </c>
    </row>
    <row r="121" spans="1:12" x14ac:dyDescent="0.25">
      <c r="A121">
        <v>1751</v>
      </c>
      <c r="B121" t="s">
        <v>88</v>
      </c>
      <c r="C121" t="s">
        <v>94</v>
      </c>
      <c r="D121" t="s">
        <v>35</v>
      </c>
      <c r="J121">
        <f t="shared" si="2"/>
        <v>0</v>
      </c>
      <c r="L121">
        <f t="shared" si="3"/>
        <v>0</v>
      </c>
    </row>
    <row r="122" spans="1:12" x14ac:dyDescent="0.25">
      <c r="A122">
        <v>1751</v>
      </c>
      <c r="B122" t="s">
        <v>63</v>
      </c>
      <c r="C122" t="s">
        <v>94</v>
      </c>
      <c r="D122" t="s">
        <v>35</v>
      </c>
      <c r="E122">
        <v>1</v>
      </c>
      <c r="F122">
        <v>10</v>
      </c>
      <c r="J122">
        <f t="shared" si="2"/>
        <v>3360</v>
      </c>
      <c r="L122">
        <f t="shared" si="3"/>
        <v>1.5</v>
      </c>
    </row>
    <row r="123" spans="1:12" x14ac:dyDescent="0.25">
      <c r="A123">
        <v>1751</v>
      </c>
      <c r="B123" t="s">
        <v>89</v>
      </c>
      <c r="C123" t="s">
        <v>94</v>
      </c>
      <c r="D123" t="s">
        <v>35</v>
      </c>
      <c r="E123">
        <v>36</v>
      </c>
      <c r="J123">
        <f t="shared" si="2"/>
        <v>80640</v>
      </c>
      <c r="L123">
        <f t="shared" si="3"/>
        <v>36</v>
      </c>
    </row>
    <row r="124" spans="1:12" x14ac:dyDescent="0.25">
      <c r="A124">
        <v>1751</v>
      </c>
      <c r="B124" t="s">
        <v>70</v>
      </c>
      <c r="C124" t="s">
        <v>94</v>
      </c>
      <c r="D124" t="s">
        <v>35</v>
      </c>
      <c r="J124">
        <f t="shared" si="2"/>
        <v>0</v>
      </c>
      <c r="L124">
        <f t="shared" si="3"/>
        <v>0</v>
      </c>
    </row>
    <row r="125" spans="1:12" x14ac:dyDescent="0.25">
      <c r="A125">
        <v>1751</v>
      </c>
      <c r="B125" t="s">
        <v>64</v>
      </c>
      <c r="C125" t="s">
        <v>94</v>
      </c>
      <c r="D125" t="s">
        <v>35</v>
      </c>
      <c r="J125">
        <f t="shared" si="2"/>
        <v>0</v>
      </c>
      <c r="L125">
        <f t="shared" si="3"/>
        <v>0</v>
      </c>
    </row>
    <row r="126" spans="1:12" x14ac:dyDescent="0.25">
      <c r="A126">
        <v>1751</v>
      </c>
      <c r="B126" t="s">
        <v>65</v>
      </c>
      <c r="C126" t="s">
        <v>94</v>
      </c>
      <c r="D126" t="s">
        <v>35</v>
      </c>
      <c r="J126">
        <f t="shared" si="2"/>
        <v>0</v>
      </c>
      <c r="L126">
        <f t="shared" si="3"/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87E2B-81A7-4097-B5FB-FAEFC7BAC741}">
  <dimension ref="A1:O128"/>
  <sheetViews>
    <sheetView workbookViewId="0">
      <selection activeCell="A2" sqref="A2"/>
    </sheetView>
  </sheetViews>
  <sheetFormatPr defaultRowHeight="15" x14ac:dyDescent="0.25"/>
  <cols>
    <col min="1" max="1" width="10.85546875" customWidth="1"/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5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  <c r="O1" s="1"/>
    </row>
    <row r="2" spans="1:15" x14ac:dyDescent="0.25">
      <c r="B2" t="s">
        <v>55</v>
      </c>
      <c r="C2" t="s">
        <v>100</v>
      </c>
      <c r="D2" t="s">
        <v>33</v>
      </c>
      <c r="J2">
        <f>(E2*2240)+(F2*112)+(G2*28)+H2</f>
        <v>0</v>
      </c>
      <c r="L2">
        <f>J2/2240</f>
        <v>0</v>
      </c>
    </row>
    <row r="3" spans="1:15" x14ac:dyDescent="0.25">
      <c r="B3" t="s">
        <v>57</v>
      </c>
      <c r="C3" t="s">
        <v>100</v>
      </c>
      <c r="D3" t="s">
        <v>33</v>
      </c>
      <c r="J3">
        <f t="shared" ref="J3:J68" si="0">(E3*2240)+(F3*112)+(G3*28)+H3</f>
        <v>0</v>
      </c>
      <c r="L3">
        <f t="shared" ref="L3:L68" si="1">J3/2240</f>
        <v>0</v>
      </c>
    </row>
    <row r="4" spans="1:15" x14ac:dyDescent="0.25">
      <c r="B4" t="s">
        <v>36</v>
      </c>
      <c r="C4" t="s">
        <v>100</v>
      </c>
      <c r="D4" t="s">
        <v>33</v>
      </c>
      <c r="J4">
        <f t="shared" si="0"/>
        <v>0</v>
      </c>
      <c r="L4">
        <f t="shared" si="1"/>
        <v>0</v>
      </c>
    </row>
    <row r="5" spans="1:15" x14ac:dyDescent="0.25">
      <c r="B5" t="s">
        <v>4</v>
      </c>
      <c r="C5" t="s">
        <v>100</v>
      </c>
      <c r="D5" t="s">
        <v>33</v>
      </c>
      <c r="J5">
        <f t="shared" si="0"/>
        <v>0</v>
      </c>
      <c r="L5">
        <f t="shared" si="1"/>
        <v>0</v>
      </c>
    </row>
    <row r="6" spans="1:15" x14ac:dyDescent="0.25">
      <c r="B6" t="s">
        <v>58</v>
      </c>
      <c r="C6" t="s">
        <v>100</v>
      </c>
      <c r="D6" t="s">
        <v>33</v>
      </c>
      <c r="J6">
        <f t="shared" si="0"/>
        <v>0</v>
      </c>
      <c r="L6">
        <f t="shared" si="1"/>
        <v>0</v>
      </c>
    </row>
    <row r="7" spans="1:15" x14ac:dyDescent="0.25">
      <c r="B7" t="s">
        <v>69</v>
      </c>
      <c r="C7" t="s">
        <v>100</v>
      </c>
      <c r="D7" t="s">
        <v>33</v>
      </c>
      <c r="J7">
        <f t="shared" si="0"/>
        <v>0</v>
      </c>
      <c r="L7">
        <f t="shared" si="1"/>
        <v>0</v>
      </c>
    </row>
    <row r="8" spans="1:15" x14ac:dyDescent="0.25">
      <c r="B8" t="s">
        <v>43</v>
      </c>
      <c r="C8" t="s">
        <v>100</v>
      </c>
      <c r="D8" t="s">
        <v>33</v>
      </c>
      <c r="J8">
        <f t="shared" si="0"/>
        <v>0</v>
      </c>
      <c r="L8">
        <f t="shared" si="1"/>
        <v>0</v>
      </c>
    </row>
    <row r="9" spans="1:15" x14ac:dyDescent="0.25">
      <c r="B9" t="s">
        <v>76</v>
      </c>
      <c r="C9" t="s">
        <v>100</v>
      </c>
      <c r="D9" t="s">
        <v>33</v>
      </c>
      <c r="J9">
        <f t="shared" si="0"/>
        <v>0</v>
      </c>
      <c r="L9">
        <f t="shared" si="1"/>
        <v>0</v>
      </c>
    </row>
    <row r="10" spans="1:15" x14ac:dyDescent="0.25">
      <c r="B10" t="s">
        <v>104</v>
      </c>
      <c r="C10" t="s">
        <v>100</v>
      </c>
      <c r="D10" t="s">
        <v>33</v>
      </c>
      <c r="J10">
        <f t="shared" si="0"/>
        <v>0</v>
      </c>
      <c r="L10">
        <f t="shared" si="1"/>
        <v>0</v>
      </c>
    </row>
    <row r="11" spans="1:15" x14ac:dyDescent="0.25">
      <c r="B11" t="s">
        <v>5</v>
      </c>
      <c r="C11" t="s">
        <v>100</v>
      </c>
      <c r="D11" t="s">
        <v>33</v>
      </c>
      <c r="J11">
        <f t="shared" si="0"/>
        <v>0</v>
      </c>
      <c r="L11">
        <f t="shared" si="1"/>
        <v>0</v>
      </c>
    </row>
    <row r="12" spans="1:15" x14ac:dyDescent="0.25">
      <c r="B12" t="s">
        <v>59</v>
      </c>
      <c r="C12" t="s">
        <v>100</v>
      </c>
      <c r="D12" t="s">
        <v>33</v>
      </c>
      <c r="J12">
        <f t="shared" si="0"/>
        <v>0</v>
      </c>
      <c r="L12">
        <f t="shared" si="1"/>
        <v>0</v>
      </c>
    </row>
    <row r="13" spans="1:15" x14ac:dyDescent="0.25">
      <c r="B13" t="s">
        <v>6</v>
      </c>
      <c r="C13" t="s">
        <v>100</v>
      </c>
      <c r="D13" t="s">
        <v>33</v>
      </c>
      <c r="J13">
        <f t="shared" si="0"/>
        <v>0</v>
      </c>
      <c r="L13">
        <f t="shared" si="1"/>
        <v>0</v>
      </c>
    </row>
    <row r="14" spans="1:15" x14ac:dyDescent="0.25">
      <c r="B14" t="s">
        <v>96</v>
      </c>
      <c r="C14" t="s">
        <v>100</v>
      </c>
      <c r="D14" t="s">
        <v>33</v>
      </c>
      <c r="J14">
        <f t="shared" si="0"/>
        <v>0</v>
      </c>
      <c r="L14">
        <f t="shared" si="1"/>
        <v>0</v>
      </c>
    </row>
    <row r="15" spans="1:15" x14ac:dyDescent="0.25">
      <c r="B15" t="s">
        <v>60</v>
      </c>
      <c r="C15" t="s">
        <v>100</v>
      </c>
      <c r="D15" t="s">
        <v>33</v>
      </c>
      <c r="J15">
        <f t="shared" si="0"/>
        <v>0</v>
      </c>
      <c r="L15">
        <f t="shared" si="1"/>
        <v>0</v>
      </c>
    </row>
    <row r="16" spans="1:15" x14ac:dyDescent="0.25">
      <c r="B16" t="s">
        <v>7</v>
      </c>
      <c r="C16" t="s">
        <v>100</v>
      </c>
      <c r="D16" t="s">
        <v>33</v>
      </c>
      <c r="J16">
        <f t="shared" si="0"/>
        <v>0</v>
      </c>
      <c r="L16">
        <f t="shared" si="1"/>
        <v>0</v>
      </c>
    </row>
    <row r="17" spans="2:12" x14ac:dyDescent="0.25">
      <c r="B17" t="s">
        <v>37</v>
      </c>
      <c r="C17" t="s">
        <v>100</v>
      </c>
      <c r="D17" t="s">
        <v>33</v>
      </c>
      <c r="J17">
        <f t="shared" si="0"/>
        <v>0</v>
      </c>
      <c r="L17">
        <f t="shared" si="1"/>
        <v>0</v>
      </c>
    </row>
    <row r="18" spans="2:12" x14ac:dyDescent="0.25">
      <c r="B18" t="s">
        <v>8</v>
      </c>
      <c r="C18" t="s">
        <v>100</v>
      </c>
      <c r="D18" t="s">
        <v>33</v>
      </c>
      <c r="J18">
        <f t="shared" si="0"/>
        <v>0</v>
      </c>
      <c r="L18">
        <f t="shared" si="1"/>
        <v>0</v>
      </c>
    </row>
    <row r="19" spans="2:12" x14ac:dyDescent="0.25">
      <c r="B19" t="s">
        <v>40</v>
      </c>
      <c r="C19" t="s">
        <v>100</v>
      </c>
      <c r="D19" t="s">
        <v>33</v>
      </c>
      <c r="J19">
        <f t="shared" si="0"/>
        <v>0</v>
      </c>
      <c r="L19">
        <f t="shared" si="1"/>
        <v>0</v>
      </c>
    </row>
    <row r="20" spans="2:12" x14ac:dyDescent="0.25">
      <c r="B20" t="s">
        <v>77</v>
      </c>
      <c r="C20" t="s">
        <v>100</v>
      </c>
      <c r="D20" t="s">
        <v>33</v>
      </c>
      <c r="J20">
        <f t="shared" si="0"/>
        <v>0</v>
      </c>
      <c r="L20">
        <f t="shared" si="1"/>
        <v>0</v>
      </c>
    </row>
    <row r="21" spans="2:12" x14ac:dyDescent="0.25">
      <c r="B21" t="s">
        <v>78</v>
      </c>
      <c r="C21" t="s">
        <v>100</v>
      </c>
      <c r="D21" t="s">
        <v>33</v>
      </c>
      <c r="J21">
        <f t="shared" si="0"/>
        <v>0</v>
      </c>
      <c r="L21">
        <f t="shared" si="1"/>
        <v>0</v>
      </c>
    </row>
    <row r="22" spans="2:12" x14ac:dyDescent="0.25">
      <c r="B22" t="s">
        <v>46</v>
      </c>
      <c r="C22" t="s">
        <v>100</v>
      </c>
      <c r="D22" t="s">
        <v>33</v>
      </c>
      <c r="J22">
        <f t="shared" si="0"/>
        <v>0</v>
      </c>
      <c r="L22">
        <f t="shared" si="1"/>
        <v>0</v>
      </c>
    </row>
    <row r="23" spans="2:12" x14ac:dyDescent="0.25">
      <c r="B23" t="s">
        <v>9</v>
      </c>
      <c r="C23" t="s">
        <v>100</v>
      </c>
      <c r="D23" t="s">
        <v>33</v>
      </c>
      <c r="J23">
        <f t="shared" si="0"/>
        <v>0</v>
      </c>
      <c r="L23">
        <f t="shared" si="1"/>
        <v>0</v>
      </c>
    </row>
    <row r="24" spans="2:12" x14ac:dyDescent="0.25">
      <c r="B24" t="s">
        <v>10</v>
      </c>
      <c r="C24" t="s">
        <v>100</v>
      </c>
      <c r="D24" t="s">
        <v>33</v>
      </c>
      <c r="J24">
        <f t="shared" si="0"/>
        <v>0</v>
      </c>
      <c r="L24">
        <f t="shared" si="1"/>
        <v>0</v>
      </c>
    </row>
    <row r="25" spans="2:12" x14ac:dyDescent="0.25">
      <c r="B25" t="s">
        <v>11</v>
      </c>
      <c r="C25" t="s">
        <v>100</v>
      </c>
      <c r="D25" t="s">
        <v>33</v>
      </c>
      <c r="J25">
        <f t="shared" si="0"/>
        <v>0</v>
      </c>
      <c r="L25">
        <f t="shared" si="1"/>
        <v>0</v>
      </c>
    </row>
    <row r="26" spans="2:12" x14ac:dyDescent="0.25">
      <c r="B26" t="s">
        <v>39</v>
      </c>
      <c r="C26" t="s">
        <v>100</v>
      </c>
      <c r="D26" t="s">
        <v>33</v>
      </c>
      <c r="J26">
        <f t="shared" si="0"/>
        <v>0</v>
      </c>
      <c r="L26">
        <f t="shared" si="1"/>
        <v>0</v>
      </c>
    </row>
    <row r="27" spans="2:12" x14ac:dyDescent="0.25">
      <c r="B27" t="s">
        <v>79</v>
      </c>
      <c r="C27" t="s">
        <v>100</v>
      </c>
      <c r="D27" t="s">
        <v>33</v>
      </c>
      <c r="J27">
        <f t="shared" si="0"/>
        <v>0</v>
      </c>
      <c r="L27">
        <f t="shared" si="1"/>
        <v>0</v>
      </c>
    </row>
    <row r="28" spans="2:12" x14ac:dyDescent="0.25">
      <c r="B28" t="s">
        <v>103</v>
      </c>
      <c r="C28" t="s">
        <v>100</v>
      </c>
      <c r="D28" t="s">
        <v>33</v>
      </c>
      <c r="J28">
        <f t="shared" si="0"/>
        <v>0</v>
      </c>
      <c r="L28">
        <f t="shared" si="1"/>
        <v>0</v>
      </c>
    </row>
    <row r="29" spans="2:12" x14ac:dyDescent="0.25">
      <c r="B29" t="s">
        <v>44</v>
      </c>
      <c r="C29" t="s">
        <v>100</v>
      </c>
      <c r="D29" t="s">
        <v>33</v>
      </c>
      <c r="J29">
        <f t="shared" si="0"/>
        <v>0</v>
      </c>
      <c r="L29">
        <f t="shared" si="1"/>
        <v>0</v>
      </c>
    </row>
    <row r="30" spans="2:12" x14ac:dyDescent="0.25">
      <c r="B30" t="s">
        <v>97</v>
      </c>
      <c r="C30" t="s">
        <v>100</v>
      </c>
      <c r="D30" t="s">
        <v>33</v>
      </c>
      <c r="J30">
        <f t="shared" si="0"/>
        <v>0</v>
      </c>
      <c r="L30">
        <f t="shared" si="1"/>
        <v>0</v>
      </c>
    </row>
    <row r="31" spans="2:12" x14ac:dyDescent="0.25">
      <c r="B31" t="s">
        <v>12</v>
      </c>
      <c r="C31" t="s">
        <v>100</v>
      </c>
      <c r="D31" t="s">
        <v>33</v>
      </c>
      <c r="J31">
        <f t="shared" si="0"/>
        <v>0</v>
      </c>
      <c r="L31">
        <f t="shared" si="1"/>
        <v>0</v>
      </c>
    </row>
    <row r="32" spans="2:12" x14ac:dyDescent="0.25">
      <c r="B32" t="s">
        <v>82</v>
      </c>
      <c r="C32" t="s">
        <v>100</v>
      </c>
      <c r="D32" t="s">
        <v>33</v>
      </c>
      <c r="J32">
        <f t="shared" si="0"/>
        <v>0</v>
      </c>
      <c r="L32">
        <f t="shared" si="1"/>
        <v>0</v>
      </c>
    </row>
    <row r="33" spans="2:12" x14ac:dyDescent="0.25">
      <c r="B33" t="s">
        <v>34</v>
      </c>
      <c r="C33" t="s">
        <v>100</v>
      </c>
      <c r="D33" t="s">
        <v>33</v>
      </c>
      <c r="J33">
        <f t="shared" si="0"/>
        <v>0</v>
      </c>
      <c r="L33">
        <f t="shared" si="1"/>
        <v>0</v>
      </c>
    </row>
    <row r="34" spans="2:12" x14ac:dyDescent="0.25">
      <c r="B34" t="s">
        <v>13</v>
      </c>
      <c r="C34" t="s">
        <v>100</v>
      </c>
      <c r="D34" t="s">
        <v>33</v>
      </c>
      <c r="J34">
        <f t="shared" si="0"/>
        <v>0</v>
      </c>
      <c r="L34">
        <f t="shared" si="1"/>
        <v>0</v>
      </c>
    </row>
    <row r="35" spans="2:12" x14ac:dyDescent="0.25">
      <c r="B35" t="s">
        <v>14</v>
      </c>
      <c r="C35" t="s">
        <v>100</v>
      </c>
      <c r="D35" t="s">
        <v>33</v>
      </c>
      <c r="J35">
        <f t="shared" si="0"/>
        <v>0</v>
      </c>
      <c r="L35">
        <f t="shared" si="1"/>
        <v>0</v>
      </c>
    </row>
    <row r="36" spans="2:12" x14ac:dyDescent="0.25">
      <c r="B36" t="s">
        <v>23</v>
      </c>
      <c r="C36" t="s">
        <v>100</v>
      </c>
      <c r="D36" t="s">
        <v>33</v>
      </c>
      <c r="J36">
        <f t="shared" si="0"/>
        <v>0</v>
      </c>
      <c r="L36">
        <f t="shared" si="1"/>
        <v>0</v>
      </c>
    </row>
    <row r="37" spans="2:12" x14ac:dyDescent="0.25">
      <c r="B37" t="s">
        <v>27</v>
      </c>
      <c r="C37" t="s">
        <v>100</v>
      </c>
      <c r="D37" t="s">
        <v>33</v>
      </c>
      <c r="J37">
        <f t="shared" si="0"/>
        <v>0</v>
      </c>
      <c r="L37">
        <f t="shared" si="1"/>
        <v>0</v>
      </c>
    </row>
    <row r="38" spans="2:12" x14ac:dyDescent="0.25">
      <c r="B38" t="s">
        <v>15</v>
      </c>
      <c r="C38" t="s">
        <v>100</v>
      </c>
      <c r="D38" t="s">
        <v>33</v>
      </c>
      <c r="J38">
        <f t="shared" si="0"/>
        <v>0</v>
      </c>
      <c r="L38">
        <f t="shared" si="1"/>
        <v>0</v>
      </c>
    </row>
    <row r="39" spans="2:12" x14ac:dyDescent="0.25">
      <c r="B39" t="s">
        <v>42</v>
      </c>
      <c r="C39" t="s">
        <v>100</v>
      </c>
      <c r="D39" t="s">
        <v>33</v>
      </c>
      <c r="J39">
        <f t="shared" si="0"/>
        <v>0</v>
      </c>
      <c r="L39">
        <f t="shared" si="1"/>
        <v>0</v>
      </c>
    </row>
    <row r="40" spans="2:12" x14ac:dyDescent="0.25">
      <c r="B40" t="s">
        <v>83</v>
      </c>
      <c r="C40" t="s">
        <v>100</v>
      </c>
      <c r="D40" t="s">
        <v>33</v>
      </c>
      <c r="J40">
        <f t="shared" si="0"/>
        <v>0</v>
      </c>
      <c r="L40">
        <f t="shared" si="1"/>
        <v>0</v>
      </c>
    </row>
    <row r="41" spans="2:12" x14ac:dyDescent="0.25">
      <c r="B41" t="s">
        <v>47</v>
      </c>
      <c r="C41" t="s">
        <v>100</v>
      </c>
      <c r="D41" t="s">
        <v>33</v>
      </c>
      <c r="J41">
        <f t="shared" si="0"/>
        <v>0</v>
      </c>
      <c r="L41">
        <f t="shared" si="1"/>
        <v>0</v>
      </c>
    </row>
    <row r="42" spans="2:12" x14ac:dyDescent="0.25">
      <c r="B42" t="s">
        <v>16</v>
      </c>
      <c r="C42" t="s">
        <v>100</v>
      </c>
      <c r="D42" t="s">
        <v>33</v>
      </c>
      <c r="J42">
        <f t="shared" si="0"/>
        <v>0</v>
      </c>
      <c r="L42">
        <f t="shared" si="1"/>
        <v>0</v>
      </c>
    </row>
    <row r="43" spans="2:12" x14ac:dyDescent="0.25">
      <c r="B43" t="s">
        <v>17</v>
      </c>
      <c r="C43" t="s">
        <v>100</v>
      </c>
      <c r="D43" t="s">
        <v>33</v>
      </c>
      <c r="J43">
        <f t="shared" si="0"/>
        <v>0</v>
      </c>
      <c r="L43">
        <f t="shared" si="1"/>
        <v>0</v>
      </c>
    </row>
    <row r="44" spans="2:12" x14ac:dyDescent="0.25">
      <c r="B44" t="s">
        <v>18</v>
      </c>
      <c r="C44" t="s">
        <v>100</v>
      </c>
      <c r="D44" t="s">
        <v>33</v>
      </c>
      <c r="J44">
        <f t="shared" si="0"/>
        <v>0</v>
      </c>
      <c r="L44">
        <f t="shared" si="1"/>
        <v>0</v>
      </c>
    </row>
    <row r="45" spans="2:12" x14ac:dyDescent="0.25">
      <c r="B45" t="s">
        <v>26</v>
      </c>
      <c r="C45" t="s">
        <v>100</v>
      </c>
      <c r="D45" t="s">
        <v>33</v>
      </c>
      <c r="J45">
        <f t="shared" si="0"/>
        <v>0</v>
      </c>
      <c r="L45">
        <f t="shared" si="1"/>
        <v>0</v>
      </c>
    </row>
    <row r="46" spans="2:12" x14ac:dyDescent="0.25">
      <c r="B46" t="s">
        <v>84</v>
      </c>
      <c r="C46" t="s">
        <v>100</v>
      </c>
      <c r="D46" t="s">
        <v>33</v>
      </c>
      <c r="J46">
        <f t="shared" si="0"/>
        <v>0</v>
      </c>
      <c r="L46">
        <f t="shared" si="1"/>
        <v>0</v>
      </c>
    </row>
    <row r="47" spans="2:12" x14ac:dyDescent="0.25">
      <c r="B47" t="s">
        <v>19</v>
      </c>
      <c r="C47" t="s">
        <v>100</v>
      </c>
      <c r="D47" t="s">
        <v>33</v>
      </c>
      <c r="J47">
        <f t="shared" si="0"/>
        <v>0</v>
      </c>
      <c r="L47">
        <f t="shared" si="1"/>
        <v>0</v>
      </c>
    </row>
    <row r="48" spans="2:12" x14ac:dyDescent="0.25">
      <c r="B48" t="s">
        <v>45</v>
      </c>
      <c r="C48" t="s">
        <v>100</v>
      </c>
      <c r="D48" t="s">
        <v>33</v>
      </c>
      <c r="J48">
        <f t="shared" si="0"/>
        <v>0</v>
      </c>
      <c r="L48">
        <f t="shared" si="1"/>
        <v>0</v>
      </c>
    </row>
    <row r="49" spans="2:12" x14ac:dyDescent="0.25">
      <c r="B49" t="s">
        <v>85</v>
      </c>
      <c r="C49" t="s">
        <v>100</v>
      </c>
      <c r="D49" t="s">
        <v>33</v>
      </c>
      <c r="J49">
        <f t="shared" si="0"/>
        <v>0</v>
      </c>
      <c r="L49">
        <f t="shared" si="1"/>
        <v>0</v>
      </c>
    </row>
    <row r="50" spans="2:12" x14ac:dyDescent="0.25">
      <c r="B50" t="s">
        <v>54</v>
      </c>
      <c r="C50" t="s">
        <v>100</v>
      </c>
      <c r="D50" t="s">
        <v>33</v>
      </c>
      <c r="J50">
        <f t="shared" si="0"/>
        <v>0</v>
      </c>
      <c r="L50">
        <f t="shared" si="1"/>
        <v>0</v>
      </c>
    </row>
    <row r="51" spans="2:12" x14ac:dyDescent="0.25">
      <c r="B51" t="s">
        <v>95</v>
      </c>
      <c r="C51" t="s">
        <v>100</v>
      </c>
      <c r="D51" t="s">
        <v>33</v>
      </c>
      <c r="J51">
        <f t="shared" si="0"/>
        <v>0</v>
      </c>
      <c r="L51">
        <f t="shared" si="1"/>
        <v>0</v>
      </c>
    </row>
    <row r="52" spans="2:12" x14ac:dyDescent="0.25">
      <c r="B52" t="s">
        <v>20</v>
      </c>
      <c r="C52" t="s">
        <v>100</v>
      </c>
      <c r="D52" t="s">
        <v>33</v>
      </c>
      <c r="J52">
        <f t="shared" si="0"/>
        <v>0</v>
      </c>
      <c r="L52">
        <f t="shared" si="1"/>
        <v>0</v>
      </c>
    </row>
    <row r="53" spans="2:12" x14ac:dyDescent="0.25">
      <c r="B53" t="s">
        <v>21</v>
      </c>
      <c r="C53" t="s">
        <v>100</v>
      </c>
      <c r="D53" t="s">
        <v>33</v>
      </c>
      <c r="J53">
        <f t="shared" si="0"/>
        <v>0</v>
      </c>
      <c r="L53">
        <f t="shared" si="1"/>
        <v>0</v>
      </c>
    </row>
    <row r="54" spans="2:12" x14ac:dyDescent="0.25">
      <c r="B54" t="s">
        <v>90</v>
      </c>
      <c r="C54" t="s">
        <v>100</v>
      </c>
      <c r="D54" t="s">
        <v>33</v>
      </c>
      <c r="J54">
        <f t="shared" si="0"/>
        <v>0</v>
      </c>
      <c r="L54">
        <f t="shared" si="1"/>
        <v>0</v>
      </c>
    </row>
    <row r="55" spans="2:12" x14ac:dyDescent="0.25">
      <c r="B55" t="s">
        <v>22</v>
      </c>
      <c r="C55" t="s">
        <v>100</v>
      </c>
      <c r="D55" t="s">
        <v>33</v>
      </c>
      <c r="J55">
        <f t="shared" si="0"/>
        <v>0</v>
      </c>
      <c r="L55">
        <f t="shared" si="1"/>
        <v>0</v>
      </c>
    </row>
    <row r="56" spans="2:12" x14ac:dyDescent="0.25">
      <c r="B56" t="s">
        <v>61</v>
      </c>
      <c r="C56" t="s">
        <v>100</v>
      </c>
      <c r="D56" t="s">
        <v>33</v>
      </c>
      <c r="J56">
        <f t="shared" si="0"/>
        <v>0</v>
      </c>
      <c r="L56">
        <f t="shared" si="1"/>
        <v>0</v>
      </c>
    </row>
    <row r="57" spans="2:12" x14ac:dyDescent="0.25">
      <c r="B57" t="s">
        <v>98</v>
      </c>
      <c r="C57" t="s">
        <v>100</v>
      </c>
      <c r="D57" t="s">
        <v>33</v>
      </c>
      <c r="J57">
        <f t="shared" si="0"/>
        <v>0</v>
      </c>
      <c r="L57">
        <f t="shared" si="1"/>
        <v>0</v>
      </c>
    </row>
    <row r="58" spans="2:12" x14ac:dyDescent="0.25">
      <c r="B58" t="s">
        <v>87</v>
      </c>
      <c r="C58" t="s">
        <v>100</v>
      </c>
      <c r="D58" t="s">
        <v>33</v>
      </c>
      <c r="J58">
        <f t="shared" si="0"/>
        <v>0</v>
      </c>
      <c r="L58">
        <f t="shared" si="1"/>
        <v>0</v>
      </c>
    </row>
    <row r="59" spans="2:12" x14ac:dyDescent="0.25">
      <c r="B59" t="s">
        <v>62</v>
      </c>
      <c r="C59" t="s">
        <v>100</v>
      </c>
      <c r="D59" t="s">
        <v>33</v>
      </c>
      <c r="J59">
        <f t="shared" si="0"/>
        <v>0</v>
      </c>
      <c r="L59">
        <f t="shared" si="1"/>
        <v>0</v>
      </c>
    </row>
    <row r="60" spans="2:12" x14ac:dyDescent="0.25">
      <c r="B60" t="s">
        <v>88</v>
      </c>
      <c r="C60" t="s">
        <v>100</v>
      </c>
      <c r="D60" t="s">
        <v>33</v>
      </c>
      <c r="J60">
        <f t="shared" si="0"/>
        <v>0</v>
      </c>
      <c r="L60">
        <f t="shared" si="1"/>
        <v>0</v>
      </c>
    </row>
    <row r="61" spans="2:12" x14ac:dyDescent="0.25">
      <c r="B61" t="s">
        <v>63</v>
      </c>
      <c r="C61" t="s">
        <v>100</v>
      </c>
      <c r="D61" t="s">
        <v>33</v>
      </c>
      <c r="J61">
        <f t="shared" si="0"/>
        <v>0</v>
      </c>
      <c r="L61">
        <f t="shared" si="1"/>
        <v>0</v>
      </c>
    </row>
    <row r="62" spans="2:12" x14ac:dyDescent="0.25">
      <c r="B62" t="s">
        <v>89</v>
      </c>
      <c r="C62" t="s">
        <v>100</v>
      </c>
      <c r="D62" t="s">
        <v>33</v>
      </c>
      <c r="J62">
        <f t="shared" si="0"/>
        <v>0</v>
      </c>
      <c r="L62">
        <f t="shared" si="1"/>
        <v>0</v>
      </c>
    </row>
    <row r="63" spans="2:12" x14ac:dyDescent="0.25">
      <c r="B63" t="s">
        <v>70</v>
      </c>
      <c r="C63" t="s">
        <v>100</v>
      </c>
      <c r="D63" t="s">
        <v>33</v>
      </c>
      <c r="J63">
        <f t="shared" si="0"/>
        <v>0</v>
      </c>
      <c r="L63">
        <f t="shared" si="1"/>
        <v>0</v>
      </c>
    </row>
    <row r="64" spans="2:12" x14ac:dyDescent="0.25">
      <c r="B64" t="s">
        <v>64</v>
      </c>
      <c r="C64" t="s">
        <v>100</v>
      </c>
      <c r="D64" t="s">
        <v>33</v>
      </c>
      <c r="J64">
        <f t="shared" si="0"/>
        <v>0</v>
      </c>
      <c r="L64">
        <f t="shared" si="1"/>
        <v>0</v>
      </c>
    </row>
    <row r="65" spans="2:12" x14ac:dyDescent="0.25">
      <c r="B65" t="s">
        <v>65</v>
      </c>
      <c r="C65" t="s">
        <v>100</v>
      </c>
      <c r="D65" t="s">
        <v>33</v>
      </c>
      <c r="J65">
        <f t="shared" si="0"/>
        <v>0</v>
      </c>
      <c r="L65">
        <f t="shared" si="1"/>
        <v>0</v>
      </c>
    </row>
    <row r="66" spans="2:12" x14ac:dyDescent="0.25">
      <c r="B66" t="s">
        <v>55</v>
      </c>
      <c r="C66" t="s">
        <v>100</v>
      </c>
      <c r="D66" t="s">
        <v>35</v>
      </c>
      <c r="J66">
        <f t="shared" si="0"/>
        <v>0</v>
      </c>
      <c r="L66">
        <f t="shared" si="1"/>
        <v>0</v>
      </c>
    </row>
    <row r="67" spans="2:12" x14ac:dyDescent="0.25">
      <c r="B67" t="s">
        <v>57</v>
      </c>
      <c r="C67" t="s">
        <v>100</v>
      </c>
      <c r="D67" t="s">
        <v>35</v>
      </c>
      <c r="J67">
        <f t="shared" si="0"/>
        <v>0</v>
      </c>
      <c r="L67">
        <f t="shared" si="1"/>
        <v>0</v>
      </c>
    </row>
    <row r="68" spans="2:12" x14ac:dyDescent="0.25">
      <c r="B68" t="s">
        <v>36</v>
      </c>
      <c r="C68" t="s">
        <v>100</v>
      </c>
      <c r="D68" t="s">
        <v>35</v>
      </c>
      <c r="J68">
        <f t="shared" si="0"/>
        <v>0</v>
      </c>
      <c r="L68">
        <f t="shared" si="1"/>
        <v>0</v>
      </c>
    </row>
    <row r="69" spans="2:12" x14ac:dyDescent="0.25">
      <c r="B69" t="s">
        <v>4</v>
      </c>
      <c r="C69" t="s">
        <v>100</v>
      </c>
      <c r="D69" t="s">
        <v>35</v>
      </c>
      <c r="J69">
        <f t="shared" ref="J69:J128" si="2">(E69*2240)+(F69*112)+(G69*28)+H69</f>
        <v>0</v>
      </c>
      <c r="L69">
        <f t="shared" ref="L69:L128" si="3">J69/2240</f>
        <v>0</v>
      </c>
    </row>
    <row r="70" spans="2:12" x14ac:dyDescent="0.25">
      <c r="B70" t="s">
        <v>58</v>
      </c>
      <c r="C70" t="s">
        <v>100</v>
      </c>
      <c r="D70" t="s">
        <v>35</v>
      </c>
      <c r="J70">
        <f t="shared" si="2"/>
        <v>0</v>
      </c>
      <c r="L70">
        <f t="shared" si="3"/>
        <v>0</v>
      </c>
    </row>
    <row r="71" spans="2:12" x14ac:dyDescent="0.25">
      <c r="B71" t="s">
        <v>69</v>
      </c>
      <c r="C71" t="s">
        <v>100</v>
      </c>
      <c r="D71" t="s">
        <v>35</v>
      </c>
      <c r="J71">
        <f t="shared" si="2"/>
        <v>0</v>
      </c>
      <c r="L71">
        <f t="shared" si="3"/>
        <v>0</v>
      </c>
    </row>
    <row r="72" spans="2:12" x14ac:dyDescent="0.25">
      <c r="B72" t="s">
        <v>43</v>
      </c>
      <c r="C72" t="s">
        <v>100</v>
      </c>
      <c r="D72" t="s">
        <v>35</v>
      </c>
      <c r="J72">
        <f t="shared" si="2"/>
        <v>0</v>
      </c>
      <c r="L72">
        <f t="shared" si="3"/>
        <v>0</v>
      </c>
    </row>
    <row r="73" spans="2:12" x14ac:dyDescent="0.25">
      <c r="B73" t="s">
        <v>76</v>
      </c>
      <c r="C73" t="s">
        <v>100</v>
      </c>
      <c r="D73" t="s">
        <v>35</v>
      </c>
      <c r="J73">
        <f t="shared" si="2"/>
        <v>0</v>
      </c>
      <c r="L73">
        <f t="shared" si="3"/>
        <v>0</v>
      </c>
    </row>
    <row r="74" spans="2:12" x14ac:dyDescent="0.25">
      <c r="B74" t="s">
        <v>5</v>
      </c>
      <c r="C74" t="s">
        <v>100</v>
      </c>
      <c r="D74" t="s">
        <v>35</v>
      </c>
      <c r="J74">
        <f t="shared" si="2"/>
        <v>0</v>
      </c>
      <c r="L74">
        <f t="shared" si="3"/>
        <v>0</v>
      </c>
    </row>
    <row r="75" spans="2:12" x14ac:dyDescent="0.25">
      <c r="B75" t="s">
        <v>59</v>
      </c>
      <c r="C75" t="s">
        <v>100</v>
      </c>
      <c r="D75" t="s">
        <v>35</v>
      </c>
      <c r="J75">
        <f t="shared" si="2"/>
        <v>0</v>
      </c>
      <c r="L75">
        <f t="shared" si="3"/>
        <v>0</v>
      </c>
    </row>
    <row r="76" spans="2:12" x14ac:dyDescent="0.25">
      <c r="B76" t="s">
        <v>6</v>
      </c>
      <c r="C76" t="s">
        <v>100</v>
      </c>
      <c r="D76" t="s">
        <v>35</v>
      </c>
      <c r="J76">
        <f t="shared" si="2"/>
        <v>0</v>
      </c>
      <c r="L76">
        <f t="shared" si="3"/>
        <v>0</v>
      </c>
    </row>
    <row r="77" spans="2:12" x14ac:dyDescent="0.25">
      <c r="B77" t="s">
        <v>60</v>
      </c>
      <c r="C77" t="s">
        <v>100</v>
      </c>
      <c r="D77" t="s">
        <v>35</v>
      </c>
      <c r="J77">
        <f t="shared" si="2"/>
        <v>0</v>
      </c>
      <c r="L77">
        <f t="shared" si="3"/>
        <v>0</v>
      </c>
    </row>
    <row r="78" spans="2:12" x14ac:dyDescent="0.25">
      <c r="B78" t="s">
        <v>7</v>
      </c>
      <c r="C78" t="s">
        <v>100</v>
      </c>
      <c r="D78" t="s">
        <v>35</v>
      </c>
      <c r="J78">
        <f t="shared" si="2"/>
        <v>0</v>
      </c>
      <c r="L78">
        <f t="shared" si="3"/>
        <v>0</v>
      </c>
    </row>
    <row r="79" spans="2:12" x14ac:dyDescent="0.25">
      <c r="B79" t="s">
        <v>37</v>
      </c>
      <c r="C79" t="s">
        <v>100</v>
      </c>
      <c r="D79" t="s">
        <v>35</v>
      </c>
      <c r="J79">
        <f t="shared" si="2"/>
        <v>0</v>
      </c>
      <c r="L79">
        <f t="shared" si="3"/>
        <v>0</v>
      </c>
    </row>
    <row r="80" spans="2:12" x14ac:dyDescent="0.25">
      <c r="B80" t="s">
        <v>8</v>
      </c>
      <c r="C80" t="s">
        <v>100</v>
      </c>
      <c r="D80" t="s">
        <v>35</v>
      </c>
      <c r="J80">
        <f t="shared" si="2"/>
        <v>0</v>
      </c>
      <c r="L80">
        <f t="shared" si="3"/>
        <v>0</v>
      </c>
    </row>
    <row r="81" spans="2:12" x14ac:dyDescent="0.25">
      <c r="B81" t="s">
        <v>40</v>
      </c>
      <c r="C81" t="s">
        <v>100</v>
      </c>
      <c r="D81" t="s">
        <v>35</v>
      </c>
      <c r="J81">
        <f t="shared" si="2"/>
        <v>0</v>
      </c>
      <c r="L81">
        <f t="shared" si="3"/>
        <v>0</v>
      </c>
    </row>
    <row r="82" spans="2:12" x14ac:dyDescent="0.25">
      <c r="B82" t="s">
        <v>77</v>
      </c>
      <c r="C82" t="s">
        <v>100</v>
      </c>
      <c r="D82" t="s">
        <v>35</v>
      </c>
      <c r="J82">
        <f t="shared" si="2"/>
        <v>0</v>
      </c>
      <c r="L82">
        <f t="shared" si="3"/>
        <v>0</v>
      </c>
    </row>
    <row r="83" spans="2:12" x14ac:dyDescent="0.25">
      <c r="B83" t="s">
        <v>78</v>
      </c>
      <c r="C83" t="s">
        <v>100</v>
      </c>
      <c r="D83" t="s">
        <v>35</v>
      </c>
      <c r="J83">
        <f t="shared" si="2"/>
        <v>0</v>
      </c>
      <c r="L83">
        <f t="shared" si="3"/>
        <v>0</v>
      </c>
    </row>
    <row r="84" spans="2:12" x14ac:dyDescent="0.25">
      <c r="B84" t="s">
        <v>46</v>
      </c>
      <c r="C84" t="s">
        <v>100</v>
      </c>
      <c r="D84" t="s">
        <v>35</v>
      </c>
      <c r="J84">
        <f t="shared" si="2"/>
        <v>0</v>
      </c>
      <c r="L84">
        <f t="shared" si="3"/>
        <v>0</v>
      </c>
    </row>
    <row r="85" spans="2:12" x14ac:dyDescent="0.25">
      <c r="B85" t="s">
        <v>9</v>
      </c>
      <c r="C85" t="s">
        <v>100</v>
      </c>
      <c r="D85" t="s">
        <v>35</v>
      </c>
      <c r="J85">
        <f t="shared" si="2"/>
        <v>0</v>
      </c>
      <c r="L85">
        <f t="shared" si="3"/>
        <v>0</v>
      </c>
    </row>
    <row r="86" spans="2:12" x14ac:dyDescent="0.25">
      <c r="B86" t="s">
        <v>10</v>
      </c>
      <c r="C86" t="s">
        <v>100</v>
      </c>
      <c r="D86" t="s">
        <v>35</v>
      </c>
      <c r="J86">
        <f t="shared" si="2"/>
        <v>0</v>
      </c>
      <c r="L86">
        <f t="shared" si="3"/>
        <v>0</v>
      </c>
    </row>
    <row r="87" spans="2:12" x14ac:dyDescent="0.25">
      <c r="B87" t="s">
        <v>11</v>
      </c>
      <c r="C87" t="s">
        <v>100</v>
      </c>
      <c r="D87" t="s">
        <v>35</v>
      </c>
      <c r="J87">
        <f t="shared" si="2"/>
        <v>0</v>
      </c>
      <c r="L87">
        <f t="shared" si="3"/>
        <v>0</v>
      </c>
    </row>
    <row r="88" spans="2:12" x14ac:dyDescent="0.25">
      <c r="B88" t="s">
        <v>39</v>
      </c>
      <c r="C88" t="s">
        <v>100</v>
      </c>
      <c r="D88" t="s">
        <v>35</v>
      </c>
      <c r="J88">
        <f t="shared" si="2"/>
        <v>0</v>
      </c>
      <c r="L88">
        <f t="shared" si="3"/>
        <v>0</v>
      </c>
    </row>
    <row r="89" spans="2:12" x14ac:dyDescent="0.25">
      <c r="B89" t="s">
        <v>79</v>
      </c>
      <c r="C89" t="s">
        <v>100</v>
      </c>
      <c r="D89" t="s">
        <v>35</v>
      </c>
      <c r="J89">
        <f t="shared" si="2"/>
        <v>0</v>
      </c>
      <c r="L89">
        <f t="shared" si="3"/>
        <v>0</v>
      </c>
    </row>
    <row r="90" spans="2:12" x14ac:dyDescent="0.25">
      <c r="B90" t="s">
        <v>103</v>
      </c>
      <c r="C90" t="s">
        <v>100</v>
      </c>
      <c r="D90" t="s">
        <v>35</v>
      </c>
      <c r="J90">
        <f t="shared" si="2"/>
        <v>0</v>
      </c>
      <c r="L90">
        <f t="shared" si="3"/>
        <v>0</v>
      </c>
    </row>
    <row r="91" spans="2:12" x14ac:dyDescent="0.25">
      <c r="B91" t="s">
        <v>44</v>
      </c>
      <c r="C91" t="s">
        <v>100</v>
      </c>
      <c r="D91" t="s">
        <v>35</v>
      </c>
      <c r="J91">
        <f t="shared" si="2"/>
        <v>0</v>
      </c>
      <c r="L91">
        <f t="shared" si="3"/>
        <v>0</v>
      </c>
    </row>
    <row r="92" spans="2:12" x14ac:dyDescent="0.25">
      <c r="B92" t="s">
        <v>97</v>
      </c>
      <c r="C92" t="s">
        <v>100</v>
      </c>
      <c r="D92" t="s">
        <v>35</v>
      </c>
      <c r="J92">
        <f t="shared" si="2"/>
        <v>0</v>
      </c>
      <c r="L92">
        <f t="shared" si="3"/>
        <v>0</v>
      </c>
    </row>
    <row r="93" spans="2:12" x14ac:dyDescent="0.25">
      <c r="B93" t="s">
        <v>12</v>
      </c>
      <c r="C93" t="s">
        <v>100</v>
      </c>
      <c r="D93" t="s">
        <v>35</v>
      </c>
      <c r="J93">
        <f t="shared" si="2"/>
        <v>0</v>
      </c>
      <c r="L93">
        <f t="shared" si="3"/>
        <v>0</v>
      </c>
    </row>
    <row r="94" spans="2:12" x14ac:dyDescent="0.25">
      <c r="B94" t="s">
        <v>82</v>
      </c>
      <c r="C94" t="s">
        <v>100</v>
      </c>
      <c r="D94" t="s">
        <v>35</v>
      </c>
      <c r="J94">
        <f t="shared" si="2"/>
        <v>0</v>
      </c>
      <c r="L94">
        <f t="shared" si="3"/>
        <v>0</v>
      </c>
    </row>
    <row r="95" spans="2:12" x14ac:dyDescent="0.25">
      <c r="B95" t="s">
        <v>34</v>
      </c>
      <c r="C95" t="s">
        <v>100</v>
      </c>
      <c r="D95" t="s">
        <v>35</v>
      </c>
      <c r="J95">
        <f t="shared" si="2"/>
        <v>0</v>
      </c>
      <c r="L95">
        <f t="shared" si="3"/>
        <v>0</v>
      </c>
    </row>
    <row r="96" spans="2:12" x14ac:dyDescent="0.25">
      <c r="B96" t="s">
        <v>13</v>
      </c>
      <c r="C96" t="s">
        <v>100</v>
      </c>
      <c r="D96" t="s">
        <v>35</v>
      </c>
      <c r="J96">
        <f t="shared" si="2"/>
        <v>0</v>
      </c>
      <c r="L96">
        <f t="shared" si="3"/>
        <v>0</v>
      </c>
    </row>
    <row r="97" spans="2:12" x14ac:dyDescent="0.25">
      <c r="B97" t="s">
        <v>14</v>
      </c>
      <c r="C97" t="s">
        <v>100</v>
      </c>
      <c r="D97" t="s">
        <v>35</v>
      </c>
      <c r="J97">
        <f t="shared" si="2"/>
        <v>0</v>
      </c>
      <c r="L97">
        <f t="shared" si="3"/>
        <v>0</v>
      </c>
    </row>
    <row r="98" spans="2:12" x14ac:dyDescent="0.25">
      <c r="B98" t="s">
        <v>23</v>
      </c>
      <c r="C98" t="s">
        <v>100</v>
      </c>
      <c r="D98" t="s">
        <v>35</v>
      </c>
      <c r="J98">
        <f t="shared" si="2"/>
        <v>0</v>
      </c>
      <c r="L98">
        <f t="shared" si="3"/>
        <v>0</v>
      </c>
    </row>
    <row r="99" spans="2:12" x14ac:dyDescent="0.25">
      <c r="B99" t="s">
        <v>27</v>
      </c>
      <c r="C99" t="s">
        <v>100</v>
      </c>
      <c r="D99" t="s">
        <v>35</v>
      </c>
      <c r="J99">
        <f t="shared" si="2"/>
        <v>0</v>
      </c>
      <c r="L99">
        <f t="shared" si="3"/>
        <v>0</v>
      </c>
    </row>
    <row r="100" spans="2:12" x14ac:dyDescent="0.25">
      <c r="B100" t="s">
        <v>15</v>
      </c>
      <c r="C100" t="s">
        <v>100</v>
      </c>
      <c r="D100" t="s">
        <v>35</v>
      </c>
      <c r="J100">
        <f t="shared" si="2"/>
        <v>0</v>
      </c>
      <c r="L100">
        <f t="shared" si="3"/>
        <v>0</v>
      </c>
    </row>
    <row r="101" spans="2:12" x14ac:dyDescent="0.25">
      <c r="B101" t="s">
        <v>93</v>
      </c>
      <c r="C101" t="s">
        <v>100</v>
      </c>
      <c r="D101" t="s">
        <v>35</v>
      </c>
      <c r="J101">
        <f t="shared" si="2"/>
        <v>0</v>
      </c>
      <c r="L101">
        <f t="shared" si="3"/>
        <v>0</v>
      </c>
    </row>
    <row r="102" spans="2:12" x14ac:dyDescent="0.25">
      <c r="B102" t="s">
        <v>42</v>
      </c>
      <c r="C102" t="s">
        <v>100</v>
      </c>
      <c r="D102" t="s">
        <v>35</v>
      </c>
      <c r="J102">
        <f t="shared" si="2"/>
        <v>0</v>
      </c>
      <c r="L102">
        <f t="shared" si="3"/>
        <v>0</v>
      </c>
    </row>
    <row r="103" spans="2:12" x14ac:dyDescent="0.25">
      <c r="B103" t="s">
        <v>83</v>
      </c>
      <c r="C103" t="s">
        <v>100</v>
      </c>
      <c r="D103" t="s">
        <v>35</v>
      </c>
      <c r="J103">
        <f t="shared" si="2"/>
        <v>0</v>
      </c>
      <c r="L103">
        <f t="shared" si="3"/>
        <v>0</v>
      </c>
    </row>
    <row r="104" spans="2:12" x14ac:dyDescent="0.25">
      <c r="B104" t="s">
        <v>47</v>
      </c>
      <c r="C104" t="s">
        <v>100</v>
      </c>
      <c r="D104" t="s">
        <v>35</v>
      </c>
      <c r="J104">
        <f t="shared" si="2"/>
        <v>0</v>
      </c>
      <c r="L104">
        <f t="shared" si="3"/>
        <v>0</v>
      </c>
    </row>
    <row r="105" spans="2:12" x14ac:dyDescent="0.25">
      <c r="B105" t="s">
        <v>16</v>
      </c>
      <c r="C105" t="s">
        <v>100</v>
      </c>
      <c r="D105" t="s">
        <v>35</v>
      </c>
      <c r="J105">
        <f t="shared" si="2"/>
        <v>0</v>
      </c>
      <c r="L105">
        <f t="shared" si="3"/>
        <v>0</v>
      </c>
    </row>
    <row r="106" spans="2:12" x14ac:dyDescent="0.25">
      <c r="B106" t="s">
        <v>17</v>
      </c>
      <c r="C106" t="s">
        <v>100</v>
      </c>
      <c r="D106" t="s">
        <v>35</v>
      </c>
      <c r="J106">
        <f t="shared" si="2"/>
        <v>0</v>
      </c>
      <c r="L106">
        <f t="shared" si="3"/>
        <v>0</v>
      </c>
    </row>
    <row r="107" spans="2:12" x14ac:dyDescent="0.25">
      <c r="B107" t="s">
        <v>18</v>
      </c>
      <c r="C107" t="s">
        <v>100</v>
      </c>
      <c r="D107" t="s">
        <v>35</v>
      </c>
      <c r="J107">
        <f t="shared" si="2"/>
        <v>0</v>
      </c>
      <c r="L107">
        <f t="shared" si="3"/>
        <v>0</v>
      </c>
    </row>
    <row r="108" spans="2:12" x14ac:dyDescent="0.25">
      <c r="B108" t="s">
        <v>26</v>
      </c>
      <c r="C108" t="s">
        <v>100</v>
      </c>
      <c r="D108" t="s">
        <v>35</v>
      </c>
      <c r="J108">
        <f t="shared" si="2"/>
        <v>0</v>
      </c>
      <c r="L108">
        <f t="shared" si="3"/>
        <v>0</v>
      </c>
    </row>
    <row r="109" spans="2:12" x14ac:dyDescent="0.25">
      <c r="B109" t="s">
        <v>84</v>
      </c>
      <c r="C109" t="s">
        <v>100</v>
      </c>
      <c r="D109" t="s">
        <v>35</v>
      </c>
      <c r="J109">
        <f t="shared" si="2"/>
        <v>0</v>
      </c>
      <c r="L109">
        <f t="shared" si="3"/>
        <v>0</v>
      </c>
    </row>
    <row r="110" spans="2:12" x14ac:dyDescent="0.25">
      <c r="B110" t="s">
        <v>19</v>
      </c>
      <c r="C110" t="s">
        <v>100</v>
      </c>
      <c r="D110" t="s">
        <v>35</v>
      </c>
      <c r="J110">
        <f t="shared" si="2"/>
        <v>0</v>
      </c>
      <c r="L110">
        <f t="shared" si="3"/>
        <v>0</v>
      </c>
    </row>
    <row r="111" spans="2:12" x14ac:dyDescent="0.25">
      <c r="B111" t="s">
        <v>45</v>
      </c>
      <c r="C111" t="s">
        <v>100</v>
      </c>
      <c r="D111" t="s">
        <v>35</v>
      </c>
      <c r="J111">
        <f t="shared" si="2"/>
        <v>0</v>
      </c>
      <c r="L111">
        <f t="shared" si="3"/>
        <v>0</v>
      </c>
    </row>
    <row r="112" spans="2:12" x14ac:dyDescent="0.25">
      <c r="B112" t="s">
        <v>85</v>
      </c>
      <c r="C112" t="s">
        <v>100</v>
      </c>
      <c r="D112" t="s">
        <v>35</v>
      </c>
      <c r="J112">
        <f t="shared" si="2"/>
        <v>0</v>
      </c>
      <c r="L112">
        <f t="shared" si="3"/>
        <v>0</v>
      </c>
    </row>
    <row r="113" spans="2:12" x14ac:dyDescent="0.25">
      <c r="B113" t="s">
        <v>54</v>
      </c>
      <c r="C113" t="s">
        <v>100</v>
      </c>
      <c r="D113" t="s">
        <v>35</v>
      </c>
      <c r="J113">
        <f t="shared" si="2"/>
        <v>0</v>
      </c>
      <c r="L113">
        <f t="shared" si="3"/>
        <v>0</v>
      </c>
    </row>
    <row r="114" spans="2:12" x14ac:dyDescent="0.25">
      <c r="B114" t="s">
        <v>95</v>
      </c>
      <c r="C114" t="s">
        <v>100</v>
      </c>
      <c r="D114" t="s">
        <v>35</v>
      </c>
      <c r="J114">
        <f t="shared" si="2"/>
        <v>0</v>
      </c>
      <c r="L114">
        <f t="shared" si="3"/>
        <v>0</v>
      </c>
    </row>
    <row r="115" spans="2:12" x14ac:dyDescent="0.25">
      <c r="B115" t="s">
        <v>20</v>
      </c>
      <c r="C115" t="s">
        <v>100</v>
      </c>
      <c r="D115" t="s">
        <v>35</v>
      </c>
      <c r="J115">
        <f t="shared" si="2"/>
        <v>0</v>
      </c>
      <c r="L115">
        <f t="shared" si="3"/>
        <v>0</v>
      </c>
    </row>
    <row r="116" spans="2:12" x14ac:dyDescent="0.25">
      <c r="B116" t="s">
        <v>21</v>
      </c>
      <c r="C116" t="s">
        <v>100</v>
      </c>
      <c r="D116" t="s">
        <v>35</v>
      </c>
      <c r="J116">
        <f t="shared" si="2"/>
        <v>0</v>
      </c>
      <c r="L116">
        <f t="shared" si="3"/>
        <v>0</v>
      </c>
    </row>
    <row r="117" spans="2:12" x14ac:dyDescent="0.25">
      <c r="B117" t="s">
        <v>22</v>
      </c>
      <c r="C117" t="s">
        <v>100</v>
      </c>
      <c r="D117" t="s">
        <v>35</v>
      </c>
      <c r="J117">
        <f t="shared" si="2"/>
        <v>0</v>
      </c>
      <c r="L117">
        <f t="shared" si="3"/>
        <v>0</v>
      </c>
    </row>
    <row r="118" spans="2:12" x14ac:dyDescent="0.25">
      <c r="B118" t="s">
        <v>61</v>
      </c>
      <c r="C118" t="s">
        <v>100</v>
      </c>
      <c r="D118" t="s">
        <v>35</v>
      </c>
      <c r="J118">
        <f t="shared" si="2"/>
        <v>0</v>
      </c>
      <c r="L118">
        <f t="shared" si="3"/>
        <v>0</v>
      </c>
    </row>
    <row r="119" spans="2:12" x14ac:dyDescent="0.25">
      <c r="B119" t="s">
        <v>91</v>
      </c>
      <c r="C119" t="s">
        <v>100</v>
      </c>
      <c r="D119" t="s">
        <v>35</v>
      </c>
      <c r="J119">
        <f t="shared" si="2"/>
        <v>0</v>
      </c>
      <c r="L119">
        <f t="shared" si="3"/>
        <v>0</v>
      </c>
    </row>
    <row r="120" spans="2:12" x14ac:dyDescent="0.25">
      <c r="B120" t="s">
        <v>98</v>
      </c>
      <c r="C120" t="s">
        <v>100</v>
      </c>
      <c r="D120" t="s">
        <v>35</v>
      </c>
      <c r="J120">
        <f t="shared" si="2"/>
        <v>0</v>
      </c>
      <c r="L120">
        <f t="shared" si="3"/>
        <v>0</v>
      </c>
    </row>
    <row r="121" spans="2:12" x14ac:dyDescent="0.25">
      <c r="B121" t="s">
        <v>87</v>
      </c>
      <c r="C121" t="s">
        <v>100</v>
      </c>
      <c r="D121" t="s">
        <v>35</v>
      </c>
      <c r="J121">
        <f t="shared" si="2"/>
        <v>0</v>
      </c>
      <c r="L121">
        <f t="shared" si="3"/>
        <v>0</v>
      </c>
    </row>
    <row r="122" spans="2:12" x14ac:dyDescent="0.25">
      <c r="B122" t="s">
        <v>62</v>
      </c>
      <c r="C122" t="s">
        <v>100</v>
      </c>
      <c r="D122" t="s">
        <v>35</v>
      </c>
      <c r="J122">
        <f t="shared" si="2"/>
        <v>0</v>
      </c>
      <c r="L122">
        <f t="shared" si="3"/>
        <v>0</v>
      </c>
    </row>
    <row r="123" spans="2:12" x14ac:dyDescent="0.25">
      <c r="B123" t="s">
        <v>88</v>
      </c>
      <c r="C123" t="s">
        <v>100</v>
      </c>
      <c r="D123" t="s">
        <v>35</v>
      </c>
      <c r="J123">
        <f t="shared" si="2"/>
        <v>0</v>
      </c>
      <c r="L123">
        <f t="shared" si="3"/>
        <v>0</v>
      </c>
    </row>
    <row r="124" spans="2:12" x14ac:dyDescent="0.25">
      <c r="B124" t="s">
        <v>63</v>
      </c>
      <c r="C124" t="s">
        <v>100</v>
      </c>
      <c r="D124" t="s">
        <v>35</v>
      </c>
      <c r="J124">
        <f t="shared" si="2"/>
        <v>0</v>
      </c>
      <c r="L124">
        <f t="shared" si="3"/>
        <v>0</v>
      </c>
    </row>
    <row r="125" spans="2:12" x14ac:dyDescent="0.25">
      <c r="B125" t="s">
        <v>89</v>
      </c>
      <c r="C125" t="s">
        <v>100</v>
      </c>
      <c r="D125" t="s">
        <v>35</v>
      </c>
      <c r="J125">
        <f t="shared" si="2"/>
        <v>0</v>
      </c>
      <c r="L125">
        <f t="shared" si="3"/>
        <v>0</v>
      </c>
    </row>
    <row r="126" spans="2:12" x14ac:dyDescent="0.25">
      <c r="B126" t="s">
        <v>70</v>
      </c>
      <c r="C126" t="s">
        <v>100</v>
      </c>
      <c r="D126" t="s">
        <v>35</v>
      </c>
      <c r="J126">
        <f t="shared" si="2"/>
        <v>0</v>
      </c>
      <c r="L126">
        <f t="shared" si="3"/>
        <v>0</v>
      </c>
    </row>
    <row r="127" spans="2:12" x14ac:dyDescent="0.25">
      <c r="B127" t="s">
        <v>64</v>
      </c>
      <c r="C127" t="s">
        <v>100</v>
      </c>
      <c r="D127" t="s">
        <v>35</v>
      </c>
      <c r="J127">
        <f t="shared" si="2"/>
        <v>0</v>
      </c>
      <c r="L127">
        <f t="shared" si="3"/>
        <v>0</v>
      </c>
    </row>
    <row r="128" spans="2:12" x14ac:dyDescent="0.25">
      <c r="B128" t="s">
        <v>65</v>
      </c>
      <c r="C128" t="s">
        <v>100</v>
      </c>
      <c r="D128" t="s">
        <v>35</v>
      </c>
      <c r="J128">
        <f t="shared" si="2"/>
        <v>0</v>
      </c>
      <c r="L128">
        <f t="shared" si="3"/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C737C8930EB24D8E43F3205FC06BBA" ma:contentTypeVersion="6" ma:contentTypeDescription="Create a new document." ma:contentTypeScope="" ma:versionID="603e91c72b62c964620858d3caac0708">
  <xsd:schema xmlns:xsd="http://www.w3.org/2001/XMLSchema" xmlns:xs="http://www.w3.org/2001/XMLSchema" xmlns:p="http://schemas.microsoft.com/office/2006/metadata/properties" xmlns:ns3="cefc4363-6422-4cdd-96f6-49f865293ffe" targetNamespace="http://schemas.microsoft.com/office/2006/metadata/properties" ma:root="true" ma:fieldsID="bdb3fa76c8d7c99816ad06ce9ee87077" ns3:_="">
    <xsd:import namespace="cefc4363-6422-4cdd-96f6-49f865293ff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fc4363-6422-4cdd-96f6-49f865293f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efc4363-6422-4cdd-96f6-49f865293ff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9805096-07B8-4F0B-81D5-4CD37C8F564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efc4363-6422-4cdd-96f6-49f865293ff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75EE0A7-AECB-4A5F-B480-100D709E19A8}">
  <ds:schemaRefs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http://purl.org/dc/dcmitype/"/>
    <ds:schemaRef ds:uri="cefc4363-6422-4cdd-96f6-49f865293ffe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1B726788-4977-4A1C-A63F-6E9C392E933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Master Goods Sheet</vt:lpstr>
      <vt:lpstr>Anguilla</vt:lpstr>
      <vt:lpstr>Antigua</vt:lpstr>
      <vt:lpstr>Barbados</vt:lpstr>
      <vt:lpstr>Bermuda</vt:lpstr>
      <vt:lpstr>Jamaica</vt:lpstr>
      <vt:lpstr>Mountserat</vt:lpstr>
      <vt:lpstr>Nevis</vt:lpstr>
      <vt:lpstr>St Kitts</vt:lpstr>
      <vt:lpstr>Tortola</vt:lpstr>
      <vt:lpstr>WestIndiesGeneral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Polay, Jacob</dc:creator>
  <cp:lastModifiedBy>Polay, Jacob</cp:lastModifiedBy>
  <dcterms:created xsi:type="dcterms:W3CDTF">2024-12-05T00:07:08Z</dcterms:created>
  <dcterms:modified xsi:type="dcterms:W3CDTF">2025-04-29T19:28:08Z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0x01010021C737C8930EB24D8E43F3205FC06BBA</vt:lpwstr>
  </property>
</Properties>
</file>