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1134" documentId="8_{642A141F-3254-439F-8FDD-794AFCD23C14}" xr6:coauthVersionLast="47" xr6:coauthVersionMax="47" xr10:uidLastSave="{111050C3-5F29-4369-BF74-ABFC6571E36E}"/>
  <bookViews>
    <workbookView xWindow="-120" yWindow="-120" windowWidth="29040" windowHeight="15840" xr2:uid="{F686C9E6-6AFA-45B7-95A5-4A75BEF0F65D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NewEngland" sheetId="10" r:id="rId9"/>
  </sheets>
  <definedNames>
    <definedName name="_xlnm._FilterDatabase" localSheetId="5" hidden="1">Jamaica!$B$1:$O$48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9" l="1"/>
  <c r="H9" i="8"/>
  <c r="H16" i="7"/>
  <c r="H12" i="3"/>
  <c r="J10" i="6" l="1"/>
  <c r="J11" i="6"/>
  <c r="H10" i="6"/>
  <c r="H11" i="6"/>
  <c r="J12" i="3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L21" i="9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7" i="3"/>
  <c r="J8" i="3"/>
  <c r="J9" i="3"/>
  <c r="J10" i="3"/>
  <c r="J11" i="3"/>
  <c r="J13" i="3"/>
  <c r="J14" i="3"/>
  <c r="J15" i="3"/>
  <c r="J16" i="3"/>
  <c r="J17" i="3"/>
  <c r="J18" i="3"/>
  <c r="J19" i="3"/>
  <c r="J20" i="3"/>
  <c r="J21" i="3"/>
  <c r="J22" i="3"/>
  <c r="J23" i="3"/>
  <c r="J24" i="3"/>
  <c r="L24" i="3" s="1"/>
  <c r="C4" i="12"/>
  <c r="C5" i="12"/>
  <c r="C7" i="12"/>
  <c r="C9" i="12"/>
  <c r="C15" i="12"/>
  <c r="C26" i="12"/>
  <c r="C29" i="12"/>
  <c r="C30" i="12"/>
  <c r="B9" i="12"/>
  <c r="B15" i="12"/>
  <c r="B26" i="12"/>
  <c r="B29" i="12"/>
  <c r="B30" i="12"/>
  <c r="D15" i="12" l="1"/>
  <c r="D30" i="12"/>
  <c r="D29" i="12"/>
  <c r="D26" i="12"/>
  <c r="D9" i="12"/>
  <c r="M2" i="6" l="1"/>
  <c r="L2" i="6"/>
  <c r="L24" i="10"/>
  <c r="L25" i="10"/>
  <c r="L26" i="10"/>
  <c r="C3" i="12" s="1"/>
  <c r="L27" i="10"/>
  <c r="L23" i="10"/>
  <c r="J3" i="10"/>
  <c r="L3" i="10" s="1"/>
  <c r="J4" i="10"/>
  <c r="L4" i="10" s="1"/>
  <c r="J5" i="10"/>
  <c r="L5" i="10" s="1"/>
  <c r="J6" i="10"/>
  <c r="L6" i="10" s="1"/>
  <c r="J7" i="10"/>
  <c r="L7" i="10" s="1"/>
  <c r="J8" i="10"/>
  <c r="L8" i="10" s="1"/>
  <c r="L9" i="10"/>
  <c r="L10" i="10"/>
  <c r="L11" i="10"/>
  <c r="L12" i="10"/>
  <c r="L13" i="10"/>
  <c r="L14" i="10"/>
  <c r="L15" i="10"/>
  <c r="L16" i="10"/>
  <c r="B3" i="12" s="1"/>
  <c r="L17" i="10"/>
  <c r="B5" i="12" s="1"/>
  <c r="D5" i="12" s="1"/>
  <c r="L18" i="10"/>
  <c r="L19" i="10"/>
  <c r="L20" i="10"/>
  <c r="L21" i="10"/>
  <c r="L22" i="10"/>
  <c r="L15" i="9"/>
  <c r="L16" i="9"/>
  <c r="L17" i="9"/>
  <c r="L18" i="9"/>
  <c r="L19" i="9"/>
  <c r="L13" i="9"/>
  <c r="L14" i="9"/>
  <c r="L20" i="9"/>
  <c r="L14" i="8"/>
  <c r="L15" i="8"/>
  <c r="L16" i="8"/>
  <c r="L17" i="8"/>
  <c r="L18" i="8"/>
  <c r="L19" i="8"/>
  <c r="L20" i="8"/>
  <c r="L21" i="8"/>
  <c r="L22" i="8"/>
  <c r="L23" i="8"/>
  <c r="L26" i="7"/>
  <c r="L27" i="7"/>
  <c r="L28" i="7"/>
  <c r="L29" i="7"/>
  <c r="L30" i="7"/>
  <c r="L31" i="7"/>
  <c r="L32" i="7"/>
  <c r="L33" i="7"/>
  <c r="L34" i="7"/>
  <c r="L35" i="7"/>
  <c r="C8" i="12" s="1"/>
  <c r="L36" i="7"/>
  <c r="C10" i="12" s="1"/>
  <c r="L37" i="7"/>
  <c r="L38" i="7"/>
  <c r="L39" i="7"/>
  <c r="L40" i="7"/>
  <c r="L25" i="7"/>
  <c r="J3" i="6"/>
  <c r="J4" i="6"/>
  <c r="J5" i="6"/>
  <c r="J6" i="6"/>
  <c r="J7" i="6"/>
  <c r="J8" i="6"/>
  <c r="J9" i="6"/>
  <c r="H3" i="6"/>
  <c r="H4" i="6"/>
  <c r="H5" i="6"/>
  <c r="H6" i="6"/>
  <c r="H7" i="6"/>
  <c r="H8" i="6"/>
  <c r="H9" i="6"/>
  <c r="J6" i="5"/>
  <c r="L6" i="5" s="1"/>
  <c r="J3" i="5"/>
  <c r="L3" i="5" s="1"/>
  <c r="O2" i="5" s="1"/>
  <c r="J4" i="5"/>
  <c r="L4" i="5" s="1"/>
  <c r="J5" i="5"/>
  <c r="L5" i="5" s="1"/>
  <c r="L27" i="4"/>
  <c r="L26" i="4"/>
  <c r="L28" i="4"/>
  <c r="L29" i="4"/>
  <c r="L30" i="4"/>
  <c r="C19" i="12" s="1"/>
  <c r="L31" i="4"/>
  <c r="C27" i="12" s="1"/>
  <c r="L32" i="4"/>
  <c r="L33" i="4"/>
  <c r="L34" i="4"/>
  <c r="C22" i="12" s="1"/>
  <c r="L35" i="4"/>
  <c r="L36" i="4"/>
  <c r="L37" i="4"/>
  <c r="L38" i="4"/>
  <c r="L39" i="4"/>
  <c r="L40" i="4"/>
  <c r="L41" i="4"/>
  <c r="L20" i="3"/>
  <c r="L21" i="3"/>
  <c r="L22" i="3"/>
  <c r="L23" i="3"/>
  <c r="L19" i="3"/>
  <c r="L18" i="3"/>
  <c r="J2" i="10"/>
  <c r="L2" i="10" s="1"/>
  <c r="J3" i="9"/>
  <c r="L3" i="9" s="1"/>
  <c r="J4" i="9"/>
  <c r="L4" i="9" s="1"/>
  <c r="J5" i="9"/>
  <c r="L5" i="9" s="1"/>
  <c r="J6" i="9"/>
  <c r="L6" i="9" s="1"/>
  <c r="J7" i="9"/>
  <c r="L7" i="9" s="1"/>
  <c r="L8" i="9"/>
  <c r="L9" i="9"/>
  <c r="L10" i="9"/>
  <c r="L11" i="9"/>
  <c r="L12" i="9"/>
  <c r="J2" i="9"/>
  <c r="L2" i="9"/>
  <c r="L9" i="8"/>
  <c r="J3" i="8"/>
  <c r="L3" i="8" s="1"/>
  <c r="J4" i="8"/>
  <c r="L4" i="8" s="1"/>
  <c r="J5" i="8"/>
  <c r="L5" i="8" s="1"/>
  <c r="J6" i="8"/>
  <c r="L6" i="8" s="1"/>
  <c r="J7" i="8"/>
  <c r="L7" i="8" s="1"/>
  <c r="J8" i="8"/>
  <c r="L8" i="8" s="1"/>
  <c r="L10" i="8"/>
  <c r="L11" i="8"/>
  <c r="L12" i="8"/>
  <c r="L13" i="8"/>
  <c r="J2" i="8"/>
  <c r="L2" i="8" s="1"/>
  <c r="L14" i="7"/>
  <c r="L15" i="7"/>
  <c r="J3" i="7"/>
  <c r="L3" i="7" s="1"/>
  <c r="J4" i="7"/>
  <c r="L4" i="7" s="1"/>
  <c r="J5" i="7"/>
  <c r="L5" i="7" s="1"/>
  <c r="J6" i="7"/>
  <c r="L6" i="7" s="1"/>
  <c r="J7" i="7"/>
  <c r="L7" i="7" s="1"/>
  <c r="J8" i="7"/>
  <c r="L8" i="7" s="1"/>
  <c r="J9" i="7"/>
  <c r="L9" i="7" s="1"/>
  <c r="J10" i="7"/>
  <c r="L10" i="7" s="1"/>
  <c r="J11" i="7"/>
  <c r="L11" i="7" s="1"/>
  <c r="L12" i="7"/>
  <c r="L13" i="7"/>
  <c r="L16" i="7"/>
  <c r="L17" i="7"/>
  <c r="L18" i="7"/>
  <c r="B7" i="12" s="1"/>
  <c r="D7" i="12" s="1"/>
  <c r="L19" i="7"/>
  <c r="L20" i="7"/>
  <c r="L21" i="7"/>
  <c r="L22" i="7"/>
  <c r="L23" i="7"/>
  <c r="L24" i="7"/>
  <c r="J2" i="7"/>
  <c r="L2" i="7" s="1"/>
  <c r="H2" i="6"/>
  <c r="J2" i="6" s="1"/>
  <c r="J2" i="5"/>
  <c r="L2" i="5" s="1"/>
  <c r="J3" i="4"/>
  <c r="L3" i="4" s="1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0" i="4"/>
  <c r="L10" i="4" s="1"/>
  <c r="L11" i="4"/>
  <c r="L12" i="4"/>
  <c r="L13" i="4"/>
  <c r="L14" i="4"/>
  <c r="L15" i="4"/>
  <c r="L16" i="4"/>
  <c r="L17" i="4"/>
  <c r="B10" i="12" s="1"/>
  <c r="L18" i="4"/>
  <c r="L19" i="4"/>
  <c r="L20" i="4"/>
  <c r="L21" i="4"/>
  <c r="L22" i="4"/>
  <c r="L23" i="4"/>
  <c r="L24" i="4"/>
  <c r="L25" i="4"/>
  <c r="J2" i="4"/>
  <c r="L2" i="4" s="1"/>
  <c r="L17" i="3"/>
  <c r="J3" i="3"/>
  <c r="L3" i="3" s="1"/>
  <c r="J4" i="3"/>
  <c r="L4" i="3" s="1"/>
  <c r="J5" i="3"/>
  <c r="L5" i="3" s="1"/>
  <c r="J6" i="3"/>
  <c r="L6" i="3" s="1"/>
  <c r="L7" i="3"/>
  <c r="L8" i="3"/>
  <c r="L9" i="3"/>
  <c r="L10" i="3"/>
  <c r="L11" i="3"/>
  <c r="L12" i="3"/>
  <c r="L13" i="3"/>
  <c r="L14" i="3"/>
  <c r="L15" i="3"/>
  <c r="L16" i="3"/>
  <c r="J2" i="3"/>
  <c r="L2" i="3" s="1"/>
  <c r="B22" i="12" l="1"/>
  <c r="D22" i="12" s="1"/>
  <c r="B28" i="12"/>
  <c r="N2" i="5"/>
  <c r="C28" i="12"/>
  <c r="B4" i="12"/>
  <c r="D4" i="12" s="1"/>
  <c r="B2" i="12"/>
  <c r="D10" i="12"/>
  <c r="N2" i="10"/>
  <c r="P2" i="10"/>
  <c r="D3" i="12"/>
  <c r="B27" i="12"/>
  <c r="D27" i="12" s="1"/>
  <c r="B19" i="12"/>
  <c r="D19" i="12" s="1"/>
  <c r="C23" i="12"/>
  <c r="C21" i="12"/>
  <c r="N2" i="9"/>
  <c r="P2" i="9"/>
  <c r="C13" i="12"/>
  <c r="B18" i="12"/>
  <c r="B21" i="12"/>
  <c r="C14" i="12"/>
  <c r="B6" i="12"/>
  <c r="B11" i="12"/>
  <c r="C6" i="12"/>
  <c r="C18" i="12"/>
  <c r="C17" i="12"/>
  <c r="C12" i="12"/>
  <c r="C24" i="12"/>
  <c r="C16" i="12"/>
  <c r="C11" i="12"/>
  <c r="C25" i="12"/>
  <c r="B23" i="12"/>
  <c r="B13" i="12"/>
  <c r="C20" i="12"/>
  <c r="B24" i="12"/>
  <c r="B20" i="12"/>
  <c r="B16" i="12"/>
  <c r="B8" i="12"/>
  <c r="D8" i="12" s="1"/>
  <c r="B12" i="12"/>
  <c r="B14" i="12"/>
  <c r="B25" i="12"/>
  <c r="B17" i="12"/>
  <c r="C2" i="12"/>
  <c r="D28" i="12" l="1"/>
  <c r="D2" i="12"/>
  <c r="D23" i="12"/>
  <c r="D14" i="12"/>
  <c r="D18" i="12"/>
  <c r="D21" i="12"/>
  <c r="D6" i="12"/>
  <c r="D13" i="12"/>
  <c r="D17" i="12"/>
  <c r="D11" i="12"/>
  <c r="D12" i="12"/>
  <c r="D20" i="12"/>
  <c r="D24" i="12"/>
  <c r="D16" i="12"/>
  <c r="D25" i="12"/>
</calcChain>
</file>

<file path=xl/sharedStrings.xml><?xml version="1.0" encoding="utf-8"?>
<sst xmlns="http://schemas.openxmlformats.org/spreadsheetml/2006/main" count="692" uniqueCount="108">
  <si>
    <t>Items</t>
  </si>
  <si>
    <t>Total Pounds</t>
  </si>
  <si>
    <t>Total Tons</t>
  </si>
  <si>
    <t>Brown Sugar</t>
  </si>
  <si>
    <t>1700 Ton</t>
  </si>
  <si>
    <t>1700 hh</t>
  </si>
  <si>
    <t>1700 quarter</t>
  </si>
  <si>
    <t>Import Location</t>
  </si>
  <si>
    <t>London</t>
  </si>
  <si>
    <t>1700 Stone/lb</t>
  </si>
  <si>
    <t>Indigo</t>
  </si>
  <si>
    <t>Cotton</t>
  </si>
  <si>
    <t>Brandy</t>
  </si>
  <si>
    <t>Chocolate</t>
  </si>
  <si>
    <t>Dry Ginger</t>
  </si>
  <si>
    <t>Molasses</t>
  </si>
  <si>
    <t>White Sugar</t>
  </si>
  <si>
    <t>Orchall?</t>
  </si>
  <si>
    <t>Tobacco</t>
  </si>
  <si>
    <t>Snuff?</t>
  </si>
  <si>
    <t>238 Bags</t>
  </si>
  <si>
    <t>Lime Juice</t>
  </si>
  <si>
    <t>996 Gallons</t>
  </si>
  <si>
    <t>Rum</t>
  </si>
  <si>
    <t>470 Gallons</t>
  </si>
  <si>
    <t>Tortoise Shell</t>
  </si>
  <si>
    <t>Annatto</t>
  </si>
  <si>
    <t>Elephants Teeth</t>
  </si>
  <si>
    <t>Rice</t>
  </si>
  <si>
    <t>Sugar Loaf</t>
  </si>
  <si>
    <t>Shruff? Snuff?</t>
  </si>
  <si>
    <t>Slude?</t>
  </si>
  <si>
    <t>Madera Wine</t>
  </si>
  <si>
    <t>Cocoa Vaste? Waste? (60)</t>
  </si>
  <si>
    <t>5338 Gallons</t>
  </si>
  <si>
    <t>964 Gallons</t>
  </si>
  <si>
    <t>Spirits</t>
  </si>
  <si>
    <t>54 Gallons</t>
  </si>
  <si>
    <t>Jazz???</t>
  </si>
  <si>
    <t>Water Cordial</t>
  </si>
  <si>
    <t>61.25 Gallons</t>
  </si>
  <si>
    <t>Muscavado Sugar</t>
  </si>
  <si>
    <t>Bayberry Wax</t>
  </si>
  <si>
    <t>Mirtle Wax</t>
  </si>
  <si>
    <t>Elephant Teeth</t>
  </si>
  <si>
    <t>Lemon Water</t>
  </si>
  <si>
    <t>Sea Horse Teeth?</t>
  </si>
  <si>
    <t>Shruff</t>
  </si>
  <si>
    <t>31 Gallons</t>
  </si>
  <si>
    <t>1263 Bags</t>
  </si>
  <si>
    <t>Binellos</t>
  </si>
  <si>
    <t>Cascarilla</t>
  </si>
  <si>
    <t>11932 Gallons</t>
  </si>
  <si>
    <t>Pimento</t>
  </si>
  <si>
    <t>216 Gallons</t>
  </si>
  <si>
    <t>15 Bags</t>
  </si>
  <si>
    <t>Berries for Buttons</t>
  </si>
  <si>
    <t>419 Gallons</t>
  </si>
  <si>
    <t>21 Bags</t>
  </si>
  <si>
    <t>314 Gallons</t>
  </si>
  <si>
    <t>Opium</t>
  </si>
  <si>
    <t>Slude</t>
  </si>
  <si>
    <t>51 Gallons</t>
  </si>
  <si>
    <t>1 Bag</t>
  </si>
  <si>
    <t>3 Gallons</t>
  </si>
  <si>
    <t>Cranberrys</t>
  </si>
  <si>
    <t>Tortoise shell</t>
  </si>
  <si>
    <t>Out Ports</t>
  </si>
  <si>
    <t>71 Gallons</t>
  </si>
  <si>
    <t>393 Gallons</t>
  </si>
  <si>
    <t>246 Gallons</t>
  </si>
  <si>
    <t>Bees Wax</t>
  </si>
  <si>
    <t>2976.5 Gallons</t>
  </si>
  <si>
    <t>68 Gallons</t>
  </si>
  <si>
    <t>305.5 Gallons</t>
  </si>
  <si>
    <t>109 Gallons</t>
  </si>
  <si>
    <t>Not Sugar</t>
  </si>
  <si>
    <t>Sugar</t>
  </si>
  <si>
    <t>Item</t>
  </si>
  <si>
    <t>Total London</t>
  </si>
  <si>
    <t>Total Outports</t>
  </si>
  <si>
    <t>Total</t>
  </si>
  <si>
    <t>Cockeneal</t>
  </si>
  <si>
    <t>Cocoa Nuts</t>
  </si>
  <si>
    <t>Lignum Vitae</t>
  </si>
  <si>
    <t>Succands</t>
  </si>
  <si>
    <t>Loaf Sugar</t>
  </si>
  <si>
    <t>Tea</t>
  </si>
  <si>
    <t>Sasparilla</t>
  </si>
  <si>
    <t>1pipe 48gal</t>
  </si>
  <si>
    <t>ton</t>
  </si>
  <si>
    <t>hh</t>
  </si>
  <si>
    <t>quarter</t>
  </si>
  <si>
    <t>lb</t>
  </si>
  <si>
    <t>5 tuns 2hh 44 gal</t>
  </si>
  <si>
    <t>1hh 37 Gallon</t>
  </si>
  <si>
    <t>YEAR</t>
  </si>
  <si>
    <t>COMMODITY_NAME</t>
  </si>
  <si>
    <t>TO_LOCATION</t>
  </si>
  <si>
    <t>FROM_LOCATION</t>
  </si>
  <si>
    <t>Antigua</t>
  </si>
  <si>
    <t>Barbados</t>
  </si>
  <si>
    <t>WEIGHT</t>
  </si>
  <si>
    <t>Jamaica</t>
  </si>
  <si>
    <t>Bermuda</t>
  </si>
  <si>
    <t>Mountserat</t>
  </si>
  <si>
    <t>Nevis</t>
  </si>
  <si>
    <t>NewEngland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</si>
</sst>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90DB-E5A2-4163-8AFC-C4C68CBA41B8}">
  <dimension ref="A1:D30"/>
  <sheetViews>
    <sheetView tabSelected="1" workbookViewId="0"/>
  </sheetViews>
  <sheetFormatPr defaultRowHeight="15" x14ac:dyDescent="0.25"/>
  <cols>
    <col min="1" max="1" width="18.7109375" customWidth="1"/>
    <col min="2" max="2" width="21.28515625" customWidth="1"/>
    <col min="3" max="3" width="18.7109375" customWidth="1"/>
    <col min="4" max="4" width="18" customWidth="1"/>
  </cols>
  <sheetData>
    <row r="1" spans="1:4" x14ac:dyDescent="0.25">
      <c r="A1" t="s">
        <v>78</v>
      </c>
      <c r="B1" t="s">
        <v>79</v>
      </c>
      <c r="C1" t="s">
        <v>80</v>
      </c>
      <c r="D1" t="s">
        <v>81</v>
      </c>
    </row>
    <row r="2" spans="1:4" x14ac:dyDescent="0.25">
      <c r="A2" t="s">
        <v>26</v>
      </c>
      <c r="B2">
        <f>SUMIFS(Antigua!$M:$M,Antigua!$B:$B,$A2,Antigua!$D:$D,"London")+SUMIFS(Barbados!$L:$L,Barbados!$B:$B,$A2,Barbados!$D:$D,"London")+SUMIFS(Bermuda!$L:$L,Bermuda!$B:$B,$A2,Bermuda!$D:$D,"London")+SUMIFS(Carolina!$J:$J,Carolina!$A:$A,$A2,Carolina!$B:$B,"London")+SUMIFS(Jamaica!$L:$L,Jamaica!$B:$B,$A2,Jamaica!$D:$D,"London")+SUMIFS(Mountserat!$L:$L,Mountserat!$B:$B,$A2,Mountserat!$D:$D,"London")+SUMIFS(Nevis!$L:$L,Nevis!$B:$B,$A2,Nevis!$D:$D,"London")+SUMIFS(NewEngland!$L:$L,NewEngland!$B:$B,$A2,NewEngland!$D:$D,"London")</f>
        <v>6.3526785714285712</v>
      </c>
      <c r="C2">
        <f>SUMIFS(Antigua!$M:$M, Antigua!$B:$B, $A2, Antigua!$D:$D, "Out Ports") + SUMIFS(Barbados!$L:$L, Barbados!$B:$B, $A2, Barbados!$D:$D, "Out Ports") + SUMIFS(Bermuda!$L:$L, Bermuda!$B:$B, $A2, Bermuda!$D:$D, "Out Ports") + SUMIFS(Carolina!$J:$J, Carolina!$A:$A, $A2, Carolina!$B:$B, "Out Ports") + SUMIFS(Jamaica!$L:$L, Jamaica!$B:$B, $A2, Jamaica!$D:$D, "Out Ports") + SUMIFS(Mountserat!$L:$L, Mountserat!$B:$B, $A2, Mountserat!$D:$D, "Out Ports") + SUMIFS(Nevis!$L:$L, Nevis!$B:$B, $A2, Nevis!$D:$D, "Out Ports") + SUMIFS(NewEngland!$L:$L, NewEngland!$B:$B, $A2, NewEngland!$D:$D, "Out Ports")</f>
        <v>0.23973214285714287</v>
      </c>
      <c r="D2">
        <f t="shared" ref="D2:D30" si="0">ROUND((B2+C2),2)</f>
        <v>6.59</v>
      </c>
    </row>
    <row r="3" spans="1:4" x14ac:dyDescent="0.25">
      <c r="A3" t="s">
        <v>42</v>
      </c>
      <c r="B3">
        <f>SUMIFS(Antigua!$M:$M,Antigua!$B:$B,$A3,Antigua!$D:$D,"London")+SUMIFS(Barbados!$L:$L,Barbados!$B:$B,$A3,Barbados!$D:$D,"London")+SUMIFS(Bermuda!$L:$L,Bermuda!$B:$B,$A3,Bermuda!$D:$D,"London")+SUMIFS(Carolina!$J:$J,Carolina!$A:$A,$A3,Carolina!$B:$B,"London")+SUMIFS(Jamaica!$L:$L,Jamaica!$B:$B,$A3,Jamaica!$D:$D,"London")+SUMIFS(Mountserat!$L:$L,Mountserat!$B:$B,$A3,Mountserat!$D:$D,"London")+SUMIFS(Nevis!$L:$L,Nevis!$B:$B,$A3,Nevis!$D:$D,"London")+SUMIFS(NewEngland!$L:$L,NewEngland!$B:$B,$A3,NewEngland!$D:$D,"London")</f>
        <v>0.4598214285714286</v>
      </c>
      <c r="C3">
        <f>SUMIFS(Antigua!$M:$M, Antigua!$B:$B, $A3, Antigua!$D:$D, "Out Ports") + SUMIFS(Barbados!$L:$L, Barbados!$B:$B, $A3, Barbados!$D:$D, "Out Ports") + SUMIFS(Bermuda!$L:$L, Bermuda!$B:$B, $A3, Bermuda!$D:$D, "Out Ports") + SUMIFS(Carolina!$J:$J, Carolina!$A:$A, $A3, Carolina!$B:$B, "Out Ports") + SUMIFS(Jamaica!$L:$L, Jamaica!$B:$B, $A3, Jamaica!$D:$D, "Out Ports") + SUMIFS(Mountserat!$L:$L, Mountserat!$B:$B, $A3, Mountserat!$D:$D, "Out Ports") + SUMIFS(Nevis!$L:$L, Nevis!$B:$B, $A3, Nevis!$D:$D, "Out Ports") + SUMIFS(NewEngland!$L:$L, NewEngland!$B:$B, $A3, NewEngland!$D:$D, "Out Ports")</f>
        <v>0.11562500000000001</v>
      </c>
      <c r="D3">
        <f t="shared" si="0"/>
        <v>0.57999999999999996</v>
      </c>
    </row>
    <row r="4" spans="1:4" x14ac:dyDescent="0.25">
      <c r="A4" t="s">
        <v>71</v>
      </c>
      <c r="B4">
        <f>SUMIFS(Antigua!$M:$M,Antigua!$B:$B,$A4,Antigua!$D:$D,"London")+SUMIFS(Barbados!$L:$L,Barbados!$B:$B,$A4,Barbados!$D:$D,"London")+SUMIFS(Bermuda!$L:$L,Bermuda!$B:$B,$A4,Bermuda!$D:$D,"London")+SUMIFS(Carolina!$J:$J,Carolina!$A:$A,$A4,Carolina!$B:$B,"London")+SUMIFS(Jamaica!$L:$L,Jamaica!$B:$B,$A4,Jamaica!$D:$D,"London")+SUMIFS(Mountserat!$L:$L,Mountserat!$B:$B,$A4,Mountserat!$D:$D,"London")+SUMIFS(Nevis!$L:$L,Nevis!$B:$B,$A4,Nevis!$D:$D,"London")+SUMIFS(NewEngland!$L:$L,NewEngland!$B:$B,$A4,NewEngland!$D:$D,"London")</f>
        <v>0.35625000000000001</v>
      </c>
      <c r="C4">
        <f>SUMIFS(Antigua!$M:$M, Antigua!$B:$B, $A4, Antigua!$D:$D, "Out Ports") + SUMIFS(Barbados!$L:$L, Barbados!$B:$B, $A4, Barbados!$D:$D, "Out Ports") + SUMIFS(Bermuda!$L:$L, Bermuda!$B:$B, $A4, Bermuda!$D:$D, "Out Ports") + SUMIFS(Carolina!$J:$J, Carolina!$A:$A, $A4, Carolina!$B:$B, "Out Ports") + SUMIFS(Jamaica!$L:$L, Jamaica!$B:$B, $A4, Jamaica!$D:$D, "Out Ports") + SUMIFS(Mountserat!$L:$L, Mountserat!$B:$B, $A4, Mountserat!$D:$D, "Out Ports") + SUMIFS(Nevis!$L:$L, Nevis!$B:$B, $A4, Nevis!$D:$D, "Out Ports") + SUMIFS(NewEngland!$L:$L, NewEngland!$B:$B, $A4, NewEngland!$D:$D, "Out Ports")</f>
        <v>0</v>
      </c>
      <c r="D4">
        <f t="shared" si="0"/>
        <v>0.36</v>
      </c>
    </row>
    <row r="5" spans="1:4" x14ac:dyDescent="0.25">
      <c r="A5" t="s">
        <v>12</v>
      </c>
      <c r="B5">
        <f>SUMIFS(Antigua!$M:$M,Antigua!$B:$B,$A5,Antigua!$D:$D,"London")+SUMIFS(Barbados!$L:$L,Barbados!$B:$B,$A5,Barbados!$D:$D,"London")+SUMIFS(Bermuda!$L:$L,Bermuda!$B:$B,$A5,Bermuda!$D:$D,"London")+SUMIFS(Carolina!$J:$J,Carolina!$A:$A,$A5,Carolina!$B:$B,"London")+SUMIFS(Jamaica!$L:$L,Jamaica!$B:$B,$A5,Jamaica!$D:$D,"London")+SUMIFS(Mountserat!$L:$L,Mountserat!$B:$B,$A5,Mountserat!$D:$D,"London")+SUMIFS(Nevis!$L:$L,Nevis!$B:$B,$A5,Nevis!$D:$D,"London")+SUMIFS(NewEngland!$L:$L,NewEngland!$B:$B,$A5,NewEngland!$D:$D,"London")</f>
        <v>1.3392857142857142E-2</v>
      </c>
      <c r="C5">
        <f>SUMIFS(Antigua!$M:$M, Antigua!$B:$B, $A5, Antigua!$D:$D, "Out Ports") + SUMIFS(Barbados!$L:$L, Barbados!$B:$B, $A5, Barbados!$D:$D, "Out Ports") + SUMIFS(Bermuda!$L:$L, Bermuda!$B:$B, $A5, Bermuda!$D:$D, "Out Ports") + SUMIFS(Carolina!$J:$J, Carolina!$A:$A, $A5, Carolina!$B:$B, "Out Ports") + SUMIFS(Jamaica!$L:$L, Jamaica!$B:$B, $A5, Jamaica!$D:$D, "Out Ports") + SUMIFS(Mountserat!$L:$L, Mountserat!$B:$B, $A5, Mountserat!$D:$D, "Out Ports") + SUMIFS(Nevis!$L:$L, Nevis!$B:$B, $A5, Nevis!$D:$D, "Out Ports") + SUMIFS(NewEngland!$L:$L, NewEngland!$B:$B, $A5, NewEngland!$D:$D, "Out Ports")</f>
        <v>0</v>
      </c>
      <c r="D5">
        <f t="shared" si="0"/>
        <v>0.01</v>
      </c>
    </row>
    <row r="6" spans="1:4" x14ac:dyDescent="0.25">
      <c r="A6" t="s">
        <v>3</v>
      </c>
      <c r="B6">
        <f>SUMIFS(Antigua!$M:$M,Antigua!$B:$B,$A6,Antigua!$D:$D,"London")+SUMIFS(Barbados!$L:$L,Barbados!$B:$B,$A6,Barbados!$D:$D,"London")+SUMIFS(Bermuda!$L:$L,Bermuda!$B:$B,$A6,Bermuda!$D:$D,"London")+SUMIFS(Carolina!$J:$J,Carolina!$A:$A,$A6,Carolina!$B:$B,"London")+SUMIFS(Jamaica!$L:$L,Jamaica!$B:$B,$A6,Jamaica!$D:$D,"London")+SUMIFS(Mountserat!$L:$L,Mountserat!$B:$B,$A6,Mountserat!$D:$D,"London")+SUMIFS(Nevis!$L:$L,Nevis!$B:$B,$A6,Nevis!$D:$D,"London")+SUMIFS(NewEngland!$L:$L,NewEngland!$B:$B,$A6,NewEngland!$D:$D,"London")</f>
        <v>14638.28091517857</v>
      </c>
      <c r="C6">
        <f>SUMIFS(Antigua!$M:$M, Antigua!$B:$B, $A6, Antigua!$D:$D, "Out Ports") + SUMIFS(Barbados!$L:$L, Barbados!$B:$B, $A6, Barbados!$D:$D, "Out Ports") + SUMIFS(Bermuda!$L:$L, Bermuda!$B:$B, $A6, Bermuda!$D:$D, "Out Ports") + SUMIFS(Carolina!$J:$J, Carolina!$A:$A, $A6, Carolina!$B:$B, "Out Ports") + SUMIFS(Jamaica!$L:$L, Jamaica!$B:$B, $A6, Jamaica!$D:$D, "Out Ports") + SUMIFS(Mountserat!$L:$L, Mountserat!$B:$B, $A6, Mountserat!$D:$D, "Out Ports") + SUMIFS(Nevis!$L:$L, Nevis!$B:$B, $A6, Nevis!$D:$D, "Out Ports") + SUMIFS(NewEngland!$L:$L, NewEngland!$B:$B, $A6, NewEngland!$D:$D, "Out Ports")</f>
        <v>2026.8706752232144</v>
      </c>
      <c r="D6">
        <f t="shared" si="0"/>
        <v>16665.150000000001</v>
      </c>
    </row>
    <row r="7" spans="1:4" x14ac:dyDescent="0.25">
      <c r="A7" t="s">
        <v>51</v>
      </c>
      <c r="B7">
        <f>SUMIFS(Antigua!$M:$M,Antigua!$B:$B,$A7,Antigua!$D:$D,"London")+SUMIFS(Barbados!$L:$L,Barbados!$B:$B,$A7,Barbados!$D:$D,"London")+SUMIFS(Bermuda!$L:$L,Bermuda!$B:$B,$A7,Bermuda!$D:$D,"London")+SUMIFS(Carolina!$J:$J,Carolina!$A:$A,$A7,Carolina!$B:$B,"London")+SUMIFS(Jamaica!$L:$L,Jamaica!$B:$B,$A7,Jamaica!$D:$D,"London")+SUMIFS(Mountserat!$L:$L,Mountserat!$B:$B,$A7,Mountserat!$D:$D,"London")+SUMIFS(Nevis!$L:$L,Nevis!$B:$B,$A7,Nevis!$D:$D,"London")+SUMIFS(NewEngland!$L:$L,NewEngland!$B:$B,$A7,NewEngland!$D:$D,"London")</f>
        <v>5</v>
      </c>
      <c r="C7">
        <f>SUMIFS(Antigua!$M:$M, Antigua!$B:$B, $A7, Antigua!$D:$D, "Out Ports") + SUMIFS(Barbados!$L:$L, Barbados!$B:$B, $A7, Barbados!$D:$D, "Out Ports") + SUMIFS(Bermuda!$L:$L, Bermuda!$B:$B, $A7, Bermuda!$D:$D, "Out Ports") + SUMIFS(Carolina!$J:$J, Carolina!$A:$A, $A7, Carolina!$B:$B, "Out Ports") + SUMIFS(Jamaica!$L:$L, Jamaica!$B:$B, $A7, Jamaica!$D:$D, "Out Ports") + SUMIFS(Mountserat!$L:$L, Mountserat!$B:$B, $A7, Mountserat!$D:$D, "Out Ports") + SUMIFS(Nevis!$L:$L, Nevis!$B:$B, $A7, Nevis!$D:$D, "Out Ports") + SUMIFS(NewEngland!$L:$L, NewEngland!$B:$B, $A7, NewEngland!$D:$D, "Out Ports")</f>
        <v>0</v>
      </c>
      <c r="D7">
        <f t="shared" si="0"/>
        <v>5</v>
      </c>
    </row>
    <row r="8" spans="1:4" x14ac:dyDescent="0.25">
      <c r="A8" t="s">
        <v>13</v>
      </c>
      <c r="B8">
        <f>SUMIFS(Antigua!$M:$M,Antigua!$B:$B,$A8,Antigua!$D:$D,"London")+SUMIFS(Barbados!$L:$L,Barbados!$B:$B,$A8,Barbados!$D:$D,"London")+SUMIFS(Bermuda!$L:$L,Bermuda!$B:$B,$A8,Bermuda!$D:$D,"London")+SUMIFS(Carolina!$J:$J,Carolina!$A:$A,$A8,Carolina!$B:$B,"London")+SUMIFS(Jamaica!$L:$L,Jamaica!$B:$B,$A8,Jamaica!$D:$D,"London")+SUMIFS(Mountserat!$L:$L,Mountserat!$B:$B,$A8,Mountserat!$D:$D,"London")+SUMIFS(Nevis!$L:$L,Nevis!$B:$B,$A8,Nevis!$D:$D,"London")+SUMIFS(NewEngland!$L:$L,NewEngland!$B:$B,$A8,NewEngland!$D:$D,"London")</f>
        <v>6.2425781249999996</v>
      </c>
      <c r="C8">
        <f>SUMIFS(Antigua!$M:$M, Antigua!$B:$B, $A8, Antigua!$D:$D, "Out Ports") + SUMIFS(Barbados!$L:$L, Barbados!$B:$B, $A8, Barbados!$D:$D, "Out Ports") + SUMIFS(Bermuda!$L:$L, Bermuda!$B:$B, $A8, Bermuda!$D:$D, "Out Ports") + SUMIFS(Carolina!$J:$J, Carolina!$A:$A, $A8, Carolina!$B:$B, "Out Ports") + SUMIFS(Jamaica!$L:$L, Jamaica!$B:$B, $A8, Jamaica!$D:$D, "Out Ports") + SUMIFS(Mountserat!$L:$L, Mountserat!$B:$B, $A8, Mountserat!$D:$D, "Out Ports") + SUMIFS(Nevis!$L:$L, Nevis!$B:$B, $A8, Nevis!$D:$D, "Out Ports") + SUMIFS(NewEngland!$L:$L, NewEngland!$B:$B, $A8, NewEngland!$D:$D, "Out Ports")</f>
        <v>8.7053571428571432E-3</v>
      </c>
      <c r="D8">
        <f t="shared" si="0"/>
        <v>6.25</v>
      </c>
    </row>
    <row r="9" spans="1:4" x14ac:dyDescent="0.25">
      <c r="A9" t="s">
        <v>82</v>
      </c>
      <c r="B9">
        <f>SUMIFS(Antigua!$M:$M,Antigua!$B:$B,$A9,Antigua!$D:$D,"London")+SUMIFS(Barbados!$L:$L,Barbados!$B:$B,$A9,Barbados!$D:$D,"London")+SUMIFS(Bermuda!$L:$L,Bermuda!$B:$B,$A9,Bermuda!$D:$D,"London")+SUMIFS(Carolina!$J:$J,Carolina!$A:$A,$A9,Carolina!$B:$B,"London")+SUMIFS(Jamaica!$L:$L,Jamaica!$B:$B,$A9,Jamaica!$D:$D,"London")+SUMIFS(Mountserat!$L:$L,Mountserat!$B:$B,$A9,Mountserat!$D:$D,"London")+SUMIFS(Nevis!$L:$L,Nevis!$B:$B,$A9,Nevis!$D:$D,"London")+SUMIFS(NewEngland!$L:$L,NewEngland!$B:$B,$A9,NewEngland!$D:$D,"London")</f>
        <v>0</v>
      </c>
      <c r="C9">
        <f>SUMIFS(Antigua!$M:$M, Antigua!$B:$B, $A9, Antigua!$D:$D, "Out Ports") + SUMIFS(Barbados!$L:$L, Barbados!$B:$B, $A9, Barbados!$D:$D, "Out Ports") + SUMIFS(Bermuda!$L:$L, Bermuda!$B:$B, $A9, Bermuda!$D:$D, "Out Ports") + SUMIFS(Carolina!$J:$J, Carolina!$A:$A, $A9, Carolina!$B:$B, "Out Ports") + SUMIFS(Jamaica!$L:$L, Jamaica!$B:$B, $A9, Jamaica!$D:$D, "Out Ports") + SUMIFS(Mountserat!$L:$L, Mountserat!$B:$B, $A9, Mountserat!$D:$D, "Out Ports") + SUMIFS(Nevis!$L:$L, Nevis!$B:$B, $A9, Nevis!$D:$D, "Out Ports") + SUMIFS(NewEngland!$L:$L, NewEngland!$B:$B, $A9, NewEngland!$D:$D, "Out Ports")</f>
        <v>0</v>
      </c>
      <c r="D9">
        <f t="shared" si="0"/>
        <v>0</v>
      </c>
    </row>
    <row r="10" spans="1:4" x14ac:dyDescent="0.25">
      <c r="A10" t="s">
        <v>83</v>
      </c>
      <c r="B10">
        <f>SUMIFS(Antigua!$M:$M,Antigua!$B:$B,$A10,Antigua!$D:$D,"London")+SUMIFS(Barbados!$L:$L,Barbados!$B:$B,$A10,Barbados!$D:$D,"London")+SUMIFS(Bermuda!$L:$L,Bermuda!$B:$B,$A10,Bermuda!$D:$D,"London")+SUMIFS(Carolina!$J:$J,Carolina!$A:$A,$A10,Carolina!$B:$B,"London")+SUMIFS(Jamaica!$L:$L,Jamaica!$B:$B,$A10,Jamaica!$D:$D,"London")+SUMIFS(Mountserat!$L:$L,Mountserat!$B:$B,$A10,Mountserat!$D:$D,"London")+SUMIFS(Nevis!$L:$L,Nevis!$B:$B,$A10,Nevis!$D:$D,"London")+SUMIFS(NewEngland!$L:$L,NewEngland!$B:$B,$A10,NewEngland!$D:$D,"London")</f>
        <v>13.302678571428572</v>
      </c>
      <c r="C10">
        <f>SUMIFS(Antigua!$M:$M, Antigua!$B:$B, $A10, Antigua!$D:$D, "Out Ports") + SUMIFS(Barbados!$L:$L, Barbados!$B:$B, $A10, Barbados!$D:$D, "Out Ports") + SUMIFS(Bermuda!$L:$L, Bermuda!$B:$B, $A10, Bermuda!$D:$D, "Out Ports") + SUMIFS(Carolina!$J:$J, Carolina!$A:$A, $A10, Carolina!$B:$B, "Out Ports") + SUMIFS(Jamaica!$L:$L, Jamaica!$B:$B, $A10, Jamaica!$D:$D, "Out Ports") + SUMIFS(Mountserat!$L:$L, Mountserat!$B:$B, $A10, Mountserat!$D:$D, "Out Ports") + SUMIFS(Nevis!$L:$L, Nevis!$B:$B, $A10, Nevis!$D:$D, "Out Ports") + SUMIFS(NewEngland!$L:$L, NewEngland!$B:$B, $A10, NewEngland!$D:$D, "Out Ports")</f>
        <v>0.35133928571428569</v>
      </c>
      <c r="D10">
        <f t="shared" si="0"/>
        <v>13.65</v>
      </c>
    </row>
    <row r="11" spans="1:4" x14ac:dyDescent="0.25">
      <c r="A11" t="s">
        <v>11</v>
      </c>
      <c r="B11">
        <f>SUMIFS(Antigua!$M:$M,Antigua!$B:$B,$A11,Antigua!$D:$D,"London")+SUMIFS(Barbados!$L:$L,Barbados!$B:$B,$A11,Barbados!$D:$D,"London")+SUMIFS(Bermuda!$L:$L,Bermuda!$B:$B,$A11,Bermuda!$D:$D,"London")+SUMIFS(Carolina!$J:$J,Carolina!$A:$A,$A11,Carolina!$B:$B,"London")+SUMIFS(Jamaica!$L:$L,Jamaica!$B:$B,$A11,Jamaica!$D:$D,"London")+SUMIFS(Mountserat!$L:$L,Mountserat!$B:$B,$A11,Mountserat!$D:$D,"London")+SUMIFS(Nevis!$L:$L,Nevis!$B:$B,$A11,Nevis!$D:$D,"London")+SUMIFS(NewEngland!$L:$L,NewEngland!$B:$B,$A11,NewEngland!$D:$D,"London")</f>
        <v>114.74665178571428</v>
      </c>
      <c r="C11">
        <f>SUMIFS(Antigua!$M:$M, Antigua!$B:$B, $A11, Antigua!$D:$D, "Out Ports") + SUMIFS(Barbados!$L:$L, Barbados!$B:$B, $A11, Barbados!$D:$D, "Out Ports") + SUMIFS(Bermuda!$L:$L, Bermuda!$B:$B, $A11, Bermuda!$D:$D, "Out Ports") + SUMIFS(Carolina!$J:$J, Carolina!$A:$A, $A11, Carolina!$B:$B, "Out Ports") + SUMIFS(Jamaica!$L:$L, Jamaica!$B:$B, $A11, Jamaica!$D:$D, "Out Ports") + SUMIFS(Mountserat!$L:$L, Mountserat!$B:$B, $A11, Mountserat!$D:$D, "Out Ports") + SUMIFS(Nevis!$L:$L, Nevis!$B:$B, $A11, Nevis!$D:$D, "Out Ports") + SUMIFS(NewEngland!$L:$L, NewEngland!$B:$B, $A11, NewEngland!$D:$D, "Out Ports")</f>
        <v>58.115290178571421</v>
      </c>
      <c r="D11">
        <f t="shared" si="0"/>
        <v>172.86</v>
      </c>
    </row>
    <row r="12" spans="1:4" x14ac:dyDescent="0.25">
      <c r="A12" t="s">
        <v>14</v>
      </c>
      <c r="B12">
        <f>SUMIFS(Antigua!$M:$M,Antigua!$B:$B,$A12,Antigua!$D:$D,"London")+SUMIFS(Barbados!$L:$L,Barbados!$B:$B,$A12,Barbados!$D:$D,"London")+SUMIFS(Bermuda!$L:$L,Bermuda!$B:$B,$A12,Bermuda!$D:$D,"London")+SUMIFS(Carolina!$J:$J,Carolina!$A:$A,$A12,Carolina!$B:$B,"London")+SUMIFS(Jamaica!$L:$L,Jamaica!$B:$B,$A12,Jamaica!$D:$D,"London")+SUMIFS(Mountserat!$L:$L,Mountserat!$B:$B,$A12,Mountserat!$D:$D,"London")+SUMIFS(Nevis!$L:$L,Nevis!$B:$B,$A12,Nevis!$D:$D,"London")+SUMIFS(NewEngland!$L:$L,NewEngland!$B:$B,$A12,NewEngland!$D:$D,"London")</f>
        <v>303.43214285714282</v>
      </c>
      <c r="C12">
        <f>SUMIFS(Antigua!$M:$M, Antigua!$B:$B, $A12, Antigua!$D:$D, "Out Ports") + SUMIFS(Barbados!$L:$L, Barbados!$B:$B, $A12, Barbados!$D:$D, "Out Ports") + SUMIFS(Bermuda!$L:$L, Bermuda!$B:$B, $A12, Bermuda!$D:$D, "Out Ports") + SUMIFS(Carolina!$J:$J, Carolina!$A:$A, $A12, Carolina!$B:$B, "Out Ports") + SUMIFS(Jamaica!$L:$L, Jamaica!$B:$B, $A12, Jamaica!$D:$D, "Out Ports") + SUMIFS(Mountserat!$L:$L, Mountserat!$B:$B, $A12, Mountserat!$D:$D, "Out Ports") + SUMIFS(Nevis!$L:$L, Nevis!$B:$B, $A12, Nevis!$D:$D, "Out Ports") + SUMIFS(NewEngland!$L:$L, NewEngland!$B:$B, $A12, NewEngland!$D:$D, "Out Ports")</f>
        <v>63.707589285714285</v>
      </c>
      <c r="D12">
        <f t="shared" si="0"/>
        <v>367.14</v>
      </c>
    </row>
    <row r="13" spans="1:4" x14ac:dyDescent="0.25">
      <c r="A13" t="s">
        <v>44</v>
      </c>
      <c r="B13">
        <f>SUMIFS(Antigua!$M:$M,Antigua!$B:$B,$A13,Antigua!$D:$D,"London")+SUMIFS(Barbados!$L:$L,Barbados!$B:$B,$A13,Barbados!$D:$D,"London")+SUMIFS(Bermuda!$L:$L,Bermuda!$B:$B,$A13,Bermuda!$D:$D,"London")+SUMIFS(Carolina!$J:$J,Carolina!$A:$A,$A13,Carolina!$B:$B,"London")+SUMIFS(Jamaica!$L:$L,Jamaica!$B:$B,$A13,Jamaica!$D:$D,"London")+SUMIFS(Mountserat!$L:$L,Mountserat!$B:$B,$A13,Mountserat!$D:$D,"London")+SUMIFS(Nevis!$L:$L,Nevis!$B:$B,$A13,Nevis!$D:$D,"London")+SUMIFS(NewEngland!$L:$L,NewEngland!$B:$B,$A13,NewEngland!$D:$D,"London")</f>
        <v>26.828850446428575</v>
      </c>
      <c r="C13">
        <f>SUMIFS(Antigua!$M:$M, Antigua!$B:$B, $A13, Antigua!$D:$D, "Out Ports") + SUMIFS(Barbados!$L:$L, Barbados!$B:$B, $A13, Barbados!$D:$D, "Out Ports") + SUMIFS(Bermuda!$L:$L, Bermuda!$B:$B, $A13, Bermuda!$D:$D, "Out Ports") + SUMIFS(Carolina!$J:$J, Carolina!$A:$A, $A13, Carolina!$B:$B, "Out Ports") + SUMIFS(Jamaica!$L:$L, Jamaica!$B:$B, $A13, Jamaica!$D:$D, "Out Ports") + SUMIFS(Mountserat!$L:$L, Mountserat!$B:$B, $A13, Mountserat!$D:$D, "Out Ports") + SUMIFS(Nevis!$L:$L, Nevis!$B:$B, $A13, Nevis!$D:$D, "Out Ports") + SUMIFS(NewEngland!$L:$L, NewEngland!$B:$B, $A13, NewEngland!$D:$D, "Out Ports")</f>
        <v>1.8415178571428571E-3</v>
      </c>
      <c r="D13">
        <f t="shared" si="0"/>
        <v>26.83</v>
      </c>
    </row>
    <row r="14" spans="1:4" x14ac:dyDescent="0.25">
      <c r="A14" t="s">
        <v>10</v>
      </c>
      <c r="B14">
        <f>SUMIFS(Antigua!$M:$M,Antigua!$B:$B,$A14,Antigua!$D:$D,"London")+SUMIFS(Barbados!$L:$L,Barbados!$B:$B,$A14,Barbados!$D:$D,"London")+SUMIFS(Bermuda!$L:$L,Bermuda!$B:$B,$A14,Bermuda!$D:$D,"London")+SUMIFS(Carolina!$J:$J,Carolina!$A:$A,$A14,Carolina!$B:$B,"London")+SUMIFS(Jamaica!$L:$L,Jamaica!$B:$B,$A14,Jamaica!$D:$D,"London")+SUMIFS(Mountserat!$L:$L,Mountserat!$B:$B,$A14,Mountserat!$D:$D,"London")+SUMIFS(Nevis!$L:$L,Nevis!$B:$B,$A14,Nevis!$D:$D,"London")+SUMIFS(NewEngland!$L:$L,NewEngland!$B:$B,$A14,NewEngland!$D:$D,"London")</f>
        <v>83.881835937500014</v>
      </c>
      <c r="C14">
        <f>SUMIFS(Antigua!$M:$M, Antigua!$B:$B, $A14, Antigua!$D:$D, "Out Ports") + SUMIFS(Barbados!$L:$L, Barbados!$B:$B, $A14, Barbados!$D:$D, "Out Ports") + SUMIFS(Bermuda!$L:$L, Bermuda!$B:$B, $A14, Bermuda!$D:$D, "Out Ports") + SUMIFS(Carolina!$J:$J, Carolina!$A:$A, $A14, Carolina!$B:$B, "Out Ports") + SUMIFS(Jamaica!$L:$L, Jamaica!$B:$B, $A14, Jamaica!$D:$D, "Out Ports") + SUMIFS(Mountserat!$L:$L, Mountserat!$B:$B, $A14, Mountserat!$D:$D, "Out Ports") + SUMIFS(Nevis!$L:$L, Nevis!$B:$B, $A14, Nevis!$D:$D, "Out Ports") + SUMIFS(NewEngland!$L:$L, NewEngland!$B:$B, $A14, NewEngland!$D:$D, "Out Ports")</f>
        <v>9.1430524553571431</v>
      </c>
      <c r="D14">
        <f t="shared" si="0"/>
        <v>93.02</v>
      </c>
    </row>
    <row r="15" spans="1:4" x14ac:dyDescent="0.25">
      <c r="A15" t="s">
        <v>84</v>
      </c>
      <c r="B15">
        <f>SUMIFS(Antigua!$M:$M,Antigua!$B:$B,$A15,Antigua!$D:$D,"London")+SUMIFS(Barbados!$L:$L,Barbados!$B:$B,$A15,Barbados!$D:$D,"London")+SUMIFS(Bermuda!$L:$L,Bermuda!$B:$B,$A15,Bermuda!$D:$D,"London")+SUMIFS(Carolina!$J:$J,Carolina!$A:$A,$A15,Carolina!$B:$B,"London")+SUMIFS(Jamaica!$L:$L,Jamaica!$B:$B,$A15,Jamaica!$D:$D,"London")+SUMIFS(Mountserat!$L:$L,Mountserat!$B:$B,$A15,Mountserat!$D:$D,"London")+SUMIFS(Nevis!$L:$L,Nevis!$B:$B,$A15,Nevis!$D:$D,"London")+SUMIFS(NewEngland!$L:$L,NewEngland!$B:$B,$A15,NewEngland!$D:$D,"London")</f>
        <v>0</v>
      </c>
      <c r="C15">
        <f>SUMIFS(Antigua!$M:$M, Antigua!$B:$B, $A15, Antigua!$D:$D, "Out Ports") + SUMIFS(Barbados!$L:$L, Barbados!$B:$B, $A15, Barbados!$D:$D, "Out Ports") + SUMIFS(Bermuda!$L:$L, Bermuda!$B:$B, $A15, Bermuda!$D:$D, "Out Ports") + SUMIFS(Carolina!$J:$J, Carolina!$A:$A, $A15, Carolina!$B:$B, "Out Ports") + SUMIFS(Jamaica!$L:$L, Jamaica!$B:$B, $A15, Jamaica!$D:$D, "Out Ports") + SUMIFS(Mountserat!$L:$L, Mountserat!$B:$B, $A15, Mountserat!$D:$D, "Out Ports") + SUMIFS(Nevis!$L:$L, Nevis!$B:$B, $A15, Nevis!$D:$D, "Out Ports") + SUMIFS(NewEngland!$L:$L, NewEngland!$B:$B, $A15, NewEngland!$D:$D, "Out Ports")</f>
        <v>0</v>
      </c>
      <c r="D15">
        <f t="shared" si="0"/>
        <v>0</v>
      </c>
    </row>
    <row r="16" spans="1:4" x14ac:dyDescent="0.25">
      <c r="A16" t="s">
        <v>21</v>
      </c>
      <c r="B16">
        <f>SUMIFS(Antigua!$M:$M,Antigua!$B:$B,$A16,Antigua!$D:$D,"London")+SUMIFS(Barbados!$L:$L,Barbados!$B:$B,$A16,Barbados!$D:$D,"London")+SUMIFS(Bermuda!$L:$L,Bermuda!$B:$B,$A16,Bermuda!$D:$D,"London")+SUMIFS(Carolina!$J:$J,Carolina!$A:$A,$A16,Carolina!$B:$B,"London")+SUMIFS(Jamaica!$L:$L,Jamaica!$B:$B,$A16,Jamaica!$D:$D,"London")+SUMIFS(Mountserat!$L:$L,Mountserat!$B:$B,$A16,Mountserat!$D:$D,"London")+SUMIFS(Nevis!$L:$L,Nevis!$B:$B,$A16,Nevis!$D:$D,"London")+SUMIFS(NewEngland!$L:$L,NewEngland!$B:$B,$A16,NewEngland!$D:$D,"London")</f>
        <v>80.031835937500006</v>
      </c>
      <c r="C16">
        <f>SUMIFS(Antigua!$M:$M, Antigua!$B:$B, $A16, Antigua!$D:$D, "Out Ports") + SUMIFS(Barbados!$L:$L, Barbados!$B:$B, $A16, Barbados!$D:$D, "Out Ports") + SUMIFS(Bermuda!$L:$L, Bermuda!$B:$B, $A16, Bermuda!$D:$D, "Out Ports") + SUMIFS(Carolina!$J:$J, Carolina!$A:$A, $A16, Carolina!$B:$B, "Out Ports") + SUMIFS(Jamaica!$L:$L, Jamaica!$B:$B, $A16, Jamaica!$D:$D, "Out Ports") + SUMIFS(Mountserat!$L:$L, Mountserat!$B:$B, $A16, Mountserat!$D:$D, "Out Ports") + SUMIFS(Nevis!$L:$L, Nevis!$B:$B, $A16, Nevis!$D:$D, "Out Ports") + SUMIFS(NewEngland!$L:$L, NewEngland!$B:$B, $A16, NewEngland!$D:$D, "Out Ports")</f>
        <v>16.511216517857143</v>
      </c>
      <c r="D16">
        <f t="shared" si="0"/>
        <v>96.54</v>
      </c>
    </row>
    <row r="17" spans="1:4" x14ac:dyDescent="0.25">
      <c r="A17" t="s">
        <v>15</v>
      </c>
      <c r="B17">
        <f>SUMIFS(Antigua!$M:$M,Antigua!$B:$B,$A17,Antigua!$D:$D,"London")+SUMIFS(Barbados!$L:$L,Barbados!$B:$B,$A17,Barbados!$D:$D,"London")+SUMIFS(Bermuda!$L:$L,Bermuda!$B:$B,$A17,Bermuda!$D:$D,"London")+SUMIFS(Carolina!$J:$J,Carolina!$A:$A,$A17,Carolina!$B:$B,"London")+SUMIFS(Jamaica!$L:$L,Jamaica!$B:$B,$A17,Jamaica!$D:$D,"London")+SUMIFS(Mountserat!$L:$L,Mountserat!$B:$B,$A17,Mountserat!$D:$D,"London")+SUMIFS(Nevis!$L:$L,Nevis!$B:$B,$A17,Nevis!$D:$D,"London")+SUMIFS(NewEngland!$L:$L,NewEngland!$B:$B,$A17,NewEngland!$D:$D,"London")</f>
        <v>1319.1196428571429</v>
      </c>
      <c r="C17">
        <f>SUMIFS(Antigua!$M:$M, Antigua!$B:$B, $A17, Antigua!$D:$D, "Out Ports") + SUMIFS(Barbados!$L:$L, Barbados!$B:$B, $A17, Barbados!$D:$D, "Out Ports") + SUMIFS(Bermuda!$L:$L, Bermuda!$B:$B, $A17, Bermuda!$D:$D, "Out Ports") + SUMIFS(Carolina!$J:$J, Carolina!$A:$A, $A17, Carolina!$B:$B, "Out Ports") + SUMIFS(Jamaica!$L:$L, Jamaica!$B:$B, $A17, Jamaica!$D:$D, "Out Ports") + SUMIFS(Mountserat!$L:$L, Mountserat!$B:$B, $A17, Mountserat!$D:$D, "Out Ports") + SUMIFS(Nevis!$L:$L, Nevis!$B:$B, $A17, Nevis!$D:$D, "Out Ports") + SUMIFS(NewEngland!$L:$L, NewEngland!$B:$B, $A17, NewEngland!$D:$D, "Out Ports")</f>
        <v>234.07126116071427</v>
      </c>
      <c r="D17">
        <f t="shared" si="0"/>
        <v>1553.19</v>
      </c>
    </row>
    <row r="18" spans="1:4" x14ac:dyDescent="0.25">
      <c r="A18" t="s">
        <v>53</v>
      </c>
      <c r="B18">
        <f>SUMIFS(Antigua!$M:$M,Antigua!$B:$B,$A18,Antigua!$D:$D,"London")+SUMIFS(Barbados!$L:$L,Barbados!$B:$B,$A18,Barbados!$D:$D,"London")+SUMIFS(Bermuda!$L:$L,Bermuda!$B:$B,$A18,Bermuda!$D:$D,"London")+SUMIFS(Carolina!$J:$J,Carolina!$A:$A,$A18,Carolina!$B:$B,"London")+SUMIFS(Jamaica!$L:$L,Jamaica!$B:$B,$A18,Jamaica!$D:$D,"London")+SUMIFS(Mountserat!$L:$L,Mountserat!$B:$B,$A18,Mountserat!$D:$D,"London")+SUMIFS(Nevis!$L:$L,Nevis!$B:$B,$A18,Nevis!$D:$D,"London")+SUMIFS(NewEngland!$L:$L,NewEngland!$B:$B,$A18,NewEngland!$D:$D,"London")</f>
        <v>50.159821428571426</v>
      </c>
      <c r="C18">
        <f>SUMIFS(Antigua!$M:$M, Antigua!$B:$B, $A18, Antigua!$D:$D, "Out Ports") + SUMIFS(Barbados!$L:$L, Barbados!$B:$B, $A18, Barbados!$D:$D, "Out Ports") + SUMIFS(Bermuda!$L:$L, Bermuda!$B:$B, $A18, Bermuda!$D:$D, "Out Ports") + SUMIFS(Carolina!$J:$J, Carolina!$A:$A, $A18, Carolina!$B:$B, "Out Ports") + SUMIFS(Jamaica!$L:$L, Jamaica!$B:$B, $A18, Jamaica!$D:$D, "Out Ports") + SUMIFS(Mountserat!$L:$L, Mountserat!$B:$B, $A18, Mountserat!$D:$D, "Out Ports") + SUMIFS(Nevis!$L:$L, Nevis!$B:$B, $A18, Nevis!$D:$D, "Out Ports") + SUMIFS(NewEngland!$L:$L, NewEngland!$B:$B, $A18, NewEngland!$D:$D, "Out Ports")</f>
        <v>11.560267857142858</v>
      </c>
      <c r="D18">
        <f t="shared" si="0"/>
        <v>61.72</v>
      </c>
    </row>
    <row r="19" spans="1:4" x14ac:dyDescent="0.25">
      <c r="A19" t="s">
        <v>28</v>
      </c>
      <c r="B19">
        <f>SUMIFS(Antigua!$M:$M,Antigua!$B:$B,$A19,Antigua!$D:$D,"London")+SUMIFS(Barbados!$L:$L,Barbados!$B:$B,$A19,Barbados!$D:$D,"London")+SUMIFS(Bermuda!$L:$L,Bermuda!$B:$B,$A19,Bermuda!$D:$D,"London")+SUMIFS(Carolina!$J:$J,Carolina!$A:$A,$A19,Carolina!$B:$B,"London")+SUMIFS(Jamaica!$L:$L,Jamaica!$B:$B,$A19,Jamaica!$D:$D,"London")+SUMIFS(Mountserat!$L:$L,Mountserat!$B:$B,$A19,Mountserat!$D:$D,"London")+SUMIFS(Nevis!$L:$L,Nevis!$B:$B,$A19,Nevis!$D:$D,"London")+SUMIFS(NewEngland!$L:$L,NewEngland!$B:$B,$A19,NewEngland!$D:$D,"London")</f>
        <v>118.23169642857142</v>
      </c>
      <c r="C19">
        <f>SUMIFS(Antigua!$M:$M, Antigua!$B:$B, $A19, Antigua!$D:$D, "Out Ports") + SUMIFS(Barbados!$L:$L, Barbados!$B:$B, $A19, Barbados!$D:$D, "Out Ports") + SUMIFS(Bermuda!$L:$L, Bermuda!$B:$B, $A19, Bermuda!$D:$D, "Out Ports") + SUMIFS(Carolina!$J:$J, Carolina!$A:$A, $A19, Carolina!$B:$B, "Out Ports") + SUMIFS(Jamaica!$L:$L, Jamaica!$B:$B, $A19, Jamaica!$D:$D, "Out Ports") + SUMIFS(Mountserat!$L:$L, Mountserat!$B:$B, $A19, Mountserat!$D:$D, "Out Ports") + SUMIFS(Nevis!$L:$L, Nevis!$B:$B, $A19, Nevis!$D:$D, "Out Ports") + SUMIFS(NewEngland!$L:$L, NewEngland!$B:$B, $A19, NewEngland!$D:$D, "Out Ports")</f>
        <v>34.994196428571428</v>
      </c>
      <c r="D19">
        <f t="shared" si="0"/>
        <v>153.22999999999999</v>
      </c>
    </row>
    <row r="20" spans="1:4" x14ac:dyDescent="0.25">
      <c r="A20" t="s">
        <v>23</v>
      </c>
      <c r="B20">
        <f>SUMIFS(Antigua!$M:$M,Antigua!$B:$B,$A20,Antigua!$D:$D,"London")+SUMIFS(Barbados!$L:$L,Barbados!$B:$B,$A20,Barbados!$D:$D,"London")+SUMIFS(Bermuda!$L:$L,Bermuda!$B:$B,$A20,Bermuda!$D:$D,"London")+SUMIFS(Carolina!$J:$J,Carolina!$A:$A,$A20,Carolina!$B:$B,"London")+SUMIFS(Jamaica!$L:$L,Jamaica!$B:$B,$A20,Jamaica!$D:$D,"London")+SUMIFS(Mountserat!$L:$L,Mountserat!$B:$B,$A20,Mountserat!$D:$D,"London")+SUMIFS(Nevis!$L:$L,Nevis!$B:$B,$A20,Nevis!$D:$D,"London")+SUMIFS(NewEngland!$L:$L,NewEngland!$B:$B,$A20,NewEngland!$D:$D,"London")</f>
        <v>5.2689732142857135</v>
      </c>
      <c r="C20">
        <f>SUMIFS(Antigua!$M:$M, Antigua!$B:$B, $A20, Antigua!$D:$D, "Out Ports") + SUMIFS(Barbados!$L:$L, Barbados!$B:$B, $A20, Barbados!$D:$D, "Out Ports") + SUMIFS(Bermuda!$L:$L, Bermuda!$B:$B, $A20, Bermuda!$D:$D, "Out Ports") + SUMIFS(Carolina!$J:$J, Carolina!$A:$A, $A20, Carolina!$B:$B, "Out Ports") + SUMIFS(Jamaica!$L:$L, Jamaica!$B:$B, $A20, Jamaica!$D:$D, "Out Ports") + SUMIFS(Mountserat!$L:$L, Mountserat!$B:$B, $A20, Mountserat!$D:$D, "Out Ports") + SUMIFS(Nevis!$L:$L, Nevis!$B:$B, $A20, Nevis!$D:$D, "Out Ports") + SUMIFS(NewEngland!$L:$L, NewEngland!$B:$B, $A20, NewEngland!$D:$D, "Out Ports")</f>
        <v>1.4022321428571429</v>
      </c>
      <c r="D20">
        <f t="shared" si="0"/>
        <v>6.67</v>
      </c>
    </row>
    <row r="21" spans="1:4" x14ac:dyDescent="0.25">
      <c r="A21" t="s">
        <v>47</v>
      </c>
      <c r="B21">
        <f>SUMIFS(Antigua!$M:$M,Antigua!$B:$B,$A21,Antigua!$D:$D,"London")+SUMIFS(Barbados!$L:$L,Barbados!$B:$B,$A21,Barbados!$D:$D,"London")+SUMIFS(Bermuda!$L:$L,Bermuda!$B:$B,$A21,Bermuda!$D:$D,"London")+SUMIFS(Carolina!$J:$J,Carolina!$A:$A,$A21,Carolina!$B:$B,"London")+SUMIFS(Jamaica!$L:$L,Jamaica!$B:$B,$A21,Jamaica!$D:$D,"London")+SUMIFS(Mountserat!$L:$L,Mountserat!$B:$B,$A21,Mountserat!$D:$D,"London")+SUMIFS(Nevis!$L:$L,Nevis!$B:$B,$A21,Nevis!$D:$D,"London")+SUMIFS(NewEngland!$L:$L,NewEngland!$B:$B,$A21,NewEngland!$D:$D,"London")</f>
        <v>6.1334821428571438</v>
      </c>
      <c r="C21">
        <f>SUMIFS(Antigua!$M:$M, Antigua!$B:$B, $A21, Antigua!$D:$D, "Out Ports") + SUMIFS(Barbados!$L:$L, Barbados!$B:$B, $A21, Barbados!$D:$D, "Out Ports") + SUMIFS(Bermuda!$L:$L, Bermuda!$B:$B, $A21, Bermuda!$D:$D, "Out Ports") + SUMIFS(Carolina!$J:$J, Carolina!$A:$A, $A21, Carolina!$B:$B, "Out Ports") + SUMIFS(Jamaica!$L:$L, Jamaica!$B:$B, $A21, Jamaica!$D:$D, "Out Ports") + SUMIFS(Mountserat!$L:$L, Mountserat!$B:$B, $A21, Mountserat!$D:$D, "Out Ports") + SUMIFS(Nevis!$L:$L, Nevis!$B:$B, $A21, Nevis!$D:$D, "Out Ports") + SUMIFS(NewEngland!$L:$L, NewEngland!$B:$B, $A21, NewEngland!$D:$D, "Out Ports")</f>
        <v>1.8845982142857143</v>
      </c>
      <c r="D21">
        <f t="shared" si="0"/>
        <v>8.02</v>
      </c>
    </row>
    <row r="22" spans="1:4" x14ac:dyDescent="0.25">
      <c r="A22" t="s">
        <v>85</v>
      </c>
      <c r="B22">
        <f>SUMIFS(Antigua!$M:$M,Antigua!$B:$B,$A22,Antigua!$D:$D,"London")+SUMIFS(Barbados!$L:$L,Barbados!$B:$B,$A22,Barbados!$D:$D,"London")+SUMIFS(Bermuda!$L:$L,Bermuda!$B:$B,$A22,Bermuda!$D:$D,"London")+SUMIFS(Carolina!$J:$J,Carolina!$A:$A,$A22,Carolina!$B:$B,"London")+SUMIFS(Jamaica!$L:$L,Jamaica!$B:$B,$A22,Jamaica!$D:$D,"London")+SUMIFS(Mountserat!$L:$L,Mountserat!$B:$B,$A22,Mountserat!$D:$D,"London")+SUMIFS(Nevis!$L:$L,Nevis!$B:$B,$A22,Nevis!$D:$D,"London")+SUMIFS(NewEngland!$L:$L,NewEngland!$B:$B,$A22,NewEngland!$D:$D,"London")</f>
        <v>1.5638392857142858</v>
      </c>
      <c r="C22">
        <f>SUMIFS(Antigua!$M:$M, Antigua!$B:$B, $A22, Antigua!$D:$D, "Out Ports") + SUMIFS(Barbados!$L:$L, Barbados!$B:$B, $A22, Barbados!$D:$D, "Out Ports") + SUMIFS(Bermuda!$L:$L, Bermuda!$B:$B, $A22, Bermuda!$D:$D, "Out Ports") + SUMIFS(Carolina!$J:$J, Carolina!$A:$A, $A22, Carolina!$B:$B, "Out Ports") + SUMIFS(Jamaica!$L:$L, Jamaica!$B:$B, $A22, Jamaica!$D:$D, "Out Ports") + SUMIFS(Mountserat!$L:$L, Mountserat!$B:$B, $A22, Mountserat!$D:$D, "Out Ports") + SUMIFS(Nevis!$L:$L, Nevis!$B:$B, $A22, Nevis!$D:$D, "Out Ports") + SUMIFS(NewEngland!$L:$L, NewEngland!$B:$B, $A22, NewEngland!$D:$D, "Out Ports")</f>
        <v>0.33038504464285712</v>
      </c>
      <c r="D22">
        <f t="shared" si="0"/>
        <v>1.89</v>
      </c>
    </row>
    <row r="23" spans="1:4" x14ac:dyDescent="0.25">
      <c r="A23" t="s">
        <v>18</v>
      </c>
      <c r="B23">
        <f>SUMIFS(Antigua!$M:$M,Antigua!$B:$B,$A23,Antigua!$D:$D,"London")+SUMIFS(Barbados!$L:$L,Barbados!$B:$B,$A23,Barbados!$D:$D,"London")+SUMIFS(Bermuda!$L:$L,Bermuda!$B:$B,$A23,Bermuda!$D:$D,"London")+SUMIFS(Carolina!$J:$J,Carolina!$A:$A,$A23,Carolina!$B:$B,"London")+SUMIFS(Jamaica!$L:$L,Jamaica!$B:$B,$A23,Jamaica!$D:$D,"London")+SUMIFS(Mountserat!$L:$L,Mountserat!$B:$B,$A23,Mountserat!$D:$D,"London")+SUMIFS(Nevis!$L:$L,Nevis!$B:$B,$A23,Nevis!$D:$D,"London")+SUMIFS(NewEngland!$L:$L,NewEngland!$B:$B,$A23,NewEngland!$D:$D,"London")</f>
        <v>22.938727678571428</v>
      </c>
      <c r="C23">
        <f>SUMIFS(Antigua!$M:$M, Antigua!$B:$B, $A23, Antigua!$D:$D, "Out Ports") + SUMIFS(Barbados!$L:$L, Barbados!$B:$B, $A23, Barbados!$D:$D, "Out Ports") + SUMIFS(Bermuda!$L:$L, Bermuda!$B:$B, $A23, Bermuda!$D:$D, "Out Ports") + SUMIFS(Carolina!$J:$J, Carolina!$A:$A, $A23, Carolina!$B:$B, "Out Ports") + SUMIFS(Jamaica!$L:$L, Jamaica!$B:$B, $A23, Jamaica!$D:$D, "Out Ports") + SUMIFS(Mountserat!$L:$L, Mountserat!$B:$B, $A23, Mountserat!$D:$D, "Out Ports") + SUMIFS(Nevis!$L:$L, Nevis!$B:$B, $A23, Nevis!$D:$D, "Out Ports") + SUMIFS(NewEngland!$L:$L, NewEngland!$B:$B, $A23, NewEngland!$D:$D, "Out Ports")</f>
        <v>4.4437499999999996</v>
      </c>
      <c r="D23">
        <f t="shared" si="0"/>
        <v>27.38</v>
      </c>
    </row>
    <row r="24" spans="1:4" x14ac:dyDescent="0.25">
      <c r="A24" t="s">
        <v>25</v>
      </c>
      <c r="B24">
        <f>SUMIFS(Antigua!$M:$M,Antigua!$B:$B,$A24,Antigua!$D:$D,"London")+SUMIFS(Barbados!$L:$L,Barbados!$B:$B,$A24,Barbados!$D:$D,"London")+SUMIFS(Bermuda!$L:$L,Bermuda!$B:$B,$A24,Bermuda!$D:$D,"London")+SUMIFS(Carolina!$J:$J,Carolina!$A:$A,$A24,Carolina!$B:$B,"London")+SUMIFS(Jamaica!$L:$L,Jamaica!$B:$B,$A24,Jamaica!$D:$D,"London")+SUMIFS(Mountserat!$L:$L,Mountserat!$B:$B,$A24,Mountserat!$D:$D,"London")+SUMIFS(Nevis!$L:$L,Nevis!$B:$B,$A24,Nevis!$D:$D,"London")+SUMIFS(NewEngland!$L:$L,NewEngland!$B:$B,$A24,NewEngland!$D:$D,"London")</f>
        <v>2.3415178571428572</v>
      </c>
      <c r="C24">
        <f>SUMIFS(Antigua!$M:$M, Antigua!$B:$B, $A24, Antigua!$D:$D, "Out Ports") + SUMIFS(Barbados!$L:$L, Barbados!$B:$B, $A24, Barbados!$D:$D, "Out Ports") + SUMIFS(Bermuda!$L:$L, Bermuda!$B:$B, $A24, Bermuda!$D:$D, "Out Ports") + SUMIFS(Carolina!$J:$J, Carolina!$A:$A, $A24, Carolina!$B:$B, "Out Ports") + SUMIFS(Jamaica!$L:$L, Jamaica!$B:$B, $A24, Jamaica!$D:$D, "Out Ports") + SUMIFS(Mountserat!$L:$L, Mountserat!$B:$B, $A24, Mountserat!$D:$D, "Out Ports") + SUMIFS(Nevis!$L:$L, Nevis!$B:$B, $A24, Nevis!$D:$D, "Out Ports") + SUMIFS(NewEngland!$L:$L, NewEngland!$B:$B, $A24, NewEngland!$D:$D, "Out Ports")</f>
        <v>0.27723214285714287</v>
      </c>
      <c r="D24">
        <f t="shared" si="0"/>
        <v>2.62</v>
      </c>
    </row>
    <row r="25" spans="1:4" x14ac:dyDescent="0.25">
      <c r="A25" t="s">
        <v>16</v>
      </c>
      <c r="B25">
        <f>SUMIFS(Antigua!$M:$M,Antigua!$B:$B,$A25,Antigua!$D:$D,"London")+SUMIFS(Barbados!$L:$L,Barbados!$B:$B,$A25,Barbados!$D:$D,"London")+SUMIFS(Bermuda!$L:$L,Bermuda!$B:$B,$A25,Bermuda!$D:$D,"London")+SUMIFS(Carolina!$J:$J,Carolina!$A:$A,$A25,Carolina!$B:$B,"London")+SUMIFS(Jamaica!$L:$L,Jamaica!$B:$B,$A25,Jamaica!$D:$D,"London")+SUMIFS(Mountserat!$L:$L,Mountserat!$B:$B,$A25,Mountserat!$D:$D,"London")+SUMIFS(Nevis!$L:$L,Nevis!$B:$B,$A25,Nevis!$D:$D,"London")+SUMIFS(NewEngland!$L:$L,NewEngland!$B:$B,$A25,NewEngland!$D:$D,"London")</f>
        <v>189.77991071428573</v>
      </c>
      <c r="C25">
        <f>SUMIFS(Antigua!$M:$M, Antigua!$B:$B, $A25, Antigua!$D:$D, "Out Ports") + SUMIFS(Barbados!$L:$L, Barbados!$B:$B, $A25, Barbados!$D:$D, "Out Ports") + SUMIFS(Bermuda!$L:$L, Bermuda!$B:$B, $A25, Bermuda!$D:$D, "Out Ports") + SUMIFS(Carolina!$J:$J, Carolina!$A:$A, $A25, Carolina!$B:$B, "Out Ports") + SUMIFS(Jamaica!$L:$L, Jamaica!$B:$B, $A25, Jamaica!$D:$D, "Out Ports") + SUMIFS(Mountserat!$L:$L, Mountserat!$B:$B, $A25, Mountserat!$D:$D, "Out Ports") + SUMIFS(Nevis!$L:$L, Nevis!$B:$B, $A25, Nevis!$D:$D, "Out Ports") + SUMIFS(NewEngland!$L:$L, NewEngland!$B:$B, $A25, NewEngland!$D:$D, "Out Ports")</f>
        <v>2.8419642857142855</v>
      </c>
      <c r="D25">
        <f t="shared" si="0"/>
        <v>192.62</v>
      </c>
    </row>
    <row r="26" spans="1:4" x14ac:dyDescent="0.25">
      <c r="A26" t="s">
        <v>86</v>
      </c>
      <c r="B26">
        <f>SUMIFS(Antigua!$M:$M,Antigua!$B:$B,$A26,Antigua!$D:$D,"London")+SUMIFS(Barbados!$L:$L,Barbados!$B:$B,$A26,Barbados!$D:$D,"London")+SUMIFS(Bermuda!$L:$L,Bermuda!$B:$B,$A26,Bermuda!$D:$D,"London")+SUMIFS(Carolina!$J:$J,Carolina!$A:$A,$A26,Carolina!$B:$B,"London")+SUMIFS(Jamaica!$L:$L,Jamaica!$B:$B,$A26,Jamaica!$D:$D,"London")+SUMIFS(Mountserat!$L:$L,Mountserat!$B:$B,$A26,Mountserat!$D:$D,"London")+SUMIFS(Nevis!$L:$L,Nevis!$B:$B,$A26,Nevis!$D:$D,"London")+SUMIFS(NewEngland!$L:$L,NewEngland!$B:$B,$A26,NewEngland!$D:$D,"London")</f>
        <v>0</v>
      </c>
      <c r="C26">
        <f>SUMIFS(Antigua!$M:$M, Antigua!$B:$B, $A26, Antigua!$D:$D, "Out Ports") + SUMIFS(Barbados!$L:$L, Barbados!$B:$B, $A26, Barbados!$D:$D, "Out Ports") + SUMIFS(Bermuda!$L:$L, Bermuda!$B:$B, $A26, Bermuda!$D:$D, "Out Ports") + SUMIFS(Carolina!$J:$J, Carolina!$A:$A, $A26, Carolina!$B:$B, "Out Ports") + SUMIFS(Jamaica!$L:$L, Jamaica!$B:$B, $A26, Jamaica!$D:$D, "Out Ports") + SUMIFS(Mountserat!$L:$L, Mountserat!$B:$B, $A26, Mountserat!$D:$D, "Out Ports") + SUMIFS(Nevis!$L:$L, Nevis!$B:$B, $A26, Nevis!$D:$D, "Out Ports") + SUMIFS(NewEngland!$L:$L, NewEngland!$B:$B, $A26, NewEngland!$D:$D, "Out Ports")</f>
        <v>0</v>
      </c>
      <c r="D26">
        <f t="shared" si="0"/>
        <v>0</v>
      </c>
    </row>
    <row r="27" spans="1:4" x14ac:dyDescent="0.25">
      <c r="A27" t="s">
        <v>29</v>
      </c>
      <c r="B27">
        <f>SUMIFS(Antigua!$M:$M,Antigua!$B:$B,$A27,Antigua!$D:$D,"London")+SUMIFS(Barbados!$L:$L,Barbados!$B:$B,$A27,Barbados!$D:$D,"London")+SUMIFS(Bermuda!$L:$L,Bermuda!$B:$B,$A27,Bermuda!$D:$D,"London")+SUMIFS(Carolina!$J:$J,Carolina!$A:$A,$A27,Carolina!$B:$B,"London")+SUMIFS(Jamaica!$L:$L,Jamaica!$B:$B,$A27,Jamaica!$D:$D,"London")+SUMIFS(Mountserat!$L:$L,Mountserat!$B:$B,$A27,Mountserat!$D:$D,"London")+SUMIFS(Nevis!$L:$L,Nevis!$B:$B,$A27,Nevis!$D:$D,"London")+SUMIFS(NewEngland!$L:$L,NewEngland!$B:$B,$A27,NewEngland!$D:$D,"London")</f>
        <v>0.38169642857142855</v>
      </c>
      <c r="C27">
        <f>SUMIFS(Antigua!$M:$M, Antigua!$B:$B, $A27, Antigua!$D:$D, "Out Ports") + SUMIFS(Barbados!$L:$L, Barbados!$B:$B, $A27, Barbados!$D:$D, "Out Ports") + SUMIFS(Bermuda!$L:$L, Bermuda!$B:$B, $A27, Bermuda!$D:$D, "Out Ports") + SUMIFS(Carolina!$J:$J, Carolina!$A:$A, $A27, Carolina!$B:$B, "Out Ports") + SUMIFS(Jamaica!$L:$L, Jamaica!$B:$B, $A27, Jamaica!$D:$D, "Out Ports") + SUMIFS(Mountserat!$L:$L, Mountserat!$B:$B, $A27, Mountserat!$D:$D, "Out Ports") + SUMIFS(Nevis!$L:$L, Nevis!$B:$B, $A27, Nevis!$D:$D, "Out Ports") + SUMIFS(NewEngland!$L:$L, NewEngland!$B:$B, $A27, NewEngland!$D:$D, "Out Ports")</f>
        <v>3.3035714285714286E-2</v>
      </c>
      <c r="D27">
        <f t="shared" si="0"/>
        <v>0.41</v>
      </c>
    </row>
    <row r="28" spans="1:4" x14ac:dyDescent="0.25">
      <c r="A28" t="s">
        <v>41</v>
      </c>
      <c r="B28">
        <f>SUMIFS(Antigua!$M:$M,Antigua!$B:$B,$A28,Antigua!$D:$D,"London")+SUMIFS(Barbados!$L:$L,Barbados!$B:$B,$A28,Barbados!$D:$D,"London")+SUMIFS(Bermuda!$L:$L,Bermuda!$B:$B,$A28,Bermuda!$D:$D,"London")+SUMIFS(Carolina!$J:$J,Carolina!$A:$A,$A28,Carolina!$B:$B,"London")+SUMIFS(Jamaica!$L:$L,Jamaica!$B:$B,$A28,Jamaica!$D:$D,"London")+SUMIFS(Mountserat!$L:$L,Mountserat!$B:$B,$A28,Mountserat!$D:$D,"London")+SUMIFS(Nevis!$L:$L,Nevis!$B:$B,$A28,Nevis!$D:$D,"London")+SUMIFS(NewEngland!$L:$L,NewEngland!$B:$B,$A28,NewEngland!$D:$D,"London")</f>
        <v>3727.7866071428571</v>
      </c>
      <c r="C28">
        <f>SUMIFS(Antigua!$M:$M, Antigua!$B:$B, $A28, Antigua!$D:$D, "Out Ports") + SUMIFS(Barbados!$L:$L, Barbados!$B:$B, $A28, Barbados!$D:$D, "Out Ports") + SUMIFS(Bermuda!$L:$L, Bermuda!$B:$B, $A28, Bermuda!$D:$D, "Out Ports") + SUMIFS(Carolina!$J:$J, Carolina!$A:$A, $A28, Carolina!$B:$B, "Out Ports") + SUMIFS(Jamaica!$L:$L, Jamaica!$B:$B, $A28, Jamaica!$D:$D, "Out Ports") + SUMIFS(Mountserat!$L:$L, Mountserat!$B:$B, $A28, Mountserat!$D:$D, "Out Ports") + SUMIFS(Nevis!$L:$L, Nevis!$B:$B, $A28, Nevis!$D:$D, "Out Ports") + SUMIFS(NewEngland!$L:$L, NewEngland!$B:$B, $A28, NewEngland!$D:$D, "Out Ports")</f>
        <v>1191.8392857142858</v>
      </c>
      <c r="D28">
        <f t="shared" si="0"/>
        <v>4919.63</v>
      </c>
    </row>
    <row r="29" spans="1:4" x14ac:dyDescent="0.25">
      <c r="A29" t="s">
        <v>87</v>
      </c>
      <c r="B29">
        <f>SUMIFS(Antigua!$M:$M,Antigua!$B:$B,$A29,Antigua!$D:$D,"London")+SUMIFS(Barbados!$L:$L,Barbados!$B:$B,$A29,Barbados!$D:$D,"London")+SUMIFS(Bermuda!$L:$L,Bermuda!$B:$B,$A29,Bermuda!$D:$D,"London")+SUMIFS(Carolina!$J:$J,Carolina!$A:$A,$A29,Carolina!$B:$B,"London")+SUMIFS(Jamaica!$L:$L,Jamaica!$B:$B,$A29,Jamaica!$D:$D,"London")+SUMIFS(Mountserat!$L:$L,Mountserat!$B:$B,$A29,Mountserat!$D:$D,"London")+SUMIFS(Nevis!$L:$L,Nevis!$B:$B,$A29,Nevis!$D:$D,"London")+SUMIFS(NewEngland!$L:$L,NewEngland!$B:$B,$A29,NewEngland!$D:$D,"London")</f>
        <v>0</v>
      </c>
      <c r="C29">
        <f>SUMIFS(Antigua!$M:$M, Antigua!$B:$B, $A29, Antigua!$D:$D, "Out Ports") + SUMIFS(Barbados!$L:$L, Barbados!$B:$B, $A29, Barbados!$D:$D, "Out Ports") + SUMIFS(Bermuda!$L:$L, Bermuda!$B:$B, $A29, Bermuda!$D:$D, "Out Ports") + SUMIFS(Carolina!$J:$J, Carolina!$A:$A, $A29, Carolina!$B:$B, "Out Ports") + SUMIFS(Jamaica!$L:$L, Jamaica!$B:$B, $A29, Jamaica!$D:$D, "Out Ports") + SUMIFS(Mountserat!$L:$L, Mountserat!$B:$B, $A29, Mountserat!$D:$D, "Out Ports") + SUMIFS(Nevis!$L:$L, Nevis!$B:$B, $A29, Nevis!$D:$D, "Out Ports") + SUMIFS(NewEngland!$L:$L, NewEngland!$B:$B, $A29, NewEngland!$D:$D, "Out Ports")</f>
        <v>0</v>
      </c>
      <c r="D29">
        <f t="shared" si="0"/>
        <v>0</v>
      </c>
    </row>
    <row r="30" spans="1:4" x14ac:dyDescent="0.25">
      <c r="A30" t="s">
        <v>88</v>
      </c>
      <c r="B30">
        <f>SUMIFS(Antigua!$M:$M,Antigua!$B:$B,$A30,Antigua!$D:$D,"London")+SUMIFS(Barbados!$L:$L,Barbados!$B:$B,$A30,Barbados!$D:$D,"London")+SUMIFS(Bermuda!$L:$L,Bermuda!$B:$B,$A30,Bermuda!$D:$D,"London")+SUMIFS(Carolina!$J:$J,Carolina!$A:$A,$A30,Carolina!$B:$B,"London")+SUMIFS(Jamaica!$L:$L,Jamaica!$B:$B,$A30,Jamaica!$D:$D,"London")+SUMIFS(Mountserat!$L:$L,Mountserat!$B:$B,$A30,Mountserat!$D:$D,"London")+SUMIFS(Nevis!$L:$L,Nevis!$B:$B,$A30,Nevis!$D:$D,"London")+SUMIFS(NewEngland!$L:$L,NewEngland!$B:$B,$A30,NewEngland!$D:$D,"London")</f>
        <v>0</v>
      </c>
      <c r="C30">
        <f>SUMIFS(Antigua!$M:$M, Antigua!$B:$B, $A30, Antigua!$D:$D, "Out Ports") + SUMIFS(Barbados!$L:$L, Barbados!$B:$B, $A30, Barbados!$D:$D, "Out Ports") + SUMIFS(Bermuda!$L:$L, Bermuda!$B:$B, $A30, Bermuda!$D:$D, "Out Ports") + SUMIFS(Carolina!$J:$J, Carolina!$A:$A, $A30, Carolina!$B:$B, "Out Ports") + SUMIFS(Jamaica!$L:$L, Jamaica!$B:$B, $A30, Jamaica!$D:$D, "Out Ports") + SUMIFS(Mountserat!$L:$L, Mountserat!$B:$B, $A30, Mountserat!$D:$D, "Out Ports") + SUMIFS(Nevis!$L:$L, Nevis!$B:$B, $A30, Nevis!$D:$D, "Out Ports") + SUMIFS(NewEngland!$L:$L, NewEngland!$B:$B, $A30, NewEngland!$D:$D, "Out Ports")</f>
        <v>0</v>
      </c>
      <c r="D30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C3EA-8E14-46E1-ADD5-E40175DE2958}">
  <dimension ref="A1:O24"/>
  <sheetViews>
    <sheetView workbookViewId="0">
      <selection activeCell="H12" sqref="H12"/>
    </sheetView>
  </sheetViews>
  <sheetFormatPr defaultRowHeight="15" x14ac:dyDescent="0.25"/>
  <cols>
    <col min="2" max="3" width="17.7109375" customWidth="1"/>
    <col min="4" max="4" width="15.7109375" customWidth="1"/>
    <col min="7" max="7" width="11.28515625" customWidth="1"/>
    <col min="8" max="9" width="18.42578125" customWidth="1"/>
  </cols>
  <sheetData>
    <row r="1" spans="1:15" x14ac:dyDescent="0.25">
      <c r="A1" s="1" t="s">
        <v>96</v>
      </c>
      <c r="B1" s="1" t="s">
        <v>97</v>
      </c>
      <c r="C1" s="1" t="s">
        <v>99</v>
      </c>
      <c r="D1" s="1" t="s">
        <v>98</v>
      </c>
      <c r="E1" s="1" t="s">
        <v>90</v>
      </c>
      <c r="F1" s="1" t="s">
        <v>91</v>
      </c>
      <c r="G1" s="1" t="s">
        <v>92</v>
      </c>
      <c r="H1" s="1" t="s">
        <v>93</v>
      </c>
      <c r="I1" s="1"/>
      <c r="J1" s="1" t="s">
        <v>1</v>
      </c>
      <c r="K1" s="1"/>
      <c r="L1" s="1" t="s">
        <v>102</v>
      </c>
      <c r="N1" s="1"/>
      <c r="O1" s="1"/>
    </row>
    <row r="2" spans="1:15" x14ac:dyDescent="0.25">
      <c r="A2">
        <v>1700</v>
      </c>
      <c r="B2" t="s">
        <v>14</v>
      </c>
      <c r="C2" t="s">
        <v>100</v>
      </c>
      <c r="D2" t="s">
        <v>8</v>
      </c>
      <c r="F2">
        <v>79</v>
      </c>
      <c r="G2">
        <v>3</v>
      </c>
      <c r="J2">
        <f>(E2*2240)+(F2*112)+(G2*28)+H2</f>
        <v>8932</v>
      </c>
      <c r="L2">
        <f>J2/2240</f>
        <v>3.9874999999999998</v>
      </c>
    </row>
    <row r="3" spans="1:15" x14ac:dyDescent="0.25">
      <c r="A3">
        <v>1700</v>
      </c>
      <c r="B3" t="s">
        <v>15</v>
      </c>
      <c r="C3" t="s">
        <v>100</v>
      </c>
      <c r="D3" t="s">
        <v>8</v>
      </c>
      <c r="F3">
        <v>8960</v>
      </c>
      <c r="G3">
        <v>1</v>
      </c>
      <c r="J3">
        <f t="shared" ref="J3:J6" si="0">(E3*2240)+(F3*112)+(G3*28)+H3</f>
        <v>1003548</v>
      </c>
      <c r="L3">
        <f t="shared" ref="L3:L23" si="1">J3/2240</f>
        <v>448.01249999999999</v>
      </c>
    </row>
    <row r="4" spans="1:15" x14ac:dyDescent="0.25">
      <c r="A4">
        <v>1700</v>
      </c>
      <c r="B4" t="s">
        <v>3</v>
      </c>
      <c r="C4" t="s">
        <v>100</v>
      </c>
      <c r="D4" t="s">
        <v>8</v>
      </c>
      <c r="F4">
        <v>39148</v>
      </c>
      <c r="G4">
        <v>2</v>
      </c>
      <c r="H4">
        <v>12</v>
      </c>
      <c r="J4">
        <f t="shared" si="0"/>
        <v>4384644</v>
      </c>
      <c r="L4">
        <f t="shared" si="1"/>
        <v>1957.4303571428572</v>
      </c>
    </row>
    <row r="5" spans="1:15" x14ac:dyDescent="0.25">
      <c r="A5">
        <v>1700</v>
      </c>
      <c r="B5" t="s">
        <v>16</v>
      </c>
      <c r="C5" t="s">
        <v>100</v>
      </c>
      <c r="D5" t="s">
        <v>8</v>
      </c>
      <c r="F5">
        <v>7</v>
      </c>
      <c r="G5">
        <v>2</v>
      </c>
      <c r="H5">
        <v>21</v>
      </c>
      <c r="J5">
        <f t="shared" si="0"/>
        <v>861</v>
      </c>
      <c r="L5">
        <f t="shared" si="1"/>
        <v>0.38437500000000002</v>
      </c>
    </row>
    <row r="6" spans="1:15" x14ac:dyDescent="0.25">
      <c r="A6">
        <v>1700</v>
      </c>
      <c r="B6" t="s">
        <v>10</v>
      </c>
      <c r="C6" t="s">
        <v>100</v>
      </c>
      <c r="D6" t="s">
        <v>8</v>
      </c>
      <c r="H6">
        <v>60</v>
      </c>
      <c r="J6">
        <f t="shared" si="0"/>
        <v>60</v>
      </c>
      <c r="L6">
        <f t="shared" si="1"/>
        <v>2.6785714285714284E-2</v>
      </c>
    </row>
    <row r="7" spans="1:15" x14ac:dyDescent="0.25">
      <c r="A7">
        <v>1700</v>
      </c>
      <c r="B7" t="s">
        <v>17</v>
      </c>
      <c r="C7" t="s">
        <v>100</v>
      </c>
      <c r="D7" t="s">
        <v>8</v>
      </c>
      <c r="F7">
        <v>222</v>
      </c>
      <c r="G7">
        <v>3</v>
      </c>
      <c r="J7">
        <f t="shared" ref="J7:J24" si="2">(E7*2240)+(F7*112)+(G7*28)+H7</f>
        <v>24948</v>
      </c>
      <c r="L7">
        <f t="shared" si="1"/>
        <v>11.137499999999999</v>
      </c>
    </row>
    <row r="8" spans="1:15" x14ac:dyDescent="0.25">
      <c r="A8">
        <v>1700</v>
      </c>
      <c r="B8" t="s">
        <v>18</v>
      </c>
      <c r="C8" t="s">
        <v>100</v>
      </c>
      <c r="D8" t="s">
        <v>8</v>
      </c>
      <c r="H8">
        <v>103269</v>
      </c>
      <c r="J8">
        <f t="shared" si="2"/>
        <v>103269</v>
      </c>
      <c r="L8">
        <f t="shared" si="1"/>
        <v>46.10223214285714</v>
      </c>
    </row>
    <row r="9" spans="1:15" x14ac:dyDescent="0.25">
      <c r="A9">
        <v>1700</v>
      </c>
      <c r="B9" t="s">
        <v>19</v>
      </c>
      <c r="C9" t="s">
        <v>100</v>
      </c>
      <c r="D9" t="s">
        <v>8</v>
      </c>
      <c r="F9">
        <v>20</v>
      </c>
      <c r="G9">
        <v>3</v>
      </c>
      <c r="H9">
        <v>1</v>
      </c>
      <c r="J9">
        <f t="shared" si="2"/>
        <v>2325</v>
      </c>
      <c r="L9">
        <f t="shared" si="1"/>
        <v>1.0379464285714286</v>
      </c>
    </row>
    <row r="10" spans="1:15" x14ac:dyDescent="0.25">
      <c r="A10">
        <v>1700</v>
      </c>
      <c r="B10" t="s">
        <v>71</v>
      </c>
      <c r="C10" t="s">
        <v>100</v>
      </c>
      <c r="D10" t="s">
        <v>8</v>
      </c>
      <c r="F10">
        <v>4</v>
      </c>
      <c r="G10">
        <v>3</v>
      </c>
      <c r="J10">
        <f t="shared" si="2"/>
        <v>532</v>
      </c>
      <c r="L10">
        <f t="shared" si="1"/>
        <v>0.23749999999999999</v>
      </c>
    </row>
    <row r="11" spans="1:15" x14ac:dyDescent="0.25">
      <c r="A11">
        <v>1700</v>
      </c>
      <c r="B11" t="s">
        <v>32</v>
      </c>
      <c r="C11" t="s">
        <v>100</v>
      </c>
      <c r="D11" t="s">
        <v>8</v>
      </c>
      <c r="H11">
        <v>1740</v>
      </c>
      <c r="I11" t="s">
        <v>89</v>
      </c>
      <c r="J11">
        <f t="shared" si="2"/>
        <v>1740</v>
      </c>
      <c r="L11">
        <f t="shared" si="1"/>
        <v>0.7767857142857143</v>
      </c>
    </row>
    <row r="12" spans="1:15" x14ac:dyDescent="0.25">
      <c r="A12">
        <v>1700</v>
      </c>
      <c r="B12" t="s">
        <v>11</v>
      </c>
      <c r="C12" t="s">
        <v>100</v>
      </c>
      <c r="D12" t="s">
        <v>8</v>
      </c>
      <c r="H12">
        <f>238*200</f>
        <v>47600</v>
      </c>
      <c r="I12" t="s">
        <v>20</v>
      </c>
      <c r="J12">
        <f t="shared" si="2"/>
        <v>47600</v>
      </c>
      <c r="L12">
        <f t="shared" si="1"/>
        <v>21.25</v>
      </c>
    </row>
    <row r="13" spans="1:15" x14ac:dyDescent="0.25">
      <c r="A13">
        <v>1700</v>
      </c>
      <c r="B13" t="s">
        <v>13</v>
      </c>
      <c r="C13" t="s">
        <v>100</v>
      </c>
      <c r="D13" t="s">
        <v>8</v>
      </c>
      <c r="H13">
        <v>126</v>
      </c>
      <c r="J13">
        <f t="shared" si="2"/>
        <v>126</v>
      </c>
      <c r="L13">
        <f t="shared" si="1"/>
        <v>5.6250000000000001E-2</v>
      </c>
    </row>
    <row r="14" spans="1:15" x14ac:dyDescent="0.25">
      <c r="A14">
        <v>1700</v>
      </c>
      <c r="B14" t="s">
        <v>21</v>
      </c>
      <c r="C14" t="s">
        <v>100</v>
      </c>
      <c r="D14" t="s">
        <v>8</v>
      </c>
      <c r="H14">
        <v>10362</v>
      </c>
      <c r="I14" t="s">
        <v>22</v>
      </c>
      <c r="J14">
        <f t="shared" si="2"/>
        <v>10362</v>
      </c>
      <c r="L14">
        <f t="shared" si="1"/>
        <v>4.6258928571428575</v>
      </c>
    </row>
    <row r="15" spans="1:15" x14ac:dyDescent="0.25">
      <c r="A15">
        <v>1700</v>
      </c>
      <c r="B15" t="s">
        <v>23</v>
      </c>
      <c r="C15" t="s">
        <v>100</v>
      </c>
      <c r="D15" t="s">
        <v>8</v>
      </c>
      <c r="H15">
        <v>4701</v>
      </c>
      <c r="I15" t="s">
        <v>24</v>
      </c>
      <c r="J15">
        <f t="shared" si="2"/>
        <v>4701</v>
      </c>
      <c r="L15">
        <f t="shared" si="1"/>
        <v>2.0986607142857143</v>
      </c>
    </row>
    <row r="16" spans="1:15" x14ac:dyDescent="0.25">
      <c r="A16">
        <v>1700</v>
      </c>
      <c r="B16" t="s">
        <v>25</v>
      </c>
      <c r="C16" t="s">
        <v>100</v>
      </c>
      <c r="D16" t="s">
        <v>8</v>
      </c>
      <c r="H16">
        <v>19</v>
      </c>
      <c r="J16">
        <f t="shared" si="2"/>
        <v>19</v>
      </c>
      <c r="L16">
        <f t="shared" si="1"/>
        <v>8.4821428571428565E-3</v>
      </c>
    </row>
    <row r="17" spans="1:12" x14ac:dyDescent="0.25">
      <c r="A17">
        <v>1700</v>
      </c>
      <c r="B17" t="s">
        <v>27</v>
      </c>
      <c r="C17" t="s">
        <v>100</v>
      </c>
      <c r="D17" t="s">
        <v>8</v>
      </c>
      <c r="F17">
        <v>52</v>
      </c>
      <c r="G17">
        <v>0</v>
      </c>
      <c r="H17">
        <v>3</v>
      </c>
      <c r="J17">
        <f t="shared" si="2"/>
        <v>5827</v>
      </c>
      <c r="L17">
        <f t="shared" si="1"/>
        <v>2.6013392857142859</v>
      </c>
    </row>
    <row r="18" spans="1:12" x14ac:dyDescent="0.25">
      <c r="A18">
        <v>1700</v>
      </c>
      <c r="B18" t="s">
        <v>15</v>
      </c>
      <c r="C18" t="s">
        <v>100</v>
      </c>
      <c r="D18" t="s">
        <v>67</v>
      </c>
      <c r="F18">
        <v>1900</v>
      </c>
      <c r="G18">
        <v>2</v>
      </c>
      <c r="H18">
        <v>1</v>
      </c>
      <c r="J18">
        <f t="shared" si="2"/>
        <v>212857</v>
      </c>
      <c r="L18">
        <f t="shared" si="1"/>
        <v>95.025446428571428</v>
      </c>
    </row>
    <row r="19" spans="1:12" x14ac:dyDescent="0.25">
      <c r="A19">
        <v>1700</v>
      </c>
      <c r="B19" t="s">
        <v>3</v>
      </c>
      <c r="C19" t="s">
        <v>100</v>
      </c>
      <c r="D19" t="s">
        <v>67</v>
      </c>
      <c r="F19">
        <v>13622</v>
      </c>
      <c r="G19">
        <v>2</v>
      </c>
      <c r="H19">
        <v>3</v>
      </c>
      <c r="J19">
        <f t="shared" si="2"/>
        <v>1525723</v>
      </c>
      <c r="L19">
        <f t="shared" si="1"/>
        <v>681.12633928571427</v>
      </c>
    </row>
    <row r="20" spans="1:12" x14ac:dyDescent="0.25">
      <c r="A20">
        <v>1700</v>
      </c>
      <c r="B20" t="s">
        <v>47</v>
      </c>
      <c r="C20" t="s">
        <v>100</v>
      </c>
      <c r="D20" t="s">
        <v>67</v>
      </c>
      <c r="F20">
        <v>4</v>
      </c>
      <c r="H20">
        <v>26</v>
      </c>
      <c r="J20">
        <f t="shared" si="2"/>
        <v>474</v>
      </c>
      <c r="L20">
        <f t="shared" si="1"/>
        <v>0.21160714285714285</v>
      </c>
    </row>
    <row r="21" spans="1:12" x14ac:dyDescent="0.25">
      <c r="A21">
        <v>1700</v>
      </c>
      <c r="B21" t="s">
        <v>85</v>
      </c>
      <c r="C21" t="s">
        <v>100</v>
      </c>
      <c r="D21" t="s">
        <v>67</v>
      </c>
      <c r="G21">
        <v>38</v>
      </c>
      <c r="J21">
        <f t="shared" si="2"/>
        <v>1064</v>
      </c>
      <c r="L21">
        <f t="shared" si="1"/>
        <v>0.47499999999999998</v>
      </c>
    </row>
    <row r="22" spans="1:12" x14ac:dyDescent="0.25">
      <c r="A22">
        <v>1700</v>
      </c>
      <c r="B22" t="s">
        <v>18</v>
      </c>
      <c r="C22" t="s">
        <v>100</v>
      </c>
      <c r="D22" t="s">
        <v>67</v>
      </c>
      <c r="H22">
        <v>92152</v>
      </c>
      <c r="J22">
        <f t="shared" si="2"/>
        <v>92152</v>
      </c>
      <c r="L22">
        <f t="shared" si="1"/>
        <v>41.139285714285712</v>
      </c>
    </row>
    <row r="23" spans="1:12" x14ac:dyDescent="0.25">
      <c r="A23">
        <v>1700</v>
      </c>
      <c r="B23" t="s">
        <v>11</v>
      </c>
      <c r="C23" t="s">
        <v>100</v>
      </c>
      <c r="D23" t="s">
        <v>67</v>
      </c>
      <c r="F23">
        <v>329</v>
      </c>
      <c r="G23">
        <v>2</v>
      </c>
      <c r="H23">
        <v>20</v>
      </c>
      <c r="J23">
        <f t="shared" si="2"/>
        <v>36924</v>
      </c>
      <c r="L23">
        <f t="shared" si="1"/>
        <v>16.483928571428571</v>
      </c>
    </row>
    <row r="24" spans="1:12" x14ac:dyDescent="0.25">
      <c r="A24">
        <v>1700</v>
      </c>
      <c r="B24" t="s">
        <v>21</v>
      </c>
      <c r="C24" t="s">
        <v>100</v>
      </c>
      <c r="D24" t="s">
        <v>67</v>
      </c>
      <c r="H24">
        <v>739</v>
      </c>
      <c r="I24" t="s">
        <v>68</v>
      </c>
      <c r="J24">
        <f t="shared" si="2"/>
        <v>739</v>
      </c>
      <c r="L24">
        <f>J24/2240</f>
        <v>0.32991071428571428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D5FB-C418-47D2-BB32-80BD5406C8EA}">
  <dimension ref="A1:O41"/>
  <sheetViews>
    <sheetView workbookViewId="0">
      <selection activeCell="H40" sqref="H4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96</v>
      </c>
      <c r="B1" s="1" t="s">
        <v>97</v>
      </c>
      <c r="C1" s="1" t="s">
        <v>99</v>
      </c>
      <c r="D1" s="1" t="s">
        <v>98</v>
      </c>
      <c r="E1" s="1" t="s">
        <v>90</v>
      </c>
      <c r="F1" s="1" t="s">
        <v>91</v>
      </c>
      <c r="G1" s="1" t="s">
        <v>92</v>
      </c>
      <c r="H1" s="1" t="s">
        <v>93</v>
      </c>
      <c r="I1" s="1"/>
      <c r="J1" s="1" t="s">
        <v>1</v>
      </c>
      <c r="K1" s="1"/>
      <c r="L1" s="1" t="s">
        <v>102</v>
      </c>
      <c r="O1" s="1"/>
    </row>
    <row r="2" spans="1:15" x14ac:dyDescent="0.25">
      <c r="A2">
        <v>1700</v>
      </c>
      <c r="B2" t="s">
        <v>26</v>
      </c>
      <c r="C2" t="s">
        <v>101</v>
      </c>
      <c r="D2" t="s">
        <v>8</v>
      </c>
      <c r="H2">
        <v>13078</v>
      </c>
      <c r="J2">
        <f>(E2*2240)+(F2*112)+(G2*28)+H2</f>
        <v>13078</v>
      </c>
      <c r="L2">
        <f>J2/2240</f>
        <v>5.8383928571428569</v>
      </c>
    </row>
    <row r="3" spans="1:15" x14ac:dyDescent="0.25">
      <c r="A3">
        <v>1700</v>
      </c>
      <c r="B3" t="s">
        <v>27</v>
      </c>
      <c r="C3" t="s">
        <v>101</v>
      </c>
      <c r="D3" t="s">
        <v>8</v>
      </c>
      <c r="F3">
        <v>163</v>
      </c>
      <c r="H3">
        <v>1</v>
      </c>
      <c r="J3">
        <f t="shared" ref="J3:J10" si="0">(E3*2240)+(F3*112)+(G3*28)+H3</f>
        <v>18257</v>
      </c>
      <c r="L3">
        <f t="shared" ref="L3:L41" si="1">J3/2240</f>
        <v>8.1504464285714278</v>
      </c>
    </row>
    <row r="4" spans="1:15" x14ac:dyDescent="0.25">
      <c r="A4">
        <v>1700</v>
      </c>
      <c r="B4" t="s">
        <v>14</v>
      </c>
      <c r="C4" t="s">
        <v>101</v>
      </c>
      <c r="D4" t="s">
        <v>8</v>
      </c>
      <c r="F4">
        <v>3795</v>
      </c>
      <c r="G4">
        <v>3</v>
      </c>
      <c r="H4">
        <v>3</v>
      </c>
      <c r="J4">
        <f t="shared" si="0"/>
        <v>425127</v>
      </c>
      <c r="L4">
        <f t="shared" si="1"/>
        <v>189.78883928571429</v>
      </c>
    </row>
    <row r="5" spans="1:15" x14ac:dyDescent="0.25">
      <c r="A5">
        <v>1700</v>
      </c>
      <c r="B5" t="s">
        <v>15</v>
      </c>
      <c r="C5" t="s">
        <v>101</v>
      </c>
      <c r="D5" t="s">
        <v>8</v>
      </c>
      <c r="F5">
        <v>16763</v>
      </c>
      <c r="G5">
        <v>3</v>
      </c>
      <c r="H5">
        <v>2</v>
      </c>
      <c r="J5">
        <f t="shared" si="0"/>
        <v>1877542</v>
      </c>
      <c r="L5">
        <f t="shared" si="1"/>
        <v>838.18839285714284</v>
      </c>
    </row>
    <row r="6" spans="1:15" x14ac:dyDescent="0.25">
      <c r="A6">
        <v>1700</v>
      </c>
      <c r="B6" t="s">
        <v>28</v>
      </c>
      <c r="C6" t="s">
        <v>101</v>
      </c>
      <c r="D6" t="s">
        <v>8</v>
      </c>
      <c r="F6">
        <v>1</v>
      </c>
      <c r="J6">
        <f t="shared" si="0"/>
        <v>112</v>
      </c>
      <c r="L6">
        <f t="shared" si="1"/>
        <v>0.05</v>
      </c>
    </row>
    <row r="7" spans="1:15" x14ac:dyDescent="0.25">
      <c r="A7">
        <v>1700</v>
      </c>
      <c r="B7" t="s">
        <v>3</v>
      </c>
      <c r="C7" t="s">
        <v>101</v>
      </c>
      <c r="D7" t="s">
        <v>8</v>
      </c>
      <c r="F7">
        <v>214646</v>
      </c>
      <c r="G7">
        <v>2</v>
      </c>
      <c r="H7">
        <v>23</v>
      </c>
      <c r="J7">
        <f t="shared" si="0"/>
        <v>24040431</v>
      </c>
      <c r="L7">
        <f t="shared" si="1"/>
        <v>10732.335267857143</v>
      </c>
    </row>
    <row r="8" spans="1:15" x14ac:dyDescent="0.25">
      <c r="A8">
        <v>1700</v>
      </c>
      <c r="B8" t="s">
        <v>29</v>
      </c>
      <c r="C8" t="s">
        <v>101</v>
      </c>
      <c r="D8" t="s">
        <v>8</v>
      </c>
      <c r="F8">
        <v>7</v>
      </c>
      <c r="G8">
        <v>2</v>
      </c>
      <c r="H8">
        <v>11</v>
      </c>
      <c r="J8">
        <f t="shared" si="0"/>
        <v>851</v>
      </c>
      <c r="L8">
        <f t="shared" si="1"/>
        <v>0.37991071428571427</v>
      </c>
    </row>
    <row r="9" spans="1:15" x14ac:dyDescent="0.25">
      <c r="A9">
        <v>1700</v>
      </c>
      <c r="B9" t="s">
        <v>16</v>
      </c>
      <c r="C9" t="s">
        <v>101</v>
      </c>
      <c r="D9" t="s">
        <v>8</v>
      </c>
      <c r="F9">
        <v>3762</v>
      </c>
      <c r="G9">
        <v>2</v>
      </c>
      <c r="H9">
        <v>25</v>
      </c>
      <c r="J9">
        <f t="shared" si="0"/>
        <v>421425</v>
      </c>
      <c r="L9">
        <f t="shared" si="1"/>
        <v>188.13616071428572</v>
      </c>
    </row>
    <row r="10" spans="1:15" x14ac:dyDescent="0.25">
      <c r="A10">
        <v>1700</v>
      </c>
      <c r="B10" t="s">
        <v>10</v>
      </c>
      <c r="C10" t="s">
        <v>101</v>
      </c>
      <c r="D10" t="s">
        <v>8</v>
      </c>
      <c r="H10">
        <v>209</v>
      </c>
      <c r="J10">
        <f t="shared" si="0"/>
        <v>209</v>
      </c>
      <c r="L10">
        <f t="shared" si="1"/>
        <v>9.330357142857143E-2</v>
      </c>
    </row>
    <row r="11" spans="1:15" x14ac:dyDescent="0.25">
      <c r="A11">
        <v>1700</v>
      </c>
      <c r="B11" t="s">
        <v>30</v>
      </c>
      <c r="C11" t="s">
        <v>101</v>
      </c>
      <c r="D11" t="s">
        <v>8</v>
      </c>
      <c r="F11">
        <v>113</v>
      </c>
      <c r="G11">
        <v>2</v>
      </c>
      <c r="H11">
        <v>14</v>
      </c>
      <c r="J11">
        <f t="shared" ref="J11:J41" si="2">(E11*2240)+(F11*112)+(G11*28)+H11</f>
        <v>12726</v>
      </c>
      <c r="L11">
        <f t="shared" si="1"/>
        <v>5.6812500000000004</v>
      </c>
    </row>
    <row r="12" spans="1:15" x14ac:dyDescent="0.25">
      <c r="A12">
        <v>1700</v>
      </c>
      <c r="B12" t="s">
        <v>31</v>
      </c>
      <c r="C12" t="s">
        <v>101</v>
      </c>
      <c r="D12" t="s">
        <v>8</v>
      </c>
      <c r="H12">
        <v>508</v>
      </c>
      <c r="J12">
        <f t="shared" si="2"/>
        <v>508</v>
      </c>
      <c r="L12">
        <f t="shared" si="1"/>
        <v>0.22678571428571428</v>
      </c>
    </row>
    <row r="13" spans="1:15" x14ac:dyDescent="0.25">
      <c r="A13">
        <v>1700</v>
      </c>
      <c r="B13" t="s">
        <v>85</v>
      </c>
      <c r="C13" t="s">
        <v>101</v>
      </c>
      <c r="D13" t="s">
        <v>8</v>
      </c>
      <c r="H13">
        <v>2763</v>
      </c>
      <c r="J13">
        <f t="shared" si="2"/>
        <v>2763</v>
      </c>
      <c r="L13">
        <f t="shared" si="1"/>
        <v>1.2334821428571427</v>
      </c>
    </row>
    <row r="14" spans="1:15" x14ac:dyDescent="0.25">
      <c r="A14">
        <v>1700</v>
      </c>
      <c r="B14" t="s">
        <v>18</v>
      </c>
      <c r="C14" t="s">
        <v>101</v>
      </c>
      <c r="D14" t="s">
        <v>8</v>
      </c>
      <c r="H14">
        <v>2791</v>
      </c>
      <c r="J14">
        <f t="shared" si="2"/>
        <v>2791</v>
      </c>
      <c r="L14">
        <f t="shared" si="1"/>
        <v>1.2459821428571429</v>
      </c>
    </row>
    <row r="15" spans="1:15" x14ac:dyDescent="0.25">
      <c r="A15">
        <v>1700</v>
      </c>
      <c r="B15" t="s">
        <v>71</v>
      </c>
      <c r="C15" t="s">
        <v>101</v>
      </c>
      <c r="D15" t="s">
        <v>8</v>
      </c>
      <c r="F15">
        <v>2</v>
      </c>
      <c r="G15">
        <v>2</v>
      </c>
      <c r="H15">
        <v>14</v>
      </c>
      <c r="J15">
        <f t="shared" si="2"/>
        <v>294</v>
      </c>
      <c r="L15">
        <f t="shared" si="1"/>
        <v>0.13125000000000001</v>
      </c>
    </row>
    <row r="16" spans="1:15" x14ac:dyDescent="0.25">
      <c r="A16">
        <v>1700</v>
      </c>
      <c r="B16" t="s">
        <v>32</v>
      </c>
      <c r="C16" t="s">
        <v>101</v>
      </c>
      <c r="D16" t="s">
        <v>8</v>
      </c>
      <c r="H16">
        <v>14304</v>
      </c>
      <c r="I16" t="s">
        <v>94</v>
      </c>
      <c r="J16">
        <f t="shared" si="2"/>
        <v>14304</v>
      </c>
      <c r="L16">
        <f t="shared" si="1"/>
        <v>6.3857142857142861</v>
      </c>
    </row>
    <row r="17" spans="1:12" x14ac:dyDescent="0.25">
      <c r="A17">
        <v>1700</v>
      </c>
      <c r="B17" t="s">
        <v>83</v>
      </c>
      <c r="C17" t="s">
        <v>101</v>
      </c>
      <c r="D17" t="s">
        <v>8</v>
      </c>
      <c r="F17">
        <v>67</v>
      </c>
      <c r="G17">
        <v>1</v>
      </c>
      <c r="H17">
        <v>14</v>
      </c>
      <c r="J17">
        <f t="shared" si="2"/>
        <v>7546</v>
      </c>
      <c r="L17">
        <f t="shared" si="1"/>
        <v>3.3687499999999999</v>
      </c>
    </row>
    <row r="18" spans="1:12" x14ac:dyDescent="0.25">
      <c r="A18">
        <v>1700</v>
      </c>
      <c r="B18" t="s">
        <v>33</v>
      </c>
      <c r="C18" t="s">
        <v>101</v>
      </c>
      <c r="D18" t="s">
        <v>8</v>
      </c>
      <c r="H18">
        <v>30</v>
      </c>
      <c r="J18">
        <f t="shared" si="2"/>
        <v>30</v>
      </c>
      <c r="L18">
        <f t="shared" si="1"/>
        <v>1.3392857142857142E-2</v>
      </c>
    </row>
    <row r="19" spans="1:12" x14ac:dyDescent="0.25">
      <c r="A19">
        <v>1700</v>
      </c>
      <c r="B19" t="s">
        <v>13</v>
      </c>
      <c r="C19" t="s">
        <v>101</v>
      </c>
      <c r="D19" t="s">
        <v>8</v>
      </c>
      <c r="H19">
        <v>177</v>
      </c>
      <c r="J19">
        <f t="shared" si="2"/>
        <v>177</v>
      </c>
      <c r="L19">
        <f t="shared" si="1"/>
        <v>7.901785714285714E-2</v>
      </c>
    </row>
    <row r="20" spans="1:12" x14ac:dyDescent="0.25">
      <c r="A20">
        <v>1700</v>
      </c>
      <c r="B20" t="s">
        <v>21</v>
      </c>
      <c r="C20" t="s">
        <v>101</v>
      </c>
      <c r="D20" t="s">
        <v>8</v>
      </c>
      <c r="H20">
        <v>55533</v>
      </c>
      <c r="I20" t="s">
        <v>34</v>
      </c>
      <c r="J20">
        <f t="shared" si="2"/>
        <v>55533</v>
      </c>
      <c r="L20">
        <f t="shared" si="1"/>
        <v>24.791517857142857</v>
      </c>
    </row>
    <row r="21" spans="1:12" x14ac:dyDescent="0.25">
      <c r="A21">
        <v>1700</v>
      </c>
      <c r="B21" t="s">
        <v>23</v>
      </c>
      <c r="C21" t="s">
        <v>101</v>
      </c>
      <c r="D21" t="s">
        <v>8</v>
      </c>
      <c r="H21">
        <v>9642</v>
      </c>
      <c r="I21" t="s">
        <v>35</v>
      </c>
      <c r="J21">
        <f t="shared" si="2"/>
        <v>9642</v>
      </c>
      <c r="L21">
        <f t="shared" si="1"/>
        <v>4.3044642857142854</v>
      </c>
    </row>
    <row r="22" spans="1:12" x14ac:dyDescent="0.25">
      <c r="A22">
        <v>1700</v>
      </c>
      <c r="B22" t="s">
        <v>36</v>
      </c>
      <c r="C22" t="s">
        <v>101</v>
      </c>
      <c r="D22" t="s">
        <v>8</v>
      </c>
      <c r="H22">
        <v>540</v>
      </c>
      <c r="I22" t="s">
        <v>37</v>
      </c>
      <c r="J22">
        <f t="shared" si="2"/>
        <v>540</v>
      </c>
      <c r="L22">
        <f t="shared" si="1"/>
        <v>0.24107142857142858</v>
      </c>
    </row>
    <row r="23" spans="1:12" x14ac:dyDescent="0.25">
      <c r="A23">
        <v>1700</v>
      </c>
      <c r="B23" t="s">
        <v>38</v>
      </c>
      <c r="C23" t="s">
        <v>101</v>
      </c>
      <c r="D23" t="s">
        <v>8</v>
      </c>
      <c r="F23">
        <v>10</v>
      </c>
      <c r="G23">
        <v>2</v>
      </c>
      <c r="H23">
        <v>14</v>
      </c>
      <c r="J23">
        <f t="shared" si="2"/>
        <v>1190</v>
      </c>
      <c r="L23">
        <f t="shared" si="1"/>
        <v>0.53125</v>
      </c>
    </row>
    <row r="24" spans="1:12" x14ac:dyDescent="0.25">
      <c r="A24">
        <v>1700</v>
      </c>
      <c r="B24" t="s">
        <v>25</v>
      </c>
      <c r="C24" t="s">
        <v>101</v>
      </c>
      <c r="D24" t="s">
        <v>8</v>
      </c>
      <c r="H24">
        <v>1868</v>
      </c>
      <c r="J24">
        <f t="shared" si="2"/>
        <v>1868</v>
      </c>
      <c r="L24">
        <f t="shared" si="1"/>
        <v>0.83392857142857146</v>
      </c>
    </row>
    <row r="25" spans="1:12" x14ac:dyDescent="0.25">
      <c r="A25">
        <v>1700</v>
      </c>
      <c r="B25" t="s">
        <v>39</v>
      </c>
      <c r="C25" t="s">
        <v>101</v>
      </c>
      <c r="D25" t="s">
        <v>8</v>
      </c>
      <c r="H25">
        <v>612.5</v>
      </c>
      <c r="I25" t="s">
        <v>40</v>
      </c>
      <c r="J25">
        <f t="shared" si="2"/>
        <v>612.5</v>
      </c>
      <c r="L25">
        <f t="shared" si="1"/>
        <v>0.2734375</v>
      </c>
    </row>
    <row r="26" spans="1:12" x14ac:dyDescent="0.25">
      <c r="A26">
        <v>1700</v>
      </c>
      <c r="B26" t="s">
        <v>26</v>
      </c>
      <c r="C26" t="s">
        <v>101</v>
      </c>
      <c r="D26" t="s">
        <v>67</v>
      </c>
      <c r="H26">
        <v>412</v>
      </c>
      <c r="J26">
        <f t="shared" si="2"/>
        <v>412</v>
      </c>
      <c r="L26">
        <f t="shared" si="1"/>
        <v>0.18392857142857144</v>
      </c>
    </row>
    <row r="27" spans="1:12" x14ac:dyDescent="0.25">
      <c r="A27">
        <v>1700</v>
      </c>
      <c r="B27" t="s">
        <v>27</v>
      </c>
      <c r="C27" t="s">
        <v>101</v>
      </c>
      <c r="D27" t="s">
        <v>67</v>
      </c>
      <c r="F27">
        <v>1</v>
      </c>
      <c r="G27">
        <v>3</v>
      </c>
      <c r="H27">
        <v>12</v>
      </c>
      <c r="J27">
        <f t="shared" si="2"/>
        <v>208</v>
      </c>
      <c r="L27">
        <f t="shared" si="1"/>
        <v>9.285714285714286E-2</v>
      </c>
    </row>
    <row r="28" spans="1:12" x14ac:dyDescent="0.25">
      <c r="A28">
        <v>1700</v>
      </c>
      <c r="B28" t="s">
        <v>14</v>
      </c>
      <c r="C28" t="s">
        <v>101</v>
      </c>
      <c r="D28" t="s">
        <v>67</v>
      </c>
      <c r="F28">
        <v>545</v>
      </c>
      <c r="H28">
        <v>3</v>
      </c>
      <c r="J28">
        <f t="shared" si="2"/>
        <v>61043</v>
      </c>
      <c r="L28">
        <f t="shared" si="1"/>
        <v>27.251339285714284</v>
      </c>
    </row>
    <row r="29" spans="1:12" x14ac:dyDescent="0.25">
      <c r="A29">
        <v>1700</v>
      </c>
      <c r="B29" t="s">
        <v>15</v>
      </c>
      <c r="C29" t="s">
        <v>101</v>
      </c>
      <c r="D29" t="s">
        <v>67</v>
      </c>
      <c r="F29">
        <v>3838</v>
      </c>
      <c r="G29">
        <v>3</v>
      </c>
      <c r="H29">
        <v>22</v>
      </c>
      <c r="J29">
        <f t="shared" si="2"/>
        <v>429962</v>
      </c>
      <c r="L29">
        <f t="shared" si="1"/>
        <v>191.94732142857143</v>
      </c>
    </row>
    <row r="30" spans="1:12" x14ac:dyDescent="0.25">
      <c r="A30">
        <v>1700</v>
      </c>
      <c r="B30" t="s">
        <v>28</v>
      </c>
      <c r="C30" t="s">
        <v>101</v>
      </c>
      <c r="D30" t="s">
        <v>67</v>
      </c>
      <c r="G30">
        <v>2</v>
      </c>
      <c r="H30">
        <v>14</v>
      </c>
      <c r="J30">
        <f t="shared" si="2"/>
        <v>70</v>
      </c>
      <c r="L30">
        <f t="shared" si="1"/>
        <v>3.125E-2</v>
      </c>
    </row>
    <row r="31" spans="1:12" x14ac:dyDescent="0.25">
      <c r="A31">
        <v>1700</v>
      </c>
      <c r="B31" t="s">
        <v>29</v>
      </c>
      <c r="C31" t="s">
        <v>101</v>
      </c>
      <c r="D31" t="s">
        <v>67</v>
      </c>
      <c r="G31">
        <v>2</v>
      </c>
      <c r="H31">
        <v>18</v>
      </c>
      <c r="J31">
        <f t="shared" si="2"/>
        <v>74</v>
      </c>
      <c r="L31">
        <f t="shared" si="1"/>
        <v>3.3035714285714286E-2</v>
      </c>
    </row>
    <row r="32" spans="1:12" x14ac:dyDescent="0.25">
      <c r="A32">
        <v>1700</v>
      </c>
      <c r="B32" t="s">
        <v>41</v>
      </c>
      <c r="C32" t="s">
        <v>101</v>
      </c>
      <c r="D32" t="s">
        <v>67</v>
      </c>
      <c r="F32">
        <v>23436</v>
      </c>
      <c r="G32">
        <v>3</v>
      </c>
      <c r="H32">
        <v>4</v>
      </c>
      <c r="J32">
        <f t="shared" si="2"/>
        <v>2624920</v>
      </c>
      <c r="L32">
        <f t="shared" si="1"/>
        <v>1171.8392857142858</v>
      </c>
    </row>
    <row r="33" spans="1:12" x14ac:dyDescent="0.25">
      <c r="A33">
        <v>1700</v>
      </c>
      <c r="B33" t="s">
        <v>16</v>
      </c>
      <c r="C33" t="s">
        <v>101</v>
      </c>
      <c r="D33" t="s">
        <v>67</v>
      </c>
      <c r="F33">
        <v>35</v>
      </c>
      <c r="G33">
        <v>3</v>
      </c>
      <c r="H33">
        <v>1</v>
      </c>
      <c r="J33">
        <f t="shared" si="2"/>
        <v>4005</v>
      </c>
      <c r="L33">
        <f t="shared" si="1"/>
        <v>1.7879464285714286</v>
      </c>
    </row>
    <row r="34" spans="1:12" x14ac:dyDescent="0.25">
      <c r="A34">
        <v>1700</v>
      </c>
      <c r="B34" t="s">
        <v>85</v>
      </c>
      <c r="C34" t="s">
        <v>101</v>
      </c>
      <c r="D34" t="s">
        <v>67</v>
      </c>
      <c r="H34">
        <v>388</v>
      </c>
      <c r="J34">
        <f t="shared" si="2"/>
        <v>388</v>
      </c>
      <c r="L34">
        <f t="shared" si="1"/>
        <v>0.17321428571428571</v>
      </c>
    </row>
    <row r="35" spans="1:12" x14ac:dyDescent="0.25">
      <c r="A35">
        <v>1700</v>
      </c>
      <c r="B35" t="s">
        <v>18</v>
      </c>
      <c r="C35" t="s">
        <v>101</v>
      </c>
      <c r="D35" t="s">
        <v>67</v>
      </c>
      <c r="H35">
        <v>100</v>
      </c>
      <c r="J35">
        <f t="shared" si="2"/>
        <v>100</v>
      </c>
      <c r="L35">
        <f t="shared" si="1"/>
        <v>4.4642857142857144E-2</v>
      </c>
    </row>
    <row r="36" spans="1:12" x14ac:dyDescent="0.25">
      <c r="A36">
        <v>1700</v>
      </c>
      <c r="B36" t="s">
        <v>32</v>
      </c>
      <c r="C36" t="s">
        <v>101</v>
      </c>
      <c r="D36" t="s">
        <v>67</v>
      </c>
      <c r="H36">
        <v>1000</v>
      </c>
      <c r="I36" t="s">
        <v>95</v>
      </c>
      <c r="J36">
        <f t="shared" si="2"/>
        <v>1000</v>
      </c>
      <c r="L36">
        <f t="shared" si="1"/>
        <v>0.44642857142857145</v>
      </c>
    </row>
    <row r="37" spans="1:12" x14ac:dyDescent="0.25">
      <c r="A37">
        <v>1700</v>
      </c>
      <c r="B37" t="s">
        <v>11</v>
      </c>
      <c r="C37" t="s">
        <v>101</v>
      </c>
      <c r="D37" t="s">
        <v>67</v>
      </c>
      <c r="F37">
        <v>207</v>
      </c>
      <c r="G37">
        <v>1</v>
      </c>
      <c r="H37">
        <v>11</v>
      </c>
      <c r="J37">
        <f t="shared" si="2"/>
        <v>23223</v>
      </c>
      <c r="L37">
        <f t="shared" si="1"/>
        <v>10.367410714285715</v>
      </c>
    </row>
    <row r="38" spans="1:12" x14ac:dyDescent="0.25">
      <c r="A38">
        <v>1700</v>
      </c>
      <c r="B38" t="s">
        <v>21</v>
      </c>
      <c r="C38" t="s">
        <v>101</v>
      </c>
      <c r="D38" t="s">
        <v>67</v>
      </c>
      <c r="H38">
        <v>4088</v>
      </c>
      <c r="I38" t="s">
        <v>69</v>
      </c>
      <c r="J38">
        <f t="shared" si="2"/>
        <v>4088</v>
      </c>
      <c r="L38">
        <f t="shared" si="1"/>
        <v>1.825</v>
      </c>
    </row>
    <row r="39" spans="1:12" x14ac:dyDescent="0.25">
      <c r="A39">
        <v>1700</v>
      </c>
      <c r="B39" t="s">
        <v>23</v>
      </c>
      <c r="C39" t="s">
        <v>101</v>
      </c>
      <c r="D39" t="s">
        <v>67</v>
      </c>
      <c r="H39">
        <v>2461</v>
      </c>
      <c r="I39" t="s">
        <v>70</v>
      </c>
      <c r="J39">
        <f t="shared" si="2"/>
        <v>2461</v>
      </c>
      <c r="L39">
        <f t="shared" si="1"/>
        <v>1.0986607142857143</v>
      </c>
    </row>
    <row r="40" spans="1:12" x14ac:dyDescent="0.25">
      <c r="A40">
        <v>1700</v>
      </c>
      <c r="B40" t="s">
        <v>36</v>
      </c>
      <c r="C40" t="s">
        <v>101</v>
      </c>
      <c r="D40" t="s">
        <v>67</v>
      </c>
      <c r="H40">
        <v>2</v>
      </c>
      <c r="J40">
        <f t="shared" si="2"/>
        <v>2</v>
      </c>
      <c r="L40">
        <f t="shared" si="1"/>
        <v>8.9285714285714283E-4</v>
      </c>
    </row>
    <row r="41" spans="1:12" x14ac:dyDescent="0.25">
      <c r="A41">
        <v>1700</v>
      </c>
      <c r="B41" t="s">
        <v>25</v>
      </c>
      <c r="C41" t="s">
        <v>101</v>
      </c>
      <c r="D41" t="s">
        <v>67</v>
      </c>
      <c r="H41">
        <v>2</v>
      </c>
      <c r="J41">
        <f t="shared" si="2"/>
        <v>2</v>
      </c>
      <c r="L41">
        <f t="shared" si="1"/>
        <v>8.9285714285714283E-4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95B6-9489-437F-800E-E8D500D90B07}">
  <dimension ref="A1:O6"/>
  <sheetViews>
    <sheetView workbookViewId="0">
      <selection activeCell="J9" sqref="J9"/>
    </sheetView>
  </sheetViews>
  <sheetFormatPr defaultRowHeight="15" x14ac:dyDescent="0.25"/>
  <cols>
    <col min="2" max="3" width="17.140625" customWidth="1"/>
    <col min="4" max="4" width="13.7109375" customWidth="1"/>
    <col min="7" max="7" width="12.42578125" customWidth="1"/>
    <col min="8" max="8" width="13.85546875" customWidth="1"/>
  </cols>
  <sheetData>
    <row r="1" spans="1:15" x14ac:dyDescent="0.25">
      <c r="A1" s="1" t="s">
        <v>96</v>
      </c>
      <c r="B1" s="1" t="s">
        <v>97</v>
      </c>
      <c r="C1" s="1" t="s">
        <v>99</v>
      </c>
      <c r="D1" s="1" t="s">
        <v>98</v>
      </c>
      <c r="E1" s="1" t="s">
        <v>90</v>
      </c>
      <c r="F1" s="1" t="s">
        <v>91</v>
      </c>
      <c r="G1" s="1" t="s">
        <v>92</v>
      </c>
      <c r="H1" s="1" t="s">
        <v>93</v>
      </c>
      <c r="I1" s="1"/>
      <c r="J1" s="1" t="s">
        <v>1</v>
      </c>
      <c r="K1" s="1"/>
      <c r="L1" s="1" t="s">
        <v>102</v>
      </c>
      <c r="N1" t="s">
        <v>76</v>
      </c>
      <c r="O1" s="1" t="s">
        <v>77</v>
      </c>
    </row>
    <row r="2" spans="1:15" x14ac:dyDescent="0.25">
      <c r="A2">
        <v>1700</v>
      </c>
      <c r="B2" t="s">
        <v>30</v>
      </c>
      <c r="C2" t="s">
        <v>104</v>
      </c>
      <c r="D2" t="s">
        <v>8</v>
      </c>
      <c r="F2">
        <v>1</v>
      </c>
      <c r="G2">
        <v>3</v>
      </c>
      <c r="J2">
        <f>(E2*2240)+(F2*112)+(G2*28)+H2</f>
        <v>196</v>
      </c>
      <c r="L2">
        <f>J2/2240</f>
        <v>8.7499999999999994E-2</v>
      </c>
      <c r="N2">
        <f>L2+L4+L5</f>
        <v>9.8843750000000004</v>
      </c>
      <c r="O2">
        <f>L3+L6</f>
        <v>27.7</v>
      </c>
    </row>
    <row r="3" spans="1:15" x14ac:dyDescent="0.25">
      <c r="A3">
        <v>1700</v>
      </c>
      <c r="B3" t="s">
        <v>41</v>
      </c>
      <c r="C3" t="s">
        <v>104</v>
      </c>
      <c r="D3" t="s">
        <v>8</v>
      </c>
      <c r="F3">
        <v>154</v>
      </c>
      <c r="J3">
        <f t="shared" ref="J3:J6" si="0">(E3*2240)+(F3*112)+(G3*28)+H3</f>
        <v>17248</v>
      </c>
      <c r="L3">
        <f t="shared" ref="L3:L6" si="1">J3/2240</f>
        <v>7.7</v>
      </c>
    </row>
    <row r="4" spans="1:15" x14ac:dyDescent="0.25">
      <c r="A4">
        <v>1700</v>
      </c>
      <c r="B4" t="s">
        <v>18</v>
      </c>
      <c r="C4" t="s">
        <v>104</v>
      </c>
      <c r="D4" t="s">
        <v>8</v>
      </c>
      <c r="H4">
        <v>21730</v>
      </c>
      <c r="J4">
        <f t="shared" si="0"/>
        <v>21730</v>
      </c>
      <c r="L4">
        <f t="shared" si="1"/>
        <v>9.7008928571428577</v>
      </c>
    </row>
    <row r="5" spans="1:15" x14ac:dyDescent="0.25">
      <c r="A5">
        <v>1700</v>
      </c>
      <c r="B5" t="s">
        <v>25</v>
      </c>
      <c r="C5" t="s">
        <v>104</v>
      </c>
      <c r="D5" t="s">
        <v>8</v>
      </c>
      <c r="H5">
        <v>215</v>
      </c>
      <c r="J5">
        <f t="shared" si="0"/>
        <v>215</v>
      </c>
      <c r="L5">
        <f t="shared" si="1"/>
        <v>9.5982142857142863E-2</v>
      </c>
    </row>
    <row r="6" spans="1:15" x14ac:dyDescent="0.25">
      <c r="A6">
        <v>1700</v>
      </c>
      <c r="B6" t="s">
        <v>41</v>
      </c>
      <c r="C6" t="s">
        <v>104</v>
      </c>
      <c r="D6" t="s">
        <v>67</v>
      </c>
      <c r="F6">
        <v>400</v>
      </c>
      <c r="J6">
        <f t="shared" si="0"/>
        <v>44800</v>
      </c>
      <c r="L6">
        <f t="shared" si="1"/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0A46-51D7-4B17-BA11-28957FCAA2DA}">
  <dimension ref="A1:M11"/>
  <sheetViews>
    <sheetView workbookViewId="0">
      <selection activeCell="J9" sqref="J9:J11"/>
    </sheetView>
  </sheetViews>
  <sheetFormatPr defaultRowHeight="15" x14ac:dyDescent="0.25"/>
  <cols>
    <col min="1" max="1" width="13.85546875" customWidth="1"/>
  </cols>
  <sheetData>
    <row r="1" spans="1:13" x14ac:dyDescent="0.25">
      <c r="A1" s="1" t="s">
        <v>0</v>
      </c>
      <c r="B1" s="1" t="s">
        <v>7</v>
      </c>
      <c r="C1" s="1" t="s">
        <v>4</v>
      </c>
      <c r="D1" s="1" t="s">
        <v>5</v>
      </c>
      <c r="E1" s="1" t="s">
        <v>6</v>
      </c>
      <c r="F1" s="1" t="s">
        <v>9</v>
      </c>
      <c r="G1" s="1"/>
      <c r="H1" s="1" t="s">
        <v>1</v>
      </c>
      <c r="I1" s="1"/>
      <c r="J1" s="1" t="s">
        <v>2</v>
      </c>
      <c r="L1" t="s">
        <v>76</v>
      </c>
      <c r="M1" s="1" t="s">
        <v>77</v>
      </c>
    </row>
    <row r="2" spans="1:13" x14ac:dyDescent="0.25">
      <c r="A2" t="s">
        <v>27</v>
      </c>
      <c r="B2" t="s">
        <v>8</v>
      </c>
      <c r="D2">
        <v>17</v>
      </c>
      <c r="E2">
        <v>1</v>
      </c>
      <c r="H2">
        <f>(C2*2240)+(D2*112)+(E2*28)+F2</f>
        <v>1932</v>
      </c>
      <c r="J2">
        <f>H2/2240</f>
        <v>0.86250000000000004</v>
      </c>
      <c r="L2">
        <f>J2+J3+J5+J6+J7+J8+J9</f>
        <v>121.71116071428573</v>
      </c>
      <c r="M2">
        <f>J4</f>
        <v>12.155803571428571</v>
      </c>
    </row>
    <row r="3" spans="1:13" x14ac:dyDescent="0.25">
      <c r="A3" t="s">
        <v>28</v>
      </c>
      <c r="B3" t="s">
        <v>8</v>
      </c>
      <c r="D3">
        <v>2338</v>
      </c>
      <c r="F3">
        <v>10</v>
      </c>
      <c r="H3">
        <f t="shared" ref="H3:H11" si="0">(C3*2240)+(D3*112)+(E3*28)+F3</f>
        <v>261866</v>
      </c>
      <c r="J3">
        <f t="shared" ref="J3:J11" si="1">H3/2240</f>
        <v>116.90446428571428</v>
      </c>
    </row>
    <row r="4" spans="1:13" x14ac:dyDescent="0.25">
      <c r="A4" t="s">
        <v>3</v>
      </c>
      <c r="B4" t="s">
        <v>8</v>
      </c>
      <c r="D4">
        <v>243</v>
      </c>
      <c r="F4">
        <v>13</v>
      </c>
      <c r="H4">
        <f t="shared" si="0"/>
        <v>27229</v>
      </c>
      <c r="J4">
        <f t="shared" si="1"/>
        <v>12.155803571428571</v>
      </c>
    </row>
    <row r="5" spans="1:13" x14ac:dyDescent="0.25">
      <c r="A5" t="s">
        <v>30</v>
      </c>
      <c r="B5" t="s">
        <v>8</v>
      </c>
      <c r="D5">
        <v>2</v>
      </c>
      <c r="E5">
        <v>3</v>
      </c>
      <c r="H5">
        <f t="shared" si="0"/>
        <v>308</v>
      </c>
      <c r="J5">
        <f t="shared" si="1"/>
        <v>0.13750000000000001</v>
      </c>
    </row>
    <row r="6" spans="1:13" x14ac:dyDescent="0.25">
      <c r="A6" t="s">
        <v>18</v>
      </c>
      <c r="B6" t="s">
        <v>8</v>
      </c>
      <c r="F6">
        <v>7562</v>
      </c>
      <c r="H6">
        <f t="shared" si="0"/>
        <v>7562</v>
      </c>
      <c r="J6">
        <f t="shared" si="1"/>
        <v>3.375892857142857</v>
      </c>
    </row>
    <row r="7" spans="1:13" x14ac:dyDescent="0.25">
      <c r="A7" t="s">
        <v>42</v>
      </c>
      <c r="B7" t="s">
        <v>8</v>
      </c>
      <c r="F7">
        <v>735</v>
      </c>
      <c r="H7">
        <f t="shared" si="0"/>
        <v>735</v>
      </c>
      <c r="J7">
        <f t="shared" si="1"/>
        <v>0.328125</v>
      </c>
    </row>
    <row r="8" spans="1:13" x14ac:dyDescent="0.25">
      <c r="A8" t="s">
        <v>43</v>
      </c>
      <c r="B8" t="s">
        <v>8</v>
      </c>
      <c r="F8">
        <v>80</v>
      </c>
      <c r="H8">
        <f t="shared" si="0"/>
        <v>80</v>
      </c>
      <c r="J8">
        <f t="shared" si="1"/>
        <v>3.5714285714285712E-2</v>
      </c>
    </row>
    <row r="9" spans="1:13" x14ac:dyDescent="0.25">
      <c r="A9" t="s">
        <v>25</v>
      </c>
      <c r="B9" t="s">
        <v>8</v>
      </c>
      <c r="F9">
        <v>150</v>
      </c>
      <c r="H9">
        <f t="shared" si="0"/>
        <v>150</v>
      </c>
      <c r="J9">
        <f t="shared" si="1"/>
        <v>6.6964285714285712E-2</v>
      </c>
    </row>
    <row r="10" spans="1:13" x14ac:dyDescent="0.25">
      <c r="A10" t="s">
        <v>28</v>
      </c>
      <c r="B10" t="s">
        <v>67</v>
      </c>
      <c r="D10">
        <v>699</v>
      </c>
      <c r="E10">
        <v>1</v>
      </c>
      <c r="F10">
        <v>1</v>
      </c>
      <c r="H10">
        <f t="shared" si="0"/>
        <v>78317</v>
      </c>
      <c r="J10">
        <f t="shared" si="1"/>
        <v>34.962946428571428</v>
      </c>
    </row>
    <row r="11" spans="1:13" x14ac:dyDescent="0.25">
      <c r="A11" t="s">
        <v>25</v>
      </c>
      <c r="B11" t="s">
        <v>67</v>
      </c>
      <c r="F11">
        <v>3</v>
      </c>
      <c r="H11">
        <f t="shared" si="0"/>
        <v>3</v>
      </c>
      <c r="J11">
        <f t="shared" si="1"/>
        <v>1.3392857142857143E-3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E73D-EB93-46FA-9E09-D087A3BAB59B}">
  <dimension ref="A1:O40"/>
  <sheetViews>
    <sheetView workbookViewId="0">
      <selection activeCell="H16" sqref="H16"/>
    </sheetView>
  </sheetViews>
  <sheetFormatPr defaultRowHeight="15" x14ac:dyDescent="0.25"/>
  <cols>
    <col min="2" max="2" width="16.5703125" customWidth="1"/>
    <col min="3" max="4" width="14.28515625" customWidth="1"/>
  </cols>
  <sheetData>
    <row r="1" spans="1:15" x14ac:dyDescent="0.25">
      <c r="A1" s="1" t="s">
        <v>96</v>
      </c>
      <c r="B1" s="1" t="s">
        <v>97</v>
      </c>
      <c r="C1" s="1" t="s">
        <v>99</v>
      </c>
      <c r="D1" s="1" t="s">
        <v>98</v>
      </c>
      <c r="E1" s="1" t="s">
        <v>90</v>
      </c>
      <c r="F1" s="1" t="s">
        <v>91</v>
      </c>
      <c r="G1" s="1" t="s">
        <v>92</v>
      </c>
      <c r="H1" s="1" t="s">
        <v>93</v>
      </c>
      <c r="I1" s="1"/>
      <c r="J1" s="1" t="s">
        <v>1</v>
      </c>
      <c r="K1" s="1"/>
      <c r="L1" s="1" t="s">
        <v>102</v>
      </c>
      <c r="O1" s="1"/>
    </row>
    <row r="2" spans="1:15" x14ac:dyDescent="0.25">
      <c r="A2">
        <v>1700</v>
      </c>
      <c r="B2" t="s">
        <v>26</v>
      </c>
      <c r="C2" t="s">
        <v>103</v>
      </c>
      <c r="D2" t="s">
        <v>8</v>
      </c>
      <c r="H2">
        <v>1152</v>
      </c>
      <c r="J2">
        <f>(E2*2240)+(F2*112)+(G2*28)+H2</f>
        <v>1152</v>
      </c>
      <c r="L2">
        <f>J2/2240</f>
        <v>0.51428571428571423</v>
      </c>
    </row>
    <row r="3" spans="1:15" x14ac:dyDescent="0.25">
      <c r="A3">
        <v>1700</v>
      </c>
      <c r="B3" t="s">
        <v>44</v>
      </c>
      <c r="C3" t="s">
        <v>103</v>
      </c>
      <c r="D3" t="s">
        <v>8</v>
      </c>
      <c r="F3">
        <v>504</v>
      </c>
      <c r="G3">
        <v>2</v>
      </c>
      <c r="H3">
        <v>18</v>
      </c>
      <c r="J3">
        <f t="shared" ref="J3:J11" si="0">(E3*2240)+(F3*112)+(G3*28)+H3</f>
        <v>56522</v>
      </c>
      <c r="L3">
        <f t="shared" ref="L3:L40" si="1">J3/2240</f>
        <v>25.233035714285716</v>
      </c>
    </row>
    <row r="4" spans="1:15" x14ac:dyDescent="0.25">
      <c r="A4">
        <v>1700</v>
      </c>
      <c r="B4" t="s">
        <v>14</v>
      </c>
      <c r="C4" t="s">
        <v>103</v>
      </c>
      <c r="D4" t="s">
        <v>8</v>
      </c>
      <c r="F4">
        <v>2250</v>
      </c>
      <c r="G4">
        <v>1</v>
      </c>
      <c r="H4">
        <v>27</v>
      </c>
      <c r="J4">
        <f t="shared" si="0"/>
        <v>252055</v>
      </c>
      <c r="L4">
        <f t="shared" si="1"/>
        <v>112.52455357142857</v>
      </c>
    </row>
    <row r="5" spans="1:15" x14ac:dyDescent="0.25">
      <c r="A5">
        <v>1700</v>
      </c>
      <c r="B5" t="s">
        <v>15</v>
      </c>
      <c r="C5" t="s">
        <v>103</v>
      </c>
      <c r="D5" t="s">
        <v>8</v>
      </c>
      <c r="F5">
        <v>298</v>
      </c>
      <c r="G5">
        <v>1</v>
      </c>
      <c r="J5">
        <f t="shared" si="0"/>
        <v>33404</v>
      </c>
      <c r="L5">
        <f t="shared" si="1"/>
        <v>14.9125</v>
      </c>
    </row>
    <row r="6" spans="1:15" x14ac:dyDescent="0.25">
      <c r="A6">
        <v>1700</v>
      </c>
      <c r="B6" t="s">
        <v>41</v>
      </c>
      <c r="C6" t="s">
        <v>103</v>
      </c>
      <c r="D6" t="s">
        <v>8</v>
      </c>
      <c r="F6">
        <v>74401</v>
      </c>
      <c r="G6">
        <v>2</v>
      </c>
      <c r="H6">
        <v>26</v>
      </c>
      <c r="J6">
        <f t="shared" si="0"/>
        <v>8332994</v>
      </c>
      <c r="L6">
        <f t="shared" si="1"/>
        <v>3720.0866071428572</v>
      </c>
    </row>
    <row r="7" spans="1:15" x14ac:dyDescent="0.25">
      <c r="A7">
        <v>1700</v>
      </c>
      <c r="B7" t="s">
        <v>16</v>
      </c>
      <c r="C7" t="s">
        <v>103</v>
      </c>
      <c r="D7" t="s">
        <v>8</v>
      </c>
      <c r="F7">
        <v>32</v>
      </c>
      <c r="G7">
        <v>3</v>
      </c>
      <c r="H7">
        <v>14</v>
      </c>
      <c r="J7">
        <f t="shared" si="0"/>
        <v>3682</v>
      </c>
      <c r="L7">
        <f t="shared" si="1"/>
        <v>1.64375</v>
      </c>
    </row>
    <row r="8" spans="1:15" x14ac:dyDescent="0.25">
      <c r="A8">
        <v>1700</v>
      </c>
      <c r="B8" t="s">
        <v>10</v>
      </c>
      <c r="C8" t="s">
        <v>103</v>
      </c>
      <c r="D8" t="s">
        <v>8</v>
      </c>
      <c r="H8">
        <v>178686</v>
      </c>
      <c r="J8">
        <f t="shared" si="0"/>
        <v>178686</v>
      </c>
      <c r="L8">
        <f t="shared" si="1"/>
        <v>79.770535714285714</v>
      </c>
    </row>
    <row r="9" spans="1:15" x14ac:dyDescent="0.25">
      <c r="A9">
        <v>1700</v>
      </c>
      <c r="B9" t="s">
        <v>45</v>
      </c>
      <c r="C9" t="s">
        <v>103</v>
      </c>
      <c r="D9" t="s">
        <v>8</v>
      </c>
      <c r="E9">
        <v>2</v>
      </c>
      <c r="J9">
        <f t="shared" si="0"/>
        <v>4480</v>
      </c>
      <c r="L9">
        <f t="shared" si="1"/>
        <v>2</v>
      </c>
    </row>
    <row r="10" spans="1:15" x14ac:dyDescent="0.25">
      <c r="A10">
        <v>1700</v>
      </c>
      <c r="B10" t="s">
        <v>46</v>
      </c>
      <c r="C10" t="s">
        <v>103</v>
      </c>
      <c r="D10" t="s">
        <v>8</v>
      </c>
      <c r="H10">
        <v>50</v>
      </c>
      <c r="J10">
        <f t="shared" si="0"/>
        <v>50</v>
      </c>
      <c r="L10">
        <f t="shared" si="1"/>
        <v>2.2321428571428572E-2</v>
      </c>
    </row>
    <row r="11" spans="1:15" x14ac:dyDescent="0.25">
      <c r="A11">
        <v>1700</v>
      </c>
      <c r="B11" t="s">
        <v>47</v>
      </c>
      <c r="C11" t="s">
        <v>103</v>
      </c>
      <c r="D11" t="s">
        <v>8</v>
      </c>
      <c r="F11">
        <v>70</v>
      </c>
      <c r="G11">
        <v>0</v>
      </c>
      <c r="H11">
        <v>19</v>
      </c>
      <c r="J11">
        <f t="shared" si="0"/>
        <v>7859</v>
      </c>
      <c r="L11">
        <f t="shared" si="1"/>
        <v>3.5084821428571429</v>
      </c>
    </row>
    <row r="12" spans="1:15" x14ac:dyDescent="0.25">
      <c r="A12">
        <v>1700</v>
      </c>
      <c r="B12" t="s">
        <v>85</v>
      </c>
      <c r="C12" t="s">
        <v>103</v>
      </c>
      <c r="D12" t="s">
        <v>8</v>
      </c>
      <c r="H12">
        <v>563</v>
      </c>
      <c r="J12">
        <f t="shared" ref="J12:J40" si="2">(E12*2240)+(F12*112)+(G12*28)+H12</f>
        <v>563</v>
      </c>
      <c r="L12">
        <f t="shared" si="1"/>
        <v>0.25133928571428571</v>
      </c>
    </row>
    <row r="13" spans="1:15" x14ac:dyDescent="0.25">
      <c r="A13">
        <v>1700</v>
      </c>
      <c r="B13" t="s">
        <v>18</v>
      </c>
      <c r="C13" t="s">
        <v>103</v>
      </c>
      <c r="D13" t="s">
        <v>8</v>
      </c>
      <c r="H13">
        <v>3242</v>
      </c>
      <c r="J13">
        <f t="shared" si="2"/>
        <v>3242</v>
      </c>
      <c r="L13">
        <f t="shared" si="1"/>
        <v>1.4473214285714286</v>
      </c>
    </row>
    <row r="14" spans="1:15" x14ac:dyDescent="0.25">
      <c r="A14">
        <v>1700</v>
      </c>
      <c r="B14" t="s">
        <v>71</v>
      </c>
      <c r="C14" t="s">
        <v>103</v>
      </c>
      <c r="D14" t="s">
        <v>8</v>
      </c>
      <c r="F14">
        <v>4</v>
      </c>
      <c r="G14">
        <v>2</v>
      </c>
      <c r="J14">
        <f t="shared" si="2"/>
        <v>504</v>
      </c>
      <c r="L14">
        <f t="shared" si="1"/>
        <v>0.22500000000000001</v>
      </c>
    </row>
    <row r="15" spans="1:15" x14ac:dyDescent="0.25">
      <c r="A15">
        <v>1700</v>
      </c>
      <c r="B15" t="s">
        <v>32</v>
      </c>
      <c r="C15" t="s">
        <v>103</v>
      </c>
      <c r="D15" t="s">
        <v>8</v>
      </c>
      <c r="H15">
        <v>310</v>
      </c>
      <c r="I15" t="s">
        <v>48</v>
      </c>
      <c r="J15">
        <f t="shared" si="2"/>
        <v>310</v>
      </c>
      <c r="L15">
        <f t="shared" si="1"/>
        <v>0.13839285714285715</v>
      </c>
    </row>
    <row r="16" spans="1:15" x14ac:dyDescent="0.25">
      <c r="A16">
        <v>1700</v>
      </c>
      <c r="B16" t="s">
        <v>11</v>
      </c>
      <c r="C16" t="s">
        <v>103</v>
      </c>
      <c r="D16" t="s">
        <v>8</v>
      </c>
      <c r="H16">
        <f>1268*200</f>
        <v>253600</v>
      </c>
      <c r="I16" t="s">
        <v>49</v>
      </c>
      <c r="J16">
        <f t="shared" si="2"/>
        <v>253600</v>
      </c>
      <c r="L16">
        <f>J16/2240</f>
        <v>113.21428571428571</v>
      </c>
    </row>
    <row r="17" spans="1:12" x14ac:dyDescent="0.25">
      <c r="A17">
        <v>1700</v>
      </c>
      <c r="B17" t="s">
        <v>50</v>
      </c>
      <c r="C17" t="s">
        <v>103</v>
      </c>
      <c r="D17" t="s">
        <v>8</v>
      </c>
      <c r="F17">
        <v>157</v>
      </c>
      <c r="G17">
        <v>1</v>
      </c>
      <c r="J17">
        <f t="shared" si="2"/>
        <v>17612</v>
      </c>
      <c r="L17">
        <f t="shared" si="1"/>
        <v>7.8624999999999998</v>
      </c>
    </row>
    <row r="18" spans="1:12" x14ac:dyDescent="0.25">
      <c r="A18">
        <v>1700</v>
      </c>
      <c r="B18" t="s">
        <v>51</v>
      </c>
      <c r="C18" t="s">
        <v>103</v>
      </c>
      <c r="D18" t="s">
        <v>8</v>
      </c>
      <c r="G18">
        <v>400</v>
      </c>
      <c r="J18">
        <f t="shared" si="2"/>
        <v>11200</v>
      </c>
      <c r="L18">
        <f t="shared" si="1"/>
        <v>5</v>
      </c>
    </row>
    <row r="19" spans="1:12" x14ac:dyDescent="0.25">
      <c r="A19">
        <v>1700</v>
      </c>
      <c r="B19" t="s">
        <v>13</v>
      </c>
      <c r="C19" t="s">
        <v>103</v>
      </c>
      <c r="D19" t="s">
        <v>8</v>
      </c>
      <c r="G19">
        <v>493</v>
      </c>
      <c r="J19">
        <f t="shared" si="2"/>
        <v>13804</v>
      </c>
      <c r="L19">
        <f t="shared" si="1"/>
        <v>6.1624999999999996</v>
      </c>
    </row>
    <row r="20" spans="1:12" x14ac:dyDescent="0.25">
      <c r="A20">
        <v>1700</v>
      </c>
      <c r="B20" t="s">
        <v>83</v>
      </c>
      <c r="C20" t="s">
        <v>103</v>
      </c>
      <c r="D20" t="s">
        <v>8</v>
      </c>
      <c r="F20">
        <v>193</v>
      </c>
      <c r="H20">
        <v>25</v>
      </c>
      <c r="J20">
        <f t="shared" si="2"/>
        <v>21641</v>
      </c>
      <c r="L20">
        <f t="shared" si="1"/>
        <v>9.6611607142857139</v>
      </c>
    </row>
    <row r="21" spans="1:12" x14ac:dyDescent="0.25">
      <c r="A21">
        <v>1700</v>
      </c>
      <c r="B21" t="s">
        <v>21</v>
      </c>
      <c r="C21" t="s">
        <v>103</v>
      </c>
      <c r="D21" t="s">
        <v>8</v>
      </c>
      <c r="H21">
        <v>119351</v>
      </c>
      <c r="I21" t="s">
        <v>52</v>
      </c>
      <c r="J21">
        <f t="shared" si="2"/>
        <v>119351</v>
      </c>
      <c r="L21">
        <f t="shared" si="1"/>
        <v>53.281696428571429</v>
      </c>
    </row>
    <row r="22" spans="1:12" x14ac:dyDescent="0.25">
      <c r="A22">
        <v>1700</v>
      </c>
      <c r="B22" t="s">
        <v>53</v>
      </c>
      <c r="C22" t="s">
        <v>103</v>
      </c>
      <c r="D22" t="s">
        <v>8</v>
      </c>
      <c r="H22">
        <v>109849</v>
      </c>
      <c r="J22">
        <f t="shared" si="2"/>
        <v>109849</v>
      </c>
      <c r="L22">
        <f t="shared" si="1"/>
        <v>49.03973214285714</v>
      </c>
    </row>
    <row r="23" spans="1:12" x14ac:dyDescent="0.25">
      <c r="A23">
        <v>1700</v>
      </c>
      <c r="B23" t="s">
        <v>23</v>
      </c>
      <c r="C23" t="s">
        <v>103</v>
      </c>
      <c r="D23" t="s">
        <v>8</v>
      </c>
      <c r="H23">
        <v>2160.5</v>
      </c>
      <c r="I23" t="s">
        <v>54</v>
      </c>
      <c r="J23">
        <f t="shared" si="2"/>
        <v>2160.5</v>
      </c>
      <c r="L23">
        <f t="shared" si="1"/>
        <v>0.96450892857142856</v>
      </c>
    </row>
    <row r="24" spans="1:12" x14ac:dyDescent="0.25">
      <c r="A24">
        <v>1700</v>
      </c>
      <c r="B24" t="s">
        <v>25</v>
      </c>
      <c r="C24" t="s">
        <v>103</v>
      </c>
      <c r="D24" t="s">
        <v>8</v>
      </c>
      <c r="H24">
        <v>2902</v>
      </c>
      <c r="J24">
        <f t="shared" si="2"/>
        <v>2902</v>
      </c>
      <c r="L24">
        <f t="shared" si="1"/>
        <v>1.2955357142857142</v>
      </c>
    </row>
    <row r="25" spans="1:12" x14ac:dyDescent="0.25">
      <c r="A25">
        <v>1700</v>
      </c>
      <c r="B25" t="s">
        <v>26</v>
      </c>
      <c r="C25" t="s">
        <v>103</v>
      </c>
      <c r="D25" t="s">
        <v>67</v>
      </c>
      <c r="H25">
        <v>125</v>
      </c>
      <c r="J25">
        <f t="shared" si="2"/>
        <v>125</v>
      </c>
      <c r="L25">
        <f t="shared" si="1"/>
        <v>5.5803571428571432E-2</v>
      </c>
    </row>
    <row r="26" spans="1:12" x14ac:dyDescent="0.25">
      <c r="A26">
        <v>1700</v>
      </c>
      <c r="B26" t="s">
        <v>44</v>
      </c>
      <c r="C26" t="s">
        <v>103</v>
      </c>
      <c r="D26" t="s">
        <v>67</v>
      </c>
      <c r="H26">
        <v>4</v>
      </c>
      <c r="J26">
        <f t="shared" si="2"/>
        <v>4</v>
      </c>
      <c r="L26">
        <f t="shared" si="1"/>
        <v>1.7857142857142857E-3</v>
      </c>
    </row>
    <row r="27" spans="1:12" x14ac:dyDescent="0.25">
      <c r="A27">
        <v>1700</v>
      </c>
      <c r="B27" t="s">
        <v>14</v>
      </c>
      <c r="C27" t="s">
        <v>103</v>
      </c>
      <c r="D27" t="s">
        <v>67</v>
      </c>
      <c r="F27">
        <v>726</v>
      </c>
      <c r="G27">
        <v>3</v>
      </c>
      <c r="H27">
        <v>9</v>
      </c>
      <c r="J27">
        <f t="shared" si="2"/>
        <v>81405</v>
      </c>
      <c r="L27">
        <f t="shared" si="1"/>
        <v>36.341517857142854</v>
      </c>
    </row>
    <row r="28" spans="1:12" x14ac:dyDescent="0.25">
      <c r="A28">
        <v>1700</v>
      </c>
      <c r="B28" t="s">
        <v>15</v>
      </c>
      <c r="C28" t="s">
        <v>103</v>
      </c>
      <c r="D28" t="s">
        <v>67</v>
      </c>
      <c r="F28">
        <v>127</v>
      </c>
      <c r="J28">
        <f t="shared" si="2"/>
        <v>14224</v>
      </c>
      <c r="L28">
        <f t="shared" si="1"/>
        <v>6.35</v>
      </c>
    </row>
    <row r="29" spans="1:12" x14ac:dyDescent="0.25">
      <c r="A29">
        <v>1700</v>
      </c>
      <c r="B29" t="s">
        <v>3</v>
      </c>
      <c r="C29" t="s">
        <v>103</v>
      </c>
      <c r="D29" t="s">
        <v>67</v>
      </c>
      <c r="F29">
        <v>19718</v>
      </c>
      <c r="G29">
        <v>3</v>
      </c>
      <c r="H29">
        <v>12</v>
      </c>
      <c r="J29">
        <f t="shared" si="2"/>
        <v>2208512</v>
      </c>
      <c r="L29">
        <f t="shared" si="1"/>
        <v>985.94285714285718</v>
      </c>
    </row>
    <row r="30" spans="1:12" x14ac:dyDescent="0.25">
      <c r="A30">
        <v>1700</v>
      </c>
      <c r="B30" t="s">
        <v>16</v>
      </c>
      <c r="C30" t="s">
        <v>103</v>
      </c>
      <c r="D30" t="s">
        <v>67</v>
      </c>
      <c r="F30">
        <v>20</v>
      </c>
      <c r="G30">
        <v>1</v>
      </c>
      <c r="H30">
        <v>3</v>
      </c>
      <c r="J30">
        <f t="shared" si="2"/>
        <v>2271</v>
      </c>
      <c r="L30">
        <f t="shared" si="1"/>
        <v>1.0138392857142857</v>
      </c>
    </row>
    <row r="31" spans="1:12" x14ac:dyDescent="0.25">
      <c r="A31">
        <v>1700</v>
      </c>
      <c r="B31" t="s">
        <v>10</v>
      </c>
      <c r="C31" t="s">
        <v>103</v>
      </c>
      <c r="D31" t="s">
        <v>67</v>
      </c>
      <c r="H31">
        <v>19470</v>
      </c>
      <c r="J31">
        <f t="shared" si="2"/>
        <v>19470</v>
      </c>
      <c r="L31">
        <f t="shared" si="1"/>
        <v>8.6919642857142865</v>
      </c>
    </row>
    <row r="32" spans="1:12" x14ac:dyDescent="0.25">
      <c r="A32">
        <v>1700</v>
      </c>
      <c r="B32" t="s">
        <v>85</v>
      </c>
      <c r="C32" t="s">
        <v>103</v>
      </c>
      <c r="D32" t="s">
        <v>67</v>
      </c>
      <c r="H32">
        <v>210</v>
      </c>
      <c r="J32">
        <f t="shared" si="2"/>
        <v>210</v>
      </c>
      <c r="L32">
        <f t="shared" si="1"/>
        <v>9.375E-2</v>
      </c>
    </row>
    <row r="33" spans="1:12" x14ac:dyDescent="0.25">
      <c r="A33">
        <v>1700</v>
      </c>
      <c r="B33" t="s">
        <v>18</v>
      </c>
      <c r="C33" t="s">
        <v>103</v>
      </c>
      <c r="D33" t="s">
        <v>67</v>
      </c>
      <c r="H33">
        <v>2475</v>
      </c>
      <c r="J33">
        <f t="shared" si="2"/>
        <v>2475</v>
      </c>
      <c r="L33">
        <f t="shared" si="1"/>
        <v>1.1049107142857142</v>
      </c>
    </row>
    <row r="34" spans="1:12" x14ac:dyDescent="0.25">
      <c r="A34">
        <v>1700</v>
      </c>
      <c r="B34" t="s">
        <v>11</v>
      </c>
      <c r="C34" t="s">
        <v>103</v>
      </c>
      <c r="D34" t="s">
        <v>67</v>
      </c>
      <c r="F34">
        <v>709</v>
      </c>
      <c r="H34">
        <v>25</v>
      </c>
      <c r="J34">
        <f t="shared" si="2"/>
        <v>79433</v>
      </c>
      <c r="L34">
        <f t="shared" si="1"/>
        <v>35.461160714285711</v>
      </c>
    </row>
    <row r="35" spans="1:12" x14ac:dyDescent="0.25">
      <c r="A35">
        <v>1700</v>
      </c>
      <c r="B35" t="s">
        <v>13</v>
      </c>
      <c r="C35" t="s">
        <v>103</v>
      </c>
      <c r="D35" t="s">
        <v>67</v>
      </c>
      <c r="H35">
        <v>19.5</v>
      </c>
      <c r="J35">
        <f t="shared" si="2"/>
        <v>19.5</v>
      </c>
      <c r="L35">
        <f t="shared" si="1"/>
        <v>8.7053571428571432E-3</v>
      </c>
    </row>
    <row r="36" spans="1:12" x14ac:dyDescent="0.25">
      <c r="A36">
        <v>1700</v>
      </c>
      <c r="B36" t="s">
        <v>83</v>
      </c>
      <c r="C36" t="s">
        <v>103</v>
      </c>
      <c r="D36" t="s">
        <v>67</v>
      </c>
      <c r="H36">
        <v>787</v>
      </c>
      <c r="J36">
        <f t="shared" si="2"/>
        <v>787</v>
      </c>
      <c r="L36">
        <f t="shared" si="1"/>
        <v>0.35133928571428569</v>
      </c>
    </row>
    <row r="37" spans="1:12" x14ac:dyDescent="0.25">
      <c r="A37">
        <v>1700</v>
      </c>
      <c r="B37" t="s">
        <v>21</v>
      </c>
      <c r="C37" t="s">
        <v>103</v>
      </c>
      <c r="D37" t="s">
        <v>67</v>
      </c>
      <c r="H37">
        <v>29773</v>
      </c>
      <c r="I37" t="s">
        <v>72</v>
      </c>
      <c r="J37">
        <f t="shared" si="2"/>
        <v>29773</v>
      </c>
      <c r="L37">
        <f t="shared" si="1"/>
        <v>13.291517857142857</v>
      </c>
    </row>
    <row r="38" spans="1:12" x14ac:dyDescent="0.25">
      <c r="A38">
        <v>1700</v>
      </c>
      <c r="B38" t="s">
        <v>53</v>
      </c>
      <c r="C38" t="s">
        <v>103</v>
      </c>
      <c r="D38" t="s">
        <v>67</v>
      </c>
      <c r="H38">
        <v>24825</v>
      </c>
      <c r="J38">
        <f t="shared" si="2"/>
        <v>24825</v>
      </c>
      <c r="L38">
        <f t="shared" si="1"/>
        <v>11.082589285714286</v>
      </c>
    </row>
    <row r="39" spans="1:12" x14ac:dyDescent="0.25">
      <c r="A39">
        <v>1700</v>
      </c>
      <c r="B39" t="s">
        <v>23</v>
      </c>
      <c r="C39" t="s">
        <v>103</v>
      </c>
      <c r="D39" t="s">
        <v>67</v>
      </c>
      <c r="H39">
        <v>680</v>
      </c>
      <c r="I39" t="s">
        <v>73</v>
      </c>
      <c r="J39">
        <f t="shared" si="2"/>
        <v>680</v>
      </c>
      <c r="L39">
        <f t="shared" si="1"/>
        <v>0.30357142857142855</v>
      </c>
    </row>
    <row r="40" spans="1:12" x14ac:dyDescent="0.25">
      <c r="A40">
        <v>1700</v>
      </c>
      <c r="B40" t="s">
        <v>25</v>
      </c>
      <c r="C40" t="s">
        <v>103</v>
      </c>
      <c r="D40" t="s">
        <v>67</v>
      </c>
      <c r="H40">
        <v>616</v>
      </c>
      <c r="J40">
        <f t="shared" si="2"/>
        <v>616</v>
      </c>
      <c r="L40">
        <f t="shared" si="1"/>
        <v>0.27500000000000002</v>
      </c>
    </row>
  </sheetData>
  <autoFilter ref="B1:O48" xr:uid="{732EE73D-EB93-46FA-9E09-D087A3BAB59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6ACE-219E-4D5E-8ABA-9CD714663E59}">
  <dimension ref="A1:O23"/>
  <sheetViews>
    <sheetView workbookViewId="0">
      <selection activeCell="H9" sqref="H9"/>
    </sheetView>
  </sheetViews>
  <sheetFormatPr defaultRowHeight="15" x14ac:dyDescent="0.25"/>
  <cols>
    <col min="2" max="2" width="16.85546875" customWidth="1"/>
    <col min="3" max="3" width="15.42578125" customWidth="1"/>
  </cols>
  <sheetData>
    <row r="1" spans="1:15" x14ac:dyDescent="0.25">
      <c r="A1" s="1" t="s">
        <v>96</v>
      </c>
      <c r="B1" s="1" t="s">
        <v>97</v>
      </c>
      <c r="C1" s="1" t="s">
        <v>99</v>
      </c>
      <c r="D1" s="1" t="s">
        <v>98</v>
      </c>
      <c r="E1" s="1" t="s">
        <v>90</v>
      </c>
      <c r="F1" s="1" t="s">
        <v>91</v>
      </c>
      <c r="G1" s="1" t="s">
        <v>92</v>
      </c>
      <c r="H1" s="1" t="s">
        <v>93</v>
      </c>
      <c r="I1" s="1"/>
      <c r="J1" s="1" t="s">
        <v>1</v>
      </c>
      <c r="K1" s="1"/>
      <c r="L1" s="1" t="s">
        <v>102</v>
      </c>
      <c r="O1" s="1"/>
    </row>
    <row r="2" spans="1:15" x14ac:dyDescent="0.25">
      <c r="A2">
        <v>1700</v>
      </c>
      <c r="B2" t="s">
        <v>27</v>
      </c>
      <c r="C2" t="s">
        <v>105</v>
      </c>
      <c r="D2" t="s">
        <v>8</v>
      </c>
      <c r="F2">
        <v>5</v>
      </c>
      <c r="G2">
        <v>3</v>
      </c>
      <c r="H2">
        <v>27</v>
      </c>
      <c r="J2">
        <f>(E2*2240)+(F2*112)+(G2*28)+H2</f>
        <v>671</v>
      </c>
      <c r="L2">
        <f>J2/2240</f>
        <v>0.29955357142857142</v>
      </c>
    </row>
    <row r="3" spans="1:15" x14ac:dyDescent="0.25">
      <c r="A3">
        <v>1700</v>
      </c>
      <c r="B3" t="s">
        <v>14</v>
      </c>
      <c r="C3" t="s">
        <v>105</v>
      </c>
      <c r="D3" t="s">
        <v>8</v>
      </c>
      <c r="G3">
        <v>3</v>
      </c>
      <c r="H3">
        <v>14</v>
      </c>
      <c r="J3">
        <f t="shared" ref="J3:J8" si="0">(E3*2240)+(F3*112)+(G3*28)+H3</f>
        <v>98</v>
      </c>
      <c r="L3">
        <f t="shared" ref="L3:L23" si="1">J3/2240</f>
        <v>4.3749999999999997E-2</v>
      </c>
    </row>
    <row r="4" spans="1:15" x14ac:dyDescent="0.25">
      <c r="A4">
        <v>1700</v>
      </c>
      <c r="B4" t="s">
        <v>15</v>
      </c>
      <c r="C4" t="s">
        <v>105</v>
      </c>
      <c r="D4" t="s">
        <v>8</v>
      </c>
      <c r="F4">
        <v>197</v>
      </c>
      <c r="G4">
        <v>3</v>
      </c>
      <c r="J4">
        <f t="shared" si="0"/>
        <v>22148</v>
      </c>
      <c r="L4">
        <f t="shared" si="1"/>
        <v>9.8874999999999993</v>
      </c>
    </row>
    <row r="5" spans="1:15" x14ac:dyDescent="0.25">
      <c r="A5">
        <v>1700</v>
      </c>
      <c r="B5" t="s">
        <v>3</v>
      </c>
      <c r="C5" t="s">
        <v>105</v>
      </c>
      <c r="D5" t="s">
        <v>8</v>
      </c>
      <c r="F5">
        <v>23704</v>
      </c>
      <c r="H5">
        <v>22</v>
      </c>
      <c r="J5">
        <f t="shared" si="0"/>
        <v>2654870</v>
      </c>
      <c r="L5">
        <f t="shared" si="1"/>
        <v>1185.2098214285713</v>
      </c>
    </row>
    <row r="6" spans="1:15" x14ac:dyDescent="0.25">
      <c r="A6">
        <v>1700</v>
      </c>
      <c r="B6" t="s">
        <v>10</v>
      </c>
      <c r="C6" t="s">
        <v>105</v>
      </c>
      <c r="D6" t="s">
        <v>8</v>
      </c>
      <c r="H6">
        <v>8537</v>
      </c>
      <c r="J6">
        <f t="shared" si="0"/>
        <v>8537</v>
      </c>
      <c r="L6">
        <f t="shared" si="1"/>
        <v>3.8111607142857142</v>
      </c>
    </row>
    <row r="7" spans="1:15" x14ac:dyDescent="0.25">
      <c r="A7">
        <v>1700</v>
      </c>
      <c r="B7" t="s">
        <v>47</v>
      </c>
      <c r="C7" t="s">
        <v>105</v>
      </c>
      <c r="D7" t="s">
        <v>8</v>
      </c>
      <c r="F7">
        <v>16</v>
      </c>
      <c r="H7">
        <v>14</v>
      </c>
      <c r="J7">
        <f t="shared" si="0"/>
        <v>1806</v>
      </c>
      <c r="L7">
        <f t="shared" si="1"/>
        <v>0.80625000000000002</v>
      </c>
    </row>
    <row r="8" spans="1:15" x14ac:dyDescent="0.25">
      <c r="A8">
        <v>1700</v>
      </c>
      <c r="B8" t="s">
        <v>85</v>
      </c>
      <c r="C8" t="s">
        <v>105</v>
      </c>
      <c r="D8" t="s">
        <v>8</v>
      </c>
      <c r="H8">
        <v>162</v>
      </c>
      <c r="J8">
        <f t="shared" si="0"/>
        <v>162</v>
      </c>
      <c r="L8">
        <f t="shared" si="1"/>
        <v>7.2321428571428578E-2</v>
      </c>
    </row>
    <row r="9" spans="1:15" x14ac:dyDescent="0.25">
      <c r="A9">
        <v>1700</v>
      </c>
      <c r="B9" t="s">
        <v>11</v>
      </c>
      <c r="C9" t="s">
        <v>105</v>
      </c>
      <c r="D9" t="s">
        <v>8</v>
      </c>
      <c r="H9">
        <f>15*200</f>
        <v>3000</v>
      </c>
      <c r="I9" t="s">
        <v>55</v>
      </c>
      <c r="J9">
        <f t="shared" ref="J9:J23" si="2">(E9*2240)+(F9*112)+(G9*28)+H9</f>
        <v>3000</v>
      </c>
      <c r="L9">
        <f t="shared" si="1"/>
        <v>1.3392857142857142</v>
      </c>
    </row>
    <row r="10" spans="1:15" x14ac:dyDescent="0.25">
      <c r="A10">
        <v>1700</v>
      </c>
      <c r="B10" t="s">
        <v>56</v>
      </c>
      <c r="C10" t="s">
        <v>105</v>
      </c>
      <c r="D10" t="s">
        <v>8</v>
      </c>
      <c r="H10">
        <v>4002</v>
      </c>
      <c r="J10">
        <f t="shared" si="2"/>
        <v>4002</v>
      </c>
      <c r="L10">
        <f t="shared" si="1"/>
        <v>1.7866071428571428</v>
      </c>
    </row>
    <row r="11" spans="1:15" x14ac:dyDescent="0.25">
      <c r="A11">
        <v>1700</v>
      </c>
      <c r="B11" t="s">
        <v>21</v>
      </c>
      <c r="C11" t="s">
        <v>105</v>
      </c>
      <c r="D11" t="s">
        <v>8</v>
      </c>
      <c r="H11">
        <v>4191</v>
      </c>
      <c r="I11" t="s">
        <v>57</v>
      </c>
      <c r="J11">
        <f t="shared" si="2"/>
        <v>4191</v>
      </c>
      <c r="L11">
        <f t="shared" si="1"/>
        <v>1.8709821428571429</v>
      </c>
    </row>
    <row r="12" spans="1:15" x14ac:dyDescent="0.25">
      <c r="A12">
        <v>1700</v>
      </c>
      <c r="B12" t="s">
        <v>53</v>
      </c>
      <c r="C12" t="s">
        <v>105</v>
      </c>
      <c r="D12" t="s">
        <v>8</v>
      </c>
      <c r="H12">
        <v>2096</v>
      </c>
      <c r="J12">
        <f t="shared" si="2"/>
        <v>2096</v>
      </c>
      <c r="L12">
        <f t="shared" si="1"/>
        <v>0.93571428571428572</v>
      </c>
    </row>
    <row r="13" spans="1:15" x14ac:dyDescent="0.25">
      <c r="A13">
        <v>1700</v>
      </c>
      <c r="B13" t="s">
        <v>25</v>
      </c>
      <c r="C13" t="s">
        <v>105</v>
      </c>
      <c r="D13" t="s">
        <v>8</v>
      </c>
      <c r="H13">
        <v>10</v>
      </c>
      <c r="J13">
        <f t="shared" si="2"/>
        <v>10</v>
      </c>
      <c r="L13">
        <f t="shared" si="1"/>
        <v>4.464285714285714E-3</v>
      </c>
    </row>
    <row r="14" spans="1:15" x14ac:dyDescent="0.25">
      <c r="A14">
        <v>1700</v>
      </c>
      <c r="B14" t="s">
        <v>14</v>
      </c>
      <c r="C14" t="s">
        <v>105</v>
      </c>
      <c r="D14" t="s">
        <v>67</v>
      </c>
      <c r="F14">
        <v>2</v>
      </c>
      <c r="G14">
        <v>1</v>
      </c>
      <c r="H14">
        <v>5</v>
      </c>
      <c r="J14">
        <f t="shared" si="2"/>
        <v>257</v>
      </c>
      <c r="L14">
        <f t="shared" si="1"/>
        <v>0.11473214285714285</v>
      </c>
    </row>
    <row r="15" spans="1:15" x14ac:dyDescent="0.25">
      <c r="A15">
        <v>1700</v>
      </c>
      <c r="B15" t="s">
        <v>15</v>
      </c>
      <c r="C15" t="s">
        <v>105</v>
      </c>
      <c r="D15" t="s">
        <v>67</v>
      </c>
      <c r="F15">
        <v>24</v>
      </c>
      <c r="G15">
        <v>3</v>
      </c>
      <c r="H15">
        <v>25</v>
      </c>
      <c r="J15">
        <f t="shared" si="2"/>
        <v>2797</v>
      </c>
      <c r="L15">
        <f t="shared" si="1"/>
        <v>1.2486607142857142</v>
      </c>
    </row>
    <row r="16" spans="1:15" x14ac:dyDescent="0.25">
      <c r="A16">
        <v>1700</v>
      </c>
      <c r="B16" t="s">
        <v>3</v>
      </c>
      <c r="C16" t="s">
        <v>105</v>
      </c>
      <c r="D16" t="s">
        <v>67</v>
      </c>
      <c r="F16">
        <v>6022</v>
      </c>
      <c r="H16">
        <v>2</v>
      </c>
      <c r="J16">
        <f t="shared" si="2"/>
        <v>674466</v>
      </c>
      <c r="L16">
        <f t="shared" si="1"/>
        <v>301.10089285714287</v>
      </c>
    </row>
    <row r="17" spans="1:12" x14ac:dyDescent="0.25">
      <c r="A17">
        <v>1700</v>
      </c>
      <c r="B17" t="s">
        <v>16</v>
      </c>
      <c r="C17" t="s">
        <v>105</v>
      </c>
      <c r="D17" t="s">
        <v>67</v>
      </c>
      <c r="G17">
        <v>2</v>
      </c>
      <c r="H17">
        <v>5</v>
      </c>
      <c r="J17">
        <f t="shared" si="2"/>
        <v>61</v>
      </c>
      <c r="L17">
        <f t="shared" si="1"/>
        <v>2.7232142857142858E-2</v>
      </c>
    </row>
    <row r="18" spans="1:12" x14ac:dyDescent="0.25">
      <c r="A18">
        <v>1700</v>
      </c>
      <c r="B18" t="s">
        <v>10</v>
      </c>
      <c r="C18" t="s">
        <v>105</v>
      </c>
      <c r="D18" t="s">
        <v>67</v>
      </c>
      <c r="H18">
        <v>726</v>
      </c>
      <c r="J18">
        <f t="shared" si="2"/>
        <v>726</v>
      </c>
      <c r="L18">
        <f t="shared" si="1"/>
        <v>0.32410714285714287</v>
      </c>
    </row>
    <row r="19" spans="1:12" x14ac:dyDescent="0.25">
      <c r="A19">
        <v>1700</v>
      </c>
      <c r="B19" t="s">
        <v>47</v>
      </c>
      <c r="C19" t="s">
        <v>105</v>
      </c>
      <c r="D19" t="s">
        <v>67</v>
      </c>
      <c r="F19">
        <v>5</v>
      </c>
      <c r="G19">
        <v>3</v>
      </c>
      <c r="H19">
        <v>21</v>
      </c>
      <c r="J19">
        <f t="shared" si="2"/>
        <v>665</v>
      </c>
      <c r="L19">
        <f t="shared" si="1"/>
        <v>0.296875</v>
      </c>
    </row>
    <row r="20" spans="1:12" x14ac:dyDescent="0.25">
      <c r="A20">
        <v>1700</v>
      </c>
      <c r="B20" t="s">
        <v>85</v>
      </c>
      <c r="C20" t="s">
        <v>105</v>
      </c>
      <c r="D20" t="s">
        <v>67</v>
      </c>
      <c r="H20">
        <v>140</v>
      </c>
      <c r="J20">
        <f t="shared" si="2"/>
        <v>140</v>
      </c>
      <c r="L20">
        <f t="shared" si="1"/>
        <v>6.25E-2</v>
      </c>
    </row>
    <row r="21" spans="1:12" x14ac:dyDescent="0.25">
      <c r="A21">
        <v>1700</v>
      </c>
      <c r="B21" t="s">
        <v>11</v>
      </c>
      <c r="C21" t="s">
        <v>105</v>
      </c>
      <c r="D21" t="s">
        <v>67</v>
      </c>
      <c r="F21">
        <v>29</v>
      </c>
      <c r="G21">
        <v>1</v>
      </c>
      <c r="H21">
        <v>26</v>
      </c>
      <c r="J21">
        <f t="shared" si="2"/>
        <v>3302</v>
      </c>
      <c r="L21">
        <f t="shared" si="1"/>
        <v>1.4741071428571428</v>
      </c>
    </row>
    <row r="22" spans="1:12" x14ac:dyDescent="0.25">
      <c r="A22">
        <v>1700</v>
      </c>
      <c r="B22" t="s">
        <v>21</v>
      </c>
      <c r="C22" t="s">
        <v>105</v>
      </c>
      <c r="D22" t="s">
        <v>67</v>
      </c>
      <c r="H22">
        <v>3056</v>
      </c>
      <c r="I22" t="s">
        <v>74</v>
      </c>
      <c r="J22">
        <f t="shared" si="2"/>
        <v>3056</v>
      </c>
      <c r="L22">
        <f t="shared" si="1"/>
        <v>1.3642857142857143</v>
      </c>
    </row>
    <row r="23" spans="1:12" x14ac:dyDescent="0.25">
      <c r="A23">
        <v>1700</v>
      </c>
      <c r="B23" t="s">
        <v>53</v>
      </c>
      <c r="C23" t="s">
        <v>105</v>
      </c>
      <c r="D23" t="s">
        <v>67</v>
      </c>
      <c r="H23">
        <v>1070</v>
      </c>
      <c r="J23">
        <f t="shared" si="2"/>
        <v>1070</v>
      </c>
      <c r="L23">
        <f t="shared" si="1"/>
        <v>0.47767857142857145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2D7C-B912-4D08-A49B-E972BBB96F43}">
  <dimension ref="A1:P21"/>
  <sheetViews>
    <sheetView workbookViewId="0">
      <selection activeCell="H10" sqref="H10"/>
    </sheetView>
  </sheetViews>
  <sheetFormatPr defaultRowHeight="15" x14ac:dyDescent="0.25"/>
  <cols>
    <col min="2" max="2" width="17.5703125" customWidth="1"/>
    <col min="3" max="3" width="19.85546875" customWidth="1"/>
    <col min="4" max="4" width="15.140625" customWidth="1"/>
  </cols>
  <sheetData>
    <row r="1" spans="1:16" x14ac:dyDescent="0.25">
      <c r="A1" s="1" t="s">
        <v>96</v>
      </c>
      <c r="B1" s="1" t="s">
        <v>97</v>
      </c>
      <c r="C1" s="1" t="s">
        <v>99</v>
      </c>
      <c r="D1" s="1" t="s">
        <v>98</v>
      </c>
      <c r="E1" s="1" t="s">
        <v>90</v>
      </c>
      <c r="F1" s="1" t="s">
        <v>91</v>
      </c>
      <c r="G1" s="1" t="s">
        <v>92</v>
      </c>
      <c r="H1" s="1" t="s">
        <v>93</v>
      </c>
      <c r="I1" s="1"/>
      <c r="J1" s="1" t="s">
        <v>1</v>
      </c>
      <c r="K1" s="1"/>
      <c r="L1" s="1" t="s">
        <v>102</v>
      </c>
      <c r="N1" t="s">
        <v>76</v>
      </c>
      <c r="P1" t="s">
        <v>77</v>
      </c>
    </row>
    <row r="2" spans="1:16" x14ac:dyDescent="0.25">
      <c r="A2">
        <v>1700</v>
      </c>
      <c r="B2" t="s">
        <v>44</v>
      </c>
      <c r="C2" t="s">
        <v>106</v>
      </c>
      <c r="D2" t="s">
        <v>8</v>
      </c>
      <c r="F2">
        <v>23</v>
      </c>
      <c r="G2">
        <v>1</v>
      </c>
      <c r="H2">
        <v>10</v>
      </c>
      <c r="J2">
        <f>(E2*2240)+(F2*112)+(G2*28)+(H2/16)</f>
        <v>2604.625</v>
      </c>
      <c r="L2">
        <f>J2/2240</f>
        <v>1.1627790178571429</v>
      </c>
      <c r="N2">
        <f>L2+L5+L6+L7+L8+L10+L11+L13+L17+L18+L19+L20</f>
        <v>14.224748883928571</v>
      </c>
      <c r="P2">
        <f>L3+L4+L14+L15+L16</f>
        <v>3198.7264229910711</v>
      </c>
    </row>
    <row r="3" spans="1:16" x14ac:dyDescent="0.25">
      <c r="A3">
        <v>1700</v>
      </c>
      <c r="B3" t="s">
        <v>15</v>
      </c>
      <c r="C3" t="s">
        <v>106</v>
      </c>
      <c r="D3" t="s">
        <v>8</v>
      </c>
      <c r="F3">
        <v>1418</v>
      </c>
      <c r="G3">
        <v>3</v>
      </c>
      <c r="J3">
        <f t="shared" ref="J3:J7" si="0">(E3*2240)+(F3*112)+(G3*28)+(H3/16)</f>
        <v>158900</v>
      </c>
      <c r="L3">
        <f t="shared" ref="L3:L10" si="1">J3/2240</f>
        <v>70.9375</v>
      </c>
    </row>
    <row r="4" spans="1:16" x14ac:dyDescent="0.25">
      <c r="A4">
        <v>1700</v>
      </c>
      <c r="B4" t="s">
        <v>3</v>
      </c>
      <c r="C4" t="s">
        <v>106</v>
      </c>
      <c r="D4" t="s">
        <v>8</v>
      </c>
      <c r="F4">
        <v>47105</v>
      </c>
      <c r="H4">
        <v>20</v>
      </c>
      <c r="J4">
        <f t="shared" si="0"/>
        <v>5275761.25</v>
      </c>
      <c r="L4">
        <f t="shared" si="1"/>
        <v>2355.2505580357142</v>
      </c>
    </row>
    <row r="5" spans="1:16" x14ac:dyDescent="0.25">
      <c r="A5">
        <v>1700</v>
      </c>
      <c r="B5" t="s">
        <v>10</v>
      </c>
      <c r="C5" t="s">
        <v>106</v>
      </c>
      <c r="D5" t="s">
        <v>8</v>
      </c>
      <c r="H5">
        <v>149</v>
      </c>
      <c r="J5">
        <f t="shared" si="0"/>
        <v>9.3125</v>
      </c>
      <c r="L5">
        <f t="shared" si="1"/>
        <v>4.1573660714285714E-3</v>
      </c>
    </row>
    <row r="6" spans="1:16" x14ac:dyDescent="0.25">
      <c r="A6">
        <v>1700</v>
      </c>
      <c r="B6" t="s">
        <v>47</v>
      </c>
      <c r="C6" t="s">
        <v>106</v>
      </c>
      <c r="D6" t="s">
        <v>8</v>
      </c>
      <c r="F6">
        <v>8</v>
      </c>
      <c r="G6">
        <v>3</v>
      </c>
      <c r="J6">
        <f t="shared" si="0"/>
        <v>980</v>
      </c>
      <c r="L6">
        <f t="shared" si="1"/>
        <v>0.4375</v>
      </c>
    </row>
    <row r="7" spans="1:16" x14ac:dyDescent="0.25">
      <c r="A7">
        <v>1700</v>
      </c>
      <c r="B7" t="s">
        <v>85</v>
      </c>
      <c r="C7" t="s">
        <v>106</v>
      </c>
      <c r="D7" t="s">
        <v>8</v>
      </c>
      <c r="H7">
        <v>128</v>
      </c>
      <c r="J7">
        <f t="shared" si="0"/>
        <v>8</v>
      </c>
      <c r="L7">
        <f t="shared" si="1"/>
        <v>3.5714285714285713E-3</v>
      </c>
    </row>
    <row r="8" spans="1:16" x14ac:dyDescent="0.25">
      <c r="A8">
        <v>1700</v>
      </c>
      <c r="B8" t="s">
        <v>18</v>
      </c>
      <c r="C8" t="s">
        <v>106</v>
      </c>
      <c r="D8" t="s">
        <v>8</v>
      </c>
      <c r="H8">
        <v>1068</v>
      </c>
      <c r="J8">
        <f t="shared" ref="J8:J21" si="2">(E8*2240)+(F8*112)+(G8*28)+(H8/16)</f>
        <v>66.75</v>
      </c>
      <c r="L8">
        <f t="shared" si="1"/>
        <v>2.9799107142857145E-2</v>
      </c>
    </row>
    <row r="9" spans="1:16" x14ac:dyDescent="0.25">
      <c r="A9">
        <v>1700</v>
      </c>
      <c r="B9" t="s">
        <v>11</v>
      </c>
      <c r="C9" t="s">
        <v>106</v>
      </c>
      <c r="D9" t="s">
        <v>8</v>
      </c>
      <c r="H9">
        <f>21*200</f>
        <v>4200</v>
      </c>
      <c r="I9" t="s">
        <v>58</v>
      </c>
      <c r="J9">
        <f t="shared" si="2"/>
        <v>262.5</v>
      </c>
      <c r="L9">
        <f t="shared" si="1"/>
        <v>0.1171875</v>
      </c>
    </row>
    <row r="10" spans="1:16" x14ac:dyDescent="0.25">
      <c r="A10">
        <v>1700</v>
      </c>
      <c r="B10" t="s">
        <v>83</v>
      </c>
      <c r="C10" t="s">
        <v>106</v>
      </c>
      <c r="D10" t="s">
        <v>8</v>
      </c>
      <c r="F10">
        <v>3</v>
      </c>
      <c r="G10">
        <v>2</v>
      </c>
      <c r="J10">
        <f t="shared" si="2"/>
        <v>392</v>
      </c>
      <c r="L10">
        <f t="shared" si="1"/>
        <v>0.17499999999999999</v>
      </c>
    </row>
    <row r="11" spans="1:16" x14ac:dyDescent="0.25">
      <c r="A11">
        <v>1700</v>
      </c>
      <c r="B11" t="s">
        <v>13</v>
      </c>
      <c r="C11" t="s">
        <v>106</v>
      </c>
      <c r="D11" t="s">
        <v>8</v>
      </c>
      <c r="H11">
        <v>22</v>
      </c>
      <c r="J11">
        <f t="shared" si="2"/>
        <v>1.375</v>
      </c>
      <c r="L11">
        <f>J11/2240</f>
        <v>6.138392857142857E-4</v>
      </c>
    </row>
    <row r="12" spans="1:16" x14ac:dyDescent="0.25">
      <c r="A12">
        <v>1700</v>
      </c>
      <c r="B12" t="s">
        <v>21</v>
      </c>
      <c r="C12" t="s">
        <v>106</v>
      </c>
      <c r="D12" t="s">
        <v>8</v>
      </c>
      <c r="H12">
        <v>3141</v>
      </c>
      <c r="I12" t="s">
        <v>59</v>
      </c>
      <c r="J12">
        <f t="shared" si="2"/>
        <v>196.3125</v>
      </c>
      <c r="L12">
        <f>J12/2240</f>
        <v>8.7639508928571433E-2</v>
      </c>
    </row>
    <row r="13" spans="1:16" x14ac:dyDescent="0.25">
      <c r="A13">
        <v>1700</v>
      </c>
      <c r="B13" t="s">
        <v>44</v>
      </c>
      <c r="C13" t="s">
        <v>106</v>
      </c>
      <c r="D13" t="s">
        <v>67</v>
      </c>
      <c r="H13">
        <v>2</v>
      </c>
      <c r="J13">
        <f t="shared" si="2"/>
        <v>0.125</v>
      </c>
      <c r="L13">
        <f t="shared" ref="L13:L20" si="3">J13/2240</f>
        <v>5.5803571428571427E-5</v>
      </c>
    </row>
    <row r="14" spans="1:16" x14ac:dyDescent="0.25">
      <c r="A14">
        <v>1700</v>
      </c>
      <c r="B14" t="s">
        <v>15</v>
      </c>
      <c r="C14" t="s">
        <v>106</v>
      </c>
      <c r="D14" t="s">
        <v>67</v>
      </c>
      <c r="F14">
        <v>690</v>
      </c>
      <c r="G14">
        <v>2</v>
      </c>
      <c r="H14">
        <v>10</v>
      </c>
      <c r="J14">
        <f t="shared" si="2"/>
        <v>77336.625</v>
      </c>
      <c r="L14">
        <f t="shared" si="3"/>
        <v>34.525279017857144</v>
      </c>
    </row>
    <row r="15" spans="1:16" x14ac:dyDescent="0.25">
      <c r="A15">
        <v>1700</v>
      </c>
      <c r="B15" t="s">
        <v>3</v>
      </c>
      <c r="C15" t="s">
        <v>106</v>
      </c>
      <c r="D15" t="s">
        <v>67</v>
      </c>
      <c r="F15">
        <v>14760</v>
      </c>
      <c r="H15">
        <v>5</v>
      </c>
      <c r="J15">
        <f t="shared" si="2"/>
        <v>1653120.3125</v>
      </c>
      <c r="L15">
        <f t="shared" si="3"/>
        <v>738.00013950892856</v>
      </c>
    </row>
    <row r="16" spans="1:16" x14ac:dyDescent="0.25">
      <c r="A16">
        <v>1700</v>
      </c>
      <c r="B16" t="s">
        <v>16</v>
      </c>
      <c r="C16" t="s">
        <v>106</v>
      </c>
      <c r="D16" t="s">
        <v>67</v>
      </c>
      <c r="G16">
        <v>1</v>
      </c>
      <c r="H16">
        <v>16</v>
      </c>
      <c r="J16">
        <f t="shared" si="2"/>
        <v>29</v>
      </c>
      <c r="L16">
        <f t="shared" si="3"/>
        <v>1.2946428571428572E-2</v>
      </c>
    </row>
    <row r="17" spans="1:12" x14ac:dyDescent="0.25">
      <c r="A17">
        <v>1700</v>
      </c>
      <c r="B17" t="s">
        <v>10</v>
      </c>
      <c r="C17" t="s">
        <v>106</v>
      </c>
      <c r="D17" t="s">
        <v>67</v>
      </c>
      <c r="H17">
        <v>359</v>
      </c>
      <c r="J17">
        <f t="shared" si="2"/>
        <v>22.4375</v>
      </c>
      <c r="L17">
        <f t="shared" si="3"/>
        <v>1.0016741071428572E-2</v>
      </c>
    </row>
    <row r="18" spans="1:12" x14ac:dyDescent="0.25">
      <c r="A18">
        <v>1700</v>
      </c>
      <c r="B18" t="s">
        <v>47</v>
      </c>
      <c r="C18" t="s">
        <v>106</v>
      </c>
      <c r="D18" t="s">
        <v>67</v>
      </c>
      <c r="F18">
        <v>31</v>
      </c>
      <c r="G18">
        <v>3</v>
      </c>
      <c r="H18">
        <v>8</v>
      </c>
      <c r="J18">
        <f t="shared" si="2"/>
        <v>3556.5</v>
      </c>
      <c r="L18">
        <f t="shared" si="3"/>
        <v>1.5877232142857143</v>
      </c>
    </row>
    <row r="19" spans="1:12" x14ac:dyDescent="0.25">
      <c r="A19">
        <v>1700</v>
      </c>
      <c r="B19" t="s">
        <v>85</v>
      </c>
      <c r="C19" t="s">
        <v>106</v>
      </c>
      <c r="D19" t="s">
        <v>67</v>
      </c>
      <c r="H19">
        <v>33</v>
      </c>
      <c r="J19">
        <f t="shared" si="2"/>
        <v>2.0625</v>
      </c>
      <c r="L19">
        <f t="shared" si="3"/>
        <v>9.2075892857142855E-4</v>
      </c>
    </row>
    <row r="20" spans="1:12" x14ac:dyDescent="0.25">
      <c r="A20">
        <v>1700</v>
      </c>
      <c r="B20" t="s">
        <v>11</v>
      </c>
      <c r="C20" t="s">
        <v>106</v>
      </c>
      <c r="D20" t="s">
        <v>67</v>
      </c>
      <c r="F20">
        <v>216</v>
      </c>
      <c r="G20">
        <v>1</v>
      </c>
      <c r="H20">
        <v>4</v>
      </c>
      <c r="J20">
        <f t="shared" si="2"/>
        <v>24220.25</v>
      </c>
      <c r="L20">
        <f t="shared" si="3"/>
        <v>10.812611607142857</v>
      </c>
    </row>
    <row r="21" spans="1:12" x14ac:dyDescent="0.25">
      <c r="A21">
        <v>1700</v>
      </c>
      <c r="B21" t="s">
        <v>21</v>
      </c>
      <c r="C21" t="s">
        <v>106</v>
      </c>
      <c r="D21" t="s">
        <v>67</v>
      </c>
      <c r="H21">
        <v>1090</v>
      </c>
      <c r="I21" t="s">
        <v>75</v>
      </c>
      <c r="J21">
        <f t="shared" si="2"/>
        <v>68.125</v>
      </c>
      <c r="L21">
        <f>J21/2240</f>
        <v>3.0412946428571428E-2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6F84-1084-4D47-BB09-F5A6944D99C8}">
  <dimension ref="A1:P27"/>
  <sheetViews>
    <sheetView workbookViewId="0">
      <selection activeCell="H18" sqref="H18"/>
    </sheetView>
  </sheetViews>
  <sheetFormatPr defaultRowHeight="15" x14ac:dyDescent="0.25"/>
  <cols>
    <col min="2" max="2" width="18.5703125" customWidth="1"/>
    <col min="3" max="3" width="15" customWidth="1"/>
  </cols>
  <sheetData>
    <row r="1" spans="1:16" x14ac:dyDescent="0.25">
      <c r="A1" s="1" t="s">
        <v>96</v>
      </c>
      <c r="B1" s="1" t="s">
        <v>97</v>
      </c>
      <c r="C1" s="1" t="s">
        <v>99</v>
      </c>
      <c r="D1" s="1" t="s">
        <v>98</v>
      </c>
      <c r="E1" s="1" t="s">
        <v>90</v>
      </c>
      <c r="F1" s="1" t="s">
        <v>91</v>
      </c>
      <c r="G1" s="1" t="s">
        <v>92</v>
      </c>
      <c r="H1" s="1" t="s">
        <v>93</v>
      </c>
      <c r="I1" s="1"/>
      <c r="J1" s="1" t="s">
        <v>1</v>
      </c>
      <c r="K1" s="1"/>
      <c r="L1" s="1" t="s">
        <v>102</v>
      </c>
      <c r="N1" t="s">
        <v>76</v>
      </c>
      <c r="P1" t="s">
        <v>77</v>
      </c>
    </row>
    <row r="2" spans="1:16" x14ac:dyDescent="0.25">
      <c r="A2">
        <v>1700</v>
      </c>
      <c r="B2" t="s">
        <v>60</v>
      </c>
      <c r="C2" t="s">
        <v>107</v>
      </c>
      <c r="D2" t="s">
        <v>8</v>
      </c>
      <c r="H2">
        <v>135</v>
      </c>
      <c r="J2">
        <f>(E2*2240)+(F2*112)+(G2*28)+H2</f>
        <v>135</v>
      </c>
      <c r="L2">
        <f>J2/2240</f>
        <v>6.0267857142857144E-2</v>
      </c>
      <c r="N2">
        <f>L2+L3+L4+L6+L9+L10+L11+L12+L13+L16+L18+L19+L20+L21+L22+L23+L25+L26+L27</f>
        <v>15.638392857142856</v>
      </c>
      <c r="P2">
        <f>L5+L7+L24</f>
        <v>740.35</v>
      </c>
    </row>
    <row r="3" spans="1:16" x14ac:dyDescent="0.25">
      <c r="A3">
        <v>1700</v>
      </c>
      <c r="B3" t="s">
        <v>44</v>
      </c>
      <c r="C3" t="s">
        <v>107</v>
      </c>
      <c r="D3" t="s">
        <v>8</v>
      </c>
      <c r="F3">
        <v>8</v>
      </c>
      <c r="G3">
        <v>2</v>
      </c>
      <c r="H3">
        <v>18</v>
      </c>
      <c r="J3">
        <f t="shared" ref="J3:J8" si="0">(E3*2240)+(F3*112)+(G3*28)+H3</f>
        <v>970</v>
      </c>
      <c r="L3">
        <f t="shared" ref="L3:L27" si="1">J3/2240</f>
        <v>0.4330357142857143</v>
      </c>
    </row>
    <row r="4" spans="1:16" x14ac:dyDescent="0.25">
      <c r="A4">
        <v>1700</v>
      </c>
      <c r="B4" t="s">
        <v>14</v>
      </c>
      <c r="C4" t="s">
        <v>107</v>
      </c>
      <c r="D4" t="s">
        <v>8</v>
      </c>
      <c r="F4">
        <v>21</v>
      </c>
      <c r="G4">
        <v>2</v>
      </c>
      <c r="J4">
        <f t="shared" si="0"/>
        <v>2408</v>
      </c>
      <c r="L4">
        <f t="shared" si="1"/>
        <v>1.075</v>
      </c>
    </row>
    <row r="5" spans="1:16" x14ac:dyDescent="0.25">
      <c r="A5">
        <v>1700</v>
      </c>
      <c r="B5" t="s">
        <v>15</v>
      </c>
      <c r="C5" t="s">
        <v>107</v>
      </c>
      <c r="D5" t="s">
        <v>8</v>
      </c>
      <c r="F5">
        <v>7703</v>
      </c>
      <c r="G5">
        <v>3</v>
      </c>
      <c r="H5">
        <v>14</v>
      </c>
      <c r="J5">
        <f t="shared" si="0"/>
        <v>862834</v>
      </c>
      <c r="L5">
        <f t="shared" si="1"/>
        <v>385.19375000000002</v>
      </c>
    </row>
    <row r="6" spans="1:16" x14ac:dyDescent="0.25">
      <c r="A6">
        <v>1700</v>
      </c>
      <c r="B6" t="s">
        <v>28</v>
      </c>
      <c r="C6" t="s">
        <v>107</v>
      </c>
      <c r="D6" t="s">
        <v>8</v>
      </c>
      <c r="F6">
        <v>25</v>
      </c>
      <c r="G6">
        <v>2</v>
      </c>
      <c r="H6">
        <v>5</v>
      </c>
      <c r="J6">
        <f t="shared" si="0"/>
        <v>2861</v>
      </c>
      <c r="L6">
        <f t="shared" si="1"/>
        <v>1.2772321428571429</v>
      </c>
    </row>
    <row r="7" spans="1:16" x14ac:dyDescent="0.25">
      <c r="A7">
        <v>1700</v>
      </c>
      <c r="B7" t="s">
        <v>3</v>
      </c>
      <c r="C7" t="s">
        <v>107</v>
      </c>
      <c r="D7" t="s">
        <v>8</v>
      </c>
      <c r="F7">
        <v>7066</v>
      </c>
      <c r="G7">
        <v>2</v>
      </c>
      <c r="H7">
        <v>10</v>
      </c>
      <c r="J7">
        <f t="shared" si="0"/>
        <v>791458</v>
      </c>
      <c r="L7">
        <f t="shared" si="1"/>
        <v>353.32946428571427</v>
      </c>
    </row>
    <row r="8" spans="1:16" x14ac:dyDescent="0.25">
      <c r="A8">
        <v>1700</v>
      </c>
      <c r="B8" t="s">
        <v>29</v>
      </c>
      <c r="C8" t="s">
        <v>107</v>
      </c>
      <c r="D8" t="s">
        <v>8</v>
      </c>
      <c r="H8">
        <v>4</v>
      </c>
      <c r="J8">
        <f t="shared" si="0"/>
        <v>4</v>
      </c>
      <c r="L8">
        <f t="shared" si="1"/>
        <v>1.7857142857142857E-3</v>
      </c>
    </row>
    <row r="9" spans="1:16" x14ac:dyDescent="0.25">
      <c r="A9">
        <v>1700</v>
      </c>
      <c r="B9" t="s">
        <v>10</v>
      </c>
      <c r="C9" t="s">
        <v>107</v>
      </c>
      <c r="D9" t="s">
        <v>8</v>
      </c>
      <c r="H9">
        <v>454</v>
      </c>
      <c r="J9">
        <f t="shared" ref="J9:J27" si="2">(E9*2240)+(F9*112)+(G9*28)+H9</f>
        <v>454</v>
      </c>
      <c r="L9">
        <f t="shared" si="1"/>
        <v>0.20267857142857143</v>
      </c>
    </row>
    <row r="10" spans="1:16" x14ac:dyDescent="0.25">
      <c r="A10">
        <v>1700</v>
      </c>
      <c r="B10" t="s">
        <v>47</v>
      </c>
      <c r="C10" t="s">
        <v>107</v>
      </c>
      <c r="D10" t="s">
        <v>8</v>
      </c>
      <c r="F10">
        <v>27</v>
      </c>
      <c r="G10">
        <v>2</v>
      </c>
      <c r="H10">
        <v>14</v>
      </c>
      <c r="J10">
        <f t="shared" si="2"/>
        <v>3094</v>
      </c>
      <c r="L10">
        <f t="shared" si="1"/>
        <v>1.3812500000000001</v>
      </c>
    </row>
    <row r="11" spans="1:16" x14ac:dyDescent="0.25">
      <c r="A11">
        <v>1700</v>
      </c>
      <c r="B11" t="s">
        <v>61</v>
      </c>
      <c r="C11" t="s">
        <v>107</v>
      </c>
      <c r="D11" t="s">
        <v>8</v>
      </c>
      <c r="H11">
        <v>60</v>
      </c>
      <c r="J11">
        <f t="shared" si="2"/>
        <v>60</v>
      </c>
      <c r="L11">
        <f t="shared" si="1"/>
        <v>2.6785714285714284E-2</v>
      </c>
    </row>
    <row r="12" spans="1:16" x14ac:dyDescent="0.25">
      <c r="A12">
        <v>1700</v>
      </c>
      <c r="B12" t="s">
        <v>85</v>
      </c>
      <c r="C12" t="s">
        <v>107</v>
      </c>
      <c r="D12" t="s">
        <v>8</v>
      </c>
      <c r="H12">
        <v>7</v>
      </c>
      <c r="J12">
        <f t="shared" si="2"/>
        <v>7</v>
      </c>
      <c r="L12">
        <f t="shared" si="1"/>
        <v>3.1250000000000002E-3</v>
      </c>
    </row>
    <row r="13" spans="1:16" x14ac:dyDescent="0.25">
      <c r="A13">
        <v>1700</v>
      </c>
      <c r="B13" t="s">
        <v>18</v>
      </c>
      <c r="C13" t="s">
        <v>107</v>
      </c>
      <c r="D13" t="s">
        <v>8</v>
      </c>
      <c r="H13">
        <v>15991</v>
      </c>
      <c r="J13">
        <f t="shared" si="2"/>
        <v>15991</v>
      </c>
      <c r="L13">
        <f t="shared" si="1"/>
        <v>7.1388392857142859</v>
      </c>
    </row>
    <row r="14" spans="1:16" x14ac:dyDescent="0.25">
      <c r="A14">
        <v>1700</v>
      </c>
      <c r="B14" t="s">
        <v>32</v>
      </c>
      <c r="C14" t="s">
        <v>107</v>
      </c>
      <c r="D14" t="s">
        <v>8</v>
      </c>
      <c r="H14">
        <v>510</v>
      </c>
      <c r="I14" t="s">
        <v>62</v>
      </c>
      <c r="J14">
        <f t="shared" si="2"/>
        <v>510</v>
      </c>
      <c r="L14">
        <f t="shared" si="1"/>
        <v>0.22767857142857142</v>
      </c>
    </row>
    <row r="15" spans="1:16" x14ac:dyDescent="0.25">
      <c r="A15">
        <v>1700</v>
      </c>
      <c r="B15" t="s">
        <v>11</v>
      </c>
      <c r="C15" t="s">
        <v>107</v>
      </c>
      <c r="D15" t="s">
        <v>8</v>
      </c>
      <c r="H15">
        <v>170</v>
      </c>
      <c r="I15" t="s">
        <v>63</v>
      </c>
      <c r="J15">
        <f t="shared" si="2"/>
        <v>170</v>
      </c>
      <c r="L15">
        <f t="shared" si="1"/>
        <v>7.5892857142857137E-2</v>
      </c>
    </row>
    <row r="16" spans="1:16" x14ac:dyDescent="0.25">
      <c r="A16">
        <v>1700</v>
      </c>
      <c r="B16" t="s">
        <v>42</v>
      </c>
      <c r="C16" t="s">
        <v>107</v>
      </c>
      <c r="D16" t="s">
        <v>8</v>
      </c>
      <c r="F16">
        <v>2</v>
      </c>
      <c r="G16">
        <v>2</v>
      </c>
      <c r="H16">
        <v>15</v>
      </c>
      <c r="J16">
        <f t="shared" si="2"/>
        <v>295</v>
      </c>
      <c r="L16">
        <f t="shared" si="1"/>
        <v>0.13169642857142858</v>
      </c>
    </row>
    <row r="17" spans="1:12" x14ac:dyDescent="0.25">
      <c r="A17">
        <v>1700</v>
      </c>
      <c r="B17" t="s">
        <v>12</v>
      </c>
      <c r="C17" t="s">
        <v>107</v>
      </c>
      <c r="D17" t="s">
        <v>8</v>
      </c>
      <c r="H17">
        <v>30</v>
      </c>
      <c r="I17" t="s">
        <v>64</v>
      </c>
      <c r="J17">
        <f t="shared" si="2"/>
        <v>30</v>
      </c>
      <c r="L17">
        <f t="shared" si="1"/>
        <v>1.3392857142857142E-2</v>
      </c>
    </row>
    <row r="18" spans="1:12" x14ac:dyDescent="0.25">
      <c r="A18">
        <v>1700</v>
      </c>
      <c r="B18" t="s">
        <v>13</v>
      </c>
      <c r="C18" t="s">
        <v>107</v>
      </c>
      <c r="D18" t="s">
        <v>8</v>
      </c>
      <c r="H18">
        <v>1</v>
      </c>
      <c r="J18">
        <f t="shared" si="2"/>
        <v>1</v>
      </c>
      <c r="L18">
        <f t="shared" si="1"/>
        <v>4.4642857142857141E-4</v>
      </c>
    </row>
    <row r="19" spans="1:12" x14ac:dyDescent="0.25">
      <c r="A19">
        <v>1700</v>
      </c>
      <c r="B19" t="s">
        <v>83</v>
      </c>
      <c r="C19" t="s">
        <v>107</v>
      </c>
      <c r="D19" t="s">
        <v>8</v>
      </c>
      <c r="F19">
        <v>1</v>
      </c>
      <c r="G19">
        <v>3</v>
      </c>
      <c r="H19">
        <v>23</v>
      </c>
      <c r="J19">
        <f t="shared" si="2"/>
        <v>219</v>
      </c>
      <c r="L19">
        <f t="shared" si="1"/>
        <v>9.7767857142857142E-2</v>
      </c>
    </row>
    <row r="20" spans="1:12" x14ac:dyDescent="0.25">
      <c r="A20">
        <v>1700</v>
      </c>
      <c r="B20" t="s">
        <v>65</v>
      </c>
      <c r="C20" t="s">
        <v>107</v>
      </c>
      <c r="D20" t="s">
        <v>8</v>
      </c>
      <c r="H20">
        <v>108</v>
      </c>
      <c r="J20">
        <f t="shared" si="2"/>
        <v>108</v>
      </c>
      <c r="L20">
        <f t="shared" si="1"/>
        <v>4.8214285714285716E-2</v>
      </c>
    </row>
    <row r="21" spans="1:12" x14ac:dyDescent="0.25">
      <c r="A21">
        <v>1700</v>
      </c>
      <c r="B21" t="s">
        <v>53</v>
      </c>
      <c r="C21" t="s">
        <v>107</v>
      </c>
      <c r="D21" t="s">
        <v>8</v>
      </c>
      <c r="H21">
        <v>413</v>
      </c>
      <c r="J21">
        <f t="shared" si="2"/>
        <v>413</v>
      </c>
      <c r="L21">
        <f t="shared" si="1"/>
        <v>0.18437500000000001</v>
      </c>
    </row>
    <row r="22" spans="1:12" x14ac:dyDescent="0.25">
      <c r="A22">
        <v>1700</v>
      </c>
      <c r="B22" t="s">
        <v>66</v>
      </c>
      <c r="C22" t="s">
        <v>107</v>
      </c>
      <c r="D22" t="s">
        <v>8</v>
      </c>
      <c r="H22">
        <v>100</v>
      </c>
      <c r="J22">
        <f t="shared" si="2"/>
        <v>100</v>
      </c>
      <c r="L22">
        <f t="shared" si="1"/>
        <v>4.4642857142857144E-2</v>
      </c>
    </row>
    <row r="23" spans="1:12" x14ac:dyDescent="0.25">
      <c r="A23">
        <v>1700</v>
      </c>
      <c r="B23" t="s">
        <v>10</v>
      </c>
      <c r="C23" t="s">
        <v>107</v>
      </c>
      <c r="D23" t="s">
        <v>67</v>
      </c>
      <c r="H23">
        <v>262</v>
      </c>
      <c r="J23">
        <f t="shared" si="2"/>
        <v>262</v>
      </c>
      <c r="L23">
        <f t="shared" si="1"/>
        <v>0.11696428571428572</v>
      </c>
    </row>
    <row r="24" spans="1:12" x14ac:dyDescent="0.25">
      <c r="A24">
        <v>1700</v>
      </c>
      <c r="B24" t="s">
        <v>3</v>
      </c>
      <c r="C24" t="s">
        <v>107</v>
      </c>
      <c r="D24" t="s">
        <v>67</v>
      </c>
      <c r="F24">
        <v>36</v>
      </c>
      <c r="G24">
        <v>2</v>
      </c>
      <c r="H24">
        <v>4</v>
      </c>
      <c r="J24">
        <f t="shared" si="2"/>
        <v>4092</v>
      </c>
      <c r="L24">
        <f t="shared" si="1"/>
        <v>1.8267857142857142</v>
      </c>
    </row>
    <row r="25" spans="1:12" x14ac:dyDescent="0.25">
      <c r="A25">
        <v>1700</v>
      </c>
      <c r="B25" t="s">
        <v>18</v>
      </c>
      <c r="C25" t="s">
        <v>107</v>
      </c>
      <c r="D25" t="s">
        <v>67</v>
      </c>
      <c r="H25">
        <v>7379</v>
      </c>
      <c r="J25">
        <f t="shared" si="2"/>
        <v>7379</v>
      </c>
      <c r="L25">
        <f t="shared" si="1"/>
        <v>3.2941964285714285</v>
      </c>
    </row>
    <row r="26" spans="1:12" x14ac:dyDescent="0.25">
      <c r="A26">
        <v>1700</v>
      </c>
      <c r="B26" t="s">
        <v>42</v>
      </c>
      <c r="C26" t="s">
        <v>107</v>
      </c>
      <c r="D26" t="s">
        <v>67</v>
      </c>
      <c r="F26">
        <v>2</v>
      </c>
      <c r="G26">
        <v>1</v>
      </c>
      <c r="H26">
        <v>7</v>
      </c>
      <c r="J26">
        <f t="shared" si="2"/>
        <v>259</v>
      </c>
      <c r="L26">
        <f t="shared" si="1"/>
        <v>0.11562500000000001</v>
      </c>
    </row>
    <row r="27" spans="1:12" x14ac:dyDescent="0.25">
      <c r="A27">
        <v>1700</v>
      </c>
      <c r="B27" t="s">
        <v>65</v>
      </c>
      <c r="C27" t="s">
        <v>107</v>
      </c>
      <c r="D27" t="s">
        <v>67</v>
      </c>
      <c r="H27">
        <v>14</v>
      </c>
      <c r="J27">
        <f t="shared" si="2"/>
        <v>14</v>
      </c>
      <c r="L27">
        <f t="shared" si="1"/>
        <v>6.2500000000000003E-3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2024-09-24T17:11:41Z</dcterms:created>
  <dcterms:modified xsi:type="dcterms:W3CDTF">2025-04-29T18:31:29Z</dcterms:modified>
</cp:coreProperties>
</file>