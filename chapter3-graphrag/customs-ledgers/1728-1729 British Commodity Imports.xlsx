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46" documentId="8_{5326DBCC-4C46-45EF-B056-FFF756FFCFD5}" xr6:coauthVersionLast="47" xr6:coauthVersionMax="47" xr10:uidLastSave="{AC53EF4D-C87C-4200-B04F-7D9C31887DD1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Barbados!$A$1:$N$57</definedName>
    <definedName name="_xlnm._FilterDatabase" localSheetId="5" hidden="1">Jamaica!$A$1:$O$61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8" l="1"/>
  <c r="H83" i="7"/>
  <c r="H83" i="6"/>
  <c r="H86" i="5"/>
  <c r="J29" i="4"/>
  <c r="L29" i="4" s="1"/>
  <c r="J26" i="4"/>
  <c r="L26" i="4" s="1"/>
  <c r="H69" i="3"/>
  <c r="H87" i="2"/>
  <c r="H23" i="11"/>
  <c r="H22" i="8"/>
  <c r="H22" i="7"/>
  <c r="H22" i="6"/>
  <c r="H23" i="5"/>
  <c r="J20" i="4"/>
  <c r="L20" i="4" s="1"/>
  <c r="J19" i="4"/>
  <c r="L19" i="4" s="1"/>
  <c r="J10" i="4"/>
  <c r="L10" i="4" s="1"/>
  <c r="H18" i="3"/>
  <c r="L50" i="3"/>
  <c r="J50" i="3"/>
  <c r="J36" i="3"/>
  <c r="L36" i="3" s="1"/>
  <c r="J35" i="3"/>
  <c r="L35" i="3" s="1"/>
  <c r="J22" i="3"/>
  <c r="L22" i="3" s="1"/>
  <c r="H24" i="2"/>
  <c r="L45" i="2"/>
  <c r="J45" i="2"/>
  <c r="J9" i="2"/>
  <c r="L9" i="2" s="1"/>
  <c r="J118" i="5"/>
  <c r="L118" i="5" s="1"/>
  <c r="J72" i="5"/>
  <c r="L72" i="5" s="1"/>
  <c r="J86" i="3"/>
  <c r="L86" i="3" s="1"/>
  <c r="J119" i="2"/>
  <c r="L119" i="2" s="1"/>
  <c r="L54" i="11"/>
  <c r="J54" i="11"/>
  <c r="J10" i="11"/>
  <c r="L10" i="11" s="1"/>
  <c r="J54" i="5"/>
  <c r="L54" i="5" s="1"/>
  <c r="J8" i="5"/>
  <c r="L8" i="5" s="1"/>
  <c r="J15" i="4"/>
  <c r="L15" i="4" s="1"/>
  <c r="J17" i="4"/>
  <c r="L17" i="4" s="1"/>
  <c r="J13" i="4"/>
  <c r="L13" i="4" s="1"/>
  <c r="J9" i="4"/>
  <c r="L9" i="4" s="1"/>
  <c r="J6" i="4"/>
  <c r="L6" i="4" s="1"/>
  <c r="J23" i="3"/>
  <c r="L23" i="3" s="1"/>
  <c r="J30" i="2"/>
  <c r="L30" i="2" s="1"/>
  <c r="J8" i="2"/>
  <c r="L8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L92" i="8"/>
  <c r="J92" i="8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L68" i="8"/>
  <c r="J68" i="8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L4" i="8"/>
  <c r="J4" i="8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3" i="4"/>
  <c r="L3" i="4" s="1"/>
  <c r="J4" i="4"/>
  <c r="L4" i="4" s="1"/>
  <c r="J5" i="4"/>
  <c r="L5" i="4" s="1"/>
  <c r="J7" i="4"/>
  <c r="L7" i="4" s="1"/>
  <c r="J8" i="4"/>
  <c r="L8" i="4" s="1"/>
  <c r="J11" i="4"/>
  <c r="L11" i="4" s="1"/>
  <c r="J12" i="4"/>
  <c r="L12" i="4" s="1"/>
  <c r="J14" i="4"/>
  <c r="L14" i="4" s="1"/>
  <c r="J16" i="4"/>
  <c r="L16" i="4" s="1"/>
  <c r="J18" i="4"/>
  <c r="L18" i="4" s="1"/>
  <c r="J21" i="4"/>
  <c r="L21" i="4" s="1"/>
  <c r="J22" i="4"/>
  <c r="L22" i="4" s="1"/>
  <c r="J23" i="4"/>
  <c r="L23" i="4" s="1"/>
  <c r="J24" i="4"/>
  <c r="L24" i="4" s="1"/>
  <c r="J25" i="4"/>
  <c r="L25" i="4" s="1"/>
  <c r="J27" i="4"/>
  <c r="L27" i="4" s="1"/>
  <c r="J28" i="4"/>
  <c r="L28" i="4" s="1"/>
  <c r="J30" i="4"/>
  <c r="L30" i="4" s="1"/>
  <c r="J31" i="4"/>
  <c r="L31" i="4" s="1"/>
  <c r="J32" i="4"/>
  <c r="L32" i="4" s="1"/>
  <c r="J33" i="4"/>
  <c r="L33" i="4" s="1"/>
  <c r="J3" i="5"/>
  <c r="L3" i="5" s="1"/>
  <c r="J4" i="5"/>
  <c r="L4" i="5" s="1"/>
  <c r="J5" i="5"/>
  <c r="L5" i="5" s="1"/>
  <c r="J6" i="5"/>
  <c r="L6" i="5" s="1"/>
  <c r="J7" i="5"/>
  <c r="L7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5" i="5"/>
  <c r="L55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3" i="5"/>
  <c r="L73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5" i="1" l="1"/>
  <c r="D13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<sst xmlns="http://schemas.openxmlformats.org/spreadsheetml/2006/main" count="3513" uniqueCount="169">
  <si>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</si>
  <si>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</si>
  <si>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</si>
  <si>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</si>
  <si>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</si>
  <si>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</si>
  <si>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</si>
  <si>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</si>
  <si>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</si>
  <si>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</si>
  <si>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</si>
  <si>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</si>
  <si>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</si>
  <si>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</si>
  <si>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</si>
  <si>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</si>
  <si>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</si>
  <si>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</si>
  <si>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</si>
  <si>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</si>
  <si>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</si>
  <si>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</si>
  <si>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</si>
  <si>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</si>
  <si>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</si>
  <si>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</si>
  <si>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</si>
  <si>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</si>
  <si>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</si>
  <si>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</si>
  <si>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</si>
  <si>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</si>
  <si>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</si>
  <si>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</si>
  <si>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</si>
  <si>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</si>
  <si>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</si>
  <si>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</si>
  <si>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</si>
  <si>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</si>
  <si>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</si>
  <si>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</si>
  <si>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</si>
  <si>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</si>
  <si>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</si>
  <si>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</si>
  <si>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</si>
  <si>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</si>
  <si>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</si>
  <si>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</si>
  <si>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</si>
  <si>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</si>
  <si>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</si>
  <si>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</si>
  <si>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</si>
  <si>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</si>
  <si>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</si>
  <si>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</si>
  <si>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</si>
  <si>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</si>
  <si>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</si>
  <si>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</si>
  <si>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</si>
  <si>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</si>
  <si>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</si>
  <si>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</si>
  <si>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</si>
  <si>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</si>
  <si>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</si>
  <si>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</si>
  <si>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</si>
  <si>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</si>
  <si>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</si>
  <si>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</si>
  <si>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</si>
  <si>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</si>
  <si>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</si>
  <si>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</si>
  <si>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</si>
  <si>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</si>
  <si>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</si>
  <si>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</si>
  <si>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</si>
  <si>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</si>
  <si>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</si>
  <si>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</si>
  <si>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</si>
  <si>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</si>
  <si>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</si>
  <si>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</si>
  <si>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</si>
  <si>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</si>
  <si>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</si>
  <si>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</si>
  <si>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</si>
  <si>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</si>
  <si>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</si>
  <si>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</si>
  <si>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</si>
  <si>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</si>
  <si>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</si>
  <si>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</si>
  <si>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</si>
  <si>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</si>
  <si>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</si>
  <si>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</si>
  <si>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</si>
  <si>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Barbados Tarr</t>
  </si>
  <si>
    <t>172g</t>
  </si>
  <si>
    <t>86g</t>
  </si>
  <si>
    <t>30410.5g</t>
  </si>
  <si>
    <t>49t 2h 2g</t>
  </si>
  <si>
    <t>193bags</t>
  </si>
  <si>
    <t>Gum Arabick</t>
  </si>
  <si>
    <t>1339g</t>
  </si>
  <si>
    <t>100.25g</t>
  </si>
  <si>
    <t>Plat Bermudos</t>
  </si>
  <si>
    <t>10633g</t>
  </si>
  <si>
    <t>22t 1h 19g</t>
  </si>
  <si>
    <t>239bags</t>
  </si>
  <si>
    <t>161g</t>
  </si>
  <si>
    <t>3h 23g</t>
  </si>
  <si>
    <t>Jollop</t>
  </si>
  <si>
    <t>2022g</t>
  </si>
  <si>
    <t>63g</t>
  </si>
  <si>
    <t>104911g</t>
  </si>
  <si>
    <t>56t 2h 2g</t>
  </si>
  <si>
    <t>661bags</t>
  </si>
  <si>
    <t>397g</t>
  </si>
  <si>
    <t>1777g</t>
  </si>
  <si>
    <t>3h 55g</t>
  </si>
  <si>
    <t>63bags</t>
  </si>
  <si>
    <t>5g</t>
  </si>
  <si>
    <t>918g</t>
  </si>
  <si>
    <t>14t 3h</t>
  </si>
  <si>
    <t>15bags</t>
  </si>
  <si>
    <t>15.4g</t>
  </si>
  <si>
    <t>3916g</t>
  </si>
  <si>
    <t>22t 39g</t>
  </si>
  <si>
    <t>129bags</t>
  </si>
  <si>
    <t>364g</t>
  </si>
  <si>
    <t>2h 40g</t>
  </si>
  <si>
    <t>4bags</t>
  </si>
  <si>
    <t>30g</t>
  </si>
  <si>
    <t>1.5g</t>
  </si>
  <si>
    <t>2217.5g</t>
  </si>
  <si>
    <t>15g</t>
  </si>
  <si>
    <t>611bags</t>
  </si>
  <si>
    <t>73g</t>
  </si>
  <si>
    <t>3g</t>
  </si>
  <si>
    <t>1630g</t>
  </si>
  <si>
    <t>1t 3h 29g</t>
  </si>
  <si>
    <t>663bags</t>
  </si>
  <si>
    <t>25g</t>
  </si>
  <si>
    <t>1308g</t>
  </si>
  <si>
    <t>13g</t>
  </si>
  <si>
    <t>28180g</t>
  </si>
  <si>
    <t>17t 46g</t>
  </si>
  <si>
    <t>1285bags</t>
  </si>
  <si>
    <t>21g</t>
  </si>
  <si>
    <t>70g</t>
  </si>
  <si>
    <t>37bags</t>
  </si>
  <si>
    <t>76g</t>
  </si>
  <si>
    <t>1t 1h 12g</t>
  </si>
  <si>
    <t>10bags</t>
  </si>
  <si>
    <t>56g</t>
  </si>
  <si>
    <t>3413.5g</t>
  </si>
  <si>
    <t>3h 51g</t>
  </si>
  <si>
    <t>271.5bags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</si>
</sst>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J19" sqref="J19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0.125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0.125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9.5825892857142865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0.45</v>
      </c>
      <c r="D3">
        <f t="shared" ref="D3:D31" si="0">B3+C3</f>
        <v>10.032589285714286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37374.293749999997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12301.122767857143</v>
      </c>
      <c r="D4">
        <f t="shared" si="0"/>
        <v>49675.416517857142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331.70848214285712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7.4294642857142854</v>
      </c>
      <c r="D6">
        <f t="shared" si="0"/>
        <v>339.13794642857141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116.42857142857143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257.27678571428567</v>
      </c>
      <c r="D7">
        <f t="shared" si="0"/>
        <v>373.70535714285711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274.01919642857143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325.11205357142859</v>
      </c>
      <c r="D8">
        <f t="shared" si="0"/>
        <v>599.13125000000002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44.480803571428574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24.08303571428571</v>
      </c>
      <c r="D9">
        <f t="shared" si="0"/>
        <v>68.56383928571428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84.476339285714289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16.526785714285715</v>
      </c>
      <c r="D10">
        <f t="shared" si="0"/>
        <v>101.00312500000001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23.691071428571426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3.9616071428571429</v>
      </c>
      <c r="D11">
        <f t="shared" si="0"/>
        <v>27.65267857142857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17.549107142857142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6.6444196428571427</v>
      </c>
      <c r="D12">
        <f t="shared" si="0"/>
        <v>24.193526785714283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69.100000000000009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103.73125</v>
      </c>
      <c r="D13">
        <f t="shared" si="0"/>
        <v>172.83125000000001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132.13749999999999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94.413392857142853</v>
      </c>
      <c r="D14">
        <f t="shared" si="0"/>
        <v>226.55089285714286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0.21249999999999999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0.1</v>
      </c>
      <c r="D15">
        <f t="shared" si="0"/>
        <v>0.3125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683.61540178571431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160.64821428571429</v>
      </c>
      <c r="D16">
        <f t="shared" si="0"/>
        <v>844.2636160714286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1.3941964285714286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0.57008928571428563</v>
      </c>
      <c r="D17">
        <f t="shared" si="0"/>
        <v>1.9642857142857142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2.8459821428571428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0.23325892857142858</v>
      </c>
      <c r="D18">
        <f t="shared" si="0"/>
        <v>3.0792410714285712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0.24062500000000001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0.4375</v>
      </c>
      <c r="D19">
        <f t="shared" si="0"/>
        <v>0.67812499999999998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2.4776785714285716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0.75089285714285714</v>
      </c>
      <c r="D20">
        <f t="shared" si="0"/>
        <v>3.2285714285714286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0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0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188.72700892857142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24.77410714285714</v>
      </c>
      <c r="D26">
        <f t="shared" si="0"/>
        <v>213.50111607142856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27.5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</v>
      </c>
      <c r="D27">
        <f t="shared" si="0"/>
        <v>27.5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490.03169642857142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253.57857142857142</v>
      </c>
      <c r="D28">
        <f t="shared" si="0"/>
        <v>743.61026785714284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179.39598214285712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174.12276785714286</v>
      </c>
      <c r="D29">
        <f t="shared" si="0"/>
        <v>353.51874999999995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35.692857142857143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16.829910714285713</v>
      </c>
      <c r="D30">
        <f t="shared" si="0"/>
        <v>52.522767857142853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1"/>
  <sheetViews>
    <sheetView topLeftCell="A115" workbookViewId="0">
      <selection activeCell="H110" sqref="H110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1729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1729</v>
      </c>
      <c r="B3" t="s">
        <v>57</v>
      </c>
      <c r="C3" t="s">
        <v>53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5" x14ac:dyDescent="0.25">
      <c r="A4">
        <v>1729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1729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1729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1729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1729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1729</v>
      </c>
      <c r="B9" t="s">
        <v>107</v>
      </c>
      <c r="C9" t="s">
        <v>53</v>
      </c>
      <c r="D9" t="s">
        <v>33</v>
      </c>
      <c r="H9">
        <v>400</v>
      </c>
      <c r="J9">
        <f t="shared" si="0"/>
        <v>400</v>
      </c>
      <c r="L9">
        <f t="shared" si="1"/>
        <v>0.17857142857142858</v>
      </c>
    </row>
    <row r="10" spans="1:15" x14ac:dyDescent="0.25">
      <c r="A10">
        <v>1729</v>
      </c>
      <c r="B10" t="s">
        <v>43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1729</v>
      </c>
      <c r="B11" t="s">
        <v>76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1729</v>
      </c>
      <c r="B12" t="s">
        <v>5</v>
      </c>
      <c r="C12" t="s">
        <v>53</v>
      </c>
      <c r="D12" t="s">
        <v>33</v>
      </c>
      <c r="F12">
        <v>125</v>
      </c>
      <c r="G12">
        <v>3</v>
      </c>
      <c r="H12">
        <v>4</v>
      </c>
      <c r="J12">
        <f t="shared" si="0"/>
        <v>14088</v>
      </c>
      <c r="L12">
        <f t="shared" si="1"/>
        <v>6.2892857142857146</v>
      </c>
    </row>
    <row r="13" spans="1:15" x14ac:dyDescent="0.25">
      <c r="A13">
        <v>1729</v>
      </c>
      <c r="B13" t="s">
        <v>59</v>
      </c>
      <c r="C13" t="s">
        <v>53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1729</v>
      </c>
      <c r="B14" t="s">
        <v>6</v>
      </c>
      <c r="C14" t="s">
        <v>53</v>
      </c>
      <c r="D14" t="s">
        <v>33</v>
      </c>
      <c r="F14">
        <v>175934</v>
      </c>
      <c r="G14">
        <v>1</v>
      </c>
      <c r="H14">
        <v>13</v>
      </c>
      <c r="J14">
        <f t="shared" si="0"/>
        <v>19704649</v>
      </c>
      <c r="L14">
        <f t="shared" si="1"/>
        <v>8796.7183035714279</v>
      </c>
    </row>
    <row r="15" spans="1:15" x14ac:dyDescent="0.25">
      <c r="A15">
        <v>1729</v>
      </c>
      <c r="B15" t="s">
        <v>96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1729</v>
      </c>
      <c r="B16" t="s">
        <v>60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1729</v>
      </c>
      <c r="B17" t="s">
        <v>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1729</v>
      </c>
      <c r="B18" t="s">
        <v>37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1729</v>
      </c>
      <c r="B19" t="s">
        <v>8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1729</v>
      </c>
      <c r="B20" t="s">
        <v>40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1729</v>
      </c>
      <c r="B21" t="s">
        <v>77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1729</v>
      </c>
      <c r="B22" t="s">
        <v>78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1729</v>
      </c>
      <c r="B23" t="s">
        <v>46</v>
      </c>
      <c r="C23" t="s">
        <v>53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1729</v>
      </c>
      <c r="B24" t="s">
        <v>9</v>
      </c>
      <c r="C24" t="s">
        <v>53</v>
      </c>
      <c r="D24" t="s">
        <v>33</v>
      </c>
      <c r="H24">
        <f>193*200</f>
        <v>38600</v>
      </c>
      <c r="I24" t="s">
        <v>112</v>
      </c>
      <c r="J24">
        <f t="shared" si="0"/>
        <v>38600</v>
      </c>
      <c r="L24">
        <f t="shared" si="1"/>
        <v>17.232142857142858</v>
      </c>
    </row>
    <row r="25" spans="1:12" x14ac:dyDescent="0.25">
      <c r="A25">
        <v>1729</v>
      </c>
      <c r="B25" t="s">
        <v>10</v>
      </c>
      <c r="C25" t="s">
        <v>53</v>
      </c>
      <c r="D25" t="s">
        <v>33</v>
      </c>
      <c r="F25">
        <v>361</v>
      </c>
      <c r="G25">
        <v>2</v>
      </c>
      <c r="H25">
        <v>26</v>
      </c>
      <c r="J25">
        <f t="shared" si="0"/>
        <v>40514</v>
      </c>
      <c r="L25">
        <f t="shared" si="1"/>
        <v>18.086607142857144</v>
      </c>
    </row>
    <row r="26" spans="1:12" x14ac:dyDescent="0.25">
      <c r="A26">
        <v>1729</v>
      </c>
      <c r="B26" t="s">
        <v>11</v>
      </c>
      <c r="C26" t="s">
        <v>53</v>
      </c>
      <c r="D26" t="s">
        <v>33</v>
      </c>
      <c r="F26">
        <v>337</v>
      </c>
      <c r="G26">
        <v>3</v>
      </c>
      <c r="H26">
        <v>23</v>
      </c>
      <c r="J26">
        <f t="shared" si="0"/>
        <v>37851</v>
      </c>
      <c r="L26">
        <f t="shared" si="1"/>
        <v>16.897767857142856</v>
      </c>
    </row>
    <row r="27" spans="1:12" x14ac:dyDescent="0.25">
      <c r="A27">
        <v>1729</v>
      </c>
      <c r="B27" t="s">
        <v>39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1729</v>
      </c>
      <c r="B28" t="s">
        <v>79</v>
      </c>
      <c r="C28" t="s">
        <v>53</v>
      </c>
      <c r="D28" t="s">
        <v>33</v>
      </c>
      <c r="F28">
        <v>37</v>
      </c>
      <c r="H28">
        <v>19</v>
      </c>
      <c r="J28">
        <f t="shared" si="0"/>
        <v>4163</v>
      </c>
      <c r="L28">
        <f t="shared" si="1"/>
        <v>1.8584821428571427</v>
      </c>
    </row>
    <row r="29" spans="1:12" x14ac:dyDescent="0.25">
      <c r="A29">
        <v>1729</v>
      </c>
      <c r="B29" t="s">
        <v>103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1729</v>
      </c>
      <c r="B30" t="s">
        <v>102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1729</v>
      </c>
      <c r="B31" t="s">
        <v>44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1729</v>
      </c>
      <c r="B32" t="s">
        <v>97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1729</v>
      </c>
      <c r="B33" t="s">
        <v>12</v>
      </c>
      <c r="C33" t="s">
        <v>53</v>
      </c>
      <c r="D33" t="s">
        <v>33</v>
      </c>
      <c r="H33">
        <v>7280</v>
      </c>
      <c r="J33">
        <f t="shared" si="0"/>
        <v>7280</v>
      </c>
      <c r="L33">
        <f t="shared" si="1"/>
        <v>3.25</v>
      </c>
    </row>
    <row r="34" spans="1:12" x14ac:dyDescent="0.25">
      <c r="A34">
        <v>1729</v>
      </c>
      <c r="B34" t="s">
        <v>82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1729</v>
      </c>
      <c r="B35" t="s">
        <v>34</v>
      </c>
      <c r="C35" t="s">
        <v>53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1729</v>
      </c>
      <c r="B36" t="s">
        <v>13</v>
      </c>
      <c r="C36" t="s">
        <v>53</v>
      </c>
      <c r="D36" t="s">
        <v>33</v>
      </c>
      <c r="E36">
        <v>8</v>
      </c>
      <c r="F36">
        <v>10</v>
      </c>
      <c r="J36">
        <f t="shared" si="0"/>
        <v>19040</v>
      </c>
      <c r="L36">
        <f t="shared" si="1"/>
        <v>8.5</v>
      </c>
    </row>
    <row r="37" spans="1:12" x14ac:dyDescent="0.25">
      <c r="A37">
        <v>1729</v>
      </c>
      <c r="B37" t="s">
        <v>14</v>
      </c>
      <c r="C37" t="s">
        <v>53</v>
      </c>
      <c r="D37" t="s">
        <v>33</v>
      </c>
      <c r="H37">
        <v>1720.5</v>
      </c>
      <c r="I37" t="s">
        <v>108</v>
      </c>
      <c r="J37">
        <f t="shared" si="0"/>
        <v>1720.5</v>
      </c>
      <c r="L37">
        <f t="shared" si="1"/>
        <v>0.76808035714285716</v>
      </c>
    </row>
    <row r="38" spans="1:12" x14ac:dyDescent="0.25">
      <c r="A38">
        <v>1729</v>
      </c>
      <c r="B38" t="s">
        <v>23</v>
      </c>
      <c r="C38" t="s">
        <v>53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1729</v>
      </c>
      <c r="B39" t="s">
        <v>27</v>
      </c>
      <c r="C39" t="s">
        <v>53</v>
      </c>
      <c r="D39" t="s">
        <v>33</v>
      </c>
      <c r="H39">
        <v>124792</v>
      </c>
      <c r="I39" t="s">
        <v>111</v>
      </c>
      <c r="J39">
        <f t="shared" si="0"/>
        <v>124792</v>
      </c>
      <c r="L39">
        <f t="shared" si="1"/>
        <v>55.710714285714289</v>
      </c>
    </row>
    <row r="40" spans="1:12" x14ac:dyDescent="0.25">
      <c r="A40">
        <v>1729</v>
      </c>
      <c r="B40" t="s">
        <v>15</v>
      </c>
      <c r="C40" t="s">
        <v>53</v>
      </c>
      <c r="D40" t="s">
        <v>33</v>
      </c>
      <c r="F40">
        <v>1371</v>
      </c>
      <c r="G40">
        <v>3</v>
      </c>
      <c r="J40">
        <f t="shared" si="0"/>
        <v>153636</v>
      </c>
      <c r="L40">
        <f t="shared" si="1"/>
        <v>68.587500000000006</v>
      </c>
    </row>
    <row r="41" spans="1:12" x14ac:dyDescent="0.25">
      <c r="A41">
        <v>1729</v>
      </c>
      <c r="B41" t="s">
        <v>42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1729</v>
      </c>
      <c r="B42" t="s">
        <v>83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1729</v>
      </c>
      <c r="B43" t="s">
        <v>47</v>
      </c>
      <c r="C43" t="s">
        <v>53</v>
      </c>
      <c r="D43" t="s">
        <v>33</v>
      </c>
      <c r="H43">
        <v>860</v>
      </c>
      <c r="I43" t="s">
        <v>109</v>
      </c>
      <c r="J43">
        <f t="shared" si="0"/>
        <v>860</v>
      </c>
      <c r="L43">
        <f t="shared" si="1"/>
        <v>0.38392857142857145</v>
      </c>
    </row>
    <row r="44" spans="1:12" x14ac:dyDescent="0.25">
      <c r="A44">
        <v>1729</v>
      </c>
      <c r="B44" t="s">
        <v>16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1729</v>
      </c>
      <c r="B45" t="s">
        <v>106</v>
      </c>
      <c r="C45" t="s">
        <v>53</v>
      </c>
      <c r="D45" t="s">
        <v>33</v>
      </c>
      <c r="F45">
        <v>4</v>
      </c>
      <c r="H45">
        <v>14</v>
      </c>
      <c r="J45">
        <f t="shared" si="0"/>
        <v>462</v>
      </c>
      <c r="L45">
        <f t="shared" si="1"/>
        <v>0.20624999999999999</v>
      </c>
    </row>
    <row r="46" spans="1:12" x14ac:dyDescent="0.25">
      <c r="A46">
        <v>1729</v>
      </c>
      <c r="B46" t="s">
        <v>17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1729</v>
      </c>
      <c r="B47" t="s">
        <v>18</v>
      </c>
      <c r="C47" t="s">
        <v>53</v>
      </c>
      <c r="D47" t="s">
        <v>33</v>
      </c>
      <c r="H47">
        <v>304183</v>
      </c>
      <c r="I47" t="s">
        <v>110</v>
      </c>
      <c r="J47">
        <f t="shared" si="0"/>
        <v>304183</v>
      </c>
      <c r="L47">
        <f t="shared" si="1"/>
        <v>135.79598214285716</v>
      </c>
    </row>
    <row r="48" spans="1:12" x14ac:dyDescent="0.25">
      <c r="A48">
        <v>1729</v>
      </c>
      <c r="B48" t="s">
        <v>26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1729</v>
      </c>
      <c r="B49" t="s">
        <v>84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1729</v>
      </c>
      <c r="B50" t="s">
        <v>19</v>
      </c>
      <c r="C50" t="s">
        <v>53</v>
      </c>
      <c r="D50" t="s">
        <v>33</v>
      </c>
      <c r="F50">
        <v>2</v>
      </c>
      <c r="G50">
        <v>3</v>
      </c>
      <c r="J50">
        <f t="shared" si="0"/>
        <v>308</v>
      </c>
      <c r="L50">
        <f t="shared" si="1"/>
        <v>0.13750000000000001</v>
      </c>
    </row>
    <row r="51" spans="1:12" x14ac:dyDescent="0.25">
      <c r="A51">
        <v>1729</v>
      </c>
      <c r="B51" t="s">
        <v>45</v>
      </c>
      <c r="C51" t="s">
        <v>53</v>
      </c>
      <c r="D51" t="s">
        <v>33</v>
      </c>
      <c r="H51">
        <v>46</v>
      </c>
      <c r="J51">
        <f t="shared" si="0"/>
        <v>46</v>
      </c>
      <c r="L51">
        <f t="shared" si="1"/>
        <v>2.0535714285714286E-2</v>
      </c>
    </row>
    <row r="52" spans="1:12" x14ac:dyDescent="0.25">
      <c r="A52">
        <v>1729</v>
      </c>
      <c r="B52" t="s">
        <v>85</v>
      </c>
      <c r="C52" t="s">
        <v>53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1729</v>
      </c>
      <c r="B53" t="s">
        <v>54</v>
      </c>
      <c r="C53" t="s">
        <v>53</v>
      </c>
      <c r="D53" t="s">
        <v>33</v>
      </c>
      <c r="H53">
        <v>1010</v>
      </c>
      <c r="J53">
        <f t="shared" si="0"/>
        <v>1010</v>
      </c>
      <c r="L53">
        <f t="shared" si="1"/>
        <v>0.45089285714285715</v>
      </c>
    </row>
    <row r="54" spans="1:12" x14ac:dyDescent="0.25">
      <c r="A54">
        <v>1729</v>
      </c>
      <c r="B54" t="s">
        <v>95</v>
      </c>
      <c r="C54" t="s">
        <v>53</v>
      </c>
      <c r="D54" t="s">
        <v>33</v>
      </c>
      <c r="H54">
        <v>41</v>
      </c>
      <c r="J54">
        <f t="shared" si="0"/>
        <v>41</v>
      </c>
      <c r="L54">
        <f t="shared" si="1"/>
        <v>1.8303571428571429E-2</v>
      </c>
    </row>
    <row r="55" spans="1:12" x14ac:dyDescent="0.25">
      <c r="A55">
        <v>1729</v>
      </c>
      <c r="B55" t="s">
        <v>20</v>
      </c>
      <c r="C55" t="s">
        <v>53</v>
      </c>
      <c r="D55" t="s">
        <v>33</v>
      </c>
      <c r="H55">
        <v>447</v>
      </c>
      <c r="J55">
        <f t="shared" si="0"/>
        <v>447</v>
      </c>
      <c r="L55">
        <f t="shared" si="1"/>
        <v>0.19955357142857144</v>
      </c>
    </row>
    <row r="56" spans="1:12" x14ac:dyDescent="0.25">
      <c r="A56">
        <v>1729</v>
      </c>
      <c r="B56" t="s">
        <v>21</v>
      </c>
      <c r="C56" t="s">
        <v>53</v>
      </c>
      <c r="D56" t="s">
        <v>33</v>
      </c>
      <c r="H56">
        <v>23</v>
      </c>
      <c r="J56">
        <f t="shared" si="0"/>
        <v>23</v>
      </c>
      <c r="L56">
        <f t="shared" si="1"/>
        <v>1.0267857142857143E-2</v>
      </c>
    </row>
    <row r="57" spans="1:12" x14ac:dyDescent="0.25">
      <c r="A57">
        <v>1729</v>
      </c>
      <c r="B57" t="s">
        <v>22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1729</v>
      </c>
      <c r="B58" t="s">
        <v>61</v>
      </c>
      <c r="C58" t="s">
        <v>53</v>
      </c>
      <c r="D58" t="s">
        <v>33</v>
      </c>
      <c r="E58">
        <v>5</v>
      </c>
      <c r="J58">
        <f t="shared" si="0"/>
        <v>11200</v>
      </c>
      <c r="L58">
        <f t="shared" si="1"/>
        <v>5</v>
      </c>
    </row>
    <row r="59" spans="1:12" x14ac:dyDescent="0.25">
      <c r="A59">
        <v>1729</v>
      </c>
      <c r="B59" t="s">
        <v>99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1729</v>
      </c>
      <c r="B60" t="s">
        <v>87</v>
      </c>
      <c r="C60" t="s">
        <v>53</v>
      </c>
      <c r="D60" t="s">
        <v>33</v>
      </c>
      <c r="F60">
        <v>10</v>
      </c>
      <c r="J60">
        <f t="shared" si="0"/>
        <v>1120</v>
      </c>
      <c r="L60">
        <f t="shared" si="1"/>
        <v>0.5</v>
      </c>
    </row>
    <row r="61" spans="1:12" x14ac:dyDescent="0.25">
      <c r="A61">
        <v>1729</v>
      </c>
      <c r="B61" t="s">
        <v>62</v>
      </c>
      <c r="C61" t="s">
        <v>53</v>
      </c>
      <c r="D61" t="s">
        <v>33</v>
      </c>
      <c r="E61">
        <v>101</v>
      </c>
      <c r="F61">
        <v>10</v>
      </c>
      <c r="H61">
        <v>18</v>
      </c>
      <c r="J61">
        <f t="shared" si="0"/>
        <v>227378</v>
      </c>
      <c r="L61">
        <f t="shared" si="1"/>
        <v>101.50803571428571</v>
      </c>
    </row>
    <row r="62" spans="1:12" x14ac:dyDescent="0.25">
      <c r="A62">
        <v>1729</v>
      </c>
      <c r="B62" t="s">
        <v>88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1729</v>
      </c>
      <c r="B63" t="s">
        <v>63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1729</v>
      </c>
      <c r="B64" t="s">
        <v>89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1729</v>
      </c>
      <c r="B65" t="s">
        <v>70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1729</v>
      </c>
      <c r="B66" t="s">
        <v>64</v>
      </c>
      <c r="C66" t="s">
        <v>53</v>
      </c>
      <c r="D66" t="s">
        <v>33</v>
      </c>
      <c r="F66">
        <v>3</v>
      </c>
      <c r="J66">
        <f t="shared" si="0"/>
        <v>336</v>
      </c>
      <c r="L66">
        <f t="shared" si="1"/>
        <v>0.15</v>
      </c>
    </row>
    <row r="67" spans="1:12" x14ac:dyDescent="0.25">
      <c r="A67">
        <v>1729</v>
      </c>
      <c r="B67" t="s">
        <v>65</v>
      </c>
      <c r="C67" t="s">
        <v>53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1729</v>
      </c>
      <c r="B68" t="s">
        <v>55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1729</v>
      </c>
      <c r="B69" t="s">
        <v>57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1729</v>
      </c>
      <c r="B70" t="s">
        <v>36</v>
      </c>
      <c r="C70" t="s">
        <v>53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1729</v>
      </c>
      <c r="B71" t="s">
        <v>4</v>
      </c>
      <c r="C71" t="s">
        <v>53</v>
      </c>
      <c r="D71" t="s">
        <v>35</v>
      </c>
      <c r="J71">
        <f t="shared" ref="J71:J131" si="2">(E71*2240)+(F71*112)+(G71*28)+H71</f>
        <v>0</v>
      </c>
      <c r="L71">
        <f t="shared" ref="L71:L131" si="3">J71/2240</f>
        <v>0</v>
      </c>
    </row>
    <row r="72" spans="1:12" x14ac:dyDescent="0.25">
      <c r="A72">
        <v>1729</v>
      </c>
      <c r="B72" t="s">
        <v>58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1729</v>
      </c>
      <c r="B73" t="s">
        <v>69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1729</v>
      </c>
      <c r="B74" t="s">
        <v>43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1729</v>
      </c>
      <c r="B75" t="s">
        <v>76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1729</v>
      </c>
      <c r="B76" t="s">
        <v>5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1729</v>
      </c>
      <c r="B77" t="s">
        <v>59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1729</v>
      </c>
      <c r="B78" t="s">
        <v>6</v>
      </c>
      <c r="C78" t="s">
        <v>53</v>
      </c>
      <c r="D78" t="s">
        <v>35</v>
      </c>
      <c r="F78">
        <v>29598</v>
      </c>
      <c r="G78">
        <v>1</v>
      </c>
      <c r="H78">
        <v>12</v>
      </c>
      <c r="J78">
        <f t="shared" si="2"/>
        <v>3315016</v>
      </c>
      <c r="L78">
        <f t="shared" si="3"/>
        <v>1479.9178571428572</v>
      </c>
    </row>
    <row r="79" spans="1:12" x14ac:dyDescent="0.25">
      <c r="A79">
        <v>1729</v>
      </c>
      <c r="B79" t="s">
        <v>60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1729</v>
      </c>
      <c r="B80" t="s">
        <v>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1729</v>
      </c>
      <c r="B81" t="s">
        <v>37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1729</v>
      </c>
      <c r="B82" t="s">
        <v>8</v>
      </c>
      <c r="C82" t="s">
        <v>53</v>
      </c>
      <c r="D82" t="s">
        <v>35</v>
      </c>
      <c r="F82">
        <v>1</v>
      </c>
      <c r="G82">
        <v>3</v>
      </c>
      <c r="H82">
        <v>7</v>
      </c>
      <c r="J82">
        <f t="shared" si="2"/>
        <v>203</v>
      </c>
      <c r="L82">
        <f t="shared" si="3"/>
        <v>9.0624999999999997E-2</v>
      </c>
    </row>
    <row r="83" spans="1:12" x14ac:dyDescent="0.25">
      <c r="A83">
        <v>1729</v>
      </c>
      <c r="B83" t="s">
        <v>40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1729</v>
      </c>
      <c r="B84" t="s">
        <v>77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1729</v>
      </c>
      <c r="B85" t="s">
        <v>78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1729</v>
      </c>
      <c r="B86" t="s">
        <v>46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1729</v>
      </c>
      <c r="B87" t="s">
        <v>9</v>
      </c>
      <c r="C87" t="s">
        <v>53</v>
      </c>
      <c r="D87" t="s">
        <v>35</v>
      </c>
      <c r="H87">
        <f>611*200</f>
        <v>122200</v>
      </c>
      <c r="I87" t="s">
        <v>147</v>
      </c>
      <c r="J87">
        <f t="shared" si="2"/>
        <v>122200</v>
      </c>
      <c r="L87">
        <f t="shared" si="3"/>
        <v>54.553571428571431</v>
      </c>
    </row>
    <row r="88" spans="1:12" x14ac:dyDescent="0.25">
      <c r="A88">
        <v>1729</v>
      </c>
      <c r="B88" t="s">
        <v>10</v>
      </c>
      <c r="C88" t="s">
        <v>53</v>
      </c>
      <c r="D88" t="s">
        <v>35</v>
      </c>
      <c r="F88">
        <v>310</v>
      </c>
      <c r="H88">
        <v>12</v>
      </c>
      <c r="J88">
        <f t="shared" si="2"/>
        <v>34732</v>
      </c>
      <c r="L88">
        <f t="shared" si="3"/>
        <v>15.505357142857143</v>
      </c>
    </row>
    <row r="89" spans="1:12" x14ac:dyDescent="0.25">
      <c r="A89">
        <v>1729</v>
      </c>
      <c r="B89" t="s">
        <v>11</v>
      </c>
      <c r="C89" t="s">
        <v>53</v>
      </c>
      <c r="D89" t="s">
        <v>35</v>
      </c>
      <c r="F89">
        <v>20</v>
      </c>
      <c r="G89">
        <v>1</v>
      </c>
      <c r="H89">
        <v>16</v>
      </c>
      <c r="J89">
        <f t="shared" si="2"/>
        <v>2284</v>
      </c>
      <c r="L89">
        <f t="shared" si="3"/>
        <v>1.0196428571428571</v>
      </c>
    </row>
    <row r="90" spans="1:12" x14ac:dyDescent="0.25">
      <c r="A90">
        <v>1729</v>
      </c>
      <c r="B90" t="s">
        <v>39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1729</v>
      </c>
      <c r="B91" t="s">
        <v>79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1729</v>
      </c>
      <c r="B92" t="s">
        <v>103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1729</v>
      </c>
      <c r="B93" t="s">
        <v>44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1729</v>
      </c>
      <c r="B94" t="s">
        <v>97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1729</v>
      </c>
      <c r="B95" t="s">
        <v>12</v>
      </c>
      <c r="C95" t="s">
        <v>53</v>
      </c>
      <c r="D95" t="s">
        <v>35</v>
      </c>
      <c r="H95">
        <v>970</v>
      </c>
      <c r="J95">
        <f t="shared" si="2"/>
        <v>970</v>
      </c>
      <c r="L95">
        <f t="shared" si="3"/>
        <v>0.4330357142857143</v>
      </c>
    </row>
    <row r="96" spans="1:12" x14ac:dyDescent="0.25">
      <c r="A96">
        <v>1729</v>
      </c>
      <c r="B96" t="s">
        <v>82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1729</v>
      </c>
      <c r="B97" t="s">
        <v>34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1729</v>
      </c>
      <c r="B98" t="s">
        <v>13</v>
      </c>
      <c r="C98" t="s">
        <v>53</v>
      </c>
      <c r="D98" t="s">
        <v>35</v>
      </c>
      <c r="E98">
        <v>3</v>
      </c>
      <c r="J98">
        <f t="shared" si="2"/>
        <v>6720</v>
      </c>
      <c r="L98">
        <f t="shared" si="3"/>
        <v>3</v>
      </c>
    </row>
    <row r="99" spans="1:12" x14ac:dyDescent="0.25">
      <c r="A99">
        <v>1729</v>
      </c>
      <c r="B99" t="s">
        <v>14</v>
      </c>
      <c r="C99" t="s">
        <v>53</v>
      </c>
      <c r="D99" t="s">
        <v>35</v>
      </c>
      <c r="H99">
        <v>300</v>
      </c>
      <c r="I99" t="s">
        <v>143</v>
      </c>
      <c r="J99">
        <f t="shared" si="2"/>
        <v>300</v>
      </c>
      <c r="L99">
        <f t="shared" si="3"/>
        <v>0.13392857142857142</v>
      </c>
    </row>
    <row r="100" spans="1:12" x14ac:dyDescent="0.25">
      <c r="A100">
        <v>1729</v>
      </c>
      <c r="B100" t="s">
        <v>23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1729</v>
      </c>
      <c r="B101" t="s">
        <v>27</v>
      </c>
      <c r="C101" t="s">
        <v>53</v>
      </c>
      <c r="D101" t="s">
        <v>35</v>
      </c>
      <c r="H101">
        <v>150</v>
      </c>
      <c r="I101" t="s">
        <v>146</v>
      </c>
      <c r="J101">
        <f t="shared" si="2"/>
        <v>150</v>
      </c>
      <c r="L101">
        <f t="shared" si="3"/>
        <v>6.6964285714285712E-2</v>
      </c>
    </row>
    <row r="102" spans="1:12" x14ac:dyDescent="0.25">
      <c r="A102">
        <v>1729</v>
      </c>
      <c r="B102" t="s">
        <v>15</v>
      </c>
      <c r="C102" t="s">
        <v>53</v>
      </c>
      <c r="D102" t="s">
        <v>35</v>
      </c>
      <c r="F102">
        <v>528</v>
      </c>
      <c r="G102">
        <v>3</v>
      </c>
      <c r="H102">
        <v>15</v>
      </c>
      <c r="J102">
        <f t="shared" si="2"/>
        <v>59235</v>
      </c>
      <c r="L102">
        <f t="shared" si="3"/>
        <v>26.444196428571427</v>
      </c>
    </row>
    <row r="103" spans="1:12" x14ac:dyDescent="0.25">
      <c r="A103">
        <v>1729</v>
      </c>
      <c r="B103" t="s">
        <v>93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1729</v>
      </c>
      <c r="B104" t="s">
        <v>42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1729</v>
      </c>
      <c r="B105" t="s">
        <v>83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1729</v>
      </c>
      <c r="B106" t="s">
        <v>47</v>
      </c>
      <c r="C106" t="s">
        <v>53</v>
      </c>
      <c r="D106" t="s">
        <v>35</v>
      </c>
      <c r="H106">
        <v>15</v>
      </c>
      <c r="I106" t="s">
        <v>144</v>
      </c>
      <c r="J106">
        <f t="shared" si="2"/>
        <v>15</v>
      </c>
      <c r="L106">
        <f t="shared" si="3"/>
        <v>6.6964285714285711E-3</v>
      </c>
    </row>
    <row r="107" spans="1:12" x14ac:dyDescent="0.25">
      <c r="A107">
        <v>1729</v>
      </c>
      <c r="B107" t="s">
        <v>16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1729</v>
      </c>
      <c r="B108" t="s">
        <v>17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1729</v>
      </c>
      <c r="B109" t="s">
        <v>18</v>
      </c>
      <c r="C109" t="s">
        <v>53</v>
      </c>
      <c r="D109" t="s">
        <v>35</v>
      </c>
      <c r="H109">
        <v>22180.5</v>
      </c>
      <c r="I109" t="s">
        <v>145</v>
      </c>
      <c r="J109">
        <f t="shared" si="2"/>
        <v>22180.5</v>
      </c>
      <c r="L109">
        <f t="shared" si="3"/>
        <v>9.9020089285714281</v>
      </c>
    </row>
    <row r="110" spans="1:12" x14ac:dyDescent="0.25">
      <c r="A110">
        <v>1729</v>
      </c>
      <c r="B110" t="s">
        <v>26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1729</v>
      </c>
      <c r="B111" t="s">
        <v>84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1729</v>
      </c>
      <c r="B112" t="s">
        <v>19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1729</v>
      </c>
      <c r="B113" t="s">
        <v>45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1729</v>
      </c>
      <c r="B114" t="s">
        <v>85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1729</v>
      </c>
      <c r="B115" t="s">
        <v>54</v>
      </c>
      <c r="C115" t="s">
        <v>53</v>
      </c>
      <c r="D115" t="s">
        <v>35</v>
      </c>
      <c r="H115">
        <v>110.5</v>
      </c>
      <c r="J115">
        <f t="shared" si="2"/>
        <v>110.5</v>
      </c>
      <c r="L115">
        <f t="shared" si="3"/>
        <v>4.9330357142857141E-2</v>
      </c>
    </row>
    <row r="116" spans="1:12" x14ac:dyDescent="0.25">
      <c r="A116">
        <v>1729</v>
      </c>
      <c r="B116" t="s">
        <v>95</v>
      </c>
      <c r="C116" t="s">
        <v>53</v>
      </c>
      <c r="D116" t="s">
        <v>35</v>
      </c>
      <c r="H116">
        <v>30</v>
      </c>
      <c r="J116">
        <f t="shared" si="2"/>
        <v>30</v>
      </c>
      <c r="L116">
        <f t="shared" si="3"/>
        <v>1.3392857142857142E-2</v>
      </c>
    </row>
    <row r="117" spans="1:12" x14ac:dyDescent="0.25">
      <c r="A117">
        <v>1729</v>
      </c>
      <c r="B117" t="s">
        <v>20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1729</v>
      </c>
      <c r="B118" t="s">
        <v>21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1729</v>
      </c>
      <c r="B119" t="s">
        <v>105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1729</v>
      </c>
      <c r="B120" t="s">
        <v>22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1729</v>
      </c>
      <c r="B121" t="s">
        <v>61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1729</v>
      </c>
      <c r="B122" t="s">
        <v>91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1729</v>
      </c>
      <c r="B123" t="s">
        <v>98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1729</v>
      </c>
      <c r="B124" t="s">
        <v>87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1729</v>
      </c>
      <c r="B125" t="s">
        <v>62</v>
      </c>
      <c r="C125" t="s">
        <v>53</v>
      </c>
      <c r="D125" t="s">
        <v>35</v>
      </c>
      <c r="E125">
        <v>53</v>
      </c>
      <c r="F125">
        <v>10</v>
      </c>
      <c r="H125">
        <v>25</v>
      </c>
      <c r="J125">
        <f t="shared" si="2"/>
        <v>119865</v>
      </c>
      <c r="L125">
        <f t="shared" si="3"/>
        <v>53.511160714285715</v>
      </c>
    </row>
    <row r="126" spans="1:12" x14ac:dyDescent="0.25">
      <c r="A126">
        <v>1729</v>
      </c>
      <c r="B126" t="s">
        <v>88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1729</v>
      </c>
      <c r="B127" t="s">
        <v>63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1729</v>
      </c>
      <c r="B128" t="s">
        <v>89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1729</v>
      </c>
      <c r="B129" t="s">
        <v>70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1729</v>
      </c>
      <c r="B130" t="s">
        <v>64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1729</v>
      </c>
      <c r="B131" t="s">
        <v>65</v>
      </c>
      <c r="C131" t="s">
        <v>53</v>
      </c>
      <c r="D131" t="s">
        <v>35</v>
      </c>
      <c r="J131">
        <f t="shared" si="2"/>
        <v>0</v>
      </c>
      <c r="L131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3"/>
  <sheetViews>
    <sheetView topLeftCell="A82" workbookViewId="0">
      <selection activeCell="H89" sqref="H8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1729</v>
      </c>
      <c r="B2" t="s">
        <v>55</v>
      </c>
      <c r="C2" t="s">
        <v>56</v>
      </c>
      <c r="D2" t="s">
        <v>33</v>
      </c>
      <c r="J2">
        <f t="shared" ref="J2:J70" si="0">(E2*2240)+(F2*112)+(G2*28)+H2</f>
        <v>0</v>
      </c>
      <c r="L2">
        <f t="shared" ref="L2:L70" si="1">J2/2240</f>
        <v>0</v>
      </c>
    </row>
    <row r="3" spans="1:12" x14ac:dyDescent="0.25">
      <c r="A3">
        <v>1729</v>
      </c>
      <c r="B3" t="s">
        <v>57</v>
      </c>
      <c r="C3" t="s">
        <v>56</v>
      </c>
      <c r="D3" t="s">
        <v>33</v>
      </c>
      <c r="F3">
        <v>5</v>
      </c>
      <c r="G3">
        <v>1</v>
      </c>
      <c r="H3">
        <v>7</v>
      </c>
      <c r="J3">
        <f t="shared" si="0"/>
        <v>595</v>
      </c>
      <c r="L3">
        <f t="shared" si="1"/>
        <v>0.265625</v>
      </c>
    </row>
    <row r="4" spans="1:12" x14ac:dyDescent="0.25">
      <c r="A4">
        <v>1729</v>
      </c>
      <c r="B4" t="s">
        <v>36</v>
      </c>
      <c r="C4" t="s">
        <v>56</v>
      </c>
      <c r="D4" t="s">
        <v>33</v>
      </c>
      <c r="H4">
        <v>20625</v>
      </c>
      <c r="J4">
        <f t="shared" si="0"/>
        <v>20625</v>
      </c>
      <c r="L4">
        <f t="shared" si="1"/>
        <v>9.2075892857142865</v>
      </c>
    </row>
    <row r="5" spans="1:12" x14ac:dyDescent="0.25">
      <c r="A5">
        <v>1729</v>
      </c>
      <c r="B5" t="s">
        <v>4</v>
      </c>
      <c r="C5" t="s">
        <v>56</v>
      </c>
      <c r="D5" t="s">
        <v>33</v>
      </c>
      <c r="H5">
        <v>280</v>
      </c>
      <c r="J5">
        <f t="shared" si="0"/>
        <v>280</v>
      </c>
      <c r="L5">
        <f t="shared" si="1"/>
        <v>0.125</v>
      </c>
    </row>
    <row r="6" spans="1:12" x14ac:dyDescent="0.25">
      <c r="A6">
        <v>1729</v>
      </c>
      <c r="B6" t="s">
        <v>58</v>
      </c>
      <c r="C6" t="s">
        <v>56</v>
      </c>
      <c r="D6" t="s">
        <v>33</v>
      </c>
      <c r="F6">
        <v>4</v>
      </c>
      <c r="G6">
        <v>3</v>
      </c>
      <c r="H6">
        <v>14</v>
      </c>
      <c r="J6">
        <f t="shared" si="0"/>
        <v>546</v>
      </c>
      <c r="L6">
        <f t="shared" si="1"/>
        <v>0.24374999999999999</v>
      </c>
    </row>
    <row r="7" spans="1:12" x14ac:dyDescent="0.25">
      <c r="A7">
        <v>1729</v>
      </c>
      <c r="B7" t="s">
        <v>107</v>
      </c>
      <c r="C7" t="s">
        <v>56</v>
      </c>
      <c r="D7" t="s">
        <v>33</v>
      </c>
      <c r="H7">
        <v>1974</v>
      </c>
      <c r="J7">
        <f t="shared" si="0"/>
        <v>1974</v>
      </c>
      <c r="L7">
        <f t="shared" si="1"/>
        <v>0.88124999999999998</v>
      </c>
    </row>
    <row r="8" spans="1:12" x14ac:dyDescent="0.25">
      <c r="A8">
        <v>1729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1729</v>
      </c>
      <c r="B9" t="s">
        <v>5</v>
      </c>
      <c r="C9" t="s">
        <v>56</v>
      </c>
      <c r="D9" t="s">
        <v>33</v>
      </c>
      <c r="F9">
        <v>65</v>
      </c>
      <c r="G9">
        <v>3</v>
      </c>
      <c r="H9">
        <v>13</v>
      </c>
      <c r="J9">
        <f t="shared" si="0"/>
        <v>7377</v>
      </c>
      <c r="L9">
        <f t="shared" si="1"/>
        <v>3.2933035714285714</v>
      </c>
    </row>
    <row r="10" spans="1:12" x14ac:dyDescent="0.25">
      <c r="A10">
        <v>1729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1729</v>
      </c>
      <c r="B11" t="s">
        <v>6</v>
      </c>
      <c r="C11" t="s">
        <v>56</v>
      </c>
      <c r="D11" t="s">
        <v>33</v>
      </c>
      <c r="F11">
        <v>113409</v>
      </c>
      <c r="G11">
        <v>1</v>
      </c>
      <c r="H11">
        <v>1</v>
      </c>
      <c r="J11">
        <f t="shared" si="0"/>
        <v>12701837</v>
      </c>
      <c r="L11">
        <f t="shared" si="1"/>
        <v>5670.4629464285717</v>
      </c>
    </row>
    <row r="12" spans="1:12" x14ac:dyDescent="0.25">
      <c r="A12">
        <v>1729</v>
      </c>
      <c r="B12" t="s">
        <v>60</v>
      </c>
      <c r="C12" t="s">
        <v>56</v>
      </c>
      <c r="D12" t="s">
        <v>33</v>
      </c>
      <c r="H12">
        <v>2499</v>
      </c>
      <c r="J12">
        <f t="shared" si="0"/>
        <v>2499</v>
      </c>
      <c r="L12">
        <f t="shared" si="1"/>
        <v>1.1156250000000001</v>
      </c>
    </row>
    <row r="13" spans="1:12" x14ac:dyDescent="0.25">
      <c r="A13">
        <v>1729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1729</v>
      </c>
      <c r="B14" t="s">
        <v>37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1729</v>
      </c>
      <c r="B15" t="s">
        <v>8</v>
      </c>
      <c r="C15" t="s">
        <v>56</v>
      </c>
      <c r="D15" t="s">
        <v>33</v>
      </c>
      <c r="F15">
        <v>457</v>
      </c>
      <c r="G15">
        <v>1</v>
      </c>
      <c r="H15">
        <v>2</v>
      </c>
      <c r="J15">
        <f t="shared" si="0"/>
        <v>51214</v>
      </c>
      <c r="L15">
        <f t="shared" si="1"/>
        <v>22.863392857142856</v>
      </c>
    </row>
    <row r="16" spans="1:12" x14ac:dyDescent="0.25">
      <c r="A16">
        <v>1729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1729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1729</v>
      </c>
      <c r="B18" t="s">
        <v>9</v>
      </c>
      <c r="C18" t="s">
        <v>56</v>
      </c>
      <c r="D18" t="s">
        <v>33</v>
      </c>
      <c r="H18">
        <f>239*200</f>
        <v>47800</v>
      </c>
      <c r="I18" t="s">
        <v>119</v>
      </c>
      <c r="J18">
        <f t="shared" si="0"/>
        <v>47800</v>
      </c>
      <c r="L18">
        <f t="shared" si="1"/>
        <v>21.339285714285715</v>
      </c>
    </row>
    <row r="19" spans="1:12" x14ac:dyDescent="0.25">
      <c r="A19">
        <v>1729</v>
      </c>
      <c r="B19" t="s">
        <v>10</v>
      </c>
      <c r="C19" t="s">
        <v>56</v>
      </c>
      <c r="D19" t="s">
        <v>33</v>
      </c>
      <c r="F19">
        <v>1253</v>
      </c>
      <c r="G19">
        <v>1</v>
      </c>
      <c r="H19">
        <v>8</v>
      </c>
      <c r="J19">
        <f t="shared" si="0"/>
        <v>140372</v>
      </c>
      <c r="L19">
        <f t="shared" si="1"/>
        <v>62.666071428571428</v>
      </c>
    </row>
    <row r="20" spans="1:12" x14ac:dyDescent="0.25">
      <c r="A20">
        <v>1729</v>
      </c>
      <c r="B20" t="s">
        <v>11</v>
      </c>
      <c r="C20" t="s">
        <v>56</v>
      </c>
      <c r="D20" t="s">
        <v>33</v>
      </c>
      <c r="F20">
        <v>267</v>
      </c>
      <c r="G20">
        <v>1</v>
      </c>
      <c r="H20">
        <v>6</v>
      </c>
      <c r="J20">
        <f t="shared" si="0"/>
        <v>29938</v>
      </c>
      <c r="L20">
        <f t="shared" si="1"/>
        <v>13.365178571428572</v>
      </c>
    </row>
    <row r="21" spans="1:12" x14ac:dyDescent="0.25">
      <c r="A21">
        <v>1729</v>
      </c>
      <c r="B21" t="s">
        <v>39</v>
      </c>
      <c r="C21" t="s">
        <v>56</v>
      </c>
      <c r="D21" t="s">
        <v>33</v>
      </c>
      <c r="H21">
        <v>212</v>
      </c>
      <c r="J21">
        <f t="shared" si="0"/>
        <v>212</v>
      </c>
      <c r="L21">
        <f t="shared" si="1"/>
        <v>9.464285714285714E-2</v>
      </c>
    </row>
    <row r="22" spans="1:12" x14ac:dyDescent="0.25">
      <c r="A22">
        <v>1729</v>
      </c>
      <c r="B22" t="s">
        <v>79</v>
      </c>
      <c r="C22" t="s">
        <v>56</v>
      </c>
      <c r="D22" t="s">
        <v>33</v>
      </c>
      <c r="H22">
        <v>885</v>
      </c>
      <c r="J22">
        <f t="shared" si="0"/>
        <v>885</v>
      </c>
      <c r="L22">
        <f t="shared" si="1"/>
        <v>0.3950892857142857</v>
      </c>
    </row>
    <row r="23" spans="1:12" x14ac:dyDescent="0.25">
      <c r="A23">
        <v>1729</v>
      </c>
      <c r="B23" t="s">
        <v>113</v>
      </c>
      <c r="C23" t="s">
        <v>56</v>
      </c>
      <c r="D23" t="s">
        <v>33</v>
      </c>
      <c r="F23">
        <v>2</v>
      </c>
      <c r="H23">
        <v>17</v>
      </c>
      <c r="J23">
        <f t="shared" si="0"/>
        <v>241</v>
      </c>
      <c r="L23">
        <f t="shared" si="1"/>
        <v>0.10758928571428572</v>
      </c>
    </row>
    <row r="24" spans="1:12" x14ac:dyDescent="0.25">
      <c r="A24">
        <v>1729</v>
      </c>
      <c r="B24" t="s">
        <v>44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1729</v>
      </c>
      <c r="B25" t="s">
        <v>12</v>
      </c>
      <c r="C25" t="s">
        <v>56</v>
      </c>
      <c r="D25" t="s">
        <v>33</v>
      </c>
      <c r="H25">
        <v>7302</v>
      </c>
      <c r="J25">
        <f t="shared" si="0"/>
        <v>7302</v>
      </c>
      <c r="L25">
        <f t="shared" si="1"/>
        <v>3.2598214285714286</v>
      </c>
    </row>
    <row r="26" spans="1:12" x14ac:dyDescent="0.25">
      <c r="A26">
        <v>1729</v>
      </c>
      <c r="B26" t="s">
        <v>34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1729</v>
      </c>
      <c r="B27" t="s">
        <v>13</v>
      </c>
      <c r="C27" t="s">
        <v>56</v>
      </c>
      <c r="D27" t="s">
        <v>33</v>
      </c>
      <c r="E27">
        <v>1</v>
      </c>
      <c r="F27">
        <v>3</v>
      </c>
      <c r="G27">
        <v>3</v>
      </c>
      <c r="H27">
        <v>8</v>
      </c>
      <c r="J27">
        <f t="shared" si="0"/>
        <v>2668</v>
      </c>
      <c r="L27">
        <f t="shared" si="1"/>
        <v>1.1910714285714286</v>
      </c>
    </row>
    <row r="28" spans="1:12" x14ac:dyDescent="0.25">
      <c r="A28">
        <v>1729</v>
      </c>
      <c r="B28" t="s">
        <v>14</v>
      </c>
      <c r="C28" t="s">
        <v>56</v>
      </c>
      <c r="D28" t="s">
        <v>33</v>
      </c>
      <c r="H28">
        <v>13393.5</v>
      </c>
      <c r="I28" t="s">
        <v>114</v>
      </c>
      <c r="J28">
        <f t="shared" si="0"/>
        <v>13393.5</v>
      </c>
      <c r="L28">
        <f t="shared" si="1"/>
        <v>5.9792410714285715</v>
      </c>
    </row>
    <row r="29" spans="1:12" x14ac:dyDescent="0.25">
      <c r="A29">
        <v>1729</v>
      </c>
      <c r="B29" t="s">
        <v>23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1729</v>
      </c>
      <c r="B30" t="s">
        <v>27</v>
      </c>
      <c r="C30" t="s">
        <v>56</v>
      </c>
      <c r="D30" t="s">
        <v>33</v>
      </c>
      <c r="H30">
        <v>56274.5</v>
      </c>
      <c r="I30" t="s">
        <v>118</v>
      </c>
      <c r="J30">
        <f t="shared" si="0"/>
        <v>56274.5</v>
      </c>
      <c r="L30">
        <f t="shared" si="1"/>
        <v>25.122544642857143</v>
      </c>
    </row>
    <row r="31" spans="1:12" x14ac:dyDescent="0.25">
      <c r="A31">
        <v>1729</v>
      </c>
      <c r="B31" t="s">
        <v>15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1729</v>
      </c>
      <c r="B32" t="s">
        <v>42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1729</v>
      </c>
      <c r="B33" t="s">
        <v>47</v>
      </c>
      <c r="C33" t="s">
        <v>56</v>
      </c>
      <c r="D33" t="s">
        <v>33</v>
      </c>
      <c r="H33">
        <v>1003</v>
      </c>
      <c r="I33" t="s">
        <v>115</v>
      </c>
      <c r="J33">
        <f t="shared" si="0"/>
        <v>1003</v>
      </c>
      <c r="L33">
        <f t="shared" si="1"/>
        <v>0.44776785714285716</v>
      </c>
    </row>
    <row r="34" spans="1:12" x14ac:dyDescent="0.25">
      <c r="A34">
        <v>1729</v>
      </c>
      <c r="B34" t="s">
        <v>16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1729</v>
      </c>
      <c r="B35" t="s">
        <v>116</v>
      </c>
      <c r="C35" t="s">
        <v>56</v>
      </c>
      <c r="D35" t="s">
        <v>33</v>
      </c>
      <c r="H35">
        <v>5514</v>
      </c>
      <c r="J35">
        <f t="shared" si="0"/>
        <v>5514</v>
      </c>
      <c r="L35">
        <f t="shared" si="1"/>
        <v>2.4616071428571429</v>
      </c>
    </row>
    <row r="36" spans="1:12" x14ac:dyDescent="0.25">
      <c r="A36">
        <v>1729</v>
      </c>
      <c r="B36" t="s">
        <v>106</v>
      </c>
      <c r="C36" t="s">
        <v>56</v>
      </c>
      <c r="D36" t="s">
        <v>33</v>
      </c>
      <c r="F36">
        <v>3</v>
      </c>
      <c r="H36">
        <v>14</v>
      </c>
      <c r="J36">
        <f t="shared" si="0"/>
        <v>350</v>
      </c>
      <c r="L36">
        <f t="shared" si="1"/>
        <v>0.15625</v>
      </c>
    </row>
    <row r="37" spans="1:12" x14ac:dyDescent="0.25">
      <c r="A37">
        <v>1729</v>
      </c>
      <c r="B37" t="s">
        <v>17</v>
      </c>
      <c r="C37" t="s">
        <v>56</v>
      </c>
      <c r="D37" t="s">
        <v>33</v>
      </c>
      <c r="F37">
        <v>4</v>
      </c>
      <c r="G37">
        <v>1</v>
      </c>
      <c r="J37">
        <f t="shared" si="0"/>
        <v>476</v>
      </c>
      <c r="L37">
        <f t="shared" si="1"/>
        <v>0.21249999999999999</v>
      </c>
    </row>
    <row r="38" spans="1:12" x14ac:dyDescent="0.25">
      <c r="A38">
        <v>1729</v>
      </c>
      <c r="B38" t="s">
        <v>18</v>
      </c>
      <c r="C38" t="s">
        <v>56</v>
      </c>
      <c r="D38" t="s">
        <v>33</v>
      </c>
      <c r="H38">
        <v>106357.5</v>
      </c>
      <c r="I38" t="s">
        <v>117</v>
      </c>
      <c r="J38">
        <f t="shared" si="0"/>
        <v>106357.5</v>
      </c>
      <c r="L38">
        <f t="shared" si="1"/>
        <v>47.481026785714285</v>
      </c>
    </row>
    <row r="39" spans="1:12" x14ac:dyDescent="0.25">
      <c r="A39">
        <v>1729</v>
      </c>
      <c r="B39" t="s">
        <v>26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1729</v>
      </c>
      <c r="B40" t="s">
        <v>19</v>
      </c>
      <c r="C40" t="s">
        <v>56</v>
      </c>
      <c r="D40" t="s">
        <v>33</v>
      </c>
      <c r="F40">
        <v>17</v>
      </c>
      <c r="G40">
        <v>1</v>
      </c>
      <c r="H40">
        <v>25</v>
      </c>
      <c r="J40">
        <f t="shared" si="0"/>
        <v>1957</v>
      </c>
      <c r="L40">
        <f t="shared" si="1"/>
        <v>0.87366071428571423</v>
      </c>
    </row>
    <row r="41" spans="1:12" x14ac:dyDescent="0.25">
      <c r="A41">
        <v>1729</v>
      </c>
      <c r="B41" t="s">
        <v>45</v>
      </c>
      <c r="C41" t="s">
        <v>56</v>
      </c>
      <c r="D41" t="s">
        <v>33</v>
      </c>
      <c r="H41">
        <v>2504</v>
      </c>
      <c r="J41">
        <f t="shared" si="0"/>
        <v>2504</v>
      </c>
      <c r="L41">
        <f t="shared" si="1"/>
        <v>1.1178571428571429</v>
      </c>
    </row>
    <row r="42" spans="1:12" x14ac:dyDescent="0.25">
      <c r="A42">
        <v>1729</v>
      </c>
      <c r="B42" t="s">
        <v>54</v>
      </c>
      <c r="C42" t="s">
        <v>56</v>
      </c>
      <c r="D42" t="s">
        <v>33</v>
      </c>
      <c r="H42">
        <v>2363</v>
      </c>
      <c r="J42">
        <f t="shared" si="0"/>
        <v>2363</v>
      </c>
      <c r="L42">
        <f t="shared" si="1"/>
        <v>1.0549107142857144</v>
      </c>
    </row>
    <row r="43" spans="1:12" x14ac:dyDescent="0.25">
      <c r="A43">
        <v>1729</v>
      </c>
      <c r="B43" t="s">
        <v>95</v>
      </c>
      <c r="C43" t="s">
        <v>56</v>
      </c>
      <c r="D43" t="s">
        <v>33</v>
      </c>
      <c r="H43">
        <v>838</v>
      </c>
      <c r="J43">
        <f t="shared" si="0"/>
        <v>838</v>
      </c>
      <c r="L43">
        <f t="shared" si="1"/>
        <v>0.37410714285714286</v>
      </c>
    </row>
    <row r="44" spans="1:12" x14ac:dyDescent="0.25">
      <c r="A44">
        <v>1729</v>
      </c>
      <c r="B44" t="s">
        <v>20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1729</v>
      </c>
      <c r="B45" t="s">
        <v>21</v>
      </c>
      <c r="C45" t="s">
        <v>56</v>
      </c>
      <c r="D45" t="s">
        <v>33</v>
      </c>
      <c r="H45">
        <v>27</v>
      </c>
      <c r="J45">
        <f t="shared" si="0"/>
        <v>27</v>
      </c>
      <c r="L45">
        <f t="shared" si="1"/>
        <v>1.2053571428571429E-2</v>
      </c>
    </row>
    <row r="46" spans="1:12" x14ac:dyDescent="0.25">
      <c r="A46">
        <v>1729</v>
      </c>
      <c r="B46" t="s">
        <v>22</v>
      </c>
      <c r="C46" t="s">
        <v>56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1729</v>
      </c>
      <c r="B47" t="s">
        <v>61</v>
      </c>
      <c r="C47" t="s">
        <v>56</v>
      </c>
      <c r="D47" t="s">
        <v>33</v>
      </c>
      <c r="E47">
        <v>9</v>
      </c>
      <c r="J47">
        <f t="shared" si="0"/>
        <v>20160</v>
      </c>
      <c r="L47">
        <f t="shared" si="1"/>
        <v>9</v>
      </c>
    </row>
    <row r="48" spans="1:12" x14ac:dyDescent="0.25">
      <c r="A48">
        <v>1729</v>
      </c>
      <c r="B48" t="s">
        <v>62</v>
      </c>
      <c r="C48" t="s">
        <v>56</v>
      </c>
      <c r="D48" t="s">
        <v>33</v>
      </c>
      <c r="E48">
        <v>156</v>
      </c>
      <c r="F48">
        <v>2</v>
      </c>
      <c r="G48">
        <v>2</v>
      </c>
      <c r="H48">
        <v>16</v>
      </c>
      <c r="J48">
        <f t="shared" si="0"/>
        <v>349736</v>
      </c>
      <c r="L48">
        <f t="shared" si="1"/>
        <v>156.13214285714287</v>
      </c>
    </row>
    <row r="49" spans="1:12" x14ac:dyDescent="0.25">
      <c r="A49">
        <v>1729</v>
      </c>
      <c r="B49" t="s">
        <v>63</v>
      </c>
      <c r="C49" t="s">
        <v>56</v>
      </c>
      <c r="D49" t="s">
        <v>33</v>
      </c>
      <c r="E49">
        <v>32</v>
      </c>
      <c r="F49">
        <v>10</v>
      </c>
      <c r="J49">
        <f t="shared" si="0"/>
        <v>72800</v>
      </c>
      <c r="L49">
        <f t="shared" si="1"/>
        <v>32.5</v>
      </c>
    </row>
    <row r="50" spans="1:12" x14ac:dyDescent="0.25">
      <c r="A50">
        <v>1729</v>
      </c>
      <c r="B50" t="s">
        <v>89</v>
      </c>
      <c r="C50" t="s">
        <v>56</v>
      </c>
      <c r="D50" t="s">
        <v>33</v>
      </c>
      <c r="E50">
        <v>2</v>
      </c>
      <c r="J50">
        <f t="shared" si="0"/>
        <v>4480</v>
      </c>
      <c r="L50">
        <f t="shared" si="1"/>
        <v>2</v>
      </c>
    </row>
    <row r="51" spans="1:12" x14ac:dyDescent="0.25">
      <c r="A51">
        <v>1729</v>
      </c>
      <c r="B51" t="s">
        <v>70</v>
      </c>
      <c r="C51" t="s">
        <v>56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1729</v>
      </c>
      <c r="B52" t="s">
        <v>64</v>
      </c>
      <c r="C52" t="s">
        <v>56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1729</v>
      </c>
      <c r="B53" t="s">
        <v>65</v>
      </c>
      <c r="C53" t="s">
        <v>56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1729</v>
      </c>
      <c r="B54" t="s">
        <v>55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1729</v>
      </c>
      <c r="B55" t="s">
        <v>57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1729</v>
      </c>
      <c r="B56" t="s">
        <v>36</v>
      </c>
      <c r="C56" t="s">
        <v>56</v>
      </c>
      <c r="D56" t="s">
        <v>35</v>
      </c>
      <c r="H56">
        <v>1522</v>
      </c>
      <c r="J56">
        <f t="shared" si="0"/>
        <v>1522</v>
      </c>
      <c r="L56">
        <f t="shared" si="1"/>
        <v>0.67946428571428574</v>
      </c>
    </row>
    <row r="57" spans="1:12" x14ac:dyDescent="0.25">
      <c r="A57">
        <v>1729</v>
      </c>
      <c r="B57" t="s">
        <v>4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1729</v>
      </c>
      <c r="B58" t="s">
        <v>58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1729</v>
      </c>
      <c r="B59" t="s">
        <v>92</v>
      </c>
      <c r="C59" t="s">
        <v>56</v>
      </c>
      <c r="D59" t="s">
        <v>35</v>
      </c>
      <c r="H59">
        <v>40</v>
      </c>
      <c r="J59">
        <f t="shared" si="0"/>
        <v>40</v>
      </c>
      <c r="L59">
        <f t="shared" si="1"/>
        <v>1.7857142857142856E-2</v>
      </c>
    </row>
    <row r="60" spans="1:12" x14ac:dyDescent="0.25">
      <c r="A60">
        <v>1729</v>
      </c>
      <c r="B60" t="s">
        <v>43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1729</v>
      </c>
      <c r="B61" t="s">
        <v>5</v>
      </c>
      <c r="C61" t="s">
        <v>56</v>
      </c>
      <c r="D61" t="s">
        <v>35</v>
      </c>
      <c r="F61">
        <v>9</v>
      </c>
      <c r="J61">
        <f t="shared" si="0"/>
        <v>1008</v>
      </c>
      <c r="L61">
        <f t="shared" si="1"/>
        <v>0.45</v>
      </c>
    </row>
    <row r="62" spans="1:12" x14ac:dyDescent="0.25">
      <c r="A62">
        <v>1729</v>
      </c>
      <c r="B62" t="s">
        <v>59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1729</v>
      </c>
      <c r="B63" t="s">
        <v>6</v>
      </c>
      <c r="C63" t="s">
        <v>56</v>
      </c>
      <c r="D63" t="s">
        <v>35</v>
      </c>
      <c r="F63">
        <v>46434</v>
      </c>
      <c r="G63">
        <v>1</v>
      </c>
      <c r="H63">
        <v>21</v>
      </c>
      <c r="J63">
        <f t="shared" si="0"/>
        <v>5200657</v>
      </c>
      <c r="L63">
        <f t="shared" si="1"/>
        <v>2321.7218750000002</v>
      </c>
    </row>
    <row r="64" spans="1:12" x14ac:dyDescent="0.25">
      <c r="A64">
        <v>1729</v>
      </c>
      <c r="B64" t="s">
        <v>60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1729</v>
      </c>
      <c r="B65" t="s">
        <v>38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1729</v>
      </c>
      <c r="B66" t="s">
        <v>37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1729</v>
      </c>
      <c r="B67" t="s">
        <v>8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1729</v>
      </c>
      <c r="B68" t="s">
        <v>40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1729</v>
      </c>
      <c r="B69" t="s">
        <v>9</v>
      </c>
      <c r="C69" t="s">
        <v>56</v>
      </c>
      <c r="D69" t="s">
        <v>35</v>
      </c>
      <c r="H69">
        <f>663*200</f>
        <v>132600</v>
      </c>
      <c r="I69" t="s">
        <v>152</v>
      </c>
      <c r="J69">
        <f t="shared" si="0"/>
        <v>132600</v>
      </c>
      <c r="L69">
        <f t="shared" si="1"/>
        <v>59.196428571428569</v>
      </c>
    </row>
    <row r="70" spans="1:12" x14ac:dyDescent="0.25">
      <c r="A70">
        <v>1729</v>
      </c>
      <c r="B70" t="s">
        <v>10</v>
      </c>
      <c r="C70" t="s">
        <v>56</v>
      </c>
      <c r="D70" t="s">
        <v>35</v>
      </c>
      <c r="F70">
        <v>731</v>
      </c>
      <c r="G70">
        <v>2</v>
      </c>
      <c r="H70">
        <v>23</v>
      </c>
      <c r="J70">
        <f t="shared" si="0"/>
        <v>81951</v>
      </c>
      <c r="L70">
        <f t="shared" si="1"/>
        <v>36.58526785714286</v>
      </c>
    </row>
    <row r="71" spans="1:12" x14ac:dyDescent="0.25">
      <c r="A71">
        <v>1729</v>
      </c>
      <c r="B71" t="s">
        <v>11</v>
      </c>
      <c r="C71" t="s">
        <v>56</v>
      </c>
      <c r="D71" t="s">
        <v>35</v>
      </c>
      <c r="F71">
        <v>305</v>
      </c>
      <c r="G71">
        <v>3</v>
      </c>
      <c r="H71">
        <v>3</v>
      </c>
      <c r="J71">
        <f t="shared" ref="J71:J103" si="2">(E71*2240)+(F71*112)+(G71*28)+H71</f>
        <v>34247</v>
      </c>
      <c r="L71">
        <f t="shared" ref="L71:L103" si="3">J71/2240</f>
        <v>15.288839285714285</v>
      </c>
    </row>
    <row r="72" spans="1:12" x14ac:dyDescent="0.25">
      <c r="A72">
        <v>1729</v>
      </c>
      <c r="B72" t="s">
        <v>39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1729</v>
      </c>
      <c r="B73" t="s">
        <v>79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1729</v>
      </c>
      <c r="B74" t="s">
        <v>44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1729</v>
      </c>
      <c r="B75" t="s">
        <v>12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1729</v>
      </c>
      <c r="B76" t="s">
        <v>34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1729</v>
      </c>
      <c r="B77" t="s">
        <v>13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1729</v>
      </c>
      <c r="B78" t="s">
        <v>14</v>
      </c>
      <c r="C78" t="s">
        <v>56</v>
      </c>
      <c r="D78" t="s">
        <v>35</v>
      </c>
      <c r="H78">
        <v>730</v>
      </c>
      <c r="I78" t="s">
        <v>148</v>
      </c>
      <c r="J78">
        <f t="shared" si="2"/>
        <v>730</v>
      </c>
      <c r="L78">
        <f t="shared" si="3"/>
        <v>0.32589285714285715</v>
      </c>
    </row>
    <row r="79" spans="1:12" x14ac:dyDescent="0.25">
      <c r="A79">
        <v>1729</v>
      </c>
      <c r="B79" t="s">
        <v>23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1729</v>
      </c>
      <c r="B80" t="s">
        <v>27</v>
      </c>
      <c r="C80" t="s">
        <v>56</v>
      </c>
      <c r="D80" t="s">
        <v>35</v>
      </c>
      <c r="H80">
        <v>4701</v>
      </c>
      <c r="I80" t="s">
        <v>151</v>
      </c>
      <c r="J80">
        <f t="shared" si="2"/>
        <v>4701</v>
      </c>
      <c r="L80">
        <f t="shared" si="3"/>
        <v>2.0986607142857143</v>
      </c>
    </row>
    <row r="81" spans="1:12" x14ac:dyDescent="0.25">
      <c r="A81">
        <v>1729</v>
      </c>
      <c r="B81" t="s">
        <v>15</v>
      </c>
      <c r="C81" t="s">
        <v>56</v>
      </c>
      <c r="D81" t="s">
        <v>35</v>
      </c>
      <c r="F81">
        <v>1240</v>
      </c>
      <c r="H81">
        <v>27</v>
      </c>
      <c r="J81">
        <f t="shared" si="2"/>
        <v>138907</v>
      </c>
      <c r="L81">
        <f t="shared" si="3"/>
        <v>62.012053571428574</v>
      </c>
    </row>
    <row r="82" spans="1:12" x14ac:dyDescent="0.25">
      <c r="A82">
        <v>1729</v>
      </c>
      <c r="B82" t="s">
        <v>93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1729</v>
      </c>
      <c r="B83" t="s">
        <v>42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1729</v>
      </c>
      <c r="B84" t="s">
        <v>47</v>
      </c>
      <c r="C84" t="s">
        <v>56</v>
      </c>
      <c r="D84" t="s">
        <v>35</v>
      </c>
      <c r="H84">
        <v>30</v>
      </c>
      <c r="I84" t="s">
        <v>149</v>
      </c>
      <c r="J84">
        <f t="shared" si="2"/>
        <v>30</v>
      </c>
      <c r="L84">
        <f t="shared" si="3"/>
        <v>1.3392857142857142E-2</v>
      </c>
    </row>
    <row r="85" spans="1:12" x14ac:dyDescent="0.25">
      <c r="A85">
        <v>1729</v>
      </c>
      <c r="B85" t="s">
        <v>16</v>
      </c>
      <c r="C85" t="s">
        <v>56</v>
      </c>
      <c r="D85" t="s">
        <v>35</v>
      </c>
      <c r="H85">
        <v>985</v>
      </c>
      <c r="J85">
        <f t="shared" si="2"/>
        <v>985</v>
      </c>
      <c r="L85">
        <f t="shared" si="3"/>
        <v>0.43973214285714285</v>
      </c>
    </row>
    <row r="86" spans="1:12" x14ac:dyDescent="0.25">
      <c r="A86">
        <v>1729</v>
      </c>
      <c r="B86" t="s">
        <v>106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1729</v>
      </c>
      <c r="B87" t="s">
        <v>17</v>
      </c>
      <c r="C87" t="s">
        <v>56</v>
      </c>
      <c r="D87" t="s">
        <v>35</v>
      </c>
      <c r="F87">
        <v>2</v>
      </c>
      <c r="J87">
        <f t="shared" si="2"/>
        <v>224</v>
      </c>
      <c r="L87">
        <f t="shared" si="3"/>
        <v>0.1</v>
      </c>
    </row>
    <row r="88" spans="1:12" x14ac:dyDescent="0.25">
      <c r="A88">
        <v>1729</v>
      </c>
      <c r="B88" t="s">
        <v>18</v>
      </c>
      <c r="C88" t="s">
        <v>56</v>
      </c>
      <c r="D88" t="s">
        <v>35</v>
      </c>
      <c r="H88">
        <v>16304</v>
      </c>
      <c r="I88" t="s">
        <v>150</v>
      </c>
      <c r="J88">
        <f t="shared" si="2"/>
        <v>16304</v>
      </c>
      <c r="L88">
        <f t="shared" si="3"/>
        <v>7.2785714285714285</v>
      </c>
    </row>
    <row r="89" spans="1:12" x14ac:dyDescent="0.25">
      <c r="A89">
        <v>1729</v>
      </c>
      <c r="B89" t="s">
        <v>26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1729</v>
      </c>
      <c r="B90" t="s">
        <v>19</v>
      </c>
      <c r="C90" t="s">
        <v>56</v>
      </c>
      <c r="D90" t="s">
        <v>35</v>
      </c>
      <c r="F90">
        <v>3</v>
      </c>
      <c r="G90">
        <v>1</v>
      </c>
      <c r="H90">
        <v>11</v>
      </c>
      <c r="J90">
        <f t="shared" si="2"/>
        <v>375</v>
      </c>
      <c r="L90">
        <f t="shared" si="3"/>
        <v>0.16741071428571427</v>
      </c>
    </row>
    <row r="91" spans="1:12" x14ac:dyDescent="0.25">
      <c r="A91">
        <v>1729</v>
      </c>
      <c r="B91" t="s">
        <v>45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1729</v>
      </c>
      <c r="B92" t="s">
        <v>54</v>
      </c>
      <c r="C92" t="s">
        <v>56</v>
      </c>
      <c r="D92" t="s">
        <v>35</v>
      </c>
      <c r="H92">
        <v>178</v>
      </c>
      <c r="J92">
        <f t="shared" si="2"/>
        <v>178</v>
      </c>
      <c r="L92">
        <f t="shared" si="3"/>
        <v>7.946428571428571E-2</v>
      </c>
    </row>
    <row r="93" spans="1:12" x14ac:dyDescent="0.25">
      <c r="A93">
        <v>1729</v>
      </c>
      <c r="B93" t="s">
        <v>95</v>
      </c>
      <c r="C93" t="s">
        <v>56</v>
      </c>
      <c r="D93" t="s">
        <v>35</v>
      </c>
      <c r="H93">
        <v>6</v>
      </c>
      <c r="J93">
        <f t="shared" si="2"/>
        <v>6</v>
      </c>
      <c r="L93">
        <f t="shared" si="3"/>
        <v>2.6785714285714286E-3</v>
      </c>
    </row>
    <row r="94" spans="1:12" x14ac:dyDescent="0.25">
      <c r="A94">
        <v>1729</v>
      </c>
      <c r="B94" t="s">
        <v>20</v>
      </c>
      <c r="C94" t="s">
        <v>56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1729</v>
      </c>
      <c r="B95" t="s">
        <v>21</v>
      </c>
      <c r="C95" t="s">
        <v>56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1729</v>
      </c>
      <c r="B96" t="s">
        <v>22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1729</v>
      </c>
      <c r="B97" t="s">
        <v>61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1729</v>
      </c>
      <c r="B98" t="s">
        <v>62</v>
      </c>
      <c r="C98" t="s">
        <v>56</v>
      </c>
      <c r="D98" t="s">
        <v>35</v>
      </c>
      <c r="E98">
        <v>115</v>
      </c>
      <c r="F98">
        <v>11</v>
      </c>
      <c r="H98">
        <v>21</v>
      </c>
      <c r="J98">
        <f t="shared" si="2"/>
        <v>258853</v>
      </c>
      <c r="L98">
        <f t="shared" si="3"/>
        <v>115.559375</v>
      </c>
    </row>
    <row r="99" spans="1:12" x14ac:dyDescent="0.25">
      <c r="A99">
        <v>1729</v>
      </c>
      <c r="B99" t="s">
        <v>63</v>
      </c>
      <c r="C99" t="s">
        <v>56</v>
      </c>
      <c r="D99" t="s">
        <v>35</v>
      </c>
      <c r="E99">
        <v>2</v>
      </c>
      <c r="F99">
        <v>4</v>
      </c>
      <c r="G99">
        <v>1</v>
      </c>
      <c r="H99">
        <v>27</v>
      </c>
      <c r="J99">
        <f t="shared" si="2"/>
        <v>4983</v>
      </c>
      <c r="L99">
        <f t="shared" si="3"/>
        <v>2.2245535714285714</v>
      </c>
    </row>
    <row r="100" spans="1:12" x14ac:dyDescent="0.25">
      <c r="A100">
        <v>1729</v>
      </c>
      <c r="B100" t="s">
        <v>89</v>
      </c>
      <c r="C100" t="s">
        <v>56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1729</v>
      </c>
      <c r="B101" t="s">
        <v>70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1729</v>
      </c>
      <c r="B102" t="s">
        <v>64</v>
      </c>
      <c r="C102" t="s">
        <v>56</v>
      </c>
      <c r="D102" t="s">
        <v>35</v>
      </c>
      <c r="E102">
        <v>14</v>
      </c>
      <c r="F102">
        <v>10</v>
      </c>
      <c r="G102">
        <v>1</v>
      </c>
      <c r="H102">
        <v>12</v>
      </c>
      <c r="J102">
        <f t="shared" si="2"/>
        <v>32520</v>
      </c>
      <c r="L102">
        <f t="shared" si="3"/>
        <v>14.517857142857142</v>
      </c>
    </row>
    <row r="103" spans="1:12" x14ac:dyDescent="0.25">
      <c r="A103">
        <v>1729</v>
      </c>
      <c r="B103" t="s">
        <v>65</v>
      </c>
      <c r="C103" t="s">
        <v>56</v>
      </c>
      <c r="D103" t="s">
        <v>35</v>
      </c>
      <c r="J103">
        <f t="shared" si="2"/>
        <v>0</v>
      </c>
      <c r="L103">
        <f t="shared" si="3"/>
        <v>0</v>
      </c>
    </row>
  </sheetData>
  <autoFilter ref="A1:N57" xr:uid="{AAD1F908-12B8-4B3A-A65D-184CD229ACD4}">
    <sortState xmlns:xlrd2="http://schemas.microsoft.com/office/spreadsheetml/2017/richdata2" ref="A2:N57">
      <sortCondition ref="B1:B5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33"/>
  <sheetViews>
    <sheetView topLeftCell="A22" workbookViewId="0">
      <selection activeCell="H27" sqref="H27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1729</v>
      </c>
      <c r="B2" t="s">
        <v>66</v>
      </c>
      <c r="C2" t="s">
        <v>67</v>
      </c>
      <c r="D2" t="s">
        <v>33</v>
      </c>
      <c r="J2">
        <f t="shared" ref="J2:J33" si="0">(E2*2240)+(F2*112)+(G2*28)+H2</f>
        <v>0</v>
      </c>
      <c r="L2">
        <f t="shared" ref="L2:L33" si="1">J2/2240</f>
        <v>0</v>
      </c>
    </row>
    <row r="3" spans="1:12" x14ac:dyDescent="0.25">
      <c r="A3">
        <v>1729</v>
      </c>
      <c r="B3" t="s">
        <v>6</v>
      </c>
      <c r="C3" t="s">
        <v>67</v>
      </c>
      <c r="D3" t="s">
        <v>33</v>
      </c>
      <c r="E3" s="1"/>
      <c r="H3">
        <v>23</v>
      </c>
      <c r="I3" s="1"/>
      <c r="J3">
        <f t="shared" si="0"/>
        <v>23</v>
      </c>
      <c r="K3" s="1"/>
      <c r="L3">
        <f t="shared" si="1"/>
        <v>1.0267857142857143E-2</v>
      </c>
    </row>
    <row r="4" spans="1:12" x14ac:dyDescent="0.25">
      <c r="A4">
        <v>1729</v>
      </c>
      <c r="B4" t="s">
        <v>8</v>
      </c>
      <c r="C4" t="s">
        <v>67</v>
      </c>
      <c r="D4" t="s">
        <v>33</v>
      </c>
      <c r="E4" s="1"/>
      <c r="F4" s="2">
        <v>502</v>
      </c>
      <c r="G4" s="2">
        <v>1</v>
      </c>
      <c r="I4" s="1"/>
      <c r="J4">
        <f t="shared" si="0"/>
        <v>56252</v>
      </c>
      <c r="K4" s="1"/>
      <c r="L4">
        <f t="shared" si="1"/>
        <v>25.112500000000001</v>
      </c>
    </row>
    <row r="5" spans="1:12" x14ac:dyDescent="0.25">
      <c r="A5">
        <v>1729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1729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1729</v>
      </c>
      <c r="B7" t="s">
        <v>12</v>
      </c>
      <c r="C7" t="s">
        <v>67</v>
      </c>
      <c r="D7" t="s">
        <v>33</v>
      </c>
      <c r="H7">
        <v>50</v>
      </c>
      <c r="J7">
        <f t="shared" si="0"/>
        <v>50</v>
      </c>
      <c r="L7">
        <f t="shared" si="1"/>
        <v>2.2321428571428572E-2</v>
      </c>
    </row>
    <row r="8" spans="1:12" x14ac:dyDescent="0.25">
      <c r="A8">
        <v>1729</v>
      </c>
      <c r="B8" t="s">
        <v>27</v>
      </c>
      <c r="C8" t="s">
        <v>67</v>
      </c>
      <c r="D8" t="s">
        <v>33</v>
      </c>
      <c r="H8">
        <v>2120.5</v>
      </c>
      <c r="I8" t="s">
        <v>121</v>
      </c>
      <c r="J8">
        <f t="shared" si="0"/>
        <v>2120.5</v>
      </c>
      <c r="K8" s="1"/>
      <c r="L8">
        <f t="shared" si="1"/>
        <v>0.94665178571428577</v>
      </c>
    </row>
    <row r="9" spans="1:12" x14ac:dyDescent="0.25">
      <c r="A9">
        <v>1729</v>
      </c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1729</v>
      </c>
      <c r="B10" t="s">
        <v>106</v>
      </c>
      <c r="C10" t="s">
        <v>67</v>
      </c>
      <c r="D10" t="s">
        <v>33</v>
      </c>
      <c r="H10">
        <v>14</v>
      </c>
      <c r="J10">
        <f t="shared" si="0"/>
        <v>14</v>
      </c>
      <c r="K10" s="1"/>
      <c r="L10">
        <f t="shared" si="1"/>
        <v>6.2500000000000003E-3</v>
      </c>
    </row>
    <row r="11" spans="1:12" x14ac:dyDescent="0.25">
      <c r="A11">
        <v>1729</v>
      </c>
      <c r="B11" t="s">
        <v>17</v>
      </c>
      <c r="C11" t="s">
        <v>67</v>
      </c>
      <c r="D11" t="s">
        <v>33</v>
      </c>
      <c r="J11">
        <f t="shared" si="0"/>
        <v>0</v>
      </c>
      <c r="K11" s="1"/>
      <c r="L11">
        <f t="shared" si="1"/>
        <v>0</v>
      </c>
    </row>
    <row r="12" spans="1:12" x14ac:dyDescent="0.25">
      <c r="A12">
        <v>1729</v>
      </c>
      <c r="B12" t="s">
        <v>18</v>
      </c>
      <c r="C12" t="s">
        <v>67</v>
      </c>
      <c r="D12" t="s">
        <v>33</v>
      </c>
      <c r="H12">
        <v>1610.5</v>
      </c>
      <c r="I12" t="s">
        <v>120</v>
      </c>
      <c r="J12">
        <f t="shared" si="0"/>
        <v>1610.5</v>
      </c>
      <c r="L12">
        <f t="shared" si="1"/>
        <v>0.71897321428571426</v>
      </c>
    </row>
    <row r="13" spans="1:12" x14ac:dyDescent="0.25">
      <c r="A13">
        <v>1729</v>
      </c>
      <c r="B13" t="s">
        <v>19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1729</v>
      </c>
      <c r="B14" t="s">
        <v>21</v>
      </c>
      <c r="C14" t="s">
        <v>67</v>
      </c>
      <c r="D14" t="s">
        <v>33</v>
      </c>
      <c r="H14">
        <v>64</v>
      </c>
      <c r="J14">
        <f t="shared" si="0"/>
        <v>64</v>
      </c>
      <c r="L14">
        <f t="shared" si="1"/>
        <v>2.8571428571428571E-2</v>
      </c>
    </row>
    <row r="15" spans="1:12" x14ac:dyDescent="0.25">
      <c r="A15">
        <v>1729</v>
      </c>
      <c r="B15" t="s">
        <v>90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1729</v>
      </c>
      <c r="B16" t="s">
        <v>61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1729</v>
      </c>
      <c r="B17" t="s">
        <v>62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1729</v>
      </c>
      <c r="B18" t="s">
        <v>63</v>
      </c>
      <c r="C18" t="s">
        <v>67</v>
      </c>
      <c r="D18" t="s">
        <v>33</v>
      </c>
      <c r="F18">
        <v>4</v>
      </c>
      <c r="G18">
        <v>2</v>
      </c>
      <c r="H18">
        <v>9</v>
      </c>
      <c r="J18">
        <f t="shared" si="0"/>
        <v>513</v>
      </c>
      <c r="L18">
        <f t="shared" si="1"/>
        <v>0.22901785714285713</v>
      </c>
    </row>
    <row r="19" spans="1:12" x14ac:dyDescent="0.25">
      <c r="A19">
        <v>1729</v>
      </c>
      <c r="B19" t="s">
        <v>89</v>
      </c>
      <c r="C19" t="s">
        <v>67</v>
      </c>
      <c r="D19" t="s">
        <v>33</v>
      </c>
      <c r="E19">
        <v>80</v>
      </c>
      <c r="F19">
        <v>3</v>
      </c>
      <c r="J19">
        <f t="shared" si="0"/>
        <v>179536</v>
      </c>
      <c r="L19">
        <f t="shared" si="1"/>
        <v>80.150000000000006</v>
      </c>
    </row>
    <row r="20" spans="1:12" x14ac:dyDescent="0.25">
      <c r="A20">
        <v>1729</v>
      </c>
      <c r="B20" t="s">
        <v>70</v>
      </c>
      <c r="C20" t="s">
        <v>67</v>
      </c>
      <c r="D20" t="s">
        <v>33</v>
      </c>
      <c r="E20">
        <v>38</v>
      </c>
      <c r="J20">
        <f t="shared" si="0"/>
        <v>85120</v>
      </c>
      <c r="L20">
        <f t="shared" si="1"/>
        <v>38</v>
      </c>
    </row>
    <row r="21" spans="1:12" x14ac:dyDescent="0.25">
      <c r="A21">
        <v>1729</v>
      </c>
      <c r="B21" t="s">
        <v>6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1729</v>
      </c>
      <c r="B22" t="s">
        <v>12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1729</v>
      </c>
      <c r="B23" t="s">
        <v>41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1729</v>
      </c>
      <c r="B24" t="s">
        <v>27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1729</v>
      </c>
      <c r="B25" t="s">
        <v>17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1729</v>
      </c>
      <c r="B26" t="s">
        <v>18</v>
      </c>
      <c r="C26" t="s">
        <v>67</v>
      </c>
      <c r="D26" t="s">
        <v>35</v>
      </c>
      <c r="H26">
        <v>250</v>
      </c>
      <c r="I26" t="s">
        <v>153</v>
      </c>
      <c r="J26">
        <f t="shared" si="0"/>
        <v>250</v>
      </c>
      <c r="L26">
        <f t="shared" si="1"/>
        <v>0.11160714285714286</v>
      </c>
    </row>
    <row r="27" spans="1:12" x14ac:dyDescent="0.25">
      <c r="A27">
        <v>1729</v>
      </c>
      <c r="B27" t="s">
        <v>19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1729</v>
      </c>
      <c r="B28" t="s">
        <v>54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1729</v>
      </c>
      <c r="B29" t="s">
        <v>20</v>
      </c>
      <c r="C29" t="s">
        <v>67</v>
      </c>
      <c r="D29" t="s">
        <v>35</v>
      </c>
      <c r="H29">
        <v>23</v>
      </c>
      <c r="J29">
        <f t="shared" si="0"/>
        <v>23</v>
      </c>
      <c r="L29">
        <f t="shared" si="1"/>
        <v>1.0267857142857143E-2</v>
      </c>
    </row>
    <row r="30" spans="1:12" x14ac:dyDescent="0.25">
      <c r="A30">
        <v>1729</v>
      </c>
      <c r="B30" t="s">
        <v>9</v>
      </c>
      <c r="C30" t="s">
        <v>67</v>
      </c>
      <c r="D30" t="s">
        <v>35</v>
      </c>
      <c r="J30">
        <f t="shared" si="0"/>
        <v>0</v>
      </c>
      <c r="L30">
        <f t="shared" si="1"/>
        <v>0</v>
      </c>
    </row>
    <row r="31" spans="1:12" x14ac:dyDescent="0.25">
      <c r="A31">
        <v>1729</v>
      </c>
      <c r="B31" t="s">
        <v>8</v>
      </c>
      <c r="C31" t="s">
        <v>67</v>
      </c>
      <c r="D31" t="s">
        <v>35</v>
      </c>
      <c r="J31">
        <f t="shared" si="0"/>
        <v>0</v>
      </c>
      <c r="L31">
        <f t="shared" si="1"/>
        <v>0</v>
      </c>
    </row>
    <row r="32" spans="1:12" x14ac:dyDescent="0.25">
      <c r="A32">
        <v>1729</v>
      </c>
      <c r="B32" t="s">
        <v>61</v>
      </c>
      <c r="C32" t="s">
        <v>67</v>
      </c>
      <c r="D32" t="s">
        <v>35</v>
      </c>
      <c r="J32">
        <f t="shared" si="0"/>
        <v>0</v>
      </c>
      <c r="L32">
        <f t="shared" si="1"/>
        <v>0</v>
      </c>
    </row>
    <row r="33" spans="1:12" x14ac:dyDescent="0.25">
      <c r="A33">
        <v>1729</v>
      </c>
      <c r="B33" t="s">
        <v>63</v>
      </c>
      <c r="C33" t="s">
        <v>67</v>
      </c>
      <c r="D33" t="s">
        <v>35</v>
      </c>
      <c r="J33">
        <f t="shared" si="0"/>
        <v>0</v>
      </c>
      <c r="L33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0"/>
  <sheetViews>
    <sheetView topLeftCell="A103" zoomScaleNormal="100" workbookViewId="0">
      <selection activeCell="H109" sqref="H10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1729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1729</v>
      </c>
      <c r="B3" t="s">
        <v>57</v>
      </c>
      <c r="C3" t="s">
        <v>68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2" x14ac:dyDescent="0.25">
      <c r="A4">
        <v>1729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1729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1729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1729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1729</v>
      </c>
      <c r="B8" t="s">
        <v>101</v>
      </c>
      <c r="C8" t="s">
        <v>68</v>
      </c>
      <c r="D8" t="s">
        <v>33</v>
      </c>
      <c r="H8">
        <v>43</v>
      </c>
      <c r="J8">
        <f t="shared" si="0"/>
        <v>43</v>
      </c>
      <c r="L8">
        <f t="shared" si="1"/>
        <v>1.9196428571428573E-2</v>
      </c>
    </row>
    <row r="9" spans="1:12" x14ac:dyDescent="0.25">
      <c r="A9">
        <v>1729</v>
      </c>
      <c r="B9" t="s">
        <v>43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1729</v>
      </c>
      <c r="B10" t="s">
        <v>76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1729</v>
      </c>
      <c r="B11" t="s">
        <v>5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1729</v>
      </c>
      <c r="B12" t="s">
        <v>59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1729</v>
      </c>
      <c r="B13" t="s">
        <v>6</v>
      </c>
      <c r="C13" t="s">
        <v>68</v>
      </c>
      <c r="D13" t="s">
        <v>33</v>
      </c>
      <c r="F13">
        <v>226598</v>
      </c>
      <c r="G13">
        <v>1</v>
      </c>
      <c r="H13">
        <v>20</v>
      </c>
      <c r="J13">
        <f t="shared" si="0"/>
        <v>25379024</v>
      </c>
      <c r="L13">
        <f t="shared" si="1"/>
        <v>11329.921428571428</v>
      </c>
    </row>
    <row r="14" spans="1:12" x14ac:dyDescent="0.25">
      <c r="A14">
        <v>1729</v>
      </c>
      <c r="B14" t="s">
        <v>96</v>
      </c>
      <c r="C14" t="s">
        <v>68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1729</v>
      </c>
      <c r="B15" t="s">
        <v>60</v>
      </c>
      <c r="C15" t="s">
        <v>68</v>
      </c>
      <c r="D15" t="s">
        <v>33</v>
      </c>
      <c r="H15">
        <v>455</v>
      </c>
      <c r="J15">
        <f t="shared" si="0"/>
        <v>455</v>
      </c>
      <c r="L15">
        <f t="shared" si="1"/>
        <v>0.203125</v>
      </c>
    </row>
    <row r="16" spans="1:12" x14ac:dyDescent="0.25">
      <c r="A16">
        <v>1729</v>
      </c>
      <c r="B16" t="s">
        <v>7</v>
      </c>
      <c r="C16" t="s">
        <v>68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1729</v>
      </c>
      <c r="B17" t="s">
        <v>37</v>
      </c>
      <c r="C17" t="s">
        <v>68</v>
      </c>
      <c r="D17" t="s">
        <v>33</v>
      </c>
      <c r="H17">
        <v>65</v>
      </c>
      <c r="J17">
        <f t="shared" si="0"/>
        <v>65</v>
      </c>
      <c r="L17">
        <f t="shared" si="1"/>
        <v>2.9017857142857144E-2</v>
      </c>
    </row>
    <row r="18" spans="1:12" x14ac:dyDescent="0.25">
      <c r="A18">
        <v>1729</v>
      </c>
      <c r="B18" t="s">
        <v>8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1729</v>
      </c>
      <c r="B19" t="s">
        <v>40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1729</v>
      </c>
      <c r="B20" t="s">
        <v>77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1729</v>
      </c>
      <c r="B21" t="s">
        <v>78</v>
      </c>
      <c r="C21" t="s">
        <v>68</v>
      </c>
      <c r="D21" t="s">
        <v>33</v>
      </c>
      <c r="H21">
        <v>3540</v>
      </c>
      <c r="J21">
        <f t="shared" si="0"/>
        <v>3540</v>
      </c>
      <c r="L21">
        <f t="shared" si="1"/>
        <v>1.5803571428571428</v>
      </c>
    </row>
    <row r="22" spans="1:12" x14ac:dyDescent="0.25">
      <c r="A22">
        <v>1729</v>
      </c>
      <c r="B22" t="s">
        <v>46</v>
      </c>
      <c r="C22" t="s">
        <v>68</v>
      </c>
      <c r="D22" t="s">
        <v>33</v>
      </c>
      <c r="H22">
        <v>1833</v>
      </c>
      <c r="J22">
        <f t="shared" si="0"/>
        <v>1833</v>
      </c>
      <c r="L22">
        <f t="shared" si="1"/>
        <v>0.81830357142857146</v>
      </c>
    </row>
    <row r="23" spans="1:12" x14ac:dyDescent="0.25">
      <c r="A23">
        <v>1729</v>
      </c>
      <c r="B23" t="s">
        <v>9</v>
      </c>
      <c r="C23" t="s">
        <v>68</v>
      </c>
      <c r="D23" t="s">
        <v>33</v>
      </c>
      <c r="H23">
        <f>661*200</f>
        <v>132200</v>
      </c>
      <c r="I23" t="s">
        <v>127</v>
      </c>
      <c r="J23">
        <f t="shared" si="0"/>
        <v>132200</v>
      </c>
      <c r="L23">
        <f t="shared" si="1"/>
        <v>59.017857142857146</v>
      </c>
    </row>
    <row r="24" spans="1:12" x14ac:dyDescent="0.25">
      <c r="A24">
        <v>1729</v>
      </c>
      <c r="B24" t="s">
        <v>10</v>
      </c>
      <c r="C24" t="s">
        <v>68</v>
      </c>
      <c r="D24" t="s">
        <v>33</v>
      </c>
      <c r="F24">
        <v>3846</v>
      </c>
      <c r="G24">
        <v>3</v>
      </c>
      <c r="H24">
        <v>9</v>
      </c>
      <c r="J24">
        <f t="shared" si="0"/>
        <v>430845</v>
      </c>
      <c r="L24">
        <f t="shared" si="1"/>
        <v>192.34151785714286</v>
      </c>
    </row>
    <row r="25" spans="1:12" x14ac:dyDescent="0.25">
      <c r="A25">
        <v>1729</v>
      </c>
      <c r="B25" t="s">
        <v>11</v>
      </c>
      <c r="C25" t="s">
        <v>68</v>
      </c>
      <c r="D25" t="s">
        <v>33</v>
      </c>
      <c r="F25">
        <v>246</v>
      </c>
      <c r="G25">
        <v>1</v>
      </c>
      <c r="H25">
        <v>10</v>
      </c>
      <c r="J25">
        <f t="shared" si="0"/>
        <v>27590</v>
      </c>
      <c r="L25">
        <f t="shared" si="1"/>
        <v>12.316964285714286</v>
      </c>
    </row>
    <row r="26" spans="1:12" x14ac:dyDescent="0.25">
      <c r="A26">
        <v>1729</v>
      </c>
      <c r="B26" t="s">
        <v>39</v>
      </c>
      <c r="C26" t="s">
        <v>68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1729</v>
      </c>
      <c r="B27" t="s">
        <v>79</v>
      </c>
      <c r="C27" t="s">
        <v>68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1729</v>
      </c>
      <c r="B28" t="s">
        <v>103</v>
      </c>
      <c r="C28" t="s">
        <v>68</v>
      </c>
      <c r="D28" t="s">
        <v>33</v>
      </c>
      <c r="H28">
        <v>1485</v>
      </c>
      <c r="J28">
        <f t="shared" si="0"/>
        <v>1485</v>
      </c>
      <c r="L28">
        <f t="shared" si="1"/>
        <v>0.6629464285714286</v>
      </c>
    </row>
    <row r="29" spans="1:12" x14ac:dyDescent="0.25">
      <c r="A29">
        <v>1729</v>
      </c>
      <c r="B29" t="s">
        <v>44</v>
      </c>
      <c r="C29" t="s">
        <v>68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1729</v>
      </c>
      <c r="B30" t="s">
        <v>97</v>
      </c>
      <c r="C30" t="s">
        <v>68</v>
      </c>
      <c r="D30" t="s">
        <v>33</v>
      </c>
      <c r="H30">
        <v>70</v>
      </c>
      <c r="J30">
        <f t="shared" si="0"/>
        <v>70</v>
      </c>
      <c r="L30">
        <f t="shared" si="1"/>
        <v>3.125E-2</v>
      </c>
    </row>
    <row r="31" spans="1:12" x14ac:dyDescent="0.25">
      <c r="A31">
        <v>1729</v>
      </c>
      <c r="B31" t="s">
        <v>12</v>
      </c>
      <c r="C31" t="s">
        <v>68</v>
      </c>
      <c r="D31" t="s">
        <v>33</v>
      </c>
      <c r="H31">
        <v>173398</v>
      </c>
      <c r="J31">
        <f t="shared" si="0"/>
        <v>173398</v>
      </c>
      <c r="L31">
        <f t="shared" si="1"/>
        <v>77.409821428571433</v>
      </c>
    </row>
    <row r="32" spans="1:12" x14ac:dyDescent="0.25">
      <c r="A32">
        <v>1729</v>
      </c>
      <c r="B32" t="s">
        <v>122</v>
      </c>
      <c r="C32" t="s">
        <v>68</v>
      </c>
      <c r="D32" t="s">
        <v>33</v>
      </c>
      <c r="H32">
        <v>383</v>
      </c>
      <c r="J32">
        <f t="shared" si="0"/>
        <v>383</v>
      </c>
      <c r="L32">
        <f t="shared" si="1"/>
        <v>0.17098214285714286</v>
      </c>
    </row>
    <row r="33" spans="1:12" x14ac:dyDescent="0.25">
      <c r="A33">
        <v>1729</v>
      </c>
      <c r="B33" t="s">
        <v>34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1729</v>
      </c>
      <c r="B34" t="s">
        <v>13</v>
      </c>
      <c r="C34" t="s">
        <v>68</v>
      </c>
      <c r="D34" t="s">
        <v>33</v>
      </c>
      <c r="E34">
        <v>2</v>
      </c>
      <c r="J34">
        <f t="shared" si="0"/>
        <v>4480</v>
      </c>
      <c r="L34">
        <f t="shared" si="1"/>
        <v>2</v>
      </c>
    </row>
    <row r="35" spans="1:12" x14ac:dyDescent="0.25">
      <c r="A35">
        <v>1729</v>
      </c>
      <c r="B35" t="s">
        <v>14</v>
      </c>
      <c r="C35" t="s">
        <v>68</v>
      </c>
      <c r="D35" t="s">
        <v>33</v>
      </c>
      <c r="H35">
        <v>20225</v>
      </c>
      <c r="I35" t="s">
        <v>123</v>
      </c>
      <c r="J35">
        <f t="shared" si="0"/>
        <v>20225</v>
      </c>
      <c r="L35">
        <f t="shared" si="1"/>
        <v>9.0290178571428577</v>
      </c>
    </row>
    <row r="36" spans="1:12" x14ac:dyDescent="0.25">
      <c r="A36">
        <v>1729</v>
      </c>
      <c r="B36" t="s">
        <v>23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1729</v>
      </c>
      <c r="B37" t="s">
        <v>27</v>
      </c>
      <c r="C37" t="s">
        <v>68</v>
      </c>
      <c r="D37" t="s">
        <v>33</v>
      </c>
      <c r="H37">
        <v>142436.5</v>
      </c>
      <c r="I37" t="s">
        <v>126</v>
      </c>
      <c r="J37">
        <f t="shared" si="0"/>
        <v>142436.5</v>
      </c>
      <c r="L37">
        <f t="shared" si="1"/>
        <v>63.587723214285717</v>
      </c>
    </row>
    <row r="38" spans="1:12" x14ac:dyDescent="0.25">
      <c r="A38">
        <v>1729</v>
      </c>
      <c r="B38" t="s">
        <v>15</v>
      </c>
      <c r="C38" t="s">
        <v>68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1729</v>
      </c>
      <c r="B39" t="s">
        <v>42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1729</v>
      </c>
      <c r="B40" t="s">
        <v>83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1729</v>
      </c>
      <c r="B41" t="s">
        <v>47</v>
      </c>
      <c r="C41" t="s">
        <v>68</v>
      </c>
      <c r="D41" t="s">
        <v>33</v>
      </c>
      <c r="H41">
        <v>630</v>
      </c>
      <c r="I41" t="s">
        <v>124</v>
      </c>
      <c r="J41">
        <f t="shared" si="0"/>
        <v>630</v>
      </c>
      <c r="L41">
        <f t="shared" si="1"/>
        <v>0.28125</v>
      </c>
    </row>
    <row r="42" spans="1:12" x14ac:dyDescent="0.25">
      <c r="A42">
        <v>1729</v>
      </c>
      <c r="B42" t="s">
        <v>16</v>
      </c>
      <c r="C42" t="s">
        <v>68</v>
      </c>
      <c r="D42" t="s">
        <v>33</v>
      </c>
      <c r="H42">
        <v>284870</v>
      </c>
      <c r="J42">
        <f t="shared" si="0"/>
        <v>284870</v>
      </c>
      <c r="L42">
        <f t="shared" si="1"/>
        <v>127.17410714285714</v>
      </c>
    </row>
    <row r="43" spans="1:12" x14ac:dyDescent="0.25">
      <c r="A43">
        <v>1729</v>
      </c>
      <c r="B43" t="s">
        <v>17</v>
      </c>
      <c r="C43" t="s">
        <v>68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1729</v>
      </c>
      <c r="B44" t="s">
        <v>18</v>
      </c>
      <c r="C44" t="s">
        <v>68</v>
      </c>
      <c r="D44" t="s">
        <v>33</v>
      </c>
      <c r="H44">
        <v>1049379.5</v>
      </c>
      <c r="I44" t="s">
        <v>125</v>
      </c>
      <c r="J44">
        <f t="shared" si="0"/>
        <v>1049379.5</v>
      </c>
      <c r="L44">
        <f t="shared" si="1"/>
        <v>468.47299107142857</v>
      </c>
    </row>
    <row r="45" spans="1:12" x14ac:dyDescent="0.25">
      <c r="A45">
        <v>1729</v>
      </c>
      <c r="B45" t="s">
        <v>26</v>
      </c>
      <c r="C45" t="s">
        <v>68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1729</v>
      </c>
      <c r="B46" t="s">
        <v>84</v>
      </c>
      <c r="C46" t="s">
        <v>68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1729</v>
      </c>
      <c r="B47" t="s">
        <v>19</v>
      </c>
      <c r="C47" t="s">
        <v>68</v>
      </c>
      <c r="D47" t="s">
        <v>33</v>
      </c>
      <c r="F47">
        <v>3</v>
      </c>
      <c r="G47">
        <v>2</v>
      </c>
      <c r="H47">
        <v>7</v>
      </c>
      <c r="J47">
        <f t="shared" si="0"/>
        <v>399</v>
      </c>
      <c r="L47">
        <f t="shared" si="1"/>
        <v>0.17812500000000001</v>
      </c>
    </row>
    <row r="48" spans="1:12" x14ac:dyDescent="0.25">
      <c r="A48">
        <v>1729</v>
      </c>
      <c r="B48" t="s">
        <v>45</v>
      </c>
      <c r="C48" t="s">
        <v>68</v>
      </c>
      <c r="D48" t="s">
        <v>33</v>
      </c>
      <c r="H48">
        <v>21243</v>
      </c>
      <c r="J48">
        <f t="shared" si="0"/>
        <v>21243</v>
      </c>
      <c r="L48">
        <f t="shared" si="1"/>
        <v>9.4834821428571434</v>
      </c>
    </row>
    <row r="49" spans="1:12" x14ac:dyDescent="0.25">
      <c r="A49">
        <v>1729</v>
      </c>
      <c r="B49" t="s">
        <v>85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1729</v>
      </c>
      <c r="B50" t="s">
        <v>54</v>
      </c>
      <c r="C50" t="s">
        <v>68</v>
      </c>
      <c r="D50" t="s">
        <v>33</v>
      </c>
      <c r="H50">
        <v>2160</v>
      </c>
      <c r="J50">
        <f t="shared" si="0"/>
        <v>2160</v>
      </c>
      <c r="L50">
        <f t="shared" si="1"/>
        <v>0.9642857142857143</v>
      </c>
    </row>
    <row r="51" spans="1:12" x14ac:dyDescent="0.25">
      <c r="A51">
        <v>1729</v>
      </c>
      <c r="B51" t="s">
        <v>95</v>
      </c>
      <c r="C51" t="s">
        <v>68</v>
      </c>
      <c r="D51" t="s">
        <v>33</v>
      </c>
      <c r="H51">
        <v>397</v>
      </c>
      <c r="J51">
        <f t="shared" si="0"/>
        <v>397</v>
      </c>
      <c r="L51">
        <f t="shared" si="1"/>
        <v>0.17723214285714287</v>
      </c>
    </row>
    <row r="52" spans="1:12" x14ac:dyDescent="0.25">
      <c r="A52">
        <v>1729</v>
      </c>
      <c r="B52" t="s">
        <v>20</v>
      </c>
      <c r="C52" t="s">
        <v>68</v>
      </c>
      <c r="D52" t="s">
        <v>33</v>
      </c>
      <c r="H52">
        <v>92</v>
      </c>
      <c r="J52">
        <f t="shared" si="0"/>
        <v>92</v>
      </c>
      <c r="L52">
        <f t="shared" si="1"/>
        <v>4.1071428571428571E-2</v>
      </c>
    </row>
    <row r="53" spans="1:12" x14ac:dyDescent="0.25">
      <c r="A53">
        <v>1729</v>
      </c>
      <c r="B53" t="s">
        <v>21</v>
      </c>
      <c r="C53" t="s">
        <v>68</v>
      </c>
      <c r="D53" t="s">
        <v>33</v>
      </c>
      <c r="H53">
        <v>5315</v>
      </c>
      <c r="J53">
        <f t="shared" si="0"/>
        <v>5315</v>
      </c>
      <c r="L53">
        <f t="shared" si="1"/>
        <v>2.3727678571428572</v>
      </c>
    </row>
    <row r="54" spans="1:12" x14ac:dyDescent="0.25">
      <c r="A54">
        <v>1729</v>
      </c>
      <c r="B54" t="s">
        <v>90</v>
      </c>
      <c r="C54" t="s">
        <v>68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1729</v>
      </c>
      <c r="B55" t="s">
        <v>22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1729</v>
      </c>
      <c r="B56" t="s">
        <v>61</v>
      </c>
      <c r="C56" t="s">
        <v>68</v>
      </c>
      <c r="D56" t="s">
        <v>33</v>
      </c>
      <c r="E56">
        <v>13</v>
      </c>
      <c r="F56">
        <v>10</v>
      </c>
      <c r="J56">
        <f t="shared" si="0"/>
        <v>30240</v>
      </c>
      <c r="L56">
        <f t="shared" si="1"/>
        <v>13.5</v>
      </c>
    </row>
    <row r="57" spans="1:12" x14ac:dyDescent="0.25">
      <c r="A57">
        <v>1729</v>
      </c>
      <c r="B57" t="s">
        <v>98</v>
      </c>
      <c r="C57" t="s">
        <v>68</v>
      </c>
      <c r="D57" t="s">
        <v>33</v>
      </c>
      <c r="E57">
        <v>19</v>
      </c>
      <c r="J57">
        <f t="shared" si="0"/>
        <v>42560</v>
      </c>
      <c r="L57">
        <f t="shared" si="1"/>
        <v>19</v>
      </c>
    </row>
    <row r="58" spans="1:12" x14ac:dyDescent="0.25">
      <c r="A58">
        <v>1729</v>
      </c>
      <c r="B58" t="s">
        <v>87</v>
      </c>
      <c r="C58" t="s">
        <v>68</v>
      </c>
      <c r="D58" t="s">
        <v>33</v>
      </c>
      <c r="E58">
        <v>10</v>
      </c>
      <c r="J58">
        <f t="shared" si="0"/>
        <v>22400</v>
      </c>
      <c r="L58">
        <f t="shared" si="1"/>
        <v>10</v>
      </c>
    </row>
    <row r="59" spans="1:12" x14ac:dyDescent="0.25">
      <c r="A59">
        <v>1729</v>
      </c>
      <c r="B59" t="s">
        <v>62</v>
      </c>
      <c r="C59" t="s">
        <v>68</v>
      </c>
      <c r="D59" t="s">
        <v>33</v>
      </c>
      <c r="E59">
        <v>11</v>
      </c>
      <c r="J59">
        <f t="shared" si="0"/>
        <v>24640</v>
      </c>
      <c r="L59">
        <f t="shared" si="1"/>
        <v>11</v>
      </c>
    </row>
    <row r="60" spans="1:12" x14ac:dyDescent="0.25">
      <c r="A60">
        <v>1729</v>
      </c>
      <c r="B60" t="s">
        <v>88</v>
      </c>
      <c r="C60" t="s">
        <v>68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1729</v>
      </c>
      <c r="B61" t="s">
        <v>63</v>
      </c>
      <c r="C61" t="s">
        <v>68</v>
      </c>
      <c r="D61" t="s">
        <v>33</v>
      </c>
      <c r="E61">
        <v>146</v>
      </c>
      <c r="F61">
        <v>13</v>
      </c>
      <c r="G61">
        <v>1</v>
      </c>
      <c r="H61">
        <v>10</v>
      </c>
      <c r="J61">
        <f t="shared" si="0"/>
        <v>328534</v>
      </c>
      <c r="L61">
        <f t="shared" si="1"/>
        <v>146.66696428571427</v>
      </c>
    </row>
    <row r="62" spans="1:12" x14ac:dyDescent="0.25">
      <c r="A62">
        <v>1729</v>
      </c>
      <c r="B62" t="s">
        <v>89</v>
      </c>
      <c r="C62" t="s">
        <v>68</v>
      </c>
      <c r="D62" t="s">
        <v>33</v>
      </c>
      <c r="E62">
        <v>342</v>
      </c>
      <c r="J62">
        <f t="shared" si="0"/>
        <v>766080</v>
      </c>
      <c r="L62">
        <f t="shared" si="1"/>
        <v>342</v>
      </c>
    </row>
    <row r="63" spans="1:12" x14ac:dyDescent="0.25">
      <c r="A63">
        <v>1729</v>
      </c>
      <c r="B63" t="s">
        <v>70</v>
      </c>
      <c r="C63" t="s">
        <v>68</v>
      </c>
      <c r="D63" t="s">
        <v>33</v>
      </c>
      <c r="E63">
        <v>9</v>
      </c>
      <c r="F63">
        <v>16</v>
      </c>
      <c r="J63">
        <f t="shared" si="0"/>
        <v>21952</v>
      </c>
      <c r="L63">
        <f t="shared" si="1"/>
        <v>9.8000000000000007</v>
      </c>
    </row>
    <row r="64" spans="1:12" x14ac:dyDescent="0.25">
      <c r="A64">
        <v>1729</v>
      </c>
      <c r="B64" t="s">
        <v>64</v>
      </c>
      <c r="C64" t="s">
        <v>68</v>
      </c>
      <c r="D64" t="s">
        <v>33</v>
      </c>
      <c r="E64">
        <v>10</v>
      </c>
      <c r="J64">
        <f t="shared" si="0"/>
        <v>22400</v>
      </c>
      <c r="L64">
        <f t="shared" si="1"/>
        <v>10</v>
      </c>
    </row>
    <row r="65" spans="1:12" x14ac:dyDescent="0.25">
      <c r="A65">
        <v>1729</v>
      </c>
      <c r="B65" t="s">
        <v>65</v>
      </c>
      <c r="C65" t="s">
        <v>68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1729</v>
      </c>
      <c r="B66" t="s">
        <v>55</v>
      </c>
      <c r="C66" t="s">
        <v>68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1729</v>
      </c>
      <c r="B67" t="s">
        <v>57</v>
      </c>
      <c r="C67" t="s">
        <v>68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1729</v>
      </c>
      <c r="B68" t="s">
        <v>36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1729</v>
      </c>
      <c r="B69" t="s">
        <v>4</v>
      </c>
      <c r="C69" t="s">
        <v>68</v>
      </c>
      <c r="D69" t="s">
        <v>35</v>
      </c>
      <c r="J69">
        <f t="shared" ref="J69:J130" si="2">(E69*2240)+(F69*112)+(G69*28)+H69</f>
        <v>0</v>
      </c>
      <c r="L69">
        <f t="shared" ref="L69:L130" si="3">J69/2240</f>
        <v>0</v>
      </c>
    </row>
    <row r="70" spans="1:12" x14ac:dyDescent="0.25">
      <c r="A70">
        <v>1729</v>
      </c>
      <c r="B70" t="s">
        <v>58</v>
      </c>
      <c r="C70" t="s">
        <v>68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1729</v>
      </c>
      <c r="B71" t="s">
        <v>69</v>
      </c>
      <c r="C71" t="s">
        <v>68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1729</v>
      </c>
      <c r="B72" t="s">
        <v>101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1729</v>
      </c>
      <c r="B73" t="s">
        <v>43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1729</v>
      </c>
      <c r="B74" t="s">
        <v>76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1729</v>
      </c>
      <c r="B75" t="s">
        <v>5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1729</v>
      </c>
      <c r="B76" t="s">
        <v>59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1729</v>
      </c>
      <c r="B77" t="s">
        <v>6</v>
      </c>
      <c r="C77" t="s">
        <v>68</v>
      </c>
      <c r="D77" t="s">
        <v>35</v>
      </c>
      <c r="F77">
        <v>128088</v>
      </c>
      <c r="G77">
        <v>1</v>
      </c>
      <c r="H77">
        <v>18</v>
      </c>
      <c r="J77">
        <f t="shared" si="2"/>
        <v>14345902</v>
      </c>
      <c r="L77">
        <f t="shared" si="3"/>
        <v>6404.4205357142855</v>
      </c>
    </row>
    <row r="78" spans="1:12" x14ac:dyDescent="0.25">
      <c r="A78">
        <v>1729</v>
      </c>
      <c r="B78" t="s">
        <v>60</v>
      </c>
      <c r="C78" t="s">
        <v>68</v>
      </c>
      <c r="D78" t="s">
        <v>35</v>
      </c>
      <c r="H78">
        <v>119</v>
      </c>
      <c r="J78">
        <f t="shared" si="2"/>
        <v>119</v>
      </c>
      <c r="L78">
        <f t="shared" si="3"/>
        <v>5.3124999999999999E-2</v>
      </c>
    </row>
    <row r="79" spans="1:12" x14ac:dyDescent="0.25">
      <c r="A79">
        <v>1729</v>
      </c>
      <c r="B79" t="s">
        <v>38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1729</v>
      </c>
      <c r="B80" t="s">
        <v>37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1729</v>
      </c>
      <c r="B81" t="s">
        <v>8</v>
      </c>
      <c r="C81" t="s">
        <v>68</v>
      </c>
      <c r="D81" t="s">
        <v>35</v>
      </c>
      <c r="F81">
        <v>134</v>
      </c>
      <c r="G81">
        <v>3</v>
      </c>
      <c r="H81">
        <v>12</v>
      </c>
      <c r="J81">
        <f t="shared" si="2"/>
        <v>15104</v>
      </c>
      <c r="L81">
        <f t="shared" si="3"/>
        <v>6.7428571428571429</v>
      </c>
    </row>
    <row r="82" spans="1:12" x14ac:dyDescent="0.25">
      <c r="A82">
        <v>1729</v>
      </c>
      <c r="B82" t="s">
        <v>40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1729</v>
      </c>
      <c r="B83" t="s">
        <v>77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1729</v>
      </c>
      <c r="B84" t="s">
        <v>78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1729</v>
      </c>
      <c r="B85" t="s">
        <v>46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1729</v>
      </c>
      <c r="B86" t="s">
        <v>9</v>
      </c>
      <c r="C86" t="s">
        <v>68</v>
      </c>
      <c r="D86" t="s">
        <v>35</v>
      </c>
      <c r="H86">
        <f>1285*200</f>
        <v>257000</v>
      </c>
      <c r="I86" t="s">
        <v>158</v>
      </c>
      <c r="J86">
        <f t="shared" si="2"/>
        <v>257000</v>
      </c>
      <c r="L86">
        <f t="shared" si="3"/>
        <v>114.73214285714286</v>
      </c>
    </row>
    <row r="87" spans="1:12" x14ac:dyDescent="0.25">
      <c r="A87">
        <v>1729</v>
      </c>
      <c r="B87" t="s">
        <v>10</v>
      </c>
      <c r="C87" t="s">
        <v>68</v>
      </c>
      <c r="D87" t="s">
        <v>35</v>
      </c>
      <c r="F87">
        <v>5436</v>
      </c>
      <c r="G87">
        <v>3</v>
      </c>
      <c r="H87">
        <v>20</v>
      </c>
      <c r="J87">
        <f t="shared" si="2"/>
        <v>608936</v>
      </c>
      <c r="L87">
        <f t="shared" si="3"/>
        <v>271.84642857142859</v>
      </c>
    </row>
    <row r="88" spans="1:12" x14ac:dyDescent="0.25">
      <c r="A88">
        <v>1729</v>
      </c>
      <c r="B88" t="s">
        <v>11</v>
      </c>
      <c r="C88" t="s">
        <v>68</v>
      </c>
      <c r="D88" t="s">
        <v>35</v>
      </c>
      <c r="F88">
        <v>146</v>
      </c>
      <c r="G88">
        <v>1</v>
      </c>
      <c r="H88">
        <v>27</v>
      </c>
      <c r="J88">
        <f t="shared" si="2"/>
        <v>16407</v>
      </c>
      <c r="L88">
        <f t="shared" si="3"/>
        <v>7.324553571428571</v>
      </c>
    </row>
    <row r="89" spans="1:12" x14ac:dyDescent="0.25">
      <c r="A89">
        <v>1729</v>
      </c>
      <c r="B89" t="s">
        <v>39</v>
      </c>
      <c r="C89" t="s">
        <v>68</v>
      </c>
      <c r="D89" t="s">
        <v>35</v>
      </c>
      <c r="H89">
        <v>29</v>
      </c>
      <c r="J89">
        <f t="shared" si="2"/>
        <v>29</v>
      </c>
      <c r="L89">
        <f t="shared" si="3"/>
        <v>1.2946428571428572E-2</v>
      </c>
    </row>
    <row r="90" spans="1:12" x14ac:dyDescent="0.25">
      <c r="A90">
        <v>1729</v>
      </c>
      <c r="B90" t="s">
        <v>79</v>
      </c>
      <c r="C90" t="s">
        <v>68</v>
      </c>
      <c r="D90" t="s">
        <v>35</v>
      </c>
      <c r="H90">
        <v>1022</v>
      </c>
      <c r="J90">
        <f t="shared" si="2"/>
        <v>1022</v>
      </c>
      <c r="L90">
        <f t="shared" si="3"/>
        <v>0.45624999999999999</v>
      </c>
    </row>
    <row r="91" spans="1:12" x14ac:dyDescent="0.25">
      <c r="A91">
        <v>1729</v>
      </c>
      <c r="B91" t="s">
        <v>103</v>
      </c>
      <c r="C91" t="s">
        <v>68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1729</v>
      </c>
      <c r="B92" t="s">
        <v>44</v>
      </c>
      <c r="C92" t="s">
        <v>68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1729</v>
      </c>
      <c r="B93" t="s">
        <v>97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1729</v>
      </c>
      <c r="B94" t="s">
        <v>12</v>
      </c>
      <c r="C94" t="s">
        <v>68</v>
      </c>
      <c r="D94" t="s">
        <v>35</v>
      </c>
      <c r="H94">
        <v>35850</v>
      </c>
      <c r="J94">
        <f t="shared" si="2"/>
        <v>35850</v>
      </c>
      <c r="L94">
        <f t="shared" si="3"/>
        <v>16.004464285714285</v>
      </c>
    </row>
    <row r="95" spans="1:12" x14ac:dyDescent="0.25">
      <c r="A95">
        <v>1729</v>
      </c>
      <c r="B95" t="s">
        <v>82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1729</v>
      </c>
      <c r="B96" t="s">
        <v>34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1729</v>
      </c>
      <c r="B97" t="s">
        <v>13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1729</v>
      </c>
      <c r="B98" t="s">
        <v>14</v>
      </c>
      <c r="C98" t="s">
        <v>68</v>
      </c>
      <c r="D98" t="s">
        <v>35</v>
      </c>
      <c r="H98">
        <v>13083.5</v>
      </c>
      <c r="I98" t="s">
        <v>154</v>
      </c>
      <c r="J98">
        <f t="shared" si="2"/>
        <v>13083.5</v>
      </c>
      <c r="L98">
        <f t="shared" si="3"/>
        <v>5.8408482142857139</v>
      </c>
    </row>
    <row r="99" spans="1:12" x14ac:dyDescent="0.25">
      <c r="A99">
        <v>1729</v>
      </c>
      <c r="B99" t="s">
        <v>23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1729</v>
      </c>
      <c r="B100" t="s">
        <v>27</v>
      </c>
      <c r="C100" t="s">
        <v>68</v>
      </c>
      <c r="D100" t="s">
        <v>35</v>
      </c>
      <c r="H100">
        <v>43311</v>
      </c>
      <c r="I100" t="s">
        <v>157</v>
      </c>
      <c r="J100">
        <f t="shared" si="2"/>
        <v>43311</v>
      </c>
      <c r="L100">
        <f t="shared" si="3"/>
        <v>19.335267857142856</v>
      </c>
    </row>
    <row r="101" spans="1:12" x14ac:dyDescent="0.25">
      <c r="A101">
        <v>1729</v>
      </c>
      <c r="B101" t="s">
        <v>15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1729</v>
      </c>
      <c r="B102" t="s">
        <v>93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1729</v>
      </c>
      <c r="B103" t="s">
        <v>42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1729</v>
      </c>
      <c r="B104" t="s">
        <v>83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1729</v>
      </c>
      <c r="B105" t="s">
        <v>47</v>
      </c>
      <c r="C105" t="s">
        <v>68</v>
      </c>
      <c r="D105" t="s">
        <v>35</v>
      </c>
      <c r="H105">
        <v>130</v>
      </c>
      <c r="I105" t="s">
        <v>155</v>
      </c>
      <c r="J105">
        <f t="shared" si="2"/>
        <v>130</v>
      </c>
      <c r="L105">
        <f t="shared" si="3"/>
        <v>5.8035714285714288E-2</v>
      </c>
    </row>
    <row r="106" spans="1:12" x14ac:dyDescent="0.25">
      <c r="A106">
        <v>1729</v>
      </c>
      <c r="B106" t="s">
        <v>16</v>
      </c>
      <c r="C106" t="s">
        <v>68</v>
      </c>
      <c r="D106" t="s">
        <v>35</v>
      </c>
      <c r="H106">
        <v>210431</v>
      </c>
      <c r="J106">
        <f t="shared" si="2"/>
        <v>210431</v>
      </c>
      <c r="L106">
        <f t="shared" si="3"/>
        <v>93.942410714285714</v>
      </c>
    </row>
    <row r="107" spans="1:12" x14ac:dyDescent="0.25">
      <c r="A107">
        <v>1729</v>
      </c>
      <c r="B107" t="s">
        <v>17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1729</v>
      </c>
      <c r="B108" t="s">
        <v>18</v>
      </c>
      <c r="C108" t="s">
        <v>68</v>
      </c>
      <c r="D108" t="s">
        <v>35</v>
      </c>
      <c r="H108">
        <v>281872.5</v>
      </c>
      <c r="I108" t="s">
        <v>156</v>
      </c>
      <c r="J108">
        <f t="shared" si="2"/>
        <v>281872.5</v>
      </c>
      <c r="L108">
        <f t="shared" si="3"/>
        <v>125.8359375</v>
      </c>
    </row>
    <row r="109" spans="1:12" x14ac:dyDescent="0.25">
      <c r="A109">
        <v>1729</v>
      </c>
      <c r="B109" t="s">
        <v>26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1729</v>
      </c>
      <c r="B110" t="s">
        <v>84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1729</v>
      </c>
      <c r="B111" t="s">
        <v>19</v>
      </c>
      <c r="C111" t="s">
        <v>68</v>
      </c>
      <c r="D111" t="s">
        <v>35</v>
      </c>
      <c r="F111">
        <v>1</v>
      </c>
      <c r="H111">
        <v>20</v>
      </c>
      <c r="J111">
        <f t="shared" si="2"/>
        <v>132</v>
      </c>
      <c r="L111">
        <f t="shared" si="3"/>
        <v>5.8928571428571427E-2</v>
      </c>
    </row>
    <row r="112" spans="1:12" x14ac:dyDescent="0.25">
      <c r="A112">
        <v>1729</v>
      </c>
      <c r="B112" t="s">
        <v>45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1729</v>
      </c>
      <c r="B113" t="s">
        <v>85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1729</v>
      </c>
      <c r="B114" t="s">
        <v>54</v>
      </c>
      <c r="C114" t="s">
        <v>68</v>
      </c>
      <c r="D114" t="s">
        <v>35</v>
      </c>
      <c r="H114">
        <v>197</v>
      </c>
      <c r="J114">
        <f t="shared" si="2"/>
        <v>197</v>
      </c>
      <c r="L114">
        <f t="shared" si="3"/>
        <v>8.7946428571428578E-2</v>
      </c>
    </row>
    <row r="115" spans="1:12" x14ac:dyDescent="0.25">
      <c r="A115">
        <v>1729</v>
      </c>
      <c r="B115" t="s">
        <v>95</v>
      </c>
      <c r="C115" t="s">
        <v>68</v>
      </c>
      <c r="D115" t="s">
        <v>35</v>
      </c>
      <c r="H115">
        <v>20</v>
      </c>
      <c r="J115">
        <f t="shared" si="2"/>
        <v>20</v>
      </c>
      <c r="L115">
        <f t="shared" si="3"/>
        <v>8.9285714285714281E-3</v>
      </c>
    </row>
    <row r="116" spans="1:12" x14ac:dyDescent="0.25">
      <c r="A116">
        <v>1729</v>
      </c>
      <c r="B116" t="s">
        <v>20</v>
      </c>
      <c r="C116" t="s">
        <v>68</v>
      </c>
      <c r="D116" t="s">
        <v>35</v>
      </c>
      <c r="H116">
        <v>646</v>
      </c>
      <c r="J116">
        <f t="shared" si="2"/>
        <v>646</v>
      </c>
      <c r="L116">
        <f t="shared" si="3"/>
        <v>0.28839285714285712</v>
      </c>
    </row>
    <row r="117" spans="1:12" x14ac:dyDescent="0.25">
      <c r="A117">
        <v>1729</v>
      </c>
      <c r="B117" t="s">
        <v>21</v>
      </c>
      <c r="C117" t="s">
        <v>68</v>
      </c>
      <c r="D117" t="s">
        <v>35</v>
      </c>
      <c r="H117">
        <v>1682</v>
      </c>
      <c r="J117">
        <f t="shared" si="2"/>
        <v>1682</v>
      </c>
      <c r="L117">
        <f t="shared" si="3"/>
        <v>0.75089285714285714</v>
      </c>
    </row>
    <row r="118" spans="1:12" x14ac:dyDescent="0.25">
      <c r="A118">
        <v>1729</v>
      </c>
      <c r="B118" t="s">
        <v>90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1729</v>
      </c>
      <c r="B119" t="s">
        <v>22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1729</v>
      </c>
      <c r="B120" t="s">
        <v>61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1729</v>
      </c>
      <c r="B121" t="s">
        <v>91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1729</v>
      </c>
      <c r="B122" t="s">
        <v>98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1729</v>
      </c>
      <c r="B123" t="s">
        <v>87</v>
      </c>
      <c r="C123" t="s">
        <v>68</v>
      </c>
      <c r="D123" t="s">
        <v>35</v>
      </c>
      <c r="E123">
        <v>4</v>
      </c>
      <c r="F123">
        <v>10</v>
      </c>
      <c r="J123">
        <f t="shared" si="2"/>
        <v>10080</v>
      </c>
      <c r="L123">
        <f t="shared" si="3"/>
        <v>4.5</v>
      </c>
    </row>
    <row r="124" spans="1:12" x14ac:dyDescent="0.25">
      <c r="A124">
        <v>1729</v>
      </c>
      <c r="B124" t="s">
        <v>62</v>
      </c>
      <c r="C124" t="s">
        <v>68</v>
      </c>
      <c r="D124" t="s">
        <v>35</v>
      </c>
      <c r="E124">
        <v>4</v>
      </c>
      <c r="J124">
        <f t="shared" si="2"/>
        <v>8960</v>
      </c>
      <c r="L124">
        <f t="shared" si="3"/>
        <v>4</v>
      </c>
    </row>
    <row r="125" spans="1:12" x14ac:dyDescent="0.25">
      <c r="A125">
        <v>1729</v>
      </c>
      <c r="B125" t="s">
        <v>88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1729</v>
      </c>
      <c r="B126" t="s">
        <v>63</v>
      </c>
      <c r="C126" t="s">
        <v>68</v>
      </c>
      <c r="D126" t="s">
        <v>35</v>
      </c>
      <c r="E126">
        <v>171</v>
      </c>
      <c r="F126">
        <v>17</v>
      </c>
      <c r="G126">
        <v>3</v>
      </c>
      <c r="H126">
        <v>24</v>
      </c>
      <c r="J126">
        <f t="shared" si="2"/>
        <v>385052</v>
      </c>
      <c r="L126">
        <f t="shared" si="3"/>
        <v>171.89821428571429</v>
      </c>
    </row>
    <row r="127" spans="1:12" x14ac:dyDescent="0.25">
      <c r="A127">
        <v>1729</v>
      </c>
      <c r="B127" t="s">
        <v>89</v>
      </c>
      <c r="C127" t="s">
        <v>68</v>
      </c>
      <c r="D127" t="s">
        <v>35</v>
      </c>
      <c r="E127">
        <v>58</v>
      </c>
      <c r="F127">
        <v>13</v>
      </c>
      <c r="H127">
        <v>22</v>
      </c>
      <c r="J127">
        <f t="shared" si="2"/>
        <v>131398</v>
      </c>
      <c r="L127">
        <f t="shared" si="3"/>
        <v>58.659821428571426</v>
      </c>
    </row>
    <row r="128" spans="1:12" x14ac:dyDescent="0.25">
      <c r="A128">
        <v>1729</v>
      </c>
      <c r="B128" t="s">
        <v>70</v>
      </c>
      <c r="C128" t="s">
        <v>68</v>
      </c>
      <c r="D128" t="s">
        <v>35</v>
      </c>
      <c r="E128">
        <v>56</v>
      </c>
      <c r="F128">
        <v>9</v>
      </c>
      <c r="G128">
        <v>1</v>
      </c>
      <c r="H128">
        <v>9</v>
      </c>
      <c r="J128">
        <f t="shared" si="2"/>
        <v>126485</v>
      </c>
      <c r="L128">
        <f t="shared" si="3"/>
        <v>56.466517857142854</v>
      </c>
    </row>
    <row r="129" spans="1:12" x14ac:dyDescent="0.25">
      <c r="A129">
        <v>1729</v>
      </c>
      <c r="B129" t="s">
        <v>64</v>
      </c>
      <c r="C129" t="s">
        <v>68</v>
      </c>
      <c r="D129" t="s">
        <v>35</v>
      </c>
      <c r="E129">
        <v>2</v>
      </c>
      <c r="F129">
        <v>6</v>
      </c>
      <c r="H129">
        <v>27</v>
      </c>
      <c r="J129">
        <f t="shared" si="2"/>
        <v>5179</v>
      </c>
      <c r="L129">
        <f t="shared" si="3"/>
        <v>2.3120535714285713</v>
      </c>
    </row>
    <row r="130" spans="1:12" x14ac:dyDescent="0.25">
      <c r="A130">
        <v>1729</v>
      </c>
      <c r="B130" t="s">
        <v>65</v>
      </c>
      <c r="C130" t="s">
        <v>68</v>
      </c>
      <c r="D130" t="s">
        <v>35</v>
      </c>
      <c r="J130">
        <f t="shared" si="2"/>
        <v>0</v>
      </c>
      <c r="L130">
        <f t="shared" si="3"/>
        <v>0</v>
      </c>
    </row>
  </sheetData>
  <autoFilter ref="A1:O61" xr:uid="{8C2F7725-5A61-4A1B-A740-CC887BCB0E68}">
    <sortState xmlns:xlrd2="http://schemas.microsoft.com/office/spreadsheetml/2017/richdata2" ref="A2:O61">
      <sortCondition ref="B1:B6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114" workbookViewId="0">
      <selection activeCell="H46" sqref="H4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1729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1729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1729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1729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1729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1729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1729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1729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1729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1729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1729</v>
      </c>
      <c r="B12" t="s">
        <v>6</v>
      </c>
      <c r="C12" t="s">
        <v>72</v>
      </c>
      <c r="D12" t="s">
        <v>33</v>
      </c>
      <c r="F12">
        <v>32615</v>
      </c>
      <c r="G12">
        <v>2</v>
      </c>
      <c r="H12">
        <v>2</v>
      </c>
      <c r="J12">
        <f t="shared" si="0"/>
        <v>3652938</v>
      </c>
      <c r="L12">
        <f t="shared" si="1"/>
        <v>1630.7758928571429</v>
      </c>
    </row>
    <row r="13" spans="1:15" x14ac:dyDescent="0.25">
      <c r="A13">
        <v>1729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1729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1729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1729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1729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1729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1729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1729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1729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1729</v>
      </c>
      <c r="B22" t="s">
        <v>9</v>
      </c>
      <c r="C22" t="s">
        <v>72</v>
      </c>
      <c r="D22" t="s">
        <v>33</v>
      </c>
      <c r="H22">
        <f>63*200</f>
        <v>12600</v>
      </c>
      <c r="I22" t="s">
        <v>131</v>
      </c>
      <c r="J22">
        <f t="shared" si="0"/>
        <v>12600</v>
      </c>
      <c r="L22">
        <f t="shared" si="1"/>
        <v>5.625</v>
      </c>
    </row>
    <row r="23" spans="1:12" x14ac:dyDescent="0.25">
      <c r="A23">
        <v>1729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1729</v>
      </c>
      <c r="B24" t="s">
        <v>11</v>
      </c>
      <c r="C24" t="s">
        <v>72</v>
      </c>
      <c r="D24" t="s">
        <v>33</v>
      </c>
      <c r="F24">
        <v>3</v>
      </c>
      <c r="G24">
        <v>3</v>
      </c>
      <c r="H24">
        <v>6</v>
      </c>
      <c r="J24">
        <f t="shared" si="0"/>
        <v>426</v>
      </c>
      <c r="L24">
        <f t="shared" si="1"/>
        <v>0.19017857142857142</v>
      </c>
    </row>
    <row r="25" spans="1:12" x14ac:dyDescent="0.25">
      <c r="A25">
        <v>1729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1729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1729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1729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1729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1729</v>
      </c>
      <c r="B30" t="s">
        <v>12</v>
      </c>
      <c r="C30" t="s">
        <v>72</v>
      </c>
      <c r="D30" t="s">
        <v>33</v>
      </c>
      <c r="H30">
        <v>740</v>
      </c>
      <c r="J30">
        <f t="shared" si="0"/>
        <v>740</v>
      </c>
      <c r="L30">
        <f t="shared" si="1"/>
        <v>0.33035714285714285</v>
      </c>
    </row>
    <row r="31" spans="1:12" x14ac:dyDescent="0.25">
      <c r="A31">
        <v>1729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1729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1729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1729</v>
      </c>
      <c r="B34" t="s">
        <v>14</v>
      </c>
      <c r="C34" t="s">
        <v>72</v>
      </c>
      <c r="D34" t="s">
        <v>33</v>
      </c>
      <c r="H34">
        <v>3971</v>
      </c>
      <c r="I34" t="s">
        <v>128</v>
      </c>
      <c r="J34">
        <f t="shared" si="0"/>
        <v>3971</v>
      </c>
      <c r="L34">
        <f t="shared" si="1"/>
        <v>1.7727678571428571</v>
      </c>
    </row>
    <row r="35" spans="1:12" x14ac:dyDescent="0.25">
      <c r="A35">
        <v>1729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1729</v>
      </c>
      <c r="B36" t="s">
        <v>27</v>
      </c>
      <c r="C36" t="s">
        <v>72</v>
      </c>
      <c r="D36" t="s">
        <v>33</v>
      </c>
      <c r="H36">
        <v>2440.5</v>
      </c>
      <c r="I36" t="s">
        <v>130</v>
      </c>
      <c r="J36">
        <f t="shared" si="0"/>
        <v>2440.5</v>
      </c>
      <c r="L36">
        <f t="shared" si="1"/>
        <v>1.0895089285714286</v>
      </c>
    </row>
    <row r="37" spans="1:12" x14ac:dyDescent="0.25">
      <c r="A37">
        <v>1729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1729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1729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1729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1729</v>
      </c>
      <c r="B41" t="s">
        <v>16</v>
      </c>
      <c r="C41" t="s">
        <v>72</v>
      </c>
      <c r="D41" t="s">
        <v>33</v>
      </c>
      <c r="H41">
        <v>11048</v>
      </c>
      <c r="J41">
        <f t="shared" si="0"/>
        <v>11048</v>
      </c>
      <c r="L41">
        <f t="shared" si="1"/>
        <v>4.9321428571428569</v>
      </c>
    </row>
    <row r="42" spans="1:12" x14ac:dyDescent="0.25">
      <c r="A42">
        <v>1729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1729</v>
      </c>
      <c r="B43" t="s">
        <v>18</v>
      </c>
      <c r="C43" t="s">
        <v>72</v>
      </c>
      <c r="D43" t="s">
        <v>33</v>
      </c>
      <c r="H43">
        <v>17774.5</v>
      </c>
      <c r="I43" t="s">
        <v>129</v>
      </c>
      <c r="J43">
        <f t="shared" si="0"/>
        <v>17774.5</v>
      </c>
      <c r="L43">
        <f t="shared" si="1"/>
        <v>7.9350446428571431</v>
      </c>
    </row>
    <row r="44" spans="1:12" x14ac:dyDescent="0.25">
      <c r="A44">
        <v>1729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1729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1729</v>
      </c>
      <c r="B46" t="s">
        <v>19</v>
      </c>
      <c r="C46" t="s">
        <v>72</v>
      </c>
      <c r="D46" t="s">
        <v>33</v>
      </c>
      <c r="H46">
        <v>6</v>
      </c>
      <c r="J46">
        <f t="shared" si="0"/>
        <v>6</v>
      </c>
      <c r="L46">
        <f t="shared" si="1"/>
        <v>2.6785714285714286E-3</v>
      </c>
    </row>
    <row r="47" spans="1:12" x14ac:dyDescent="0.25">
      <c r="A47">
        <v>1729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1729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1729</v>
      </c>
      <c r="B49" t="s">
        <v>54</v>
      </c>
      <c r="C49" t="s">
        <v>72</v>
      </c>
      <c r="D49" t="s">
        <v>33</v>
      </c>
      <c r="H49">
        <v>216</v>
      </c>
      <c r="J49">
        <f t="shared" si="0"/>
        <v>216</v>
      </c>
      <c r="L49">
        <f t="shared" si="1"/>
        <v>9.6428571428571433E-2</v>
      </c>
    </row>
    <row r="50" spans="1:12" x14ac:dyDescent="0.25">
      <c r="A50">
        <v>1729</v>
      </c>
      <c r="B50" t="s">
        <v>95</v>
      </c>
      <c r="C50" t="s">
        <v>72</v>
      </c>
      <c r="D50" t="s">
        <v>33</v>
      </c>
      <c r="H50">
        <v>20</v>
      </c>
      <c r="J50">
        <f t="shared" si="0"/>
        <v>20</v>
      </c>
      <c r="L50">
        <f t="shared" si="1"/>
        <v>8.9285714285714281E-3</v>
      </c>
    </row>
    <row r="51" spans="1:12" x14ac:dyDescent="0.25">
      <c r="A51">
        <v>1729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1729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1729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1729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1729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1729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1729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1729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1729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1729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1729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1729</v>
      </c>
      <c r="B62" t="s">
        <v>64</v>
      </c>
      <c r="C62" t="s">
        <v>72</v>
      </c>
      <c r="D62" t="s">
        <v>33</v>
      </c>
      <c r="F62">
        <v>2</v>
      </c>
      <c r="G62">
        <v>3</v>
      </c>
      <c r="H62">
        <v>12</v>
      </c>
      <c r="J62">
        <f t="shared" si="0"/>
        <v>320</v>
      </c>
      <c r="L62">
        <f t="shared" si="1"/>
        <v>0.14285714285714285</v>
      </c>
    </row>
    <row r="63" spans="1:12" x14ac:dyDescent="0.25">
      <c r="A63">
        <v>1729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1729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1729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1729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1729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1729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1729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1729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1729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1729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1729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1729</v>
      </c>
      <c r="B74" t="s">
        <v>6</v>
      </c>
      <c r="C74" t="s">
        <v>72</v>
      </c>
      <c r="D74" t="s">
        <v>35</v>
      </c>
      <c r="F74">
        <v>3700</v>
      </c>
      <c r="G74">
        <v>2</v>
      </c>
      <c r="H74">
        <v>23</v>
      </c>
      <c r="J74">
        <f t="shared" si="2"/>
        <v>414479</v>
      </c>
      <c r="L74">
        <f t="shared" si="3"/>
        <v>185.03526785714286</v>
      </c>
    </row>
    <row r="75" spans="1:12" x14ac:dyDescent="0.25">
      <c r="A75">
        <v>1729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1729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1729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1729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1729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1729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1729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1729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1729</v>
      </c>
      <c r="B83" t="s">
        <v>9</v>
      </c>
      <c r="C83" t="s">
        <v>72</v>
      </c>
      <c r="D83" t="s">
        <v>35</v>
      </c>
      <c r="H83">
        <f>37*200</f>
        <v>7400</v>
      </c>
      <c r="I83" t="s">
        <v>161</v>
      </c>
      <c r="J83">
        <f t="shared" si="2"/>
        <v>7400</v>
      </c>
      <c r="L83">
        <f t="shared" si="3"/>
        <v>3.3035714285714284</v>
      </c>
    </row>
    <row r="84" spans="1:12" x14ac:dyDescent="0.25">
      <c r="A84">
        <v>1729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1729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1729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1729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1729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1729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1729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1729</v>
      </c>
      <c r="B91" t="s">
        <v>12</v>
      </c>
      <c r="C91" t="s">
        <v>72</v>
      </c>
      <c r="D91" t="s">
        <v>35</v>
      </c>
      <c r="H91">
        <v>200</v>
      </c>
      <c r="J91">
        <f t="shared" si="2"/>
        <v>200</v>
      </c>
      <c r="L91">
        <f t="shared" si="3"/>
        <v>8.9285714285714288E-2</v>
      </c>
    </row>
    <row r="92" spans="1:12" x14ac:dyDescent="0.25">
      <c r="A92">
        <v>1729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1729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1729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1729</v>
      </c>
      <c r="B95" t="s">
        <v>14</v>
      </c>
      <c r="C95" t="s">
        <v>72</v>
      </c>
      <c r="D95" t="s">
        <v>35</v>
      </c>
      <c r="H95">
        <v>210</v>
      </c>
      <c r="I95" t="s">
        <v>159</v>
      </c>
      <c r="J95">
        <f t="shared" si="2"/>
        <v>210</v>
      </c>
      <c r="L95">
        <f t="shared" si="3"/>
        <v>9.375E-2</v>
      </c>
    </row>
    <row r="96" spans="1:12" x14ac:dyDescent="0.25">
      <c r="A96">
        <v>1729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1729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1729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1729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1729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1729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1729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1729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1729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1729</v>
      </c>
      <c r="B105" t="s">
        <v>18</v>
      </c>
      <c r="C105" t="s">
        <v>72</v>
      </c>
      <c r="D105" t="s">
        <v>35</v>
      </c>
      <c r="H105">
        <v>700</v>
      </c>
      <c r="I105" t="s">
        <v>160</v>
      </c>
      <c r="J105">
        <f t="shared" si="2"/>
        <v>700</v>
      </c>
      <c r="L105">
        <f t="shared" si="3"/>
        <v>0.3125</v>
      </c>
    </row>
    <row r="106" spans="1:12" x14ac:dyDescent="0.25">
      <c r="A106">
        <v>1729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1729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1729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1729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1729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1729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1729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1729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1729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1729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1729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1729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1729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1729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1729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1729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1729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1729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1729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1729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1729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112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1729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1729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1729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1729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1729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1729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1729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1729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1729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1729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1729</v>
      </c>
      <c r="B12" t="s">
        <v>6</v>
      </c>
      <c r="C12" t="s">
        <v>73</v>
      </c>
      <c r="D12" t="s">
        <v>33</v>
      </c>
      <c r="F12">
        <v>58761</v>
      </c>
      <c r="H12">
        <v>17</v>
      </c>
      <c r="J12">
        <f t="shared" si="0"/>
        <v>6581249</v>
      </c>
      <c r="L12">
        <f t="shared" si="1"/>
        <v>2938.0575892857141</v>
      </c>
    </row>
    <row r="13" spans="1:15" x14ac:dyDescent="0.25">
      <c r="A13">
        <v>1729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1729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1729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1729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1729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1729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1729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1729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1729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1729</v>
      </c>
      <c r="B22" t="s">
        <v>9</v>
      </c>
      <c r="C22" t="s">
        <v>73</v>
      </c>
      <c r="D22" t="s">
        <v>33</v>
      </c>
      <c r="H22">
        <f>15*200</f>
        <v>3000</v>
      </c>
      <c r="I22" t="s">
        <v>135</v>
      </c>
      <c r="J22">
        <f t="shared" si="0"/>
        <v>3000</v>
      </c>
      <c r="L22">
        <f t="shared" si="1"/>
        <v>1.3392857142857142</v>
      </c>
    </row>
    <row r="23" spans="1:12" x14ac:dyDescent="0.25">
      <c r="A23">
        <v>1729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1729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1729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1729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1729</v>
      </c>
      <c r="B27" t="s">
        <v>103</v>
      </c>
      <c r="C27" t="s">
        <v>73</v>
      </c>
      <c r="D27" t="s">
        <v>33</v>
      </c>
      <c r="H27">
        <v>37</v>
      </c>
      <c r="J27">
        <f t="shared" si="0"/>
        <v>37</v>
      </c>
      <c r="L27">
        <f t="shared" si="1"/>
        <v>1.6517857142857143E-2</v>
      </c>
    </row>
    <row r="28" spans="1:12" x14ac:dyDescent="0.25">
      <c r="A28">
        <v>1729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1729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1729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1729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1729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1729</v>
      </c>
      <c r="B33" t="s">
        <v>13</v>
      </c>
      <c r="C33" t="s">
        <v>73</v>
      </c>
      <c r="D33" t="s">
        <v>33</v>
      </c>
      <c r="E33">
        <v>6</v>
      </c>
      <c r="J33">
        <f t="shared" si="0"/>
        <v>13440</v>
      </c>
      <c r="L33">
        <f t="shared" si="1"/>
        <v>6</v>
      </c>
    </row>
    <row r="34" spans="1:12" x14ac:dyDescent="0.25">
      <c r="A34">
        <v>1729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1729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1729</v>
      </c>
      <c r="B36" t="s">
        <v>27</v>
      </c>
      <c r="C36" t="s">
        <v>73</v>
      </c>
      <c r="D36" t="s">
        <v>33</v>
      </c>
      <c r="H36">
        <v>37179.5</v>
      </c>
      <c r="I36" t="s">
        <v>134</v>
      </c>
      <c r="J36">
        <f t="shared" si="0"/>
        <v>37179.5</v>
      </c>
      <c r="L36">
        <f t="shared" si="1"/>
        <v>16.59799107142857</v>
      </c>
    </row>
    <row r="37" spans="1:12" x14ac:dyDescent="0.25">
      <c r="A37">
        <v>1729</v>
      </c>
      <c r="B37" t="s">
        <v>15</v>
      </c>
      <c r="C37" t="s">
        <v>73</v>
      </c>
      <c r="D37" t="s">
        <v>33</v>
      </c>
      <c r="F37">
        <v>10</v>
      </c>
      <c r="G37">
        <v>1</v>
      </c>
      <c r="J37">
        <f t="shared" si="0"/>
        <v>1148</v>
      </c>
      <c r="L37">
        <f t="shared" si="1"/>
        <v>0.51249999999999996</v>
      </c>
    </row>
    <row r="38" spans="1:12" x14ac:dyDescent="0.25">
      <c r="A38">
        <v>1729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1729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1729</v>
      </c>
      <c r="B40" t="s">
        <v>47</v>
      </c>
      <c r="C40" t="s">
        <v>73</v>
      </c>
      <c r="D40" t="s">
        <v>33</v>
      </c>
      <c r="H40">
        <v>50</v>
      </c>
      <c r="I40" t="s">
        <v>132</v>
      </c>
      <c r="J40">
        <f t="shared" si="0"/>
        <v>50</v>
      </c>
      <c r="L40">
        <f t="shared" si="1"/>
        <v>2.2321428571428572E-2</v>
      </c>
    </row>
    <row r="41" spans="1:12" x14ac:dyDescent="0.25">
      <c r="A41">
        <v>1729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1729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1729</v>
      </c>
      <c r="B43" t="s">
        <v>18</v>
      </c>
      <c r="C43" t="s">
        <v>73</v>
      </c>
      <c r="D43" t="s">
        <v>33</v>
      </c>
      <c r="H43">
        <v>9182.5</v>
      </c>
      <c r="I43" t="s">
        <v>133</v>
      </c>
      <c r="J43">
        <f t="shared" si="0"/>
        <v>9182.5</v>
      </c>
      <c r="L43">
        <f t="shared" si="1"/>
        <v>4.0993303571428568</v>
      </c>
    </row>
    <row r="44" spans="1:12" x14ac:dyDescent="0.25">
      <c r="A44">
        <v>1729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1729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1729</v>
      </c>
      <c r="B46" t="s">
        <v>19</v>
      </c>
      <c r="C46" t="s">
        <v>73</v>
      </c>
      <c r="D46" t="s">
        <v>33</v>
      </c>
      <c r="F46">
        <v>1</v>
      </c>
      <c r="H46">
        <v>26</v>
      </c>
      <c r="J46">
        <f t="shared" si="0"/>
        <v>138</v>
      </c>
      <c r="L46">
        <f t="shared" si="1"/>
        <v>6.160714285714286E-2</v>
      </c>
    </row>
    <row r="47" spans="1:12" x14ac:dyDescent="0.25">
      <c r="A47">
        <v>1729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1729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1729</v>
      </c>
      <c r="B49" t="s">
        <v>54</v>
      </c>
      <c r="C49" t="s">
        <v>73</v>
      </c>
      <c r="D49" t="s">
        <v>33</v>
      </c>
      <c r="H49">
        <v>99</v>
      </c>
      <c r="J49">
        <f t="shared" si="0"/>
        <v>99</v>
      </c>
      <c r="L49">
        <f t="shared" si="1"/>
        <v>4.4196428571428574E-2</v>
      </c>
    </row>
    <row r="50" spans="1:12" x14ac:dyDescent="0.25">
      <c r="A50">
        <v>1729</v>
      </c>
      <c r="B50" t="s">
        <v>95</v>
      </c>
      <c r="C50" t="s">
        <v>73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1729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1729</v>
      </c>
      <c r="B52" t="s">
        <v>21</v>
      </c>
      <c r="C52" t="s">
        <v>73</v>
      </c>
      <c r="D52" t="s">
        <v>33</v>
      </c>
      <c r="H52">
        <v>50</v>
      </c>
      <c r="J52">
        <f t="shared" si="0"/>
        <v>50</v>
      </c>
      <c r="L52">
        <f t="shared" si="1"/>
        <v>2.2321428571428572E-2</v>
      </c>
    </row>
    <row r="53" spans="1:12" x14ac:dyDescent="0.25">
      <c r="A53">
        <v>1729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1729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1729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1729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1729</v>
      </c>
      <c r="B57" t="s">
        <v>62</v>
      </c>
      <c r="C57" t="s">
        <v>73</v>
      </c>
      <c r="D57" t="s">
        <v>33</v>
      </c>
      <c r="E57">
        <v>4</v>
      </c>
      <c r="F57">
        <v>17</v>
      </c>
      <c r="G57">
        <v>1</v>
      </c>
      <c r="H57">
        <v>9</v>
      </c>
      <c r="J57">
        <f t="shared" si="0"/>
        <v>10901</v>
      </c>
      <c r="L57">
        <f t="shared" si="1"/>
        <v>4.8665178571428571</v>
      </c>
    </row>
    <row r="58" spans="1:12" x14ac:dyDescent="0.25">
      <c r="A58">
        <v>1729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1729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1729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1729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1729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1729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1729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1729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1729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1729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1729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1729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1729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1729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1729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1729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1729</v>
      </c>
      <c r="B74" t="s">
        <v>6</v>
      </c>
      <c r="C74" t="s">
        <v>73</v>
      </c>
      <c r="D74" t="s">
        <v>35</v>
      </c>
      <c r="F74">
        <v>12779</v>
      </c>
      <c r="H74">
        <v>23</v>
      </c>
      <c r="J74">
        <f t="shared" si="2"/>
        <v>1431271</v>
      </c>
      <c r="L74">
        <f t="shared" si="3"/>
        <v>638.96026785714287</v>
      </c>
    </row>
    <row r="75" spans="1:12" x14ac:dyDescent="0.25">
      <c r="A75">
        <v>1729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1729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1729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1729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1729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1729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1729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1729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1729</v>
      </c>
      <c r="B83" t="s">
        <v>9</v>
      </c>
      <c r="C83" t="s">
        <v>73</v>
      </c>
      <c r="D83" t="s">
        <v>35</v>
      </c>
      <c r="H83">
        <f>10*200</f>
        <v>2000</v>
      </c>
      <c r="I83" t="s">
        <v>164</v>
      </c>
      <c r="J83">
        <f t="shared" si="2"/>
        <v>2000</v>
      </c>
      <c r="L83">
        <f t="shared" si="3"/>
        <v>0.8928571428571429</v>
      </c>
    </row>
    <row r="84" spans="1:12" x14ac:dyDescent="0.25">
      <c r="A84">
        <v>1729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1729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1729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1729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1729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1729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1729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1729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1729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1729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1729</v>
      </c>
      <c r="B94" t="s">
        <v>13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1729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1729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1729</v>
      </c>
      <c r="B97" t="s">
        <v>27</v>
      </c>
      <c r="C97" t="s">
        <v>73</v>
      </c>
      <c r="D97" t="s">
        <v>35</v>
      </c>
      <c r="H97">
        <v>3271</v>
      </c>
      <c r="I97" t="s">
        <v>163</v>
      </c>
      <c r="J97">
        <f t="shared" si="2"/>
        <v>3271</v>
      </c>
      <c r="L97">
        <f t="shared" si="3"/>
        <v>1.4602678571428571</v>
      </c>
    </row>
    <row r="98" spans="1:12" x14ac:dyDescent="0.25">
      <c r="A98">
        <v>1729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1729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1729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1729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1729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1729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1729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1729</v>
      </c>
      <c r="B105" t="s">
        <v>18</v>
      </c>
      <c r="C105" t="s">
        <v>73</v>
      </c>
      <c r="D105" t="s">
        <v>35</v>
      </c>
      <c r="H105">
        <v>760</v>
      </c>
      <c r="I105" t="s">
        <v>162</v>
      </c>
      <c r="J105">
        <f t="shared" si="2"/>
        <v>760</v>
      </c>
      <c r="L105">
        <f t="shared" si="3"/>
        <v>0.3392857142857143</v>
      </c>
    </row>
    <row r="106" spans="1:12" x14ac:dyDescent="0.25">
      <c r="A106">
        <v>1729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1729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1729</v>
      </c>
      <c r="B108" t="s">
        <v>19</v>
      </c>
      <c r="C108" t="s">
        <v>73</v>
      </c>
      <c r="D108" t="s">
        <v>35</v>
      </c>
      <c r="F108">
        <v>1</v>
      </c>
      <c r="G108">
        <v>2</v>
      </c>
      <c r="H108">
        <v>20</v>
      </c>
      <c r="J108">
        <f t="shared" si="2"/>
        <v>188</v>
      </c>
      <c r="L108">
        <f t="shared" si="3"/>
        <v>8.3928571428571422E-2</v>
      </c>
    </row>
    <row r="109" spans="1:12" x14ac:dyDescent="0.25">
      <c r="A109">
        <v>1729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1729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1729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1729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1729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1729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1729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1729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1729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1729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1729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1729</v>
      </c>
      <c r="B120" t="s">
        <v>62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1729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1729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1729</v>
      </c>
      <c r="B123" t="s">
        <v>89</v>
      </c>
      <c r="C123" t="s">
        <v>73</v>
      </c>
      <c r="D123" t="s">
        <v>35</v>
      </c>
      <c r="G123">
        <v>3</v>
      </c>
      <c r="H123">
        <v>10</v>
      </c>
      <c r="J123">
        <f t="shared" si="2"/>
        <v>94</v>
      </c>
      <c r="L123">
        <f t="shared" si="3"/>
        <v>4.1964285714285711E-2</v>
      </c>
    </row>
    <row r="124" spans="1:12" x14ac:dyDescent="0.25">
      <c r="A124">
        <v>1729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1729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1729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6"/>
  <sheetViews>
    <sheetView topLeftCell="A103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1729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1729</v>
      </c>
      <c r="B3" t="s">
        <v>57</v>
      </c>
      <c r="C3" t="s">
        <v>74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1729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1729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1729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1729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1729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1729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1729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1729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1729</v>
      </c>
      <c r="B12" t="s">
        <v>6</v>
      </c>
      <c r="C12" t="s">
        <v>74</v>
      </c>
      <c r="D12" t="s">
        <v>33</v>
      </c>
      <c r="F12">
        <v>136736</v>
      </c>
      <c r="G12">
        <v>3</v>
      </c>
      <c r="H12">
        <v>19</v>
      </c>
      <c r="J12">
        <f t="shared" si="0"/>
        <v>15314535</v>
      </c>
      <c r="L12">
        <f t="shared" si="1"/>
        <v>6836.8459821428569</v>
      </c>
    </row>
    <row r="13" spans="1:15" x14ac:dyDescent="0.25">
      <c r="A13">
        <v>1729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1729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1729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1729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1729</v>
      </c>
      <c r="B17" t="s">
        <v>8</v>
      </c>
      <c r="C17" t="s">
        <v>74</v>
      </c>
      <c r="D17" t="s">
        <v>33</v>
      </c>
      <c r="F17">
        <v>5673</v>
      </c>
      <c r="G17">
        <v>3</v>
      </c>
      <c r="H17">
        <v>2</v>
      </c>
      <c r="J17">
        <f t="shared" si="0"/>
        <v>635462</v>
      </c>
      <c r="L17">
        <f t="shared" si="1"/>
        <v>283.68839285714284</v>
      </c>
    </row>
    <row r="18" spans="1:12" x14ac:dyDescent="0.25">
      <c r="A18">
        <v>1729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1729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1729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1729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1729</v>
      </c>
      <c r="B22" t="s">
        <v>9</v>
      </c>
      <c r="C22" t="s">
        <v>74</v>
      </c>
      <c r="D22" t="s">
        <v>33</v>
      </c>
      <c r="H22">
        <f>129*200</f>
        <v>25800</v>
      </c>
      <c r="I22" t="s">
        <v>139</v>
      </c>
      <c r="J22">
        <f t="shared" si="0"/>
        <v>25800</v>
      </c>
      <c r="L22">
        <f t="shared" si="1"/>
        <v>11.517857142857142</v>
      </c>
    </row>
    <row r="23" spans="1:12" x14ac:dyDescent="0.25">
      <c r="A23">
        <v>1729</v>
      </c>
      <c r="B23" t="s">
        <v>10</v>
      </c>
      <c r="C23" t="s">
        <v>74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1729</v>
      </c>
      <c r="B24" t="s">
        <v>11</v>
      </c>
      <c r="C24" t="s">
        <v>74</v>
      </c>
      <c r="D24" t="s">
        <v>33</v>
      </c>
      <c r="F24">
        <v>34</v>
      </c>
      <c r="H24">
        <v>24</v>
      </c>
      <c r="J24">
        <f t="shared" si="0"/>
        <v>3832</v>
      </c>
      <c r="L24">
        <f t="shared" si="1"/>
        <v>1.7107142857142856</v>
      </c>
    </row>
    <row r="25" spans="1:12" x14ac:dyDescent="0.25">
      <c r="A25">
        <v>1729</v>
      </c>
      <c r="B25" t="s">
        <v>39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1729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1729</v>
      </c>
      <c r="B27" t="s">
        <v>103</v>
      </c>
      <c r="C27" t="s">
        <v>74</v>
      </c>
      <c r="D27" t="s">
        <v>33</v>
      </c>
      <c r="H27">
        <v>185</v>
      </c>
      <c r="J27">
        <f t="shared" si="0"/>
        <v>185</v>
      </c>
      <c r="L27">
        <f t="shared" si="1"/>
        <v>8.2589285714285712E-2</v>
      </c>
    </row>
    <row r="28" spans="1:12" x14ac:dyDescent="0.25">
      <c r="A28">
        <v>1729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1729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1729</v>
      </c>
      <c r="B30" t="s">
        <v>12</v>
      </c>
      <c r="C30" t="s">
        <v>74</v>
      </c>
      <c r="D30" t="s">
        <v>33</v>
      </c>
      <c r="H30">
        <v>457</v>
      </c>
      <c r="J30">
        <f t="shared" si="0"/>
        <v>457</v>
      </c>
      <c r="L30">
        <f t="shared" si="1"/>
        <v>0.20401785714285714</v>
      </c>
    </row>
    <row r="31" spans="1:12" x14ac:dyDescent="0.25">
      <c r="A31">
        <v>1729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1729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1729</v>
      </c>
      <c r="B33" t="s">
        <v>13</v>
      </c>
      <c r="C33" t="s">
        <v>74</v>
      </c>
      <c r="D33" t="s">
        <v>33</v>
      </c>
      <c r="E33">
        <v>6</v>
      </c>
      <c r="J33">
        <f t="shared" si="0"/>
        <v>13440</v>
      </c>
      <c r="L33">
        <f t="shared" si="1"/>
        <v>6</v>
      </c>
    </row>
    <row r="34" spans="1:12" x14ac:dyDescent="0.25">
      <c r="A34">
        <v>1729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1729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1729</v>
      </c>
      <c r="B36" t="s">
        <v>27</v>
      </c>
      <c r="C36" t="s">
        <v>74</v>
      </c>
      <c r="D36" t="s">
        <v>33</v>
      </c>
      <c r="H36">
        <v>55844.5</v>
      </c>
      <c r="I36" t="s">
        <v>138</v>
      </c>
      <c r="J36">
        <f t="shared" si="0"/>
        <v>55844.5</v>
      </c>
      <c r="L36">
        <f t="shared" si="1"/>
        <v>24.930580357142858</v>
      </c>
    </row>
    <row r="37" spans="1:12" x14ac:dyDescent="0.25">
      <c r="A37">
        <v>1729</v>
      </c>
      <c r="B37" t="s">
        <v>15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1729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1729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1729</v>
      </c>
      <c r="B40" t="s">
        <v>47</v>
      </c>
      <c r="C40" t="s">
        <v>74</v>
      </c>
      <c r="D40" t="s">
        <v>33</v>
      </c>
      <c r="H40">
        <v>154</v>
      </c>
      <c r="I40" t="s">
        <v>136</v>
      </c>
      <c r="J40">
        <f t="shared" si="0"/>
        <v>154</v>
      </c>
      <c r="L40">
        <f t="shared" si="1"/>
        <v>6.8750000000000006E-2</v>
      </c>
    </row>
    <row r="41" spans="1:12" x14ac:dyDescent="0.25">
      <c r="A41">
        <v>1729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1729</v>
      </c>
      <c r="B42" t="s">
        <v>17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1729</v>
      </c>
      <c r="B43" t="s">
        <v>18</v>
      </c>
      <c r="C43" t="s">
        <v>74</v>
      </c>
      <c r="D43" t="s">
        <v>33</v>
      </c>
      <c r="H43">
        <v>39170</v>
      </c>
      <c r="I43" t="s">
        <v>137</v>
      </c>
      <c r="J43">
        <f t="shared" si="0"/>
        <v>39170</v>
      </c>
      <c r="L43">
        <f t="shared" si="1"/>
        <v>17.486607142857142</v>
      </c>
    </row>
    <row r="44" spans="1:12" x14ac:dyDescent="0.25">
      <c r="A44">
        <v>1729</v>
      </c>
      <c r="B44" t="s">
        <v>26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1729</v>
      </c>
      <c r="B45" t="s">
        <v>84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1729</v>
      </c>
      <c r="B46" t="s">
        <v>19</v>
      </c>
      <c r="C46" t="s">
        <v>74</v>
      </c>
      <c r="D46" t="s">
        <v>33</v>
      </c>
      <c r="G46">
        <v>3</v>
      </c>
      <c r="H46">
        <v>7</v>
      </c>
      <c r="J46">
        <f t="shared" si="0"/>
        <v>91</v>
      </c>
      <c r="L46">
        <f t="shared" si="1"/>
        <v>4.0625000000000001E-2</v>
      </c>
    </row>
    <row r="47" spans="1:12" x14ac:dyDescent="0.25">
      <c r="A47">
        <v>1729</v>
      </c>
      <c r="B47" t="s">
        <v>45</v>
      </c>
      <c r="C47" t="s">
        <v>74</v>
      </c>
      <c r="D47" t="s">
        <v>33</v>
      </c>
      <c r="H47">
        <v>911</v>
      </c>
      <c r="J47">
        <f t="shared" si="0"/>
        <v>911</v>
      </c>
      <c r="L47">
        <f t="shared" si="1"/>
        <v>0.40669642857142857</v>
      </c>
    </row>
    <row r="48" spans="1:12" x14ac:dyDescent="0.25">
      <c r="A48">
        <v>1729</v>
      </c>
      <c r="B48" t="s">
        <v>85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1729</v>
      </c>
      <c r="B49" t="s">
        <v>54</v>
      </c>
      <c r="C49" t="s">
        <v>74</v>
      </c>
      <c r="D49" t="s">
        <v>33</v>
      </c>
      <c r="H49">
        <v>500</v>
      </c>
      <c r="J49">
        <f t="shared" si="0"/>
        <v>500</v>
      </c>
      <c r="L49">
        <f t="shared" si="1"/>
        <v>0.22321428571428573</v>
      </c>
    </row>
    <row r="50" spans="1:12" x14ac:dyDescent="0.25">
      <c r="A50">
        <v>1729</v>
      </c>
      <c r="B50" t="s">
        <v>95</v>
      </c>
      <c r="C50" t="s">
        <v>74</v>
      </c>
      <c r="D50" t="s">
        <v>33</v>
      </c>
      <c r="H50">
        <v>5</v>
      </c>
      <c r="J50">
        <f t="shared" si="0"/>
        <v>5</v>
      </c>
      <c r="L50">
        <f t="shared" si="1"/>
        <v>2.232142857142857E-3</v>
      </c>
    </row>
    <row r="51" spans="1:12" x14ac:dyDescent="0.25">
      <c r="A51">
        <v>1729</v>
      </c>
      <c r="B51" t="s">
        <v>20</v>
      </c>
      <c r="C51" t="s">
        <v>74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1729</v>
      </c>
      <c r="B52" t="s">
        <v>21</v>
      </c>
      <c r="C52" t="s">
        <v>74</v>
      </c>
      <c r="D52" t="s">
        <v>33</v>
      </c>
      <c r="H52">
        <v>71</v>
      </c>
      <c r="J52">
        <f t="shared" si="0"/>
        <v>71</v>
      </c>
      <c r="L52">
        <f t="shared" si="1"/>
        <v>3.169642857142857E-2</v>
      </c>
    </row>
    <row r="53" spans="1:12" x14ac:dyDescent="0.25">
      <c r="A53">
        <v>1729</v>
      </c>
      <c r="B53" t="s">
        <v>22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1729</v>
      </c>
      <c r="B54" t="s">
        <v>61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1729</v>
      </c>
      <c r="B55" t="s">
        <v>99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1729</v>
      </c>
      <c r="B56" t="s">
        <v>87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1729</v>
      </c>
      <c r="B57" t="s">
        <v>62</v>
      </c>
      <c r="C57" t="s">
        <v>74</v>
      </c>
      <c r="D57" t="s">
        <v>33</v>
      </c>
      <c r="E57">
        <v>216</v>
      </c>
      <c r="F57">
        <v>10</v>
      </c>
      <c r="G57">
        <v>2</v>
      </c>
      <c r="J57">
        <f t="shared" si="0"/>
        <v>485016</v>
      </c>
      <c r="L57">
        <f t="shared" si="1"/>
        <v>216.52500000000001</v>
      </c>
    </row>
    <row r="58" spans="1:12" x14ac:dyDescent="0.25">
      <c r="A58">
        <v>1729</v>
      </c>
      <c r="B58" t="s">
        <v>88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1729</v>
      </c>
      <c r="B59" t="s">
        <v>63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1729</v>
      </c>
      <c r="B60" t="s">
        <v>89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1729</v>
      </c>
      <c r="B61" t="s">
        <v>70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1729</v>
      </c>
      <c r="B62" t="s">
        <v>64</v>
      </c>
      <c r="C62" t="s">
        <v>74</v>
      </c>
      <c r="D62" t="s">
        <v>33</v>
      </c>
      <c r="E62">
        <v>25.4</v>
      </c>
      <c r="J62">
        <f t="shared" si="0"/>
        <v>56896</v>
      </c>
      <c r="L62">
        <f t="shared" si="1"/>
        <v>25.4</v>
      </c>
    </row>
    <row r="63" spans="1:12" x14ac:dyDescent="0.25">
      <c r="A63">
        <v>1729</v>
      </c>
      <c r="B63" t="s">
        <v>65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1729</v>
      </c>
      <c r="B64" t="s">
        <v>55</v>
      </c>
      <c r="C64" t="s">
        <v>74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1729</v>
      </c>
      <c r="B65" t="s">
        <v>57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1729</v>
      </c>
      <c r="B66" t="s">
        <v>36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1729</v>
      </c>
      <c r="B67" t="s">
        <v>4</v>
      </c>
      <c r="C67" t="s">
        <v>74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1729</v>
      </c>
      <c r="B68" t="s">
        <v>58</v>
      </c>
      <c r="C68" t="s">
        <v>74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1729</v>
      </c>
      <c r="B69" t="s">
        <v>69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1729</v>
      </c>
      <c r="B70" t="s">
        <v>43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1729</v>
      </c>
      <c r="B71" t="s">
        <v>76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1729</v>
      </c>
      <c r="B72" t="s">
        <v>5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1729</v>
      </c>
      <c r="B73" t="s">
        <v>59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1729</v>
      </c>
      <c r="B74" t="s">
        <v>6</v>
      </c>
      <c r="C74" t="s">
        <v>74</v>
      </c>
      <c r="D74" t="s">
        <v>35</v>
      </c>
      <c r="F74">
        <v>21991</v>
      </c>
      <c r="G74">
        <v>1</v>
      </c>
      <c r="H74">
        <v>7</v>
      </c>
      <c r="J74">
        <f t="shared" si="2"/>
        <v>2463027</v>
      </c>
      <c r="L74">
        <f t="shared" si="3"/>
        <v>1099.565625</v>
      </c>
    </row>
    <row r="75" spans="1:12" x14ac:dyDescent="0.25">
      <c r="A75">
        <v>1729</v>
      </c>
      <c r="B75" t="s">
        <v>60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1729</v>
      </c>
      <c r="B76" t="s">
        <v>7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1729</v>
      </c>
      <c r="B77" t="s">
        <v>37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1729</v>
      </c>
      <c r="B78" t="s">
        <v>8</v>
      </c>
      <c r="C78" t="s">
        <v>74</v>
      </c>
      <c r="D78" t="s">
        <v>35</v>
      </c>
      <c r="F78">
        <v>11</v>
      </c>
      <c r="H78">
        <v>4</v>
      </c>
      <c r="J78">
        <f t="shared" si="2"/>
        <v>1236</v>
      </c>
      <c r="L78">
        <f t="shared" si="3"/>
        <v>0.55178571428571432</v>
      </c>
    </row>
    <row r="79" spans="1:12" x14ac:dyDescent="0.25">
      <c r="A79">
        <v>1729</v>
      </c>
      <c r="B79" t="s">
        <v>40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1729</v>
      </c>
      <c r="B80" t="s">
        <v>77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1729</v>
      </c>
      <c r="B81" t="s">
        <v>78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1729</v>
      </c>
      <c r="B82" t="s">
        <v>46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1729</v>
      </c>
      <c r="B83" t="s">
        <v>9</v>
      </c>
      <c r="C83" t="s">
        <v>74</v>
      </c>
      <c r="D83" t="s">
        <v>35</v>
      </c>
      <c r="H83">
        <f>271.5*200</f>
        <v>54300</v>
      </c>
      <c r="I83" t="s">
        <v>168</v>
      </c>
      <c r="J83">
        <f t="shared" si="2"/>
        <v>54300</v>
      </c>
      <c r="L83">
        <f t="shared" si="3"/>
        <v>24.241071428571427</v>
      </c>
    </row>
    <row r="84" spans="1:12" x14ac:dyDescent="0.25">
      <c r="A84">
        <v>1729</v>
      </c>
      <c r="B84" t="s">
        <v>10</v>
      </c>
      <c r="C84" t="s">
        <v>74</v>
      </c>
      <c r="D84" t="s">
        <v>35</v>
      </c>
      <c r="F84">
        <v>5</v>
      </c>
      <c r="J84">
        <f t="shared" si="2"/>
        <v>560</v>
      </c>
      <c r="L84">
        <f t="shared" si="3"/>
        <v>0.25</v>
      </c>
    </row>
    <row r="85" spans="1:12" x14ac:dyDescent="0.25">
      <c r="A85">
        <v>1729</v>
      </c>
      <c r="B85" t="s">
        <v>11</v>
      </c>
      <c r="C85" t="s">
        <v>74</v>
      </c>
      <c r="D85" t="s">
        <v>35</v>
      </c>
      <c r="F85">
        <v>9</v>
      </c>
      <c r="J85">
        <f t="shared" si="2"/>
        <v>1008</v>
      </c>
      <c r="L85">
        <f t="shared" si="3"/>
        <v>0.45</v>
      </c>
    </row>
    <row r="86" spans="1:12" x14ac:dyDescent="0.25">
      <c r="A86">
        <v>1729</v>
      </c>
      <c r="B86" t="s">
        <v>39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1729</v>
      </c>
      <c r="B87" t="s">
        <v>79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1729</v>
      </c>
      <c r="B88" t="s">
        <v>103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1729</v>
      </c>
      <c r="B89" t="s">
        <v>44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1729</v>
      </c>
      <c r="B90" t="s">
        <v>97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1729</v>
      </c>
      <c r="B91" t="s">
        <v>12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1729</v>
      </c>
      <c r="B92" t="s">
        <v>82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1729</v>
      </c>
      <c r="B93" t="s">
        <v>34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1729</v>
      </c>
      <c r="B94" t="s">
        <v>13</v>
      </c>
      <c r="C94" t="s">
        <v>74</v>
      </c>
      <c r="D94" t="s">
        <v>35</v>
      </c>
      <c r="F94">
        <v>19</v>
      </c>
      <c r="H94">
        <v>26</v>
      </c>
      <c r="J94">
        <f t="shared" si="2"/>
        <v>2154</v>
      </c>
      <c r="L94">
        <f t="shared" si="3"/>
        <v>0.96160714285714288</v>
      </c>
    </row>
    <row r="95" spans="1:12" x14ac:dyDescent="0.25">
      <c r="A95">
        <v>1729</v>
      </c>
      <c r="B95" t="s">
        <v>14</v>
      </c>
      <c r="C95" t="s">
        <v>74</v>
      </c>
      <c r="D95" t="s">
        <v>35</v>
      </c>
      <c r="H95">
        <v>560</v>
      </c>
      <c r="I95" t="s">
        <v>165</v>
      </c>
      <c r="J95">
        <f t="shared" si="2"/>
        <v>560</v>
      </c>
      <c r="L95">
        <f t="shared" si="3"/>
        <v>0.25</v>
      </c>
    </row>
    <row r="96" spans="1:12" x14ac:dyDescent="0.25">
      <c r="A96">
        <v>1729</v>
      </c>
      <c r="B96" t="s">
        <v>23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1729</v>
      </c>
      <c r="B97" t="s">
        <v>27</v>
      </c>
      <c r="C97" t="s">
        <v>74</v>
      </c>
      <c r="D97" t="s">
        <v>35</v>
      </c>
      <c r="H97">
        <v>2400.5</v>
      </c>
      <c r="I97" t="s">
        <v>167</v>
      </c>
      <c r="J97">
        <f t="shared" si="2"/>
        <v>2400.5</v>
      </c>
      <c r="L97">
        <f t="shared" si="3"/>
        <v>1.0716517857142858</v>
      </c>
    </row>
    <row r="98" spans="1:12" x14ac:dyDescent="0.25">
      <c r="A98">
        <v>1729</v>
      </c>
      <c r="B98" t="s">
        <v>15</v>
      </c>
      <c r="C98" t="s">
        <v>74</v>
      </c>
      <c r="D98" t="s">
        <v>35</v>
      </c>
      <c r="F98">
        <v>305</v>
      </c>
      <c r="G98">
        <v>2</v>
      </c>
      <c r="J98">
        <f t="shared" si="2"/>
        <v>34216</v>
      </c>
      <c r="L98">
        <f t="shared" si="3"/>
        <v>15.275</v>
      </c>
    </row>
    <row r="99" spans="1:12" x14ac:dyDescent="0.25">
      <c r="A99">
        <v>1729</v>
      </c>
      <c r="B99" t="s">
        <v>93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1729</v>
      </c>
      <c r="B100" t="s">
        <v>42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1729</v>
      </c>
      <c r="B101" t="s">
        <v>83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1729</v>
      </c>
      <c r="B102" t="s">
        <v>47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1729</v>
      </c>
      <c r="B103" t="s">
        <v>16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1729</v>
      </c>
      <c r="B104" t="s">
        <v>17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1729</v>
      </c>
      <c r="B105" t="s">
        <v>18</v>
      </c>
      <c r="C105" t="s">
        <v>74</v>
      </c>
      <c r="D105" t="s">
        <v>35</v>
      </c>
      <c r="H105">
        <v>34144</v>
      </c>
      <c r="I105" t="s">
        <v>166</v>
      </c>
      <c r="J105">
        <f t="shared" si="2"/>
        <v>34144</v>
      </c>
      <c r="L105">
        <f t="shared" si="3"/>
        <v>15.242857142857142</v>
      </c>
    </row>
    <row r="106" spans="1:12" x14ac:dyDescent="0.25">
      <c r="A106">
        <v>1729</v>
      </c>
      <c r="B106" t="s">
        <v>26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1729</v>
      </c>
      <c r="B107" t="s">
        <v>84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1729</v>
      </c>
      <c r="B108" t="s">
        <v>19</v>
      </c>
      <c r="C108" t="s">
        <v>74</v>
      </c>
      <c r="D108" t="s">
        <v>35</v>
      </c>
      <c r="F108">
        <v>3</v>
      </c>
      <c r="H108">
        <v>22</v>
      </c>
      <c r="J108">
        <f t="shared" si="2"/>
        <v>358</v>
      </c>
      <c r="L108">
        <f t="shared" si="3"/>
        <v>0.15982142857142856</v>
      </c>
    </row>
    <row r="109" spans="1:12" x14ac:dyDescent="0.25">
      <c r="A109">
        <v>1729</v>
      </c>
      <c r="B109" t="s">
        <v>45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1729</v>
      </c>
      <c r="B110" t="s">
        <v>85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1729</v>
      </c>
      <c r="B111" t="s">
        <v>54</v>
      </c>
      <c r="C111" t="s">
        <v>74</v>
      </c>
      <c r="D111" t="s">
        <v>35</v>
      </c>
      <c r="H111">
        <v>10</v>
      </c>
      <c r="J111">
        <f t="shared" si="2"/>
        <v>10</v>
      </c>
      <c r="L111">
        <f t="shared" si="3"/>
        <v>4.464285714285714E-3</v>
      </c>
    </row>
    <row r="112" spans="1:12" x14ac:dyDescent="0.25">
      <c r="A112">
        <v>1729</v>
      </c>
      <c r="B112" t="s">
        <v>95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1729</v>
      </c>
      <c r="B113" t="s">
        <v>20</v>
      </c>
      <c r="C113" t="s">
        <v>74</v>
      </c>
      <c r="D113" t="s">
        <v>35</v>
      </c>
      <c r="H113">
        <v>311</v>
      </c>
      <c r="J113">
        <f t="shared" si="2"/>
        <v>311</v>
      </c>
      <c r="L113">
        <f t="shared" si="3"/>
        <v>0.13883928571428572</v>
      </c>
    </row>
    <row r="114" spans="1:12" x14ac:dyDescent="0.25">
      <c r="A114">
        <v>1729</v>
      </c>
      <c r="B114" t="s">
        <v>21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1729</v>
      </c>
      <c r="B115" t="s">
        <v>22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1729</v>
      </c>
      <c r="B116" t="s">
        <v>61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1729</v>
      </c>
      <c r="B117" t="s">
        <v>91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1729</v>
      </c>
      <c r="B118" t="s">
        <v>98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1729</v>
      </c>
      <c r="B119" t="s">
        <v>87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1729</v>
      </c>
      <c r="B120" t="s">
        <v>62</v>
      </c>
      <c r="C120" t="s">
        <v>74</v>
      </c>
      <c r="D120" t="s">
        <v>35</v>
      </c>
      <c r="E120">
        <v>80</v>
      </c>
      <c r="F120">
        <v>10</v>
      </c>
      <c r="H120">
        <v>18</v>
      </c>
      <c r="J120">
        <f t="shared" si="2"/>
        <v>180338</v>
      </c>
      <c r="L120">
        <f t="shared" si="3"/>
        <v>80.508035714285711</v>
      </c>
    </row>
    <row r="121" spans="1:12" x14ac:dyDescent="0.25">
      <c r="A121">
        <v>1729</v>
      </c>
      <c r="B121" t="s">
        <v>88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1729</v>
      </c>
      <c r="B122" t="s">
        <v>63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1729</v>
      </c>
      <c r="B123" t="s">
        <v>89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1729</v>
      </c>
      <c r="B124" t="s">
        <v>70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1729</v>
      </c>
      <c r="B125" t="s">
        <v>64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1729</v>
      </c>
      <c r="B126" t="s">
        <v>65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34" workbookViewId="0">
      <selection activeCell="H45" sqref="H45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1729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1729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1729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1729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1729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1729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1729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1729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1729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1729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1729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1729</v>
      </c>
      <c r="B13" t="s">
        <v>6</v>
      </c>
      <c r="C13" t="s">
        <v>100</v>
      </c>
      <c r="D13" t="s">
        <v>33</v>
      </c>
      <c r="F13">
        <v>3430</v>
      </c>
      <c r="H13">
        <v>3</v>
      </c>
      <c r="J13">
        <f t="shared" si="0"/>
        <v>384163</v>
      </c>
      <c r="L13">
        <f t="shared" si="1"/>
        <v>171.50133928571429</v>
      </c>
    </row>
    <row r="14" spans="1:15" x14ac:dyDescent="0.25">
      <c r="A14">
        <v>1729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1729</v>
      </c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1729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1729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1729</v>
      </c>
      <c r="B18" t="s">
        <v>8</v>
      </c>
      <c r="C18" t="s">
        <v>100</v>
      </c>
      <c r="D18" t="s">
        <v>33</v>
      </c>
      <c r="G18">
        <v>3</v>
      </c>
      <c r="H18">
        <v>15</v>
      </c>
      <c r="J18">
        <f t="shared" si="0"/>
        <v>99</v>
      </c>
      <c r="L18">
        <f t="shared" si="1"/>
        <v>4.4196428571428574E-2</v>
      </c>
    </row>
    <row r="19" spans="1:12" x14ac:dyDescent="0.25">
      <c r="A19">
        <v>1729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1729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1729</v>
      </c>
      <c r="B21" t="s">
        <v>78</v>
      </c>
      <c r="C21" t="s">
        <v>100</v>
      </c>
      <c r="D21" t="s">
        <v>33</v>
      </c>
      <c r="H21">
        <v>2744</v>
      </c>
      <c r="J21">
        <f t="shared" si="0"/>
        <v>2744</v>
      </c>
      <c r="L21">
        <f t="shared" si="1"/>
        <v>1.2250000000000001</v>
      </c>
    </row>
    <row r="22" spans="1:12" x14ac:dyDescent="0.25">
      <c r="A22">
        <v>1729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1729</v>
      </c>
      <c r="B23" t="s">
        <v>9</v>
      </c>
      <c r="C23" t="s">
        <v>100</v>
      </c>
      <c r="D23" t="s">
        <v>33</v>
      </c>
      <c r="H23">
        <f>4*200</f>
        <v>800</v>
      </c>
      <c r="I23" t="s">
        <v>142</v>
      </c>
      <c r="J23">
        <f t="shared" si="0"/>
        <v>800</v>
      </c>
      <c r="L23">
        <f t="shared" si="1"/>
        <v>0.35714285714285715</v>
      </c>
    </row>
    <row r="24" spans="1:12" x14ac:dyDescent="0.25">
      <c r="A24">
        <v>1729</v>
      </c>
      <c r="B24" t="s">
        <v>10</v>
      </c>
      <c r="C24" t="s">
        <v>100</v>
      </c>
      <c r="D24" t="s">
        <v>33</v>
      </c>
      <c r="F24">
        <v>18</v>
      </c>
      <c r="G24">
        <v>2</v>
      </c>
      <c r="J24">
        <f t="shared" si="0"/>
        <v>2072</v>
      </c>
      <c r="L24">
        <f t="shared" si="1"/>
        <v>0.92500000000000004</v>
      </c>
    </row>
    <row r="25" spans="1:12" x14ac:dyDescent="0.25">
      <c r="A25">
        <v>1729</v>
      </c>
      <c r="B25" t="s">
        <v>11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1729</v>
      </c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1729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1729</v>
      </c>
      <c r="B28" t="s">
        <v>103</v>
      </c>
      <c r="C28" t="s">
        <v>100</v>
      </c>
      <c r="D28" t="s">
        <v>33</v>
      </c>
      <c r="H28">
        <v>150</v>
      </c>
      <c r="J28">
        <f t="shared" si="0"/>
        <v>150</v>
      </c>
      <c r="L28">
        <f t="shared" si="1"/>
        <v>6.6964285714285712E-2</v>
      </c>
    </row>
    <row r="29" spans="1:12" x14ac:dyDescent="0.25">
      <c r="A29">
        <v>1729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1729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1729</v>
      </c>
      <c r="B31" t="s">
        <v>12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1729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1729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1729</v>
      </c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1729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1729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1729</v>
      </c>
      <c r="B37" t="s">
        <v>27</v>
      </c>
      <c r="C37" t="s">
        <v>100</v>
      </c>
      <c r="D37" t="s">
        <v>33</v>
      </c>
      <c r="H37">
        <v>1660.5</v>
      </c>
      <c r="I37" t="s">
        <v>141</v>
      </c>
      <c r="J37">
        <f t="shared" si="0"/>
        <v>1660.5</v>
      </c>
      <c r="L37">
        <f t="shared" si="1"/>
        <v>0.74129464285714286</v>
      </c>
    </row>
    <row r="38" spans="1:12" x14ac:dyDescent="0.25">
      <c r="A38">
        <v>1729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1729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1729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1729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1729</v>
      </c>
      <c r="B42" t="s">
        <v>16</v>
      </c>
      <c r="C42" t="s">
        <v>100</v>
      </c>
      <c r="D42" t="s">
        <v>33</v>
      </c>
      <c r="H42">
        <v>70</v>
      </c>
      <c r="J42">
        <f t="shared" si="0"/>
        <v>70</v>
      </c>
      <c r="L42">
        <f t="shared" si="1"/>
        <v>3.125E-2</v>
      </c>
    </row>
    <row r="43" spans="1:12" x14ac:dyDescent="0.25">
      <c r="A43">
        <v>1729</v>
      </c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1729</v>
      </c>
      <c r="B44" t="s">
        <v>18</v>
      </c>
      <c r="C44" t="s">
        <v>100</v>
      </c>
      <c r="D44" t="s">
        <v>33</v>
      </c>
      <c r="H44">
        <v>3641</v>
      </c>
      <c r="I44" t="s">
        <v>140</v>
      </c>
      <c r="J44">
        <f t="shared" si="0"/>
        <v>3641</v>
      </c>
      <c r="L44">
        <f t="shared" si="1"/>
        <v>1.6254464285714285</v>
      </c>
    </row>
    <row r="45" spans="1:12" x14ac:dyDescent="0.25">
      <c r="A45">
        <v>1729</v>
      </c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1729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1729</v>
      </c>
      <c r="B47" t="s">
        <v>19</v>
      </c>
      <c r="C47" t="s">
        <v>100</v>
      </c>
      <c r="D47" t="s">
        <v>33</v>
      </c>
      <c r="F47">
        <v>2</v>
      </c>
      <c r="J47">
        <f t="shared" si="0"/>
        <v>224</v>
      </c>
      <c r="L47">
        <f t="shared" si="1"/>
        <v>0.1</v>
      </c>
    </row>
    <row r="48" spans="1:12" x14ac:dyDescent="0.25">
      <c r="A48">
        <v>1729</v>
      </c>
      <c r="B48" t="s">
        <v>45</v>
      </c>
      <c r="C48" t="s">
        <v>100</v>
      </c>
      <c r="D48" t="s">
        <v>33</v>
      </c>
      <c r="H48">
        <v>20</v>
      </c>
      <c r="J48">
        <f t="shared" si="0"/>
        <v>20</v>
      </c>
      <c r="L48">
        <f t="shared" si="1"/>
        <v>8.9285714285714281E-3</v>
      </c>
    </row>
    <row r="49" spans="1:12" x14ac:dyDescent="0.25">
      <c r="A49">
        <v>1729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1729</v>
      </c>
      <c r="B50" t="s">
        <v>54</v>
      </c>
      <c r="C50" t="s">
        <v>100</v>
      </c>
      <c r="D50" t="s">
        <v>33</v>
      </c>
      <c r="H50">
        <v>27</v>
      </c>
      <c r="J50">
        <f t="shared" si="0"/>
        <v>27</v>
      </c>
      <c r="L50">
        <f t="shared" si="1"/>
        <v>1.2053571428571429E-2</v>
      </c>
    </row>
    <row r="51" spans="1:12" x14ac:dyDescent="0.25">
      <c r="A51">
        <v>1729</v>
      </c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1729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1729</v>
      </c>
      <c r="B53" t="s">
        <v>21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1729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1729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1729</v>
      </c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1729</v>
      </c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1729</v>
      </c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1729</v>
      </c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1729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1729</v>
      </c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1729</v>
      </c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1729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1729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1729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1729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1729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1729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1729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1729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1729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1729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1729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1729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1729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1729</v>
      </c>
      <c r="B76" t="s">
        <v>6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1729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1729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1729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1729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1729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1729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1729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1729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1729</v>
      </c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1729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1729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1729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1729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1729</v>
      </c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1729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1729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1729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1729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1729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1729</v>
      </c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1729</v>
      </c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1729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1729</v>
      </c>
      <c r="B99" t="s">
        <v>27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1729</v>
      </c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1729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1729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1729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1729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1729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1729</v>
      </c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1729</v>
      </c>
      <c r="B107" t="s">
        <v>18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1729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1729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1729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1729</v>
      </c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1729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1729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1729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1729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1729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1729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1729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1729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1729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1729</v>
      </c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1729</v>
      </c>
      <c r="B122" t="s">
        <v>62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1729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1729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1729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1729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1729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1729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45B41505-9349-488B-8C22-7C613E5465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43E4FA-B3E5-44B5-957C-704D20EA89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FF8083-F14D-46E6-9411-F6B79098C418}">
  <ds:schemaRefs>
    <ds:schemaRef ds:uri="http://purl.org/dc/dcmitype/"/>
    <ds:schemaRef ds:uri="cefc4363-6422-4cdd-96f6-49f865293ffe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2025-04-29T01:56:35Z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