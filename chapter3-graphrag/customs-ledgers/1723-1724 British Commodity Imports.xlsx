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27" documentId="8_{783A036D-4A62-40FC-AA9D-CDF1A0631A41}" xr6:coauthVersionLast="47" xr6:coauthVersionMax="47" xr10:uidLastSave="{D9FA1FA7-9BFC-481C-8D08-0B8E619A37C4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Barbados!$A$1:$N$55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8" l="1"/>
  <c r="H22" i="7"/>
  <c r="H23" i="5"/>
  <c r="H18" i="3"/>
  <c r="H23" i="2"/>
  <c r="L8" i="11"/>
  <c r="J8" i="11"/>
  <c r="L53" i="8"/>
  <c r="J53" i="8"/>
  <c r="L25" i="7"/>
  <c r="J25" i="7"/>
  <c r="H31" i="5"/>
  <c r="L19" i="4"/>
  <c r="J19" i="4"/>
  <c r="J13" i="4"/>
  <c r="L13" i="4" s="1"/>
  <c r="J46" i="3"/>
  <c r="L46" i="3" s="1"/>
  <c r="J34" i="3"/>
  <c r="L34" i="3" s="1"/>
  <c r="H24" i="3"/>
  <c r="J118" i="5"/>
  <c r="L118" i="5" s="1"/>
  <c r="J72" i="5"/>
  <c r="L72" i="5" s="1"/>
  <c r="J84" i="3"/>
  <c r="L84" i="3" s="1"/>
  <c r="J117" i="2"/>
  <c r="L117" i="2" s="1"/>
  <c r="J55" i="11"/>
  <c r="L55" i="11" s="1"/>
  <c r="J11" i="11"/>
  <c r="L11" i="11" s="1"/>
  <c r="J54" i="5"/>
  <c r="L54" i="5" s="1"/>
  <c r="J8" i="5"/>
  <c r="L8" i="5" s="1"/>
  <c r="J15" i="4"/>
  <c r="L15" i="4" s="1"/>
  <c r="J17" i="4"/>
  <c r="L17" i="4" s="1"/>
  <c r="J12" i="4"/>
  <c r="L12" i="4" s="1"/>
  <c r="J9" i="4"/>
  <c r="L9" i="4" s="1"/>
  <c r="J6" i="4"/>
  <c r="L6" i="4" s="1"/>
  <c r="J22" i="3"/>
  <c r="L22" i="3" s="1"/>
  <c r="J29" i="2"/>
  <c r="L29" i="2" s="1"/>
  <c r="J8" i="2"/>
  <c r="L8" i="2" s="1"/>
  <c r="C23" i="1"/>
  <c r="C24" i="1"/>
  <c r="B23" i="1"/>
  <c r="B24" i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0" i="11"/>
  <c r="L10" i="11" s="1"/>
  <c r="J9" i="11"/>
  <c r="L9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7" i="7"/>
  <c r="L127" i="7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J112" i="7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L105" i="7"/>
  <c r="J105" i="7"/>
  <c r="J104" i="7"/>
  <c r="L104" i="7" s="1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L36" i="6"/>
  <c r="J36" i="6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3" i="3"/>
  <c r="L23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4" i="4"/>
  <c r="L14" i="4" s="1"/>
  <c r="J16" i="4"/>
  <c r="L16" i="4" s="1"/>
  <c r="J18" i="4"/>
  <c r="L18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" i="5"/>
  <c r="L3" i="5" s="1"/>
  <c r="J4" i="5"/>
  <c r="L4" i="5" s="1"/>
  <c r="J5" i="5"/>
  <c r="L5" i="5" s="1"/>
  <c r="J6" i="5"/>
  <c r="L6" i="5" s="1"/>
  <c r="J7" i="5"/>
  <c r="L7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3" i="5"/>
  <c r="L73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<sst xmlns="http://schemas.openxmlformats.org/spreadsheetml/2006/main" count="3476" uniqueCount="143">
  <si>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</si>
  <si>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</si>
  <si>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</si>
  <si>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</si>
  <si>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</si>
  <si>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</si>
  <si>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</si>
  <si>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</si>
  <si>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</si>
  <si>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</si>
  <si>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</si>
  <si>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</si>
  <si>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</si>
  <si>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</si>
  <si>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</si>
  <si>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</si>
  <si>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</si>
  <si>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</si>
  <si>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</si>
  <si>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</si>
  <si>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</si>
  <si>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</si>
  <si>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</si>
  <si>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</si>
  <si>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</si>
  <si>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</si>
  <si>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</si>
  <si>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</si>
  <si>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</si>
  <si>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</si>
  <si>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</si>
  <si>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</si>
  <si>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</si>
  <si>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</si>
  <si>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</si>
  <si>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</si>
  <si>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</si>
  <si>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</si>
  <si>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</si>
  <si>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</si>
  <si>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</si>
  <si>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</si>
  <si>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</si>
  <si>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</si>
  <si>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</si>
  <si>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</si>
  <si>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</si>
  <si>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</si>
  <si>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</si>
  <si>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</si>
  <si>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</si>
  <si>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</si>
  <si>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</si>
  <si>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</si>
  <si>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</si>
  <si>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</si>
  <si>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</si>
  <si>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</si>
  <si>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</si>
  <si>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</si>
  <si>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</si>
  <si>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</si>
  <si>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</si>
  <si>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</si>
  <si>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</si>
  <si>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</si>
  <si>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</si>
  <si>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</si>
  <si>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</si>
  <si>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</si>
  <si>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</si>
  <si>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</si>
  <si>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</si>
  <si>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</si>
  <si>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</si>
  <si>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</si>
  <si>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</si>
  <si>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</si>
  <si>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</si>
  <si>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</si>
  <si>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</si>
  <si>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</si>
  <si>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</si>
  <si>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</si>
  <si>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</si>
  <si>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</si>
  <si>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</si>
  <si>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</si>
  <si>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</si>
  <si>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</si>
  <si>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</si>
  <si>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</si>
  <si>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</si>
  <si>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</si>
  <si>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</si>
  <si>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</si>
  <si>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</si>
  <si>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</si>
  <si>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</si>
  <si>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</si>
  <si>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</si>
  <si>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</si>
  <si>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</si>
  <si>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</si>
  <si>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</si>
  <si>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</si>
  <si>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</si>
  <si>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5t 1h 43g</t>
  </si>
  <si>
    <t>212bags</t>
  </si>
  <si>
    <t>9746.5g</t>
  </si>
  <si>
    <t>23t 2h 42g</t>
  </si>
  <si>
    <t>Wood, Cedar</t>
  </si>
  <si>
    <t>585.5bags</t>
  </si>
  <si>
    <t>3741g</t>
  </si>
  <si>
    <t>13811g</t>
  </si>
  <si>
    <t>2t 1h 2g</t>
  </si>
  <si>
    <t>1197g</t>
  </si>
  <si>
    <t>Jollop</t>
  </si>
  <si>
    <t>7t 58g</t>
  </si>
  <si>
    <t>378bags + 2336lb</t>
  </si>
  <si>
    <t>835g</t>
  </si>
  <si>
    <t>19876g</t>
  </si>
  <si>
    <t>245g</t>
  </si>
  <si>
    <t>Flax</t>
  </si>
  <si>
    <t>15g</t>
  </si>
  <si>
    <t>5 bags</t>
  </si>
  <si>
    <t>511g</t>
  </si>
  <si>
    <t>8t 62g</t>
  </si>
  <si>
    <t>51bags</t>
  </si>
  <si>
    <t>1958g</t>
  </si>
  <si>
    <t>Gum Elemni</t>
  </si>
  <si>
    <t>2h 12g</t>
  </si>
  <si>
    <t>135g</t>
  </si>
  <si>
    <t>2584.5g</t>
  </si>
  <si>
    <t>1t 3h 3g</t>
  </si>
  <si>
    <t>626g</t>
  </si>
  <si>
    <t>2158.5g</t>
  </si>
  <si>
    <t>1t 1h 27g</t>
  </si>
  <si>
    <t>1192g</t>
  </si>
  <si>
    <t>2011g</t>
  </si>
  <si>
    <t>208g</t>
  </si>
  <si>
    <t>128g</t>
  </si>
  <si>
    <t>239g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</si>
</sst>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8.9285714285714288E-2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8.9285714285714288E-2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0.72812500000000002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0.72812500000000002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27097.993303571424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9329.8066964285699</v>
      </c>
      <c r="D4">
        <f t="shared" si="0"/>
        <v>36427.799999999996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8.0357142857142849E-3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8.0357142857142849E-3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40.782142857142858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0.8861607142857143</v>
      </c>
      <c r="D6">
        <f t="shared" si="0"/>
        <v>41.668303571428574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110.99821428571428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289.34910714285718</v>
      </c>
      <c r="D7">
        <f t="shared" si="0"/>
        <v>400.34732142857149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591.69196428571433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308.83571428571423</v>
      </c>
      <c r="D8">
        <f t="shared" si="0"/>
        <v>900.52767857142862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27.930803571428573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17.241964285714285</v>
      </c>
      <c r="D9">
        <f t="shared" si="0"/>
        <v>45.172767857142858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69.500892857142844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2.8441964285714283</v>
      </c>
      <c r="D10">
        <f t="shared" si="0"/>
        <v>72.345089285714266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2.35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30.933928571428574</v>
      </c>
      <c r="D11">
        <f t="shared" si="0"/>
        <v>33.283928571428575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20.433705357142856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8.7209821428571423</v>
      </c>
      <c r="D12">
        <f t="shared" si="0"/>
        <v>29.154687499999998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20.2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3.0397321428571424</v>
      </c>
      <c r="D13">
        <f t="shared" si="0"/>
        <v>23.239732142857143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27.187500000000004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30.984375</v>
      </c>
      <c r="D14">
        <f t="shared" si="0"/>
        <v>58.171875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30.494642857142857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</v>
      </c>
      <c r="D15">
        <f t="shared" si="0"/>
        <v>30.494642857142857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211.41361607142855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32.727008928571436</v>
      </c>
      <c r="D16">
        <f t="shared" si="0"/>
        <v>244.140625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18.611607142857142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1.4745535714285714</v>
      </c>
      <c r="D17">
        <f t="shared" si="0"/>
        <v>20.086160714285715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1.090625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0.14419642857142856</v>
      </c>
      <c r="D18">
        <f t="shared" si="0"/>
        <v>1.2348214285714285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1.0526785714285714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0.25178571428571428</v>
      </c>
      <c r="D19">
        <f t="shared" si="0"/>
        <v>1.3044642857142856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1.4165178571428572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0.57723214285714286</v>
      </c>
      <c r="D20">
        <f t="shared" si="0"/>
        <v>1.9937499999999999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0.57455357142857144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0.17857142857142858</v>
      </c>
      <c r="D25">
        <f t="shared" si="0"/>
        <v>0.75312500000000004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52.754687499999996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4.1261160714285712</v>
      </c>
      <c r="D26">
        <f t="shared" si="0"/>
        <v>56.880803571428565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81.608928571428578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13.19732142857143</v>
      </c>
      <c r="D27">
        <f t="shared" si="0"/>
        <v>94.806250000000006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543.08348214285706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350.81875000000002</v>
      </c>
      <c r="D28">
        <f t="shared" si="0"/>
        <v>893.90223214285709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1409.2464285714286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518.34330357142858</v>
      </c>
      <c r="D29">
        <f t="shared" si="0"/>
        <v>1927.5897321428572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192.68750000000003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47.831696428571426</v>
      </c>
      <c r="D30">
        <f t="shared" si="0"/>
        <v>240.51919642857146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1</v>
      </c>
      <c r="D31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29"/>
  <sheetViews>
    <sheetView topLeftCell="A23" workbookViewId="0">
      <selection activeCell="H24" sqref="H2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1724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1724</v>
      </c>
      <c r="B3" t="s">
        <v>57</v>
      </c>
      <c r="C3" t="s">
        <v>53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1724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1724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1724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1724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1724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1724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1724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1724</v>
      </c>
      <c r="B11" t="s">
        <v>5</v>
      </c>
      <c r="C11" t="s">
        <v>53</v>
      </c>
      <c r="D11" t="s">
        <v>33</v>
      </c>
      <c r="F11">
        <v>14</v>
      </c>
      <c r="G11">
        <v>2</v>
      </c>
      <c r="H11">
        <v>7</v>
      </c>
      <c r="J11">
        <f t="shared" si="0"/>
        <v>1631</v>
      </c>
      <c r="L11">
        <f t="shared" si="1"/>
        <v>0.72812500000000002</v>
      </c>
    </row>
    <row r="12" spans="1:15" x14ac:dyDescent="0.25">
      <c r="A12">
        <v>1724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1724</v>
      </c>
      <c r="B13" t="s">
        <v>6</v>
      </c>
      <c r="C13" t="s">
        <v>53</v>
      </c>
      <c r="D13" t="s">
        <v>33</v>
      </c>
      <c r="F13">
        <v>93999</v>
      </c>
      <c r="G13">
        <v>2</v>
      </c>
      <c r="H13">
        <v>11</v>
      </c>
      <c r="J13">
        <f t="shared" si="0"/>
        <v>10527955</v>
      </c>
      <c r="L13">
        <f t="shared" si="1"/>
        <v>4699.9799107142853</v>
      </c>
    </row>
    <row r="14" spans="1:15" x14ac:dyDescent="0.25">
      <c r="A14">
        <v>1724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1724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1724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1724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1724</v>
      </c>
      <c r="B18" t="s">
        <v>8</v>
      </c>
      <c r="C18" t="s">
        <v>53</v>
      </c>
      <c r="D18" t="s">
        <v>33</v>
      </c>
      <c r="F18">
        <v>77</v>
      </c>
      <c r="G18">
        <v>3</v>
      </c>
      <c r="H18">
        <v>17</v>
      </c>
      <c r="J18">
        <f t="shared" si="0"/>
        <v>8725</v>
      </c>
      <c r="L18">
        <f t="shared" si="1"/>
        <v>3.8950892857142856</v>
      </c>
    </row>
    <row r="19" spans="1:12" x14ac:dyDescent="0.25">
      <c r="A19">
        <v>1724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1724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1724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1724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1724</v>
      </c>
      <c r="B23" t="s">
        <v>9</v>
      </c>
      <c r="C23" t="s">
        <v>53</v>
      </c>
      <c r="D23" t="s">
        <v>33</v>
      </c>
      <c r="H23">
        <f>212*200</f>
        <v>42400</v>
      </c>
      <c r="I23" t="s">
        <v>108</v>
      </c>
      <c r="J23">
        <f t="shared" si="0"/>
        <v>42400</v>
      </c>
      <c r="L23">
        <f t="shared" si="1"/>
        <v>18.928571428571427</v>
      </c>
    </row>
    <row r="24" spans="1:12" x14ac:dyDescent="0.25">
      <c r="A24">
        <v>1724</v>
      </c>
      <c r="B24" t="s">
        <v>10</v>
      </c>
      <c r="C24" t="s">
        <v>53</v>
      </c>
      <c r="D24" t="s">
        <v>33</v>
      </c>
      <c r="F24">
        <v>1514</v>
      </c>
      <c r="G24">
        <v>3</v>
      </c>
      <c r="H24">
        <v>13</v>
      </c>
      <c r="J24">
        <f t="shared" si="0"/>
        <v>169665</v>
      </c>
      <c r="L24">
        <f t="shared" si="1"/>
        <v>75.743303571428569</v>
      </c>
    </row>
    <row r="25" spans="1:12" x14ac:dyDescent="0.25">
      <c r="A25">
        <v>1724</v>
      </c>
      <c r="B25" t="s">
        <v>11</v>
      </c>
      <c r="C25" t="s">
        <v>53</v>
      </c>
      <c r="D25" t="s">
        <v>33</v>
      </c>
      <c r="F25">
        <v>78</v>
      </c>
      <c r="G25">
        <v>1</v>
      </c>
      <c r="H25">
        <v>6</v>
      </c>
      <c r="J25">
        <f t="shared" si="0"/>
        <v>8770</v>
      </c>
      <c r="L25">
        <f t="shared" si="1"/>
        <v>3.9151785714285716</v>
      </c>
    </row>
    <row r="26" spans="1:12" x14ac:dyDescent="0.25">
      <c r="A26">
        <v>1724</v>
      </c>
      <c r="B26" t="s">
        <v>39</v>
      </c>
      <c r="C26" t="s">
        <v>53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1724</v>
      </c>
      <c r="B27" t="s">
        <v>79</v>
      </c>
      <c r="C27" t="s">
        <v>53</v>
      </c>
      <c r="D27" t="s">
        <v>33</v>
      </c>
      <c r="H27">
        <v>42</v>
      </c>
      <c r="J27">
        <f t="shared" si="0"/>
        <v>42</v>
      </c>
      <c r="L27">
        <f t="shared" si="1"/>
        <v>1.8749999999999999E-2</v>
      </c>
    </row>
    <row r="28" spans="1:12" x14ac:dyDescent="0.25">
      <c r="A28">
        <v>1724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1724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1724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1724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1724</v>
      </c>
      <c r="B32" t="s">
        <v>12</v>
      </c>
      <c r="C32" t="s">
        <v>53</v>
      </c>
      <c r="D32" t="s">
        <v>33</v>
      </c>
      <c r="H32">
        <v>710</v>
      </c>
      <c r="J32">
        <f t="shared" si="0"/>
        <v>710</v>
      </c>
      <c r="L32">
        <f t="shared" si="1"/>
        <v>0.3169642857142857</v>
      </c>
    </row>
    <row r="33" spans="1:12" x14ac:dyDescent="0.25">
      <c r="A33">
        <v>1724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1724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1724</v>
      </c>
      <c r="B35" t="s">
        <v>13</v>
      </c>
      <c r="C35" t="s">
        <v>53</v>
      </c>
      <c r="D35" t="s">
        <v>33</v>
      </c>
      <c r="E35">
        <v>2</v>
      </c>
      <c r="F35">
        <v>7</v>
      </c>
      <c r="J35">
        <f t="shared" si="0"/>
        <v>5264</v>
      </c>
      <c r="L35">
        <f t="shared" si="1"/>
        <v>2.35</v>
      </c>
    </row>
    <row r="36" spans="1:12" x14ac:dyDescent="0.25">
      <c r="A36">
        <v>1724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1724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1724</v>
      </c>
      <c r="B38" t="s">
        <v>27</v>
      </c>
      <c r="C38" t="s">
        <v>53</v>
      </c>
      <c r="D38" t="s">
        <v>33</v>
      </c>
      <c r="H38">
        <v>13663.5</v>
      </c>
      <c r="I38" t="s">
        <v>107</v>
      </c>
      <c r="J38">
        <f t="shared" si="0"/>
        <v>13663.5</v>
      </c>
      <c r="L38">
        <f t="shared" si="1"/>
        <v>6.0997767857142859</v>
      </c>
    </row>
    <row r="39" spans="1:12" x14ac:dyDescent="0.25">
      <c r="A39">
        <v>1724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1724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1724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1724</v>
      </c>
      <c r="B42" t="s">
        <v>47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1724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1724</v>
      </c>
      <c r="B44" t="s">
        <v>17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1724</v>
      </c>
      <c r="B45" t="s">
        <v>18</v>
      </c>
      <c r="C45" t="s">
        <v>53</v>
      </c>
      <c r="D45" t="s">
        <v>33</v>
      </c>
      <c r="H45">
        <v>97490</v>
      </c>
      <c r="I45" t="s">
        <v>109</v>
      </c>
      <c r="J45">
        <f t="shared" si="0"/>
        <v>97490</v>
      </c>
      <c r="L45">
        <f t="shared" si="1"/>
        <v>43.522321428571431</v>
      </c>
    </row>
    <row r="46" spans="1:12" x14ac:dyDescent="0.25">
      <c r="A46">
        <v>1724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1724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1724</v>
      </c>
      <c r="B48" t="s">
        <v>19</v>
      </c>
      <c r="C48" t="s">
        <v>53</v>
      </c>
      <c r="D48" t="s">
        <v>33</v>
      </c>
      <c r="F48">
        <v>42</v>
      </c>
      <c r="H48">
        <v>16</v>
      </c>
      <c r="J48">
        <f t="shared" si="0"/>
        <v>4720</v>
      </c>
      <c r="L48">
        <f t="shared" si="1"/>
        <v>2.1071428571428572</v>
      </c>
    </row>
    <row r="49" spans="1:12" x14ac:dyDescent="0.25">
      <c r="A49">
        <v>1724</v>
      </c>
      <c r="B49" t="s">
        <v>45</v>
      </c>
      <c r="C49" t="s">
        <v>53</v>
      </c>
      <c r="D49" t="s">
        <v>33</v>
      </c>
      <c r="H49">
        <v>8</v>
      </c>
      <c r="J49">
        <f t="shared" si="0"/>
        <v>8</v>
      </c>
      <c r="L49">
        <f t="shared" si="1"/>
        <v>3.5714285714285713E-3</v>
      </c>
    </row>
    <row r="50" spans="1:12" x14ac:dyDescent="0.25">
      <c r="A50">
        <v>1724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1724</v>
      </c>
      <c r="B51" t="s">
        <v>54</v>
      </c>
      <c r="C51" t="s">
        <v>53</v>
      </c>
      <c r="D51" t="s">
        <v>33</v>
      </c>
      <c r="H51">
        <v>496</v>
      </c>
      <c r="J51">
        <f t="shared" si="0"/>
        <v>496</v>
      </c>
      <c r="L51">
        <f t="shared" si="1"/>
        <v>0.22142857142857142</v>
      </c>
    </row>
    <row r="52" spans="1:12" x14ac:dyDescent="0.25">
      <c r="A52">
        <v>1724</v>
      </c>
      <c r="B52" t="s">
        <v>95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1724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1724</v>
      </c>
      <c r="B54" t="s">
        <v>21</v>
      </c>
      <c r="C54" t="s">
        <v>53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1724</v>
      </c>
      <c r="B55" t="s">
        <v>22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1724</v>
      </c>
      <c r="B56" t="s">
        <v>61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1724</v>
      </c>
      <c r="B57" t="s">
        <v>99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1724</v>
      </c>
      <c r="B58" t="s">
        <v>87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1724</v>
      </c>
      <c r="B59" t="s">
        <v>62</v>
      </c>
      <c r="C59" t="s">
        <v>53</v>
      </c>
      <c r="D59" t="s">
        <v>33</v>
      </c>
      <c r="E59">
        <v>7</v>
      </c>
      <c r="J59">
        <f t="shared" si="0"/>
        <v>15680</v>
      </c>
      <c r="L59">
        <f t="shared" si="1"/>
        <v>7</v>
      </c>
    </row>
    <row r="60" spans="1:12" x14ac:dyDescent="0.25">
      <c r="A60">
        <v>1724</v>
      </c>
      <c r="B60" t="s">
        <v>88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1724</v>
      </c>
      <c r="B61" t="s">
        <v>63</v>
      </c>
      <c r="C61" t="s">
        <v>53</v>
      </c>
      <c r="D61" t="s">
        <v>33</v>
      </c>
      <c r="E61">
        <v>125</v>
      </c>
      <c r="J61">
        <f t="shared" si="0"/>
        <v>280000</v>
      </c>
      <c r="L61">
        <f t="shared" si="1"/>
        <v>125</v>
      </c>
    </row>
    <row r="62" spans="1:12" x14ac:dyDescent="0.25">
      <c r="A62">
        <v>1724</v>
      </c>
      <c r="B62" t="s">
        <v>89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1724</v>
      </c>
      <c r="B63" t="s">
        <v>70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1724</v>
      </c>
      <c r="B64" t="s">
        <v>64</v>
      </c>
      <c r="C64" t="s">
        <v>53</v>
      </c>
      <c r="D64" t="s">
        <v>33</v>
      </c>
      <c r="E64">
        <v>61</v>
      </c>
      <c r="F64">
        <v>11</v>
      </c>
      <c r="G64">
        <v>1</v>
      </c>
      <c r="J64">
        <f t="shared" si="0"/>
        <v>137900</v>
      </c>
      <c r="L64">
        <f t="shared" si="1"/>
        <v>61.5625</v>
      </c>
    </row>
    <row r="65" spans="1:12" x14ac:dyDescent="0.25">
      <c r="A65">
        <v>1724</v>
      </c>
      <c r="B65" t="s">
        <v>65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1724</v>
      </c>
      <c r="B66" t="s">
        <v>55</v>
      </c>
      <c r="C66" t="s">
        <v>53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1724</v>
      </c>
      <c r="B67" t="s">
        <v>57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1724</v>
      </c>
      <c r="B68" t="s">
        <v>36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1724</v>
      </c>
      <c r="B69" t="s">
        <v>4</v>
      </c>
      <c r="C69" t="s">
        <v>53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1724</v>
      </c>
      <c r="B70" t="s">
        <v>58</v>
      </c>
      <c r="C70" t="s">
        <v>53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1724</v>
      </c>
      <c r="B71" t="s">
        <v>69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1724</v>
      </c>
      <c r="B72" t="s">
        <v>43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1724</v>
      </c>
      <c r="B73" t="s">
        <v>76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1724</v>
      </c>
      <c r="B74" t="s">
        <v>5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1724</v>
      </c>
      <c r="B75" t="s">
        <v>59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1724</v>
      </c>
      <c r="B76" t="s">
        <v>6</v>
      </c>
      <c r="C76" t="s">
        <v>53</v>
      </c>
      <c r="D76" t="s">
        <v>35</v>
      </c>
      <c r="F76">
        <v>25367</v>
      </c>
      <c r="G76">
        <v>3</v>
      </c>
      <c r="H76">
        <v>25</v>
      </c>
      <c r="J76">
        <f t="shared" si="2"/>
        <v>2841213</v>
      </c>
      <c r="L76">
        <f t="shared" si="3"/>
        <v>1268.3986607142858</v>
      </c>
    </row>
    <row r="77" spans="1:12" x14ac:dyDescent="0.25">
      <c r="A77">
        <v>1724</v>
      </c>
      <c r="B77" t="s">
        <v>60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1724</v>
      </c>
      <c r="B78" t="s">
        <v>7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1724</v>
      </c>
      <c r="B79" t="s">
        <v>37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1724</v>
      </c>
      <c r="B80" t="s">
        <v>8</v>
      </c>
      <c r="C80" t="s">
        <v>53</v>
      </c>
      <c r="D80" t="s">
        <v>35</v>
      </c>
      <c r="F80">
        <v>3</v>
      </c>
      <c r="G80">
        <v>3</v>
      </c>
      <c r="H80">
        <v>3</v>
      </c>
      <c r="J80">
        <f t="shared" si="2"/>
        <v>423</v>
      </c>
      <c r="L80">
        <f t="shared" si="3"/>
        <v>0.18883928571428571</v>
      </c>
    </row>
    <row r="81" spans="1:12" x14ac:dyDescent="0.25">
      <c r="A81">
        <v>1724</v>
      </c>
      <c r="B81" t="s">
        <v>40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1724</v>
      </c>
      <c r="B82" t="s">
        <v>77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1724</v>
      </c>
      <c r="B83" t="s">
        <v>78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1724</v>
      </c>
      <c r="B84" t="s">
        <v>46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1724</v>
      </c>
      <c r="B85" t="s">
        <v>9</v>
      </c>
      <c r="C85" t="s">
        <v>53</v>
      </c>
      <c r="D85" t="s">
        <v>35</v>
      </c>
      <c r="F85">
        <v>1352</v>
      </c>
      <c r="H85">
        <v>18</v>
      </c>
      <c r="J85">
        <f t="shared" si="2"/>
        <v>151442</v>
      </c>
      <c r="L85">
        <f t="shared" si="3"/>
        <v>67.60803571428572</v>
      </c>
    </row>
    <row r="86" spans="1:12" x14ac:dyDescent="0.25">
      <c r="A86">
        <v>1724</v>
      </c>
      <c r="B86" t="s">
        <v>10</v>
      </c>
      <c r="C86" t="s">
        <v>53</v>
      </c>
      <c r="D86" t="s">
        <v>35</v>
      </c>
      <c r="F86">
        <v>857</v>
      </c>
      <c r="G86">
        <v>1</v>
      </c>
      <c r="H86">
        <v>10</v>
      </c>
      <c r="J86">
        <f t="shared" si="2"/>
        <v>96022</v>
      </c>
      <c r="L86">
        <f t="shared" si="3"/>
        <v>42.866964285714289</v>
      </c>
    </row>
    <row r="87" spans="1:12" x14ac:dyDescent="0.25">
      <c r="A87">
        <v>1724</v>
      </c>
      <c r="B87" t="s">
        <v>11</v>
      </c>
      <c r="C87" t="s">
        <v>53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1724</v>
      </c>
      <c r="B88" t="s">
        <v>39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1724</v>
      </c>
      <c r="B89" t="s">
        <v>79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1724</v>
      </c>
      <c r="B90" t="s">
        <v>103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1724</v>
      </c>
      <c r="B91" t="s">
        <v>44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1724</v>
      </c>
      <c r="B92" t="s">
        <v>97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1724</v>
      </c>
      <c r="B93" t="s">
        <v>12</v>
      </c>
      <c r="C93" t="s">
        <v>53</v>
      </c>
      <c r="D93" t="s">
        <v>35</v>
      </c>
      <c r="H93">
        <v>1357</v>
      </c>
      <c r="J93">
        <f t="shared" si="2"/>
        <v>1357</v>
      </c>
      <c r="L93">
        <f t="shared" si="3"/>
        <v>0.60580357142857144</v>
      </c>
    </row>
    <row r="94" spans="1:12" x14ac:dyDescent="0.25">
      <c r="A94">
        <v>1724</v>
      </c>
      <c r="B94" t="s">
        <v>82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1724</v>
      </c>
      <c r="B95" t="s">
        <v>34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1724</v>
      </c>
      <c r="B96" t="s">
        <v>13</v>
      </c>
      <c r="C96" t="s">
        <v>53</v>
      </c>
      <c r="D96" t="s">
        <v>35</v>
      </c>
      <c r="E96">
        <v>18</v>
      </c>
      <c r="F96">
        <v>1</v>
      </c>
      <c r="G96">
        <v>1</v>
      </c>
      <c r="H96">
        <v>4</v>
      </c>
      <c r="J96">
        <f t="shared" si="2"/>
        <v>40464</v>
      </c>
      <c r="L96">
        <f t="shared" si="3"/>
        <v>18.064285714285713</v>
      </c>
    </row>
    <row r="97" spans="1:12" x14ac:dyDescent="0.25">
      <c r="A97">
        <v>1724</v>
      </c>
      <c r="B97" t="s">
        <v>14</v>
      </c>
      <c r="C97" t="s">
        <v>53</v>
      </c>
      <c r="D97" t="s">
        <v>35</v>
      </c>
      <c r="H97">
        <v>1350.5</v>
      </c>
      <c r="I97" t="s">
        <v>132</v>
      </c>
      <c r="J97">
        <f t="shared" si="2"/>
        <v>1350.5</v>
      </c>
      <c r="L97">
        <f t="shared" si="3"/>
        <v>0.60290178571428577</v>
      </c>
    </row>
    <row r="98" spans="1:12" x14ac:dyDescent="0.25">
      <c r="A98">
        <v>1724</v>
      </c>
      <c r="B98" t="s">
        <v>23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1724</v>
      </c>
      <c r="B99" t="s">
        <v>27</v>
      </c>
      <c r="C99" t="s">
        <v>53</v>
      </c>
      <c r="D99" t="s">
        <v>35</v>
      </c>
      <c r="H99">
        <v>1380.5</v>
      </c>
      <c r="I99" t="s">
        <v>131</v>
      </c>
      <c r="J99">
        <f t="shared" si="2"/>
        <v>1380.5</v>
      </c>
      <c r="L99">
        <f t="shared" si="3"/>
        <v>0.61629464285714286</v>
      </c>
    </row>
    <row r="100" spans="1:12" x14ac:dyDescent="0.25">
      <c r="A100">
        <v>1724</v>
      </c>
      <c r="B100" t="s">
        <v>15</v>
      </c>
      <c r="C100" t="s">
        <v>53</v>
      </c>
      <c r="D100" t="s">
        <v>35</v>
      </c>
      <c r="F100">
        <v>4</v>
      </c>
      <c r="G100">
        <v>2</v>
      </c>
      <c r="H100">
        <v>9</v>
      </c>
      <c r="J100">
        <f t="shared" si="2"/>
        <v>513</v>
      </c>
      <c r="L100">
        <f t="shared" si="3"/>
        <v>0.22901785714285713</v>
      </c>
    </row>
    <row r="101" spans="1:12" x14ac:dyDescent="0.25">
      <c r="A101">
        <v>1724</v>
      </c>
      <c r="B101" t="s">
        <v>93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1724</v>
      </c>
      <c r="B102" t="s">
        <v>42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1724</v>
      </c>
      <c r="B103" t="s">
        <v>83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1724</v>
      </c>
      <c r="B104" t="s">
        <v>47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1724</v>
      </c>
      <c r="B105" t="s">
        <v>16</v>
      </c>
      <c r="C105" t="s">
        <v>53</v>
      </c>
      <c r="D105" t="s">
        <v>35</v>
      </c>
      <c r="H105">
        <v>56</v>
      </c>
      <c r="J105">
        <f t="shared" si="2"/>
        <v>56</v>
      </c>
      <c r="L105">
        <f t="shared" si="3"/>
        <v>2.5000000000000001E-2</v>
      </c>
    </row>
    <row r="106" spans="1:12" x14ac:dyDescent="0.25">
      <c r="A106">
        <v>1724</v>
      </c>
      <c r="B106" t="s">
        <v>17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1724</v>
      </c>
      <c r="B107" t="s">
        <v>18</v>
      </c>
      <c r="C107" t="s">
        <v>53</v>
      </c>
      <c r="D107" t="s">
        <v>35</v>
      </c>
      <c r="H107">
        <v>25851.5</v>
      </c>
      <c r="I107" t="s">
        <v>133</v>
      </c>
      <c r="J107">
        <f t="shared" si="2"/>
        <v>25851.5</v>
      </c>
      <c r="L107">
        <f t="shared" si="3"/>
        <v>11.540848214285715</v>
      </c>
    </row>
    <row r="108" spans="1:12" x14ac:dyDescent="0.25">
      <c r="A108">
        <v>1724</v>
      </c>
      <c r="B108" t="s">
        <v>26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1724</v>
      </c>
      <c r="B109" t="s">
        <v>84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1724</v>
      </c>
      <c r="B110" t="s">
        <v>19</v>
      </c>
      <c r="C110" t="s">
        <v>53</v>
      </c>
      <c r="D110" t="s">
        <v>35</v>
      </c>
      <c r="F110">
        <v>5</v>
      </c>
      <c r="G110">
        <v>1</v>
      </c>
      <c r="H110">
        <v>16</v>
      </c>
      <c r="J110">
        <f t="shared" si="2"/>
        <v>604</v>
      </c>
      <c r="L110">
        <f t="shared" si="3"/>
        <v>0.26964285714285713</v>
      </c>
    </row>
    <row r="111" spans="1:12" x14ac:dyDescent="0.25">
      <c r="A111">
        <v>1724</v>
      </c>
      <c r="B111" t="s">
        <v>45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1724</v>
      </c>
      <c r="B112" t="s">
        <v>85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1724</v>
      </c>
      <c r="B113" t="s">
        <v>54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1724</v>
      </c>
      <c r="B114" t="s">
        <v>95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1724</v>
      </c>
      <c r="B115" t="s">
        <v>20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1724</v>
      </c>
      <c r="B116" t="s">
        <v>21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1724</v>
      </c>
      <c r="B117" t="s">
        <v>105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1724</v>
      </c>
      <c r="B118" t="s">
        <v>22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1724</v>
      </c>
      <c r="B119" t="s">
        <v>61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1724</v>
      </c>
      <c r="B120" t="s">
        <v>91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1724</v>
      </c>
      <c r="B121" t="s">
        <v>98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1724</v>
      </c>
      <c r="B122" t="s">
        <v>87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1724</v>
      </c>
      <c r="B123" t="s">
        <v>62</v>
      </c>
      <c r="C123" t="s">
        <v>53</v>
      </c>
      <c r="D123" t="s">
        <v>35</v>
      </c>
      <c r="E123">
        <v>33</v>
      </c>
      <c r="F123">
        <v>7</v>
      </c>
      <c r="G123">
        <v>2</v>
      </c>
      <c r="H123">
        <v>15</v>
      </c>
      <c r="J123">
        <f t="shared" si="2"/>
        <v>74775</v>
      </c>
      <c r="L123">
        <f t="shared" si="3"/>
        <v>33.381696428571431</v>
      </c>
    </row>
    <row r="124" spans="1:12" x14ac:dyDescent="0.25">
      <c r="A124">
        <v>1724</v>
      </c>
      <c r="B124" t="s">
        <v>88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1724</v>
      </c>
      <c r="B125" t="s">
        <v>63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1724</v>
      </c>
      <c r="B126" t="s">
        <v>89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1724</v>
      </c>
      <c r="B127" t="s">
        <v>70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1724</v>
      </c>
      <c r="B128" t="s">
        <v>64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1724</v>
      </c>
      <c r="B129" t="s">
        <v>65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1"/>
  <sheetViews>
    <sheetView topLeftCell="A18"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1724</v>
      </c>
      <c r="B2" t="s">
        <v>55</v>
      </c>
      <c r="C2" t="s">
        <v>56</v>
      </c>
      <c r="D2" t="s">
        <v>33</v>
      </c>
      <c r="J2">
        <f t="shared" ref="J2:J68" si="0">(E2*2240)+(F2*112)+(G2*28)+H2</f>
        <v>0</v>
      </c>
      <c r="L2">
        <f t="shared" ref="L2:L68" si="1">J2/2240</f>
        <v>0</v>
      </c>
    </row>
    <row r="3" spans="1:12" x14ac:dyDescent="0.25">
      <c r="A3">
        <v>1724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1724</v>
      </c>
      <c r="B4" t="s">
        <v>36</v>
      </c>
      <c r="C4" t="s">
        <v>56</v>
      </c>
      <c r="D4" t="s">
        <v>33</v>
      </c>
      <c r="H4">
        <v>34153</v>
      </c>
      <c r="J4">
        <f t="shared" si="0"/>
        <v>34153</v>
      </c>
      <c r="L4">
        <f t="shared" si="1"/>
        <v>15.246874999999999</v>
      </c>
    </row>
    <row r="5" spans="1:12" x14ac:dyDescent="0.25">
      <c r="A5">
        <v>1724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1724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1724</v>
      </c>
      <c r="B7" t="s">
        <v>92</v>
      </c>
      <c r="C7" t="s">
        <v>56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1724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1724</v>
      </c>
      <c r="B9" t="s">
        <v>5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1724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1724</v>
      </c>
      <c r="B11" t="s">
        <v>6</v>
      </c>
      <c r="C11" t="s">
        <v>56</v>
      </c>
      <c r="D11" t="s">
        <v>33</v>
      </c>
      <c r="F11">
        <v>198064</v>
      </c>
      <c r="G11">
        <v>1</v>
      </c>
      <c r="H11">
        <v>3</v>
      </c>
      <c r="J11">
        <f t="shared" si="0"/>
        <v>22183199</v>
      </c>
      <c r="L11">
        <f t="shared" si="1"/>
        <v>9903.2138392857141</v>
      </c>
    </row>
    <row r="12" spans="1:12" x14ac:dyDescent="0.25">
      <c r="A12">
        <v>1724</v>
      </c>
      <c r="B12" t="s">
        <v>60</v>
      </c>
      <c r="C12" t="s">
        <v>56</v>
      </c>
      <c r="D12" t="s">
        <v>33</v>
      </c>
      <c r="H12">
        <v>290</v>
      </c>
      <c r="J12">
        <f t="shared" si="0"/>
        <v>290</v>
      </c>
      <c r="L12">
        <f t="shared" si="1"/>
        <v>0.12946428571428573</v>
      </c>
    </row>
    <row r="13" spans="1:12" x14ac:dyDescent="0.25">
      <c r="A13">
        <v>1724</v>
      </c>
      <c r="B13" t="s">
        <v>7</v>
      </c>
      <c r="C13" t="s">
        <v>56</v>
      </c>
      <c r="D13" t="s">
        <v>33</v>
      </c>
      <c r="H13">
        <v>6</v>
      </c>
      <c r="J13">
        <f t="shared" si="0"/>
        <v>6</v>
      </c>
      <c r="L13">
        <f t="shared" si="1"/>
        <v>2.6785714285714286E-3</v>
      </c>
    </row>
    <row r="14" spans="1:12" x14ac:dyDescent="0.25">
      <c r="A14">
        <v>1724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1724</v>
      </c>
      <c r="B15" t="s">
        <v>8</v>
      </c>
      <c r="C15" t="s">
        <v>56</v>
      </c>
      <c r="D15" t="s">
        <v>33</v>
      </c>
      <c r="F15">
        <v>447</v>
      </c>
      <c r="G15">
        <v>2</v>
      </c>
      <c r="H15">
        <v>3</v>
      </c>
      <c r="J15">
        <f t="shared" si="0"/>
        <v>50123</v>
      </c>
      <c r="L15">
        <f t="shared" si="1"/>
        <v>22.376339285714284</v>
      </c>
    </row>
    <row r="16" spans="1:12" x14ac:dyDescent="0.25">
      <c r="A16">
        <v>1724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1724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1724</v>
      </c>
      <c r="B18" t="s">
        <v>9</v>
      </c>
      <c r="C18" t="s">
        <v>56</v>
      </c>
      <c r="D18" t="s">
        <v>33</v>
      </c>
      <c r="H18">
        <f>585.5*200</f>
        <v>117100</v>
      </c>
      <c r="I18" t="s">
        <v>112</v>
      </c>
      <c r="J18">
        <f t="shared" si="0"/>
        <v>117100</v>
      </c>
      <c r="L18">
        <f t="shared" si="1"/>
        <v>52.276785714285715</v>
      </c>
    </row>
    <row r="19" spans="1:12" x14ac:dyDescent="0.25">
      <c r="A19">
        <v>1724</v>
      </c>
      <c r="B19" t="s">
        <v>10</v>
      </c>
      <c r="C19" t="s">
        <v>56</v>
      </c>
      <c r="D19" t="s">
        <v>33</v>
      </c>
      <c r="F19">
        <v>3832</v>
      </c>
      <c r="G19">
        <v>3</v>
      </c>
      <c r="H19">
        <v>17</v>
      </c>
      <c r="J19">
        <f t="shared" si="0"/>
        <v>429285</v>
      </c>
      <c r="L19">
        <f t="shared" si="1"/>
        <v>191.64508928571428</v>
      </c>
    </row>
    <row r="20" spans="1:12" x14ac:dyDescent="0.25">
      <c r="A20">
        <v>1724</v>
      </c>
      <c r="B20" t="s">
        <v>11</v>
      </c>
      <c r="C20" t="s">
        <v>56</v>
      </c>
      <c r="D20" t="s">
        <v>33</v>
      </c>
      <c r="F20">
        <v>286</v>
      </c>
      <c r="H20">
        <v>4</v>
      </c>
      <c r="J20">
        <f t="shared" si="0"/>
        <v>32036</v>
      </c>
      <c r="L20">
        <f t="shared" si="1"/>
        <v>14.301785714285714</v>
      </c>
    </row>
    <row r="21" spans="1:12" x14ac:dyDescent="0.25">
      <c r="A21">
        <v>1724</v>
      </c>
      <c r="B21" t="s">
        <v>39</v>
      </c>
      <c r="C21" t="s">
        <v>56</v>
      </c>
      <c r="D21" t="s">
        <v>33</v>
      </c>
      <c r="H21">
        <v>120</v>
      </c>
      <c r="J21">
        <f t="shared" si="0"/>
        <v>120</v>
      </c>
      <c r="L21">
        <f t="shared" si="1"/>
        <v>5.3571428571428568E-2</v>
      </c>
    </row>
    <row r="22" spans="1:12" x14ac:dyDescent="0.25">
      <c r="A22">
        <v>1724</v>
      </c>
      <c r="B22" t="s">
        <v>102</v>
      </c>
      <c r="C22" t="s">
        <v>56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1724</v>
      </c>
      <c r="B23" t="s">
        <v>44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1724</v>
      </c>
      <c r="B24" t="s">
        <v>12</v>
      </c>
      <c r="C24" t="s">
        <v>56</v>
      </c>
      <c r="D24" t="s">
        <v>33</v>
      </c>
      <c r="H24">
        <f>15954+813</f>
        <v>16767</v>
      </c>
      <c r="J24">
        <f t="shared" si="0"/>
        <v>16767</v>
      </c>
      <c r="L24">
        <f t="shared" si="1"/>
        <v>7.4852678571428575</v>
      </c>
    </row>
    <row r="25" spans="1:12" x14ac:dyDescent="0.25">
      <c r="A25">
        <v>1724</v>
      </c>
      <c r="B25" t="s">
        <v>34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1724</v>
      </c>
      <c r="B26" t="s">
        <v>13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1724</v>
      </c>
      <c r="B27" t="s">
        <v>14</v>
      </c>
      <c r="C27" t="s">
        <v>56</v>
      </c>
      <c r="D27" t="s">
        <v>33</v>
      </c>
      <c r="H27">
        <v>37419.5</v>
      </c>
      <c r="I27" t="s">
        <v>113</v>
      </c>
      <c r="J27">
        <f t="shared" si="0"/>
        <v>37419.5</v>
      </c>
      <c r="L27">
        <f t="shared" si="1"/>
        <v>16.705133928571428</v>
      </c>
    </row>
    <row r="28" spans="1:12" x14ac:dyDescent="0.25">
      <c r="A28">
        <v>1724</v>
      </c>
      <c r="B28" t="s">
        <v>23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1724</v>
      </c>
      <c r="B29" t="s">
        <v>27</v>
      </c>
      <c r="C29" t="s">
        <v>56</v>
      </c>
      <c r="D29" t="s">
        <v>33</v>
      </c>
      <c r="H29">
        <v>59655.5</v>
      </c>
      <c r="I29" t="s">
        <v>110</v>
      </c>
      <c r="J29">
        <f t="shared" si="0"/>
        <v>59655.5</v>
      </c>
      <c r="L29">
        <f t="shared" si="1"/>
        <v>26.631919642857142</v>
      </c>
    </row>
    <row r="30" spans="1:12" x14ac:dyDescent="0.25">
      <c r="A30">
        <v>1724</v>
      </c>
      <c r="B30" t="s">
        <v>15</v>
      </c>
      <c r="C30" t="s">
        <v>56</v>
      </c>
      <c r="D30" t="s">
        <v>33</v>
      </c>
      <c r="F30">
        <v>300</v>
      </c>
      <c r="J30">
        <f t="shared" si="0"/>
        <v>33600</v>
      </c>
      <c r="L30">
        <f t="shared" si="1"/>
        <v>15</v>
      </c>
    </row>
    <row r="31" spans="1:12" x14ac:dyDescent="0.25">
      <c r="A31">
        <v>1724</v>
      </c>
      <c r="B31" t="s">
        <v>42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1724</v>
      </c>
      <c r="B32" t="s">
        <v>47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1724</v>
      </c>
      <c r="B33" t="s">
        <v>16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1724</v>
      </c>
      <c r="B34" t="s">
        <v>106</v>
      </c>
      <c r="C34" t="s">
        <v>56</v>
      </c>
      <c r="D34" t="s">
        <v>33</v>
      </c>
      <c r="F34">
        <v>6</v>
      </c>
      <c r="G34">
        <v>2</v>
      </c>
      <c r="J34">
        <f t="shared" si="0"/>
        <v>728</v>
      </c>
      <c r="L34">
        <f t="shared" si="1"/>
        <v>0.32500000000000001</v>
      </c>
    </row>
    <row r="35" spans="1:12" x14ac:dyDescent="0.25">
      <c r="A35">
        <v>1724</v>
      </c>
      <c r="B35" t="s">
        <v>17</v>
      </c>
      <c r="C35" t="s">
        <v>56</v>
      </c>
      <c r="D35" t="s">
        <v>33</v>
      </c>
      <c r="F35">
        <v>50</v>
      </c>
      <c r="J35">
        <f t="shared" si="0"/>
        <v>5600</v>
      </c>
      <c r="L35">
        <f t="shared" si="1"/>
        <v>2.5</v>
      </c>
    </row>
    <row r="36" spans="1:12" x14ac:dyDescent="0.25">
      <c r="A36">
        <v>1724</v>
      </c>
      <c r="B36" t="s">
        <v>18</v>
      </c>
      <c r="C36" t="s">
        <v>56</v>
      </c>
      <c r="D36" t="s">
        <v>33</v>
      </c>
      <c r="H36">
        <v>138145.5</v>
      </c>
      <c r="I36" t="s">
        <v>114</v>
      </c>
      <c r="J36">
        <f t="shared" si="0"/>
        <v>138145.5</v>
      </c>
      <c r="L36">
        <f t="shared" si="1"/>
        <v>61.672098214285711</v>
      </c>
    </row>
    <row r="37" spans="1:12" x14ac:dyDescent="0.25">
      <c r="A37">
        <v>1724</v>
      </c>
      <c r="B37" t="s">
        <v>26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1724</v>
      </c>
      <c r="B38" t="s">
        <v>19</v>
      </c>
      <c r="C38" t="s">
        <v>56</v>
      </c>
      <c r="D38" t="s">
        <v>33</v>
      </c>
      <c r="F38">
        <v>146</v>
      </c>
      <c r="G38">
        <v>2</v>
      </c>
      <c r="H38">
        <v>13</v>
      </c>
      <c r="J38">
        <f t="shared" si="0"/>
        <v>16421</v>
      </c>
      <c r="L38">
        <f t="shared" si="1"/>
        <v>7.3308035714285715</v>
      </c>
    </row>
    <row r="39" spans="1:12" x14ac:dyDescent="0.25">
      <c r="A39">
        <v>1724</v>
      </c>
      <c r="B39" t="s">
        <v>45</v>
      </c>
      <c r="C39" t="s">
        <v>56</v>
      </c>
      <c r="D39" t="s">
        <v>33</v>
      </c>
      <c r="H39">
        <v>413</v>
      </c>
      <c r="J39">
        <f t="shared" si="0"/>
        <v>413</v>
      </c>
      <c r="L39">
        <f t="shared" si="1"/>
        <v>0.18437500000000001</v>
      </c>
    </row>
    <row r="40" spans="1:12" x14ac:dyDescent="0.25">
      <c r="A40">
        <v>1724</v>
      </c>
      <c r="B40" t="s">
        <v>54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1724</v>
      </c>
      <c r="B41" t="s">
        <v>95</v>
      </c>
      <c r="C41" t="s">
        <v>56</v>
      </c>
      <c r="D41" t="s">
        <v>33</v>
      </c>
      <c r="H41">
        <v>280</v>
      </c>
      <c r="J41">
        <f t="shared" si="0"/>
        <v>280</v>
      </c>
      <c r="L41">
        <f t="shared" si="1"/>
        <v>0.125</v>
      </c>
    </row>
    <row r="42" spans="1:12" x14ac:dyDescent="0.25">
      <c r="A42">
        <v>1724</v>
      </c>
      <c r="B42" t="s">
        <v>20</v>
      </c>
      <c r="C42" t="s">
        <v>56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1724</v>
      </c>
      <c r="B43" t="s">
        <v>21</v>
      </c>
      <c r="C43" t="s">
        <v>56</v>
      </c>
      <c r="D43" t="s">
        <v>33</v>
      </c>
      <c r="H43">
        <v>123</v>
      </c>
      <c r="J43">
        <f t="shared" si="0"/>
        <v>123</v>
      </c>
      <c r="L43">
        <f t="shared" si="1"/>
        <v>5.4910714285714285E-2</v>
      </c>
    </row>
    <row r="44" spans="1:12" x14ac:dyDescent="0.25">
      <c r="A44">
        <v>1724</v>
      </c>
      <c r="B44" t="s">
        <v>22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1724</v>
      </c>
      <c r="B45" t="s">
        <v>61</v>
      </c>
      <c r="C45" t="s">
        <v>56</v>
      </c>
      <c r="D45" t="s">
        <v>33</v>
      </c>
      <c r="E45">
        <v>24</v>
      </c>
      <c r="F45">
        <v>5</v>
      </c>
      <c r="G45">
        <v>2</v>
      </c>
      <c r="H45">
        <v>20</v>
      </c>
      <c r="J45">
        <f t="shared" si="0"/>
        <v>54396</v>
      </c>
      <c r="L45">
        <f t="shared" si="1"/>
        <v>24.283928571428572</v>
      </c>
    </row>
    <row r="46" spans="1:12" x14ac:dyDescent="0.25">
      <c r="A46">
        <v>1724</v>
      </c>
      <c r="B46" t="s">
        <v>111</v>
      </c>
      <c r="C46" t="s">
        <v>56</v>
      </c>
      <c r="D46" t="s">
        <v>33</v>
      </c>
      <c r="E46">
        <v>5</v>
      </c>
      <c r="J46">
        <f t="shared" si="0"/>
        <v>11200</v>
      </c>
      <c r="L46">
        <f t="shared" si="1"/>
        <v>5</v>
      </c>
    </row>
    <row r="47" spans="1:12" x14ac:dyDescent="0.25">
      <c r="A47">
        <v>1724</v>
      </c>
      <c r="B47" t="s">
        <v>62</v>
      </c>
      <c r="C47" t="s">
        <v>56</v>
      </c>
      <c r="D47" t="s">
        <v>33</v>
      </c>
      <c r="E47">
        <v>18</v>
      </c>
      <c r="F47">
        <v>4</v>
      </c>
      <c r="J47">
        <f t="shared" si="0"/>
        <v>40768</v>
      </c>
      <c r="L47">
        <f t="shared" si="1"/>
        <v>18.2</v>
      </c>
    </row>
    <row r="48" spans="1:12" x14ac:dyDescent="0.25">
      <c r="A48">
        <v>1724</v>
      </c>
      <c r="B48" t="s">
        <v>63</v>
      </c>
      <c r="C48" t="s">
        <v>56</v>
      </c>
      <c r="D48" t="s">
        <v>33</v>
      </c>
      <c r="E48">
        <v>33</v>
      </c>
      <c r="F48">
        <v>6</v>
      </c>
      <c r="G48">
        <v>3</v>
      </c>
      <c r="H48">
        <v>19</v>
      </c>
      <c r="J48">
        <f t="shared" si="0"/>
        <v>74695</v>
      </c>
      <c r="L48">
        <f t="shared" si="1"/>
        <v>33.345982142857146</v>
      </c>
    </row>
    <row r="49" spans="1:12" x14ac:dyDescent="0.25">
      <c r="A49">
        <v>1724</v>
      </c>
      <c r="B49" t="s">
        <v>70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1724</v>
      </c>
      <c r="B50" t="s">
        <v>64</v>
      </c>
      <c r="C50" t="s">
        <v>56</v>
      </c>
      <c r="D50" t="s">
        <v>33</v>
      </c>
      <c r="E50">
        <v>75</v>
      </c>
      <c r="F50">
        <v>14</v>
      </c>
      <c r="G50">
        <v>2</v>
      </c>
      <c r="H50">
        <v>1</v>
      </c>
      <c r="J50">
        <f t="shared" si="0"/>
        <v>169625</v>
      </c>
      <c r="L50">
        <f t="shared" si="1"/>
        <v>75.725446428571431</v>
      </c>
    </row>
    <row r="51" spans="1:12" x14ac:dyDescent="0.25">
      <c r="A51">
        <v>1724</v>
      </c>
      <c r="B51" t="s">
        <v>65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1724</v>
      </c>
      <c r="B52" t="s">
        <v>55</v>
      </c>
      <c r="C52" t="s">
        <v>56</v>
      </c>
      <c r="D52" t="s">
        <v>35</v>
      </c>
      <c r="F52">
        <v>3</v>
      </c>
      <c r="G52">
        <v>2</v>
      </c>
      <c r="H52">
        <v>20</v>
      </c>
      <c r="J52">
        <f t="shared" si="0"/>
        <v>412</v>
      </c>
      <c r="L52">
        <f t="shared" si="1"/>
        <v>0.18392857142857144</v>
      </c>
    </row>
    <row r="53" spans="1:12" x14ac:dyDescent="0.25">
      <c r="A53">
        <v>1724</v>
      </c>
      <c r="B53" t="s">
        <v>57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1724</v>
      </c>
      <c r="B54" t="s">
        <v>36</v>
      </c>
      <c r="C54" t="s">
        <v>56</v>
      </c>
      <c r="D54" t="s">
        <v>35</v>
      </c>
      <c r="H54">
        <v>3812</v>
      </c>
      <c r="J54">
        <f t="shared" si="0"/>
        <v>3812</v>
      </c>
      <c r="L54">
        <f t="shared" si="1"/>
        <v>1.7017857142857142</v>
      </c>
    </row>
    <row r="55" spans="1:12" x14ac:dyDescent="0.25">
      <c r="A55">
        <v>1724</v>
      </c>
      <c r="B55" t="s">
        <v>4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1724</v>
      </c>
      <c r="B56" t="s">
        <v>58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1724</v>
      </c>
      <c r="B57" t="s">
        <v>92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1724</v>
      </c>
      <c r="B58" t="s">
        <v>43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1724</v>
      </c>
      <c r="B59" t="s">
        <v>5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1724</v>
      </c>
      <c r="B60" t="s">
        <v>59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1724</v>
      </c>
      <c r="B61" t="s">
        <v>6</v>
      </c>
      <c r="C61" t="s">
        <v>56</v>
      </c>
      <c r="D61" t="s">
        <v>35</v>
      </c>
      <c r="F61">
        <v>50771</v>
      </c>
      <c r="G61">
        <v>2</v>
      </c>
      <c r="H61">
        <v>15</v>
      </c>
      <c r="J61">
        <f t="shared" si="0"/>
        <v>5686423</v>
      </c>
      <c r="L61">
        <f t="shared" si="1"/>
        <v>2538.5816964285714</v>
      </c>
    </row>
    <row r="62" spans="1:12" x14ac:dyDescent="0.25">
      <c r="A62">
        <v>1724</v>
      </c>
      <c r="B62" t="s">
        <v>60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1724</v>
      </c>
      <c r="B63" t="s">
        <v>38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1724</v>
      </c>
      <c r="B64" t="s">
        <v>37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1724</v>
      </c>
      <c r="B65" t="s">
        <v>8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1724</v>
      </c>
      <c r="B66" t="s">
        <v>40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1724</v>
      </c>
      <c r="B67" t="s">
        <v>9</v>
      </c>
      <c r="C67" t="s">
        <v>56</v>
      </c>
      <c r="D67" t="s">
        <v>35</v>
      </c>
      <c r="F67">
        <v>1395</v>
      </c>
      <c r="G67">
        <v>2</v>
      </c>
      <c r="H67">
        <v>13</v>
      </c>
      <c r="J67">
        <f t="shared" si="0"/>
        <v>156309</v>
      </c>
      <c r="L67">
        <f t="shared" si="1"/>
        <v>69.780803571428578</v>
      </c>
    </row>
    <row r="68" spans="1:12" x14ac:dyDescent="0.25">
      <c r="A68">
        <v>1724</v>
      </c>
      <c r="B68" t="s">
        <v>10</v>
      </c>
      <c r="C68" t="s">
        <v>56</v>
      </c>
      <c r="D68" t="s">
        <v>35</v>
      </c>
      <c r="F68">
        <v>1213</v>
      </c>
      <c r="G68">
        <v>1</v>
      </c>
      <c r="H68">
        <v>13</v>
      </c>
      <c r="J68">
        <f t="shared" si="0"/>
        <v>135897</v>
      </c>
      <c r="L68">
        <f t="shared" si="1"/>
        <v>60.668303571428574</v>
      </c>
    </row>
    <row r="69" spans="1:12" x14ac:dyDescent="0.25">
      <c r="A69">
        <v>1724</v>
      </c>
      <c r="B69" t="s">
        <v>11</v>
      </c>
      <c r="C69" t="s">
        <v>56</v>
      </c>
      <c r="D69" t="s">
        <v>35</v>
      </c>
      <c r="F69">
        <v>144</v>
      </c>
      <c r="G69">
        <v>2</v>
      </c>
      <c r="H69">
        <v>21</v>
      </c>
      <c r="J69">
        <f t="shared" ref="J69:J101" si="2">(E69*2240)+(F69*112)+(G69*28)+H69</f>
        <v>16205</v>
      </c>
      <c r="L69">
        <f t="shared" ref="L69:L101" si="3">J69/2240</f>
        <v>7.234375</v>
      </c>
    </row>
    <row r="70" spans="1:12" x14ac:dyDescent="0.25">
      <c r="A70">
        <v>1724</v>
      </c>
      <c r="B70" t="s">
        <v>39</v>
      </c>
      <c r="C70" t="s">
        <v>56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1724</v>
      </c>
      <c r="B71" t="s">
        <v>79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1724</v>
      </c>
      <c r="B72" t="s">
        <v>44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1724</v>
      </c>
      <c r="B73" t="s">
        <v>12</v>
      </c>
      <c r="C73" t="s">
        <v>56</v>
      </c>
      <c r="D73" t="s">
        <v>35</v>
      </c>
      <c r="H73">
        <v>477</v>
      </c>
      <c r="J73">
        <f t="shared" si="2"/>
        <v>477</v>
      </c>
      <c r="L73">
        <f t="shared" si="3"/>
        <v>0.21294642857142856</v>
      </c>
    </row>
    <row r="74" spans="1:12" x14ac:dyDescent="0.25">
      <c r="A74">
        <v>1724</v>
      </c>
      <c r="B74" t="s">
        <v>34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1724</v>
      </c>
      <c r="B75" t="s">
        <v>13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1724</v>
      </c>
      <c r="B76" t="s">
        <v>14</v>
      </c>
      <c r="C76" t="s">
        <v>56</v>
      </c>
      <c r="D76" t="s">
        <v>35</v>
      </c>
      <c r="H76">
        <v>6261.5</v>
      </c>
      <c r="I76" t="s">
        <v>135</v>
      </c>
      <c r="J76">
        <f t="shared" si="2"/>
        <v>6261.5</v>
      </c>
      <c r="L76">
        <f t="shared" si="3"/>
        <v>2.7953125000000001</v>
      </c>
    </row>
    <row r="77" spans="1:12" x14ac:dyDescent="0.25">
      <c r="A77">
        <v>1724</v>
      </c>
      <c r="B77" t="s">
        <v>23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1724</v>
      </c>
      <c r="B78" t="s">
        <v>27</v>
      </c>
      <c r="C78" t="s">
        <v>56</v>
      </c>
      <c r="D78" t="s">
        <v>35</v>
      </c>
      <c r="H78">
        <v>4441</v>
      </c>
      <c r="I78" t="s">
        <v>134</v>
      </c>
      <c r="J78">
        <f t="shared" si="2"/>
        <v>4441</v>
      </c>
      <c r="L78">
        <f t="shared" si="3"/>
        <v>1.9825892857142857</v>
      </c>
    </row>
    <row r="79" spans="1:12" x14ac:dyDescent="0.25">
      <c r="A79">
        <v>1724</v>
      </c>
      <c r="B79" t="s">
        <v>15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1724</v>
      </c>
      <c r="B80" t="s">
        <v>93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1724</v>
      </c>
      <c r="B81" t="s">
        <v>42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1724</v>
      </c>
      <c r="B82" t="s">
        <v>47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1724</v>
      </c>
      <c r="B83" t="s">
        <v>16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1724</v>
      </c>
      <c r="B84" t="s">
        <v>106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1724</v>
      </c>
      <c r="B85" t="s">
        <v>17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1724</v>
      </c>
      <c r="B86" t="s">
        <v>18</v>
      </c>
      <c r="C86" t="s">
        <v>56</v>
      </c>
      <c r="D86" t="s">
        <v>35</v>
      </c>
      <c r="H86">
        <v>21590.5</v>
      </c>
      <c r="I86" t="s">
        <v>136</v>
      </c>
      <c r="J86">
        <f t="shared" si="2"/>
        <v>21590.5</v>
      </c>
      <c r="L86">
        <f t="shared" si="3"/>
        <v>9.6386160714285722</v>
      </c>
    </row>
    <row r="87" spans="1:12" x14ac:dyDescent="0.25">
      <c r="A87">
        <v>1724</v>
      </c>
      <c r="B87" t="s">
        <v>26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1724</v>
      </c>
      <c r="B88" t="s">
        <v>19</v>
      </c>
      <c r="C88" t="s">
        <v>56</v>
      </c>
      <c r="D88" t="s">
        <v>35</v>
      </c>
      <c r="F88">
        <v>1</v>
      </c>
      <c r="G88">
        <v>1</v>
      </c>
      <c r="H88">
        <v>23</v>
      </c>
      <c r="J88">
        <f t="shared" si="2"/>
        <v>163</v>
      </c>
      <c r="L88">
        <f t="shared" si="3"/>
        <v>7.2767857142857148E-2</v>
      </c>
    </row>
    <row r="89" spans="1:12" x14ac:dyDescent="0.25">
      <c r="A89">
        <v>1724</v>
      </c>
      <c r="B89" t="s">
        <v>45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1724</v>
      </c>
      <c r="B90" t="s">
        <v>54</v>
      </c>
      <c r="C90" t="s">
        <v>56</v>
      </c>
      <c r="D90" t="s">
        <v>35</v>
      </c>
      <c r="H90">
        <v>165</v>
      </c>
      <c r="J90">
        <f t="shared" si="2"/>
        <v>165</v>
      </c>
      <c r="L90">
        <f t="shared" si="3"/>
        <v>7.3660714285714288E-2</v>
      </c>
    </row>
    <row r="91" spans="1:12" x14ac:dyDescent="0.25">
      <c r="A91">
        <v>1724</v>
      </c>
      <c r="B91" t="s">
        <v>95</v>
      </c>
      <c r="C91" t="s">
        <v>56</v>
      </c>
      <c r="D91" t="s">
        <v>35</v>
      </c>
      <c r="H91">
        <v>743</v>
      </c>
      <c r="J91">
        <f t="shared" si="2"/>
        <v>743</v>
      </c>
      <c r="L91">
        <f t="shared" si="3"/>
        <v>0.33169642857142856</v>
      </c>
    </row>
    <row r="92" spans="1:12" x14ac:dyDescent="0.25">
      <c r="A92">
        <v>1724</v>
      </c>
      <c r="B92" t="s">
        <v>20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1724</v>
      </c>
      <c r="B93" t="s">
        <v>21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1724</v>
      </c>
      <c r="B94" t="s">
        <v>22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1724</v>
      </c>
      <c r="B95" t="s">
        <v>61</v>
      </c>
      <c r="C95" t="s">
        <v>56</v>
      </c>
      <c r="D95" t="s">
        <v>35</v>
      </c>
      <c r="E95">
        <v>4</v>
      </c>
      <c r="F95">
        <v>18</v>
      </c>
      <c r="J95">
        <f t="shared" si="2"/>
        <v>10976</v>
      </c>
      <c r="L95">
        <f t="shared" si="3"/>
        <v>4.9000000000000004</v>
      </c>
    </row>
    <row r="96" spans="1:12" x14ac:dyDescent="0.25">
      <c r="A96">
        <v>1724</v>
      </c>
      <c r="B96" t="s">
        <v>62</v>
      </c>
      <c r="C96" t="s">
        <v>56</v>
      </c>
      <c r="D96" t="s">
        <v>35</v>
      </c>
      <c r="E96">
        <v>33</v>
      </c>
      <c r="F96">
        <v>18</v>
      </c>
      <c r="G96">
        <v>1</v>
      </c>
      <c r="H96">
        <v>16</v>
      </c>
      <c r="J96">
        <f t="shared" si="2"/>
        <v>75980</v>
      </c>
      <c r="L96">
        <f t="shared" si="3"/>
        <v>33.919642857142854</v>
      </c>
    </row>
    <row r="97" spans="1:12" x14ac:dyDescent="0.25">
      <c r="A97">
        <v>1724</v>
      </c>
      <c r="B97" t="s">
        <v>63</v>
      </c>
      <c r="C97" t="s">
        <v>56</v>
      </c>
      <c r="D97" t="s">
        <v>35</v>
      </c>
      <c r="E97">
        <v>6</v>
      </c>
      <c r="F97">
        <v>18</v>
      </c>
      <c r="G97">
        <v>2</v>
      </c>
      <c r="H97">
        <v>14</v>
      </c>
      <c r="J97">
        <f t="shared" si="2"/>
        <v>15526</v>
      </c>
      <c r="L97">
        <f t="shared" si="3"/>
        <v>6.9312500000000004</v>
      </c>
    </row>
    <row r="98" spans="1:12" x14ac:dyDescent="0.25">
      <c r="A98">
        <v>1724</v>
      </c>
      <c r="B98" t="s">
        <v>89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1724</v>
      </c>
      <c r="B99" t="s">
        <v>70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1724</v>
      </c>
      <c r="B100" t="s">
        <v>64</v>
      </c>
      <c r="C100" t="s">
        <v>56</v>
      </c>
      <c r="D100" t="s">
        <v>35</v>
      </c>
      <c r="E100">
        <v>11</v>
      </c>
      <c r="F100">
        <v>1</v>
      </c>
      <c r="H100">
        <v>18</v>
      </c>
      <c r="J100">
        <f t="shared" si="2"/>
        <v>24770</v>
      </c>
      <c r="L100">
        <f t="shared" si="3"/>
        <v>11.058035714285714</v>
      </c>
    </row>
    <row r="101" spans="1:12" x14ac:dyDescent="0.25">
      <c r="A101">
        <v>1724</v>
      </c>
      <c r="B101" t="s">
        <v>65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</sheetData>
  <autoFilter ref="A1:N55" xr:uid="{AAD1F908-12B8-4B3A-A65D-184CD229ACD4}">
    <sortState xmlns:xlrd2="http://schemas.microsoft.com/office/spreadsheetml/2017/richdata2" ref="A2:N55">
      <sortCondition ref="B1:B5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30"/>
  <sheetViews>
    <sheetView topLeftCell="A13" workbookViewId="0">
      <selection activeCell="H9" sqref="H9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1724</v>
      </c>
      <c r="B2" t="s">
        <v>66</v>
      </c>
      <c r="C2" t="s">
        <v>67</v>
      </c>
      <c r="D2" t="s">
        <v>33</v>
      </c>
      <c r="J2">
        <f t="shared" ref="J2:J30" si="0">(E2*2240)+(F2*112)+(G2*28)+H2</f>
        <v>0</v>
      </c>
      <c r="L2">
        <f t="shared" ref="L2:L30" si="1">J2/2240</f>
        <v>0</v>
      </c>
    </row>
    <row r="3" spans="1:12" x14ac:dyDescent="0.25">
      <c r="A3">
        <v>1724</v>
      </c>
      <c r="B3" t="s">
        <v>6</v>
      </c>
      <c r="C3" t="s">
        <v>67</v>
      </c>
      <c r="D3" t="s">
        <v>33</v>
      </c>
      <c r="E3" s="1"/>
      <c r="F3">
        <v>46</v>
      </c>
      <c r="G3">
        <v>2</v>
      </c>
      <c r="H3">
        <v>12</v>
      </c>
      <c r="I3" s="1"/>
      <c r="J3">
        <f t="shared" si="0"/>
        <v>5220</v>
      </c>
      <c r="K3" s="1"/>
      <c r="L3">
        <f t="shared" si="1"/>
        <v>2.3303571428571428</v>
      </c>
    </row>
    <row r="4" spans="1:12" x14ac:dyDescent="0.25">
      <c r="A4">
        <v>1724</v>
      </c>
      <c r="B4" t="s">
        <v>8</v>
      </c>
      <c r="C4" t="s">
        <v>67</v>
      </c>
      <c r="D4" t="s">
        <v>33</v>
      </c>
      <c r="E4" s="1"/>
      <c r="F4">
        <v>3</v>
      </c>
      <c r="G4">
        <v>2</v>
      </c>
      <c r="H4">
        <v>25</v>
      </c>
      <c r="I4" s="1"/>
      <c r="J4">
        <f t="shared" si="0"/>
        <v>417</v>
      </c>
      <c r="K4" s="1"/>
      <c r="L4">
        <f t="shared" si="1"/>
        <v>0.18616071428571429</v>
      </c>
    </row>
    <row r="5" spans="1:12" x14ac:dyDescent="0.25">
      <c r="A5">
        <v>1724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1724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1724</v>
      </c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1724</v>
      </c>
      <c r="B8" t="s">
        <v>27</v>
      </c>
      <c r="C8" t="s">
        <v>67</v>
      </c>
      <c r="D8" t="s">
        <v>33</v>
      </c>
      <c r="H8">
        <v>5691.5</v>
      </c>
      <c r="I8" t="s">
        <v>115</v>
      </c>
      <c r="J8">
        <f t="shared" si="0"/>
        <v>5691.5</v>
      </c>
      <c r="K8" s="1"/>
      <c r="L8">
        <f t="shared" si="1"/>
        <v>2.5408482142857145</v>
      </c>
    </row>
    <row r="9" spans="1:12" x14ac:dyDescent="0.25">
      <c r="A9">
        <v>1724</v>
      </c>
      <c r="B9" t="s">
        <v>15</v>
      </c>
      <c r="C9" t="s">
        <v>67</v>
      </c>
      <c r="D9" t="s">
        <v>33</v>
      </c>
      <c r="F9">
        <v>86</v>
      </c>
      <c r="J9">
        <f t="shared" si="0"/>
        <v>9632</v>
      </c>
      <c r="K9" s="1"/>
      <c r="L9">
        <f t="shared" si="1"/>
        <v>4.3</v>
      </c>
    </row>
    <row r="10" spans="1:12" x14ac:dyDescent="0.25">
      <c r="A10">
        <v>1724</v>
      </c>
      <c r="B10" t="s">
        <v>17</v>
      </c>
      <c r="C10" t="s">
        <v>67</v>
      </c>
      <c r="D10" t="s">
        <v>33</v>
      </c>
      <c r="F10">
        <v>521</v>
      </c>
      <c r="G10">
        <v>1</v>
      </c>
      <c r="J10">
        <f t="shared" si="0"/>
        <v>58380</v>
      </c>
      <c r="K10" s="1"/>
      <c r="L10">
        <f t="shared" si="1"/>
        <v>26.0625</v>
      </c>
    </row>
    <row r="11" spans="1:12" x14ac:dyDescent="0.25">
      <c r="A11">
        <v>1724</v>
      </c>
      <c r="B11" t="s">
        <v>18</v>
      </c>
      <c r="C11" t="s">
        <v>67</v>
      </c>
      <c r="D11" t="s">
        <v>33</v>
      </c>
      <c r="H11">
        <v>11973</v>
      </c>
      <c r="I11" t="s">
        <v>116</v>
      </c>
      <c r="J11">
        <f t="shared" si="0"/>
        <v>11973</v>
      </c>
      <c r="L11">
        <f t="shared" si="1"/>
        <v>5.3450892857142858</v>
      </c>
    </row>
    <row r="12" spans="1:12" x14ac:dyDescent="0.25">
      <c r="A12">
        <v>1724</v>
      </c>
      <c r="B12" t="s">
        <v>19</v>
      </c>
      <c r="C12" t="s">
        <v>67</v>
      </c>
      <c r="D12" t="s">
        <v>33</v>
      </c>
      <c r="G12">
        <v>2</v>
      </c>
      <c r="H12">
        <v>15</v>
      </c>
      <c r="J12">
        <f t="shared" si="0"/>
        <v>71</v>
      </c>
      <c r="L12">
        <f t="shared" si="1"/>
        <v>3.169642857142857E-2</v>
      </c>
    </row>
    <row r="13" spans="1:12" x14ac:dyDescent="0.25">
      <c r="A13">
        <v>1724</v>
      </c>
      <c r="B13" t="s">
        <v>54</v>
      </c>
      <c r="C13" t="s">
        <v>67</v>
      </c>
      <c r="D13" t="s">
        <v>33</v>
      </c>
      <c r="H13">
        <v>18</v>
      </c>
      <c r="J13">
        <f t="shared" si="0"/>
        <v>18</v>
      </c>
      <c r="L13">
        <f t="shared" si="1"/>
        <v>8.0357142857142849E-3</v>
      </c>
    </row>
    <row r="14" spans="1:12" x14ac:dyDescent="0.25">
      <c r="A14">
        <v>1724</v>
      </c>
      <c r="B14" t="s">
        <v>21</v>
      </c>
      <c r="C14" t="s">
        <v>67</v>
      </c>
      <c r="D14" t="s">
        <v>33</v>
      </c>
      <c r="H14">
        <v>97</v>
      </c>
      <c r="J14">
        <f t="shared" si="0"/>
        <v>97</v>
      </c>
      <c r="L14">
        <f t="shared" si="1"/>
        <v>4.3303571428571427E-2</v>
      </c>
    </row>
    <row r="15" spans="1:12" x14ac:dyDescent="0.25">
      <c r="A15">
        <v>1724</v>
      </c>
      <c r="B15" t="s">
        <v>90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1724</v>
      </c>
      <c r="B16" t="s">
        <v>61</v>
      </c>
      <c r="C16" t="s">
        <v>67</v>
      </c>
      <c r="D16" t="s">
        <v>33</v>
      </c>
      <c r="E16">
        <v>23</v>
      </c>
      <c r="J16">
        <f t="shared" si="0"/>
        <v>51520</v>
      </c>
      <c r="L16">
        <f t="shared" si="1"/>
        <v>23</v>
      </c>
    </row>
    <row r="17" spans="1:12" x14ac:dyDescent="0.25">
      <c r="A17">
        <v>1724</v>
      </c>
      <c r="B17" t="s">
        <v>62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1724</v>
      </c>
      <c r="B18" t="s">
        <v>63</v>
      </c>
      <c r="C18" t="s">
        <v>67</v>
      </c>
      <c r="D18" t="s">
        <v>33</v>
      </c>
      <c r="E18">
        <v>89</v>
      </c>
      <c r="J18">
        <f t="shared" si="0"/>
        <v>199360</v>
      </c>
      <c r="L18">
        <f t="shared" si="1"/>
        <v>89</v>
      </c>
    </row>
    <row r="19" spans="1:12" x14ac:dyDescent="0.25">
      <c r="A19">
        <v>1724</v>
      </c>
      <c r="B19" t="s">
        <v>64</v>
      </c>
      <c r="C19" t="s">
        <v>67</v>
      </c>
      <c r="D19" t="s">
        <v>33</v>
      </c>
      <c r="F19">
        <v>3</v>
      </c>
      <c r="G19">
        <v>2</v>
      </c>
      <c r="H19">
        <v>27</v>
      </c>
      <c r="J19">
        <f t="shared" si="0"/>
        <v>419</v>
      </c>
      <c r="L19">
        <f t="shared" si="1"/>
        <v>0.18705357142857143</v>
      </c>
    </row>
    <row r="20" spans="1:12" x14ac:dyDescent="0.25">
      <c r="A20">
        <v>1724</v>
      </c>
      <c r="B20" t="s">
        <v>6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1724</v>
      </c>
      <c r="B21" t="s">
        <v>12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1724</v>
      </c>
      <c r="B22" t="s">
        <v>41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1724</v>
      </c>
      <c r="B23" t="s">
        <v>27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1724</v>
      </c>
      <c r="B24" t="s">
        <v>17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1724</v>
      </c>
      <c r="B25" t="s">
        <v>19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1724</v>
      </c>
      <c r="B26" t="s">
        <v>54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1724</v>
      </c>
      <c r="B27" t="s">
        <v>9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1724</v>
      </c>
      <c r="B28" t="s">
        <v>8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1724</v>
      </c>
      <c r="B29" t="s">
        <v>61</v>
      </c>
      <c r="C29" t="s">
        <v>67</v>
      </c>
      <c r="D29" t="s">
        <v>35</v>
      </c>
      <c r="E29">
        <v>6</v>
      </c>
      <c r="J29">
        <f t="shared" si="0"/>
        <v>13440</v>
      </c>
      <c r="L29">
        <f t="shared" si="1"/>
        <v>6</v>
      </c>
    </row>
    <row r="30" spans="1:12" x14ac:dyDescent="0.25">
      <c r="A30">
        <v>1724</v>
      </c>
      <c r="B30" t="s">
        <v>63</v>
      </c>
      <c r="C30" t="s">
        <v>67</v>
      </c>
      <c r="D30" t="s">
        <v>35</v>
      </c>
      <c r="E30">
        <v>33</v>
      </c>
      <c r="F30">
        <v>10</v>
      </c>
      <c r="J30">
        <f t="shared" si="0"/>
        <v>75040</v>
      </c>
      <c r="L30">
        <f t="shared" si="1"/>
        <v>33.5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0"/>
  <sheetViews>
    <sheetView topLeftCell="A23" zoomScaleNormal="100" workbookViewId="0">
      <selection activeCell="I23" sqref="I2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1724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1724</v>
      </c>
      <c r="B3" t="s">
        <v>57</v>
      </c>
      <c r="C3" t="s">
        <v>68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A4">
        <v>1724</v>
      </c>
      <c r="B4" t="s">
        <v>36</v>
      </c>
      <c r="C4" t="s">
        <v>68</v>
      </c>
      <c r="D4" t="s">
        <v>33</v>
      </c>
      <c r="H4">
        <v>1238</v>
      </c>
      <c r="J4">
        <f t="shared" si="0"/>
        <v>1238</v>
      </c>
      <c r="L4">
        <f t="shared" si="1"/>
        <v>0.55267857142857146</v>
      </c>
    </row>
    <row r="5" spans="1:12" x14ac:dyDescent="0.25">
      <c r="A5">
        <v>1724</v>
      </c>
      <c r="B5" t="s">
        <v>4</v>
      </c>
      <c r="C5" t="s">
        <v>68</v>
      </c>
      <c r="D5" t="s">
        <v>33</v>
      </c>
      <c r="H5">
        <v>200</v>
      </c>
      <c r="J5">
        <f t="shared" si="0"/>
        <v>200</v>
      </c>
      <c r="L5">
        <f t="shared" si="1"/>
        <v>8.9285714285714288E-2</v>
      </c>
    </row>
    <row r="6" spans="1:12" x14ac:dyDescent="0.25">
      <c r="A6">
        <v>1724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1724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1724</v>
      </c>
      <c r="B8" t="s">
        <v>101</v>
      </c>
      <c r="C8" t="s">
        <v>68</v>
      </c>
      <c r="D8" t="s">
        <v>33</v>
      </c>
      <c r="H8">
        <v>120</v>
      </c>
      <c r="J8">
        <f t="shared" si="0"/>
        <v>120</v>
      </c>
      <c r="L8">
        <f t="shared" si="1"/>
        <v>5.3571428571428568E-2</v>
      </c>
    </row>
    <row r="9" spans="1:12" x14ac:dyDescent="0.25">
      <c r="A9">
        <v>1724</v>
      </c>
      <c r="B9" t="s">
        <v>43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1724</v>
      </c>
      <c r="B10" t="s">
        <v>76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1724</v>
      </c>
      <c r="B11" t="s">
        <v>5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1724</v>
      </c>
      <c r="B12" t="s">
        <v>59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1724</v>
      </c>
      <c r="B13" t="s">
        <v>6</v>
      </c>
      <c r="C13" t="s">
        <v>68</v>
      </c>
      <c r="D13" t="s">
        <v>33</v>
      </c>
      <c r="F13">
        <v>121779</v>
      </c>
      <c r="H13">
        <v>25</v>
      </c>
      <c r="J13">
        <f t="shared" si="0"/>
        <v>13639273</v>
      </c>
      <c r="L13">
        <f t="shared" si="1"/>
        <v>6088.9611607142861</v>
      </c>
    </row>
    <row r="14" spans="1:12" x14ac:dyDescent="0.25">
      <c r="A14">
        <v>1724</v>
      </c>
      <c r="B14" t="s">
        <v>96</v>
      </c>
      <c r="C14" t="s">
        <v>68</v>
      </c>
      <c r="D14" t="s">
        <v>33</v>
      </c>
      <c r="H14">
        <v>58412</v>
      </c>
      <c r="J14">
        <f t="shared" si="0"/>
        <v>58412</v>
      </c>
      <c r="L14">
        <f t="shared" si="1"/>
        <v>26.076785714285716</v>
      </c>
    </row>
    <row r="15" spans="1:12" x14ac:dyDescent="0.25">
      <c r="A15">
        <v>1724</v>
      </c>
      <c r="B15" t="s">
        <v>60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1724</v>
      </c>
      <c r="B16" t="s">
        <v>7</v>
      </c>
      <c r="C16" t="s">
        <v>68</v>
      </c>
      <c r="D16" t="s">
        <v>33</v>
      </c>
      <c r="H16">
        <v>12</v>
      </c>
      <c r="J16">
        <f t="shared" si="0"/>
        <v>12</v>
      </c>
      <c r="L16">
        <f t="shared" si="1"/>
        <v>5.3571428571428572E-3</v>
      </c>
    </row>
    <row r="17" spans="1:12" x14ac:dyDescent="0.25">
      <c r="A17">
        <v>1724</v>
      </c>
      <c r="B17" t="s">
        <v>37</v>
      </c>
      <c r="C17" t="s">
        <v>68</v>
      </c>
      <c r="D17" t="s">
        <v>33</v>
      </c>
      <c r="H17">
        <v>11652</v>
      </c>
      <c r="J17">
        <f t="shared" si="0"/>
        <v>11652</v>
      </c>
      <c r="L17">
        <f t="shared" si="1"/>
        <v>5.2017857142857142</v>
      </c>
    </row>
    <row r="18" spans="1:12" x14ac:dyDescent="0.25">
      <c r="A18">
        <v>1724</v>
      </c>
      <c r="B18" t="s">
        <v>8</v>
      </c>
      <c r="C18" t="s">
        <v>68</v>
      </c>
      <c r="D18" t="s">
        <v>33</v>
      </c>
      <c r="F18">
        <v>271</v>
      </c>
      <c r="G18">
        <v>3</v>
      </c>
      <c r="H18">
        <v>2</v>
      </c>
      <c r="J18">
        <f t="shared" si="0"/>
        <v>30438</v>
      </c>
      <c r="L18">
        <f t="shared" si="1"/>
        <v>13.588392857142857</v>
      </c>
    </row>
    <row r="19" spans="1:12" x14ac:dyDescent="0.25">
      <c r="A19">
        <v>1724</v>
      </c>
      <c r="B19" t="s">
        <v>40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1724</v>
      </c>
      <c r="B20" t="s">
        <v>77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1724</v>
      </c>
      <c r="B21" t="s">
        <v>78</v>
      </c>
      <c r="C21" t="s">
        <v>68</v>
      </c>
      <c r="D21" t="s">
        <v>33</v>
      </c>
      <c r="H21">
        <v>59624</v>
      </c>
      <c r="J21">
        <f t="shared" si="0"/>
        <v>59624</v>
      </c>
      <c r="L21">
        <f t="shared" si="1"/>
        <v>26.617857142857144</v>
      </c>
    </row>
    <row r="22" spans="1:12" x14ac:dyDescent="0.25">
      <c r="A22">
        <v>1724</v>
      </c>
      <c r="B22" t="s">
        <v>46</v>
      </c>
      <c r="C22" t="s">
        <v>68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1724</v>
      </c>
      <c r="B23" t="s">
        <v>9</v>
      </c>
      <c r="C23" t="s">
        <v>68</v>
      </c>
      <c r="D23" t="s">
        <v>33</v>
      </c>
      <c r="H23">
        <f>378*200+2336</f>
        <v>77936</v>
      </c>
      <c r="I23" t="s">
        <v>119</v>
      </c>
      <c r="J23">
        <f t="shared" si="0"/>
        <v>77936</v>
      </c>
      <c r="L23">
        <f t="shared" si="1"/>
        <v>34.792857142857144</v>
      </c>
    </row>
    <row r="24" spans="1:12" x14ac:dyDescent="0.25">
      <c r="A24">
        <v>1724</v>
      </c>
      <c r="B24" t="s">
        <v>10</v>
      </c>
      <c r="C24" t="s">
        <v>68</v>
      </c>
      <c r="D24" t="s">
        <v>33</v>
      </c>
      <c r="F24">
        <v>6064</v>
      </c>
      <c r="H24">
        <v>16</v>
      </c>
      <c r="J24">
        <f t="shared" si="0"/>
        <v>679184</v>
      </c>
      <c r="L24">
        <f t="shared" si="1"/>
        <v>303.20714285714286</v>
      </c>
    </row>
    <row r="25" spans="1:12" x14ac:dyDescent="0.25">
      <c r="A25">
        <v>1724</v>
      </c>
      <c r="B25" t="s">
        <v>11</v>
      </c>
      <c r="C25" t="s">
        <v>68</v>
      </c>
      <c r="D25" t="s">
        <v>33</v>
      </c>
      <c r="F25">
        <v>74</v>
      </c>
      <c r="H25">
        <v>10</v>
      </c>
      <c r="J25">
        <f t="shared" si="0"/>
        <v>8298</v>
      </c>
      <c r="L25">
        <f t="shared" si="1"/>
        <v>3.7044642857142858</v>
      </c>
    </row>
    <row r="26" spans="1:12" x14ac:dyDescent="0.25">
      <c r="A26">
        <v>1724</v>
      </c>
      <c r="B26" t="s">
        <v>39</v>
      </c>
      <c r="C26" t="s">
        <v>68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1724</v>
      </c>
      <c r="B27" t="s">
        <v>79</v>
      </c>
      <c r="C27" t="s">
        <v>68</v>
      </c>
      <c r="D27" t="s">
        <v>33</v>
      </c>
      <c r="H27">
        <v>168</v>
      </c>
      <c r="J27">
        <f t="shared" si="0"/>
        <v>168</v>
      </c>
      <c r="L27">
        <f t="shared" si="1"/>
        <v>7.4999999999999997E-2</v>
      </c>
    </row>
    <row r="28" spans="1:12" x14ac:dyDescent="0.25">
      <c r="A28">
        <v>1724</v>
      </c>
      <c r="B28" t="s">
        <v>103</v>
      </c>
      <c r="C28" t="s">
        <v>68</v>
      </c>
      <c r="D28" t="s">
        <v>33</v>
      </c>
      <c r="H28">
        <v>150</v>
      </c>
      <c r="J28">
        <f t="shared" si="0"/>
        <v>150</v>
      </c>
      <c r="L28">
        <f t="shared" si="1"/>
        <v>6.6964285714285712E-2</v>
      </c>
    </row>
    <row r="29" spans="1:12" x14ac:dyDescent="0.25">
      <c r="A29">
        <v>1724</v>
      </c>
      <c r="B29" t="s">
        <v>44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1724</v>
      </c>
      <c r="B30" t="s">
        <v>97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1724</v>
      </c>
      <c r="B31" t="s">
        <v>12</v>
      </c>
      <c r="C31" t="s">
        <v>68</v>
      </c>
      <c r="D31" t="s">
        <v>33</v>
      </c>
      <c r="H31">
        <f>85526+41111</f>
        <v>126637</v>
      </c>
      <c r="J31">
        <f t="shared" si="0"/>
        <v>126637</v>
      </c>
      <c r="L31">
        <f t="shared" si="1"/>
        <v>56.534374999999997</v>
      </c>
    </row>
    <row r="32" spans="1:12" x14ac:dyDescent="0.25">
      <c r="A32">
        <v>1724</v>
      </c>
      <c r="B32" t="s">
        <v>117</v>
      </c>
      <c r="C32" t="s">
        <v>68</v>
      </c>
      <c r="D32" t="s">
        <v>33</v>
      </c>
      <c r="H32">
        <v>1505</v>
      </c>
      <c r="J32">
        <f t="shared" si="0"/>
        <v>1505</v>
      </c>
      <c r="L32">
        <f t="shared" si="1"/>
        <v>0.671875</v>
      </c>
    </row>
    <row r="33" spans="1:12" x14ac:dyDescent="0.25">
      <c r="A33">
        <v>1724</v>
      </c>
      <c r="B33" t="s">
        <v>34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1724</v>
      </c>
      <c r="B34" t="s">
        <v>13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1724</v>
      </c>
      <c r="B35" t="s">
        <v>14</v>
      </c>
      <c r="C35" t="s">
        <v>68</v>
      </c>
      <c r="D35" t="s">
        <v>33</v>
      </c>
      <c r="H35">
        <v>8352</v>
      </c>
      <c r="I35" t="s">
        <v>120</v>
      </c>
      <c r="J35">
        <f t="shared" si="0"/>
        <v>8352</v>
      </c>
      <c r="L35">
        <f t="shared" si="1"/>
        <v>3.7285714285714286</v>
      </c>
    </row>
    <row r="36" spans="1:12" x14ac:dyDescent="0.25">
      <c r="A36">
        <v>1724</v>
      </c>
      <c r="B36" t="s">
        <v>23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1724</v>
      </c>
      <c r="B37" t="s">
        <v>27</v>
      </c>
      <c r="C37" t="s">
        <v>68</v>
      </c>
      <c r="D37" t="s">
        <v>33</v>
      </c>
      <c r="H37">
        <v>18224.5</v>
      </c>
      <c r="I37" t="s">
        <v>118</v>
      </c>
      <c r="J37">
        <f t="shared" si="0"/>
        <v>18224.5</v>
      </c>
      <c r="L37">
        <f t="shared" si="1"/>
        <v>8.1359375000000007</v>
      </c>
    </row>
    <row r="38" spans="1:12" x14ac:dyDescent="0.25">
      <c r="A38">
        <v>1724</v>
      </c>
      <c r="B38" t="s">
        <v>15</v>
      </c>
      <c r="C38" t="s">
        <v>68</v>
      </c>
      <c r="D38" t="s">
        <v>33</v>
      </c>
      <c r="F38">
        <v>13</v>
      </c>
      <c r="J38">
        <f t="shared" si="0"/>
        <v>1456</v>
      </c>
      <c r="L38">
        <f t="shared" si="1"/>
        <v>0.65</v>
      </c>
    </row>
    <row r="39" spans="1:12" x14ac:dyDescent="0.25">
      <c r="A39">
        <v>1724</v>
      </c>
      <c r="B39" t="s">
        <v>42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1724</v>
      </c>
      <c r="B40" t="s">
        <v>83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1724</v>
      </c>
      <c r="B41" t="s">
        <v>47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1724</v>
      </c>
      <c r="B42" t="s">
        <v>16</v>
      </c>
      <c r="C42" t="s">
        <v>68</v>
      </c>
      <c r="D42" t="s">
        <v>33</v>
      </c>
      <c r="H42">
        <v>52391</v>
      </c>
      <c r="J42">
        <f t="shared" si="0"/>
        <v>52391</v>
      </c>
      <c r="L42">
        <f t="shared" si="1"/>
        <v>23.388839285714287</v>
      </c>
    </row>
    <row r="43" spans="1:12" x14ac:dyDescent="0.25">
      <c r="A43">
        <v>1724</v>
      </c>
      <c r="B43" t="s">
        <v>17</v>
      </c>
      <c r="C43" t="s">
        <v>68</v>
      </c>
      <c r="D43" t="s">
        <v>33</v>
      </c>
      <c r="F43">
        <v>38</v>
      </c>
      <c r="G43">
        <v>2</v>
      </c>
      <c r="H43">
        <v>16</v>
      </c>
      <c r="J43">
        <f t="shared" si="0"/>
        <v>4328</v>
      </c>
      <c r="L43">
        <f t="shared" si="1"/>
        <v>1.9321428571428572</v>
      </c>
    </row>
    <row r="44" spans="1:12" x14ac:dyDescent="0.25">
      <c r="A44">
        <v>1724</v>
      </c>
      <c r="B44" t="s">
        <v>18</v>
      </c>
      <c r="C44" t="s">
        <v>68</v>
      </c>
      <c r="D44" t="s">
        <v>33</v>
      </c>
      <c r="H44">
        <v>198811</v>
      </c>
      <c r="I44" t="s">
        <v>121</v>
      </c>
      <c r="J44">
        <f t="shared" si="0"/>
        <v>198811</v>
      </c>
      <c r="L44">
        <f t="shared" si="1"/>
        <v>88.754910714285714</v>
      </c>
    </row>
    <row r="45" spans="1:12" x14ac:dyDescent="0.25">
      <c r="A45">
        <v>1724</v>
      </c>
      <c r="B45" t="s">
        <v>26</v>
      </c>
      <c r="C45" t="s">
        <v>68</v>
      </c>
      <c r="D45" t="s">
        <v>33</v>
      </c>
      <c r="H45">
        <v>887</v>
      </c>
      <c r="J45">
        <f t="shared" si="0"/>
        <v>887</v>
      </c>
      <c r="L45">
        <f t="shared" si="1"/>
        <v>0.39598214285714284</v>
      </c>
    </row>
    <row r="46" spans="1:12" x14ac:dyDescent="0.25">
      <c r="A46">
        <v>1724</v>
      </c>
      <c r="B46" t="s">
        <v>84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1724</v>
      </c>
      <c r="B47" t="s">
        <v>19</v>
      </c>
      <c r="C47" t="s">
        <v>68</v>
      </c>
      <c r="D47" t="s">
        <v>33</v>
      </c>
      <c r="F47">
        <v>53</v>
      </c>
      <c r="G47">
        <v>2</v>
      </c>
      <c r="H47">
        <v>9</v>
      </c>
      <c r="J47">
        <f t="shared" si="0"/>
        <v>6001</v>
      </c>
      <c r="L47">
        <f t="shared" si="1"/>
        <v>2.6790178571428571</v>
      </c>
    </row>
    <row r="48" spans="1:12" x14ac:dyDescent="0.25">
      <c r="A48">
        <v>1724</v>
      </c>
      <c r="B48" t="s">
        <v>45</v>
      </c>
      <c r="C48" t="s">
        <v>68</v>
      </c>
      <c r="D48" t="s">
        <v>33</v>
      </c>
      <c r="H48">
        <v>18718</v>
      </c>
      <c r="J48">
        <f t="shared" si="0"/>
        <v>18718</v>
      </c>
      <c r="L48">
        <f t="shared" si="1"/>
        <v>8.3562499999999993</v>
      </c>
    </row>
    <row r="49" spans="1:12" x14ac:dyDescent="0.25">
      <c r="A49">
        <v>1724</v>
      </c>
      <c r="B49" t="s">
        <v>85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1724</v>
      </c>
      <c r="B50" t="s">
        <v>54</v>
      </c>
      <c r="C50" t="s">
        <v>68</v>
      </c>
      <c r="D50" t="s">
        <v>33</v>
      </c>
      <c r="H50">
        <v>1678</v>
      </c>
      <c r="J50">
        <f t="shared" si="0"/>
        <v>1678</v>
      </c>
      <c r="L50">
        <f t="shared" si="1"/>
        <v>0.74910714285714286</v>
      </c>
    </row>
    <row r="51" spans="1:12" x14ac:dyDescent="0.25">
      <c r="A51">
        <v>1724</v>
      </c>
      <c r="B51" t="s">
        <v>95</v>
      </c>
      <c r="C51" t="s">
        <v>68</v>
      </c>
      <c r="D51" t="s">
        <v>33</v>
      </c>
      <c r="H51">
        <v>775</v>
      </c>
      <c r="J51">
        <f t="shared" si="0"/>
        <v>775</v>
      </c>
      <c r="L51">
        <f t="shared" si="1"/>
        <v>0.34598214285714285</v>
      </c>
    </row>
    <row r="52" spans="1:12" x14ac:dyDescent="0.25">
      <c r="A52">
        <v>1724</v>
      </c>
      <c r="B52" t="s">
        <v>20</v>
      </c>
      <c r="C52" t="s">
        <v>68</v>
      </c>
      <c r="D52" t="s">
        <v>33</v>
      </c>
      <c r="H52">
        <v>2358</v>
      </c>
      <c r="J52">
        <f t="shared" si="0"/>
        <v>2358</v>
      </c>
      <c r="L52">
        <f t="shared" si="1"/>
        <v>1.0526785714285714</v>
      </c>
    </row>
    <row r="53" spans="1:12" x14ac:dyDescent="0.25">
      <c r="A53">
        <v>1724</v>
      </c>
      <c r="B53" t="s">
        <v>21</v>
      </c>
      <c r="C53" t="s">
        <v>68</v>
      </c>
      <c r="D53" t="s">
        <v>33</v>
      </c>
      <c r="H53">
        <v>2937</v>
      </c>
      <c r="J53">
        <f t="shared" si="0"/>
        <v>2937</v>
      </c>
      <c r="L53">
        <f t="shared" si="1"/>
        <v>1.3111607142857142</v>
      </c>
    </row>
    <row r="54" spans="1:12" x14ac:dyDescent="0.25">
      <c r="A54">
        <v>1724</v>
      </c>
      <c r="B54" t="s">
        <v>90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1724</v>
      </c>
      <c r="B55" t="s">
        <v>22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1724</v>
      </c>
      <c r="B56" t="s">
        <v>61</v>
      </c>
      <c r="C56" t="s">
        <v>68</v>
      </c>
      <c r="D56" t="s">
        <v>33</v>
      </c>
      <c r="E56">
        <v>34</v>
      </c>
      <c r="F56">
        <v>6</v>
      </c>
      <c r="G56">
        <v>2</v>
      </c>
      <c r="J56">
        <f t="shared" si="0"/>
        <v>76888</v>
      </c>
      <c r="L56">
        <f t="shared" si="1"/>
        <v>34.325000000000003</v>
      </c>
    </row>
    <row r="57" spans="1:12" x14ac:dyDescent="0.25">
      <c r="A57">
        <v>1724</v>
      </c>
      <c r="B57" t="s">
        <v>98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1724</v>
      </c>
      <c r="B58" t="s">
        <v>87</v>
      </c>
      <c r="C58" t="s">
        <v>68</v>
      </c>
      <c r="D58" t="s">
        <v>33</v>
      </c>
      <c r="E58">
        <v>19</v>
      </c>
      <c r="F58">
        <v>19</v>
      </c>
      <c r="G58">
        <v>2</v>
      </c>
      <c r="J58">
        <f t="shared" si="0"/>
        <v>44744</v>
      </c>
      <c r="L58">
        <f t="shared" si="1"/>
        <v>19.975000000000001</v>
      </c>
    </row>
    <row r="59" spans="1:12" x14ac:dyDescent="0.25">
      <c r="A59">
        <v>1724</v>
      </c>
      <c r="B59" t="s">
        <v>62</v>
      </c>
      <c r="C59" t="s">
        <v>68</v>
      </c>
      <c r="D59" t="s">
        <v>33</v>
      </c>
      <c r="E59">
        <v>205</v>
      </c>
      <c r="F59">
        <v>5</v>
      </c>
      <c r="G59">
        <v>2</v>
      </c>
      <c r="H59">
        <v>19</v>
      </c>
      <c r="J59">
        <f t="shared" si="0"/>
        <v>459835</v>
      </c>
      <c r="L59">
        <f t="shared" si="1"/>
        <v>205.28348214285714</v>
      </c>
    </row>
    <row r="60" spans="1:12" x14ac:dyDescent="0.25">
      <c r="A60">
        <v>1724</v>
      </c>
      <c r="B60" t="s">
        <v>88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1724</v>
      </c>
      <c r="B61" t="s">
        <v>63</v>
      </c>
      <c r="C61" t="s">
        <v>68</v>
      </c>
      <c r="D61" t="s">
        <v>33</v>
      </c>
      <c r="E61">
        <v>756</v>
      </c>
      <c r="F61">
        <v>18</v>
      </c>
      <c r="H61">
        <v>1</v>
      </c>
      <c r="J61">
        <f t="shared" si="0"/>
        <v>1695457</v>
      </c>
      <c r="L61">
        <f t="shared" si="1"/>
        <v>756.9004464285714</v>
      </c>
    </row>
    <row r="62" spans="1:12" x14ac:dyDescent="0.25">
      <c r="A62">
        <v>1724</v>
      </c>
      <c r="B62" t="s">
        <v>89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1724</v>
      </c>
      <c r="B63" t="s">
        <v>70</v>
      </c>
      <c r="C63" t="s">
        <v>68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1724</v>
      </c>
      <c r="B64" t="s">
        <v>64</v>
      </c>
      <c r="C64" t="s">
        <v>68</v>
      </c>
      <c r="D64" t="s">
        <v>33</v>
      </c>
      <c r="E64">
        <v>10</v>
      </c>
      <c r="J64">
        <f t="shared" si="0"/>
        <v>22400</v>
      </c>
      <c r="L64">
        <f t="shared" si="1"/>
        <v>10</v>
      </c>
    </row>
    <row r="65" spans="1:12" x14ac:dyDescent="0.25">
      <c r="A65">
        <v>1724</v>
      </c>
      <c r="B65" t="s">
        <v>65</v>
      </c>
      <c r="C65" t="s">
        <v>68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1724</v>
      </c>
      <c r="B66" t="s">
        <v>55</v>
      </c>
      <c r="C66" t="s">
        <v>68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1724</v>
      </c>
      <c r="B67" t="s">
        <v>57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1724</v>
      </c>
      <c r="B68" t="s">
        <v>36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1724</v>
      </c>
      <c r="B69" t="s">
        <v>4</v>
      </c>
      <c r="C69" t="s">
        <v>68</v>
      </c>
      <c r="D69" t="s">
        <v>35</v>
      </c>
      <c r="J69">
        <f t="shared" ref="J69:J130" si="2">(E69*2240)+(F69*112)+(G69*28)+H69</f>
        <v>0</v>
      </c>
      <c r="L69">
        <f t="shared" ref="L69:L130" si="3">J69/2240</f>
        <v>0</v>
      </c>
    </row>
    <row r="70" spans="1:12" x14ac:dyDescent="0.25">
      <c r="A70">
        <v>1724</v>
      </c>
      <c r="B70" t="s">
        <v>58</v>
      </c>
      <c r="C70" t="s">
        <v>68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1724</v>
      </c>
      <c r="B71" t="s">
        <v>69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1724</v>
      </c>
      <c r="B72" t="s">
        <v>101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1724</v>
      </c>
      <c r="B73" t="s">
        <v>43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1724</v>
      </c>
      <c r="B74" t="s">
        <v>76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1724</v>
      </c>
      <c r="B75" t="s">
        <v>5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1724</v>
      </c>
      <c r="B76" t="s">
        <v>59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1724</v>
      </c>
      <c r="B77" t="s">
        <v>6</v>
      </c>
      <c r="C77" t="s">
        <v>68</v>
      </c>
      <c r="D77" t="s">
        <v>35</v>
      </c>
      <c r="F77">
        <v>65464</v>
      </c>
      <c r="G77">
        <v>3</v>
      </c>
      <c r="H77">
        <v>23</v>
      </c>
      <c r="J77">
        <f t="shared" si="2"/>
        <v>7332075</v>
      </c>
      <c r="L77">
        <f t="shared" si="3"/>
        <v>3273.2477678571427</v>
      </c>
    </row>
    <row r="78" spans="1:12" x14ac:dyDescent="0.25">
      <c r="A78">
        <v>1724</v>
      </c>
      <c r="B78" t="s">
        <v>60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1724</v>
      </c>
      <c r="B79" t="s">
        <v>38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1724</v>
      </c>
      <c r="B80" t="s">
        <v>37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1724</v>
      </c>
      <c r="B81" t="s">
        <v>8</v>
      </c>
      <c r="C81" t="s">
        <v>68</v>
      </c>
      <c r="D81" t="s">
        <v>35</v>
      </c>
      <c r="F81">
        <v>12</v>
      </c>
      <c r="G81">
        <v>3</v>
      </c>
      <c r="H81">
        <v>20</v>
      </c>
      <c r="J81">
        <f t="shared" si="2"/>
        <v>1448</v>
      </c>
      <c r="L81">
        <f t="shared" si="3"/>
        <v>0.64642857142857146</v>
      </c>
    </row>
    <row r="82" spans="1:12" x14ac:dyDescent="0.25">
      <c r="A82">
        <v>1724</v>
      </c>
      <c r="B82" t="s">
        <v>40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1724</v>
      </c>
      <c r="B83" t="s">
        <v>77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1724</v>
      </c>
      <c r="B84" t="s">
        <v>78</v>
      </c>
      <c r="C84" t="s">
        <v>68</v>
      </c>
      <c r="D84" t="s">
        <v>35</v>
      </c>
      <c r="H84">
        <v>5564</v>
      </c>
      <c r="J84">
        <f t="shared" si="2"/>
        <v>5564</v>
      </c>
      <c r="L84">
        <f t="shared" si="3"/>
        <v>2.4839285714285713</v>
      </c>
    </row>
    <row r="85" spans="1:12" x14ac:dyDescent="0.25">
      <c r="A85">
        <v>1724</v>
      </c>
      <c r="B85" t="s">
        <v>46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1724</v>
      </c>
      <c r="B86" t="s">
        <v>9</v>
      </c>
      <c r="C86" t="s">
        <v>68</v>
      </c>
      <c r="D86" t="s">
        <v>35</v>
      </c>
      <c r="F86">
        <v>2413</v>
      </c>
      <c r="G86">
        <v>3</v>
      </c>
      <c r="H86">
        <v>13</v>
      </c>
      <c r="J86">
        <f t="shared" si="2"/>
        <v>270353</v>
      </c>
      <c r="L86">
        <f t="shared" si="3"/>
        <v>120.69330357142857</v>
      </c>
    </row>
    <row r="87" spans="1:12" x14ac:dyDescent="0.25">
      <c r="A87">
        <v>1724</v>
      </c>
      <c r="B87" t="s">
        <v>10</v>
      </c>
      <c r="C87" t="s">
        <v>68</v>
      </c>
      <c r="D87" t="s">
        <v>35</v>
      </c>
      <c r="F87">
        <v>3782</v>
      </c>
      <c r="H87">
        <v>1</v>
      </c>
      <c r="J87">
        <f t="shared" si="2"/>
        <v>423585</v>
      </c>
      <c r="L87">
        <f t="shared" si="3"/>
        <v>189.10044642857142</v>
      </c>
    </row>
    <row r="88" spans="1:12" x14ac:dyDescent="0.25">
      <c r="A88">
        <v>1724</v>
      </c>
      <c r="B88" t="s">
        <v>11</v>
      </c>
      <c r="C88" t="s">
        <v>68</v>
      </c>
      <c r="D88" t="s">
        <v>35</v>
      </c>
      <c r="F88">
        <v>88</v>
      </c>
      <c r="G88">
        <v>3</v>
      </c>
      <c r="H88">
        <v>21</v>
      </c>
      <c r="J88">
        <f t="shared" si="2"/>
        <v>9961</v>
      </c>
      <c r="L88">
        <f t="shared" si="3"/>
        <v>4.4468750000000004</v>
      </c>
    </row>
    <row r="89" spans="1:12" x14ac:dyDescent="0.25">
      <c r="A89">
        <v>1724</v>
      </c>
      <c r="B89" t="s">
        <v>39</v>
      </c>
      <c r="C89" t="s">
        <v>68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1724</v>
      </c>
      <c r="B90" t="s">
        <v>79</v>
      </c>
      <c r="C90" t="s">
        <v>68</v>
      </c>
      <c r="D90" t="s">
        <v>35</v>
      </c>
      <c r="G90">
        <v>2</v>
      </c>
      <c r="H90">
        <v>24</v>
      </c>
      <c r="J90">
        <f t="shared" si="2"/>
        <v>80</v>
      </c>
      <c r="L90">
        <f t="shared" si="3"/>
        <v>3.5714285714285712E-2</v>
      </c>
    </row>
    <row r="91" spans="1:12" x14ac:dyDescent="0.25">
      <c r="A91">
        <v>1724</v>
      </c>
      <c r="B91" t="s">
        <v>103</v>
      </c>
      <c r="C91" t="s">
        <v>68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1724</v>
      </c>
      <c r="B92" t="s">
        <v>44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1724</v>
      </c>
      <c r="B93" t="s">
        <v>97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1724</v>
      </c>
      <c r="B94" t="s">
        <v>12</v>
      </c>
      <c r="C94" t="s">
        <v>68</v>
      </c>
      <c r="D94" t="s">
        <v>35</v>
      </c>
      <c r="H94">
        <v>2690</v>
      </c>
      <c r="J94">
        <f t="shared" si="2"/>
        <v>2690</v>
      </c>
      <c r="L94">
        <f t="shared" si="3"/>
        <v>1.2008928571428572</v>
      </c>
    </row>
    <row r="95" spans="1:12" x14ac:dyDescent="0.25">
      <c r="A95">
        <v>1724</v>
      </c>
      <c r="B95" t="s">
        <v>82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1724</v>
      </c>
      <c r="B96" t="s">
        <v>34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1724</v>
      </c>
      <c r="B97" t="s">
        <v>13</v>
      </c>
      <c r="C97" t="s">
        <v>68</v>
      </c>
      <c r="D97" t="s">
        <v>35</v>
      </c>
      <c r="F97">
        <v>85</v>
      </c>
      <c r="H97">
        <v>2</v>
      </c>
      <c r="J97">
        <f t="shared" si="2"/>
        <v>9522</v>
      </c>
      <c r="L97">
        <f t="shared" si="3"/>
        <v>4.2508928571428575</v>
      </c>
    </row>
    <row r="98" spans="1:12" x14ac:dyDescent="0.25">
      <c r="A98">
        <v>1724</v>
      </c>
      <c r="B98" t="s">
        <v>14</v>
      </c>
      <c r="C98" t="s">
        <v>68</v>
      </c>
      <c r="D98" t="s">
        <v>35</v>
      </c>
      <c r="H98">
        <v>11923</v>
      </c>
      <c r="I98" t="s">
        <v>138</v>
      </c>
      <c r="J98">
        <f t="shared" si="2"/>
        <v>11923</v>
      </c>
      <c r="L98">
        <f t="shared" si="3"/>
        <v>5.3227678571428569</v>
      </c>
    </row>
    <row r="99" spans="1:12" x14ac:dyDescent="0.25">
      <c r="A99">
        <v>1724</v>
      </c>
      <c r="B99" t="s">
        <v>23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1724</v>
      </c>
      <c r="B100" t="s">
        <v>27</v>
      </c>
      <c r="C100" t="s">
        <v>68</v>
      </c>
      <c r="D100" t="s">
        <v>35</v>
      </c>
      <c r="H100">
        <v>3421</v>
      </c>
      <c r="I100" t="s">
        <v>137</v>
      </c>
      <c r="J100">
        <f t="shared" si="2"/>
        <v>3421</v>
      </c>
      <c r="L100">
        <f t="shared" si="3"/>
        <v>1.5272321428571429</v>
      </c>
    </row>
    <row r="101" spans="1:12" x14ac:dyDescent="0.25">
      <c r="A101">
        <v>1724</v>
      </c>
      <c r="B101" t="s">
        <v>15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1724</v>
      </c>
      <c r="B102" t="s">
        <v>93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1724</v>
      </c>
      <c r="B103" t="s">
        <v>42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1724</v>
      </c>
      <c r="B104" t="s">
        <v>83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1724</v>
      </c>
      <c r="B105" t="s">
        <v>47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1724</v>
      </c>
      <c r="B106" t="s">
        <v>16</v>
      </c>
      <c r="C106" t="s">
        <v>68</v>
      </c>
      <c r="D106" t="s">
        <v>35</v>
      </c>
      <c r="H106">
        <v>62077</v>
      </c>
      <c r="J106">
        <f t="shared" si="2"/>
        <v>62077</v>
      </c>
      <c r="L106">
        <f t="shared" si="3"/>
        <v>27.712946428571428</v>
      </c>
    </row>
    <row r="107" spans="1:12" x14ac:dyDescent="0.25">
      <c r="A107">
        <v>1724</v>
      </c>
      <c r="B107" t="s">
        <v>17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1724</v>
      </c>
      <c r="B108" t="s">
        <v>18</v>
      </c>
      <c r="C108" t="s">
        <v>68</v>
      </c>
      <c r="D108" t="s">
        <v>35</v>
      </c>
      <c r="H108">
        <v>20115</v>
      </c>
      <c r="I108" t="s">
        <v>139</v>
      </c>
      <c r="J108">
        <f t="shared" si="2"/>
        <v>20115</v>
      </c>
      <c r="L108">
        <f t="shared" si="3"/>
        <v>8.9799107142857135</v>
      </c>
    </row>
    <row r="109" spans="1:12" x14ac:dyDescent="0.25">
      <c r="A109">
        <v>1724</v>
      </c>
      <c r="B109" t="s">
        <v>26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1724</v>
      </c>
      <c r="B110" t="s">
        <v>84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1724</v>
      </c>
      <c r="B111" t="s">
        <v>19</v>
      </c>
      <c r="C111" t="s">
        <v>68</v>
      </c>
      <c r="D111" t="s">
        <v>35</v>
      </c>
      <c r="F111">
        <v>6</v>
      </c>
      <c r="G111">
        <v>2</v>
      </c>
      <c r="H111">
        <v>27</v>
      </c>
      <c r="J111">
        <f t="shared" si="2"/>
        <v>755</v>
      </c>
      <c r="L111">
        <f t="shared" si="3"/>
        <v>0.33705357142857145</v>
      </c>
    </row>
    <row r="112" spans="1:12" x14ac:dyDescent="0.25">
      <c r="A112">
        <v>1724</v>
      </c>
      <c r="B112" t="s">
        <v>45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1724</v>
      </c>
      <c r="B113" t="s">
        <v>85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1724</v>
      </c>
      <c r="B114" t="s">
        <v>54</v>
      </c>
      <c r="C114" t="s">
        <v>68</v>
      </c>
      <c r="D114" t="s">
        <v>35</v>
      </c>
      <c r="H114">
        <v>158</v>
      </c>
      <c r="J114">
        <f t="shared" si="2"/>
        <v>158</v>
      </c>
      <c r="L114">
        <f t="shared" si="3"/>
        <v>7.0535714285714285E-2</v>
      </c>
    </row>
    <row r="115" spans="1:12" x14ac:dyDescent="0.25">
      <c r="A115">
        <v>1724</v>
      </c>
      <c r="B115" t="s">
        <v>95</v>
      </c>
      <c r="C115" t="s">
        <v>68</v>
      </c>
      <c r="D115" t="s">
        <v>35</v>
      </c>
      <c r="H115">
        <v>182</v>
      </c>
      <c r="J115">
        <f t="shared" si="2"/>
        <v>182</v>
      </c>
      <c r="L115">
        <f t="shared" si="3"/>
        <v>8.1250000000000003E-2</v>
      </c>
    </row>
    <row r="116" spans="1:12" x14ac:dyDescent="0.25">
      <c r="A116">
        <v>1724</v>
      </c>
      <c r="B116" t="s">
        <v>20</v>
      </c>
      <c r="C116" t="s">
        <v>68</v>
      </c>
      <c r="D116" t="s">
        <v>35</v>
      </c>
      <c r="H116">
        <v>564</v>
      </c>
      <c r="J116">
        <f t="shared" si="2"/>
        <v>564</v>
      </c>
      <c r="L116">
        <f t="shared" si="3"/>
        <v>0.25178571428571428</v>
      </c>
    </row>
    <row r="117" spans="1:12" x14ac:dyDescent="0.25">
      <c r="A117">
        <v>1724</v>
      </c>
      <c r="B117" t="s">
        <v>21</v>
      </c>
      <c r="C117" t="s">
        <v>68</v>
      </c>
      <c r="D117" t="s">
        <v>35</v>
      </c>
      <c r="H117">
        <v>1293</v>
      </c>
      <c r="J117">
        <f t="shared" si="2"/>
        <v>1293</v>
      </c>
      <c r="L117">
        <f t="shared" si="3"/>
        <v>0.57723214285714286</v>
      </c>
    </row>
    <row r="118" spans="1:12" x14ac:dyDescent="0.25">
      <c r="A118">
        <v>1724</v>
      </c>
      <c r="B118" t="s">
        <v>90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1724</v>
      </c>
      <c r="B119" t="s">
        <v>22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1724</v>
      </c>
      <c r="B120" t="s">
        <v>61</v>
      </c>
      <c r="C120" t="s">
        <v>68</v>
      </c>
      <c r="D120" t="s">
        <v>35</v>
      </c>
      <c r="E120">
        <v>2</v>
      </c>
      <c r="F120">
        <v>5</v>
      </c>
      <c r="G120">
        <v>3</v>
      </c>
      <c r="H120">
        <v>22</v>
      </c>
      <c r="J120">
        <f t="shared" si="2"/>
        <v>5146</v>
      </c>
      <c r="L120">
        <f t="shared" si="3"/>
        <v>2.2973214285714287</v>
      </c>
    </row>
    <row r="121" spans="1:12" x14ac:dyDescent="0.25">
      <c r="A121">
        <v>1724</v>
      </c>
      <c r="B121" t="s">
        <v>91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1724</v>
      </c>
      <c r="B122" t="s">
        <v>98</v>
      </c>
      <c r="C122" t="s">
        <v>68</v>
      </c>
      <c r="D122" t="s">
        <v>35</v>
      </c>
      <c r="E122">
        <v>11</v>
      </c>
      <c r="F122">
        <v>5</v>
      </c>
      <c r="G122">
        <v>3</v>
      </c>
      <c r="H122">
        <v>18</v>
      </c>
      <c r="J122">
        <f t="shared" si="2"/>
        <v>25302</v>
      </c>
      <c r="L122">
        <f t="shared" si="3"/>
        <v>11.295535714285714</v>
      </c>
    </row>
    <row r="123" spans="1:12" x14ac:dyDescent="0.25">
      <c r="A123">
        <v>1724</v>
      </c>
      <c r="B123" t="s">
        <v>87</v>
      </c>
      <c r="C123" t="s">
        <v>68</v>
      </c>
      <c r="D123" t="s">
        <v>35</v>
      </c>
      <c r="E123">
        <v>6</v>
      </c>
      <c r="F123">
        <v>2</v>
      </c>
      <c r="H123">
        <v>16</v>
      </c>
      <c r="J123">
        <f t="shared" si="2"/>
        <v>13680</v>
      </c>
      <c r="L123">
        <f t="shared" si="3"/>
        <v>6.1071428571428568</v>
      </c>
    </row>
    <row r="124" spans="1:12" x14ac:dyDescent="0.25">
      <c r="A124">
        <v>1724</v>
      </c>
      <c r="B124" t="s">
        <v>62</v>
      </c>
      <c r="C124" t="s">
        <v>68</v>
      </c>
      <c r="D124" t="s">
        <v>35</v>
      </c>
      <c r="E124">
        <v>128</v>
      </c>
      <c r="G124">
        <v>3</v>
      </c>
      <c r="J124">
        <f t="shared" si="2"/>
        <v>286804</v>
      </c>
      <c r="L124">
        <f t="shared" si="3"/>
        <v>128.03749999999999</v>
      </c>
    </row>
    <row r="125" spans="1:12" x14ac:dyDescent="0.25">
      <c r="A125">
        <v>1724</v>
      </c>
      <c r="B125" t="s">
        <v>88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1724</v>
      </c>
      <c r="B126" t="s">
        <v>63</v>
      </c>
      <c r="C126" t="s">
        <v>68</v>
      </c>
      <c r="D126" t="s">
        <v>35</v>
      </c>
      <c r="E126">
        <v>372</v>
      </c>
      <c r="F126">
        <v>18</v>
      </c>
      <c r="H126">
        <v>27</v>
      </c>
      <c r="J126">
        <f t="shared" si="2"/>
        <v>835323</v>
      </c>
      <c r="L126">
        <f t="shared" si="3"/>
        <v>372.91205357142854</v>
      </c>
    </row>
    <row r="127" spans="1:12" x14ac:dyDescent="0.25">
      <c r="A127">
        <v>1724</v>
      </c>
      <c r="B127" t="s">
        <v>89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1724</v>
      </c>
      <c r="B128" t="s">
        <v>70</v>
      </c>
      <c r="C128" t="s">
        <v>68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1724</v>
      </c>
      <c r="B129" t="s">
        <v>64</v>
      </c>
      <c r="C129" t="s">
        <v>68</v>
      </c>
      <c r="D129" t="s">
        <v>35</v>
      </c>
      <c r="E129">
        <v>32</v>
      </c>
      <c r="J129">
        <f t="shared" si="2"/>
        <v>71680</v>
      </c>
      <c r="L129">
        <f t="shared" si="3"/>
        <v>32</v>
      </c>
    </row>
    <row r="130" spans="1:12" x14ac:dyDescent="0.25">
      <c r="A130">
        <v>1724</v>
      </c>
      <c r="B130" t="s">
        <v>65</v>
      </c>
      <c r="C130" t="s">
        <v>68</v>
      </c>
      <c r="D130" t="s">
        <v>35</v>
      </c>
      <c r="E130">
        <v>1</v>
      </c>
      <c r="J130">
        <f t="shared" si="2"/>
        <v>2240</v>
      </c>
      <c r="L130">
        <f t="shared" si="3"/>
        <v>1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106" workbookViewId="0">
      <selection activeCell="G141" sqref="G141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1724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1724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1724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1724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1724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1724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1724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1724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1724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1724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1724</v>
      </c>
      <c r="B12" t="s">
        <v>6</v>
      </c>
      <c r="C12" t="s">
        <v>72</v>
      </c>
      <c r="D12" t="s">
        <v>33</v>
      </c>
      <c r="F12">
        <v>14672</v>
      </c>
      <c r="H12">
        <v>25</v>
      </c>
      <c r="J12">
        <f t="shared" si="0"/>
        <v>1643289</v>
      </c>
      <c r="L12">
        <f t="shared" si="1"/>
        <v>733.61116071428569</v>
      </c>
    </row>
    <row r="13" spans="1:15" x14ac:dyDescent="0.25">
      <c r="A13">
        <v>1724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1724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1724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1724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1724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1724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1724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1724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1724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1724</v>
      </c>
      <c r="B22" t="s">
        <v>9</v>
      </c>
      <c r="C22" t="s">
        <v>72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1724</v>
      </c>
      <c r="B23" t="s">
        <v>10</v>
      </c>
      <c r="C23" t="s">
        <v>72</v>
      </c>
      <c r="D23" t="s">
        <v>33</v>
      </c>
      <c r="F23">
        <v>96</v>
      </c>
      <c r="G23">
        <v>2</v>
      </c>
      <c r="H23">
        <v>20</v>
      </c>
      <c r="J23">
        <f t="shared" si="0"/>
        <v>10828</v>
      </c>
      <c r="L23">
        <f t="shared" si="1"/>
        <v>4.8339285714285714</v>
      </c>
    </row>
    <row r="24" spans="1:12" x14ac:dyDescent="0.25">
      <c r="A24">
        <v>1724</v>
      </c>
      <c r="B24" t="s">
        <v>11</v>
      </c>
      <c r="C24" t="s">
        <v>72</v>
      </c>
      <c r="D24" t="s">
        <v>33</v>
      </c>
      <c r="F24">
        <v>58</v>
      </c>
      <c r="H24">
        <v>4</v>
      </c>
      <c r="J24">
        <f t="shared" si="0"/>
        <v>6500</v>
      </c>
      <c r="L24">
        <f t="shared" si="1"/>
        <v>2.9017857142857144</v>
      </c>
    </row>
    <row r="25" spans="1:12" x14ac:dyDescent="0.25">
      <c r="A25">
        <v>1724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1724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1724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1724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1724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1724</v>
      </c>
      <c r="B30" t="s">
        <v>12</v>
      </c>
      <c r="C30" t="s">
        <v>72</v>
      </c>
      <c r="D30" t="s">
        <v>33</v>
      </c>
      <c r="H30">
        <v>7843</v>
      </c>
      <c r="J30">
        <f t="shared" si="0"/>
        <v>7843</v>
      </c>
      <c r="L30">
        <f t="shared" si="1"/>
        <v>3.5013392857142858</v>
      </c>
    </row>
    <row r="31" spans="1:12" x14ac:dyDescent="0.25">
      <c r="A31">
        <v>1724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1724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1724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1724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1724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1724</v>
      </c>
      <c r="B36" t="s">
        <v>27</v>
      </c>
      <c r="C36" t="s">
        <v>72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1724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1724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1724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1724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1724</v>
      </c>
      <c r="B41" t="s">
        <v>16</v>
      </c>
      <c r="C41" t="s">
        <v>72</v>
      </c>
      <c r="D41" t="s">
        <v>33</v>
      </c>
      <c r="H41">
        <v>1309</v>
      </c>
      <c r="J41">
        <f t="shared" si="0"/>
        <v>1309</v>
      </c>
      <c r="L41">
        <f t="shared" si="1"/>
        <v>0.58437499999999998</v>
      </c>
    </row>
    <row r="42" spans="1:12" x14ac:dyDescent="0.25">
      <c r="A42">
        <v>1724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1724</v>
      </c>
      <c r="B43" t="s">
        <v>18</v>
      </c>
      <c r="C43" t="s">
        <v>72</v>
      </c>
      <c r="D43" t="s">
        <v>33</v>
      </c>
      <c r="H43">
        <v>2450.5</v>
      </c>
      <c r="I43" t="s">
        <v>122</v>
      </c>
      <c r="J43">
        <f t="shared" si="0"/>
        <v>2450.5</v>
      </c>
      <c r="L43">
        <f t="shared" si="1"/>
        <v>1.0939732142857144</v>
      </c>
    </row>
    <row r="44" spans="1:12" x14ac:dyDescent="0.25">
      <c r="A44">
        <v>1724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1724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1724</v>
      </c>
      <c r="B46" t="s">
        <v>19</v>
      </c>
      <c r="C46" t="s">
        <v>72</v>
      </c>
      <c r="D46" t="s">
        <v>33</v>
      </c>
      <c r="F46">
        <v>12</v>
      </c>
      <c r="G46">
        <v>2</v>
      </c>
      <c r="H46">
        <v>9</v>
      </c>
      <c r="J46">
        <f t="shared" si="0"/>
        <v>1409</v>
      </c>
      <c r="L46">
        <f t="shared" si="1"/>
        <v>0.62901785714285718</v>
      </c>
    </row>
    <row r="47" spans="1:12" x14ac:dyDescent="0.25">
      <c r="A47">
        <v>1724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1724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1724</v>
      </c>
      <c r="B49" t="s">
        <v>54</v>
      </c>
      <c r="C49" t="s">
        <v>72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1724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1724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1724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1724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1724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1724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1724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1724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1724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1724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1724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1724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1724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1724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1724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1724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1724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1724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1724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1724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1724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1724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1724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1724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1724</v>
      </c>
      <c r="B74" t="s">
        <v>6</v>
      </c>
      <c r="C74" t="s">
        <v>72</v>
      </c>
      <c r="D74" t="s">
        <v>35</v>
      </c>
      <c r="F74">
        <v>3782</v>
      </c>
      <c r="G74">
        <v>3</v>
      </c>
      <c r="H74">
        <v>23</v>
      </c>
      <c r="J74">
        <f t="shared" si="2"/>
        <v>423691</v>
      </c>
      <c r="L74">
        <f t="shared" si="3"/>
        <v>189.14776785714287</v>
      </c>
    </row>
    <row r="75" spans="1:12" x14ac:dyDescent="0.25">
      <c r="A75">
        <v>1724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1724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1724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1724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1724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1724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1724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1724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1724</v>
      </c>
      <c r="B83" t="s">
        <v>9</v>
      </c>
      <c r="C83" t="s">
        <v>72</v>
      </c>
      <c r="D83" t="s">
        <v>35</v>
      </c>
      <c r="F83">
        <v>94</v>
      </c>
      <c r="J83">
        <f t="shared" si="2"/>
        <v>10528</v>
      </c>
      <c r="L83">
        <f t="shared" si="3"/>
        <v>4.7</v>
      </c>
    </row>
    <row r="84" spans="1:12" x14ac:dyDescent="0.25">
      <c r="A84">
        <v>1724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1724</v>
      </c>
      <c r="B85" t="s">
        <v>11</v>
      </c>
      <c r="C85" t="s">
        <v>72</v>
      </c>
      <c r="D85" t="s">
        <v>35</v>
      </c>
      <c r="F85">
        <v>7</v>
      </c>
      <c r="G85">
        <v>3</v>
      </c>
      <c r="H85">
        <v>21</v>
      </c>
      <c r="J85">
        <f t="shared" si="2"/>
        <v>889</v>
      </c>
      <c r="L85">
        <f t="shared" si="3"/>
        <v>0.39687499999999998</v>
      </c>
    </row>
    <row r="86" spans="1:12" x14ac:dyDescent="0.25">
      <c r="A86">
        <v>1724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1724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1724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1724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1724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1724</v>
      </c>
      <c r="B91" t="s">
        <v>12</v>
      </c>
      <c r="C91" t="s">
        <v>72</v>
      </c>
      <c r="D91" t="s">
        <v>35</v>
      </c>
      <c r="H91">
        <v>1057</v>
      </c>
      <c r="J91">
        <f t="shared" si="2"/>
        <v>1057</v>
      </c>
      <c r="L91">
        <f t="shared" si="3"/>
        <v>0.47187499999999999</v>
      </c>
    </row>
    <row r="92" spans="1:12" x14ac:dyDescent="0.25">
      <c r="A92">
        <v>1724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1724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1724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1724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1724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1724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1724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1724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1724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1724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1724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1724</v>
      </c>
      <c r="B103" t="s">
        <v>16</v>
      </c>
      <c r="C103" t="s">
        <v>72</v>
      </c>
      <c r="D103" t="s">
        <v>35</v>
      </c>
      <c r="H103">
        <v>72</v>
      </c>
      <c r="J103">
        <f t="shared" si="2"/>
        <v>72</v>
      </c>
      <c r="L103">
        <f t="shared" si="3"/>
        <v>3.214285714285714E-2</v>
      </c>
    </row>
    <row r="104" spans="1:12" x14ac:dyDescent="0.25">
      <c r="A104">
        <v>1724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1724</v>
      </c>
      <c r="B105" t="s">
        <v>18</v>
      </c>
      <c r="C105" t="s">
        <v>72</v>
      </c>
      <c r="D105" t="s">
        <v>35</v>
      </c>
      <c r="H105">
        <v>2080.5</v>
      </c>
      <c r="I105" t="s">
        <v>140</v>
      </c>
      <c r="J105">
        <f t="shared" si="2"/>
        <v>2080.5</v>
      </c>
      <c r="L105">
        <f t="shared" si="3"/>
        <v>0.92879464285714286</v>
      </c>
    </row>
    <row r="106" spans="1:12" x14ac:dyDescent="0.25">
      <c r="A106">
        <v>1724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1724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1724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1724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1724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1724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1724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1724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1724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1724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1724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1724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1724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1724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1724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1724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1724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1724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1724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1724</v>
      </c>
      <c r="B125" t="s">
        <v>64</v>
      </c>
      <c r="C125" t="s">
        <v>72</v>
      </c>
      <c r="D125" t="s">
        <v>35</v>
      </c>
      <c r="E125">
        <v>3</v>
      </c>
      <c r="F125">
        <v>10</v>
      </c>
      <c r="J125">
        <f t="shared" si="2"/>
        <v>7840</v>
      </c>
      <c r="L125">
        <f t="shared" si="3"/>
        <v>3.5</v>
      </c>
    </row>
    <row r="126" spans="1:12" x14ac:dyDescent="0.25">
      <c r="A126">
        <v>1724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7"/>
  <sheetViews>
    <sheetView topLeftCell="A22" workbookViewId="0">
      <selection activeCell="H23" sqref="H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1724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1724</v>
      </c>
      <c r="B3" t="s">
        <v>57</v>
      </c>
      <c r="C3" t="s">
        <v>73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1724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1724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1724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1724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1724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1724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1724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1724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1724</v>
      </c>
      <c r="B12" t="s">
        <v>6</v>
      </c>
      <c r="C12" t="s">
        <v>73</v>
      </c>
      <c r="D12" t="s">
        <v>33</v>
      </c>
      <c r="F12">
        <v>35935</v>
      </c>
      <c r="G12">
        <v>3</v>
      </c>
      <c r="J12">
        <f t="shared" si="0"/>
        <v>4024804</v>
      </c>
      <c r="L12">
        <f t="shared" si="1"/>
        <v>1796.7874999999999</v>
      </c>
    </row>
    <row r="13" spans="1:15" x14ac:dyDescent="0.25">
      <c r="A13">
        <v>1724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1724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1724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1724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1724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1724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1724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1724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1724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1724</v>
      </c>
      <c r="B22" t="s">
        <v>9</v>
      </c>
      <c r="C22" t="s">
        <v>73</v>
      </c>
      <c r="D22" t="s">
        <v>33</v>
      </c>
      <c r="H22">
        <f>5*200</f>
        <v>1000</v>
      </c>
      <c r="I22" t="s">
        <v>125</v>
      </c>
      <c r="J22">
        <f t="shared" si="0"/>
        <v>1000</v>
      </c>
      <c r="L22">
        <f t="shared" si="1"/>
        <v>0.44642857142857145</v>
      </c>
    </row>
    <row r="23" spans="1:12" x14ac:dyDescent="0.25">
      <c r="A23">
        <v>1724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1724</v>
      </c>
      <c r="B24" t="s">
        <v>11</v>
      </c>
      <c r="C24" t="s">
        <v>73</v>
      </c>
      <c r="D24" t="s">
        <v>33</v>
      </c>
      <c r="F24">
        <v>6</v>
      </c>
      <c r="G24">
        <v>3</v>
      </c>
      <c r="J24">
        <f t="shared" si="0"/>
        <v>756</v>
      </c>
      <c r="L24">
        <f t="shared" si="1"/>
        <v>0.33750000000000002</v>
      </c>
    </row>
    <row r="25" spans="1:12" x14ac:dyDescent="0.25">
      <c r="A25">
        <v>1724</v>
      </c>
      <c r="B25" t="s">
        <v>123</v>
      </c>
      <c r="C25" t="s">
        <v>73</v>
      </c>
      <c r="D25" t="s">
        <v>33</v>
      </c>
      <c r="F25">
        <v>84</v>
      </c>
      <c r="J25">
        <f t="shared" si="0"/>
        <v>9408</v>
      </c>
      <c r="L25">
        <f t="shared" si="1"/>
        <v>4.2</v>
      </c>
    </row>
    <row r="26" spans="1:12" x14ac:dyDescent="0.25">
      <c r="A26">
        <v>1724</v>
      </c>
      <c r="B26" t="s">
        <v>39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1724</v>
      </c>
      <c r="B27" t="s">
        <v>79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1724</v>
      </c>
      <c r="B28" t="s">
        <v>103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1724</v>
      </c>
      <c r="B29" t="s">
        <v>44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1724</v>
      </c>
      <c r="B30" t="s">
        <v>97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1724</v>
      </c>
      <c r="B31" t="s">
        <v>12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1724</v>
      </c>
      <c r="B32" t="s">
        <v>82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1724</v>
      </c>
      <c r="B33" t="s">
        <v>34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1724</v>
      </c>
      <c r="B34" t="s">
        <v>13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1724</v>
      </c>
      <c r="B35" t="s">
        <v>14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1724</v>
      </c>
      <c r="B36" t="s">
        <v>23</v>
      </c>
      <c r="C36" t="s">
        <v>73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1724</v>
      </c>
      <c r="B37" t="s">
        <v>27</v>
      </c>
      <c r="C37" t="s">
        <v>73</v>
      </c>
      <c r="D37" t="s">
        <v>33</v>
      </c>
      <c r="H37">
        <v>150</v>
      </c>
      <c r="I37" t="s">
        <v>124</v>
      </c>
      <c r="J37">
        <f t="shared" si="0"/>
        <v>150</v>
      </c>
      <c r="L37">
        <f t="shared" si="1"/>
        <v>6.6964285714285712E-2</v>
      </c>
    </row>
    <row r="38" spans="1:12" x14ac:dyDescent="0.25">
      <c r="A38">
        <v>1724</v>
      </c>
      <c r="B38" t="s">
        <v>15</v>
      </c>
      <c r="C38" t="s">
        <v>73</v>
      </c>
      <c r="D38" t="s">
        <v>33</v>
      </c>
      <c r="F38">
        <v>5</v>
      </c>
      <c r="J38">
        <f t="shared" si="0"/>
        <v>560</v>
      </c>
      <c r="L38">
        <f t="shared" si="1"/>
        <v>0.25</v>
      </c>
    </row>
    <row r="39" spans="1:12" x14ac:dyDescent="0.25">
      <c r="A39">
        <v>1724</v>
      </c>
      <c r="B39" t="s">
        <v>42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1724</v>
      </c>
      <c r="B40" t="s">
        <v>83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1724</v>
      </c>
      <c r="B41" t="s">
        <v>47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1724</v>
      </c>
      <c r="B42" t="s">
        <v>16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1724</v>
      </c>
      <c r="B43" t="s">
        <v>17</v>
      </c>
      <c r="C43" t="s">
        <v>73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1724</v>
      </c>
      <c r="B44" t="s">
        <v>18</v>
      </c>
      <c r="C44" t="s">
        <v>73</v>
      </c>
      <c r="D44" t="s">
        <v>33</v>
      </c>
      <c r="H44">
        <v>5111.5</v>
      </c>
      <c r="I44" t="s">
        <v>126</v>
      </c>
      <c r="J44">
        <f t="shared" si="0"/>
        <v>5111.5</v>
      </c>
      <c r="L44">
        <f t="shared" si="1"/>
        <v>2.2819196428571429</v>
      </c>
    </row>
    <row r="45" spans="1:12" x14ac:dyDescent="0.25">
      <c r="A45">
        <v>1724</v>
      </c>
      <c r="B45" t="s">
        <v>26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1724</v>
      </c>
      <c r="B46" t="s">
        <v>84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1724</v>
      </c>
      <c r="B47" t="s">
        <v>19</v>
      </c>
      <c r="C47" t="s">
        <v>73</v>
      </c>
      <c r="D47" t="s">
        <v>33</v>
      </c>
      <c r="F47">
        <v>22</v>
      </c>
      <c r="G47">
        <v>3</v>
      </c>
      <c r="H47">
        <v>10</v>
      </c>
      <c r="J47">
        <f t="shared" si="0"/>
        <v>2558</v>
      </c>
      <c r="L47">
        <f t="shared" si="1"/>
        <v>1.1419642857142858</v>
      </c>
    </row>
    <row r="48" spans="1:12" x14ac:dyDescent="0.25">
      <c r="A48">
        <v>1724</v>
      </c>
      <c r="B48" t="s">
        <v>45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1724</v>
      </c>
      <c r="B49" t="s">
        <v>85</v>
      </c>
      <c r="C49" t="s">
        <v>73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1724</v>
      </c>
      <c r="B50" t="s">
        <v>54</v>
      </c>
      <c r="C50" t="s">
        <v>73</v>
      </c>
      <c r="D50" t="s">
        <v>33</v>
      </c>
      <c r="H50">
        <v>33</v>
      </c>
      <c r="J50">
        <f t="shared" si="0"/>
        <v>33</v>
      </c>
      <c r="L50">
        <f t="shared" si="1"/>
        <v>1.4732142857142857E-2</v>
      </c>
    </row>
    <row r="51" spans="1:12" x14ac:dyDescent="0.25">
      <c r="A51">
        <v>1724</v>
      </c>
      <c r="B51" t="s">
        <v>95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1724</v>
      </c>
      <c r="B52" t="s">
        <v>20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1724</v>
      </c>
      <c r="B53" t="s">
        <v>21</v>
      </c>
      <c r="C53" t="s">
        <v>73</v>
      </c>
      <c r="D53" t="s">
        <v>33</v>
      </c>
      <c r="H53">
        <v>16</v>
      </c>
      <c r="J53">
        <f t="shared" si="0"/>
        <v>16</v>
      </c>
      <c r="L53">
        <f t="shared" si="1"/>
        <v>7.1428571428571426E-3</v>
      </c>
    </row>
    <row r="54" spans="1:12" x14ac:dyDescent="0.25">
      <c r="A54">
        <v>1724</v>
      </c>
      <c r="B54" t="s">
        <v>22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1724</v>
      </c>
      <c r="B55" t="s">
        <v>61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1724</v>
      </c>
      <c r="B56" t="s">
        <v>99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1724</v>
      </c>
      <c r="B57" t="s">
        <v>87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1724</v>
      </c>
      <c r="B58" t="s">
        <v>62</v>
      </c>
      <c r="C58" t="s">
        <v>73</v>
      </c>
      <c r="D58" t="s">
        <v>33</v>
      </c>
      <c r="E58">
        <v>79</v>
      </c>
      <c r="F58">
        <v>47</v>
      </c>
      <c r="J58">
        <f t="shared" si="0"/>
        <v>182224</v>
      </c>
      <c r="L58">
        <f t="shared" si="1"/>
        <v>81.349999999999994</v>
      </c>
    </row>
    <row r="59" spans="1:12" x14ac:dyDescent="0.25">
      <c r="A59">
        <v>1724</v>
      </c>
      <c r="B59" t="s">
        <v>88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1724</v>
      </c>
      <c r="B60" t="s">
        <v>63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1724</v>
      </c>
      <c r="B61" t="s">
        <v>89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1724</v>
      </c>
      <c r="B62" t="s">
        <v>70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1724</v>
      </c>
      <c r="B63" t="s">
        <v>64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1724</v>
      </c>
      <c r="B64" t="s">
        <v>65</v>
      </c>
      <c r="C64" t="s">
        <v>73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1724</v>
      </c>
      <c r="B65" t="s">
        <v>55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1724</v>
      </c>
      <c r="B66" t="s">
        <v>57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1724</v>
      </c>
      <c r="B67" t="s">
        <v>36</v>
      </c>
      <c r="C67" t="s">
        <v>73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1724</v>
      </c>
      <c r="B68" t="s">
        <v>4</v>
      </c>
      <c r="C68" t="s">
        <v>73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1724</v>
      </c>
      <c r="B69" t="s">
        <v>58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1724</v>
      </c>
      <c r="B70" t="s">
        <v>69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1724</v>
      </c>
      <c r="B71" t="s">
        <v>43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1724</v>
      </c>
      <c r="B72" t="s">
        <v>76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1724</v>
      </c>
      <c r="B73" t="s">
        <v>5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1724</v>
      </c>
      <c r="B74" t="s">
        <v>59</v>
      </c>
      <c r="C74" t="s">
        <v>73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1724</v>
      </c>
      <c r="B75" t="s">
        <v>6</v>
      </c>
      <c r="C75" t="s">
        <v>73</v>
      </c>
      <c r="D75" t="s">
        <v>35</v>
      </c>
      <c r="F75">
        <v>17003</v>
      </c>
      <c r="G75">
        <v>1</v>
      </c>
      <c r="H75">
        <v>1</v>
      </c>
      <c r="J75">
        <f t="shared" si="2"/>
        <v>1904365</v>
      </c>
      <c r="L75">
        <f t="shared" si="3"/>
        <v>850.16294642857144</v>
      </c>
    </row>
    <row r="76" spans="1:12" x14ac:dyDescent="0.25">
      <c r="A76">
        <v>1724</v>
      </c>
      <c r="B76" t="s">
        <v>60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1724</v>
      </c>
      <c r="B77" t="s">
        <v>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1724</v>
      </c>
      <c r="B78" t="s">
        <v>37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1724</v>
      </c>
      <c r="B79" t="s">
        <v>8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1724</v>
      </c>
      <c r="B80" t="s">
        <v>40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1724</v>
      </c>
      <c r="B81" t="s">
        <v>77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1724</v>
      </c>
      <c r="B82" t="s">
        <v>78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1724</v>
      </c>
      <c r="B83" t="s">
        <v>46</v>
      </c>
      <c r="C83" t="s">
        <v>73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1724</v>
      </c>
      <c r="B84" t="s">
        <v>9</v>
      </c>
      <c r="C84" t="s">
        <v>73</v>
      </c>
      <c r="D84" t="s">
        <v>35</v>
      </c>
      <c r="F84">
        <v>158</v>
      </c>
      <c r="G84">
        <v>3</v>
      </c>
      <c r="H84">
        <v>4</v>
      </c>
      <c r="J84">
        <f t="shared" si="2"/>
        <v>17784</v>
      </c>
      <c r="L84">
        <f t="shared" si="3"/>
        <v>7.9392857142857141</v>
      </c>
    </row>
    <row r="85" spans="1:12" x14ac:dyDescent="0.25">
      <c r="A85">
        <v>1724</v>
      </c>
      <c r="B85" t="s">
        <v>10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1724</v>
      </c>
      <c r="B86" t="s">
        <v>11</v>
      </c>
      <c r="C86" t="s">
        <v>73</v>
      </c>
      <c r="D86" t="s">
        <v>35</v>
      </c>
      <c r="F86">
        <v>45</v>
      </c>
      <c r="H86">
        <v>6</v>
      </c>
      <c r="J86">
        <f t="shared" si="2"/>
        <v>5046</v>
      </c>
      <c r="L86">
        <f t="shared" si="3"/>
        <v>2.2526785714285715</v>
      </c>
    </row>
    <row r="87" spans="1:12" x14ac:dyDescent="0.25">
      <c r="A87">
        <v>1724</v>
      </c>
      <c r="B87" t="s">
        <v>39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1724</v>
      </c>
      <c r="B88" t="s">
        <v>79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1724</v>
      </c>
      <c r="B89" t="s">
        <v>103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1724</v>
      </c>
      <c r="B90" t="s">
        <v>44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1724</v>
      </c>
      <c r="B91" t="s">
        <v>97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1724</v>
      </c>
      <c r="B92" t="s">
        <v>12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1724</v>
      </c>
      <c r="B93" t="s">
        <v>82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1724</v>
      </c>
      <c r="B94" t="s">
        <v>34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1724</v>
      </c>
      <c r="B95" t="s">
        <v>13</v>
      </c>
      <c r="C95" t="s">
        <v>73</v>
      </c>
      <c r="D95" t="s">
        <v>35</v>
      </c>
      <c r="E95">
        <v>1</v>
      </c>
      <c r="F95">
        <v>19</v>
      </c>
      <c r="G95">
        <v>3</v>
      </c>
      <c r="H95">
        <v>6</v>
      </c>
      <c r="J95">
        <f t="shared" si="2"/>
        <v>4458</v>
      </c>
      <c r="L95">
        <f t="shared" si="3"/>
        <v>1.9901785714285714</v>
      </c>
    </row>
    <row r="96" spans="1:12" x14ac:dyDescent="0.25">
      <c r="A96">
        <v>1724</v>
      </c>
      <c r="B96" t="s">
        <v>14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1724</v>
      </c>
      <c r="B97" t="s">
        <v>23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1724</v>
      </c>
      <c r="B98" t="s">
        <v>27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1724</v>
      </c>
      <c r="B99" t="s">
        <v>15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1724</v>
      </c>
      <c r="B100" t="s">
        <v>93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1724</v>
      </c>
      <c r="B101" t="s">
        <v>42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1724</v>
      </c>
      <c r="B102" t="s">
        <v>83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1724</v>
      </c>
      <c r="B103" t="s">
        <v>47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1724</v>
      </c>
      <c r="B104" t="s">
        <v>16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1724</v>
      </c>
      <c r="B105" t="s">
        <v>17</v>
      </c>
      <c r="C105" t="s">
        <v>73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1724</v>
      </c>
      <c r="B106" t="s">
        <v>18</v>
      </c>
      <c r="C106" t="s">
        <v>73</v>
      </c>
      <c r="D106" t="s">
        <v>35</v>
      </c>
      <c r="H106">
        <v>1280.5</v>
      </c>
      <c r="I106" t="s">
        <v>141</v>
      </c>
      <c r="J106">
        <f t="shared" si="2"/>
        <v>1280.5</v>
      </c>
      <c r="L106">
        <f t="shared" si="3"/>
        <v>0.57165178571428577</v>
      </c>
    </row>
    <row r="107" spans="1:12" x14ac:dyDescent="0.25">
      <c r="A107">
        <v>1724</v>
      </c>
      <c r="B107" t="s">
        <v>26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1724</v>
      </c>
      <c r="B108" t="s">
        <v>84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1724</v>
      </c>
      <c r="B109" t="s">
        <v>19</v>
      </c>
      <c r="C109" t="s">
        <v>73</v>
      </c>
      <c r="D109" t="s">
        <v>35</v>
      </c>
      <c r="F109">
        <v>2</v>
      </c>
      <c r="H109">
        <v>22</v>
      </c>
      <c r="J109">
        <f t="shared" si="2"/>
        <v>246</v>
      </c>
      <c r="L109">
        <f t="shared" si="3"/>
        <v>0.10982142857142857</v>
      </c>
    </row>
    <row r="110" spans="1:12" x14ac:dyDescent="0.25">
      <c r="A110">
        <v>1724</v>
      </c>
      <c r="B110" t="s">
        <v>45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1724</v>
      </c>
      <c r="B111" t="s">
        <v>85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1724</v>
      </c>
      <c r="B112" t="s">
        <v>54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1724</v>
      </c>
      <c r="B113" t="s">
        <v>95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1724</v>
      </c>
      <c r="B114" t="s">
        <v>20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1724</v>
      </c>
      <c r="B115" t="s">
        <v>21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1724</v>
      </c>
      <c r="B116" t="s">
        <v>22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1724</v>
      </c>
      <c r="B117" t="s">
        <v>61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1724</v>
      </c>
      <c r="B118" t="s">
        <v>91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1724</v>
      </c>
      <c r="B119" t="s">
        <v>98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1724</v>
      </c>
      <c r="B120" t="s">
        <v>87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1724</v>
      </c>
      <c r="B121" t="s">
        <v>62</v>
      </c>
      <c r="C121" t="s">
        <v>73</v>
      </c>
      <c r="D121" t="s">
        <v>35</v>
      </c>
      <c r="E121">
        <v>20</v>
      </c>
      <c r="F121">
        <v>6</v>
      </c>
      <c r="G121">
        <v>3</v>
      </c>
      <c r="H121">
        <v>18</v>
      </c>
      <c r="J121">
        <f t="shared" si="2"/>
        <v>45574</v>
      </c>
      <c r="L121">
        <f t="shared" si="3"/>
        <v>20.345535714285713</v>
      </c>
    </row>
    <row r="122" spans="1:12" x14ac:dyDescent="0.25">
      <c r="A122">
        <v>1724</v>
      </c>
      <c r="B122" t="s">
        <v>88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1724</v>
      </c>
      <c r="B123" t="s">
        <v>63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1724</v>
      </c>
      <c r="B124" t="s">
        <v>89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1724</v>
      </c>
      <c r="B125" t="s">
        <v>70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1724</v>
      </c>
      <c r="B126" t="s">
        <v>64</v>
      </c>
      <c r="C126" t="s">
        <v>73</v>
      </c>
      <c r="D126" t="s">
        <v>35</v>
      </c>
      <c r="F126">
        <v>5</v>
      </c>
      <c r="G126">
        <v>1</v>
      </c>
      <c r="H126">
        <v>25</v>
      </c>
      <c r="J126">
        <f t="shared" si="2"/>
        <v>613</v>
      </c>
      <c r="L126">
        <f t="shared" si="3"/>
        <v>0.27366071428571431</v>
      </c>
    </row>
    <row r="127" spans="1:12" x14ac:dyDescent="0.25">
      <c r="A127">
        <v>1724</v>
      </c>
      <c r="B127" t="s">
        <v>65</v>
      </c>
      <c r="C127" t="s">
        <v>73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7"/>
  <sheetViews>
    <sheetView topLeftCell="A22" workbookViewId="0">
      <selection activeCell="H23" sqref="H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1724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1724</v>
      </c>
      <c r="B3" t="s">
        <v>57</v>
      </c>
      <c r="C3" t="s">
        <v>74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1724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1724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1724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1724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1724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1724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1724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1724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1724</v>
      </c>
      <c r="B12" t="s">
        <v>6</v>
      </c>
      <c r="C12" t="s">
        <v>74</v>
      </c>
      <c r="D12" t="s">
        <v>33</v>
      </c>
      <c r="F12">
        <v>74376</v>
      </c>
      <c r="H12">
        <v>21</v>
      </c>
      <c r="J12">
        <f t="shared" si="0"/>
        <v>8330133</v>
      </c>
      <c r="L12">
        <f t="shared" si="1"/>
        <v>3718.8093749999998</v>
      </c>
    </row>
    <row r="13" spans="1:15" x14ac:dyDescent="0.25">
      <c r="A13">
        <v>1724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1724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1724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1724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1724</v>
      </c>
      <c r="B17" t="s">
        <v>8</v>
      </c>
      <c r="C17" t="s">
        <v>74</v>
      </c>
      <c r="D17" t="s">
        <v>33</v>
      </c>
      <c r="F17">
        <v>14</v>
      </c>
      <c r="G17">
        <v>2</v>
      </c>
      <c r="H17">
        <v>25</v>
      </c>
      <c r="J17">
        <f t="shared" si="0"/>
        <v>1649</v>
      </c>
      <c r="L17">
        <f t="shared" si="1"/>
        <v>0.73616071428571428</v>
      </c>
    </row>
    <row r="18" spans="1:12" x14ac:dyDescent="0.25">
      <c r="A18">
        <v>1724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1724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1724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1724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1724</v>
      </c>
      <c r="B22" t="s">
        <v>9</v>
      </c>
      <c r="C22" t="s">
        <v>74</v>
      </c>
      <c r="D22" t="s">
        <v>33</v>
      </c>
      <c r="H22">
        <f>51*200</f>
        <v>10200</v>
      </c>
      <c r="I22" t="s">
        <v>128</v>
      </c>
      <c r="J22">
        <f t="shared" si="0"/>
        <v>10200</v>
      </c>
      <c r="L22">
        <f t="shared" si="1"/>
        <v>4.5535714285714288</v>
      </c>
    </row>
    <row r="23" spans="1:12" x14ac:dyDescent="0.25">
      <c r="A23">
        <v>1724</v>
      </c>
      <c r="B23" t="s">
        <v>10</v>
      </c>
      <c r="C23" t="s">
        <v>74</v>
      </c>
      <c r="D23" t="s">
        <v>33</v>
      </c>
      <c r="F23">
        <v>25</v>
      </c>
      <c r="G23">
        <v>1</v>
      </c>
      <c r="J23">
        <f t="shared" si="0"/>
        <v>2828</v>
      </c>
      <c r="L23">
        <f t="shared" si="1"/>
        <v>1.2625</v>
      </c>
    </row>
    <row r="24" spans="1:12" x14ac:dyDescent="0.25">
      <c r="A24">
        <v>1724</v>
      </c>
      <c r="B24" t="s">
        <v>11</v>
      </c>
      <c r="C24" t="s">
        <v>74</v>
      </c>
      <c r="D24" t="s">
        <v>33</v>
      </c>
      <c r="F24">
        <v>51</v>
      </c>
      <c r="G24">
        <v>1</v>
      </c>
      <c r="H24">
        <v>25</v>
      </c>
      <c r="J24">
        <f t="shared" si="0"/>
        <v>5765</v>
      </c>
      <c r="L24">
        <f t="shared" si="1"/>
        <v>2.5736607142857144</v>
      </c>
    </row>
    <row r="25" spans="1:12" x14ac:dyDescent="0.25">
      <c r="A25">
        <v>1724</v>
      </c>
      <c r="B25" t="s">
        <v>39</v>
      </c>
      <c r="C25" t="s">
        <v>74</v>
      </c>
      <c r="D25" t="s">
        <v>33</v>
      </c>
      <c r="F25">
        <v>20</v>
      </c>
      <c r="H25">
        <v>5</v>
      </c>
      <c r="J25">
        <f t="shared" si="0"/>
        <v>2245</v>
      </c>
      <c r="L25">
        <f t="shared" si="1"/>
        <v>1.0022321428571428</v>
      </c>
    </row>
    <row r="26" spans="1:12" x14ac:dyDescent="0.25">
      <c r="A26">
        <v>1724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1724</v>
      </c>
      <c r="B27" t="s">
        <v>103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1724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1724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1724</v>
      </c>
      <c r="B30" t="s">
        <v>12</v>
      </c>
      <c r="C30" t="s">
        <v>74</v>
      </c>
      <c r="D30" t="s">
        <v>33</v>
      </c>
      <c r="H30">
        <v>3475</v>
      </c>
      <c r="J30">
        <f t="shared" si="0"/>
        <v>3475</v>
      </c>
      <c r="L30">
        <f t="shared" si="1"/>
        <v>1.5513392857142858</v>
      </c>
    </row>
    <row r="31" spans="1:12" x14ac:dyDescent="0.25">
      <c r="A31">
        <v>1724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1724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1724</v>
      </c>
      <c r="B33" t="s">
        <v>13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1724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1724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1724</v>
      </c>
      <c r="B36" t="s">
        <v>27</v>
      </c>
      <c r="C36" t="s">
        <v>74</v>
      </c>
      <c r="D36" t="s">
        <v>33</v>
      </c>
      <c r="H36">
        <v>20785.5</v>
      </c>
      <c r="I36" t="s">
        <v>127</v>
      </c>
      <c r="J36">
        <f t="shared" si="0"/>
        <v>20785.5</v>
      </c>
      <c r="L36">
        <f t="shared" si="1"/>
        <v>9.2792410714285722</v>
      </c>
    </row>
    <row r="37" spans="1:12" x14ac:dyDescent="0.25">
      <c r="A37">
        <v>1724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1724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1724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1724</v>
      </c>
      <c r="B40" t="s">
        <v>47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1724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1724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1724</v>
      </c>
      <c r="B43" t="s">
        <v>18</v>
      </c>
      <c r="C43" t="s">
        <v>74</v>
      </c>
      <c r="D43" t="s">
        <v>33</v>
      </c>
      <c r="H43">
        <v>19585</v>
      </c>
      <c r="I43" t="s">
        <v>129</v>
      </c>
      <c r="J43">
        <f t="shared" si="0"/>
        <v>19585</v>
      </c>
      <c r="L43">
        <f t="shared" si="1"/>
        <v>8.7433035714285712</v>
      </c>
    </row>
    <row r="44" spans="1:12" x14ac:dyDescent="0.25">
      <c r="A44">
        <v>1724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1724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1724</v>
      </c>
      <c r="B46" t="s">
        <v>19</v>
      </c>
      <c r="C46" t="s">
        <v>74</v>
      </c>
      <c r="D46" t="s">
        <v>33</v>
      </c>
      <c r="F46">
        <v>85</v>
      </c>
      <c r="G46">
        <v>3</v>
      </c>
      <c r="H46">
        <v>10</v>
      </c>
      <c r="J46">
        <f t="shared" si="0"/>
        <v>9614</v>
      </c>
      <c r="L46">
        <f t="shared" si="1"/>
        <v>4.2919642857142861</v>
      </c>
    </row>
    <row r="47" spans="1:12" x14ac:dyDescent="0.25">
      <c r="A47">
        <v>1724</v>
      </c>
      <c r="B47" t="s">
        <v>45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1724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1724</v>
      </c>
      <c r="B49" t="s">
        <v>54</v>
      </c>
      <c r="C49" t="s">
        <v>74</v>
      </c>
      <c r="D49" t="s">
        <v>33</v>
      </c>
      <c r="H49">
        <v>218</v>
      </c>
      <c r="J49">
        <f t="shared" si="0"/>
        <v>218</v>
      </c>
      <c r="L49">
        <f t="shared" si="1"/>
        <v>9.7321428571428573E-2</v>
      </c>
    </row>
    <row r="50" spans="1:12" x14ac:dyDescent="0.25">
      <c r="A50">
        <v>1724</v>
      </c>
      <c r="B50" t="s">
        <v>95</v>
      </c>
      <c r="C50" t="s">
        <v>74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1724</v>
      </c>
      <c r="B51" t="s">
        <v>20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1724</v>
      </c>
      <c r="B52" t="s">
        <v>21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1724</v>
      </c>
      <c r="B53" t="s">
        <v>105</v>
      </c>
      <c r="C53" t="s">
        <v>74</v>
      </c>
      <c r="D53" t="s">
        <v>33</v>
      </c>
      <c r="F53">
        <v>8</v>
      </c>
      <c r="J53">
        <f t="shared" si="0"/>
        <v>896</v>
      </c>
      <c r="L53">
        <f t="shared" si="1"/>
        <v>0.4</v>
      </c>
    </row>
    <row r="54" spans="1:12" x14ac:dyDescent="0.25">
      <c r="A54">
        <v>1724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1724</v>
      </c>
      <c r="B55" t="s">
        <v>61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1724</v>
      </c>
      <c r="B56" t="s">
        <v>99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1724</v>
      </c>
      <c r="B57" t="s">
        <v>87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1724</v>
      </c>
      <c r="B58" t="s">
        <v>62</v>
      </c>
      <c r="C58" t="s">
        <v>74</v>
      </c>
      <c r="D58" t="s">
        <v>33</v>
      </c>
      <c r="E58">
        <v>231</v>
      </c>
      <c r="F58">
        <v>5</v>
      </c>
      <c r="J58">
        <f t="shared" si="0"/>
        <v>518000</v>
      </c>
      <c r="L58">
        <f t="shared" si="1"/>
        <v>231.25</v>
      </c>
    </row>
    <row r="59" spans="1:12" x14ac:dyDescent="0.25">
      <c r="A59">
        <v>1724</v>
      </c>
      <c r="B59" t="s">
        <v>88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1724</v>
      </c>
      <c r="B60" t="s">
        <v>63</v>
      </c>
      <c r="C60" t="s">
        <v>74</v>
      </c>
      <c r="D60" t="s">
        <v>33</v>
      </c>
      <c r="E60">
        <v>300</v>
      </c>
      <c r="J60">
        <f t="shared" si="0"/>
        <v>672000</v>
      </c>
      <c r="L60">
        <f t="shared" si="1"/>
        <v>300</v>
      </c>
    </row>
    <row r="61" spans="1:12" x14ac:dyDescent="0.25">
      <c r="A61">
        <v>1724</v>
      </c>
      <c r="B61" t="s">
        <v>89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1724</v>
      </c>
      <c r="B62" t="s">
        <v>70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1724</v>
      </c>
      <c r="B63" t="s">
        <v>64</v>
      </c>
      <c r="C63" t="s">
        <v>74</v>
      </c>
      <c r="D63" t="s">
        <v>33</v>
      </c>
      <c r="E63">
        <v>45</v>
      </c>
      <c r="F63">
        <v>4</v>
      </c>
      <c r="G63">
        <v>1</v>
      </c>
      <c r="J63">
        <f t="shared" si="0"/>
        <v>101276</v>
      </c>
      <c r="L63">
        <f t="shared" si="1"/>
        <v>45.212499999999999</v>
      </c>
    </row>
    <row r="64" spans="1:12" x14ac:dyDescent="0.25">
      <c r="A64">
        <v>1724</v>
      </c>
      <c r="B64" t="s">
        <v>65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1724</v>
      </c>
      <c r="B65" t="s">
        <v>55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1724</v>
      </c>
      <c r="B66" t="s">
        <v>57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1724</v>
      </c>
      <c r="B67" t="s">
        <v>36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1724</v>
      </c>
      <c r="B68" t="s">
        <v>4</v>
      </c>
      <c r="C68" t="s">
        <v>74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1724</v>
      </c>
      <c r="B69" t="s">
        <v>58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1724</v>
      </c>
      <c r="B70" t="s">
        <v>69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1724</v>
      </c>
      <c r="B71" t="s">
        <v>43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1724</v>
      </c>
      <c r="B72" t="s">
        <v>76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1724</v>
      </c>
      <c r="B73" t="s">
        <v>5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1724</v>
      </c>
      <c r="B74" t="s">
        <v>59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1724</v>
      </c>
      <c r="B75" t="s">
        <v>6</v>
      </c>
      <c r="C75" t="s">
        <v>74</v>
      </c>
      <c r="D75" t="s">
        <v>35</v>
      </c>
      <c r="F75">
        <v>21119</v>
      </c>
      <c r="G75">
        <v>1</v>
      </c>
      <c r="H75">
        <v>12</v>
      </c>
      <c r="J75">
        <f t="shared" si="2"/>
        <v>2365368</v>
      </c>
      <c r="L75">
        <f t="shared" si="3"/>
        <v>1055.9678571428572</v>
      </c>
    </row>
    <row r="76" spans="1:12" x14ac:dyDescent="0.25">
      <c r="A76">
        <v>1724</v>
      </c>
      <c r="B76" t="s">
        <v>60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1724</v>
      </c>
      <c r="B77" t="s">
        <v>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1724</v>
      </c>
      <c r="B78" t="s">
        <v>37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1724</v>
      </c>
      <c r="B79" t="s">
        <v>8</v>
      </c>
      <c r="C79" t="s">
        <v>74</v>
      </c>
      <c r="D79" t="s">
        <v>35</v>
      </c>
      <c r="F79">
        <v>1</v>
      </c>
      <c r="H79">
        <v>2</v>
      </c>
      <c r="J79">
        <f t="shared" si="2"/>
        <v>114</v>
      </c>
      <c r="L79">
        <f t="shared" si="3"/>
        <v>5.0892857142857142E-2</v>
      </c>
    </row>
    <row r="80" spans="1:12" x14ac:dyDescent="0.25">
      <c r="A80">
        <v>1724</v>
      </c>
      <c r="B80" t="s">
        <v>40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1724</v>
      </c>
      <c r="B81" t="s">
        <v>77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1724</v>
      </c>
      <c r="B82" t="s">
        <v>78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1724</v>
      </c>
      <c r="B83" t="s">
        <v>46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1724</v>
      </c>
      <c r="B84" t="s">
        <v>9</v>
      </c>
      <c r="C84" t="s">
        <v>74</v>
      </c>
      <c r="D84" t="s">
        <v>35</v>
      </c>
      <c r="F84">
        <v>372</v>
      </c>
      <c r="G84">
        <v>2</v>
      </c>
      <c r="H84">
        <v>6</v>
      </c>
      <c r="J84">
        <f t="shared" si="2"/>
        <v>41726</v>
      </c>
      <c r="L84">
        <f t="shared" si="3"/>
        <v>18.627678571428572</v>
      </c>
    </row>
    <row r="85" spans="1:12" x14ac:dyDescent="0.25">
      <c r="A85">
        <v>1724</v>
      </c>
      <c r="B85" t="s">
        <v>10</v>
      </c>
      <c r="C85" t="s">
        <v>74</v>
      </c>
      <c r="D85" t="s">
        <v>35</v>
      </c>
      <c r="F85">
        <v>24</v>
      </c>
      <c r="J85">
        <f t="shared" si="2"/>
        <v>2688</v>
      </c>
      <c r="L85">
        <f t="shared" si="3"/>
        <v>1.2</v>
      </c>
    </row>
    <row r="86" spans="1:12" x14ac:dyDescent="0.25">
      <c r="A86">
        <v>1724</v>
      </c>
      <c r="B86" t="s">
        <v>11</v>
      </c>
      <c r="C86" t="s">
        <v>74</v>
      </c>
      <c r="D86" t="s">
        <v>35</v>
      </c>
      <c r="F86">
        <v>54</v>
      </c>
      <c r="G86">
        <v>1</v>
      </c>
      <c r="H86">
        <v>5</v>
      </c>
      <c r="J86">
        <f t="shared" si="2"/>
        <v>6081</v>
      </c>
      <c r="L86">
        <f t="shared" si="3"/>
        <v>2.7147321428571427</v>
      </c>
    </row>
    <row r="87" spans="1:12" x14ac:dyDescent="0.25">
      <c r="A87">
        <v>1724</v>
      </c>
      <c r="B87" t="s">
        <v>39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1724</v>
      </c>
      <c r="B88" t="s">
        <v>79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1724</v>
      </c>
      <c r="B89" t="s">
        <v>103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1724</v>
      </c>
      <c r="B90" t="s">
        <v>44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1724</v>
      </c>
      <c r="B91" t="s">
        <v>97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1724</v>
      </c>
      <c r="B92" t="s">
        <v>12</v>
      </c>
      <c r="C92" t="s">
        <v>74</v>
      </c>
      <c r="D92" t="s">
        <v>35</v>
      </c>
      <c r="H92">
        <v>540</v>
      </c>
      <c r="J92">
        <f t="shared" si="2"/>
        <v>540</v>
      </c>
      <c r="L92">
        <f t="shared" si="3"/>
        <v>0.24107142857142858</v>
      </c>
    </row>
    <row r="93" spans="1:12" x14ac:dyDescent="0.25">
      <c r="A93">
        <v>1724</v>
      </c>
      <c r="B93" t="s">
        <v>82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1724</v>
      </c>
      <c r="B94" t="s">
        <v>34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1724</v>
      </c>
      <c r="B95" t="s">
        <v>13</v>
      </c>
      <c r="C95" t="s">
        <v>74</v>
      </c>
      <c r="D95" t="s">
        <v>35</v>
      </c>
      <c r="E95">
        <v>6</v>
      </c>
      <c r="F95">
        <v>12</v>
      </c>
      <c r="G95">
        <v>2</v>
      </c>
      <c r="H95">
        <v>8</v>
      </c>
      <c r="J95">
        <f t="shared" si="2"/>
        <v>14848</v>
      </c>
      <c r="L95">
        <f t="shared" si="3"/>
        <v>6.628571428571429</v>
      </c>
    </row>
    <row r="96" spans="1:12" x14ac:dyDescent="0.25">
      <c r="A96">
        <v>1724</v>
      </c>
      <c r="B96" t="s">
        <v>14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1724</v>
      </c>
      <c r="B97" t="s">
        <v>23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1724</v>
      </c>
      <c r="B98" t="s">
        <v>27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1724</v>
      </c>
      <c r="B99" t="s">
        <v>15</v>
      </c>
      <c r="C99" t="s">
        <v>74</v>
      </c>
      <c r="D99" t="s">
        <v>35</v>
      </c>
      <c r="F99">
        <v>56</v>
      </c>
      <c r="H99">
        <v>24</v>
      </c>
      <c r="J99">
        <f t="shared" si="2"/>
        <v>6296</v>
      </c>
      <c r="L99">
        <f t="shared" si="3"/>
        <v>2.8107142857142855</v>
      </c>
    </row>
    <row r="100" spans="1:12" x14ac:dyDescent="0.25">
      <c r="A100">
        <v>1724</v>
      </c>
      <c r="B100" t="s">
        <v>93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1724</v>
      </c>
      <c r="B101" t="s">
        <v>42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1724</v>
      </c>
      <c r="B102" t="s">
        <v>83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1724</v>
      </c>
      <c r="B103" t="s">
        <v>47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1724</v>
      </c>
      <c r="B104" t="s">
        <v>16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1724</v>
      </c>
      <c r="B105" t="s">
        <v>17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1724</v>
      </c>
      <c r="B106" t="s">
        <v>18</v>
      </c>
      <c r="C106" t="s">
        <v>74</v>
      </c>
      <c r="D106" t="s">
        <v>35</v>
      </c>
      <c r="H106">
        <v>2390.5</v>
      </c>
      <c r="I106" t="s">
        <v>142</v>
      </c>
      <c r="J106">
        <f t="shared" si="2"/>
        <v>2390.5</v>
      </c>
      <c r="L106">
        <f t="shared" si="3"/>
        <v>1.0671875</v>
      </c>
    </row>
    <row r="107" spans="1:12" x14ac:dyDescent="0.25">
      <c r="A107">
        <v>1724</v>
      </c>
      <c r="B107" t="s">
        <v>26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1724</v>
      </c>
      <c r="B108" t="s">
        <v>84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1724</v>
      </c>
      <c r="B109" t="s">
        <v>19</v>
      </c>
      <c r="C109" t="s">
        <v>74</v>
      </c>
      <c r="D109" t="s">
        <v>35</v>
      </c>
      <c r="F109">
        <v>5</v>
      </c>
      <c r="G109">
        <v>2</v>
      </c>
      <c r="H109">
        <v>23</v>
      </c>
      <c r="J109">
        <f t="shared" si="2"/>
        <v>639</v>
      </c>
      <c r="L109">
        <f t="shared" si="3"/>
        <v>0.28526785714285713</v>
      </c>
    </row>
    <row r="110" spans="1:12" x14ac:dyDescent="0.25">
      <c r="A110">
        <v>1724</v>
      </c>
      <c r="B110" t="s">
        <v>45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1724</v>
      </c>
      <c r="B111" t="s">
        <v>85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1724</v>
      </c>
      <c r="B112" t="s">
        <v>54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1724</v>
      </c>
      <c r="B113" t="s">
        <v>95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1724</v>
      </c>
      <c r="B114" t="s">
        <v>20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1724</v>
      </c>
      <c r="B115" t="s">
        <v>21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1724</v>
      </c>
      <c r="B116" t="s">
        <v>22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1724</v>
      </c>
      <c r="B117" t="s">
        <v>61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1724</v>
      </c>
      <c r="B118" t="s">
        <v>91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1724</v>
      </c>
      <c r="B119" t="s">
        <v>98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1724</v>
      </c>
      <c r="B120" t="s">
        <v>87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1724</v>
      </c>
      <c r="B121" t="s">
        <v>62</v>
      </c>
      <c r="C121" t="s">
        <v>74</v>
      </c>
      <c r="D121" t="s">
        <v>35</v>
      </c>
      <c r="E121">
        <v>135</v>
      </c>
      <c r="F121">
        <v>2</v>
      </c>
      <c r="G121">
        <v>2</v>
      </c>
      <c r="H121">
        <v>21</v>
      </c>
      <c r="J121">
        <f t="shared" si="2"/>
        <v>302701</v>
      </c>
      <c r="L121">
        <f t="shared" si="3"/>
        <v>135.13437500000001</v>
      </c>
    </row>
    <row r="122" spans="1:12" x14ac:dyDescent="0.25">
      <c r="A122">
        <v>1724</v>
      </c>
      <c r="B122" t="s">
        <v>88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1724</v>
      </c>
      <c r="B123" t="s">
        <v>63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1724</v>
      </c>
      <c r="B124" t="s">
        <v>89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1724</v>
      </c>
      <c r="B125" t="s">
        <v>70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1724</v>
      </c>
      <c r="B126" t="s">
        <v>64</v>
      </c>
      <c r="C126" t="s">
        <v>74</v>
      </c>
      <c r="D126" t="s">
        <v>35</v>
      </c>
      <c r="E126">
        <v>1</v>
      </c>
      <c r="J126">
        <f t="shared" si="2"/>
        <v>2240</v>
      </c>
      <c r="L126">
        <f t="shared" si="3"/>
        <v>1</v>
      </c>
    </row>
    <row r="127" spans="1:12" x14ac:dyDescent="0.25">
      <c r="A127">
        <v>1724</v>
      </c>
      <c r="B127" t="s">
        <v>65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9"/>
  <sheetViews>
    <sheetView topLeftCell="A118" workbookViewId="0">
      <selection activeCell="H109" sqref="H10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1724</v>
      </c>
      <c r="B2" t="s">
        <v>55</v>
      </c>
      <c r="C2" t="s">
        <v>100</v>
      </c>
      <c r="D2" t="s">
        <v>33</v>
      </c>
      <c r="F2">
        <v>56</v>
      </c>
      <c r="H2">
        <v>14</v>
      </c>
      <c r="J2">
        <f>(E2*2240)+(F2*112)+(G2*28)+H2</f>
        <v>6286</v>
      </c>
      <c r="L2">
        <f>J2/2240</f>
        <v>2.8062499999999999</v>
      </c>
    </row>
    <row r="3" spans="1:15" x14ac:dyDescent="0.25">
      <c r="A3">
        <v>1724</v>
      </c>
      <c r="B3" t="s">
        <v>57</v>
      </c>
      <c r="C3" t="s">
        <v>100</v>
      </c>
      <c r="D3" t="s">
        <v>33</v>
      </c>
      <c r="F3">
        <v>21</v>
      </c>
      <c r="G3">
        <v>1</v>
      </c>
      <c r="J3">
        <f t="shared" ref="J3:J69" si="0">(E3*2240)+(F3*112)+(G3*28)+H3</f>
        <v>2380</v>
      </c>
      <c r="L3">
        <f t="shared" ref="L3:L69" si="1">J3/2240</f>
        <v>1.0625</v>
      </c>
    </row>
    <row r="4" spans="1:15" x14ac:dyDescent="0.25">
      <c r="A4">
        <v>1724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1724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1724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1724</v>
      </c>
      <c r="B7" t="s">
        <v>69</v>
      </c>
      <c r="C7" t="s">
        <v>100</v>
      </c>
      <c r="D7" t="s">
        <v>33</v>
      </c>
      <c r="F7">
        <v>2</v>
      </c>
      <c r="J7">
        <f t="shared" si="0"/>
        <v>224</v>
      </c>
      <c r="L7">
        <f t="shared" si="1"/>
        <v>0.1</v>
      </c>
    </row>
    <row r="8" spans="1:15" x14ac:dyDescent="0.25">
      <c r="A8">
        <v>1724</v>
      </c>
      <c r="B8" t="s">
        <v>101</v>
      </c>
      <c r="C8" t="s">
        <v>100</v>
      </c>
      <c r="D8" t="s">
        <v>33</v>
      </c>
      <c r="H8">
        <v>60</v>
      </c>
      <c r="J8">
        <f t="shared" si="0"/>
        <v>60</v>
      </c>
      <c r="L8">
        <f t="shared" si="1"/>
        <v>2.6785714285714284E-2</v>
      </c>
    </row>
    <row r="9" spans="1:15" x14ac:dyDescent="0.25">
      <c r="A9">
        <v>1724</v>
      </c>
      <c r="B9" t="s">
        <v>43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1724</v>
      </c>
      <c r="B10" t="s">
        <v>76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1724</v>
      </c>
      <c r="B11" t="s">
        <v>104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1724</v>
      </c>
      <c r="B12" t="s">
        <v>5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1724</v>
      </c>
      <c r="B13" t="s">
        <v>59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1724</v>
      </c>
      <c r="B14" t="s">
        <v>6</v>
      </c>
      <c r="C14" t="s">
        <v>100</v>
      </c>
      <c r="D14" t="s">
        <v>33</v>
      </c>
      <c r="F14">
        <v>3086</v>
      </c>
      <c r="J14">
        <f t="shared" si="0"/>
        <v>345632</v>
      </c>
      <c r="L14">
        <f t="shared" si="1"/>
        <v>154.30000000000001</v>
      </c>
    </row>
    <row r="15" spans="1:15" x14ac:dyDescent="0.25">
      <c r="A15">
        <v>1724</v>
      </c>
      <c r="B15" t="s">
        <v>96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1724</v>
      </c>
      <c r="B16" t="s">
        <v>60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1724</v>
      </c>
      <c r="B17" t="s">
        <v>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1724</v>
      </c>
      <c r="B18" t="s">
        <v>37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1724</v>
      </c>
      <c r="B19" t="s">
        <v>8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1724</v>
      </c>
      <c r="B20" t="s">
        <v>40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1724</v>
      </c>
      <c r="B21" t="s">
        <v>77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1724</v>
      </c>
      <c r="B22" t="s">
        <v>78</v>
      </c>
      <c r="C22" t="s">
        <v>100</v>
      </c>
      <c r="D22" t="s">
        <v>33</v>
      </c>
      <c r="H22">
        <v>450</v>
      </c>
      <c r="J22">
        <f t="shared" si="0"/>
        <v>450</v>
      </c>
      <c r="L22">
        <f t="shared" si="1"/>
        <v>0.20089285714285715</v>
      </c>
    </row>
    <row r="23" spans="1:12" x14ac:dyDescent="0.25">
      <c r="A23">
        <v>1724</v>
      </c>
      <c r="B23" t="s">
        <v>46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1724</v>
      </c>
      <c r="B24" t="s">
        <v>9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1724</v>
      </c>
      <c r="B25" t="s">
        <v>10</v>
      </c>
      <c r="C25" t="s">
        <v>100</v>
      </c>
      <c r="D25" t="s">
        <v>33</v>
      </c>
      <c r="F25">
        <v>300</v>
      </c>
      <c r="J25">
        <f t="shared" si="0"/>
        <v>33600</v>
      </c>
      <c r="L25">
        <f t="shared" si="1"/>
        <v>15</v>
      </c>
    </row>
    <row r="26" spans="1:12" x14ac:dyDescent="0.25">
      <c r="A26">
        <v>1724</v>
      </c>
      <c r="B26" t="s">
        <v>11</v>
      </c>
      <c r="C26" t="s">
        <v>100</v>
      </c>
      <c r="D26" t="s">
        <v>33</v>
      </c>
      <c r="F26">
        <v>3</v>
      </c>
      <c r="G26">
        <v>3</v>
      </c>
      <c r="H26">
        <v>20</v>
      </c>
      <c r="J26">
        <f t="shared" si="0"/>
        <v>440</v>
      </c>
      <c r="L26">
        <f t="shared" si="1"/>
        <v>0.19642857142857142</v>
      </c>
    </row>
    <row r="27" spans="1:12" x14ac:dyDescent="0.25">
      <c r="A27">
        <v>1724</v>
      </c>
      <c r="B27" t="s">
        <v>39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1724</v>
      </c>
      <c r="B28" t="s">
        <v>79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1724</v>
      </c>
      <c r="B29" t="s">
        <v>130</v>
      </c>
      <c r="C29" t="s">
        <v>100</v>
      </c>
      <c r="D29" t="s">
        <v>33</v>
      </c>
      <c r="H29">
        <v>3200</v>
      </c>
      <c r="J29">
        <f t="shared" si="0"/>
        <v>3200</v>
      </c>
      <c r="L29">
        <f t="shared" si="1"/>
        <v>1.4285714285714286</v>
      </c>
    </row>
    <row r="30" spans="1:12" x14ac:dyDescent="0.25">
      <c r="A30">
        <v>1724</v>
      </c>
      <c r="B30" t="s">
        <v>44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1724</v>
      </c>
      <c r="B31" t="s">
        <v>97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1724</v>
      </c>
      <c r="B32" t="s">
        <v>12</v>
      </c>
      <c r="C32" t="s">
        <v>100</v>
      </c>
      <c r="D32" t="s">
        <v>33</v>
      </c>
      <c r="H32">
        <v>250</v>
      </c>
      <c r="J32">
        <f t="shared" si="0"/>
        <v>250</v>
      </c>
      <c r="L32">
        <f t="shared" si="1"/>
        <v>0.11160714285714286</v>
      </c>
    </row>
    <row r="33" spans="1:12" x14ac:dyDescent="0.25">
      <c r="A33">
        <v>1724</v>
      </c>
      <c r="B33" t="s">
        <v>117</v>
      </c>
      <c r="C33" t="s">
        <v>100</v>
      </c>
      <c r="D33" t="s">
        <v>33</v>
      </c>
      <c r="H33">
        <v>4000</v>
      </c>
      <c r="J33">
        <f t="shared" si="0"/>
        <v>4000</v>
      </c>
      <c r="L33">
        <f t="shared" si="1"/>
        <v>1.7857142857142858</v>
      </c>
    </row>
    <row r="34" spans="1:12" x14ac:dyDescent="0.25">
      <c r="A34">
        <v>1724</v>
      </c>
      <c r="B34" t="s">
        <v>34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1724</v>
      </c>
      <c r="B35" t="s">
        <v>13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1724</v>
      </c>
      <c r="B36" t="s">
        <v>14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1724</v>
      </c>
      <c r="B37" t="s">
        <v>23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1724</v>
      </c>
      <c r="B38" t="s">
        <v>27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1724</v>
      </c>
      <c r="B39" t="s">
        <v>15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1724</v>
      </c>
      <c r="B40" t="s">
        <v>42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1724</v>
      </c>
      <c r="B41" t="s">
        <v>83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1724</v>
      </c>
      <c r="B42" t="s">
        <v>47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1724</v>
      </c>
      <c r="B43" t="s">
        <v>16</v>
      </c>
      <c r="C43" t="s">
        <v>100</v>
      </c>
      <c r="D43" t="s">
        <v>33</v>
      </c>
      <c r="H43">
        <v>7200</v>
      </c>
      <c r="J43">
        <f t="shared" si="0"/>
        <v>7200</v>
      </c>
      <c r="L43">
        <f t="shared" si="1"/>
        <v>3.2142857142857144</v>
      </c>
    </row>
    <row r="44" spans="1:12" x14ac:dyDescent="0.25">
      <c r="A44">
        <v>1724</v>
      </c>
      <c r="B44" t="s">
        <v>17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1724</v>
      </c>
      <c r="B45" t="s">
        <v>18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1724</v>
      </c>
      <c r="B46" t="s">
        <v>26</v>
      </c>
      <c r="C46" t="s">
        <v>100</v>
      </c>
      <c r="D46" t="s">
        <v>33</v>
      </c>
      <c r="H46">
        <v>400</v>
      </c>
      <c r="J46">
        <f t="shared" si="0"/>
        <v>400</v>
      </c>
      <c r="L46">
        <f t="shared" si="1"/>
        <v>0.17857142857142858</v>
      </c>
    </row>
    <row r="47" spans="1:12" x14ac:dyDescent="0.25">
      <c r="A47">
        <v>1724</v>
      </c>
      <c r="B47" t="s">
        <v>84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1724</v>
      </c>
      <c r="B48" t="s">
        <v>19</v>
      </c>
      <c r="C48" t="s">
        <v>100</v>
      </c>
      <c r="D48" t="s">
        <v>33</v>
      </c>
      <c r="F48">
        <v>8</v>
      </c>
      <c r="J48">
        <f t="shared" si="0"/>
        <v>896</v>
      </c>
      <c r="L48">
        <f t="shared" si="1"/>
        <v>0.4</v>
      </c>
    </row>
    <row r="49" spans="1:12" x14ac:dyDescent="0.25">
      <c r="A49">
        <v>1724</v>
      </c>
      <c r="B49" t="s">
        <v>45</v>
      </c>
      <c r="C49" t="s">
        <v>100</v>
      </c>
      <c r="D49" t="s">
        <v>33</v>
      </c>
      <c r="H49">
        <v>3400</v>
      </c>
      <c r="J49">
        <f t="shared" si="0"/>
        <v>3400</v>
      </c>
      <c r="L49">
        <f t="shared" si="1"/>
        <v>1.5178571428571428</v>
      </c>
    </row>
    <row r="50" spans="1:12" x14ac:dyDescent="0.25">
      <c r="A50">
        <v>1724</v>
      </c>
      <c r="B50" t="s">
        <v>85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1724</v>
      </c>
      <c r="B51" t="s">
        <v>54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1724</v>
      </c>
      <c r="B52" t="s">
        <v>95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1724</v>
      </c>
      <c r="B53" t="s">
        <v>20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1724</v>
      </c>
      <c r="B54" t="s">
        <v>21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1724</v>
      </c>
      <c r="B55" t="s">
        <v>90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1724</v>
      </c>
      <c r="B56" t="s">
        <v>22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1724</v>
      </c>
      <c r="B57" t="s">
        <v>61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1724</v>
      </c>
      <c r="B58" t="s">
        <v>98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1724</v>
      </c>
      <c r="B59" t="s">
        <v>87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1724</v>
      </c>
      <c r="B60" t="s">
        <v>62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1724</v>
      </c>
      <c r="B61" t="s">
        <v>88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1724</v>
      </c>
      <c r="B62" t="s">
        <v>63</v>
      </c>
      <c r="C62" t="s">
        <v>100</v>
      </c>
      <c r="D62" t="s">
        <v>33</v>
      </c>
      <c r="E62">
        <v>105</v>
      </c>
      <c r="J62">
        <f t="shared" si="0"/>
        <v>235200</v>
      </c>
      <c r="L62">
        <f t="shared" si="1"/>
        <v>105</v>
      </c>
    </row>
    <row r="63" spans="1:12" x14ac:dyDescent="0.25">
      <c r="A63">
        <v>1724</v>
      </c>
      <c r="B63" t="s">
        <v>89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1724</v>
      </c>
      <c r="B64" t="s">
        <v>70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1724</v>
      </c>
      <c r="B65" t="s">
        <v>64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1724</v>
      </c>
      <c r="B66" t="s">
        <v>65</v>
      </c>
      <c r="C66" t="s">
        <v>100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1724</v>
      </c>
      <c r="B67" t="s">
        <v>55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1724</v>
      </c>
      <c r="B68" t="s">
        <v>57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1724</v>
      </c>
      <c r="B69" t="s">
        <v>36</v>
      </c>
      <c r="C69" t="s">
        <v>100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1724</v>
      </c>
      <c r="B70" t="s">
        <v>4</v>
      </c>
      <c r="C70" t="s">
        <v>100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1724</v>
      </c>
      <c r="B71" t="s">
        <v>58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1724</v>
      </c>
      <c r="B72" t="s">
        <v>69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1724</v>
      </c>
      <c r="B73" t="s">
        <v>43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1724</v>
      </c>
      <c r="B74" t="s">
        <v>76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1724</v>
      </c>
      <c r="B75" t="s">
        <v>5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1724</v>
      </c>
      <c r="B76" t="s">
        <v>59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1724</v>
      </c>
      <c r="B77" t="s">
        <v>6</v>
      </c>
      <c r="C77" t="s">
        <v>100</v>
      </c>
      <c r="D77" t="s">
        <v>35</v>
      </c>
      <c r="F77">
        <v>14</v>
      </c>
      <c r="G77">
        <v>3</v>
      </c>
      <c r="H77">
        <v>6</v>
      </c>
      <c r="J77">
        <f t="shared" si="2"/>
        <v>1658</v>
      </c>
      <c r="L77">
        <f t="shared" si="3"/>
        <v>0.74017857142857146</v>
      </c>
    </row>
    <row r="78" spans="1:12" x14ac:dyDescent="0.25">
      <c r="A78">
        <v>1724</v>
      </c>
      <c r="B78" t="s">
        <v>60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1724</v>
      </c>
      <c r="B79" t="s">
        <v>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1724</v>
      </c>
      <c r="B80" t="s">
        <v>37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1724</v>
      </c>
      <c r="B81" t="s">
        <v>8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1724</v>
      </c>
      <c r="B82" t="s">
        <v>40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1724</v>
      </c>
      <c r="B83" t="s">
        <v>77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1724</v>
      </c>
      <c r="B84" t="s">
        <v>78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1724</v>
      </c>
      <c r="B85" t="s">
        <v>46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1724</v>
      </c>
      <c r="B86" t="s">
        <v>9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1724</v>
      </c>
      <c r="B87" t="s">
        <v>10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1724</v>
      </c>
      <c r="B88" t="s">
        <v>11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1724</v>
      </c>
      <c r="B89" t="s">
        <v>39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1724</v>
      </c>
      <c r="B90" t="s">
        <v>79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1724</v>
      </c>
      <c r="B91" t="s">
        <v>103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1724</v>
      </c>
      <c r="B92" t="s">
        <v>44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1724</v>
      </c>
      <c r="B93" t="s">
        <v>97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1724</v>
      </c>
      <c r="B94" t="s">
        <v>12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1724</v>
      </c>
      <c r="B95" t="s">
        <v>82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1724</v>
      </c>
      <c r="B96" t="s">
        <v>34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1724</v>
      </c>
      <c r="B97" t="s">
        <v>13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1724</v>
      </c>
      <c r="B98" t="s">
        <v>14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1724</v>
      </c>
      <c r="B99" t="s">
        <v>23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1724</v>
      </c>
      <c r="B100" t="s">
        <v>27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1724</v>
      </c>
      <c r="B101" t="s">
        <v>15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1724</v>
      </c>
      <c r="B102" t="s">
        <v>93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1724</v>
      </c>
      <c r="B103" t="s">
        <v>42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1724</v>
      </c>
      <c r="B104" t="s">
        <v>83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1724</v>
      </c>
      <c r="B105" t="s">
        <v>47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1724</v>
      </c>
      <c r="B106" t="s">
        <v>16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1724</v>
      </c>
      <c r="B107" t="s">
        <v>17</v>
      </c>
      <c r="C107" t="s">
        <v>100</v>
      </c>
      <c r="D107" t="s">
        <v>35</v>
      </c>
      <c r="F107">
        <v>69</v>
      </c>
      <c r="G107">
        <v>1</v>
      </c>
      <c r="H107">
        <v>2</v>
      </c>
      <c r="J107">
        <f t="shared" si="2"/>
        <v>7758</v>
      </c>
      <c r="L107">
        <f t="shared" si="3"/>
        <v>3.4633928571428569</v>
      </c>
    </row>
    <row r="108" spans="1:12" x14ac:dyDescent="0.25">
      <c r="A108">
        <v>1724</v>
      </c>
      <c r="B108" t="s">
        <v>18</v>
      </c>
      <c r="C108" t="s">
        <v>100</v>
      </c>
      <c r="D108" t="s">
        <v>35</v>
      </c>
      <c r="H108">
        <v>5111.5</v>
      </c>
      <c r="I108" t="s">
        <v>126</v>
      </c>
      <c r="J108">
        <f t="shared" si="2"/>
        <v>5111.5</v>
      </c>
      <c r="L108">
        <f t="shared" si="3"/>
        <v>2.2819196428571429</v>
      </c>
    </row>
    <row r="109" spans="1:12" x14ac:dyDescent="0.25">
      <c r="A109">
        <v>1724</v>
      </c>
      <c r="B109" t="s">
        <v>26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1724</v>
      </c>
      <c r="B110" t="s">
        <v>84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1724</v>
      </c>
      <c r="B111" t="s">
        <v>19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1724</v>
      </c>
      <c r="B112" t="s">
        <v>45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1724</v>
      </c>
      <c r="B113" t="s">
        <v>85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1724</v>
      </c>
      <c r="B114" t="s">
        <v>54</v>
      </c>
      <c r="C114" t="s">
        <v>100</v>
      </c>
      <c r="D114" t="s">
        <v>35</v>
      </c>
      <c r="H114">
        <v>199</v>
      </c>
      <c r="J114">
        <f t="shared" si="2"/>
        <v>199</v>
      </c>
      <c r="L114">
        <f t="shared" si="3"/>
        <v>8.8839285714285718E-2</v>
      </c>
    </row>
    <row r="115" spans="1:12" x14ac:dyDescent="0.25">
      <c r="A115">
        <v>1724</v>
      </c>
      <c r="B115" t="s">
        <v>95</v>
      </c>
      <c r="C115" t="s">
        <v>100</v>
      </c>
      <c r="D115" t="s">
        <v>35</v>
      </c>
      <c r="H115">
        <v>150</v>
      </c>
      <c r="J115">
        <f t="shared" si="2"/>
        <v>150</v>
      </c>
      <c r="L115">
        <f t="shared" si="3"/>
        <v>6.6964285714285712E-2</v>
      </c>
    </row>
    <row r="116" spans="1:12" x14ac:dyDescent="0.25">
      <c r="A116">
        <v>1724</v>
      </c>
      <c r="B116" t="s">
        <v>20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1724</v>
      </c>
      <c r="B117" t="s">
        <v>21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1724</v>
      </c>
      <c r="B118" t="s">
        <v>22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1724</v>
      </c>
      <c r="B119" t="s">
        <v>61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1724</v>
      </c>
      <c r="B120" t="s">
        <v>91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1724</v>
      </c>
      <c r="B121" t="s">
        <v>98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1724</v>
      </c>
      <c r="B122" t="s">
        <v>87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1724</v>
      </c>
      <c r="B123" t="s">
        <v>62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1724</v>
      </c>
      <c r="B124" t="s">
        <v>88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1724</v>
      </c>
      <c r="B125" t="s">
        <v>63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1724</v>
      </c>
      <c r="B126" t="s">
        <v>89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1724</v>
      </c>
      <c r="B127" t="s">
        <v>70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1724</v>
      </c>
      <c r="B128" t="s">
        <v>64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1724</v>
      </c>
      <c r="B129" t="s">
        <v>65</v>
      </c>
      <c r="C129" t="s">
        <v>100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64D31A4A-3E16-4EA7-BAF3-AEB45273C2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543DFE-7522-4170-9A0C-7F0174CC6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22C26C-E035-4054-93D2-8587B92F5B15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cefc4363-6422-4cdd-96f6-49f865293ffe"/>
    <ds:schemaRef ds:uri="http://purl.org/dc/dcmitype/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