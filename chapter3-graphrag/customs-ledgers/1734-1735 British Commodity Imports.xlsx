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59" documentId="8_{108B2335-FF13-48A4-911B-8B0FB9C35CB8}" xr6:coauthVersionLast="47" xr6:coauthVersionMax="47" xr10:uidLastSave="{3F6C619E-1C0C-4701-A6B8-3E6C1C72F0AF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Barbados!$A$1:$N$55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8" l="1"/>
  <c r="H53" i="7"/>
  <c r="H18" i="7"/>
  <c r="H53" i="6"/>
  <c r="H19" i="6"/>
  <c r="H85" i="5"/>
  <c r="H19" i="3"/>
  <c r="H39" i="2"/>
  <c r="H10" i="2"/>
  <c r="J19" i="6"/>
  <c r="L19" i="6" s="1"/>
  <c r="H20" i="8"/>
  <c r="J61" i="8"/>
  <c r="L61" i="8" s="1"/>
  <c r="L61" i="6"/>
  <c r="J61" i="6"/>
  <c r="H22" i="5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9" i="3"/>
  <c r="L80" i="3"/>
  <c r="L81" i="3"/>
  <c r="L82" i="3"/>
  <c r="L83" i="3"/>
  <c r="L84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L19" i="3" s="1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L37" i="3" s="1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L78" i="3" s="1"/>
  <c r="J79" i="3"/>
  <c r="J80" i="3"/>
  <c r="J81" i="3"/>
  <c r="J82" i="3"/>
  <c r="J83" i="3"/>
  <c r="J84" i="3"/>
  <c r="J85" i="3"/>
  <c r="L85" i="3" s="1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63" i="2"/>
  <c r="L63" i="2" s="1"/>
  <c r="J36" i="8"/>
  <c r="L36" i="8" s="1"/>
  <c r="J24" i="8"/>
  <c r="L24" i="8" s="1"/>
  <c r="J25" i="8"/>
  <c r="L25" i="8" s="1"/>
  <c r="J17" i="8"/>
  <c r="L17" i="8" s="1"/>
  <c r="J18" i="8"/>
  <c r="L18" i="8" s="1"/>
  <c r="L43" i="5"/>
  <c r="J43" i="5"/>
  <c r="J41" i="5"/>
  <c r="L41" i="5" s="1"/>
  <c r="H30" i="5"/>
  <c r="L14" i="4"/>
  <c r="J14" i="4"/>
  <c r="J15" i="4"/>
  <c r="J10" i="4"/>
  <c r="L10" i="4" s="1"/>
  <c r="L17" i="2"/>
  <c r="L18" i="2"/>
  <c r="L19" i="2"/>
  <c r="L20" i="2"/>
  <c r="L21" i="2"/>
  <c r="L23" i="2"/>
  <c r="L25" i="2"/>
  <c r="L26" i="2"/>
  <c r="L27" i="2"/>
  <c r="L28" i="2"/>
  <c r="L29" i="2"/>
  <c r="L30" i="2"/>
  <c r="L31" i="2"/>
  <c r="J17" i="2"/>
  <c r="J18" i="2"/>
  <c r="J19" i="2"/>
  <c r="J20" i="2"/>
  <c r="J21" i="2"/>
  <c r="J22" i="2"/>
  <c r="L22" i="2" s="1"/>
  <c r="J23" i="2"/>
  <c r="J24" i="2"/>
  <c r="L24" i="2" s="1"/>
  <c r="J25" i="2"/>
  <c r="J26" i="2"/>
  <c r="J27" i="2"/>
  <c r="J28" i="2"/>
  <c r="J29" i="2"/>
  <c r="J30" i="2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3" i="2"/>
  <c r="L3" i="2" s="1"/>
  <c r="J4" i="2"/>
  <c r="L4" i="2" s="1"/>
  <c r="J5" i="2"/>
  <c r="L5" i="2" s="1"/>
  <c r="J6" i="2"/>
  <c r="L6" i="2" s="1"/>
  <c r="J7" i="2"/>
  <c r="L7" i="2" s="1"/>
  <c r="J31" i="2"/>
  <c r="J32" i="2"/>
  <c r="L32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L19" i="4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1" i="4"/>
  <c r="L11" i="4" s="1"/>
  <c r="J12" i="4"/>
  <c r="L12" i="4" s="1"/>
  <c r="J13" i="4"/>
  <c r="L13" i="4" s="1"/>
  <c r="L15" i="4"/>
  <c r="J16" i="4"/>
  <c r="L16" i="4" s="1"/>
  <c r="J17" i="4"/>
  <c r="L17" i="4" s="1"/>
  <c r="J18" i="4"/>
  <c r="L18" i="4" s="1"/>
  <c r="J19" i="4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L3" i="5"/>
  <c r="L4" i="5"/>
  <c r="L5" i="5"/>
  <c r="L35" i="5"/>
  <c r="L37" i="5"/>
  <c r="L38" i="5"/>
  <c r="L42" i="5"/>
  <c r="L69" i="5"/>
  <c r="L70" i="5"/>
  <c r="L71" i="5"/>
  <c r="L94" i="5"/>
  <c r="L95" i="5"/>
  <c r="L117" i="5"/>
  <c r="L118" i="5"/>
  <c r="L119" i="5"/>
  <c r="L120" i="5"/>
  <c r="L123" i="5"/>
  <c r="L124" i="5"/>
  <c r="J3" i="5"/>
  <c r="J4" i="5"/>
  <c r="J5" i="5"/>
  <c r="J6" i="5"/>
  <c r="L6" i="5" s="1"/>
  <c r="J7" i="5"/>
  <c r="L7" i="5" s="1"/>
  <c r="J8" i="5"/>
  <c r="L8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J36" i="5"/>
  <c r="L36" i="5" s="1"/>
  <c r="J37" i="5"/>
  <c r="J38" i="5"/>
  <c r="J39" i="5"/>
  <c r="L39" i="5" s="1"/>
  <c r="J40" i="5"/>
  <c r="L40" i="5" s="1"/>
  <c r="J42" i="5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J70" i="5"/>
  <c r="J71" i="5"/>
  <c r="J72" i="5"/>
  <c r="L72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J95" i="5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J118" i="5"/>
  <c r="J119" i="5"/>
  <c r="J120" i="5"/>
  <c r="J121" i="5"/>
  <c r="L121" i="5" s="1"/>
  <c r="J122" i="5"/>
  <c r="L122" i="5" s="1"/>
  <c r="J123" i="5"/>
  <c r="J124" i="5"/>
  <c r="J125" i="5"/>
  <c r="L125" i="5" s="1"/>
  <c r="J126" i="5"/>
  <c r="L126" i="5" s="1"/>
  <c r="J127" i="5"/>
  <c r="L127" i="5" s="1"/>
  <c r="J128" i="5"/>
  <c r="L128" i="5" s="1"/>
  <c r="L5" i="6"/>
  <c r="L6" i="6"/>
  <c r="L7" i="6"/>
  <c r="L8" i="6"/>
  <c r="L9" i="6"/>
  <c r="L10" i="6"/>
  <c r="L12" i="6"/>
  <c r="L13" i="6"/>
  <c r="L21" i="6"/>
  <c r="L28" i="6"/>
  <c r="L38" i="6"/>
  <c r="L45" i="6"/>
  <c r="L59" i="6"/>
  <c r="J3" i="6"/>
  <c r="L3" i="6" s="1"/>
  <c r="J4" i="6"/>
  <c r="L4" i="6" s="1"/>
  <c r="J5" i="6"/>
  <c r="J6" i="6"/>
  <c r="J7" i="6"/>
  <c r="J8" i="6"/>
  <c r="J9" i="6"/>
  <c r="J10" i="6"/>
  <c r="J11" i="6"/>
  <c r="L11" i="6" s="1"/>
  <c r="J12" i="6"/>
  <c r="J13" i="6"/>
  <c r="J14" i="6"/>
  <c r="L14" i="6" s="1"/>
  <c r="J15" i="6"/>
  <c r="L15" i="6" s="1"/>
  <c r="J16" i="6"/>
  <c r="L16" i="6" s="1"/>
  <c r="J17" i="6"/>
  <c r="L17" i="6" s="1"/>
  <c r="J18" i="6"/>
  <c r="L18" i="6" s="1"/>
  <c r="J20" i="6"/>
  <c r="L20" i="6" s="1"/>
  <c r="J21" i="6"/>
  <c r="J22" i="6"/>
  <c r="L22" i="6" s="1"/>
  <c r="J23" i="6"/>
  <c r="L23" i="6" s="1"/>
  <c r="J24" i="6"/>
  <c r="L24" i="6" s="1"/>
  <c r="J25" i="6"/>
  <c r="L25" i="6" s="1"/>
  <c r="J26" i="6"/>
  <c r="L26" i="6" s="1"/>
  <c r="J27" i="6"/>
  <c r="L27" i="6" s="1"/>
  <c r="J28" i="6"/>
  <c r="J29" i="6"/>
  <c r="L29" i="6" s="1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J36" i="6"/>
  <c r="L36" i="6" s="1"/>
  <c r="J37" i="6"/>
  <c r="L37" i="6" s="1"/>
  <c r="J38" i="6"/>
  <c r="J39" i="6"/>
  <c r="L39" i="6" s="1"/>
  <c r="J40" i="6"/>
  <c r="L40" i="6" s="1"/>
  <c r="J41" i="6"/>
  <c r="L41" i="6" s="1"/>
  <c r="J42" i="6"/>
  <c r="L42" i="6" s="1"/>
  <c r="J43" i="6"/>
  <c r="L43" i="6" s="1"/>
  <c r="J44" i="6"/>
  <c r="L44" i="6" s="1"/>
  <c r="J45" i="6"/>
  <c r="J46" i="6"/>
  <c r="L46" i="6" s="1"/>
  <c r="J47" i="6"/>
  <c r="L47" i="6" s="1"/>
  <c r="J48" i="6"/>
  <c r="L48" i="6" s="1"/>
  <c r="J49" i="6"/>
  <c r="L49" i="6" s="1"/>
  <c r="J50" i="6"/>
  <c r="L50" i="6" s="1"/>
  <c r="J51" i="6"/>
  <c r="L51" i="6" s="1"/>
  <c r="J52" i="6"/>
  <c r="L52" i="6" s="1"/>
  <c r="J53" i="6"/>
  <c r="L53" i="6" s="1"/>
  <c r="J54" i="6"/>
  <c r="L54" i="6" s="1"/>
  <c r="J55" i="6"/>
  <c r="L55" i="6" s="1"/>
  <c r="J56" i="6"/>
  <c r="L56" i="6" s="1"/>
  <c r="J57" i="6"/>
  <c r="L57" i="6" s="1"/>
  <c r="J58" i="6"/>
  <c r="L58" i="6" s="1"/>
  <c r="J59" i="6"/>
  <c r="J60" i="6"/>
  <c r="L60" i="6" s="1"/>
  <c r="J62" i="6"/>
  <c r="L62" i="6" s="1"/>
  <c r="J63" i="6"/>
  <c r="L63" i="6" s="1"/>
  <c r="J64" i="6"/>
  <c r="L64" i="6" s="1"/>
  <c r="J65" i="6"/>
  <c r="L65" i="6" s="1"/>
  <c r="J66" i="6"/>
  <c r="L66" i="6" s="1"/>
  <c r="J67" i="6"/>
  <c r="L67" i="6" s="1"/>
  <c r="J68" i="6"/>
  <c r="L68" i="6" s="1"/>
  <c r="J69" i="6"/>
  <c r="L69" i="6" s="1"/>
  <c r="L3" i="7"/>
  <c r="L4" i="7"/>
  <c r="L5" i="7"/>
  <c r="L6" i="7"/>
  <c r="L7" i="7"/>
  <c r="L8" i="7"/>
  <c r="L9" i="7"/>
  <c r="L10" i="7"/>
  <c r="L12" i="7"/>
  <c r="L13" i="7"/>
  <c r="L14" i="7"/>
  <c r="L16" i="7"/>
  <c r="L17" i="7"/>
  <c r="L19" i="7"/>
  <c r="L20" i="7"/>
  <c r="L21" i="7"/>
  <c r="L22" i="7"/>
  <c r="L23" i="7"/>
  <c r="L24" i="7"/>
  <c r="L25" i="7"/>
  <c r="L26" i="7"/>
  <c r="L27" i="7"/>
  <c r="L28" i="7"/>
  <c r="L30" i="7"/>
  <c r="L32" i="7"/>
  <c r="L33" i="7"/>
  <c r="L35" i="7"/>
  <c r="L36" i="7"/>
  <c r="L37" i="7"/>
  <c r="L39" i="7"/>
  <c r="L40" i="7"/>
  <c r="L41" i="7"/>
  <c r="L42" i="7"/>
  <c r="L43" i="7"/>
  <c r="L45" i="7"/>
  <c r="L46" i="7"/>
  <c r="L47" i="7"/>
  <c r="L48" i="7"/>
  <c r="L49" i="7"/>
  <c r="L51" i="7"/>
  <c r="L52" i="7"/>
  <c r="L54" i="7"/>
  <c r="L56" i="7"/>
  <c r="L58" i="7"/>
  <c r="L59" i="7"/>
  <c r="L60" i="7"/>
  <c r="L61" i="7"/>
  <c r="L63" i="7"/>
  <c r="L64" i="7"/>
  <c r="L65" i="7"/>
  <c r="L66" i="7"/>
  <c r="L67" i="7"/>
  <c r="L68" i="7"/>
  <c r="J3" i="7"/>
  <c r="J4" i="7"/>
  <c r="J5" i="7"/>
  <c r="J6" i="7"/>
  <c r="J7" i="7"/>
  <c r="J8" i="7"/>
  <c r="J9" i="7"/>
  <c r="J10" i="7"/>
  <c r="J11" i="7"/>
  <c r="L11" i="7" s="1"/>
  <c r="J12" i="7"/>
  <c r="J13" i="7"/>
  <c r="J14" i="7"/>
  <c r="J15" i="7"/>
  <c r="L15" i="7" s="1"/>
  <c r="J16" i="7"/>
  <c r="J17" i="7"/>
  <c r="J18" i="7"/>
  <c r="L18" i="7" s="1"/>
  <c r="J19" i="7"/>
  <c r="J20" i="7"/>
  <c r="J21" i="7"/>
  <c r="J22" i="7"/>
  <c r="J23" i="7"/>
  <c r="J24" i="7"/>
  <c r="J25" i="7"/>
  <c r="J26" i="7"/>
  <c r="J27" i="7"/>
  <c r="J28" i="7"/>
  <c r="J29" i="7"/>
  <c r="L29" i="7" s="1"/>
  <c r="J30" i="7"/>
  <c r="J31" i="7"/>
  <c r="L31" i="7" s="1"/>
  <c r="J32" i="7"/>
  <c r="J33" i="7"/>
  <c r="J34" i="7"/>
  <c r="L34" i="7" s="1"/>
  <c r="J35" i="7"/>
  <c r="J36" i="7"/>
  <c r="J37" i="7"/>
  <c r="J38" i="7"/>
  <c r="L38" i="7" s="1"/>
  <c r="J39" i="7"/>
  <c r="J40" i="7"/>
  <c r="J41" i="7"/>
  <c r="J42" i="7"/>
  <c r="J43" i="7"/>
  <c r="J44" i="7"/>
  <c r="L44" i="7" s="1"/>
  <c r="J45" i="7"/>
  <c r="J46" i="7"/>
  <c r="J47" i="7"/>
  <c r="J48" i="7"/>
  <c r="J49" i="7"/>
  <c r="J50" i="7"/>
  <c r="L50" i="7" s="1"/>
  <c r="J51" i="7"/>
  <c r="J52" i="7"/>
  <c r="J53" i="7"/>
  <c r="L53" i="7" s="1"/>
  <c r="J54" i="7"/>
  <c r="J55" i="7"/>
  <c r="L55" i="7" s="1"/>
  <c r="J56" i="7"/>
  <c r="J57" i="7"/>
  <c r="L57" i="7" s="1"/>
  <c r="J58" i="7"/>
  <c r="J59" i="7"/>
  <c r="J60" i="7"/>
  <c r="J61" i="7"/>
  <c r="J62" i="7"/>
  <c r="L62" i="7" s="1"/>
  <c r="J63" i="7"/>
  <c r="J64" i="7"/>
  <c r="J65" i="7"/>
  <c r="J66" i="7"/>
  <c r="J67" i="7"/>
  <c r="J68" i="7"/>
  <c r="J3" i="8"/>
  <c r="L3" i="8" s="1"/>
  <c r="J4" i="8"/>
  <c r="L4" i="8" s="1"/>
  <c r="J5" i="8"/>
  <c r="L5" i="8" s="1"/>
  <c r="J6" i="8"/>
  <c r="L6" i="8" s="1"/>
  <c r="J7" i="8"/>
  <c r="L7" i="8" s="1"/>
  <c r="J8" i="8"/>
  <c r="L8" i="8" s="1"/>
  <c r="J9" i="8"/>
  <c r="L9" i="8" s="1"/>
  <c r="J10" i="8"/>
  <c r="L10" i="8" s="1"/>
  <c r="J11" i="8"/>
  <c r="L11" i="8" s="1"/>
  <c r="J12" i="8"/>
  <c r="L12" i="8" s="1"/>
  <c r="J13" i="8"/>
  <c r="L13" i="8" s="1"/>
  <c r="J14" i="8"/>
  <c r="L14" i="8" s="1"/>
  <c r="J15" i="8"/>
  <c r="L15" i="8" s="1"/>
  <c r="J16" i="8"/>
  <c r="L16" i="8" s="1"/>
  <c r="J19" i="8"/>
  <c r="L19" i="8" s="1"/>
  <c r="J20" i="8"/>
  <c r="L20" i="8" s="1"/>
  <c r="J21" i="8"/>
  <c r="L21" i="8" s="1"/>
  <c r="J22" i="8"/>
  <c r="L22" i="8" s="1"/>
  <c r="J23" i="8"/>
  <c r="L23" i="8" s="1"/>
  <c r="J26" i="8"/>
  <c r="L26" i="8" s="1"/>
  <c r="J27" i="8"/>
  <c r="L27" i="8" s="1"/>
  <c r="J28" i="8"/>
  <c r="L28" i="8" s="1"/>
  <c r="J29" i="8"/>
  <c r="L29" i="8" s="1"/>
  <c r="J30" i="8"/>
  <c r="L30" i="8" s="1"/>
  <c r="J31" i="8"/>
  <c r="L31" i="8" s="1"/>
  <c r="J32" i="8"/>
  <c r="L32" i="8" s="1"/>
  <c r="J33" i="8"/>
  <c r="L33" i="8" s="1"/>
  <c r="J34" i="8"/>
  <c r="L34" i="8" s="1"/>
  <c r="J35" i="8"/>
  <c r="L35" i="8" s="1"/>
  <c r="J37" i="8"/>
  <c r="L37" i="8" s="1"/>
  <c r="J38" i="8"/>
  <c r="L38" i="8" s="1"/>
  <c r="J39" i="8"/>
  <c r="L39" i="8" s="1"/>
  <c r="J40" i="8"/>
  <c r="L40" i="8" s="1"/>
  <c r="J41" i="8"/>
  <c r="L41" i="8" s="1"/>
  <c r="J42" i="8"/>
  <c r="L42" i="8" s="1"/>
  <c r="J43" i="8"/>
  <c r="L43" i="8" s="1"/>
  <c r="J44" i="8"/>
  <c r="L44" i="8" s="1"/>
  <c r="J45" i="8"/>
  <c r="L45" i="8" s="1"/>
  <c r="J46" i="8"/>
  <c r="L46" i="8" s="1"/>
  <c r="J47" i="8"/>
  <c r="L47" i="8" s="1"/>
  <c r="J48" i="8"/>
  <c r="L48" i="8" s="1"/>
  <c r="J49" i="8"/>
  <c r="L49" i="8" s="1"/>
  <c r="J50" i="8"/>
  <c r="L50" i="8" s="1"/>
  <c r="J51" i="8"/>
  <c r="L51" i="8" s="1"/>
  <c r="J52" i="8"/>
  <c r="L52" i="8" s="1"/>
  <c r="J53" i="8"/>
  <c r="L53" i="8" s="1"/>
  <c r="J54" i="8"/>
  <c r="L54" i="8" s="1"/>
  <c r="J55" i="8"/>
  <c r="L55" i="8" s="1"/>
  <c r="J56" i="8"/>
  <c r="L56" i="8" s="1"/>
  <c r="J57" i="8"/>
  <c r="L57" i="8" s="1"/>
  <c r="J58" i="8"/>
  <c r="L58" i="8" s="1"/>
  <c r="J59" i="8"/>
  <c r="L59" i="8" s="1"/>
  <c r="J60" i="8"/>
  <c r="L60" i="8" s="1"/>
  <c r="J62" i="8"/>
  <c r="L62" i="8" s="1"/>
  <c r="J63" i="8"/>
  <c r="L63" i="8" s="1"/>
  <c r="J64" i="8"/>
  <c r="L64" i="8" s="1"/>
  <c r="J65" i="8"/>
  <c r="L65" i="8" s="1"/>
  <c r="J66" i="8"/>
  <c r="L66" i="8" s="1"/>
  <c r="J67" i="8"/>
  <c r="L67" i="8" s="1"/>
  <c r="J68" i="8"/>
  <c r="L68" i="8" s="1"/>
  <c r="J69" i="8"/>
  <c r="L69" i="8" s="1"/>
  <c r="J70" i="8"/>
  <c r="L70" i="8" s="1"/>
  <c r="J71" i="8"/>
  <c r="L71" i="8" s="1"/>
  <c r="J72" i="8"/>
  <c r="L72" i="8" s="1"/>
  <c r="J73" i="8"/>
  <c r="L73" i="8" s="1"/>
  <c r="J74" i="8"/>
  <c r="L74" i="8" s="1"/>
  <c r="J75" i="8"/>
  <c r="L75" i="8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19" i="1" l="1"/>
  <c r="D21" i="1"/>
  <c r="D12" i="1"/>
  <c r="D20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<sst xmlns="http://schemas.openxmlformats.org/spreadsheetml/2006/main" count="2202" uniqueCount="155">
  <si>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</si>
  <si>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</si>
  <si>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</si>
  <si>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</si>
  <si>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</si>
  <si>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</si>
  <si>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</si>
  <si>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</si>
  <si>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</si>
  <si>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</si>
  <si>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</si>
  <si>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</si>
  <si>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</si>
  <si>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</si>
  <si>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</si>
  <si>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</si>
  <si>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</si>
  <si>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</si>
  <si>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</si>
  <si>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</si>
  <si>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</si>
  <si>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</si>
  <si>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</si>
  <si>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</si>
  <si>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</si>
  <si>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</si>
  <si>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</si>
  <si>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</si>
  <si>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</si>
  <si>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</si>
  <si>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</si>
  <si>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</si>
  <si>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</si>
  <si>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</si>
  <si>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</si>
  <si>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</si>
  <si>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</si>
  <si>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</si>
  <si>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</si>
  <si>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</si>
  <si>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</si>
  <si>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</si>
  <si>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</si>
  <si>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</si>
  <si>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</si>
  <si>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</si>
  <si>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</si>
  <si>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</si>
  <si>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</si>
  <si>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</si>
  <si>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</si>
  <si>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</si>
  <si>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</si>
  <si>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</si>
  <si>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</si>
  <si>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</si>
  <si>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</si>
  <si>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</si>
  <si>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</si>
  <si>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</si>
  <si>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</si>
  <si>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</si>
  <si>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</si>
  <si>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</si>
  <si>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</si>
  <si>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</si>
  <si>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</si>
  <si>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</si>
  <si>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</si>
  <si>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</si>
  <si>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</si>
  <si>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</si>
  <si>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</si>
  <si>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</si>
  <si>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</si>
  <si>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</si>
  <si>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</si>
  <si>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</si>
  <si>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</si>
  <si>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</si>
  <si>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</si>
  <si>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</si>
  <si>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</si>
  <si>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</si>
  <si>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</si>
  <si>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</si>
  <si>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</si>
  <si>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</si>
  <si>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</si>
  <si>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</si>
  <si>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</si>
  <si>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</si>
  <si>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</si>
  <si>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</si>
  <si>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</si>
  <si>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</si>
  <si>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</si>
  <si>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</si>
  <si>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</si>
  <si>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</si>
  <si>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</si>
  <si>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</si>
  <si>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</si>
  <si>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</si>
  <si>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</si>
  <si>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</si>
  <si>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15g</t>
  </si>
  <si>
    <t>15502.5g</t>
  </si>
  <si>
    <t>141t 1h 12g</t>
  </si>
  <si>
    <t>28t 2h 55g</t>
  </si>
  <si>
    <t>445bags</t>
  </si>
  <si>
    <t>222g</t>
  </si>
  <si>
    <t>17712.5g</t>
  </si>
  <si>
    <t>114t 2h 13g</t>
  </si>
  <si>
    <t>3h 9g</t>
  </si>
  <si>
    <t>939bags</t>
  </si>
  <si>
    <t>60g</t>
  </si>
  <si>
    <t>Pig Iron</t>
  </si>
  <si>
    <t>9142g</t>
  </si>
  <si>
    <t>114g</t>
  </si>
  <si>
    <t>209731.5g</t>
  </si>
  <si>
    <t>64t 1h 26g</t>
  </si>
  <si>
    <t>1t 25g</t>
  </si>
  <si>
    <t>And 17582 feet</t>
  </si>
  <si>
    <t>2g</t>
  </si>
  <si>
    <t>5600g</t>
  </si>
  <si>
    <t>1h 46g</t>
  </si>
  <si>
    <t>58bags</t>
  </si>
  <si>
    <t>4g</t>
  </si>
  <si>
    <t>327g</t>
  </si>
  <si>
    <t>2t 2h 29g</t>
  </si>
  <si>
    <t>70bags</t>
  </si>
  <si>
    <t>Gum Guiaci</t>
  </si>
  <si>
    <t>10g</t>
  </si>
  <si>
    <t>6325g</t>
  </si>
  <si>
    <t>53t 2h 61g</t>
  </si>
  <si>
    <t>12t 1h 26g</t>
  </si>
  <si>
    <t>2451g</t>
  </si>
  <si>
    <t>10t 2h 28g</t>
  </si>
  <si>
    <t>1759bags</t>
  </si>
  <si>
    <t>48g</t>
  </si>
  <si>
    <t>6999g</t>
  </si>
  <si>
    <t>13t 2h 21g</t>
  </si>
  <si>
    <t>2481g</t>
  </si>
  <si>
    <t>43484g</t>
  </si>
  <si>
    <t>13t 2h 7g</t>
  </si>
  <si>
    <t>1847bags</t>
  </si>
  <si>
    <t>115g</t>
  </si>
  <si>
    <t>4894g</t>
  </si>
  <si>
    <t>370bags</t>
  </si>
  <si>
    <t>20g</t>
  </si>
  <si>
    <t>133bags</t>
  </si>
  <si>
    <t>6354.5g</t>
  </si>
  <si>
    <t>2t 2h 40g</t>
  </si>
  <si>
    <t>585bags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</si>
</sst>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0.17857142857142858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0.17857142857142858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0.640625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0.640625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33616.270982142858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10648.370535714286</v>
      </c>
      <c r="D4">
        <f t="shared" si="0"/>
        <v>44264.641517857148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47.616964285714289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2.7294642857142861</v>
      </c>
      <c r="D6">
        <f t="shared" si="0"/>
        <v>50.346428571428575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246.03482142857143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419.10714285714278</v>
      </c>
      <c r="D7">
        <f t="shared" si="0"/>
        <v>665.14196428571427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1639.3379464285713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539.21919642857142</v>
      </c>
      <c r="D8">
        <f t="shared" si="0"/>
        <v>2178.5571428571429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32.537053571428572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20.84375</v>
      </c>
      <c r="D9">
        <f t="shared" si="0"/>
        <v>53.380803571428572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47.15089285714285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12.453571428571427</v>
      </c>
      <c r="D10">
        <f t="shared" si="0"/>
        <v>59.604464285714279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159.41249999999999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44.408928571428575</v>
      </c>
      <c r="D11">
        <f t="shared" si="0"/>
        <v>203.82142857142856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41.813839285714288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11.80625</v>
      </c>
      <c r="D12">
        <f t="shared" si="0"/>
        <v>53.620089285714286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0.76249999999999996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0.75</v>
      </c>
      <c r="D13">
        <f t="shared" si="0"/>
        <v>1.5125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62.697767857142857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43.541517857142857</v>
      </c>
      <c r="D14">
        <f t="shared" si="0"/>
        <v>106.23928571428571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0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10.944642857142858</v>
      </c>
      <c r="D15">
        <f t="shared" si="0"/>
        <v>10.944642857142858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1139.839732142857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235.12232142857144</v>
      </c>
      <c r="D16">
        <f t="shared" si="0"/>
        <v>1374.9620535714284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0.05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2.65</v>
      </c>
      <c r="D17">
        <f t="shared" si="0"/>
        <v>2.6999999999999997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3.1656249999999995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0.15312500000000001</v>
      </c>
      <c r="D18">
        <f t="shared" si="0"/>
        <v>3.3187499999999996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0.21919642857142857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1.2500000000000001E-2</v>
      </c>
      <c r="D19">
        <f t="shared" si="0"/>
        <v>0.23169642857142858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1.9986607142857142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0.37991071428571427</v>
      </c>
      <c r="D20">
        <f t="shared" si="0"/>
        <v>2.3785714285714286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34.712499999999999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2.0089285714285716E-2</v>
      </c>
      <c r="D25">
        <f t="shared" si="0"/>
        <v>34.732589285714283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424.22500000000002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45.440625000000004</v>
      </c>
      <c r="D26">
        <f t="shared" si="0"/>
        <v>469.66562500000003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30.562946428571429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30.562946428571429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531.20044642857147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170.57991071428575</v>
      </c>
      <c r="D28">
        <f t="shared" si="0"/>
        <v>701.78035714285716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556.84375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222.48794642857143</v>
      </c>
      <c r="D29">
        <f t="shared" si="0"/>
        <v>779.33169642857138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64.150000000000006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8.3000000000000007</v>
      </c>
      <c r="D30">
        <f t="shared" si="0"/>
        <v>72.45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3"/>
  <sheetViews>
    <sheetView topLeftCell="A6" workbookViewId="0">
      <selection activeCell="H40" sqref="H40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1735</v>
      </c>
      <c r="B2" t="s">
        <v>38</v>
      </c>
      <c r="C2" t="s">
        <v>55</v>
      </c>
      <c r="D2" t="s">
        <v>33</v>
      </c>
      <c r="J2">
        <f t="shared" ref="J2:J63" si="0">(E2*2240)+(F2*112)+(G2*28)+H2</f>
        <v>0</v>
      </c>
      <c r="L2">
        <f t="shared" ref="L2:L63" si="1">J2/2240</f>
        <v>0</v>
      </c>
    </row>
    <row r="3" spans="1:15" x14ac:dyDescent="0.25">
      <c r="A3">
        <v>1735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1735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1735</v>
      </c>
      <c r="B5" t="s">
        <v>6</v>
      </c>
      <c r="C5" t="s">
        <v>55</v>
      </c>
      <c r="D5" t="s">
        <v>33</v>
      </c>
      <c r="F5">
        <v>147162</v>
      </c>
      <c r="G5">
        <v>2</v>
      </c>
      <c r="H5">
        <v>4</v>
      </c>
      <c r="J5">
        <f t="shared" si="0"/>
        <v>16482204</v>
      </c>
      <c r="L5">
        <f t="shared" si="1"/>
        <v>7358.1267857142857</v>
      </c>
    </row>
    <row r="6" spans="1:15" x14ac:dyDescent="0.25">
      <c r="A6">
        <v>1735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1735</v>
      </c>
      <c r="B7" t="s">
        <v>8</v>
      </c>
      <c r="C7" t="s">
        <v>55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1735</v>
      </c>
      <c r="B8" t="s">
        <v>80</v>
      </c>
      <c r="C8" t="s">
        <v>55</v>
      </c>
      <c r="D8" t="s">
        <v>33</v>
      </c>
      <c r="F8">
        <v>8</v>
      </c>
      <c r="G8">
        <v>3</v>
      </c>
      <c r="J8">
        <f t="shared" si="0"/>
        <v>980</v>
      </c>
      <c r="L8">
        <f t="shared" si="1"/>
        <v>0.4375</v>
      </c>
    </row>
    <row r="9" spans="1:15" x14ac:dyDescent="0.25">
      <c r="A9">
        <v>1735</v>
      </c>
      <c r="B9" t="s">
        <v>48</v>
      </c>
      <c r="C9" t="s">
        <v>55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1735</v>
      </c>
      <c r="B10" t="s">
        <v>9</v>
      </c>
      <c r="C10" t="s">
        <v>55</v>
      </c>
      <c r="D10" t="s">
        <v>33</v>
      </c>
      <c r="F10">
        <v>31</v>
      </c>
      <c r="H10">
        <f>200*445</f>
        <v>89000</v>
      </c>
      <c r="I10" t="s">
        <v>110</v>
      </c>
      <c r="J10">
        <f t="shared" si="0"/>
        <v>92472</v>
      </c>
      <c r="L10">
        <f t="shared" si="1"/>
        <v>41.282142857142858</v>
      </c>
    </row>
    <row r="11" spans="1:15" x14ac:dyDescent="0.25">
      <c r="A11">
        <v>1735</v>
      </c>
      <c r="B11" t="s">
        <v>10</v>
      </c>
      <c r="C11" t="s">
        <v>55</v>
      </c>
      <c r="D11" t="s">
        <v>33</v>
      </c>
      <c r="F11">
        <v>2973</v>
      </c>
      <c r="H11">
        <v>26</v>
      </c>
      <c r="J11">
        <f t="shared" si="0"/>
        <v>333002</v>
      </c>
      <c r="L11">
        <f t="shared" si="1"/>
        <v>148.66160714285715</v>
      </c>
    </row>
    <row r="12" spans="1:15" x14ac:dyDescent="0.25">
      <c r="A12">
        <v>1735</v>
      </c>
      <c r="B12" t="s">
        <v>11</v>
      </c>
      <c r="C12" t="s">
        <v>55</v>
      </c>
      <c r="D12" t="s">
        <v>33</v>
      </c>
      <c r="F12">
        <v>93</v>
      </c>
      <c r="H12">
        <v>15</v>
      </c>
      <c r="J12">
        <f t="shared" si="0"/>
        <v>10431</v>
      </c>
      <c r="L12">
        <f t="shared" si="1"/>
        <v>4.6566964285714283</v>
      </c>
    </row>
    <row r="13" spans="1:15" x14ac:dyDescent="0.25">
      <c r="A13">
        <v>1735</v>
      </c>
      <c r="B13" t="s">
        <v>41</v>
      </c>
      <c r="C13" t="s">
        <v>55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1735</v>
      </c>
      <c r="B14" t="s">
        <v>82</v>
      </c>
      <c r="C14" t="s">
        <v>55</v>
      </c>
      <c r="D14" t="s">
        <v>33</v>
      </c>
      <c r="F14">
        <v>60</v>
      </c>
      <c r="G14">
        <v>1</v>
      </c>
      <c r="H14">
        <v>17</v>
      </c>
      <c r="J14">
        <f t="shared" si="0"/>
        <v>6765</v>
      </c>
      <c r="L14">
        <f t="shared" si="1"/>
        <v>3.0200892857142856</v>
      </c>
    </row>
    <row r="15" spans="1:15" x14ac:dyDescent="0.25">
      <c r="A15">
        <v>1735</v>
      </c>
      <c r="B15" t="s">
        <v>12</v>
      </c>
      <c r="C15" t="s">
        <v>55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1735</v>
      </c>
      <c r="B16" t="s">
        <v>34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1735</v>
      </c>
      <c r="B17" t="s">
        <v>13</v>
      </c>
      <c r="C17" t="s">
        <v>55</v>
      </c>
      <c r="D17" t="s">
        <v>33</v>
      </c>
      <c r="E17">
        <v>10</v>
      </c>
      <c r="F17">
        <v>13</v>
      </c>
      <c r="G17">
        <v>1</v>
      </c>
      <c r="J17">
        <f t="shared" si="0"/>
        <v>23884</v>
      </c>
      <c r="L17">
        <f t="shared" si="1"/>
        <v>10.6625</v>
      </c>
    </row>
    <row r="18" spans="1:12" x14ac:dyDescent="0.25">
      <c r="A18">
        <v>1735</v>
      </c>
      <c r="B18" t="s">
        <v>14</v>
      </c>
      <c r="C18" t="s">
        <v>55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1735</v>
      </c>
      <c r="B19" t="s">
        <v>27</v>
      </c>
      <c r="C19" t="s">
        <v>55</v>
      </c>
      <c r="D19" t="s">
        <v>33</v>
      </c>
      <c r="H19">
        <v>356161</v>
      </c>
      <c r="I19" t="s">
        <v>108</v>
      </c>
      <c r="J19">
        <f t="shared" si="0"/>
        <v>356161</v>
      </c>
      <c r="L19">
        <f t="shared" si="1"/>
        <v>159.00044642857142</v>
      </c>
    </row>
    <row r="20" spans="1:12" x14ac:dyDescent="0.25">
      <c r="A20">
        <v>1735</v>
      </c>
      <c r="B20" t="s">
        <v>15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1735</v>
      </c>
      <c r="B21" t="s">
        <v>49</v>
      </c>
      <c r="C21" t="s">
        <v>55</v>
      </c>
      <c r="D21" t="s">
        <v>33</v>
      </c>
      <c r="H21">
        <v>150</v>
      </c>
      <c r="I21" t="s">
        <v>106</v>
      </c>
      <c r="J21">
        <f t="shared" si="0"/>
        <v>150</v>
      </c>
      <c r="L21">
        <f t="shared" si="1"/>
        <v>6.6964285714285712E-2</v>
      </c>
    </row>
    <row r="22" spans="1:12" x14ac:dyDescent="0.25">
      <c r="A22">
        <v>1735</v>
      </c>
      <c r="B22" t="s">
        <v>100</v>
      </c>
      <c r="C22" t="s">
        <v>55</v>
      </c>
      <c r="D22" t="s">
        <v>33</v>
      </c>
      <c r="H22">
        <v>72389</v>
      </c>
      <c r="I22" t="s">
        <v>109</v>
      </c>
      <c r="J22">
        <f t="shared" si="0"/>
        <v>72389</v>
      </c>
      <c r="L22">
        <f t="shared" si="1"/>
        <v>32.316517857142856</v>
      </c>
    </row>
    <row r="23" spans="1:12" x14ac:dyDescent="0.25">
      <c r="A23">
        <v>1735</v>
      </c>
      <c r="B23" t="s">
        <v>17</v>
      </c>
      <c r="C23" t="s">
        <v>55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1735</v>
      </c>
      <c r="B24" t="s">
        <v>18</v>
      </c>
      <c r="C24" t="s">
        <v>55</v>
      </c>
      <c r="D24" t="s">
        <v>33</v>
      </c>
      <c r="H24">
        <v>155065</v>
      </c>
      <c r="I24" t="s">
        <v>107</v>
      </c>
      <c r="J24">
        <f t="shared" si="0"/>
        <v>155065</v>
      </c>
      <c r="L24">
        <f t="shared" si="1"/>
        <v>69.225446428571431</v>
      </c>
    </row>
    <row r="25" spans="1:12" x14ac:dyDescent="0.25">
      <c r="A25">
        <v>1735</v>
      </c>
      <c r="B25" t="s">
        <v>19</v>
      </c>
      <c r="C25" t="s">
        <v>55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1735</v>
      </c>
      <c r="B26" t="s">
        <v>56</v>
      </c>
      <c r="C26" t="s">
        <v>55</v>
      </c>
      <c r="D26" t="s">
        <v>33</v>
      </c>
      <c r="H26">
        <v>757</v>
      </c>
      <c r="J26">
        <f t="shared" si="0"/>
        <v>757</v>
      </c>
      <c r="L26">
        <f t="shared" si="1"/>
        <v>0.33794642857142859</v>
      </c>
    </row>
    <row r="27" spans="1:12" x14ac:dyDescent="0.25">
      <c r="A27">
        <v>1735</v>
      </c>
      <c r="B27" t="s">
        <v>102</v>
      </c>
      <c r="C27" t="s">
        <v>55</v>
      </c>
      <c r="D27" t="s">
        <v>33</v>
      </c>
      <c r="H27">
        <v>77</v>
      </c>
      <c r="J27">
        <f t="shared" si="0"/>
        <v>77</v>
      </c>
      <c r="L27">
        <f t="shared" si="1"/>
        <v>3.4375000000000003E-2</v>
      </c>
    </row>
    <row r="28" spans="1:12" x14ac:dyDescent="0.25">
      <c r="A28">
        <v>1735</v>
      </c>
      <c r="B28" t="s">
        <v>20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1735</v>
      </c>
      <c r="B29" t="s">
        <v>21</v>
      </c>
      <c r="C29" t="s">
        <v>55</v>
      </c>
      <c r="D29" t="s">
        <v>33</v>
      </c>
      <c r="H29">
        <v>11</v>
      </c>
      <c r="J29">
        <f t="shared" si="0"/>
        <v>11</v>
      </c>
      <c r="L29">
        <f t="shared" si="1"/>
        <v>4.9107142857142856E-3</v>
      </c>
    </row>
    <row r="30" spans="1:12" x14ac:dyDescent="0.25">
      <c r="A30">
        <v>1735</v>
      </c>
      <c r="B30" t="s">
        <v>94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1735</v>
      </c>
      <c r="B31" t="s">
        <v>22</v>
      </c>
      <c r="C31" t="s">
        <v>55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1735</v>
      </c>
      <c r="B32" t="s">
        <v>64</v>
      </c>
      <c r="C32" t="s">
        <v>55</v>
      </c>
      <c r="D32" t="s">
        <v>33</v>
      </c>
      <c r="E32">
        <v>251</v>
      </c>
      <c r="F32">
        <v>12</v>
      </c>
      <c r="J32">
        <f t="shared" si="0"/>
        <v>563584</v>
      </c>
      <c r="L32">
        <f t="shared" si="1"/>
        <v>251.6</v>
      </c>
    </row>
    <row r="33" spans="1:12" x14ac:dyDescent="0.25">
      <c r="A33">
        <v>1735</v>
      </c>
      <c r="B33" t="s">
        <v>93</v>
      </c>
      <c r="C33" t="s">
        <v>55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1735</v>
      </c>
      <c r="B34" t="s">
        <v>66</v>
      </c>
      <c r="C34" t="s">
        <v>55</v>
      </c>
      <c r="D34" t="s">
        <v>33</v>
      </c>
      <c r="F34">
        <v>11</v>
      </c>
      <c r="J34">
        <f t="shared" si="0"/>
        <v>1232</v>
      </c>
      <c r="L34">
        <f t="shared" si="1"/>
        <v>0.55000000000000004</v>
      </c>
    </row>
    <row r="35" spans="1:12" x14ac:dyDescent="0.25">
      <c r="A35">
        <v>1735</v>
      </c>
      <c r="B35" t="s">
        <v>5</v>
      </c>
      <c r="C35" t="s">
        <v>55</v>
      </c>
      <c r="D35" t="s">
        <v>35</v>
      </c>
      <c r="J35">
        <f t="shared" si="0"/>
        <v>0</v>
      </c>
      <c r="L35">
        <f t="shared" si="1"/>
        <v>0</v>
      </c>
    </row>
    <row r="36" spans="1:12" x14ac:dyDescent="0.25">
      <c r="A36">
        <v>1735</v>
      </c>
      <c r="B36" t="s">
        <v>6</v>
      </c>
      <c r="C36" t="s">
        <v>55</v>
      </c>
      <c r="D36" t="s">
        <v>35</v>
      </c>
      <c r="F36">
        <v>37895</v>
      </c>
      <c r="G36">
        <v>3</v>
      </c>
      <c r="H36">
        <v>10</v>
      </c>
      <c r="J36">
        <f t="shared" si="0"/>
        <v>4244334</v>
      </c>
      <c r="L36">
        <f t="shared" si="1"/>
        <v>1894.7919642857144</v>
      </c>
    </row>
    <row r="37" spans="1:12" x14ac:dyDescent="0.25">
      <c r="A37">
        <v>1735</v>
      </c>
      <c r="B37" t="s">
        <v>37</v>
      </c>
      <c r="C37" t="s">
        <v>55</v>
      </c>
      <c r="D37" t="s">
        <v>35</v>
      </c>
      <c r="J37">
        <f t="shared" si="0"/>
        <v>0</v>
      </c>
      <c r="L37">
        <f t="shared" si="1"/>
        <v>0</v>
      </c>
    </row>
    <row r="38" spans="1:12" x14ac:dyDescent="0.25">
      <c r="A38">
        <v>1735</v>
      </c>
      <c r="B38" t="s">
        <v>8</v>
      </c>
      <c r="C38" t="s">
        <v>55</v>
      </c>
      <c r="D38" t="s">
        <v>35</v>
      </c>
      <c r="J38">
        <f t="shared" si="0"/>
        <v>0</v>
      </c>
      <c r="L38">
        <f t="shared" si="1"/>
        <v>0</v>
      </c>
    </row>
    <row r="39" spans="1:12" x14ac:dyDescent="0.25">
      <c r="A39">
        <v>1735</v>
      </c>
      <c r="B39" t="s">
        <v>9</v>
      </c>
      <c r="C39" t="s">
        <v>55</v>
      </c>
      <c r="D39" t="s">
        <v>35</v>
      </c>
      <c r="H39">
        <f>1759*200</f>
        <v>351800</v>
      </c>
      <c r="I39" t="s">
        <v>139</v>
      </c>
      <c r="J39">
        <f t="shared" si="0"/>
        <v>351800</v>
      </c>
      <c r="L39">
        <f t="shared" si="1"/>
        <v>157.05357142857142</v>
      </c>
    </row>
    <row r="40" spans="1:12" x14ac:dyDescent="0.25">
      <c r="A40">
        <v>1735</v>
      </c>
      <c r="B40" t="s">
        <v>10</v>
      </c>
      <c r="C40" t="s">
        <v>55</v>
      </c>
      <c r="D40" t="s">
        <v>35</v>
      </c>
      <c r="F40">
        <v>1289</v>
      </c>
      <c r="G40">
        <v>2</v>
      </c>
      <c r="H40">
        <v>1</v>
      </c>
      <c r="J40">
        <f t="shared" si="0"/>
        <v>144425</v>
      </c>
      <c r="L40">
        <f t="shared" si="1"/>
        <v>64.475446428571431</v>
      </c>
    </row>
    <row r="41" spans="1:12" x14ac:dyDescent="0.25">
      <c r="A41">
        <v>1735</v>
      </c>
      <c r="B41" t="s">
        <v>11</v>
      </c>
      <c r="C41" t="s">
        <v>55</v>
      </c>
      <c r="D41" t="s">
        <v>35</v>
      </c>
      <c r="F41">
        <v>8</v>
      </c>
      <c r="G41">
        <v>3</v>
      </c>
      <c r="H41">
        <v>9</v>
      </c>
      <c r="J41">
        <f t="shared" si="0"/>
        <v>989</v>
      </c>
      <c r="L41">
        <f t="shared" si="1"/>
        <v>0.44151785714285713</v>
      </c>
    </row>
    <row r="42" spans="1:12" x14ac:dyDescent="0.25">
      <c r="A42">
        <v>1735</v>
      </c>
      <c r="B42" t="s">
        <v>36</v>
      </c>
      <c r="C42" t="s">
        <v>55</v>
      </c>
      <c r="D42" t="s">
        <v>35</v>
      </c>
      <c r="J42">
        <f t="shared" si="0"/>
        <v>0</v>
      </c>
      <c r="L42">
        <f t="shared" si="1"/>
        <v>0</v>
      </c>
    </row>
    <row r="43" spans="1:12" x14ac:dyDescent="0.25">
      <c r="A43">
        <v>1735</v>
      </c>
      <c r="B43" t="s">
        <v>41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1735</v>
      </c>
      <c r="B44" t="s">
        <v>12</v>
      </c>
      <c r="C44" t="s">
        <v>55</v>
      </c>
      <c r="D44" t="s">
        <v>35</v>
      </c>
      <c r="H44">
        <v>120</v>
      </c>
      <c r="J44">
        <f t="shared" si="0"/>
        <v>120</v>
      </c>
      <c r="L44">
        <f t="shared" si="1"/>
        <v>5.3571428571428568E-2</v>
      </c>
    </row>
    <row r="45" spans="1:12" x14ac:dyDescent="0.25">
      <c r="A45">
        <v>1735</v>
      </c>
      <c r="B45" t="s">
        <v>13</v>
      </c>
      <c r="C45" t="s">
        <v>55</v>
      </c>
      <c r="D45" t="s">
        <v>35</v>
      </c>
      <c r="E45">
        <v>22</v>
      </c>
      <c r="F45">
        <v>19</v>
      </c>
      <c r="G45">
        <v>2</v>
      </c>
      <c r="H45">
        <v>21</v>
      </c>
      <c r="J45">
        <f t="shared" si="0"/>
        <v>51485</v>
      </c>
      <c r="L45">
        <f t="shared" si="1"/>
        <v>22.984375</v>
      </c>
    </row>
    <row r="46" spans="1:12" x14ac:dyDescent="0.25">
      <c r="A46">
        <v>1735</v>
      </c>
      <c r="B46" t="s">
        <v>14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1735</v>
      </c>
      <c r="B47" t="s">
        <v>27</v>
      </c>
      <c r="C47" t="s">
        <v>55</v>
      </c>
      <c r="D47" t="s">
        <v>35</v>
      </c>
      <c r="H47">
        <v>26747</v>
      </c>
      <c r="I47" t="s">
        <v>138</v>
      </c>
      <c r="J47">
        <f t="shared" si="0"/>
        <v>26747</v>
      </c>
      <c r="L47">
        <f t="shared" si="1"/>
        <v>11.940625000000001</v>
      </c>
    </row>
    <row r="48" spans="1:12" x14ac:dyDescent="0.25">
      <c r="A48">
        <v>1735</v>
      </c>
      <c r="B48" t="s">
        <v>15</v>
      </c>
      <c r="C48" t="s">
        <v>55</v>
      </c>
      <c r="D48" t="s">
        <v>35</v>
      </c>
      <c r="J48">
        <f t="shared" si="0"/>
        <v>0</v>
      </c>
      <c r="L48">
        <f t="shared" si="1"/>
        <v>0</v>
      </c>
    </row>
    <row r="49" spans="1:12" x14ac:dyDescent="0.25">
      <c r="A49">
        <v>1735</v>
      </c>
      <c r="B49" t="s">
        <v>49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1735</v>
      </c>
      <c r="B50" t="s">
        <v>17</v>
      </c>
      <c r="C50" t="s">
        <v>55</v>
      </c>
      <c r="D50" t="s">
        <v>35</v>
      </c>
      <c r="H50">
        <v>24516</v>
      </c>
      <c r="I50" t="s">
        <v>137</v>
      </c>
      <c r="J50">
        <f t="shared" si="0"/>
        <v>24516</v>
      </c>
      <c r="L50">
        <f t="shared" si="1"/>
        <v>10.944642857142858</v>
      </c>
    </row>
    <row r="51" spans="1:12" x14ac:dyDescent="0.25">
      <c r="A51">
        <v>1735</v>
      </c>
      <c r="B51" t="s">
        <v>18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1735</v>
      </c>
      <c r="B52" t="s">
        <v>19</v>
      </c>
      <c r="C52" t="s">
        <v>55</v>
      </c>
      <c r="D52" t="s">
        <v>35</v>
      </c>
      <c r="F52">
        <v>15</v>
      </c>
      <c r="G52">
        <v>1</v>
      </c>
      <c r="H52">
        <v>19</v>
      </c>
      <c r="J52">
        <f t="shared" si="0"/>
        <v>1727</v>
      </c>
      <c r="L52">
        <f t="shared" si="1"/>
        <v>0.77098214285714284</v>
      </c>
    </row>
    <row r="53" spans="1:12" x14ac:dyDescent="0.25">
      <c r="A53">
        <v>1735</v>
      </c>
      <c r="B53" t="s">
        <v>56</v>
      </c>
      <c r="C53" t="s">
        <v>55</v>
      </c>
      <c r="D53" t="s">
        <v>35</v>
      </c>
      <c r="H53">
        <v>24</v>
      </c>
      <c r="J53">
        <f t="shared" si="0"/>
        <v>24</v>
      </c>
      <c r="L53">
        <f t="shared" si="1"/>
        <v>1.0714285714285714E-2</v>
      </c>
    </row>
    <row r="54" spans="1:12" x14ac:dyDescent="0.25">
      <c r="A54">
        <v>1735</v>
      </c>
      <c r="B54" t="s">
        <v>102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1735</v>
      </c>
      <c r="B55" t="s">
        <v>20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1735</v>
      </c>
      <c r="B56" t="s">
        <v>21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1735</v>
      </c>
      <c r="B57" t="s">
        <v>95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1735</v>
      </c>
      <c r="B58" t="s">
        <v>22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1735</v>
      </c>
      <c r="B59" t="s">
        <v>63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1735</v>
      </c>
      <c r="B60" t="s">
        <v>96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1735</v>
      </c>
      <c r="B61" t="s">
        <v>64</v>
      </c>
      <c r="C61" t="s">
        <v>55</v>
      </c>
      <c r="D61" t="s">
        <v>35</v>
      </c>
      <c r="E61">
        <v>54</v>
      </c>
      <c r="F61">
        <v>17</v>
      </c>
      <c r="G61">
        <v>2</v>
      </c>
      <c r="H61">
        <v>23</v>
      </c>
      <c r="J61">
        <f t="shared" si="0"/>
        <v>122943</v>
      </c>
      <c r="L61">
        <f t="shared" si="1"/>
        <v>54.885267857142857</v>
      </c>
    </row>
    <row r="62" spans="1:12" x14ac:dyDescent="0.25">
      <c r="A62">
        <v>1735</v>
      </c>
      <c r="B62" t="s">
        <v>65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1735</v>
      </c>
      <c r="B63" t="s">
        <v>66</v>
      </c>
      <c r="C63" t="s">
        <v>55</v>
      </c>
      <c r="D63" t="s">
        <v>35</v>
      </c>
      <c r="E63">
        <v>2</v>
      </c>
      <c r="J63">
        <f t="shared" si="0"/>
        <v>4480</v>
      </c>
      <c r="L63">
        <f t="shared" si="1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0"/>
  <sheetViews>
    <sheetView topLeftCell="A19"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1735</v>
      </c>
      <c r="B2" t="s">
        <v>57</v>
      </c>
      <c r="C2" t="s">
        <v>58</v>
      </c>
      <c r="D2" t="s">
        <v>33</v>
      </c>
      <c r="F2">
        <v>43</v>
      </c>
      <c r="J2">
        <f t="shared" ref="J2:J68" si="0">(E2*2240)+(F2*112)+(G2*28)+H2</f>
        <v>4816</v>
      </c>
      <c r="L2">
        <f t="shared" ref="L2:L68" si="1">J2/2240</f>
        <v>2.15</v>
      </c>
    </row>
    <row r="3" spans="1:12" x14ac:dyDescent="0.25">
      <c r="A3">
        <v>1735</v>
      </c>
      <c r="B3" t="s">
        <v>59</v>
      </c>
      <c r="C3" t="s">
        <v>58</v>
      </c>
      <c r="D3" t="s">
        <v>33</v>
      </c>
      <c r="H3">
        <v>1</v>
      </c>
      <c r="J3">
        <f t="shared" si="0"/>
        <v>1</v>
      </c>
      <c r="L3">
        <f t="shared" si="1"/>
        <v>4.4642857142857141E-4</v>
      </c>
    </row>
    <row r="4" spans="1:12" x14ac:dyDescent="0.25">
      <c r="A4">
        <v>1735</v>
      </c>
      <c r="B4" t="s">
        <v>38</v>
      </c>
      <c r="C4" t="s">
        <v>58</v>
      </c>
      <c r="D4" t="s">
        <v>33</v>
      </c>
      <c r="H4">
        <v>20055</v>
      </c>
      <c r="J4">
        <f t="shared" si="0"/>
        <v>20055</v>
      </c>
      <c r="L4">
        <f t="shared" si="1"/>
        <v>8.953125</v>
      </c>
    </row>
    <row r="5" spans="1:12" x14ac:dyDescent="0.25">
      <c r="A5">
        <v>1735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1735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1735</v>
      </c>
      <c r="B7" t="s">
        <v>97</v>
      </c>
      <c r="C7" t="s">
        <v>58</v>
      </c>
      <c r="D7" t="s">
        <v>33</v>
      </c>
      <c r="H7">
        <v>879</v>
      </c>
      <c r="J7">
        <f t="shared" si="0"/>
        <v>879</v>
      </c>
      <c r="L7">
        <f t="shared" si="1"/>
        <v>0.39241071428571428</v>
      </c>
    </row>
    <row r="8" spans="1:12" x14ac:dyDescent="0.25">
      <c r="A8">
        <v>1735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1735</v>
      </c>
      <c r="B9" t="s">
        <v>5</v>
      </c>
      <c r="C9" t="s">
        <v>58</v>
      </c>
      <c r="D9" t="s">
        <v>33</v>
      </c>
      <c r="F9">
        <v>3</v>
      </c>
      <c r="G9">
        <v>1</v>
      </c>
      <c r="H9">
        <v>7</v>
      </c>
      <c r="J9">
        <f t="shared" si="0"/>
        <v>371</v>
      </c>
      <c r="L9">
        <f t="shared" si="1"/>
        <v>0.16562499999999999</v>
      </c>
    </row>
    <row r="10" spans="1:12" x14ac:dyDescent="0.25">
      <c r="A10">
        <v>1735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1735</v>
      </c>
      <c r="B11" t="s">
        <v>6</v>
      </c>
      <c r="C11" t="s">
        <v>58</v>
      </c>
      <c r="D11" t="s">
        <v>33</v>
      </c>
      <c r="F11">
        <v>92543</v>
      </c>
      <c r="G11">
        <v>1</v>
      </c>
      <c r="H11">
        <v>7</v>
      </c>
      <c r="J11">
        <f t="shared" si="0"/>
        <v>10364851</v>
      </c>
      <c r="L11">
        <f t="shared" si="1"/>
        <v>4627.1656249999996</v>
      </c>
    </row>
    <row r="12" spans="1:12" x14ac:dyDescent="0.25">
      <c r="A12">
        <v>1735</v>
      </c>
      <c r="B12" t="s">
        <v>62</v>
      </c>
      <c r="C12" t="s">
        <v>58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1735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1735</v>
      </c>
      <c r="B14" t="s">
        <v>39</v>
      </c>
      <c r="C14" t="s">
        <v>58</v>
      </c>
      <c r="D14" t="s">
        <v>33</v>
      </c>
      <c r="H14">
        <v>374</v>
      </c>
      <c r="J14">
        <f t="shared" si="0"/>
        <v>374</v>
      </c>
      <c r="L14">
        <f t="shared" si="1"/>
        <v>0.1669642857142857</v>
      </c>
    </row>
    <row r="15" spans="1:12" x14ac:dyDescent="0.25">
      <c r="A15">
        <v>1735</v>
      </c>
      <c r="B15" t="s">
        <v>8</v>
      </c>
      <c r="C15" t="s">
        <v>58</v>
      </c>
      <c r="D15" t="s">
        <v>33</v>
      </c>
      <c r="F15">
        <v>388</v>
      </c>
      <c r="G15">
        <v>1</v>
      </c>
      <c r="H15">
        <v>12</v>
      </c>
      <c r="J15">
        <f t="shared" si="0"/>
        <v>43496</v>
      </c>
      <c r="L15">
        <f t="shared" si="1"/>
        <v>19.417857142857144</v>
      </c>
    </row>
    <row r="16" spans="1:12" x14ac:dyDescent="0.25">
      <c r="A16">
        <v>1735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1735</v>
      </c>
      <c r="B17" t="s">
        <v>80</v>
      </c>
      <c r="C17" t="s">
        <v>58</v>
      </c>
      <c r="D17" t="s">
        <v>33</v>
      </c>
      <c r="F17">
        <v>7</v>
      </c>
      <c r="G17">
        <v>2</v>
      </c>
      <c r="H17">
        <v>18</v>
      </c>
      <c r="J17">
        <f t="shared" si="0"/>
        <v>858</v>
      </c>
      <c r="L17">
        <f t="shared" si="1"/>
        <v>0.38303571428571431</v>
      </c>
    </row>
    <row r="18" spans="1:12" x14ac:dyDescent="0.25">
      <c r="A18">
        <v>1735</v>
      </c>
      <c r="B18" t="s">
        <v>81</v>
      </c>
      <c r="C18" t="s">
        <v>58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1735</v>
      </c>
      <c r="B19" t="s">
        <v>9</v>
      </c>
      <c r="C19" t="s">
        <v>58</v>
      </c>
      <c r="D19" t="s">
        <v>33</v>
      </c>
      <c r="F19">
        <v>162</v>
      </c>
      <c r="H19">
        <f>939*200</f>
        <v>187800</v>
      </c>
      <c r="I19" t="s">
        <v>115</v>
      </c>
      <c r="J19">
        <f t="shared" si="0"/>
        <v>205944</v>
      </c>
      <c r="L19">
        <f t="shared" si="1"/>
        <v>91.939285714285717</v>
      </c>
    </row>
    <row r="20" spans="1:12" x14ac:dyDescent="0.25">
      <c r="A20">
        <v>1735</v>
      </c>
      <c r="B20" t="s">
        <v>10</v>
      </c>
      <c r="C20" t="s">
        <v>58</v>
      </c>
      <c r="D20" t="s">
        <v>33</v>
      </c>
      <c r="F20">
        <v>2855</v>
      </c>
      <c r="G20">
        <v>1</v>
      </c>
      <c r="J20">
        <f t="shared" si="0"/>
        <v>319788</v>
      </c>
      <c r="L20">
        <f t="shared" si="1"/>
        <v>142.76249999999999</v>
      </c>
    </row>
    <row r="21" spans="1:12" x14ac:dyDescent="0.25">
      <c r="A21">
        <v>1735</v>
      </c>
      <c r="B21" t="s">
        <v>11</v>
      </c>
      <c r="C21" t="s">
        <v>58</v>
      </c>
      <c r="D21" t="s">
        <v>33</v>
      </c>
      <c r="F21">
        <v>331</v>
      </c>
      <c r="G21">
        <v>2</v>
      </c>
      <c r="H21">
        <v>26</v>
      </c>
      <c r="J21">
        <f t="shared" si="0"/>
        <v>37154</v>
      </c>
      <c r="L21">
        <f t="shared" si="1"/>
        <v>16.586607142857144</v>
      </c>
    </row>
    <row r="22" spans="1:12" x14ac:dyDescent="0.25">
      <c r="A22">
        <v>1735</v>
      </c>
      <c r="B22" t="s">
        <v>41</v>
      </c>
      <c r="C22" t="s">
        <v>58</v>
      </c>
      <c r="D22" t="s">
        <v>33</v>
      </c>
      <c r="H22">
        <v>411</v>
      </c>
      <c r="J22">
        <f t="shared" si="0"/>
        <v>411</v>
      </c>
      <c r="L22">
        <f t="shared" si="1"/>
        <v>0.18348214285714284</v>
      </c>
    </row>
    <row r="23" spans="1:12" x14ac:dyDescent="0.25">
      <c r="A23">
        <v>1735</v>
      </c>
      <c r="B23" t="s">
        <v>82</v>
      </c>
      <c r="C23" t="s">
        <v>58</v>
      </c>
      <c r="D23" t="s">
        <v>33</v>
      </c>
      <c r="H23">
        <v>5000</v>
      </c>
      <c r="J23">
        <f t="shared" si="0"/>
        <v>5000</v>
      </c>
      <c r="L23">
        <f t="shared" si="1"/>
        <v>2.2321428571428572</v>
      </c>
    </row>
    <row r="24" spans="1:12" x14ac:dyDescent="0.25">
      <c r="A24">
        <v>1735</v>
      </c>
      <c r="B24" t="s">
        <v>46</v>
      </c>
      <c r="C24" t="s">
        <v>58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1735</v>
      </c>
      <c r="B25" t="s">
        <v>12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1735</v>
      </c>
      <c r="B26" t="s">
        <v>34</v>
      </c>
      <c r="C26" t="s">
        <v>58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1735</v>
      </c>
      <c r="B27" t="s">
        <v>13</v>
      </c>
      <c r="C27" t="s">
        <v>58</v>
      </c>
      <c r="D27" t="s">
        <v>33</v>
      </c>
      <c r="E27">
        <v>18</v>
      </c>
      <c r="J27">
        <f t="shared" si="0"/>
        <v>40320</v>
      </c>
      <c r="L27">
        <f t="shared" si="1"/>
        <v>18</v>
      </c>
    </row>
    <row r="28" spans="1:12" x14ac:dyDescent="0.25">
      <c r="A28">
        <v>1735</v>
      </c>
      <c r="B28" t="s">
        <v>14</v>
      </c>
      <c r="C28" t="s">
        <v>58</v>
      </c>
      <c r="D28" t="s">
        <v>33</v>
      </c>
      <c r="H28">
        <v>2220</v>
      </c>
      <c r="I28" t="s">
        <v>111</v>
      </c>
      <c r="J28">
        <f t="shared" si="0"/>
        <v>2220</v>
      </c>
      <c r="L28">
        <f t="shared" si="1"/>
        <v>0.9910714285714286</v>
      </c>
    </row>
    <row r="29" spans="1:12" x14ac:dyDescent="0.25">
      <c r="A29">
        <v>1735</v>
      </c>
      <c r="B29" t="s">
        <v>23</v>
      </c>
      <c r="C29" t="s">
        <v>58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1735</v>
      </c>
      <c r="B30" t="s">
        <v>27</v>
      </c>
      <c r="C30" t="s">
        <v>58</v>
      </c>
      <c r="D30" t="s">
        <v>33</v>
      </c>
      <c r="H30">
        <v>288744</v>
      </c>
      <c r="I30" t="s">
        <v>113</v>
      </c>
      <c r="J30">
        <f t="shared" si="0"/>
        <v>288744</v>
      </c>
      <c r="L30">
        <f t="shared" si="1"/>
        <v>128.90357142857144</v>
      </c>
    </row>
    <row r="31" spans="1:12" x14ac:dyDescent="0.25">
      <c r="A31">
        <v>1735</v>
      </c>
      <c r="B31" t="s">
        <v>15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1735</v>
      </c>
      <c r="B32" t="s">
        <v>44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1735</v>
      </c>
      <c r="B33" t="s">
        <v>49</v>
      </c>
      <c r="C33" t="s">
        <v>58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1735</v>
      </c>
      <c r="B34" t="s">
        <v>16</v>
      </c>
      <c r="C34" t="s">
        <v>58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1735</v>
      </c>
      <c r="B35" t="s">
        <v>100</v>
      </c>
      <c r="C35" t="s">
        <v>58</v>
      </c>
      <c r="D35" t="s">
        <v>33</v>
      </c>
      <c r="H35">
        <v>1981</v>
      </c>
      <c r="I35" t="s">
        <v>114</v>
      </c>
      <c r="J35">
        <f t="shared" si="0"/>
        <v>1981</v>
      </c>
      <c r="L35">
        <f t="shared" si="1"/>
        <v>0.88437500000000002</v>
      </c>
    </row>
    <row r="36" spans="1:12" x14ac:dyDescent="0.25">
      <c r="A36">
        <v>1735</v>
      </c>
      <c r="B36" t="s">
        <v>17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1735</v>
      </c>
      <c r="B37" t="s">
        <v>18</v>
      </c>
      <c r="C37" t="s">
        <v>58</v>
      </c>
      <c r="D37" t="s">
        <v>33</v>
      </c>
      <c r="H37">
        <v>177171</v>
      </c>
      <c r="I37" t="s">
        <v>112</v>
      </c>
      <c r="J37">
        <f t="shared" si="0"/>
        <v>177171</v>
      </c>
      <c r="L37">
        <f t="shared" si="1"/>
        <v>79.094196428571422</v>
      </c>
    </row>
    <row r="38" spans="1:12" x14ac:dyDescent="0.25">
      <c r="A38">
        <v>1735</v>
      </c>
      <c r="B38" t="s">
        <v>26</v>
      </c>
      <c r="C38" t="s">
        <v>58</v>
      </c>
      <c r="D38" t="s">
        <v>33</v>
      </c>
      <c r="H38">
        <v>128</v>
      </c>
      <c r="J38">
        <f t="shared" si="0"/>
        <v>128</v>
      </c>
      <c r="L38">
        <f t="shared" si="1"/>
        <v>5.7142857142857141E-2</v>
      </c>
    </row>
    <row r="39" spans="1:12" x14ac:dyDescent="0.25">
      <c r="A39">
        <v>1735</v>
      </c>
      <c r="B39" t="s">
        <v>19</v>
      </c>
      <c r="C39" t="s">
        <v>58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1735</v>
      </c>
      <c r="B40" t="s">
        <v>47</v>
      </c>
      <c r="C40" t="s">
        <v>58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1735</v>
      </c>
      <c r="B41" t="s">
        <v>56</v>
      </c>
      <c r="C41" t="s">
        <v>58</v>
      </c>
      <c r="D41" t="s">
        <v>33</v>
      </c>
      <c r="H41">
        <v>3633</v>
      </c>
      <c r="J41">
        <f t="shared" si="0"/>
        <v>3633</v>
      </c>
      <c r="L41">
        <f t="shared" si="1"/>
        <v>1.621875</v>
      </c>
    </row>
    <row r="42" spans="1:12" x14ac:dyDescent="0.25">
      <c r="A42">
        <v>1735</v>
      </c>
      <c r="B42" t="s">
        <v>102</v>
      </c>
      <c r="C42" t="s">
        <v>58</v>
      </c>
      <c r="D42" t="s">
        <v>33</v>
      </c>
      <c r="H42">
        <v>295</v>
      </c>
      <c r="J42">
        <f t="shared" si="0"/>
        <v>295</v>
      </c>
      <c r="L42">
        <f t="shared" si="1"/>
        <v>0.13169642857142858</v>
      </c>
    </row>
    <row r="43" spans="1:12" x14ac:dyDescent="0.25">
      <c r="A43">
        <v>1735</v>
      </c>
      <c r="B43" t="s">
        <v>20</v>
      </c>
      <c r="C43" t="s">
        <v>58</v>
      </c>
      <c r="D43" t="s">
        <v>33</v>
      </c>
      <c r="H43">
        <v>91</v>
      </c>
      <c r="J43">
        <f t="shared" si="0"/>
        <v>91</v>
      </c>
      <c r="L43">
        <f t="shared" si="1"/>
        <v>4.0625000000000001E-2</v>
      </c>
    </row>
    <row r="44" spans="1:12" x14ac:dyDescent="0.25">
      <c r="A44">
        <v>1735</v>
      </c>
      <c r="B44" t="s">
        <v>21</v>
      </c>
      <c r="C44" t="s">
        <v>58</v>
      </c>
      <c r="D44" t="s">
        <v>33</v>
      </c>
      <c r="H44">
        <v>9</v>
      </c>
      <c r="J44">
        <f t="shared" si="0"/>
        <v>9</v>
      </c>
      <c r="L44">
        <f t="shared" si="1"/>
        <v>4.0178571428571425E-3</v>
      </c>
    </row>
    <row r="45" spans="1:12" x14ac:dyDescent="0.25">
      <c r="A45">
        <v>1735</v>
      </c>
      <c r="B45" t="s">
        <v>22</v>
      </c>
      <c r="C45" t="s">
        <v>58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1735</v>
      </c>
      <c r="B46" t="s">
        <v>63</v>
      </c>
      <c r="C46" t="s">
        <v>58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1735</v>
      </c>
      <c r="B47" t="s">
        <v>64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1735</v>
      </c>
      <c r="B48" t="s">
        <v>65</v>
      </c>
      <c r="C48" t="s">
        <v>58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1735</v>
      </c>
      <c r="B49" t="s">
        <v>73</v>
      </c>
      <c r="C49" t="s">
        <v>58</v>
      </c>
      <c r="D49" t="s">
        <v>33</v>
      </c>
      <c r="F49">
        <v>2</v>
      </c>
      <c r="G49">
        <v>1</v>
      </c>
      <c r="H49">
        <v>19</v>
      </c>
      <c r="J49">
        <f t="shared" si="0"/>
        <v>271</v>
      </c>
      <c r="L49">
        <f t="shared" si="1"/>
        <v>0.12098214285714286</v>
      </c>
    </row>
    <row r="50" spans="1:12" x14ac:dyDescent="0.25">
      <c r="A50">
        <v>1735</v>
      </c>
      <c r="B50" t="s">
        <v>66</v>
      </c>
      <c r="C50" t="s">
        <v>58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1735</v>
      </c>
      <c r="B51" t="s">
        <v>67</v>
      </c>
      <c r="C51" t="s">
        <v>58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1735</v>
      </c>
      <c r="B52" t="s">
        <v>57</v>
      </c>
      <c r="C52" t="s">
        <v>58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1735</v>
      </c>
      <c r="B53" t="s">
        <v>59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1735</v>
      </c>
      <c r="B54" t="s">
        <v>38</v>
      </c>
      <c r="C54" t="s">
        <v>58</v>
      </c>
      <c r="D54" t="s">
        <v>35</v>
      </c>
      <c r="G54">
        <v>3</v>
      </c>
      <c r="J54">
        <f t="shared" si="0"/>
        <v>84</v>
      </c>
      <c r="L54">
        <f t="shared" si="1"/>
        <v>3.7499999999999999E-2</v>
      </c>
    </row>
    <row r="55" spans="1:12" x14ac:dyDescent="0.25">
      <c r="A55">
        <v>1735</v>
      </c>
      <c r="B55" t="s">
        <v>4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1735</v>
      </c>
      <c r="B56" t="s">
        <v>60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1735</v>
      </c>
      <c r="B57" t="s">
        <v>97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1735</v>
      </c>
      <c r="B58" t="s">
        <v>45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1735</v>
      </c>
      <c r="B59" t="s">
        <v>5</v>
      </c>
      <c r="C59" t="s">
        <v>58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1735</v>
      </c>
      <c r="B60" t="s">
        <v>61</v>
      </c>
      <c r="C60" t="s">
        <v>58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1735</v>
      </c>
      <c r="B61" t="s">
        <v>6</v>
      </c>
      <c r="C61" t="s">
        <v>58</v>
      </c>
      <c r="D61" t="s">
        <v>35</v>
      </c>
      <c r="F61">
        <v>32059</v>
      </c>
      <c r="G61">
        <v>3</v>
      </c>
      <c r="H61">
        <v>12</v>
      </c>
      <c r="J61">
        <f t="shared" si="0"/>
        <v>3590704</v>
      </c>
      <c r="L61">
        <f t="shared" si="1"/>
        <v>1602.9928571428572</v>
      </c>
    </row>
    <row r="62" spans="1:12" x14ac:dyDescent="0.25">
      <c r="A62">
        <v>1735</v>
      </c>
      <c r="B62" t="s">
        <v>62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1735</v>
      </c>
      <c r="B63" t="s">
        <v>40</v>
      </c>
      <c r="C63" t="s">
        <v>58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1735</v>
      </c>
      <c r="B64" t="s">
        <v>39</v>
      </c>
      <c r="C64" t="s">
        <v>58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1735</v>
      </c>
      <c r="B65" t="s">
        <v>8</v>
      </c>
      <c r="C65" t="s">
        <v>58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1735</v>
      </c>
      <c r="B66" t="s">
        <v>42</v>
      </c>
      <c r="C66" t="s">
        <v>58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1735</v>
      </c>
      <c r="B67" t="s">
        <v>9</v>
      </c>
      <c r="C67" t="s">
        <v>58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1735</v>
      </c>
      <c r="B68" t="s">
        <v>10</v>
      </c>
      <c r="C68" t="s">
        <v>58</v>
      </c>
      <c r="D68" t="s">
        <v>35</v>
      </c>
      <c r="F68">
        <v>232</v>
      </c>
      <c r="G68">
        <v>2</v>
      </c>
      <c r="H68">
        <v>8</v>
      </c>
      <c r="J68">
        <f t="shared" si="0"/>
        <v>26048</v>
      </c>
      <c r="L68">
        <f t="shared" si="1"/>
        <v>11.628571428571428</v>
      </c>
    </row>
    <row r="69" spans="1:12" x14ac:dyDescent="0.25">
      <c r="A69">
        <v>1735</v>
      </c>
      <c r="B69" t="s">
        <v>11</v>
      </c>
      <c r="C69" t="s">
        <v>58</v>
      </c>
      <c r="D69" t="s">
        <v>35</v>
      </c>
      <c r="F69">
        <v>80</v>
      </c>
      <c r="G69">
        <v>2</v>
      </c>
      <c r="H69">
        <v>17</v>
      </c>
      <c r="J69">
        <f t="shared" ref="J69:J100" si="2">(E69*2240)+(F69*112)+(G69*28)+H69</f>
        <v>9033</v>
      </c>
      <c r="L69">
        <f t="shared" ref="L69:L100" si="3">J69/2240</f>
        <v>4.0325892857142858</v>
      </c>
    </row>
    <row r="70" spans="1:12" x14ac:dyDescent="0.25">
      <c r="A70">
        <v>1735</v>
      </c>
      <c r="B70" t="s">
        <v>41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1735</v>
      </c>
      <c r="B71" t="s">
        <v>82</v>
      </c>
      <c r="C71" t="s">
        <v>58</v>
      </c>
      <c r="D71" t="s">
        <v>35</v>
      </c>
      <c r="H71">
        <v>6052</v>
      </c>
      <c r="J71">
        <f t="shared" si="2"/>
        <v>6052</v>
      </c>
      <c r="L71">
        <f t="shared" si="3"/>
        <v>2.7017857142857142</v>
      </c>
    </row>
    <row r="72" spans="1:12" x14ac:dyDescent="0.25">
      <c r="A72">
        <v>1735</v>
      </c>
      <c r="B72" t="s">
        <v>46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1735</v>
      </c>
      <c r="B73" t="s">
        <v>12</v>
      </c>
      <c r="C73" t="s">
        <v>58</v>
      </c>
      <c r="D73" t="s">
        <v>35</v>
      </c>
      <c r="H73">
        <v>600</v>
      </c>
      <c r="J73">
        <f t="shared" si="2"/>
        <v>600</v>
      </c>
      <c r="L73">
        <f t="shared" si="3"/>
        <v>0.26785714285714285</v>
      </c>
    </row>
    <row r="74" spans="1:12" x14ac:dyDescent="0.25">
      <c r="A74">
        <v>1735</v>
      </c>
      <c r="B74" t="s">
        <v>34</v>
      </c>
      <c r="C74" t="s">
        <v>58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1735</v>
      </c>
      <c r="B75" t="s">
        <v>13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1735</v>
      </c>
      <c r="B76" t="s">
        <v>14</v>
      </c>
      <c r="C76" t="s">
        <v>58</v>
      </c>
      <c r="D76" t="s">
        <v>35</v>
      </c>
      <c r="H76">
        <v>480</v>
      </c>
      <c r="I76" t="s">
        <v>140</v>
      </c>
      <c r="J76">
        <f t="shared" si="2"/>
        <v>480</v>
      </c>
      <c r="L76">
        <f t="shared" si="3"/>
        <v>0.21428571428571427</v>
      </c>
    </row>
    <row r="77" spans="1:12" x14ac:dyDescent="0.25">
      <c r="A77">
        <v>1735</v>
      </c>
      <c r="B77" t="s">
        <v>23</v>
      </c>
      <c r="C77" t="s">
        <v>58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1735</v>
      </c>
      <c r="B78" t="s">
        <v>27</v>
      </c>
      <c r="C78" t="s">
        <v>58</v>
      </c>
      <c r="D78" t="s">
        <v>35</v>
      </c>
      <c r="H78">
        <v>34239</v>
      </c>
      <c r="I78" t="s">
        <v>142</v>
      </c>
      <c r="J78">
        <f t="shared" si="2"/>
        <v>34239</v>
      </c>
      <c r="L78">
        <f t="shared" si="3"/>
        <v>15.285267857142857</v>
      </c>
    </row>
    <row r="79" spans="1:12" x14ac:dyDescent="0.25">
      <c r="A79">
        <v>1735</v>
      </c>
      <c r="B79" t="s">
        <v>15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1735</v>
      </c>
      <c r="B80" t="s">
        <v>98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1735</v>
      </c>
      <c r="B81" t="s">
        <v>44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1735</v>
      </c>
      <c r="B82" t="s">
        <v>49</v>
      </c>
      <c r="C82" t="s">
        <v>58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1735</v>
      </c>
      <c r="B83" t="s">
        <v>16</v>
      </c>
      <c r="C83" t="s">
        <v>58</v>
      </c>
      <c r="D83" t="s">
        <v>35</v>
      </c>
      <c r="H83">
        <v>60</v>
      </c>
      <c r="J83">
        <f t="shared" si="2"/>
        <v>60</v>
      </c>
      <c r="L83">
        <f t="shared" si="3"/>
        <v>2.6785714285714284E-2</v>
      </c>
    </row>
    <row r="84" spans="1:12" x14ac:dyDescent="0.25">
      <c r="A84">
        <v>1735</v>
      </c>
      <c r="B84" t="s">
        <v>17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1735</v>
      </c>
      <c r="B85" t="s">
        <v>18</v>
      </c>
      <c r="C85" t="s">
        <v>58</v>
      </c>
      <c r="D85" t="s">
        <v>35</v>
      </c>
      <c r="H85">
        <v>70008</v>
      </c>
      <c r="I85" t="s">
        <v>141</v>
      </c>
      <c r="J85">
        <f t="shared" si="2"/>
        <v>70008</v>
      </c>
      <c r="L85">
        <f t="shared" si="3"/>
        <v>31.25357142857143</v>
      </c>
    </row>
    <row r="86" spans="1:12" x14ac:dyDescent="0.25">
      <c r="A86">
        <v>1735</v>
      </c>
      <c r="B86" t="s">
        <v>26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1735</v>
      </c>
      <c r="B87" t="s">
        <v>19</v>
      </c>
      <c r="C87" t="s">
        <v>58</v>
      </c>
      <c r="D87" t="s">
        <v>35</v>
      </c>
      <c r="F87">
        <v>2</v>
      </c>
      <c r="G87">
        <v>3</v>
      </c>
      <c r="J87">
        <f t="shared" si="2"/>
        <v>308</v>
      </c>
      <c r="L87">
        <f t="shared" si="3"/>
        <v>0.13750000000000001</v>
      </c>
    </row>
    <row r="88" spans="1:12" x14ac:dyDescent="0.25">
      <c r="A88">
        <v>1735</v>
      </c>
      <c r="B88" t="s">
        <v>47</v>
      </c>
      <c r="C88" t="s">
        <v>58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1735</v>
      </c>
      <c r="B89" t="s">
        <v>56</v>
      </c>
      <c r="C89" t="s">
        <v>58</v>
      </c>
      <c r="D89" t="s">
        <v>35</v>
      </c>
      <c r="H89">
        <v>87</v>
      </c>
      <c r="J89">
        <f t="shared" si="2"/>
        <v>87</v>
      </c>
      <c r="L89">
        <f t="shared" si="3"/>
        <v>3.8839285714285715E-2</v>
      </c>
    </row>
    <row r="90" spans="1:12" x14ac:dyDescent="0.25">
      <c r="A90">
        <v>1735</v>
      </c>
      <c r="B90" t="s">
        <v>102</v>
      </c>
      <c r="C90" t="s">
        <v>58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1735</v>
      </c>
      <c r="B91" t="s">
        <v>20</v>
      </c>
      <c r="C91" t="s">
        <v>58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1735</v>
      </c>
      <c r="B92" t="s">
        <v>21</v>
      </c>
      <c r="C92" t="s">
        <v>58</v>
      </c>
      <c r="D92" t="s">
        <v>35</v>
      </c>
      <c r="H92">
        <v>15</v>
      </c>
      <c r="J92">
        <f t="shared" si="2"/>
        <v>15</v>
      </c>
      <c r="L92">
        <f t="shared" si="3"/>
        <v>6.6964285714285711E-3</v>
      </c>
    </row>
    <row r="93" spans="1:12" x14ac:dyDescent="0.25">
      <c r="A93">
        <v>1735</v>
      </c>
      <c r="B93" t="s">
        <v>22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1735</v>
      </c>
      <c r="B94" t="s">
        <v>63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1735</v>
      </c>
      <c r="B95" t="s">
        <v>64</v>
      </c>
      <c r="C95" t="s">
        <v>58</v>
      </c>
      <c r="D95" t="s">
        <v>35</v>
      </c>
      <c r="E95">
        <v>2</v>
      </c>
      <c r="J95">
        <f t="shared" si="2"/>
        <v>4480</v>
      </c>
      <c r="L95">
        <f t="shared" si="3"/>
        <v>2</v>
      </c>
    </row>
    <row r="96" spans="1:12" x14ac:dyDescent="0.25">
      <c r="A96">
        <v>1735</v>
      </c>
      <c r="B96" t="s">
        <v>65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1735</v>
      </c>
      <c r="B97" t="s">
        <v>93</v>
      </c>
      <c r="C97" t="s">
        <v>58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1735</v>
      </c>
      <c r="B98" t="s">
        <v>73</v>
      </c>
      <c r="C98" t="s">
        <v>58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1735</v>
      </c>
      <c r="B99" t="s">
        <v>66</v>
      </c>
      <c r="C99" t="s">
        <v>58</v>
      </c>
      <c r="D99" t="s">
        <v>35</v>
      </c>
      <c r="E99">
        <v>4</v>
      </c>
      <c r="F99">
        <v>10</v>
      </c>
      <c r="J99">
        <f t="shared" si="2"/>
        <v>10080</v>
      </c>
      <c r="L99">
        <f t="shared" si="3"/>
        <v>4.5</v>
      </c>
    </row>
    <row r="100" spans="1:12" x14ac:dyDescent="0.25">
      <c r="A100">
        <v>1735</v>
      </c>
      <c r="B100" t="s">
        <v>67</v>
      </c>
      <c r="C100" t="s">
        <v>58</v>
      </c>
      <c r="D100" t="s">
        <v>35</v>
      </c>
      <c r="J100">
        <f t="shared" si="2"/>
        <v>0</v>
      </c>
      <c r="L100">
        <f t="shared" si="3"/>
        <v>0</v>
      </c>
    </row>
  </sheetData>
  <autoFilter ref="A1:N55" xr:uid="{AAD1F908-12B8-4B3A-A65D-184CD229ACD4}">
    <sortState xmlns:xlrd2="http://schemas.microsoft.com/office/spreadsheetml/2017/richdata2" ref="A2:N55">
      <sortCondition ref="B1:B5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5"/>
  <sheetViews>
    <sheetView workbookViewId="0">
      <selection activeCell="L13" sqref="L13:L1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1735</v>
      </c>
      <c r="B2" t="s">
        <v>68</v>
      </c>
      <c r="C2" t="s">
        <v>69</v>
      </c>
      <c r="D2" t="s">
        <v>33</v>
      </c>
      <c r="J2">
        <f t="shared" ref="J2:J25" si="0">(E2*2240)+(F2*112)+(G2*28)+H2</f>
        <v>0</v>
      </c>
      <c r="L2">
        <f t="shared" ref="L2:L25" si="1">J2/2240</f>
        <v>0</v>
      </c>
    </row>
    <row r="3" spans="1:12" x14ac:dyDescent="0.25">
      <c r="A3">
        <v>1735</v>
      </c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1735</v>
      </c>
      <c r="B4" t="s">
        <v>8</v>
      </c>
      <c r="C4" t="s">
        <v>69</v>
      </c>
      <c r="D4" t="s">
        <v>33</v>
      </c>
      <c r="E4" s="1"/>
      <c r="F4">
        <v>3</v>
      </c>
      <c r="G4" s="1"/>
      <c r="H4">
        <v>12</v>
      </c>
      <c r="I4" s="1"/>
      <c r="J4">
        <f t="shared" si="0"/>
        <v>348</v>
      </c>
      <c r="K4" s="1"/>
      <c r="L4">
        <f t="shared" si="1"/>
        <v>0.15535714285714286</v>
      </c>
    </row>
    <row r="5" spans="1:12" x14ac:dyDescent="0.25">
      <c r="A5">
        <v>1735</v>
      </c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1735</v>
      </c>
      <c r="B6" t="s">
        <v>12</v>
      </c>
      <c r="C6" t="s">
        <v>69</v>
      </c>
      <c r="D6" t="s">
        <v>33</v>
      </c>
      <c r="H6">
        <v>930</v>
      </c>
      <c r="J6">
        <f t="shared" si="0"/>
        <v>930</v>
      </c>
      <c r="L6">
        <f t="shared" si="1"/>
        <v>0.41517857142857145</v>
      </c>
    </row>
    <row r="7" spans="1:12" x14ac:dyDescent="0.25">
      <c r="A7">
        <v>1735</v>
      </c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1735</v>
      </c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1735</v>
      </c>
      <c r="B9" t="s">
        <v>18</v>
      </c>
      <c r="C9" t="s">
        <v>69</v>
      </c>
      <c r="D9" t="s">
        <v>33</v>
      </c>
      <c r="H9">
        <v>600</v>
      </c>
      <c r="I9" t="s">
        <v>116</v>
      </c>
      <c r="J9">
        <f t="shared" si="0"/>
        <v>600</v>
      </c>
      <c r="L9">
        <f t="shared" si="1"/>
        <v>0.26785714285714285</v>
      </c>
    </row>
    <row r="10" spans="1:12" x14ac:dyDescent="0.25">
      <c r="A10">
        <v>1735</v>
      </c>
      <c r="B10" t="s">
        <v>56</v>
      </c>
      <c r="C10" t="s">
        <v>69</v>
      </c>
      <c r="D10" t="s">
        <v>33</v>
      </c>
      <c r="H10">
        <v>16</v>
      </c>
      <c r="J10">
        <f t="shared" si="0"/>
        <v>16</v>
      </c>
      <c r="L10">
        <f t="shared" si="1"/>
        <v>7.1428571428571426E-3</v>
      </c>
    </row>
    <row r="11" spans="1:12" x14ac:dyDescent="0.25">
      <c r="A11">
        <v>1735</v>
      </c>
      <c r="B11" t="s">
        <v>21</v>
      </c>
      <c r="C11" t="s">
        <v>69</v>
      </c>
      <c r="D11" t="s">
        <v>33</v>
      </c>
      <c r="H11">
        <v>4</v>
      </c>
      <c r="J11">
        <f t="shared" si="0"/>
        <v>4</v>
      </c>
      <c r="L11">
        <f t="shared" si="1"/>
        <v>1.7857142857142857E-3</v>
      </c>
    </row>
    <row r="12" spans="1:12" x14ac:dyDescent="0.25">
      <c r="A12">
        <v>1735</v>
      </c>
      <c r="B12" t="s">
        <v>63</v>
      </c>
      <c r="C12" t="s">
        <v>69</v>
      </c>
      <c r="D12" t="s">
        <v>33</v>
      </c>
      <c r="E12">
        <v>1</v>
      </c>
      <c r="F12">
        <v>16</v>
      </c>
      <c r="J12">
        <f t="shared" si="0"/>
        <v>4032</v>
      </c>
      <c r="L12">
        <f t="shared" si="1"/>
        <v>1.8</v>
      </c>
    </row>
    <row r="13" spans="1:12" x14ac:dyDescent="0.25">
      <c r="A13">
        <v>1735</v>
      </c>
      <c r="B13" t="s">
        <v>65</v>
      </c>
      <c r="C13" t="s">
        <v>69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1735</v>
      </c>
      <c r="B14" t="s">
        <v>93</v>
      </c>
      <c r="C14" t="s">
        <v>69</v>
      </c>
      <c r="D14" t="s">
        <v>33</v>
      </c>
      <c r="E14">
        <v>2</v>
      </c>
      <c r="J14">
        <f t="shared" si="0"/>
        <v>4480</v>
      </c>
      <c r="L14">
        <f t="shared" si="1"/>
        <v>2</v>
      </c>
    </row>
    <row r="15" spans="1:12" x14ac:dyDescent="0.25">
      <c r="A15">
        <v>1735</v>
      </c>
      <c r="B15" t="s">
        <v>6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1735</v>
      </c>
      <c r="B16" t="s">
        <v>12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1735</v>
      </c>
      <c r="B17" t="s">
        <v>43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1735</v>
      </c>
      <c r="B18" t="s">
        <v>27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1735</v>
      </c>
      <c r="B19" t="s">
        <v>17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1735</v>
      </c>
      <c r="B20" t="s">
        <v>19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1735</v>
      </c>
      <c r="B21" t="s">
        <v>56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1735</v>
      </c>
      <c r="B22" t="s">
        <v>9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1735</v>
      </c>
      <c r="B23" t="s">
        <v>8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1735</v>
      </c>
      <c r="B24" t="s">
        <v>63</v>
      </c>
      <c r="C24" t="s">
        <v>69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1735</v>
      </c>
      <c r="B25" t="s">
        <v>65</v>
      </c>
      <c r="C25" t="s">
        <v>69</v>
      </c>
      <c r="D25" t="s">
        <v>35</v>
      </c>
      <c r="J25">
        <f t="shared" si="0"/>
        <v>0</v>
      </c>
      <c r="L25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8"/>
  <sheetViews>
    <sheetView topLeftCell="A52" zoomScaleNormal="100" workbookViewId="0">
      <selection activeCell="H86" sqref="H8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1735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1735</v>
      </c>
      <c r="B3" t="s">
        <v>59</v>
      </c>
      <c r="C3" t="s">
        <v>70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1735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1735</v>
      </c>
      <c r="B5" t="s">
        <v>4</v>
      </c>
      <c r="C5" t="s">
        <v>70</v>
      </c>
      <c r="D5" t="s">
        <v>33</v>
      </c>
      <c r="H5">
        <v>400</v>
      </c>
      <c r="J5">
        <f t="shared" si="0"/>
        <v>400</v>
      </c>
      <c r="L5">
        <f t="shared" si="1"/>
        <v>0.17857142857142858</v>
      </c>
    </row>
    <row r="6" spans="1:12" x14ac:dyDescent="0.25">
      <c r="A6">
        <v>1735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1735</v>
      </c>
      <c r="B7" t="s">
        <v>71</v>
      </c>
      <c r="C7" t="s">
        <v>70</v>
      </c>
      <c r="D7" t="s">
        <v>33</v>
      </c>
      <c r="H7">
        <v>16</v>
      </c>
      <c r="J7">
        <f t="shared" si="0"/>
        <v>16</v>
      </c>
      <c r="L7">
        <f t="shared" si="1"/>
        <v>7.1428571428571426E-3</v>
      </c>
    </row>
    <row r="8" spans="1:12" x14ac:dyDescent="0.25">
      <c r="A8">
        <v>1735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1735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1735</v>
      </c>
      <c r="B10" t="s">
        <v>5</v>
      </c>
      <c r="C10" t="s">
        <v>70</v>
      </c>
      <c r="D10" t="s">
        <v>33</v>
      </c>
      <c r="F10">
        <v>9</v>
      </c>
      <c r="G10">
        <v>2</v>
      </c>
      <c r="J10">
        <f t="shared" si="0"/>
        <v>1064</v>
      </c>
      <c r="L10">
        <f t="shared" si="1"/>
        <v>0.47499999999999998</v>
      </c>
    </row>
    <row r="11" spans="1:12" x14ac:dyDescent="0.25">
      <c r="A11">
        <v>1735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1735</v>
      </c>
      <c r="B12" t="s">
        <v>6</v>
      </c>
      <c r="C12" t="s">
        <v>70</v>
      </c>
      <c r="D12" t="s">
        <v>33</v>
      </c>
      <c r="F12">
        <v>178132</v>
      </c>
      <c r="G12">
        <v>3</v>
      </c>
      <c r="H12">
        <v>11</v>
      </c>
      <c r="J12">
        <f t="shared" si="0"/>
        <v>19950879</v>
      </c>
      <c r="L12">
        <f t="shared" si="1"/>
        <v>8906.6424107142866</v>
      </c>
    </row>
    <row r="13" spans="1:12" x14ac:dyDescent="0.25">
      <c r="A13">
        <v>1735</v>
      </c>
      <c r="B13" t="s">
        <v>103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1735</v>
      </c>
      <c r="B14" t="s">
        <v>62</v>
      </c>
      <c r="C14" t="s">
        <v>70</v>
      </c>
      <c r="D14" t="s">
        <v>33</v>
      </c>
      <c r="H14">
        <v>11</v>
      </c>
      <c r="J14">
        <f t="shared" si="0"/>
        <v>11</v>
      </c>
      <c r="L14">
        <f t="shared" si="1"/>
        <v>4.9107142857142856E-3</v>
      </c>
    </row>
    <row r="15" spans="1:12" x14ac:dyDescent="0.25">
      <c r="A15">
        <v>1735</v>
      </c>
      <c r="B15" t="s">
        <v>40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1735</v>
      </c>
      <c r="B16" t="s">
        <v>39</v>
      </c>
      <c r="C16" t="s">
        <v>70</v>
      </c>
      <c r="D16" t="s">
        <v>33</v>
      </c>
      <c r="H16">
        <v>1300</v>
      </c>
      <c r="J16">
        <f t="shared" si="0"/>
        <v>1300</v>
      </c>
      <c r="L16">
        <f t="shared" si="1"/>
        <v>0.5803571428571429</v>
      </c>
    </row>
    <row r="17" spans="1:12" x14ac:dyDescent="0.25">
      <c r="A17">
        <v>1735</v>
      </c>
      <c r="B17" t="s">
        <v>8</v>
      </c>
      <c r="C17" t="s">
        <v>70</v>
      </c>
      <c r="D17" t="s">
        <v>33</v>
      </c>
      <c r="F17">
        <v>330</v>
      </c>
      <c r="G17">
        <v>3</v>
      </c>
      <c r="H17">
        <v>3</v>
      </c>
      <c r="J17">
        <f t="shared" si="0"/>
        <v>37047</v>
      </c>
      <c r="L17">
        <f t="shared" si="1"/>
        <v>16.538839285714285</v>
      </c>
    </row>
    <row r="18" spans="1:12" x14ac:dyDescent="0.25">
      <c r="A18">
        <v>1735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1735</v>
      </c>
      <c r="B19" t="s">
        <v>80</v>
      </c>
      <c r="C19" t="s">
        <v>70</v>
      </c>
      <c r="D19" t="s">
        <v>33</v>
      </c>
      <c r="F19">
        <v>171</v>
      </c>
      <c r="H19">
        <v>25</v>
      </c>
      <c r="J19">
        <f t="shared" si="0"/>
        <v>19177</v>
      </c>
      <c r="L19">
        <f t="shared" si="1"/>
        <v>8.5611607142857142</v>
      </c>
    </row>
    <row r="20" spans="1:12" x14ac:dyDescent="0.25">
      <c r="A20">
        <v>1735</v>
      </c>
      <c r="B20" t="s">
        <v>81</v>
      </c>
      <c r="C20" t="s">
        <v>70</v>
      </c>
      <c r="D20" t="s">
        <v>33</v>
      </c>
      <c r="H20">
        <v>37108</v>
      </c>
      <c r="J20">
        <f t="shared" si="0"/>
        <v>37108</v>
      </c>
      <c r="L20">
        <f t="shared" si="1"/>
        <v>16.56607142857143</v>
      </c>
    </row>
    <row r="21" spans="1:12" x14ac:dyDescent="0.25">
      <c r="A21">
        <v>1735</v>
      </c>
      <c r="B21" t="s">
        <v>48</v>
      </c>
      <c r="C21" t="s">
        <v>70</v>
      </c>
      <c r="D21" t="s">
        <v>33</v>
      </c>
      <c r="H21">
        <v>197</v>
      </c>
      <c r="J21">
        <f t="shared" si="0"/>
        <v>197</v>
      </c>
      <c r="L21">
        <f t="shared" si="1"/>
        <v>8.7946428571428578E-2</v>
      </c>
    </row>
    <row r="22" spans="1:12" x14ac:dyDescent="0.25">
      <c r="A22">
        <v>1735</v>
      </c>
      <c r="B22" t="s">
        <v>9</v>
      </c>
      <c r="C22" t="s">
        <v>70</v>
      </c>
      <c r="D22" t="s">
        <v>33</v>
      </c>
      <c r="F22">
        <v>7</v>
      </c>
      <c r="H22">
        <f>666*170</f>
        <v>113220</v>
      </c>
      <c r="I22">
        <v>666</v>
      </c>
      <c r="J22">
        <f t="shared" si="0"/>
        <v>114004</v>
      </c>
      <c r="L22">
        <f t="shared" si="1"/>
        <v>50.894642857142856</v>
      </c>
    </row>
    <row r="23" spans="1:12" x14ac:dyDescent="0.25">
      <c r="A23">
        <v>1735</v>
      </c>
      <c r="B23" t="s">
        <v>10</v>
      </c>
      <c r="C23" t="s">
        <v>70</v>
      </c>
      <c r="D23" t="s">
        <v>33</v>
      </c>
      <c r="F23">
        <v>26954</v>
      </c>
      <c r="G23">
        <v>1</v>
      </c>
      <c r="H23">
        <v>3</v>
      </c>
      <c r="J23">
        <f t="shared" si="0"/>
        <v>3018879</v>
      </c>
      <c r="L23">
        <f t="shared" si="1"/>
        <v>1347.7138392857144</v>
      </c>
    </row>
    <row r="24" spans="1:12" x14ac:dyDescent="0.25">
      <c r="A24">
        <v>1735</v>
      </c>
      <c r="B24" t="s">
        <v>11</v>
      </c>
      <c r="C24" t="s">
        <v>70</v>
      </c>
      <c r="D24" t="s">
        <v>33</v>
      </c>
      <c r="F24">
        <v>160</v>
      </c>
      <c r="H24">
        <v>9</v>
      </c>
      <c r="J24">
        <f t="shared" si="0"/>
        <v>17929</v>
      </c>
      <c r="L24">
        <f t="shared" si="1"/>
        <v>8.0040178571428573</v>
      </c>
    </row>
    <row r="25" spans="1:12" x14ac:dyDescent="0.25">
      <c r="A25">
        <v>1735</v>
      </c>
      <c r="B25" t="s">
        <v>41</v>
      </c>
      <c r="C25" t="s">
        <v>70</v>
      </c>
      <c r="D25" t="s">
        <v>33</v>
      </c>
      <c r="H25">
        <v>36</v>
      </c>
      <c r="J25">
        <f t="shared" si="0"/>
        <v>36</v>
      </c>
      <c r="L25">
        <f t="shared" si="1"/>
        <v>1.607142857142857E-2</v>
      </c>
    </row>
    <row r="26" spans="1:12" x14ac:dyDescent="0.25">
      <c r="A26">
        <v>1735</v>
      </c>
      <c r="B26" t="s">
        <v>82</v>
      </c>
      <c r="C26" t="s">
        <v>70</v>
      </c>
      <c r="D26" t="s">
        <v>33</v>
      </c>
      <c r="H26">
        <v>15348</v>
      </c>
      <c r="J26">
        <f t="shared" si="0"/>
        <v>15348</v>
      </c>
      <c r="L26">
        <f t="shared" si="1"/>
        <v>6.8517857142857146</v>
      </c>
    </row>
    <row r="27" spans="1:12" x14ac:dyDescent="0.25">
      <c r="A27">
        <v>1735</v>
      </c>
      <c r="B27" t="s">
        <v>83</v>
      </c>
      <c r="C27" t="s">
        <v>70</v>
      </c>
      <c r="D27" t="s">
        <v>33</v>
      </c>
      <c r="H27">
        <v>4613</v>
      </c>
      <c r="J27">
        <f t="shared" si="0"/>
        <v>4613</v>
      </c>
      <c r="L27">
        <f t="shared" si="1"/>
        <v>2.0593750000000002</v>
      </c>
    </row>
    <row r="28" spans="1:12" x14ac:dyDescent="0.25">
      <c r="A28">
        <v>1735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1735</v>
      </c>
      <c r="B29" t="s">
        <v>104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1735</v>
      </c>
      <c r="B30" t="s">
        <v>12</v>
      </c>
      <c r="C30" t="s">
        <v>70</v>
      </c>
      <c r="D30" t="s">
        <v>33</v>
      </c>
      <c r="H30">
        <f>17310+87022</f>
        <v>104332</v>
      </c>
      <c r="J30">
        <f t="shared" si="0"/>
        <v>104332</v>
      </c>
      <c r="L30">
        <f t="shared" si="1"/>
        <v>46.576785714285712</v>
      </c>
    </row>
    <row r="31" spans="1:12" x14ac:dyDescent="0.25">
      <c r="A31">
        <v>1735</v>
      </c>
      <c r="B31" t="s">
        <v>86</v>
      </c>
      <c r="C31" t="s">
        <v>70</v>
      </c>
      <c r="D31" t="s">
        <v>33</v>
      </c>
      <c r="H31">
        <v>3455</v>
      </c>
      <c r="J31">
        <f t="shared" si="0"/>
        <v>3455</v>
      </c>
      <c r="L31">
        <f t="shared" si="1"/>
        <v>1.5424107142857142</v>
      </c>
    </row>
    <row r="32" spans="1:12" x14ac:dyDescent="0.25">
      <c r="A32">
        <v>1735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1735</v>
      </c>
      <c r="B33" t="s">
        <v>13</v>
      </c>
      <c r="C33" t="s">
        <v>70</v>
      </c>
      <c r="D33" t="s">
        <v>33</v>
      </c>
      <c r="E33">
        <v>52</v>
      </c>
      <c r="F33">
        <v>10</v>
      </c>
      <c r="J33">
        <f t="shared" si="0"/>
        <v>117600</v>
      </c>
      <c r="L33">
        <f t="shared" si="1"/>
        <v>52.5</v>
      </c>
    </row>
    <row r="34" spans="1:12" x14ac:dyDescent="0.25">
      <c r="A34">
        <v>1735</v>
      </c>
      <c r="B34" t="s">
        <v>14</v>
      </c>
      <c r="C34" t="s">
        <v>70</v>
      </c>
      <c r="D34" t="s">
        <v>33</v>
      </c>
      <c r="H34">
        <v>91443</v>
      </c>
      <c r="I34" t="s">
        <v>118</v>
      </c>
      <c r="J34">
        <f t="shared" si="0"/>
        <v>91443</v>
      </c>
      <c r="L34">
        <f t="shared" si="1"/>
        <v>40.822767857142857</v>
      </c>
    </row>
    <row r="35" spans="1:12" x14ac:dyDescent="0.25">
      <c r="A35">
        <v>1735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1735</v>
      </c>
      <c r="B36" t="s">
        <v>27</v>
      </c>
      <c r="C36" t="s">
        <v>70</v>
      </c>
      <c r="D36" t="s">
        <v>33</v>
      </c>
      <c r="H36">
        <v>162212</v>
      </c>
      <c r="I36" t="s">
        <v>121</v>
      </c>
      <c r="J36">
        <f t="shared" si="0"/>
        <v>162212</v>
      </c>
      <c r="L36">
        <f t="shared" si="1"/>
        <v>72.416071428571428</v>
      </c>
    </row>
    <row r="37" spans="1:12" x14ac:dyDescent="0.25">
      <c r="A37">
        <v>1735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1735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1735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1735</v>
      </c>
      <c r="B40" t="s">
        <v>49</v>
      </c>
      <c r="C40" t="s">
        <v>70</v>
      </c>
      <c r="D40" t="s">
        <v>33</v>
      </c>
      <c r="H40">
        <v>1140</v>
      </c>
      <c r="I40" t="s">
        <v>119</v>
      </c>
      <c r="J40">
        <f t="shared" si="0"/>
        <v>1140</v>
      </c>
      <c r="L40">
        <f t="shared" si="1"/>
        <v>0.5089285714285714</v>
      </c>
    </row>
    <row r="41" spans="1:12" x14ac:dyDescent="0.25">
      <c r="A41">
        <v>1735</v>
      </c>
      <c r="B41" t="s">
        <v>117</v>
      </c>
      <c r="C41" t="s">
        <v>70</v>
      </c>
      <c r="D41" t="s">
        <v>33</v>
      </c>
      <c r="E41">
        <v>7</v>
      </c>
      <c r="J41">
        <f t="shared" si="0"/>
        <v>15680</v>
      </c>
      <c r="L41">
        <f t="shared" si="1"/>
        <v>7</v>
      </c>
    </row>
    <row r="42" spans="1:12" x14ac:dyDescent="0.25">
      <c r="A42">
        <v>1735</v>
      </c>
      <c r="B42" t="s">
        <v>16</v>
      </c>
      <c r="C42" t="s">
        <v>70</v>
      </c>
      <c r="D42" t="s">
        <v>33</v>
      </c>
      <c r="H42">
        <v>139107</v>
      </c>
      <c r="J42">
        <f t="shared" si="0"/>
        <v>139107</v>
      </c>
      <c r="L42">
        <f t="shared" si="1"/>
        <v>62.101339285714289</v>
      </c>
    </row>
    <row r="43" spans="1:12" x14ac:dyDescent="0.25">
      <c r="A43">
        <v>1735</v>
      </c>
      <c r="B43" t="s">
        <v>100</v>
      </c>
      <c r="C43" t="s">
        <v>70</v>
      </c>
      <c r="D43" t="s">
        <v>33</v>
      </c>
      <c r="H43">
        <v>2771</v>
      </c>
      <c r="I43" t="s">
        <v>122</v>
      </c>
      <c r="J43">
        <f t="shared" si="0"/>
        <v>2771</v>
      </c>
      <c r="L43">
        <f t="shared" si="1"/>
        <v>1.2370535714285715</v>
      </c>
    </row>
    <row r="44" spans="1:12" x14ac:dyDescent="0.25">
      <c r="A44">
        <v>1735</v>
      </c>
      <c r="B44" t="s">
        <v>17</v>
      </c>
      <c r="C44" t="s">
        <v>70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1735</v>
      </c>
      <c r="B45" t="s">
        <v>18</v>
      </c>
      <c r="C45" t="s">
        <v>70</v>
      </c>
      <c r="D45" t="s">
        <v>33</v>
      </c>
      <c r="H45">
        <v>2097854</v>
      </c>
      <c r="I45" t="s">
        <v>120</v>
      </c>
      <c r="J45">
        <f t="shared" si="0"/>
        <v>2097854</v>
      </c>
      <c r="L45">
        <f t="shared" si="1"/>
        <v>936.54196428571424</v>
      </c>
    </row>
    <row r="46" spans="1:12" x14ac:dyDescent="0.25">
      <c r="A46">
        <v>1735</v>
      </c>
      <c r="B46" t="s">
        <v>26</v>
      </c>
      <c r="C46" t="s">
        <v>70</v>
      </c>
      <c r="D46" t="s">
        <v>33</v>
      </c>
      <c r="H46">
        <v>77628</v>
      </c>
      <c r="J46">
        <f t="shared" si="0"/>
        <v>77628</v>
      </c>
      <c r="L46">
        <f t="shared" si="1"/>
        <v>34.655357142857142</v>
      </c>
    </row>
    <row r="47" spans="1:12" x14ac:dyDescent="0.25">
      <c r="A47">
        <v>1735</v>
      </c>
      <c r="B47" t="s">
        <v>88</v>
      </c>
      <c r="C47" t="s">
        <v>70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1735</v>
      </c>
      <c r="B48" t="s">
        <v>19</v>
      </c>
      <c r="C48" t="s">
        <v>70</v>
      </c>
      <c r="D48" t="s">
        <v>33</v>
      </c>
      <c r="F48">
        <v>1</v>
      </c>
      <c r="J48">
        <f t="shared" si="0"/>
        <v>112</v>
      </c>
      <c r="L48">
        <f t="shared" si="1"/>
        <v>0.05</v>
      </c>
    </row>
    <row r="49" spans="1:12" x14ac:dyDescent="0.25">
      <c r="A49">
        <v>1735</v>
      </c>
      <c r="B49" t="s">
        <v>47</v>
      </c>
      <c r="C49" t="s">
        <v>70</v>
      </c>
      <c r="D49" t="s">
        <v>33</v>
      </c>
      <c r="H49">
        <v>807</v>
      </c>
      <c r="J49">
        <f t="shared" si="0"/>
        <v>807</v>
      </c>
      <c r="L49">
        <f t="shared" si="1"/>
        <v>0.36026785714285714</v>
      </c>
    </row>
    <row r="50" spans="1:12" x14ac:dyDescent="0.25">
      <c r="A50">
        <v>1735</v>
      </c>
      <c r="B50" t="s">
        <v>89</v>
      </c>
      <c r="C50" t="s">
        <v>70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1735</v>
      </c>
      <c r="B51" t="s">
        <v>56</v>
      </c>
      <c r="C51" t="s">
        <v>70</v>
      </c>
      <c r="D51" t="s">
        <v>33</v>
      </c>
      <c r="H51">
        <v>1654</v>
      </c>
      <c r="J51">
        <f t="shared" si="0"/>
        <v>1654</v>
      </c>
      <c r="L51">
        <f t="shared" si="1"/>
        <v>0.73839285714285718</v>
      </c>
    </row>
    <row r="52" spans="1:12" x14ac:dyDescent="0.25">
      <c r="A52">
        <v>1735</v>
      </c>
      <c r="B52" t="s">
        <v>102</v>
      </c>
      <c r="C52" t="s">
        <v>70</v>
      </c>
      <c r="D52" t="s">
        <v>33</v>
      </c>
      <c r="H52">
        <v>1019</v>
      </c>
      <c r="J52">
        <f t="shared" si="0"/>
        <v>1019</v>
      </c>
      <c r="L52">
        <f t="shared" si="1"/>
        <v>0.45491071428571428</v>
      </c>
    </row>
    <row r="53" spans="1:12" x14ac:dyDescent="0.25">
      <c r="A53">
        <v>1735</v>
      </c>
      <c r="B53" t="s">
        <v>20</v>
      </c>
      <c r="C53" t="s">
        <v>70</v>
      </c>
      <c r="D53" t="s">
        <v>33</v>
      </c>
      <c r="H53">
        <v>400</v>
      </c>
      <c r="J53">
        <f t="shared" si="0"/>
        <v>400</v>
      </c>
      <c r="L53">
        <f t="shared" si="1"/>
        <v>0.17857142857142858</v>
      </c>
    </row>
    <row r="54" spans="1:12" x14ac:dyDescent="0.25">
      <c r="A54">
        <v>1735</v>
      </c>
      <c r="B54" t="s">
        <v>21</v>
      </c>
      <c r="C54" t="s">
        <v>70</v>
      </c>
      <c r="D54" t="s">
        <v>33</v>
      </c>
      <c r="H54">
        <v>4341</v>
      </c>
      <c r="J54">
        <f t="shared" si="0"/>
        <v>4341</v>
      </c>
      <c r="L54">
        <f t="shared" si="1"/>
        <v>1.9379464285714285</v>
      </c>
    </row>
    <row r="55" spans="1:12" x14ac:dyDescent="0.25">
      <c r="A55">
        <v>1735</v>
      </c>
      <c r="B55" t="s">
        <v>22</v>
      </c>
      <c r="C55" t="s">
        <v>70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1735</v>
      </c>
      <c r="B56" t="s">
        <v>63</v>
      </c>
      <c r="C56" t="s">
        <v>70</v>
      </c>
      <c r="D56" t="s">
        <v>33</v>
      </c>
      <c r="E56">
        <v>23</v>
      </c>
      <c r="F56">
        <v>15</v>
      </c>
      <c r="G56">
        <v>1</v>
      </c>
      <c r="H56">
        <v>1</v>
      </c>
      <c r="J56">
        <f t="shared" si="0"/>
        <v>53229</v>
      </c>
      <c r="L56">
        <f t="shared" si="1"/>
        <v>23.762946428571428</v>
      </c>
    </row>
    <row r="57" spans="1:12" x14ac:dyDescent="0.25">
      <c r="A57">
        <v>1735</v>
      </c>
      <c r="B57" t="s">
        <v>105</v>
      </c>
      <c r="C57" t="s">
        <v>70</v>
      </c>
      <c r="D57" t="s">
        <v>33</v>
      </c>
      <c r="E57">
        <v>38</v>
      </c>
      <c r="F57">
        <v>16</v>
      </c>
      <c r="G57">
        <v>1</v>
      </c>
      <c r="H57">
        <v>18</v>
      </c>
      <c r="J57">
        <f t="shared" si="0"/>
        <v>86958</v>
      </c>
      <c r="L57">
        <f t="shared" si="1"/>
        <v>38.820535714285711</v>
      </c>
    </row>
    <row r="58" spans="1:12" x14ac:dyDescent="0.25">
      <c r="A58">
        <v>1735</v>
      </c>
      <c r="B58" t="s">
        <v>91</v>
      </c>
      <c r="C58" t="s">
        <v>70</v>
      </c>
      <c r="D58" t="s">
        <v>33</v>
      </c>
      <c r="E58">
        <v>10</v>
      </c>
      <c r="J58">
        <f t="shared" si="0"/>
        <v>22400</v>
      </c>
      <c r="L58">
        <f t="shared" si="1"/>
        <v>10</v>
      </c>
    </row>
    <row r="59" spans="1:12" x14ac:dyDescent="0.25">
      <c r="A59">
        <v>1735</v>
      </c>
      <c r="B59" t="s">
        <v>64</v>
      </c>
      <c r="C59" t="s">
        <v>70</v>
      </c>
      <c r="D59" t="s">
        <v>33</v>
      </c>
      <c r="E59">
        <v>31</v>
      </c>
      <c r="F59">
        <v>17</v>
      </c>
      <c r="G59">
        <v>1</v>
      </c>
      <c r="J59">
        <f t="shared" si="0"/>
        <v>71372</v>
      </c>
      <c r="L59">
        <f t="shared" si="1"/>
        <v>31.862500000000001</v>
      </c>
    </row>
    <row r="60" spans="1:12" x14ac:dyDescent="0.25">
      <c r="A60">
        <v>1735</v>
      </c>
      <c r="B60" t="s">
        <v>92</v>
      </c>
      <c r="C60" t="s">
        <v>70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1735</v>
      </c>
      <c r="B61" t="s">
        <v>65</v>
      </c>
      <c r="C61" t="s">
        <v>70</v>
      </c>
      <c r="D61" t="s">
        <v>33</v>
      </c>
      <c r="E61">
        <v>555</v>
      </c>
      <c r="F61">
        <v>1</v>
      </c>
      <c r="G61">
        <v>3</v>
      </c>
      <c r="H61">
        <v>14</v>
      </c>
      <c r="J61">
        <f t="shared" si="0"/>
        <v>1243410</v>
      </c>
      <c r="L61">
        <f t="shared" si="1"/>
        <v>555.09375</v>
      </c>
    </row>
    <row r="62" spans="1:12" x14ac:dyDescent="0.25">
      <c r="A62">
        <v>1735</v>
      </c>
      <c r="B62" t="s">
        <v>93</v>
      </c>
      <c r="C62" t="s">
        <v>70</v>
      </c>
      <c r="D62" t="s">
        <v>33</v>
      </c>
      <c r="E62">
        <v>489</v>
      </c>
      <c r="F62">
        <v>17</v>
      </c>
      <c r="I62" t="s">
        <v>123</v>
      </c>
      <c r="J62">
        <f t="shared" si="0"/>
        <v>1097264</v>
      </c>
      <c r="L62">
        <f t="shared" si="1"/>
        <v>489.85</v>
      </c>
    </row>
    <row r="63" spans="1:12" x14ac:dyDescent="0.25">
      <c r="A63">
        <v>1735</v>
      </c>
      <c r="B63" t="s">
        <v>73</v>
      </c>
      <c r="C63" t="s">
        <v>70</v>
      </c>
      <c r="D63" t="s">
        <v>33</v>
      </c>
      <c r="E63">
        <v>93</v>
      </c>
      <c r="F63">
        <v>6</v>
      </c>
      <c r="J63">
        <f t="shared" si="0"/>
        <v>208992</v>
      </c>
      <c r="L63">
        <f t="shared" si="1"/>
        <v>93.3</v>
      </c>
    </row>
    <row r="64" spans="1:12" x14ac:dyDescent="0.25">
      <c r="A64">
        <v>1735</v>
      </c>
      <c r="B64" t="s">
        <v>66</v>
      </c>
      <c r="C64" t="s">
        <v>70</v>
      </c>
      <c r="D64" t="s">
        <v>33</v>
      </c>
      <c r="E64">
        <v>63</v>
      </c>
      <c r="F64">
        <v>12</v>
      </c>
      <c r="J64">
        <f t="shared" si="0"/>
        <v>142464</v>
      </c>
      <c r="L64">
        <f t="shared" si="1"/>
        <v>63.6</v>
      </c>
    </row>
    <row r="65" spans="1:12" x14ac:dyDescent="0.25">
      <c r="A65">
        <v>1735</v>
      </c>
      <c r="B65" t="s">
        <v>67</v>
      </c>
      <c r="C65" t="s">
        <v>70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1735</v>
      </c>
      <c r="B66" t="s">
        <v>57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1735</v>
      </c>
      <c r="B67" t="s">
        <v>59</v>
      </c>
      <c r="C67" t="s">
        <v>70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1735</v>
      </c>
      <c r="B68" t="s">
        <v>38</v>
      </c>
      <c r="C68" t="s">
        <v>70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1735</v>
      </c>
      <c r="B69" t="s">
        <v>4</v>
      </c>
      <c r="C69" t="s">
        <v>70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1735</v>
      </c>
      <c r="B70" t="s">
        <v>60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1735</v>
      </c>
      <c r="B71" t="s">
        <v>71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1735</v>
      </c>
      <c r="B72" t="s">
        <v>45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1735</v>
      </c>
      <c r="B73" t="s">
        <v>79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1735</v>
      </c>
      <c r="B74" t="s">
        <v>5</v>
      </c>
      <c r="C74" t="s">
        <v>70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1735</v>
      </c>
      <c r="B75" t="s">
        <v>61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1735</v>
      </c>
      <c r="B76" t="s">
        <v>6</v>
      </c>
      <c r="C76" t="s">
        <v>70</v>
      </c>
      <c r="D76" t="s">
        <v>35</v>
      </c>
      <c r="F76">
        <v>98175</v>
      </c>
      <c r="G76">
        <v>2</v>
      </c>
      <c r="H76">
        <v>25</v>
      </c>
      <c r="J76">
        <f t="shared" si="2"/>
        <v>10995681</v>
      </c>
      <c r="L76">
        <f t="shared" si="3"/>
        <v>4908.7861607142859</v>
      </c>
    </row>
    <row r="77" spans="1:12" x14ac:dyDescent="0.25">
      <c r="A77">
        <v>1735</v>
      </c>
      <c r="B77" t="s">
        <v>62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1735</v>
      </c>
      <c r="B78" t="s">
        <v>40</v>
      </c>
      <c r="C78" t="s">
        <v>70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1735</v>
      </c>
      <c r="B79" t="s">
        <v>39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1735</v>
      </c>
      <c r="B80" t="s">
        <v>8</v>
      </c>
      <c r="C80" t="s">
        <v>70</v>
      </c>
      <c r="D80" t="s">
        <v>35</v>
      </c>
      <c r="F80">
        <v>23</v>
      </c>
      <c r="G80">
        <v>1</v>
      </c>
      <c r="J80">
        <f t="shared" si="2"/>
        <v>2604</v>
      </c>
      <c r="L80">
        <f t="shared" si="3"/>
        <v>1.1625000000000001</v>
      </c>
    </row>
    <row r="81" spans="1:12" x14ac:dyDescent="0.25">
      <c r="A81">
        <v>1735</v>
      </c>
      <c r="B81" t="s">
        <v>42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1735</v>
      </c>
      <c r="B82" t="s">
        <v>80</v>
      </c>
      <c r="C82" t="s">
        <v>70</v>
      </c>
      <c r="D82" t="s">
        <v>35</v>
      </c>
      <c r="F82">
        <v>16</v>
      </c>
      <c r="H82">
        <v>14</v>
      </c>
      <c r="J82">
        <f t="shared" si="2"/>
        <v>1806</v>
      </c>
      <c r="L82">
        <f t="shared" si="3"/>
        <v>0.80625000000000002</v>
      </c>
    </row>
    <row r="83" spans="1:12" x14ac:dyDescent="0.25">
      <c r="A83">
        <v>1735</v>
      </c>
      <c r="B83" t="s">
        <v>81</v>
      </c>
      <c r="C83" t="s">
        <v>70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1735</v>
      </c>
      <c r="B84" t="s">
        <v>48</v>
      </c>
      <c r="C84" t="s">
        <v>70</v>
      </c>
      <c r="D84" t="s">
        <v>35</v>
      </c>
      <c r="H84">
        <v>100</v>
      </c>
      <c r="J84">
        <f t="shared" si="2"/>
        <v>100</v>
      </c>
      <c r="L84">
        <f t="shared" si="3"/>
        <v>4.4642857142857144E-2</v>
      </c>
    </row>
    <row r="85" spans="1:12" x14ac:dyDescent="0.25">
      <c r="A85">
        <v>1735</v>
      </c>
      <c r="B85" t="s">
        <v>9</v>
      </c>
      <c r="C85" t="s">
        <v>70</v>
      </c>
      <c r="D85" t="s">
        <v>35</v>
      </c>
      <c r="H85">
        <f>1847*200</f>
        <v>369400</v>
      </c>
      <c r="I85" t="s">
        <v>146</v>
      </c>
      <c r="J85">
        <f t="shared" si="2"/>
        <v>369400</v>
      </c>
      <c r="L85">
        <f t="shared" si="3"/>
        <v>164.91071428571428</v>
      </c>
    </row>
    <row r="86" spans="1:12" x14ac:dyDescent="0.25">
      <c r="A86">
        <v>1735</v>
      </c>
      <c r="B86" t="s">
        <v>10</v>
      </c>
      <c r="C86" t="s">
        <v>70</v>
      </c>
      <c r="D86" t="s">
        <v>35</v>
      </c>
      <c r="F86">
        <v>9242</v>
      </c>
      <c r="G86">
        <v>3</v>
      </c>
      <c r="H86">
        <v>5</v>
      </c>
      <c r="J86">
        <f t="shared" si="2"/>
        <v>1035193</v>
      </c>
      <c r="L86">
        <f t="shared" si="3"/>
        <v>462.13973214285716</v>
      </c>
    </row>
    <row r="87" spans="1:12" x14ac:dyDescent="0.25">
      <c r="A87">
        <v>1735</v>
      </c>
      <c r="B87" t="s">
        <v>11</v>
      </c>
      <c r="C87" t="s">
        <v>70</v>
      </c>
      <c r="D87" t="s">
        <v>35</v>
      </c>
      <c r="F87">
        <v>225</v>
      </c>
      <c r="G87">
        <v>2</v>
      </c>
      <c r="H87">
        <v>15</v>
      </c>
      <c r="J87">
        <f t="shared" si="2"/>
        <v>25271</v>
      </c>
      <c r="L87">
        <f t="shared" si="3"/>
        <v>11.281696428571429</v>
      </c>
    </row>
    <row r="88" spans="1:12" x14ac:dyDescent="0.25">
      <c r="A88">
        <v>1735</v>
      </c>
      <c r="B88" t="s">
        <v>41</v>
      </c>
      <c r="C88" t="s">
        <v>70</v>
      </c>
      <c r="D88" t="s">
        <v>35</v>
      </c>
      <c r="H88">
        <v>5</v>
      </c>
      <c r="J88">
        <f t="shared" si="2"/>
        <v>5</v>
      </c>
      <c r="L88">
        <f t="shared" si="3"/>
        <v>2.232142857142857E-3</v>
      </c>
    </row>
    <row r="89" spans="1:12" x14ac:dyDescent="0.25">
      <c r="A89">
        <v>1735</v>
      </c>
      <c r="B89" t="s">
        <v>82</v>
      </c>
      <c r="C89" t="s">
        <v>70</v>
      </c>
      <c r="D89" t="s">
        <v>35</v>
      </c>
      <c r="H89">
        <v>7554</v>
      </c>
      <c r="J89">
        <f t="shared" si="2"/>
        <v>7554</v>
      </c>
      <c r="L89">
        <f t="shared" si="3"/>
        <v>3.3723214285714285</v>
      </c>
    </row>
    <row r="90" spans="1:12" x14ac:dyDescent="0.25">
      <c r="A90">
        <v>1735</v>
      </c>
      <c r="B90" t="s">
        <v>83</v>
      </c>
      <c r="C90" t="s">
        <v>70</v>
      </c>
      <c r="D90" t="s">
        <v>35</v>
      </c>
      <c r="H90">
        <v>815</v>
      </c>
      <c r="J90">
        <f t="shared" si="2"/>
        <v>815</v>
      </c>
      <c r="L90">
        <f t="shared" si="3"/>
        <v>0.3638392857142857</v>
      </c>
    </row>
    <row r="91" spans="1:12" x14ac:dyDescent="0.25">
      <c r="A91">
        <v>1735</v>
      </c>
      <c r="B91" t="s">
        <v>46</v>
      </c>
      <c r="C91" t="s">
        <v>70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1735</v>
      </c>
      <c r="B92" t="s">
        <v>104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1735</v>
      </c>
      <c r="B93" t="s">
        <v>12</v>
      </c>
      <c r="C93" t="s">
        <v>70</v>
      </c>
      <c r="D93" t="s">
        <v>35</v>
      </c>
      <c r="H93">
        <v>26795</v>
      </c>
      <c r="J93">
        <f t="shared" si="2"/>
        <v>26795</v>
      </c>
      <c r="L93">
        <f t="shared" si="3"/>
        <v>11.962053571428571</v>
      </c>
    </row>
    <row r="94" spans="1:12" x14ac:dyDescent="0.25">
      <c r="A94">
        <v>1735</v>
      </c>
      <c r="B94" t="s">
        <v>86</v>
      </c>
      <c r="C94" t="s">
        <v>70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1735</v>
      </c>
      <c r="B95" t="s">
        <v>34</v>
      </c>
      <c r="C95" t="s">
        <v>70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1735</v>
      </c>
      <c r="B96" t="s">
        <v>13</v>
      </c>
      <c r="C96" t="s">
        <v>70</v>
      </c>
      <c r="D96" t="s">
        <v>35</v>
      </c>
      <c r="E96">
        <v>8</v>
      </c>
      <c r="F96">
        <v>1</v>
      </c>
      <c r="G96">
        <v>3</v>
      </c>
      <c r="H96">
        <v>3</v>
      </c>
      <c r="J96">
        <f t="shared" si="2"/>
        <v>18119</v>
      </c>
      <c r="L96">
        <f t="shared" si="3"/>
        <v>8.0888392857142861</v>
      </c>
    </row>
    <row r="97" spans="1:12" x14ac:dyDescent="0.25">
      <c r="A97">
        <v>1735</v>
      </c>
      <c r="B97" t="s">
        <v>14</v>
      </c>
      <c r="C97" t="s">
        <v>70</v>
      </c>
      <c r="D97" t="s">
        <v>35</v>
      </c>
      <c r="H97">
        <v>24816</v>
      </c>
      <c r="I97" t="s">
        <v>143</v>
      </c>
      <c r="J97">
        <f t="shared" si="2"/>
        <v>24816</v>
      </c>
      <c r="L97">
        <f t="shared" si="3"/>
        <v>11.078571428571429</v>
      </c>
    </row>
    <row r="98" spans="1:12" x14ac:dyDescent="0.25">
      <c r="A98">
        <v>1735</v>
      </c>
      <c r="B98" t="s">
        <v>23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1735</v>
      </c>
      <c r="B99" t="s">
        <v>27</v>
      </c>
      <c r="C99" t="s">
        <v>70</v>
      </c>
      <c r="D99" t="s">
        <v>35</v>
      </c>
      <c r="H99">
        <v>34099</v>
      </c>
      <c r="I99" t="s">
        <v>145</v>
      </c>
      <c r="J99">
        <f t="shared" si="2"/>
        <v>34099</v>
      </c>
      <c r="L99">
        <f t="shared" si="3"/>
        <v>15.222767857142857</v>
      </c>
    </row>
    <row r="100" spans="1:12" x14ac:dyDescent="0.25">
      <c r="A100">
        <v>1735</v>
      </c>
      <c r="B100" t="s">
        <v>15</v>
      </c>
      <c r="C100" t="s">
        <v>70</v>
      </c>
      <c r="D100" t="s">
        <v>35</v>
      </c>
      <c r="F100">
        <v>15</v>
      </c>
      <c r="J100">
        <f t="shared" si="2"/>
        <v>1680</v>
      </c>
      <c r="L100">
        <f t="shared" si="3"/>
        <v>0.75</v>
      </c>
    </row>
    <row r="101" spans="1:12" x14ac:dyDescent="0.25">
      <c r="A101">
        <v>1735</v>
      </c>
      <c r="B101" t="s">
        <v>98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1735</v>
      </c>
      <c r="B102" t="s">
        <v>44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1735</v>
      </c>
      <c r="B103" t="s">
        <v>87</v>
      </c>
      <c r="C103" t="s">
        <v>70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1735</v>
      </c>
      <c r="B104" t="s">
        <v>49</v>
      </c>
      <c r="C104" t="s">
        <v>70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1735</v>
      </c>
      <c r="B105" t="s">
        <v>16</v>
      </c>
      <c r="C105" t="s">
        <v>70</v>
      </c>
      <c r="D105" t="s">
        <v>35</v>
      </c>
      <c r="H105">
        <v>96940</v>
      </c>
      <c r="J105">
        <f t="shared" si="2"/>
        <v>96940</v>
      </c>
      <c r="L105">
        <f t="shared" si="3"/>
        <v>43.276785714285715</v>
      </c>
    </row>
    <row r="106" spans="1:12" x14ac:dyDescent="0.25">
      <c r="A106">
        <v>1735</v>
      </c>
      <c r="B106" t="s">
        <v>17</v>
      </c>
      <c r="C106" t="s">
        <v>70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1735</v>
      </c>
      <c r="B107" t="s">
        <v>18</v>
      </c>
      <c r="C107" t="s">
        <v>70</v>
      </c>
      <c r="D107" t="s">
        <v>35</v>
      </c>
      <c r="H107">
        <v>343952</v>
      </c>
      <c r="I107" t="s">
        <v>144</v>
      </c>
      <c r="J107">
        <f t="shared" si="2"/>
        <v>343952</v>
      </c>
      <c r="L107">
        <f t="shared" si="3"/>
        <v>153.55000000000001</v>
      </c>
    </row>
    <row r="108" spans="1:12" x14ac:dyDescent="0.25">
      <c r="A108">
        <v>1735</v>
      </c>
      <c r="B108" t="s">
        <v>26</v>
      </c>
      <c r="C108" t="s">
        <v>70</v>
      </c>
      <c r="D108" t="s">
        <v>35</v>
      </c>
      <c r="H108">
        <v>45</v>
      </c>
      <c r="J108">
        <f t="shared" si="2"/>
        <v>45</v>
      </c>
      <c r="L108">
        <f t="shared" si="3"/>
        <v>2.0089285714285716E-2</v>
      </c>
    </row>
    <row r="109" spans="1:12" x14ac:dyDescent="0.25">
      <c r="A109">
        <v>1735</v>
      </c>
      <c r="B109" t="s">
        <v>88</v>
      </c>
      <c r="C109" t="s">
        <v>70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1735</v>
      </c>
      <c r="B110" t="s">
        <v>19</v>
      </c>
      <c r="C110" t="s">
        <v>70</v>
      </c>
      <c r="D110" t="s">
        <v>35</v>
      </c>
      <c r="F110">
        <v>28</v>
      </c>
      <c r="G110">
        <v>1</v>
      </c>
      <c r="H110">
        <v>13</v>
      </c>
      <c r="J110">
        <f t="shared" si="2"/>
        <v>3177</v>
      </c>
      <c r="L110">
        <f t="shared" si="3"/>
        <v>1.4183035714285714</v>
      </c>
    </row>
    <row r="111" spans="1:12" x14ac:dyDescent="0.25">
      <c r="A111">
        <v>1735</v>
      </c>
      <c r="B111" t="s">
        <v>47</v>
      </c>
      <c r="C111" t="s">
        <v>70</v>
      </c>
      <c r="D111" t="s">
        <v>35</v>
      </c>
      <c r="H111">
        <v>45</v>
      </c>
      <c r="J111">
        <f t="shared" si="2"/>
        <v>45</v>
      </c>
      <c r="L111">
        <f t="shared" si="3"/>
        <v>2.0089285714285716E-2</v>
      </c>
    </row>
    <row r="112" spans="1:12" x14ac:dyDescent="0.25">
      <c r="A112">
        <v>1735</v>
      </c>
      <c r="B112" t="s">
        <v>89</v>
      </c>
      <c r="C112" t="s">
        <v>70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1735</v>
      </c>
      <c r="B113" t="s">
        <v>56</v>
      </c>
      <c r="C113" t="s">
        <v>70</v>
      </c>
      <c r="D113" t="s">
        <v>35</v>
      </c>
      <c r="H113">
        <v>136</v>
      </c>
      <c r="J113">
        <f t="shared" si="2"/>
        <v>136</v>
      </c>
      <c r="L113">
        <f t="shared" si="3"/>
        <v>6.0714285714285714E-2</v>
      </c>
    </row>
    <row r="114" spans="1:12" x14ac:dyDescent="0.25">
      <c r="A114">
        <v>1735</v>
      </c>
      <c r="B114" t="s">
        <v>102</v>
      </c>
      <c r="C114" t="s">
        <v>70</v>
      </c>
      <c r="D114" t="s">
        <v>35</v>
      </c>
      <c r="H114">
        <v>39</v>
      </c>
      <c r="J114">
        <f t="shared" si="2"/>
        <v>39</v>
      </c>
      <c r="L114">
        <f t="shared" si="3"/>
        <v>1.7410714285714286E-2</v>
      </c>
    </row>
    <row r="115" spans="1:12" x14ac:dyDescent="0.25">
      <c r="A115">
        <v>1735</v>
      </c>
      <c r="B115" t="s">
        <v>20</v>
      </c>
      <c r="C115" t="s">
        <v>70</v>
      </c>
      <c r="D115" t="s">
        <v>35</v>
      </c>
      <c r="H115">
        <v>28</v>
      </c>
      <c r="J115">
        <f t="shared" si="2"/>
        <v>28</v>
      </c>
      <c r="L115">
        <f t="shared" si="3"/>
        <v>1.2500000000000001E-2</v>
      </c>
    </row>
    <row r="116" spans="1:12" x14ac:dyDescent="0.25">
      <c r="A116">
        <v>1735</v>
      </c>
      <c r="B116" t="s">
        <v>21</v>
      </c>
      <c r="C116" t="s">
        <v>70</v>
      </c>
      <c r="D116" t="s">
        <v>35</v>
      </c>
      <c r="H116">
        <v>836</v>
      </c>
      <c r="J116">
        <f t="shared" si="2"/>
        <v>836</v>
      </c>
      <c r="L116">
        <f t="shared" si="3"/>
        <v>0.37321428571428572</v>
      </c>
    </row>
    <row r="117" spans="1:12" x14ac:dyDescent="0.25">
      <c r="A117">
        <v>1735</v>
      </c>
      <c r="B117" t="s">
        <v>22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1735</v>
      </c>
      <c r="B118" t="s">
        <v>63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1735</v>
      </c>
      <c r="B119" t="s">
        <v>96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1735</v>
      </c>
      <c r="B120" t="s">
        <v>105</v>
      </c>
      <c r="C120" t="s">
        <v>70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1735</v>
      </c>
      <c r="B121" t="s">
        <v>91</v>
      </c>
      <c r="C121" t="s">
        <v>70</v>
      </c>
      <c r="D121" t="s">
        <v>35</v>
      </c>
      <c r="E121">
        <v>5</v>
      </c>
      <c r="F121">
        <v>12</v>
      </c>
      <c r="H121">
        <v>26</v>
      </c>
      <c r="J121">
        <f t="shared" si="2"/>
        <v>12570</v>
      </c>
      <c r="L121">
        <f t="shared" si="3"/>
        <v>5.6116071428571432</v>
      </c>
    </row>
    <row r="122" spans="1:12" x14ac:dyDescent="0.25">
      <c r="A122">
        <v>1735</v>
      </c>
      <c r="B122" t="s">
        <v>64</v>
      </c>
      <c r="C122" t="s">
        <v>70</v>
      </c>
      <c r="D122" t="s">
        <v>35</v>
      </c>
      <c r="E122">
        <v>18</v>
      </c>
      <c r="F122">
        <v>16</v>
      </c>
      <c r="H122">
        <v>24</v>
      </c>
      <c r="J122">
        <f t="shared" si="2"/>
        <v>42136</v>
      </c>
      <c r="L122">
        <f t="shared" si="3"/>
        <v>18.810714285714287</v>
      </c>
    </row>
    <row r="123" spans="1:12" x14ac:dyDescent="0.25">
      <c r="A123">
        <v>1735</v>
      </c>
      <c r="B123" t="s">
        <v>92</v>
      </c>
      <c r="C123" t="s">
        <v>70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1735</v>
      </c>
      <c r="B124" t="s">
        <v>65</v>
      </c>
      <c r="C124" t="s">
        <v>70</v>
      </c>
      <c r="D124" t="s">
        <v>35</v>
      </c>
      <c r="E124">
        <v>222</v>
      </c>
      <c r="F124">
        <v>9</v>
      </c>
      <c r="G124">
        <v>2</v>
      </c>
      <c r="H124">
        <v>29</v>
      </c>
      <c r="J124">
        <f t="shared" si="2"/>
        <v>498373</v>
      </c>
      <c r="L124">
        <f t="shared" si="3"/>
        <v>222.48794642857143</v>
      </c>
    </row>
    <row r="125" spans="1:12" x14ac:dyDescent="0.25">
      <c r="A125">
        <v>1735</v>
      </c>
      <c r="B125" t="s">
        <v>93</v>
      </c>
      <c r="C125" t="s">
        <v>70</v>
      </c>
      <c r="D125" t="s">
        <v>35</v>
      </c>
      <c r="E125">
        <v>196</v>
      </c>
      <c r="F125">
        <v>10</v>
      </c>
      <c r="G125">
        <v>3</v>
      </c>
      <c r="H125">
        <v>12</v>
      </c>
      <c r="J125">
        <f t="shared" si="2"/>
        <v>440256</v>
      </c>
      <c r="L125">
        <f t="shared" si="3"/>
        <v>196.54285714285714</v>
      </c>
    </row>
    <row r="126" spans="1:12" x14ac:dyDescent="0.25">
      <c r="A126">
        <v>1735</v>
      </c>
      <c r="B126" t="s">
        <v>73</v>
      </c>
      <c r="C126" t="s">
        <v>70</v>
      </c>
      <c r="D126" t="s">
        <v>35</v>
      </c>
      <c r="E126">
        <v>6</v>
      </c>
      <c r="J126">
        <f t="shared" si="2"/>
        <v>13440</v>
      </c>
      <c r="L126">
        <f t="shared" si="3"/>
        <v>6</v>
      </c>
    </row>
    <row r="127" spans="1:12" x14ac:dyDescent="0.25">
      <c r="A127">
        <v>1735</v>
      </c>
      <c r="B127" t="s">
        <v>66</v>
      </c>
      <c r="C127" t="s">
        <v>70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1735</v>
      </c>
      <c r="B128" t="s">
        <v>67</v>
      </c>
      <c r="C128" t="s">
        <v>70</v>
      </c>
      <c r="D128" t="s">
        <v>35</v>
      </c>
      <c r="J128">
        <f t="shared" si="2"/>
        <v>0</v>
      </c>
      <c r="L128">
        <f t="shared" si="3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1735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1735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1735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1735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1735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1735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1735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1735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1735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1735</v>
      </c>
      <c r="B11" t="s">
        <v>6</v>
      </c>
      <c r="C11" t="s">
        <v>75</v>
      </c>
      <c r="D11" t="s">
        <v>33</v>
      </c>
      <c r="F11">
        <v>52631</v>
      </c>
      <c r="G11">
        <v>1</v>
      </c>
      <c r="H11">
        <v>27</v>
      </c>
      <c r="J11">
        <f t="shared" si="0"/>
        <v>5894727</v>
      </c>
      <c r="L11">
        <f t="shared" si="1"/>
        <v>2631.5745535714286</v>
      </c>
    </row>
    <row r="12" spans="1:12" x14ac:dyDescent="0.25">
      <c r="A12">
        <v>1735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1735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1735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1735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1735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1735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1735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1735</v>
      </c>
      <c r="B19" t="s">
        <v>9</v>
      </c>
      <c r="C19" t="s">
        <v>75</v>
      </c>
      <c r="D19" t="s">
        <v>33</v>
      </c>
      <c r="F19">
        <v>20</v>
      </c>
      <c r="H19">
        <f>58*200</f>
        <v>11600</v>
      </c>
      <c r="I19" t="s">
        <v>127</v>
      </c>
      <c r="J19">
        <f t="shared" si="0"/>
        <v>13840</v>
      </c>
      <c r="L19">
        <f t="shared" si="1"/>
        <v>6.1785714285714288</v>
      </c>
    </row>
    <row r="20" spans="1:12" x14ac:dyDescent="0.25">
      <c r="A20">
        <v>1735</v>
      </c>
      <c r="B20" t="s">
        <v>10</v>
      </c>
      <c r="C20" t="s">
        <v>75</v>
      </c>
      <c r="D20" t="s">
        <v>33</v>
      </c>
      <c r="F20">
        <v>2</v>
      </c>
      <c r="J20">
        <f t="shared" si="0"/>
        <v>224</v>
      </c>
      <c r="L20">
        <f t="shared" si="1"/>
        <v>0.1</v>
      </c>
    </row>
    <row r="21" spans="1:12" x14ac:dyDescent="0.25">
      <c r="A21">
        <v>1735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1735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1735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1735</v>
      </c>
      <c r="B24" t="s">
        <v>12</v>
      </c>
      <c r="C24" t="s">
        <v>75</v>
      </c>
      <c r="D24" t="s">
        <v>33</v>
      </c>
      <c r="H24">
        <v>356</v>
      </c>
      <c r="J24">
        <f t="shared" si="0"/>
        <v>356</v>
      </c>
      <c r="L24">
        <f t="shared" si="1"/>
        <v>0.15892857142857142</v>
      </c>
    </row>
    <row r="25" spans="1:12" x14ac:dyDescent="0.25">
      <c r="A25">
        <v>1735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1735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1735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1735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1735</v>
      </c>
      <c r="B29" t="s">
        <v>27</v>
      </c>
      <c r="C29" t="s">
        <v>75</v>
      </c>
      <c r="D29" t="s">
        <v>33</v>
      </c>
      <c r="H29">
        <v>1090</v>
      </c>
      <c r="I29" t="s">
        <v>126</v>
      </c>
      <c r="J29">
        <f t="shared" si="0"/>
        <v>1090</v>
      </c>
      <c r="L29">
        <f t="shared" si="1"/>
        <v>0.48660714285714285</v>
      </c>
    </row>
    <row r="30" spans="1:12" x14ac:dyDescent="0.25">
      <c r="A30">
        <v>1735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1735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1735</v>
      </c>
      <c r="B32" t="s">
        <v>49</v>
      </c>
      <c r="C32" t="s">
        <v>75</v>
      </c>
      <c r="D32" t="s">
        <v>33</v>
      </c>
      <c r="H32">
        <v>20</v>
      </c>
      <c r="I32" t="s">
        <v>124</v>
      </c>
      <c r="J32">
        <f t="shared" si="0"/>
        <v>20</v>
      </c>
      <c r="L32">
        <f t="shared" si="1"/>
        <v>8.9285714285714281E-3</v>
      </c>
    </row>
    <row r="33" spans="1:12" x14ac:dyDescent="0.25">
      <c r="A33">
        <v>1735</v>
      </c>
      <c r="B33" t="s">
        <v>16</v>
      </c>
      <c r="C33" t="s">
        <v>75</v>
      </c>
      <c r="D33" t="s">
        <v>33</v>
      </c>
      <c r="H33">
        <v>193</v>
      </c>
      <c r="J33">
        <f t="shared" si="0"/>
        <v>193</v>
      </c>
      <c r="L33">
        <f t="shared" si="1"/>
        <v>8.6160714285714285E-2</v>
      </c>
    </row>
    <row r="34" spans="1:12" x14ac:dyDescent="0.25">
      <c r="A34">
        <v>1735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1735</v>
      </c>
      <c r="B35" t="s">
        <v>18</v>
      </c>
      <c r="C35" t="s">
        <v>75</v>
      </c>
      <c r="D35" t="s">
        <v>33</v>
      </c>
      <c r="H35">
        <v>56014</v>
      </c>
      <c r="I35" t="s">
        <v>125</v>
      </c>
      <c r="J35">
        <f t="shared" si="0"/>
        <v>56014</v>
      </c>
      <c r="L35">
        <f t="shared" si="1"/>
        <v>25.006250000000001</v>
      </c>
    </row>
    <row r="36" spans="1:12" x14ac:dyDescent="0.25">
      <c r="A36">
        <v>1735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1735</v>
      </c>
      <c r="B37" t="s">
        <v>19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1735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1735</v>
      </c>
      <c r="B39" t="s">
        <v>56</v>
      </c>
      <c r="C39" t="s">
        <v>75</v>
      </c>
      <c r="D39" t="s">
        <v>33</v>
      </c>
      <c r="H39">
        <v>58</v>
      </c>
      <c r="J39">
        <f t="shared" si="0"/>
        <v>58</v>
      </c>
      <c r="L39">
        <f t="shared" si="1"/>
        <v>2.5892857142857145E-2</v>
      </c>
    </row>
    <row r="40" spans="1:12" x14ac:dyDescent="0.25">
      <c r="A40">
        <v>1735</v>
      </c>
      <c r="B40" t="s">
        <v>102</v>
      </c>
      <c r="C40" t="s">
        <v>75</v>
      </c>
      <c r="D40" t="s">
        <v>33</v>
      </c>
      <c r="H40">
        <v>67</v>
      </c>
      <c r="J40">
        <f t="shared" si="0"/>
        <v>67</v>
      </c>
      <c r="L40">
        <f t="shared" si="1"/>
        <v>2.9910714285714287E-2</v>
      </c>
    </row>
    <row r="41" spans="1:12" x14ac:dyDescent="0.25">
      <c r="A41">
        <v>1735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1735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1735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1735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1735</v>
      </c>
      <c r="B45" t="s">
        <v>64</v>
      </c>
      <c r="C45" t="s">
        <v>75</v>
      </c>
      <c r="D45" t="s">
        <v>33</v>
      </c>
      <c r="E45">
        <v>43</v>
      </c>
      <c r="J45">
        <f t="shared" si="0"/>
        <v>96320</v>
      </c>
      <c r="L45">
        <f t="shared" si="1"/>
        <v>43</v>
      </c>
    </row>
    <row r="46" spans="1:12" x14ac:dyDescent="0.25">
      <c r="A46">
        <v>1735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1735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1735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1735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1735</v>
      </c>
      <c r="B50" t="s">
        <v>6</v>
      </c>
      <c r="C50" t="s">
        <v>75</v>
      </c>
      <c r="D50" t="s">
        <v>35</v>
      </c>
      <c r="F50">
        <v>10371</v>
      </c>
      <c r="H50">
        <v>13</v>
      </c>
      <c r="J50">
        <f t="shared" si="0"/>
        <v>1161565</v>
      </c>
      <c r="L50">
        <f t="shared" si="1"/>
        <v>518.55580357142856</v>
      </c>
    </row>
    <row r="51" spans="1:12" x14ac:dyDescent="0.25">
      <c r="A51">
        <v>1735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1735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1735</v>
      </c>
      <c r="B53" t="s">
        <v>9</v>
      </c>
      <c r="C53" t="s">
        <v>75</v>
      </c>
      <c r="D53" t="s">
        <v>35</v>
      </c>
      <c r="H53">
        <f>370*200</f>
        <v>74000</v>
      </c>
      <c r="I53" t="s">
        <v>149</v>
      </c>
      <c r="J53">
        <f t="shared" si="0"/>
        <v>74000</v>
      </c>
      <c r="L53">
        <f t="shared" si="1"/>
        <v>33.035714285714285</v>
      </c>
    </row>
    <row r="54" spans="1:12" x14ac:dyDescent="0.25">
      <c r="A54">
        <v>1735</v>
      </c>
      <c r="B54" t="s">
        <v>10</v>
      </c>
      <c r="C54" t="s">
        <v>75</v>
      </c>
      <c r="D54" t="s">
        <v>35</v>
      </c>
      <c r="F54">
        <v>9</v>
      </c>
      <c r="G54">
        <v>2</v>
      </c>
      <c r="H54">
        <v>1</v>
      </c>
      <c r="J54">
        <f t="shared" si="0"/>
        <v>1065</v>
      </c>
      <c r="L54">
        <f t="shared" si="1"/>
        <v>0.47544642857142855</v>
      </c>
    </row>
    <row r="55" spans="1:12" x14ac:dyDescent="0.25">
      <c r="A55">
        <v>1735</v>
      </c>
      <c r="B55" t="s">
        <v>11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1735</v>
      </c>
      <c r="B56" t="s">
        <v>12</v>
      </c>
      <c r="C56" t="s">
        <v>75</v>
      </c>
      <c r="D56" t="s">
        <v>35</v>
      </c>
      <c r="H56">
        <v>381</v>
      </c>
      <c r="J56">
        <f t="shared" si="0"/>
        <v>381</v>
      </c>
      <c r="L56">
        <f t="shared" si="1"/>
        <v>0.17008928571428572</v>
      </c>
    </row>
    <row r="57" spans="1:12" x14ac:dyDescent="0.25">
      <c r="A57">
        <v>1735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1735</v>
      </c>
      <c r="B58" t="s">
        <v>14</v>
      </c>
      <c r="C58" t="s">
        <v>75</v>
      </c>
      <c r="D58" t="s">
        <v>35</v>
      </c>
      <c r="H58">
        <v>1150</v>
      </c>
      <c r="I58" t="s">
        <v>147</v>
      </c>
      <c r="J58">
        <f t="shared" si="0"/>
        <v>1150</v>
      </c>
      <c r="L58">
        <f t="shared" si="1"/>
        <v>0.5133928571428571</v>
      </c>
    </row>
    <row r="59" spans="1:12" x14ac:dyDescent="0.25">
      <c r="A59">
        <v>1735</v>
      </c>
      <c r="B59" t="s">
        <v>27</v>
      </c>
      <c r="C59" t="s">
        <v>75</v>
      </c>
      <c r="D59" t="s">
        <v>35</v>
      </c>
      <c r="J59">
        <f>(E59*2240)+(F59*112)+(G59*28)+H59</f>
        <v>0</v>
      </c>
      <c r="L59">
        <f>J59/2240</f>
        <v>0</v>
      </c>
    </row>
    <row r="60" spans="1:12" x14ac:dyDescent="0.25">
      <c r="A60">
        <v>1735</v>
      </c>
      <c r="B60" t="s">
        <v>15</v>
      </c>
      <c r="C60" t="s">
        <v>75</v>
      </c>
      <c r="D60" t="s">
        <v>35</v>
      </c>
      <c r="J60">
        <f>(E60*2240)+(F60*112)+(G60*28)+H60</f>
        <v>0</v>
      </c>
      <c r="L60">
        <f>J60/2240</f>
        <v>0</v>
      </c>
    </row>
    <row r="61" spans="1:12" x14ac:dyDescent="0.25">
      <c r="A61">
        <v>1735</v>
      </c>
      <c r="B61" t="s">
        <v>16</v>
      </c>
      <c r="C61" t="s">
        <v>75</v>
      </c>
      <c r="D61" t="s">
        <v>35</v>
      </c>
      <c r="H61">
        <v>533</v>
      </c>
      <c r="J61">
        <f>(E61*2240)+(F61*112)+(G61*28)+H61</f>
        <v>533</v>
      </c>
      <c r="L61">
        <f>J61/2240</f>
        <v>0.23794642857142856</v>
      </c>
    </row>
    <row r="62" spans="1:12" x14ac:dyDescent="0.25">
      <c r="A62">
        <v>1735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1735</v>
      </c>
      <c r="B63" t="s">
        <v>18</v>
      </c>
      <c r="C63" t="s">
        <v>75</v>
      </c>
      <c r="D63" t="s">
        <v>35</v>
      </c>
      <c r="H63">
        <v>48953</v>
      </c>
      <c r="I63" t="s">
        <v>148</v>
      </c>
      <c r="J63">
        <f t="shared" si="0"/>
        <v>48953</v>
      </c>
      <c r="L63">
        <f t="shared" si="1"/>
        <v>21.854017857142857</v>
      </c>
    </row>
    <row r="64" spans="1:12" x14ac:dyDescent="0.25">
      <c r="A64">
        <v>1735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1735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1735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1735</v>
      </c>
      <c r="B67" t="s">
        <v>22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1735</v>
      </c>
      <c r="B68" t="s">
        <v>64</v>
      </c>
      <c r="C68" t="s">
        <v>75</v>
      </c>
      <c r="D68" t="s">
        <v>35</v>
      </c>
      <c r="E68">
        <v>63</v>
      </c>
      <c r="F68">
        <v>3</v>
      </c>
      <c r="H68">
        <v>20</v>
      </c>
      <c r="J68">
        <f t="shared" ref="J68:J69" si="2">(E68*2240)+(F68*112)+(G68*28)+H68</f>
        <v>141476</v>
      </c>
      <c r="L68">
        <f t="shared" ref="L68:L69" si="3">J68/2240</f>
        <v>63.158928571428568</v>
      </c>
    </row>
    <row r="69" spans="1:12" x14ac:dyDescent="0.25">
      <c r="A69">
        <v>1735</v>
      </c>
      <c r="B69" t="s">
        <v>66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1735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1735</v>
      </c>
      <c r="B3" t="s">
        <v>59</v>
      </c>
      <c r="C3" t="s">
        <v>76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1735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1735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1735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1735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1735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1735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1735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1735</v>
      </c>
      <c r="B11" t="s">
        <v>6</v>
      </c>
      <c r="C11" t="s">
        <v>76</v>
      </c>
      <c r="D11" t="s">
        <v>33</v>
      </c>
      <c r="F11">
        <v>34662</v>
      </c>
      <c r="G11">
        <v>3</v>
      </c>
      <c r="H11">
        <v>11</v>
      </c>
      <c r="J11">
        <f t="shared" si="0"/>
        <v>3882239</v>
      </c>
      <c r="L11">
        <f t="shared" si="1"/>
        <v>1733.1424107142857</v>
      </c>
    </row>
    <row r="12" spans="1:12" x14ac:dyDescent="0.25">
      <c r="A12">
        <v>1735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1735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1735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1735</v>
      </c>
      <c r="B15" t="s">
        <v>8</v>
      </c>
      <c r="C15" t="s">
        <v>76</v>
      </c>
      <c r="D15" t="s">
        <v>33</v>
      </c>
      <c r="F15">
        <v>17</v>
      </c>
      <c r="H15">
        <v>3</v>
      </c>
      <c r="J15">
        <f t="shared" si="0"/>
        <v>1907</v>
      </c>
      <c r="L15">
        <f t="shared" si="1"/>
        <v>0.85133928571428574</v>
      </c>
    </row>
    <row r="16" spans="1:12" x14ac:dyDescent="0.25">
      <c r="A16">
        <v>1735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1735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1735</v>
      </c>
      <c r="B18" t="s">
        <v>9</v>
      </c>
      <c r="C18" t="s">
        <v>76</v>
      </c>
      <c r="D18" t="s">
        <v>33</v>
      </c>
      <c r="F18">
        <v>109</v>
      </c>
      <c r="H18">
        <f>70*200</f>
        <v>14000</v>
      </c>
      <c r="I18" t="s">
        <v>131</v>
      </c>
      <c r="J18">
        <f t="shared" si="0"/>
        <v>26208</v>
      </c>
      <c r="L18">
        <f t="shared" si="1"/>
        <v>11.7</v>
      </c>
    </row>
    <row r="19" spans="1:12" x14ac:dyDescent="0.25">
      <c r="A19">
        <v>1735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1735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1735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1735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1735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1735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1735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1735</v>
      </c>
      <c r="B26" t="s">
        <v>14</v>
      </c>
      <c r="C26" t="s">
        <v>76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1735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1735</v>
      </c>
      <c r="B28" t="s">
        <v>27</v>
      </c>
      <c r="C28" t="s">
        <v>76</v>
      </c>
      <c r="D28" t="s">
        <v>33</v>
      </c>
      <c r="H28">
        <v>6592</v>
      </c>
      <c r="I28" t="s">
        <v>130</v>
      </c>
      <c r="J28">
        <f t="shared" si="0"/>
        <v>6592</v>
      </c>
      <c r="L28">
        <f t="shared" si="1"/>
        <v>2.9428571428571431</v>
      </c>
    </row>
    <row r="29" spans="1:12" x14ac:dyDescent="0.25">
      <c r="A29">
        <v>1735</v>
      </c>
      <c r="B29" t="s">
        <v>15</v>
      </c>
      <c r="C29" t="s">
        <v>76</v>
      </c>
      <c r="D29" t="s">
        <v>33</v>
      </c>
      <c r="F29">
        <v>15</v>
      </c>
      <c r="G29">
        <v>1</v>
      </c>
      <c r="J29">
        <f t="shared" si="0"/>
        <v>1708</v>
      </c>
      <c r="L29">
        <f t="shared" si="1"/>
        <v>0.76249999999999996</v>
      </c>
    </row>
    <row r="30" spans="1:12" x14ac:dyDescent="0.25">
      <c r="A30">
        <v>1735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1735</v>
      </c>
      <c r="B31" t="s">
        <v>49</v>
      </c>
      <c r="C31" t="s">
        <v>76</v>
      </c>
      <c r="D31" t="s">
        <v>33</v>
      </c>
      <c r="H31">
        <v>40</v>
      </c>
      <c r="I31" t="s">
        <v>128</v>
      </c>
      <c r="J31">
        <f t="shared" si="0"/>
        <v>40</v>
      </c>
      <c r="L31">
        <f t="shared" si="1"/>
        <v>1.7857142857142856E-2</v>
      </c>
    </row>
    <row r="32" spans="1:12" x14ac:dyDescent="0.25">
      <c r="A32">
        <v>1735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1735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1735</v>
      </c>
      <c r="B34" t="s">
        <v>18</v>
      </c>
      <c r="C34" t="s">
        <v>76</v>
      </c>
      <c r="D34" t="s">
        <v>33</v>
      </c>
      <c r="H34">
        <v>3271</v>
      </c>
      <c r="I34" t="s">
        <v>129</v>
      </c>
      <c r="J34">
        <f t="shared" si="0"/>
        <v>3271</v>
      </c>
      <c r="L34">
        <f t="shared" si="1"/>
        <v>1.4602678571428571</v>
      </c>
    </row>
    <row r="35" spans="1:12" x14ac:dyDescent="0.25">
      <c r="A35">
        <v>1735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1735</v>
      </c>
      <c r="B36" t="s">
        <v>19</v>
      </c>
      <c r="C36" t="s">
        <v>76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1735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1735</v>
      </c>
      <c r="B38" t="s">
        <v>56</v>
      </c>
      <c r="C38" t="s">
        <v>76</v>
      </c>
      <c r="D38" t="s">
        <v>33</v>
      </c>
      <c r="H38">
        <v>69</v>
      </c>
      <c r="J38">
        <f t="shared" si="0"/>
        <v>69</v>
      </c>
      <c r="L38">
        <f t="shared" si="1"/>
        <v>3.080357142857143E-2</v>
      </c>
    </row>
    <row r="39" spans="1:12" x14ac:dyDescent="0.25">
      <c r="A39">
        <v>1735</v>
      </c>
      <c r="B39" t="s">
        <v>102</v>
      </c>
      <c r="C39" t="s">
        <v>76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1735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1735</v>
      </c>
      <c r="B41" t="s">
        <v>21</v>
      </c>
      <c r="C41" t="s">
        <v>76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1735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1735</v>
      </c>
      <c r="B43" t="s">
        <v>63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1735</v>
      </c>
      <c r="B44" t="s">
        <v>64</v>
      </c>
      <c r="C44" t="s">
        <v>76</v>
      </c>
      <c r="D44" t="s">
        <v>33</v>
      </c>
      <c r="E44">
        <v>44</v>
      </c>
      <c r="J44">
        <f t="shared" si="0"/>
        <v>98560</v>
      </c>
      <c r="L44">
        <f t="shared" si="1"/>
        <v>44</v>
      </c>
    </row>
    <row r="45" spans="1:12" x14ac:dyDescent="0.25">
      <c r="A45">
        <v>1735</v>
      </c>
      <c r="B45" t="s">
        <v>65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1735</v>
      </c>
      <c r="B46" t="s">
        <v>73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1735</v>
      </c>
      <c r="B47" t="s">
        <v>66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1735</v>
      </c>
      <c r="B48" t="s">
        <v>67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1735</v>
      </c>
      <c r="B49" t="s">
        <v>5</v>
      </c>
      <c r="C49" t="s">
        <v>76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1735</v>
      </c>
      <c r="B50" t="s">
        <v>6</v>
      </c>
      <c r="C50" t="s">
        <v>76</v>
      </c>
      <c r="D50" t="s">
        <v>35</v>
      </c>
      <c r="F50">
        <v>11135</v>
      </c>
      <c r="G50">
        <v>1</v>
      </c>
      <c r="H50">
        <v>7</v>
      </c>
      <c r="J50">
        <f t="shared" si="0"/>
        <v>1247155</v>
      </c>
      <c r="L50">
        <f t="shared" si="1"/>
        <v>556.765625</v>
      </c>
    </row>
    <row r="51" spans="1:12" x14ac:dyDescent="0.25">
      <c r="A51">
        <v>1735</v>
      </c>
      <c r="B51" t="s">
        <v>7</v>
      </c>
      <c r="C51" t="s">
        <v>76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1735</v>
      </c>
      <c r="B52" t="s">
        <v>8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1735</v>
      </c>
      <c r="B53" t="s">
        <v>9</v>
      </c>
      <c r="C53" t="s">
        <v>76</v>
      </c>
      <c r="D53" t="s">
        <v>35</v>
      </c>
      <c r="H53">
        <f>133*200</f>
        <v>26600</v>
      </c>
      <c r="I53" t="s">
        <v>151</v>
      </c>
      <c r="J53">
        <f t="shared" si="0"/>
        <v>26600</v>
      </c>
      <c r="L53">
        <f t="shared" si="1"/>
        <v>11.875</v>
      </c>
    </row>
    <row r="54" spans="1:12" x14ac:dyDescent="0.25">
      <c r="A54">
        <v>1735</v>
      </c>
      <c r="B54" t="s">
        <v>10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1735</v>
      </c>
      <c r="B55" t="s">
        <v>11</v>
      </c>
      <c r="C55" t="s">
        <v>76</v>
      </c>
      <c r="D55" t="s">
        <v>35</v>
      </c>
      <c r="F55">
        <v>2</v>
      </c>
      <c r="G55">
        <v>2</v>
      </c>
      <c r="H55">
        <v>14</v>
      </c>
      <c r="J55">
        <f t="shared" si="0"/>
        <v>294</v>
      </c>
      <c r="L55">
        <f t="shared" si="1"/>
        <v>0.13125000000000001</v>
      </c>
    </row>
    <row r="56" spans="1:12" x14ac:dyDescent="0.25">
      <c r="A56">
        <v>1735</v>
      </c>
      <c r="B56" t="s">
        <v>12</v>
      </c>
      <c r="C56" t="s">
        <v>76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1735</v>
      </c>
      <c r="B57" t="s">
        <v>13</v>
      </c>
      <c r="C57" t="s">
        <v>76</v>
      </c>
      <c r="D57" t="s">
        <v>35</v>
      </c>
      <c r="E57">
        <v>7</v>
      </c>
      <c r="J57">
        <f t="shared" si="0"/>
        <v>15680</v>
      </c>
      <c r="L57">
        <f t="shared" si="1"/>
        <v>7</v>
      </c>
    </row>
    <row r="58" spans="1:12" x14ac:dyDescent="0.25">
      <c r="A58">
        <v>1735</v>
      </c>
      <c r="B58" t="s">
        <v>14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1735</v>
      </c>
      <c r="B59" t="s">
        <v>27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1735</v>
      </c>
      <c r="B60" t="s">
        <v>15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1735</v>
      </c>
      <c r="B61" t="s">
        <v>17</v>
      </c>
      <c r="C61" t="s">
        <v>76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1735</v>
      </c>
      <c r="B62" t="s">
        <v>18</v>
      </c>
      <c r="C62" t="s">
        <v>76</v>
      </c>
      <c r="D62" t="s">
        <v>35</v>
      </c>
      <c r="H62">
        <v>200</v>
      </c>
      <c r="I62" t="s">
        <v>150</v>
      </c>
      <c r="J62">
        <f t="shared" si="0"/>
        <v>200</v>
      </c>
      <c r="L62">
        <f t="shared" si="1"/>
        <v>8.9285714285714288E-2</v>
      </c>
    </row>
    <row r="63" spans="1:12" x14ac:dyDescent="0.25">
      <c r="A63">
        <v>1735</v>
      </c>
      <c r="B63" t="s">
        <v>19</v>
      </c>
      <c r="C63" t="s">
        <v>76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1735</v>
      </c>
      <c r="B64" t="s">
        <v>56</v>
      </c>
      <c r="C64" t="s">
        <v>76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1735</v>
      </c>
      <c r="B65" t="s">
        <v>102</v>
      </c>
      <c r="C65" t="s">
        <v>76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1735</v>
      </c>
      <c r="B66" t="s">
        <v>21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1735</v>
      </c>
      <c r="B67" t="s">
        <v>22</v>
      </c>
      <c r="C67" t="s">
        <v>76</v>
      </c>
      <c r="D67" t="s">
        <v>35</v>
      </c>
      <c r="J67">
        <f t="shared" ref="J67:J68" si="2">(E67*2240)+(F67*112)+(G67*28)+H67</f>
        <v>0</v>
      </c>
      <c r="L67">
        <f t="shared" ref="L67:L68" si="3">J67/2240</f>
        <v>0</v>
      </c>
    </row>
    <row r="68" spans="1:12" x14ac:dyDescent="0.25">
      <c r="A68">
        <v>1735</v>
      </c>
      <c r="B68" t="s">
        <v>64</v>
      </c>
      <c r="C68" t="s">
        <v>76</v>
      </c>
      <c r="D68" t="s">
        <v>35</v>
      </c>
      <c r="E68">
        <v>5</v>
      </c>
      <c r="F68">
        <v>16</v>
      </c>
      <c r="J68">
        <f t="shared" si="2"/>
        <v>12992</v>
      </c>
      <c r="L68">
        <f t="shared" si="3"/>
        <v>5.8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5"/>
  <sheetViews>
    <sheetView topLeftCell="A25" workbookViewId="0">
      <selection activeCell="H59" sqref="H5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1735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1735</v>
      </c>
      <c r="B3" t="s">
        <v>59</v>
      </c>
      <c r="C3" t="s">
        <v>77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2" x14ac:dyDescent="0.25">
      <c r="A4">
        <v>1735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1735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1735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1735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1735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1735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1735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1735</v>
      </c>
      <c r="B11" t="s">
        <v>6</v>
      </c>
      <c r="C11" t="s">
        <v>77</v>
      </c>
      <c r="D11" t="s">
        <v>33</v>
      </c>
      <c r="F11">
        <v>167192</v>
      </c>
      <c r="G11">
        <v>1</v>
      </c>
      <c r="H11">
        <v>15</v>
      </c>
      <c r="J11">
        <f t="shared" si="0"/>
        <v>18725547</v>
      </c>
      <c r="L11">
        <f t="shared" si="1"/>
        <v>8359.6191964285717</v>
      </c>
    </row>
    <row r="12" spans="1:12" x14ac:dyDescent="0.25">
      <c r="A12">
        <v>1735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1735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1735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1735</v>
      </c>
      <c r="B15" t="s">
        <v>8</v>
      </c>
      <c r="C15" t="s">
        <v>77</v>
      </c>
      <c r="D15" t="s">
        <v>33</v>
      </c>
      <c r="F15">
        <v>213</v>
      </c>
      <c r="H15">
        <v>8</v>
      </c>
      <c r="J15">
        <f t="shared" si="0"/>
        <v>23864</v>
      </c>
      <c r="L15">
        <f t="shared" si="1"/>
        <v>10.653571428571428</v>
      </c>
    </row>
    <row r="16" spans="1:12" x14ac:dyDescent="0.25">
      <c r="A16">
        <v>1735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1735</v>
      </c>
      <c r="B17" t="s">
        <v>80</v>
      </c>
      <c r="C17" t="s">
        <v>77</v>
      </c>
      <c r="D17" t="s">
        <v>33</v>
      </c>
      <c r="F17">
        <v>27</v>
      </c>
      <c r="H17">
        <v>3</v>
      </c>
      <c r="J17">
        <f t="shared" si="0"/>
        <v>3027</v>
      </c>
      <c r="L17">
        <f t="shared" si="1"/>
        <v>1.3513392857142856</v>
      </c>
    </row>
    <row r="18" spans="1:12" x14ac:dyDescent="0.25">
      <c r="A18">
        <v>1735</v>
      </c>
      <c r="B18" t="s">
        <v>99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1735</v>
      </c>
      <c r="B19" t="s">
        <v>48</v>
      </c>
      <c r="C19" t="s">
        <v>77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1735</v>
      </c>
      <c r="B20" t="s">
        <v>9</v>
      </c>
      <c r="C20" t="s">
        <v>77</v>
      </c>
      <c r="D20" t="s">
        <v>33</v>
      </c>
      <c r="F20">
        <v>5</v>
      </c>
      <c r="H20">
        <f>577*170</f>
        <v>98090</v>
      </c>
      <c r="I20">
        <v>577</v>
      </c>
      <c r="J20">
        <f t="shared" si="0"/>
        <v>98650</v>
      </c>
      <c r="L20">
        <f t="shared" si="1"/>
        <v>44.040178571428569</v>
      </c>
    </row>
    <row r="21" spans="1:12" x14ac:dyDescent="0.25">
      <c r="A21">
        <v>1735</v>
      </c>
      <c r="B21" t="s">
        <v>10</v>
      </c>
      <c r="C21" t="s">
        <v>77</v>
      </c>
      <c r="D21" t="s">
        <v>33</v>
      </c>
      <c r="F21">
        <v>2</v>
      </c>
      <c r="J21">
        <f t="shared" si="0"/>
        <v>224</v>
      </c>
      <c r="L21">
        <f t="shared" si="1"/>
        <v>0.1</v>
      </c>
    </row>
    <row r="22" spans="1:12" x14ac:dyDescent="0.25">
      <c r="A22">
        <v>1735</v>
      </c>
      <c r="B22" t="s">
        <v>11</v>
      </c>
      <c r="C22" t="s">
        <v>77</v>
      </c>
      <c r="D22" t="s">
        <v>33</v>
      </c>
      <c r="F22">
        <v>65</v>
      </c>
      <c r="G22">
        <v>3</v>
      </c>
      <c r="H22">
        <v>5</v>
      </c>
      <c r="J22">
        <f t="shared" si="0"/>
        <v>7369</v>
      </c>
      <c r="L22">
        <f t="shared" si="1"/>
        <v>3.2897321428571429</v>
      </c>
    </row>
    <row r="23" spans="1:12" x14ac:dyDescent="0.25">
      <c r="A23">
        <v>1735</v>
      </c>
      <c r="B23" t="s">
        <v>41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1735</v>
      </c>
      <c r="B24" t="s">
        <v>82</v>
      </c>
      <c r="C24" t="s">
        <v>77</v>
      </c>
      <c r="D24" t="s">
        <v>33</v>
      </c>
      <c r="H24">
        <v>16312</v>
      </c>
      <c r="J24">
        <f t="shared" si="0"/>
        <v>16312</v>
      </c>
      <c r="L24">
        <f t="shared" si="1"/>
        <v>7.2821428571428575</v>
      </c>
    </row>
    <row r="25" spans="1:12" x14ac:dyDescent="0.25">
      <c r="A25">
        <v>1735</v>
      </c>
      <c r="B25" t="s">
        <v>132</v>
      </c>
      <c r="C25" t="s">
        <v>77</v>
      </c>
      <c r="D25" t="s">
        <v>33</v>
      </c>
      <c r="H25">
        <v>295</v>
      </c>
      <c r="J25">
        <f t="shared" si="0"/>
        <v>295</v>
      </c>
      <c r="L25">
        <f t="shared" si="1"/>
        <v>0.13169642857142858</v>
      </c>
    </row>
    <row r="26" spans="1:12" x14ac:dyDescent="0.25">
      <c r="A26">
        <v>1735</v>
      </c>
      <c r="B26" t="s">
        <v>46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1735</v>
      </c>
      <c r="B27" t="s">
        <v>12</v>
      </c>
      <c r="C27" t="s">
        <v>77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1735</v>
      </c>
      <c r="B28" t="s">
        <v>34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1735</v>
      </c>
      <c r="B29" t="s">
        <v>13</v>
      </c>
      <c r="C29" t="s">
        <v>77</v>
      </c>
      <c r="D29" t="s">
        <v>33</v>
      </c>
      <c r="E29">
        <v>78</v>
      </c>
      <c r="F29">
        <v>5</v>
      </c>
      <c r="J29">
        <f t="shared" si="0"/>
        <v>175280</v>
      </c>
      <c r="L29">
        <f t="shared" si="1"/>
        <v>78.25</v>
      </c>
    </row>
    <row r="30" spans="1:12" x14ac:dyDescent="0.25">
      <c r="A30">
        <v>1735</v>
      </c>
      <c r="B30" t="s">
        <v>14</v>
      </c>
      <c r="C30" t="s">
        <v>77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1735</v>
      </c>
      <c r="B31" t="s">
        <v>23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1735</v>
      </c>
      <c r="B32" t="s">
        <v>27</v>
      </c>
      <c r="C32" t="s">
        <v>77</v>
      </c>
      <c r="D32" t="s">
        <v>33</v>
      </c>
      <c r="H32">
        <v>135465</v>
      </c>
      <c r="I32" t="s">
        <v>135</v>
      </c>
      <c r="J32">
        <f t="shared" si="0"/>
        <v>135465</v>
      </c>
      <c r="L32">
        <f t="shared" si="1"/>
        <v>60.475446428571431</v>
      </c>
    </row>
    <row r="33" spans="1:12" x14ac:dyDescent="0.25">
      <c r="A33">
        <v>1735</v>
      </c>
      <c r="B33" t="s">
        <v>15</v>
      </c>
      <c r="C33" t="s">
        <v>77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1735</v>
      </c>
      <c r="B34" t="s">
        <v>44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1735</v>
      </c>
      <c r="B35" t="s">
        <v>49</v>
      </c>
      <c r="C35" t="s">
        <v>77</v>
      </c>
      <c r="D35" t="s">
        <v>33</v>
      </c>
      <c r="H35">
        <v>100</v>
      </c>
      <c r="I35" t="s">
        <v>133</v>
      </c>
      <c r="J35">
        <f t="shared" si="0"/>
        <v>100</v>
      </c>
      <c r="L35">
        <f t="shared" si="1"/>
        <v>4.4642857142857144E-2</v>
      </c>
    </row>
    <row r="36" spans="1:12" x14ac:dyDescent="0.25">
      <c r="A36">
        <v>1735</v>
      </c>
      <c r="B36" t="s">
        <v>117</v>
      </c>
      <c r="C36" t="s">
        <v>77</v>
      </c>
      <c r="D36" t="s">
        <v>33</v>
      </c>
      <c r="E36">
        <v>1</v>
      </c>
      <c r="F36">
        <v>13</v>
      </c>
      <c r="J36">
        <f t="shared" si="0"/>
        <v>3696</v>
      </c>
      <c r="L36">
        <f t="shared" si="1"/>
        <v>1.65</v>
      </c>
    </row>
    <row r="37" spans="1:12" x14ac:dyDescent="0.25">
      <c r="A37">
        <v>1735</v>
      </c>
      <c r="B37" t="s">
        <v>16</v>
      </c>
      <c r="C37" t="s">
        <v>77</v>
      </c>
      <c r="D37" t="s">
        <v>33</v>
      </c>
      <c r="H37">
        <v>1143</v>
      </c>
      <c r="J37">
        <f t="shared" si="0"/>
        <v>1143</v>
      </c>
      <c r="L37">
        <f t="shared" si="1"/>
        <v>0.51026785714285716</v>
      </c>
    </row>
    <row r="38" spans="1:12" x14ac:dyDescent="0.25">
      <c r="A38">
        <v>1735</v>
      </c>
      <c r="B38" t="s">
        <v>100</v>
      </c>
      <c r="C38" t="s">
        <v>77</v>
      </c>
      <c r="D38" t="s">
        <v>33</v>
      </c>
      <c r="H38">
        <v>31138</v>
      </c>
      <c r="I38" t="s">
        <v>136</v>
      </c>
      <c r="J38">
        <f t="shared" si="0"/>
        <v>31138</v>
      </c>
      <c r="L38">
        <f t="shared" si="1"/>
        <v>13.900892857142857</v>
      </c>
    </row>
    <row r="39" spans="1:12" x14ac:dyDescent="0.25">
      <c r="A39">
        <v>1735</v>
      </c>
      <c r="B39" t="s">
        <v>17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1735</v>
      </c>
      <c r="B40" t="s">
        <v>18</v>
      </c>
      <c r="C40" t="s">
        <v>77</v>
      </c>
      <c r="D40" t="s">
        <v>33</v>
      </c>
      <c r="H40">
        <v>63266</v>
      </c>
      <c r="I40" t="s">
        <v>134</v>
      </c>
      <c r="J40">
        <f t="shared" si="0"/>
        <v>63266</v>
      </c>
      <c r="L40">
        <f t="shared" si="1"/>
        <v>28.243749999999999</v>
      </c>
    </row>
    <row r="41" spans="1:12" x14ac:dyDescent="0.25">
      <c r="A41">
        <v>1735</v>
      </c>
      <c r="B41" t="s">
        <v>72</v>
      </c>
      <c r="C41" t="s">
        <v>77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1735</v>
      </c>
      <c r="B42" t="s">
        <v>19</v>
      </c>
      <c r="C42" t="s">
        <v>77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1735</v>
      </c>
      <c r="B43" t="s">
        <v>47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1735</v>
      </c>
      <c r="B44" t="s">
        <v>56</v>
      </c>
      <c r="C44" t="s">
        <v>77</v>
      </c>
      <c r="D44" t="s">
        <v>33</v>
      </c>
      <c r="H44">
        <v>904</v>
      </c>
      <c r="J44">
        <f t="shared" si="0"/>
        <v>904</v>
      </c>
      <c r="L44">
        <f t="shared" si="1"/>
        <v>0.40357142857142858</v>
      </c>
    </row>
    <row r="45" spans="1:12" x14ac:dyDescent="0.25">
      <c r="A45">
        <v>1735</v>
      </c>
      <c r="B45" t="s">
        <v>102</v>
      </c>
      <c r="C45" t="s">
        <v>77</v>
      </c>
      <c r="D45" t="s">
        <v>33</v>
      </c>
      <c r="H45">
        <v>179</v>
      </c>
      <c r="J45">
        <f t="shared" si="0"/>
        <v>179</v>
      </c>
      <c r="L45">
        <f t="shared" si="1"/>
        <v>7.9910714285714279E-2</v>
      </c>
    </row>
    <row r="46" spans="1:12" x14ac:dyDescent="0.25">
      <c r="A46">
        <v>1735</v>
      </c>
      <c r="B46" t="s">
        <v>20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1735</v>
      </c>
      <c r="B47" t="s">
        <v>21</v>
      </c>
      <c r="C47" t="s">
        <v>77</v>
      </c>
      <c r="D47" t="s">
        <v>33</v>
      </c>
      <c r="H47">
        <v>112</v>
      </c>
      <c r="J47">
        <f t="shared" si="0"/>
        <v>112</v>
      </c>
      <c r="L47">
        <f t="shared" si="1"/>
        <v>0.05</v>
      </c>
    </row>
    <row r="48" spans="1:12" x14ac:dyDescent="0.25">
      <c r="A48">
        <v>1735</v>
      </c>
      <c r="B48" t="s">
        <v>22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1735</v>
      </c>
      <c r="B49" t="s">
        <v>63</v>
      </c>
      <c r="C49" t="s">
        <v>77</v>
      </c>
      <c r="D49" t="s">
        <v>33</v>
      </c>
      <c r="E49">
        <v>5</v>
      </c>
      <c r="J49">
        <f t="shared" si="0"/>
        <v>11200</v>
      </c>
      <c r="L49">
        <f t="shared" si="1"/>
        <v>5</v>
      </c>
    </row>
    <row r="50" spans="1:12" x14ac:dyDescent="0.25">
      <c r="A50">
        <v>1735</v>
      </c>
      <c r="B50" t="s">
        <v>64</v>
      </c>
      <c r="C50" t="s">
        <v>77</v>
      </c>
      <c r="D50" t="s">
        <v>33</v>
      </c>
      <c r="E50">
        <v>160</v>
      </c>
      <c r="F50">
        <v>14</v>
      </c>
      <c r="G50">
        <v>3</v>
      </c>
      <c r="H50">
        <v>1</v>
      </c>
      <c r="J50">
        <f t="shared" si="0"/>
        <v>360053</v>
      </c>
      <c r="L50">
        <f t="shared" si="1"/>
        <v>160.73794642857143</v>
      </c>
    </row>
    <row r="51" spans="1:12" x14ac:dyDescent="0.25">
      <c r="A51">
        <v>1735</v>
      </c>
      <c r="B51" t="s">
        <v>65</v>
      </c>
      <c r="C51" t="s">
        <v>77</v>
      </c>
      <c r="D51" t="s">
        <v>33</v>
      </c>
      <c r="E51">
        <v>1</v>
      </c>
      <c r="F51">
        <v>15</v>
      </c>
      <c r="J51">
        <f t="shared" si="0"/>
        <v>3920</v>
      </c>
      <c r="L51">
        <f t="shared" si="1"/>
        <v>1.75</v>
      </c>
    </row>
    <row r="52" spans="1:12" x14ac:dyDescent="0.25">
      <c r="A52">
        <v>1735</v>
      </c>
      <c r="B52" t="s">
        <v>73</v>
      </c>
      <c r="C52" t="s">
        <v>77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1735</v>
      </c>
      <c r="B53" t="s">
        <v>66</v>
      </c>
      <c r="C53" t="s">
        <v>77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1735</v>
      </c>
      <c r="B54" t="s">
        <v>67</v>
      </c>
      <c r="C54" t="s">
        <v>77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1735</v>
      </c>
      <c r="B55" t="s">
        <v>6</v>
      </c>
      <c r="C55" t="s">
        <v>77</v>
      </c>
      <c r="D55" t="s">
        <v>35</v>
      </c>
      <c r="F55">
        <v>23329</v>
      </c>
      <c r="G55">
        <v>2</v>
      </c>
      <c r="H55">
        <v>7</v>
      </c>
      <c r="J55">
        <f t="shared" si="0"/>
        <v>2612911</v>
      </c>
      <c r="L55">
        <f t="shared" si="1"/>
        <v>1166.4781250000001</v>
      </c>
    </row>
    <row r="56" spans="1:12" x14ac:dyDescent="0.25">
      <c r="A56">
        <v>1735</v>
      </c>
      <c r="B56" t="s">
        <v>7</v>
      </c>
      <c r="C56" t="s">
        <v>77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1735</v>
      </c>
      <c r="B57" t="s">
        <v>8</v>
      </c>
      <c r="C57" t="s">
        <v>77</v>
      </c>
      <c r="D57" t="s">
        <v>35</v>
      </c>
      <c r="F57">
        <v>31</v>
      </c>
      <c r="G57">
        <v>1</v>
      </c>
      <c r="H57">
        <v>10</v>
      </c>
      <c r="J57">
        <f t="shared" si="0"/>
        <v>3510</v>
      </c>
      <c r="L57">
        <f t="shared" si="1"/>
        <v>1.5669642857142858</v>
      </c>
    </row>
    <row r="58" spans="1:12" x14ac:dyDescent="0.25">
      <c r="A58">
        <v>1735</v>
      </c>
      <c r="B58" t="s">
        <v>9</v>
      </c>
      <c r="C58" t="s">
        <v>77</v>
      </c>
      <c r="D58" t="s">
        <v>35</v>
      </c>
      <c r="H58">
        <f>585*200</f>
        <v>117000</v>
      </c>
      <c r="I58" t="s">
        <v>154</v>
      </c>
      <c r="J58">
        <f t="shared" si="0"/>
        <v>117000</v>
      </c>
      <c r="L58">
        <f t="shared" si="1"/>
        <v>52.232142857142854</v>
      </c>
    </row>
    <row r="59" spans="1:12" x14ac:dyDescent="0.25">
      <c r="A59">
        <v>1735</v>
      </c>
      <c r="B59" t="s">
        <v>10</v>
      </c>
      <c r="C59" t="s">
        <v>77</v>
      </c>
      <c r="D59" t="s">
        <v>35</v>
      </c>
      <c r="F59">
        <v>10</v>
      </c>
      <c r="J59">
        <f t="shared" si="0"/>
        <v>1120</v>
      </c>
      <c r="L59">
        <f t="shared" si="1"/>
        <v>0.5</v>
      </c>
    </row>
    <row r="60" spans="1:12" x14ac:dyDescent="0.25">
      <c r="A60">
        <v>1735</v>
      </c>
      <c r="B60" t="s">
        <v>11</v>
      </c>
      <c r="C60" t="s">
        <v>77</v>
      </c>
      <c r="D60" t="s">
        <v>35</v>
      </c>
      <c r="F60">
        <v>99</v>
      </c>
      <c r="H60">
        <v>15</v>
      </c>
      <c r="J60">
        <f t="shared" si="0"/>
        <v>11103</v>
      </c>
      <c r="L60">
        <f t="shared" si="1"/>
        <v>4.956696428571429</v>
      </c>
    </row>
    <row r="61" spans="1:12" x14ac:dyDescent="0.25">
      <c r="A61">
        <v>1735</v>
      </c>
      <c r="B61" t="s">
        <v>82</v>
      </c>
      <c r="C61" t="s">
        <v>77</v>
      </c>
      <c r="D61" t="s">
        <v>35</v>
      </c>
      <c r="H61">
        <v>7966</v>
      </c>
      <c r="J61">
        <f t="shared" si="0"/>
        <v>7966</v>
      </c>
      <c r="L61">
        <f t="shared" si="1"/>
        <v>3.5562499999999999</v>
      </c>
    </row>
    <row r="62" spans="1:12" x14ac:dyDescent="0.25">
      <c r="A62">
        <v>1735</v>
      </c>
      <c r="B62" t="s">
        <v>12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1735</v>
      </c>
      <c r="B63" t="s">
        <v>13</v>
      </c>
      <c r="C63" t="s">
        <v>77</v>
      </c>
      <c r="D63" t="s">
        <v>35</v>
      </c>
      <c r="E63">
        <v>6</v>
      </c>
      <c r="F63">
        <v>6</v>
      </c>
      <c r="G63">
        <v>2</v>
      </c>
      <c r="H63">
        <v>24</v>
      </c>
      <c r="J63">
        <f t="shared" si="0"/>
        <v>14192</v>
      </c>
      <c r="L63">
        <f t="shared" si="1"/>
        <v>6.3357142857142854</v>
      </c>
    </row>
    <row r="64" spans="1:12" x14ac:dyDescent="0.25">
      <c r="A64">
        <v>1735</v>
      </c>
      <c r="B64" t="s">
        <v>14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1735</v>
      </c>
      <c r="B65" t="s">
        <v>27</v>
      </c>
      <c r="C65" t="s">
        <v>77</v>
      </c>
      <c r="D65" t="s">
        <v>35</v>
      </c>
      <c r="H65">
        <v>6702</v>
      </c>
      <c r="I65" t="s">
        <v>153</v>
      </c>
      <c r="J65">
        <f t="shared" si="0"/>
        <v>6702</v>
      </c>
      <c r="L65">
        <f t="shared" si="1"/>
        <v>2.9919642857142859</v>
      </c>
    </row>
    <row r="66" spans="1:12" x14ac:dyDescent="0.25">
      <c r="A66">
        <v>1735</v>
      </c>
      <c r="B66" t="s">
        <v>15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1735</v>
      </c>
      <c r="B67" t="s">
        <v>17</v>
      </c>
      <c r="C67" t="s">
        <v>77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1735</v>
      </c>
      <c r="B68" t="s">
        <v>18</v>
      </c>
      <c r="C68" t="s">
        <v>77</v>
      </c>
      <c r="D68" t="s">
        <v>35</v>
      </c>
      <c r="H68">
        <v>63561</v>
      </c>
      <c r="I68" t="s">
        <v>152</v>
      </c>
      <c r="J68">
        <f t="shared" si="0"/>
        <v>63561</v>
      </c>
      <c r="L68">
        <f t="shared" si="1"/>
        <v>28.375446428571429</v>
      </c>
    </row>
    <row r="69" spans="1:12" x14ac:dyDescent="0.25">
      <c r="A69">
        <v>1735</v>
      </c>
      <c r="B69" t="s">
        <v>19</v>
      </c>
      <c r="C69" t="s">
        <v>77</v>
      </c>
      <c r="D69" t="s">
        <v>35</v>
      </c>
      <c r="F69">
        <v>6</v>
      </c>
      <c r="G69">
        <v>1</v>
      </c>
      <c r="H69">
        <v>24</v>
      </c>
      <c r="J69">
        <f t="shared" si="0"/>
        <v>724</v>
      </c>
      <c r="L69">
        <f t="shared" si="1"/>
        <v>0.32321428571428573</v>
      </c>
    </row>
    <row r="70" spans="1:12" x14ac:dyDescent="0.25">
      <c r="A70">
        <v>1735</v>
      </c>
      <c r="B70" t="s">
        <v>56</v>
      </c>
      <c r="C70" t="s">
        <v>77</v>
      </c>
      <c r="D70" t="s">
        <v>35</v>
      </c>
      <c r="H70">
        <v>96</v>
      </c>
      <c r="J70">
        <f t="shared" si="0"/>
        <v>96</v>
      </c>
      <c r="L70">
        <f t="shared" si="1"/>
        <v>4.2857142857142858E-2</v>
      </c>
    </row>
    <row r="71" spans="1:12" x14ac:dyDescent="0.25">
      <c r="A71">
        <v>1735</v>
      </c>
      <c r="B71" t="s">
        <v>20</v>
      </c>
      <c r="C71" t="s">
        <v>77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1735</v>
      </c>
      <c r="B72" t="s">
        <v>21</v>
      </c>
      <c r="C72" t="s">
        <v>77</v>
      </c>
      <c r="D72" t="s">
        <v>35</v>
      </c>
      <c r="J72">
        <f t="shared" ref="J72:J75" si="2">(E72*2240)+(F72*112)+(G72*28)+H72</f>
        <v>0</v>
      </c>
      <c r="L72">
        <f t="shared" ref="L72:L75" si="3">J72/2240</f>
        <v>0</v>
      </c>
    </row>
    <row r="73" spans="1:12" x14ac:dyDescent="0.25">
      <c r="A73">
        <v>1735</v>
      </c>
      <c r="B73" t="s">
        <v>22</v>
      </c>
      <c r="C73" t="s">
        <v>77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1735</v>
      </c>
      <c r="B74" t="s">
        <v>64</v>
      </c>
      <c r="C74" t="s">
        <v>77</v>
      </c>
      <c r="D74" t="s">
        <v>35</v>
      </c>
      <c r="E74">
        <v>25</v>
      </c>
      <c r="F74">
        <v>18</v>
      </c>
      <c r="G74">
        <v>2</v>
      </c>
      <c r="J74">
        <f t="shared" si="2"/>
        <v>58072</v>
      </c>
      <c r="L74">
        <f t="shared" si="3"/>
        <v>25.925000000000001</v>
      </c>
    </row>
    <row r="75" spans="1:12" x14ac:dyDescent="0.25">
      <c r="A75">
        <v>1735</v>
      </c>
      <c r="B75" t="s">
        <v>66</v>
      </c>
      <c r="C75" t="s">
        <v>77</v>
      </c>
      <c r="D75" t="s">
        <v>35</v>
      </c>
      <c r="E75">
        <v>1</v>
      </c>
      <c r="F75">
        <v>16</v>
      </c>
      <c r="J75">
        <f t="shared" si="2"/>
        <v>4032</v>
      </c>
      <c r="L75">
        <f t="shared" si="3"/>
        <v>1.8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P15" sqref="P1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2025-04-29T19:19:58Z</dcterms:modified>
</cp:coreProperties>
</file>