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301" documentId="8_{099AB4E9-DE83-4F71-AA00-D132D2729817}" xr6:coauthVersionLast="47" xr6:coauthVersionMax="47" xr10:uidLastSave="{A37DD635-E608-40D2-B922-4AFBC83B1A2D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Barbados!$A$1:$N$53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1" l="1"/>
  <c r="H84" i="8"/>
  <c r="H83" i="7"/>
  <c r="H83" i="6"/>
  <c r="H86" i="5"/>
  <c r="H65" i="3"/>
  <c r="H85" i="2"/>
  <c r="H22" i="8"/>
  <c r="L44" i="8"/>
  <c r="J44" i="8"/>
  <c r="H22" i="7"/>
  <c r="H22" i="6"/>
  <c r="H23" i="5"/>
  <c r="H18" i="3"/>
  <c r="H23" i="2"/>
  <c r="J118" i="5"/>
  <c r="L118" i="5" s="1"/>
  <c r="J72" i="5"/>
  <c r="L72" i="5" s="1"/>
  <c r="J82" i="3"/>
  <c r="L82" i="3" s="1"/>
  <c r="J117" i="2"/>
  <c r="L117" i="2" s="1"/>
  <c r="L54" i="11"/>
  <c r="J54" i="11"/>
  <c r="J10" i="11"/>
  <c r="L10" i="11" s="1"/>
  <c r="J54" i="5"/>
  <c r="L54" i="5" s="1"/>
  <c r="J8" i="5"/>
  <c r="L8" i="5" s="1"/>
  <c r="J14" i="4"/>
  <c r="L14" i="4" s="1"/>
  <c r="J16" i="4"/>
  <c r="L16" i="4" s="1"/>
  <c r="J12" i="4"/>
  <c r="L12" i="4" s="1"/>
  <c r="J9" i="4"/>
  <c r="L9" i="4" s="1"/>
  <c r="J6" i="4"/>
  <c r="L6" i="4" s="1"/>
  <c r="J22" i="3"/>
  <c r="L22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L69" i="8"/>
  <c r="J69" i="8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L108" i="7"/>
  <c r="J108" i="7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8" i="2"/>
  <c r="L118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L6" i="3"/>
  <c r="L17" i="3"/>
  <c r="L28" i="3"/>
  <c r="L49" i="3"/>
  <c r="L50" i="3"/>
  <c r="L51" i="3"/>
  <c r="L60" i="3"/>
  <c r="L71" i="3"/>
  <c r="L72" i="3"/>
  <c r="L83" i="3"/>
  <c r="J3" i="3"/>
  <c r="L3" i="3" s="1"/>
  <c r="J4" i="3"/>
  <c r="L4" i="3" s="1"/>
  <c r="J5" i="3"/>
  <c r="L5" i="3" s="1"/>
  <c r="J6" i="3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J18" i="3"/>
  <c r="L18" i="3" s="1"/>
  <c r="J19" i="3"/>
  <c r="L19" i="3" s="1"/>
  <c r="J20" i="3"/>
  <c r="L20" i="3" s="1"/>
  <c r="J21" i="3"/>
  <c r="L21" i="3" s="1"/>
  <c r="J23" i="3"/>
  <c r="L23" i="3" s="1"/>
  <c r="J24" i="3"/>
  <c r="L24" i="3" s="1"/>
  <c r="J25" i="3"/>
  <c r="L25" i="3" s="1"/>
  <c r="J26" i="3"/>
  <c r="L26" i="3" s="1"/>
  <c r="J27" i="3"/>
  <c r="L27" i="3" s="1"/>
  <c r="J28" i="3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J50" i="3"/>
  <c r="J51" i="3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J72" i="3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3" i="3"/>
  <c r="J84" i="3"/>
  <c r="L84" i="3" s="1"/>
  <c r="J85" i="3"/>
  <c r="L85" i="3" s="1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3" i="5"/>
  <c r="L3" i="5" s="1"/>
  <c r="J4" i="5"/>
  <c r="L4" i="5" s="1"/>
  <c r="J5" i="5"/>
  <c r="L5" i="5" s="1"/>
  <c r="J6" i="5"/>
  <c r="L6" i="5" s="1"/>
  <c r="J7" i="5"/>
  <c r="L7" i="5" s="1"/>
  <c r="J9" i="5"/>
  <c r="L9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5" i="5"/>
  <c r="L55" i="5" s="1"/>
  <c r="J56" i="5"/>
  <c r="L56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3" i="5"/>
  <c r="L73" i="5" s="1"/>
  <c r="J74" i="5"/>
  <c r="L74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9" i="5"/>
  <c r="L119" i="5" s="1"/>
  <c r="J120" i="5"/>
  <c r="L120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5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<sst xmlns="http://schemas.openxmlformats.org/spreadsheetml/2006/main" count="3467" uniqueCount="152">
  <si>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</si>
  <si>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</si>
  <si>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</si>
  <si>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</si>
  <si>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</si>
  <si>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</si>
  <si>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</si>
  <si>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</si>
  <si>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</si>
  <si>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</si>
  <si>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</si>
  <si>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</si>
  <si>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</si>
  <si>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</si>
  <si>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</si>
  <si>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</si>
  <si>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</si>
  <si>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</si>
  <si>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</si>
  <si>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</si>
  <si>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</si>
  <si>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</si>
  <si>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</si>
  <si>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</si>
  <si>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</si>
  <si>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</si>
  <si>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</si>
  <si>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</si>
  <si>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</si>
  <si>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</si>
  <si>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</si>
  <si>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</si>
  <si>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</si>
  <si>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</si>
  <si>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</si>
  <si>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</si>
  <si>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</si>
  <si>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</si>
  <si>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</si>
  <si>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</si>
  <si>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</si>
  <si>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</si>
  <si>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</si>
  <si>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</si>
  <si>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</si>
  <si>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</si>
  <si>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</si>
  <si>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</si>
  <si>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</si>
  <si>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</si>
  <si>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</si>
  <si>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</si>
  <si>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</si>
  <si>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</si>
  <si>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</si>
  <si>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</si>
  <si>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</si>
  <si>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</si>
  <si>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</si>
  <si>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</si>
  <si>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</si>
  <si>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</si>
  <si>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</si>
  <si>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</si>
  <si>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</si>
  <si>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</si>
  <si>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</si>
  <si>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</si>
  <si>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</si>
  <si>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</si>
  <si>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</si>
  <si>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</si>
  <si>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</si>
  <si>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</si>
  <si>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</si>
  <si>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</si>
  <si>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</si>
  <si>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</si>
  <si>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</si>
  <si>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</si>
  <si>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</si>
  <si>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</si>
  <si>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</si>
  <si>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</si>
  <si>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</si>
  <si>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</si>
  <si>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</si>
  <si>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</si>
  <si>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</si>
  <si>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</si>
  <si>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</si>
  <si>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</si>
  <si>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</si>
  <si>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</si>
  <si>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</si>
  <si>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</si>
  <si>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</si>
  <si>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</si>
  <si>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</si>
  <si>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</si>
  <si>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</si>
  <si>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</si>
  <si>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</si>
  <si>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</si>
  <si>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</si>
  <si>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</si>
  <si>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</si>
  <si>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19.5g</t>
  </si>
  <si>
    <t>15077g</t>
  </si>
  <si>
    <t>2t 1h 6g</t>
  </si>
  <si>
    <t>Wood, Camwood</t>
  </si>
  <si>
    <t>118.25bags</t>
  </si>
  <si>
    <t>Gum Elemni</t>
  </si>
  <si>
    <t>77g</t>
  </si>
  <si>
    <t>17702.5g</t>
  </si>
  <si>
    <t>2t 3h 44g</t>
  </si>
  <si>
    <t>134.75bags</t>
  </si>
  <si>
    <t>25.5g</t>
  </si>
  <si>
    <t>266427g</t>
  </si>
  <si>
    <t>27t 3g</t>
  </si>
  <si>
    <t>214.75bags</t>
  </si>
  <si>
    <t>3g</t>
  </si>
  <si>
    <t>6435g</t>
  </si>
  <si>
    <t>3t 1h 55g</t>
  </si>
  <si>
    <t>58.5bags</t>
  </si>
  <si>
    <t>1256g</t>
  </si>
  <si>
    <t>4bags</t>
  </si>
  <si>
    <t>6g</t>
  </si>
  <si>
    <t>Saffron</t>
  </si>
  <si>
    <t>5728g</t>
  </si>
  <si>
    <t>23t 3h 35g</t>
  </si>
  <si>
    <t>274.75bags</t>
  </si>
  <si>
    <t>1h 40g</t>
  </si>
  <si>
    <t>6802g</t>
  </si>
  <si>
    <t>5t 2h 25g</t>
  </si>
  <si>
    <t>1156bags</t>
  </si>
  <si>
    <t>11602g</t>
  </si>
  <si>
    <t>7t 2h 57g</t>
  </si>
  <si>
    <t>470bags</t>
  </si>
  <si>
    <t>106357g</t>
  </si>
  <si>
    <t>6t 19g</t>
  </si>
  <si>
    <t>689.5bags</t>
  </si>
  <si>
    <t>2507g</t>
  </si>
  <si>
    <t>72bags</t>
  </si>
  <si>
    <t>39g</t>
  </si>
  <si>
    <t>43bags</t>
  </si>
  <si>
    <t>3596g</t>
  </si>
  <si>
    <t>2t 2h 42g</t>
  </si>
  <si>
    <t>309bags</t>
  </si>
  <si>
    <t>110g</t>
  </si>
  <si>
    <t>28g</t>
  </si>
  <si>
    <t>262bags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</si>
</sst>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0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2.2281249999999999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2.2281249999999999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19730.563392857144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10734.783482142857</v>
      </c>
      <c r="D4">
        <f t="shared" si="0"/>
        <v>30465.346875000003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2.7258928571428571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0.17723214285714287</v>
      </c>
      <c r="D6">
        <f t="shared" si="0"/>
        <v>2.9031250000000002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71.875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244.59821428571428</v>
      </c>
      <c r="D7">
        <f t="shared" si="0"/>
        <v>316.47321428571428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100.76116071428571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52.292857142857144</v>
      </c>
      <c r="D8">
        <f t="shared" si="0"/>
        <v>153.05401785714287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14.802678571428572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27.393750000000001</v>
      </c>
      <c r="D9">
        <f t="shared" si="0"/>
        <v>42.196428571428569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9.4080357142857149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6.6883928571428575</v>
      </c>
      <c r="D10">
        <f t="shared" si="0"/>
        <v>16.096428571428572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38.200000000000003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111.14642857142857</v>
      </c>
      <c r="D11">
        <f t="shared" si="0"/>
        <v>149.34642857142859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0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0</v>
      </c>
      <c r="D12">
        <f t="shared" si="0"/>
        <v>0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30.460491071428571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30.460491071428571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37.432142857142857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101.49598214285714</v>
      </c>
      <c r="D14">
        <f t="shared" si="0"/>
        <v>138.92812499999999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0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2.6</v>
      </c>
      <c r="D15">
        <f t="shared" si="0"/>
        <v>2.6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1396.0080357142856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584.53839285714275</v>
      </c>
      <c r="D16">
        <f t="shared" si="0"/>
        <v>1980.5464285714284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0.16250000000000001</v>
      </c>
      <c r="D17">
        <f t="shared" si="0"/>
        <v>0.16250000000000001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1.9459821428571429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0.13705357142857144</v>
      </c>
      <c r="D18">
        <f t="shared" si="0"/>
        <v>2.0830357142857143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</v>
      </c>
      <c r="D19">
        <f t="shared" si="0"/>
        <v>0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0.63482142857142854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1.1310267857142857</v>
      </c>
      <c r="D20">
        <f t="shared" si="0"/>
        <v>1.7658482142857141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0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1.9799107142857142</v>
      </c>
      <c r="D25">
        <f t="shared" si="0"/>
        <v>1.9799107142857142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37.09441964285714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25.292187500000001</v>
      </c>
      <c r="D26">
        <f t="shared" si="0"/>
        <v>62.386607142857144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6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6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282.41250000000002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283.98750000000001</v>
      </c>
      <c r="D28">
        <f t="shared" si="0"/>
        <v>566.40000000000009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154.35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87.275000000000006</v>
      </c>
      <c r="D29">
        <f t="shared" si="0"/>
        <v>241.625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0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7.3294642857142858</v>
      </c>
      <c r="D30">
        <f t="shared" si="0"/>
        <v>7.3294642857142858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29"/>
  <sheetViews>
    <sheetView topLeftCell="A84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1747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1747</v>
      </c>
      <c r="B3" t="s">
        <v>57</v>
      </c>
      <c r="C3" t="s">
        <v>53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1747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1747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1747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1747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1747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1747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1747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1747</v>
      </c>
      <c r="B11" t="s">
        <v>5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1747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1747</v>
      </c>
      <c r="B13" t="s">
        <v>6</v>
      </c>
      <c r="C13" t="s">
        <v>53</v>
      </c>
      <c r="D13" t="s">
        <v>33</v>
      </c>
      <c r="F13">
        <v>48043</v>
      </c>
      <c r="G13">
        <v>1</v>
      </c>
      <c r="J13">
        <f t="shared" si="0"/>
        <v>5380844</v>
      </c>
      <c r="L13">
        <f t="shared" si="1"/>
        <v>2402.1624999999999</v>
      </c>
    </row>
    <row r="14" spans="1:15" x14ac:dyDescent="0.25">
      <c r="A14">
        <v>1747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1747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1747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1747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1747</v>
      </c>
      <c r="B18" t="s">
        <v>8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1747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1747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1747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1747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1747</v>
      </c>
      <c r="B23" t="s">
        <v>9</v>
      </c>
      <c r="C23" t="s">
        <v>53</v>
      </c>
      <c r="D23" t="s">
        <v>33</v>
      </c>
      <c r="H23">
        <f>118.25*200</f>
        <v>23650</v>
      </c>
      <c r="I23" t="s">
        <v>111</v>
      </c>
      <c r="J23">
        <f t="shared" si="0"/>
        <v>23650</v>
      </c>
      <c r="L23">
        <f t="shared" si="1"/>
        <v>10.558035714285714</v>
      </c>
    </row>
    <row r="24" spans="1:12" x14ac:dyDescent="0.25">
      <c r="A24">
        <v>1747</v>
      </c>
      <c r="B24" t="s">
        <v>10</v>
      </c>
      <c r="C24" t="s">
        <v>53</v>
      </c>
      <c r="D24" t="s">
        <v>33</v>
      </c>
      <c r="H24">
        <v>15</v>
      </c>
      <c r="J24">
        <f t="shared" si="0"/>
        <v>15</v>
      </c>
      <c r="L24">
        <f t="shared" si="1"/>
        <v>6.6964285714285711E-3</v>
      </c>
    </row>
    <row r="25" spans="1:12" x14ac:dyDescent="0.25">
      <c r="A25">
        <v>1747</v>
      </c>
      <c r="B25" t="s">
        <v>11</v>
      </c>
      <c r="C25" t="s">
        <v>53</v>
      </c>
      <c r="D25" t="s">
        <v>33</v>
      </c>
      <c r="F25">
        <v>45</v>
      </c>
      <c r="G25">
        <v>2</v>
      </c>
      <c r="H25">
        <v>10</v>
      </c>
      <c r="J25">
        <f t="shared" si="0"/>
        <v>5106</v>
      </c>
      <c r="L25">
        <f t="shared" si="1"/>
        <v>2.2794642857142855</v>
      </c>
    </row>
    <row r="26" spans="1:12" x14ac:dyDescent="0.25">
      <c r="A26">
        <v>1747</v>
      </c>
      <c r="B26" t="s">
        <v>39</v>
      </c>
      <c r="C26" t="s">
        <v>53</v>
      </c>
      <c r="D26" t="s">
        <v>33</v>
      </c>
      <c r="H26">
        <v>27</v>
      </c>
      <c r="J26">
        <f t="shared" si="0"/>
        <v>27</v>
      </c>
      <c r="L26">
        <f t="shared" si="1"/>
        <v>1.2053571428571429E-2</v>
      </c>
    </row>
    <row r="27" spans="1:12" x14ac:dyDescent="0.25">
      <c r="A27">
        <v>1747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1747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1747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1747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1747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1747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1747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1747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1747</v>
      </c>
      <c r="B35" t="s">
        <v>13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1747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1747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1747</v>
      </c>
      <c r="B38" t="s">
        <v>27</v>
      </c>
      <c r="C38" t="s">
        <v>53</v>
      </c>
      <c r="D38" t="s">
        <v>33</v>
      </c>
      <c r="H38">
        <v>5731.5</v>
      </c>
      <c r="I38" t="s">
        <v>109</v>
      </c>
      <c r="J38">
        <f t="shared" si="0"/>
        <v>5731.5</v>
      </c>
      <c r="L38">
        <f t="shared" si="1"/>
        <v>2.5587053571428573</v>
      </c>
    </row>
    <row r="39" spans="1:12" x14ac:dyDescent="0.25">
      <c r="A39">
        <v>1747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1747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1747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1747</v>
      </c>
      <c r="B42" t="s">
        <v>47</v>
      </c>
      <c r="C42" t="s">
        <v>53</v>
      </c>
      <c r="D42" t="s">
        <v>33</v>
      </c>
      <c r="H42">
        <v>195</v>
      </c>
      <c r="I42" t="s">
        <v>107</v>
      </c>
      <c r="J42">
        <f t="shared" si="0"/>
        <v>195</v>
      </c>
      <c r="L42">
        <f t="shared" si="1"/>
        <v>8.7053571428571425E-2</v>
      </c>
    </row>
    <row r="43" spans="1:12" x14ac:dyDescent="0.25">
      <c r="A43">
        <v>1747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1747</v>
      </c>
      <c r="B44" t="s">
        <v>17</v>
      </c>
      <c r="C44" t="s">
        <v>53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1747</v>
      </c>
      <c r="B45" t="s">
        <v>18</v>
      </c>
      <c r="C45" t="s">
        <v>53</v>
      </c>
      <c r="D45" t="s">
        <v>33</v>
      </c>
      <c r="H45">
        <v>150808.5</v>
      </c>
      <c r="I45" t="s">
        <v>108</v>
      </c>
      <c r="J45">
        <f t="shared" si="0"/>
        <v>150808.5</v>
      </c>
      <c r="L45">
        <f t="shared" si="1"/>
        <v>67.325223214285714</v>
      </c>
    </row>
    <row r="46" spans="1:12" x14ac:dyDescent="0.25">
      <c r="A46">
        <v>1747</v>
      </c>
      <c r="B46" t="s">
        <v>26</v>
      </c>
      <c r="C46" t="s">
        <v>53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1747</v>
      </c>
      <c r="B47" t="s">
        <v>84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1747</v>
      </c>
      <c r="B48" t="s">
        <v>19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1747</v>
      </c>
      <c r="B49" t="s">
        <v>45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1747</v>
      </c>
      <c r="B50" t="s">
        <v>85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1747</v>
      </c>
      <c r="B51" t="s">
        <v>54</v>
      </c>
      <c r="C51" t="s">
        <v>53</v>
      </c>
      <c r="D51" t="s">
        <v>33</v>
      </c>
      <c r="H51">
        <v>800</v>
      </c>
      <c r="J51">
        <f t="shared" si="0"/>
        <v>800</v>
      </c>
      <c r="L51">
        <f t="shared" si="1"/>
        <v>0.35714285714285715</v>
      </c>
    </row>
    <row r="52" spans="1:12" x14ac:dyDescent="0.25">
      <c r="A52">
        <v>1747</v>
      </c>
      <c r="B52" t="s">
        <v>95</v>
      </c>
      <c r="C52" t="s">
        <v>53</v>
      </c>
      <c r="D52" t="s">
        <v>33</v>
      </c>
      <c r="H52">
        <v>76</v>
      </c>
      <c r="J52">
        <f t="shared" si="0"/>
        <v>76</v>
      </c>
      <c r="L52">
        <f t="shared" si="1"/>
        <v>3.3928571428571426E-2</v>
      </c>
    </row>
    <row r="53" spans="1:12" x14ac:dyDescent="0.25">
      <c r="A53">
        <v>1747</v>
      </c>
      <c r="B53" t="s">
        <v>20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1747</v>
      </c>
      <c r="B54" t="s">
        <v>21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1747</v>
      </c>
      <c r="B55" t="s">
        <v>22</v>
      </c>
      <c r="C55" t="s">
        <v>53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1747</v>
      </c>
      <c r="B56" t="s">
        <v>61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1747</v>
      </c>
      <c r="B57" t="s">
        <v>110</v>
      </c>
      <c r="C57" t="s">
        <v>53</v>
      </c>
      <c r="D57" t="s">
        <v>33</v>
      </c>
      <c r="E57">
        <v>10</v>
      </c>
      <c r="J57">
        <f t="shared" si="0"/>
        <v>22400</v>
      </c>
      <c r="L57">
        <f t="shared" si="1"/>
        <v>10</v>
      </c>
    </row>
    <row r="58" spans="1:12" x14ac:dyDescent="0.25">
      <c r="A58">
        <v>1747</v>
      </c>
      <c r="B58" t="s">
        <v>87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1747</v>
      </c>
      <c r="B59" t="s">
        <v>62</v>
      </c>
      <c r="C59" t="s">
        <v>53</v>
      </c>
      <c r="D59" t="s">
        <v>33</v>
      </c>
      <c r="E59">
        <v>7</v>
      </c>
      <c r="J59">
        <f t="shared" si="0"/>
        <v>15680</v>
      </c>
      <c r="L59">
        <f t="shared" si="1"/>
        <v>7</v>
      </c>
    </row>
    <row r="60" spans="1:12" x14ac:dyDescent="0.25">
      <c r="A60">
        <v>1747</v>
      </c>
      <c r="B60" t="s">
        <v>88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1747</v>
      </c>
      <c r="B61" t="s">
        <v>63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1747</v>
      </c>
      <c r="B62" t="s">
        <v>89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1747</v>
      </c>
      <c r="B63" t="s">
        <v>70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1747</v>
      </c>
      <c r="B64" t="s">
        <v>64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1747</v>
      </c>
      <c r="B65" t="s">
        <v>65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1747</v>
      </c>
      <c r="B66" t="s">
        <v>55</v>
      </c>
      <c r="C66" t="s">
        <v>53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1747</v>
      </c>
      <c r="B67" t="s">
        <v>57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1747</v>
      </c>
      <c r="B68" t="s">
        <v>36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1747</v>
      </c>
      <c r="B69" t="s">
        <v>4</v>
      </c>
      <c r="C69" t="s">
        <v>53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1747</v>
      </c>
      <c r="B70" t="s">
        <v>58</v>
      </c>
      <c r="C70" t="s">
        <v>53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1747</v>
      </c>
      <c r="B71" t="s">
        <v>69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1747</v>
      </c>
      <c r="B72" t="s">
        <v>43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1747</v>
      </c>
      <c r="B73" t="s">
        <v>76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1747</v>
      </c>
      <c r="B74" t="s">
        <v>5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1747</v>
      </c>
      <c r="B75" t="s">
        <v>59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1747</v>
      </c>
      <c r="B76" t="s">
        <v>6</v>
      </c>
      <c r="C76" t="s">
        <v>53</v>
      </c>
      <c r="D76" t="s">
        <v>35</v>
      </c>
      <c r="F76">
        <v>14045</v>
      </c>
      <c r="G76">
        <v>3</v>
      </c>
      <c r="H76">
        <v>12</v>
      </c>
      <c r="J76">
        <f t="shared" si="2"/>
        <v>1573136</v>
      </c>
      <c r="L76">
        <f t="shared" si="3"/>
        <v>702.29285714285709</v>
      </c>
    </row>
    <row r="77" spans="1:12" x14ac:dyDescent="0.25">
      <c r="A77">
        <v>1747</v>
      </c>
      <c r="B77" t="s">
        <v>60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1747</v>
      </c>
      <c r="B78" t="s">
        <v>7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1747</v>
      </c>
      <c r="B79" t="s">
        <v>37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1747</v>
      </c>
      <c r="B80" t="s">
        <v>8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1747</v>
      </c>
      <c r="B81" t="s">
        <v>40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1747</v>
      </c>
      <c r="B82" t="s">
        <v>77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1747</v>
      </c>
      <c r="B83" t="s">
        <v>78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1747</v>
      </c>
      <c r="B84" t="s">
        <v>46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1747</v>
      </c>
      <c r="B85" t="s">
        <v>9</v>
      </c>
      <c r="C85" t="s">
        <v>53</v>
      </c>
      <c r="D85" t="s">
        <v>35</v>
      </c>
      <c r="H85">
        <f>1156*200</f>
        <v>231200</v>
      </c>
      <c r="I85" t="s">
        <v>135</v>
      </c>
      <c r="J85">
        <f t="shared" si="2"/>
        <v>231200</v>
      </c>
      <c r="L85">
        <f t="shared" si="3"/>
        <v>103.21428571428571</v>
      </c>
    </row>
    <row r="86" spans="1:12" x14ac:dyDescent="0.25">
      <c r="A86">
        <v>1747</v>
      </c>
      <c r="B86" t="s">
        <v>10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1747</v>
      </c>
      <c r="B87" t="s">
        <v>11</v>
      </c>
      <c r="C87" t="s">
        <v>53</v>
      </c>
      <c r="D87" t="s">
        <v>35</v>
      </c>
      <c r="F87">
        <v>219</v>
      </c>
      <c r="G87">
        <v>1</v>
      </c>
      <c r="H87">
        <v>4</v>
      </c>
      <c r="J87">
        <f t="shared" si="2"/>
        <v>24560</v>
      </c>
      <c r="L87">
        <f t="shared" si="3"/>
        <v>10.964285714285714</v>
      </c>
    </row>
    <row r="88" spans="1:12" x14ac:dyDescent="0.25">
      <c r="A88">
        <v>1747</v>
      </c>
      <c r="B88" t="s">
        <v>39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1747</v>
      </c>
      <c r="B89" t="s">
        <v>79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1747</v>
      </c>
      <c r="B90" t="s">
        <v>103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1747</v>
      </c>
      <c r="B91" t="s">
        <v>44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1747</v>
      </c>
      <c r="B92" t="s">
        <v>97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1747</v>
      </c>
      <c r="B93" t="s">
        <v>12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1747</v>
      </c>
      <c r="B94" t="s">
        <v>82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1747</v>
      </c>
      <c r="B95" t="s">
        <v>34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1747</v>
      </c>
      <c r="B96" t="s">
        <v>13</v>
      </c>
      <c r="C96" t="s">
        <v>53</v>
      </c>
      <c r="D96" t="s">
        <v>35</v>
      </c>
      <c r="E96">
        <v>44</v>
      </c>
      <c r="J96">
        <f t="shared" si="2"/>
        <v>98560</v>
      </c>
      <c r="L96">
        <f t="shared" si="3"/>
        <v>44</v>
      </c>
    </row>
    <row r="97" spans="1:12" x14ac:dyDescent="0.25">
      <c r="A97">
        <v>1747</v>
      </c>
      <c r="B97" t="s">
        <v>14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1747</v>
      </c>
      <c r="B98" t="s">
        <v>23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1747</v>
      </c>
      <c r="B99" t="s">
        <v>27</v>
      </c>
      <c r="C99" t="s">
        <v>53</v>
      </c>
      <c r="D99" t="s">
        <v>35</v>
      </c>
      <c r="H99">
        <v>14113.5</v>
      </c>
      <c r="I99" t="s">
        <v>134</v>
      </c>
      <c r="J99">
        <f t="shared" si="2"/>
        <v>14113.5</v>
      </c>
      <c r="L99">
        <f t="shared" si="3"/>
        <v>6.3006696428571427</v>
      </c>
    </row>
    <row r="100" spans="1:12" x14ac:dyDescent="0.25">
      <c r="A100">
        <v>1747</v>
      </c>
      <c r="B100" t="s">
        <v>15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1747</v>
      </c>
      <c r="B101" t="s">
        <v>93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1747</v>
      </c>
      <c r="B102" t="s">
        <v>42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1747</v>
      </c>
      <c r="B103" t="s">
        <v>83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1747</v>
      </c>
      <c r="B104" t="s">
        <v>47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1747</v>
      </c>
      <c r="B105" t="s">
        <v>16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1747</v>
      </c>
      <c r="B106" t="s">
        <v>17</v>
      </c>
      <c r="C106" t="s">
        <v>53</v>
      </c>
      <c r="D106" t="s">
        <v>35</v>
      </c>
      <c r="F106">
        <v>52</v>
      </c>
      <c r="J106">
        <f t="shared" si="2"/>
        <v>5824</v>
      </c>
      <c r="L106">
        <f t="shared" si="3"/>
        <v>2.6</v>
      </c>
    </row>
    <row r="107" spans="1:12" x14ac:dyDescent="0.25">
      <c r="A107">
        <v>1747</v>
      </c>
      <c r="B107" t="s">
        <v>18</v>
      </c>
      <c r="C107" t="s">
        <v>53</v>
      </c>
      <c r="D107" t="s">
        <v>35</v>
      </c>
      <c r="H107">
        <v>68037.5</v>
      </c>
      <c r="I107" t="s">
        <v>133</v>
      </c>
      <c r="J107">
        <f t="shared" si="2"/>
        <v>68037.5</v>
      </c>
      <c r="L107">
        <f t="shared" si="3"/>
        <v>30.373883928571427</v>
      </c>
    </row>
    <row r="108" spans="1:12" x14ac:dyDescent="0.25">
      <c r="A108">
        <v>1747</v>
      </c>
      <c r="B108" t="s">
        <v>26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1747</v>
      </c>
      <c r="B109" t="s">
        <v>84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1747</v>
      </c>
      <c r="B110" t="s">
        <v>19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1747</v>
      </c>
      <c r="B111" t="s">
        <v>45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1747</v>
      </c>
      <c r="B112" t="s">
        <v>85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1747</v>
      </c>
      <c r="B113" t="s">
        <v>54</v>
      </c>
      <c r="C113" t="s">
        <v>53</v>
      </c>
      <c r="D113" t="s">
        <v>35</v>
      </c>
      <c r="H113">
        <v>24</v>
      </c>
      <c r="J113">
        <f t="shared" si="2"/>
        <v>24</v>
      </c>
      <c r="L113">
        <f t="shared" si="3"/>
        <v>1.0714285714285714E-2</v>
      </c>
    </row>
    <row r="114" spans="1:12" x14ac:dyDescent="0.25">
      <c r="A114">
        <v>1747</v>
      </c>
      <c r="B114" t="s">
        <v>95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1747</v>
      </c>
      <c r="B115" t="s">
        <v>20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1747</v>
      </c>
      <c r="B116" t="s">
        <v>21</v>
      </c>
      <c r="C116" t="s">
        <v>53</v>
      </c>
      <c r="D116" t="s">
        <v>35</v>
      </c>
      <c r="H116">
        <v>1152.5</v>
      </c>
      <c r="J116">
        <f t="shared" si="2"/>
        <v>1152.5</v>
      </c>
      <c r="L116">
        <f t="shared" si="3"/>
        <v>0.5145089285714286</v>
      </c>
    </row>
    <row r="117" spans="1:12" x14ac:dyDescent="0.25">
      <c r="A117">
        <v>1747</v>
      </c>
      <c r="B117" t="s">
        <v>105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1747</v>
      </c>
      <c r="B118" t="s">
        <v>22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1747</v>
      </c>
      <c r="B119" t="s">
        <v>61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1747</v>
      </c>
      <c r="B120" t="s">
        <v>91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1747</v>
      </c>
      <c r="B121" t="s">
        <v>98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1747</v>
      </c>
      <c r="B122" t="s">
        <v>87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1747</v>
      </c>
      <c r="B123" t="s">
        <v>62</v>
      </c>
      <c r="C123" t="s">
        <v>53</v>
      </c>
      <c r="D123" t="s">
        <v>35</v>
      </c>
      <c r="E123">
        <v>67</v>
      </c>
      <c r="J123">
        <f t="shared" si="2"/>
        <v>150080</v>
      </c>
      <c r="L123">
        <f t="shared" si="3"/>
        <v>67</v>
      </c>
    </row>
    <row r="124" spans="1:12" x14ac:dyDescent="0.25">
      <c r="A124">
        <v>1747</v>
      </c>
      <c r="B124" t="s">
        <v>88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1747</v>
      </c>
      <c r="B125" t="s">
        <v>63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1747</v>
      </c>
      <c r="B126" t="s">
        <v>89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1747</v>
      </c>
      <c r="B127" t="s">
        <v>70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1747</v>
      </c>
      <c r="B128" t="s">
        <v>64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1747</v>
      </c>
      <c r="B129" t="s">
        <v>65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9"/>
  <sheetViews>
    <sheetView topLeftCell="A64" workbookViewId="0">
      <selection activeCell="H85" sqref="H8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1747</v>
      </c>
      <c r="B2" t="s">
        <v>55</v>
      </c>
      <c r="C2" t="s">
        <v>56</v>
      </c>
      <c r="D2" t="s">
        <v>33</v>
      </c>
      <c r="J2">
        <f t="shared" ref="J2:J66" si="0">(E2*2240)+(F2*112)+(G2*28)+H2</f>
        <v>0</v>
      </c>
      <c r="L2">
        <f t="shared" ref="L2:L66" si="1">J2/2240</f>
        <v>0</v>
      </c>
    </row>
    <row r="3" spans="1:12" x14ac:dyDescent="0.25">
      <c r="A3">
        <v>1747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1747</v>
      </c>
      <c r="B4" t="s">
        <v>36</v>
      </c>
      <c r="C4" t="s">
        <v>56</v>
      </c>
      <c r="D4" t="s">
        <v>33</v>
      </c>
      <c r="H4">
        <v>9324</v>
      </c>
      <c r="J4">
        <f t="shared" si="0"/>
        <v>9324</v>
      </c>
      <c r="L4">
        <f t="shared" si="1"/>
        <v>4.1624999999999996</v>
      </c>
    </row>
    <row r="5" spans="1:12" x14ac:dyDescent="0.25">
      <c r="A5">
        <v>1747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1747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1747</v>
      </c>
      <c r="B7" t="s">
        <v>92</v>
      </c>
      <c r="C7" t="s">
        <v>56</v>
      </c>
      <c r="D7" t="s">
        <v>33</v>
      </c>
      <c r="H7">
        <v>3839</v>
      </c>
      <c r="J7">
        <f t="shared" si="0"/>
        <v>3839</v>
      </c>
      <c r="L7">
        <f t="shared" si="1"/>
        <v>1.7138392857142857</v>
      </c>
    </row>
    <row r="8" spans="1:12" x14ac:dyDescent="0.25">
      <c r="A8">
        <v>1747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1747</v>
      </c>
      <c r="B9" t="s">
        <v>5</v>
      </c>
      <c r="C9" t="s">
        <v>56</v>
      </c>
      <c r="D9" t="s">
        <v>33</v>
      </c>
      <c r="F9">
        <v>44</v>
      </c>
      <c r="G9">
        <v>2</v>
      </c>
      <c r="H9">
        <v>7</v>
      </c>
      <c r="J9">
        <f t="shared" si="0"/>
        <v>4991</v>
      </c>
      <c r="L9">
        <f t="shared" si="1"/>
        <v>2.2281249999999999</v>
      </c>
    </row>
    <row r="10" spans="1:12" x14ac:dyDescent="0.25">
      <c r="A10">
        <v>1747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1747</v>
      </c>
      <c r="B11" t="s">
        <v>6</v>
      </c>
      <c r="C11" t="s">
        <v>56</v>
      </c>
      <c r="D11" t="s">
        <v>33</v>
      </c>
      <c r="F11">
        <v>60076</v>
      </c>
      <c r="H11">
        <v>20</v>
      </c>
      <c r="J11">
        <f t="shared" si="0"/>
        <v>6728532</v>
      </c>
      <c r="L11">
        <f t="shared" si="1"/>
        <v>3003.8089285714286</v>
      </c>
    </row>
    <row r="12" spans="1:12" x14ac:dyDescent="0.25">
      <c r="A12">
        <v>1747</v>
      </c>
      <c r="B12" t="s">
        <v>60</v>
      </c>
      <c r="C12" t="s">
        <v>56</v>
      </c>
      <c r="D12" t="s">
        <v>33</v>
      </c>
      <c r="H12">
        <v>2161</v>
      </c>
      <c r="J12">
        <f t="shared" si="0"/>
        <v>2161</v>
      </c>
      <c r="L12">
        <f t="shared" si="1"/>
        <v>0.96473214285714282</v>
      </c>
    </row>
    <row r="13" spans="1:12" x14ac:dyDescent="0.25">
      <c r="A13">
        <v>1747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1747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1747</v>
      </c>
      <c r="B15" t="s">
        <v>8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1747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1747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1747</v>
      </c>
      <c r="B18" t="s">
        <v>9</v>
      </c>
      <c r="C18" t="s">
        <v>56</v>
      </c>
      <c r="D18" t="s">
        <v>33</v>
      </c>
      <c r="H18">
        <f>134.75*200</f>
        <v>26950</v>
      </c>
      <c r="I18" t="s">
        <v>116</v>
      </c>
      <c r="J18">
        <f t="shared" si="0"/>
        <v>26950</v>
      </c>
      <c r="L18">
        <f t="shared" si="1"/>
        <v>12.03125</v>
      </c>
    </row>
    <row r="19" spans="1:12" x14ac:dyDescent="0.25">
      <c r="A19">
        <v>1747</v>
      </c>
      <c r="B19" t="s">
        <v>10</v>
      </c>
      <c r="C19" t="s">
        <v>56</v>
      </c>
      <c r="D19" t="s">
        <v>33</v>
      </c>
      <c r="F19">
        <v>1740</v>
      </c>
      <c r="G19">
        <v>1</v>
      </c>
      <c r="H19">
        <v>10</v>
      </c>
      <c r="J19">
        <f t="shared" si="0"/>
        <v>194918</v>
      </c>
      <c r="L19">
        <f t="shared" si="1"/>
        <v>87.01696428571428</v>
      </c>
    </row>
    <row r="20" spans="1:12" x14ac:dyDescent="0.25">
      <c r="A20">
        <v>1747</v>
      </c>
      <c r="B20" t="s">
        <v>11</v>
      </c>
      <c r="C20" t="s">
        <v>56</v>
      </c>
      <c r="D20" t="s">
        <v>33</v>
      </c>
      <c r="F20">
        <v>237</v>
      </c>
      <c r="G20">
        <v>1</v>
      </c>
      <c r="J20">
        <f t="shared" si="0"/>
        <v>26572</v>
      </c>
      <c r="L20">
        <f t="shared" si="1"/>
        <v>11.862500000000001</v>
      </c>
    </row>
    <row r="21" spans="1:12" x14ac:dyDescent="0.25">
      <c r="A21">
        <v>1747</v>
      </c>
      <c r="B21" t="s">
        <v>39</v>
      </c>
      <c r="C21" t="s">
        <v>56</v>
      </c>
      <c r="D21" t="s">
        <v>33</v>
      </c>
      <c r="H21">
        <v>523</v>
      </c>
      <c r="J21">
        <f t="shared" si="0"/>
        <v>523</v>
      </c>
      <c r="L21">
        <f t="shared" si="1"/>
        <v>0.23348214285714286</v>
      </c>
    </row>
    <row r="22" spans="1:12" x14ac:dyDescent="0.25">
      <c r="A22">
        <v>1747</v>
      </c>
      <c r="B22" t="s">
        <v>112</v>
      </c>
      <c r="C22" t="s">
        <v>56</v>
      </c>
      <c r="D22" t="s">
        <v>33</v>
      </c>
      <c r="H22">
        <v>800</v>
      </c>
      <c r="J22">
        <f t="shared" si="0"/>
        <v>800</v>
      </c>
      <c r="L22">
        <f t="shared" si="1"/>
        <v>0.35714285714285715</v>
      </c>
    </row>
    <row r="23" spans="1:12" x14ac:dyDescent="0.25">
      <c r="A23">
        <v>1747</v>
      </c>
      <c r="B23" t="s">
        <v>44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1747</v>
      </c>
      <c r="B24" t="s">
        <v>12</v>
      </c>
      <c r="C24" t="s">
        <v>56</v>
      </c>
      <c r="D24" t="s">
        <v>33</v>
      </c>
      <c r="H24">
        <v>280</v>
      </c>
      <c r="J24">
        <f t="shared" si="0"/>
        <v>280</v>
      </c>
      <c r="L24">
        <f t="shared" si="1"/>
        <v>0.125</v>
      </c>
    </row>
    <row r="25" spans="1:12" x14ac:dyDescent="0.25">
      <c r="A25">
        <v>1747</v>
      </c>
      <c r="B25" t="s">
        <v>34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1747</v>
      </c>
      <c r="B26" t="s">
        <v>13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1747</v>
      </c>
      <c r="B27" t="s">
        <v>14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1747</v>
      </c>
      <c r="B28" t="s">
        <v>23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1747</v>
      </c>
      <c r="B29" t="s">
        <v>27</v>
      </c>
      <c r="C29" t="s">
        <v>56</v>
      </c>
      <c r="D29" t="s">
        <v>33</v>
      </c>
      <c r="H29">
        <v>7372</v>
      </c>
      <c r="I29" t="s">
        <v>115</v>
      </c>
      <c r="J29">
        <f t="shared" si="0"/>
        <v>7372</v>
      </c>
      <c r="L29">
        <f t="shared" si="1"/>
        <v>3.2910714285714286</v>
      </c>
    </row>
    <row r="30" spans="1:12" x14ac:dyDescent="0.25">
      <c r="A30">
        <v>1747</v>
      </c>
      <c r="B30" t="s">
        <v>15</v>
      </c>
      <c r="C30" t="s">
        <v>56</v>
      </c>
      <c r="D30" t="s">
        <v>33</v>
      </c>
      <c r="F30">
        <v>1</v>
      </c>
      <c r="G30">
        <v>1</v>
      </c>
      <c r="H30">
        <v>4</v>
      </c>
      <c r="J30">
        <f t="shared" si="0"/>
        <v>144</v>
      </c>
      <c r="L30">
        <f t="shared" si="1"/>
        <v>6.4285714285714279E-2</v>
      </c>
    </row>
    <row r="31" spans="1:12" x14ac:dyDescent="0.25">
      <c r="A31">
        <v>1747</v>
      </c>
      <c r="B31" t="s">
        <v>42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1747</v>
      </c>
      <c r="B32" t="s">
        <v>47</v>
      </c>
      <c r="C32" t="s">
        <v>56</v>
      </c>
      <c r="D32" t="s">
        <v>33</v>
      </c>
      <c r="H32">
        <v>770</v>
      </c>
      <c r="I32" t="s">
        <v>113</v>
      </c>
      <c r="J32">
        <f t="shared" si="0"/>
        <v>770</v>
      </c>
      <c r="L32">
        <f t="shared" si="1"/>
        <v>0.34375</v>
      </c>
    </row>
    <row r="33" spans="1:12" x14ac:dyDescent="0.25">
      <c r="A33">
        <v>1747</v>
      </c>
      <c r="B33" t="s">
        <v>16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1747</v>
      </c>
      <c r="B34" t="s">
        <v>17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1747</v>
      </c>
      <c r="B35" t="s">
        <v>18</v>
      </c>
      <c r="C35" t="s">
        <v>56</v>
      </c>
      <c r="D35" t="s">
        <v>33</v>
      </c>
      <c r="H35">
        <v>177070.5</v>
      </c>
      <c r="I35" t="s">
        <v>114</v>
      </c>
      <c r="J35">
        <f t="shared" si="0"/>
        <v>177070.5</v>
      </c>
      <c r="L35">
        <f t="shared" si="1"/>
        <v>79.049330357142864</v>
      </c>
    </row>
    <row r="36" spans="1:12" x14ac:dyDescent="0.25">
      <c r="A36">
        <v>1747</v>
      </c>
      <c r="B36" t="s">
        <v>26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1747</v>
      </c>
      <c r="B37" t="s">
        <v>19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1747</v>
      </c>
      <c r="B38" t="s">
        <v>45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1747</v>
      </c>
      <c r="B39" t="s">
        <v>54</v>
      </c>
      <c r="C39" t="s">
        <v>56</v>
      </c>
      <c r="D39" t="s">
        <v>33</v>
      </c>
      <c r="H39">
        <v>1649</v>
      </c>
      <c r="J39">
        <f t="shared" si="0"/>
        <v>1649</v>
      </c>
      <c r="L39">
        <f t="shared" si="1"/>
        <v>0.73616071428571428</v>
      </c>
    </row>
    <row r="40" spans="1:12" x14ac:dyDescent="0.25">
      <c r="A40">
        <v>1747</v>
      </c>
      <c r="B40" t="s">
        <v>95</v>
      </c>
      <c r="C40" t="s">
        <v>56</v>
      </c>
      <c r="D40" t="s">
        <v>33</v>
      </c>
      <c r="H40">
        <v>1737</v>
      </c>
      <c r="J40">
        <f t="shared" si="0"/>
        <v>1737</v>
      </c>
      <c r="L40">
        <f t="shared" si="1"/>
        <v>0.77544642857142854</v>
      </c>
    </row>
    <row r="41" spans="1:12" x14ac:dyDescent="0.25">
      <c r="A41">
        <v>1747</v>
      </c>
      <c r="B41" t="s">
        <v>20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1747</v>
      </c>
      <c r="B42" t="s">
        <v>21</v>
      </c>
      <c r="C42" t="s">
        <v>56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1747</v>
      </c>
      <c r="B43" t="s">
        <v>22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1747</v>
      </c>
      <c r="B44" t="s">
        <v>61</v>
      </c>
      <c r="C44" t="s">
        <v>56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1747</v>
      </c>
      <c r="B45" t="s">
        <v>62</v>
      </c>
      <c r="C45" t="s">
        <v>56</v>
      </c>
      <c r="D45" t="s">
        <v>33</v>
      </c>
      <c r="E45">
        <v>25</v>
      </c>
      <c r="J45">
        <f t="shared" si="0"/>
        <v>56000</v>
      </c>
      <c r="L45">
        <f t="shared" si="1"/>
        <v>25</v>
      </c>
    </row>
    <row r="46" spans="1:12" x14ac:dyDescent="0.25">
      <c r="A46">
        <v>1747</v>
      </c>
      <c r="B46" t="s">
        <v>63</v>
      </c>
      <c r="C46" t="s">
        <v>56</v>
      </c>
      <c r="D46" t="s">
        <v>33</v>
      </c>
      <c r="E46">
        <v>5</v>
      </c>
      <c r="J46">
        <f t="shared" si="0"/>
        <v>11200</v>
      </c>
      <c r="L46">
        <f t="shared" si="1"/>
        <v>5</v>
      </c>
    </row>
    <row r="47" spans="1:12" x14ac:dyDescent="0.25">
      <c r="A47">
        <v>1747</v>
      </c>
      <c r="B47" t="s">
        <v>70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1747</v>
      </c>
      <c r="B48" t="s">
        <v>64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1747</v>
      </c>
      <c r="B49" t="s">
        <v>65</v>
      </c>
      <c r="C49" t="s">
        <v>56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1747</v>
      </c>
      <c r="B50" t="s">
        <v>55</v>
      </c>
      <c r="C50" t="s">
        <v>56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1747</v>
      </c>
      <c r="B51" t="s">
        <v>57</v>
      </c>
      <c r="C51" t="s">
        <v>56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1747</v>
      </c>
      <c r="B52" t="s">
        <v>36</v>
      </c>
      <c r="C52" t="s">
        <v>56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1747</v>
      </c>
      <c r="B53" t="s">
        <v>4</v>
      </c>
      <c r="C53" t="s">
        <v>56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1747</v>
      </c>
      <c r="B54" t="s">
        <v>58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1747</v>
      </c>
      <c r="B55" t="s">
        <v>92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1747</v>
      </c>
      <c r="B56" t="s">
        <v>43</v>
      </c>
      <c r="C56" t="s">
        <v>56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1747</v>
      </c>
      <c r="B57" t="s">
        <v>5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1747</v>
      </c>
      <c r="B58" t="s">
        <v>59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1747</v>
      </c>
      <c r="B59" t="s">
        <v>6</v>
      </c>
      <c r="C59" t="s">
        <v>56</v>
      </c>
      <c r="D59" t="s">
        <v>35</v>
      </c>
      <c r="F59">
        <v>26697</v>
      </c>
      <c r="G59">
        <v>3</v>
      </c>
      <c r="H59">
        <v>18</v>
      </c>
      <c r="J59">
        <f t="shared" si="0"/>
        <v>2990166</v>
      </c>
      <c r="L59">
        <f t="shared" si="1"/>
        <v>1334.8955357142856</v>
      </c>
    </row>
    <row r="60" spans="1:12" x14ac:dyDescent="0.25">
      <c r="A60">
        <v>1747</v>
      </c>
      <c r="B60" t="s">
        <v>60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1747</v>
      </c>
      <c r="B61" t="s">
        <v>38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1747</v>
      </c>
      <c r="B62" t="s">
        <v>37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1747</v>
      </c>
      <c r="B63" t="s">
        <v>8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1747</v>
      </c>
      <c r="B64" t="s">
        <v>40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1747</v>
      </c>
      <c r="B65" t="s">
        <v>9</v>
      </c>
      <c r="C65" t="s">
        <v>56</v>
      </c>
      <c r="D65" t="s">
        <v>35</v>
      </c>
      <c r="H65">
        <f>470*200</f>
        <v>94000</v>
      </c>
      <c r="I65" t="s">
        <v>138</v>
      </c>
      <c r="J65">
        <f t="shared" si="0"/>
        <v>94000</v>
      </c>
      <c r="L65">
        <f t="shared" si="1"/>
        <v>41.964285714285715</v>
      </c>
    </row>
    <row r="66" spans="1:12" x14ac:dyDescent="0.25">
      <c r="A66">
        <v>1747</v>
      </c>
      <c r="B66" t="s">
        <v>10</v>
      </c>
      <c r="C66" t="s">
        <v>56</v>
      </c>
      <c r="D66" t="s">
        <v>35</v>
      </c>
      <c r="F66">
        <v>249</v>
      </c>
      <c r="G66">
        <v>3</v>
      </c>
      <c r="H66">
        <v>2</v>
      </c>
      <c r="J66">
        <f t="shared" si="0"/>
        <v>27974</v>
      </c>
      <c r="L66">
        <f t="shared" si="1"/>
        <v>12.488392857142857</v>
      </c>
    </row>
    <row r="67" spans="1:12" x14ac:dyDescent="0.25">
      <c r="A67">
        <v>1747</v>
      </c>
      <c r="B67" t="s">
        <v>11</v>
      </c>
      <c r="C67" t="s">
        <v>56</v>
      </c>
      <c r="D67" t="s">
        <v>35</v>
      </c>
      <c r="F67">
        <v>52</v>
      </c>
      <c r="G67">
        <v>3</v>
      </c>
      <c r="H67">
        <v>24</v>
      </c>
      <c r="J67">
        <f t="shared" ref="J67:J99" si="2">(E67*2240)+(F67*112)+(G67*28)+H67</f>
        <v>5932</v>
      </c>
      <c r="L67">
        <f t="shared" ref="L67:L99" si="3">J67/2240</f>
        <v>2.6482142857142859</v>
      </c>
    </row>
    <row r="68" spans="1:12" x14ac:dyDescent="0.25">
      <c r="A68">
        <v>1747</v>
      </c>
      <c r="B68" t="s">
        <v>39</v>
      </c>
      <c r="C68" t="s">
        <v>56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1747</v>
      </c>
      <c r="B69" t="s">
        <v>79</v>
      </c>
      <c r="C69" t="s">
        <v>56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1747</v>
      </c>
      <c r="B70" t="s">
        <v>44</v>
      </c>
      <c r="C70" t="s">
        <v>56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1747</v>
      </c>
      <c r="B71" t="s">
        <v>12</v>
      </c>
      <c r="C71" t="s">
        <v>56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1747</v>
      </c>
      <c r="B72" t="s">
        <v>34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1747</v>
      </c>
      <c r="B73" t="s">
        <v>13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1747</v>
      </c>
      <c r="B74" t="s">
        <v>14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1747</v>
      </c>
      <c r="B75" t="s">
        <v>23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1747</v>
      </c>
      <c r="B76" t="s">
        <v>27</v>
      </c>
      <c r="C76" t="s">
        <v>56</v>
      </c>
      <c r="D76" t="s">
        <v>35</v>
      </c>
      <c r="H76">
        <v>19475</v>
      </c>
      <c r="I76" t="s">
        <v>137</v>
      </c>
      <c r="J76">
        <f t="shared" si="2"/>
        <v>19475</v>
      </c>
      <c r="L76">
        <f t="shared" si="3"/>
        <v>8.6941964285714288</v>
      </c>
    </row>
    <row r="77" spans="1:12" x14ac:dyDescent="0.25">
      <c r="A77">
        <v>1747</v>
      </c>
      <c r="B77" t="s">
        <v>15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1747</v>
      </c>
      <c r="B78" t="s">
        <v>93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1747</v>
      </c>
      <c r="B79" t="s">
        <v>42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1747</v>
      </c>
      <c r="B80" t="s">
        <v>47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1747</v>
      </c>
      <c r="B81" t="s">
        <v>16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1747</v>
      </c>
      <c r="B82" t="s">
        <v>106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1747</v>
      </c>
      <c r="B83" t="s">
        <v>17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1747</v>
      </c>
      <c r="B84" t="s">
        <v>18</v>
      </c>
      <c r="C84" t="s">
        <v>56</v>
      </c>
      <c r="D84" t="s">
        <v>35</v>
      </c>
      <c r="H84">
        <v>116050</v>
      </c>
      <c r="I84" t="s">
        <v>136</v>
      </c>
      <c r="J84">
        <f t="shared" si="2"/>
        <v>116050</v>
      </c>
      <c r="L84">
        <f t="shared" si="3"/>
        <v>51.808035714285715</v>
      </c>
    </row>
    <row r="85" spans="1:12" x14ac:dyDescent="0.25">
      <c r="A85">
        <v>1747</v>
      </c>
      <c r="B85" t="s">
        <v>26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1747</v>
      </c>
      <c r="B86" t="s">
        <v>19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1747</v>
      </c>
      <c r="B87" t="s">
        <v>45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1747</v>
      </c>
      <c r="B88" t="s">
        <v>54</v>
      </c>
      <c r="C88" t="s">
        <v>56</v>
      </c>
      <c r="D88" t="s">
        <v>35</v>
      </c>
      <c r="H88">
        <v>150</v>
      </c>
      <c r="J88">
        <f t="shared" si="2"/>
        <v>150</v>
      </c>
      <c r="L88">
        <f t="shared" si="3"/>
        <v>6.6964285714285712E-2</v>
      </c>
    </row>
    <row r="89" spans="1:12" x14ac:dyDescent="0.25">
      <c r="A89">
        <v>1747</v>
      </c>
      <c r="B89" t="s">
        <v>95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1747</v>
      </c>
      <c r="B90" t="s">
        <v>20</v>
      </c>
      <c r="C90" t="s">
        <v>56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1747</v>
      </c>
      <c r="B91" t="s">
        <v>21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1747</v>
      </c>
      <c r="B92" t="s">
        <v>22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1747</v>
      </c>
      <c r="B93" t="s">
        <v>61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1747</v>
      </c>
      <c r="B94" t="s">
        <v>62</v>
      </c>
      <c r="C94" t="s">
        <v>56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1747</v>
      </c>
      <c r="B95" t="s">
        <v>63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1747</v>
      </c>
      <c r="B96" t="s">
        <v>89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1747</v>
      </c>
      <c r="B97" t="s">
        <v>70</v>
      </c>
      <c r="C97" t="s">
        <v>56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1747</v>
      </c>
      <c r="B98" t="s">
        <v>64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1747</v>
      </c>
      <c r="B99" t="s">
        <v>65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8"/>
  <sheetViews>
    <sheetView workbookViewId="0">
      <selection activeCell="A2" sqref="A2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66</v>
      </c>
      <c r="C2" t="s">
        <v>67</v>
      </c>
      <c r="D2" t="s">
        <v>33</v>
      </c>
      <c r="J2">
        <f t="shared" ref="J2:J28" si="0">(E2*2240)+(F2*112)+(G2*28)+H2</f>
        <v>0</v>
      </c>
      <c r="L2">
        <f t="shared" ref="L2:L28" si="1">J2/2240</f>
        <v>0</v>
      </c>
    </row>
    <row r="3" spans="1:12" x14ac:dyDescent="0.25"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21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61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63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6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2:12" x14ac:dyDescent="0.25">
      <c r="B19" t="s">
        <v>12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2:12" x14ac:dyDescent="0.25">
      <c r="B20" t="s">
        <v>41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2:12" x14ac:dyDescent="0.25">
      <c r="B21" t="s">
        <v>27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2:12" x14ac:dyDescent="0.25">
      <c r="B22" t="s">
        <v>17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2:12" x14ac:dyDescent="0.25">
      <c r="B23" t="s">
        <v>19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2:12" x14ac:dyDescent="0.25">
      <c r="B24" t="s">
        <v>54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2:12" x14ac:dyDescent="0.25">
      <c r="B25" t="s">
        <v>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2:12" x14ac:dyDescent="0.25">
      <c r="B26" t="s">
        <v>8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2:12" x14ac:dyDescent="0.25">
      <c r="B27" t="s">
        <v>61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2:12" x14ac:dyDescent="0.25">
      <c r="B28" t="s">
        <v>63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0"/>
  <sheetViews>
    <sheetView topLeftCell="A82" zoomScaleNormal="100" workbookViewId="0">
      <selection activeCell="H109" sqref="H10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1747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1747</v>
      </c>
      <c r="B3" t="s">
        <v>57</v>
      </c>
      <c r="C3" t="s">
        <v>68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A4">
        <v>1747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1747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1747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1747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1747</v>
      </c>
      <c r="B8" t="s">
        <v>101</v>
      </c>
      <c r="C8" t="s">
        <v>68</v>
      </c>
      <c r="D8" t="s">
        <v>33</v>
      </c>
      <c r="H8">
        <v>80</v>
      </c>
      <c r="J8">
        <f t="shared" si="0"/>
        <v>80</v>
      </c>
      <c r="L8">
        <f t="shared" si="1"/>
        <v>3.5714285714285712E-2</v>
      </c>
    </row>
    <row r="9" spans="1:12" x14ac:dyDescent="0.25">
      <c r="A9">
        <v>1747</v>
      </c>
      <c r="B9" t="s">
        <v>43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1747</v>
      </c>
      <c r="B10" t="s">
        <v>76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1747</v>
      </c>
      <c r="B11" t="s">
        <v>5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1747</v>
      </c>
      <c r="B12" t="s">
        <v>59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1747</v>
      </c>
      <c r="B13" t="s">
        <v>6</v>
      </c>
      <c r="C13" t="s">
        <v>68</v>
      </c>
      <c r="D13" t="s">
        <v>33</v>
      </c>
      <c r="F13">
        <v>180042</v>
      </c>
      <c r="H13">
        <v>8</v>
      </c>
      <c r="J13">
        <f t="shared" si="0"/>
        <v>20164712</v>
      </c>
      <c r="L13">
        <f t="shared" si="1"/>
        <v>9002.1035714285717</v>
      </c>
    </row>
    <row r="14" spans="1:12" x14ac:dyDescent="0.25">
      <c r="A14">
        <v>1747</v>
      </c>
      <c r="B14" t="s">
        <v>96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1747</v>
      </c>
      <c r="B15" t="s">
        <v>60</v>
      </c>
      <c r="C15" t="s">
        <v>68</v>
      </c>
      <c r="D15" t="s">
        <v>33</v>
      </c>
      <c r="H15">
        <v>404</v>
      </c>
      <c r="J15">
        <f t="shared" si="0"/>
        <v>404</v>
      </c>
      <c r="L15">
        <f t="shared" si="1"/>
        <v>0.18035714285714285</v>
      </c>
    </row>
    <row r="16" spans="1:12" x14ac:dyDescent="0.25">
      <c r="A16">
        <v>1747</v>
      </c>
      <c r="B16" t="s">
        <v>7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1747</v>
      </c>
      <c r="B17" t="s">
        <v>37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1747</v>
      </c>
      <c r="B18" t="s">
        <v>8</v>
      </c>
      <c r="C18" t="s">
        <v>68</v>
      </c>
      <c r="D18" t="s">
        <v>33</v>
      </c>
      <c r="F18">
        <v>50</v>
      </c>
      <c r="G18">
        <v>2</v>
      </c>
      <c r="H18">
        <v>14</v>
      </c>
      <c r="J18">
        <f t="shared" si="0"/>
        <v>5670</v>
      </c>
      <c r="L18">
        <f t="shared" si="1"/>
        <v>2.53125</v>
      </c>
    </row>
    <row r="19" spans="1:12" x14ac:dyDescent="0.25">
      <c r="A19">
        <v>1747</v>
      </c>
      <c r="B19" t="s">
        <v>40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1747</v>
      </c>
      <c r="B20" t="s">
        <v>77</v>
      </c>
      <c r="C20" t="s">
        <v>68</v>
      </c>
      <c r="D20" t="s">
        <v>33</v>
      </c>
      <c r="F20">
        <v>113</v>
      </c>
      <c r="H20">
        <v>6</v>
      </c>
      <c r="J20">
        <f t="shared" si="0"/>
        <v>12662</v>
      </c>
      <c r="L20">
        <f t="shared" si="1"/>
        <v>5.652678571428571</v>
      </c>
    </row>
    <row r="21" spans="1:12" x14ac:dyDescent="0.25">
      <c r="A21">
        <v>1747</v>
      </c>
      <c r="B21" t="s">
        <v>78</v>
      </c>
      <c r="C21" t="s">
        <v>68</v>
      </c>
      <c r="D21" t="s">
        <v>33</v>
      </c>
      <c r="H21">
        <v>6346</v>
      </c>
      <c r="J21">
        <f t="shared" si="0"/>
        <v>6346</v>
      </c>
      <c r="L21">
        <f t="shared" si="1"/>
        <v>2.8330357142857143</v>
      </c>
    </row>
    <row r="22" spans="1:12" x14ac:dyDescent="0.25">
      <c r="A22">
        <v>1747</v>
      </c>
      <c r="B22" t="s">
        <v>46</v>
      </c>
      <c r="C22" t="s">
        <v>68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1747</v>
      </c>
      <c r="B23" t="s">
        <v>9</v>
      </c>
      <c r="C23" t="s">
        <v>68</v>
      </c>
      <c r="D23" t="s">
        <v>33</v>
      </c>
      <c r="H23">
        <f>214.75*200</f>
        <v>42950</v>
      </c>
      <c r="I23" t="s">
        <v>120</v>
      </c>
      <c r="J23">
        <f t="shared" si="0"/>
        <v>42950</v>
      </c>
      <c r="L23">
        <f t="shared" si="1"/>
        <v>19.174107142857142</v>
      </c>
    </row>
    <row r="24" spans="1:12" x14ac:dyDescent="0.25">
      <c r="A24">
        <v>1747</v>
      </c>
      <c r="B24" t="s">
        <v>10</v>
      </c>
      <c r="C24" t="s">
        <v>68</v>
      </c>
      <c r="D24" t="s">
        <v>33</v>
      </c>
      <c r="F24">
        <v>274</v>
      </c>
      <c r="G24">
        <v>3</v>
      </c>
      <c r="J24">
        <f t="shared" si="0"/>
        <v>30772</v>
      </c>
      <c r="L24">
        <f t="shared" si="1"/>
        <v>13.737500000000001</v>
      </c>
    </row>
    <row r="25" spans="1:12" x14ac:dyDescent="0.25">
      <c r="A25">
        <v>1747</v>
      </c>
      <c r="B25" t="s">
        <v>11</v>
      </c>
      <c r="C25" t="s">
        <v>68</v>
      </c>
      <c r="D25" t="s">
        <v>33</v>
      </c>
      <c r="F25">
        <v>13</v>
      </c>
      <c r="H25">
        <v>24</v>
      </c>
      <c r="J25">
        <f t="shared" si="0"/>
        <v>1480</v>
      </c>
      <c r="L25">
        <f t="shared" si="1"/>
        <v>0.6607142857142857</v>
      </c>
    </row>
    <row r="26" spans="1:12" x14ac:dyDescent="0.25">
      <c r="A26">
        <v>1747</v>
      </c>
      <c r="B26" t="s">
        <v>39</v>
      </c>
      <c r="C26" t="s">
        <v>68</v>
      </c>
      <c r="D26" t="s">
        <v>33</v>
      </c>
      <c r="H26">
        <v>209</v>
      </c>
      <c r="J26">
        <f t="shared" si="0"/>
        <v>209</v>
      </c>
      <c r="L26">
        <f t="shared" si="1"/>
        <v>9.330357142857143E-2</v>
      </c>
    </row>
    <row r="27" spans="1:12" x14ac:dyDescent="0.25">
      <c r="A27">
        <v>1747</v>
      </c>
      <c r="B27" t="s">
        <v>79</v>
      </c>
      <c r="C27" t="s">
        <v>68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1747</v>
      </c>
      <c r="B28" t="s">
        <v>103</v>
      </c>
      <c r="C28" t="s">
        <v>68</v>
      </c>
      <c r="D28" t="s">
        <v>33</v>
      </c>
      <c r="H28">
        <v>545</v>
      </c>
      <c r="J28">
        <f t="shared" si="0"/>
        <v>545</v>
      </c>
      <c r="L28">
        <f t="shared" si="1"/>
        <v>0.24330357142857142</v>
      </c>
    </row>
    <row r="29" spans="1:12" x14ac:dyDescent="0.25">
      <c r="A29">
        <v>1747</v>
      </c>
      <c r="B29" t="s">
        <v>44</v>
      </c>
      <c r="C29" t="s">
        <v>68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1747</v>
      </c>
      <c r="B30" t="s">
        <v>97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1747</v>
      </c>
      <c r="B31" t="s">
        <v>12</v>
      </c>
      <c r="C31" t="s">
        <v>68</v>
      </c>
      <c r="D31" t="s">
        <v>33</v>
      </c>
      <c r="H31">
        <v>18394</v>
      </c>
      <c r="J31">
        <f t="shared" si="0"/>
        <v>18394</v>
      </c>
      <c r="L31">
        <f t="shared" si="1"/>
        <v>8.211607142857142</v>
      </c>
    </row>
    <row r="32" spans="1:12" x14ac:dyDescent="0.25">
      <c r="A32">
        <v>1747</v>
      </c>
      <c r="B32" t="s">
        <v>82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1747</v>
      </c>
      <c r="B33" t="s">
        <v>34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1747</v>
      </c>
      <c r="B34" t="s">
        <v>13</v>
      </c>
      <c r="C34" t="s">
        <v>68</v>
      </c>
      <c r="D34" t="s">
        <v>33</v>
      </c>
      <c r="E34">
        <v>27</v>
      </c>
      <c r="F34">
        <v>4</v>
      </c>
      <c r="J34">
        <f t="shared" si="0"/>
        <v>60928</v>
      </c>
      <c r="L34">
        <f t="shared" si="1"/>
        <v>27.2</v>
      </c>
    </row>
    <row r="35" spans="1:12" x14ac:dyDescent="0.25">
      <c r="A35">
        <v>1747</v>
      </c>
      <c r="B35" t="s">
        <v>14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1747</v>
      </c>
      <c r="B36" t="s">
        <v>23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1747</v>
      </c>
      <c r="B37" t="s">
        <v>27</v>
      </c>
      <c r="C37" t="s">
        <v>68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1747</v>
      </c>
      <c r="B38" t="s">
        <v>15</v>
      </c>
      <c r="C38" t="s">
        <v>68</v>
      </c>
      <c r="D38" t="s">
        <v>33</v>
      </c>
      <c r="H38">
        <v>68087.5</v>
      </c>
      <c r="I38" t="s">
        <v>119</v>
      </c>
      <c r="J38">
        <f t="shared" si="0"/>
        <v>68087.5</v>
      </c>
      <c r="L38">
        <f t="shared" si="1"/>
        <v>30.396205357142858</v>
      </c>
    </row>
    <row r="39" spans="1:12" x14ac:dyDescent="0.25">
      <c r="A39">
        <v>1747</v>
      </c>
      <c r="B39" t="s">
        <v>42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1747</v>
      </c>
      <c r="B40" t="s">
        <v>83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1747</v>
      </c>
      <c r="B41" t="s">
        <v>47</v>
      </c>
      <c r="C41" t="s">
        <v>68</v>
      </c>
      <c r="D41" t="s">
        <v>33</v>
      </c>
      <c r="H41">
        <v>255</v>
      </c>
      <c r="I41" t="s">
        <v>117</v>
      </c>
      <c r="J41">
        <f t="shared" si="0"/>
        <v>255</v>
      </c>
      <c r="L41">
        <f t="shared" si="1"/>
        <v>0.11383928571428571</v>
      </c>
    </row>
    <row r="42" spans="1:12" x14ac:dyDescent="0.25">
      <c r="A42">
        <v>1747</v>
      </c>
      <c r="B42" t="s">
        <v>16</v>
      </c>
      <c r="C42" t="s">
        <v>68</v>
      </c>
      <c r="D42" t="s">
        <v>33</v>
      </c>
      <c r="H42">
        <v>83848</v>
      </c>
      <c r="J42">
        <f t="shared" si="0"/>
        <v>83848</v>
      </c>
      <c r="L42">
        <f t="shared" si="1"/>
        <v>37.432142857142857</v>
      </c>
    </row>
    <row r="43" spans="1:12" x14ac:dyDescent="0.25">
      <c r="A43">
        <v>1747</v>
      </c>
      <c r="B43" t="s">
        <v>17</v>
      </c>
      <c r="C43" t="s">
        <v>68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1747</v>
      </c>
      <c r="B44" t="s">
        <v>18</v>
      </c>
      <c r="C44" t="s">
        <v>68</v>
      </c>
      <c r="D44" t="s">
        <v>33</v>
      </c>
      <c r="H44">
        <v>2664954.5</v>
      </c>
      <c r="I44" t="s">
        <v>118</v>
      </c>
      <c r="J44">
        <f t="shared" si="0"/>
        <v>2664954.5</v>
      </c>
      <c r="L44">
        <f t="shared" si="1"/>
        <v>1189.7118303571428</v>
      </c>
    </row>
    <row r="45" spans="1:12" x14ac:dyDescent="0.25">
      <c r="A45">
        <v>1747</v>
      </c>
      <c r="B45" t="s">
        <v>26</v>
      </c>
      <c r="C45" t="s">
        <v>68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1747</v>
      </c>
      <c r="B46" t="s">
        <v>84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1747</v>
      </c>
      <c r="B47" t="s">
        <v>19</v>
      </c>
      <c r="C47" t="s">
        <v>68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1747</v>
      </c>
      <c r="B48" t="s">
        <v>45</v>
      </c>
      <c r="C48" t="s">
        <v>68</v>
      </c>
      <c r="D48" t="s">
        <v>33</v>
      </c>
      <c r="H48">
        <v>1136</v>
      </c>
      <c r="J48">
        <f t="shared" si="0"/>
        <v>1136</v>
      </c>
      <c r="L48">
        <f t="shared" si="1"/>
        <v>0.50714285714285712</v>
      </c>
    </row>
    <row r="49" spans="1:12" x14ac:dyDescent="0.25">
      <c r="A49">
        <v>1747</v>
      </c>
      <c r="B49" t="s">
        <v>85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1747</v>
      </c>
      <c r="B50" t="s">
        <v>54</v>
      </c>
      <c r="C50" t="s">
        <v>68</v>
      </c>
      <c r="D50" t="s">
        <v>33</v>
      </c>
      <c r="H50">
        <v>1421</v>
      </c>
      <c r="J50">
        <f t="shared" si="0"/>
        <v>1421</v>
      </c>
      <c r="L50">
        <f t="shared" si="1"/>
        <v>0.63437500000000002</v>
      </c>
    </row>
    <row r="51" spans="1:12" x14ac:dyDescent="0.25">
      <c r="A51">
        <v>1747</v>
      </c>
      <c r="B51" t="s">
        <v>95</v>
      </c>
      <c r="C51" t="s">
        <v>68</v>
      </c>
      <c r="D51" t="s">
        <v>33</v>
      </c>
      <c r="H51">
        <v>1718</v>
      </c>
      <c r="J51">
        <f t="shared" si="0"/>
        <v>1718</v>
      </c>
      <c r="L51">
        <f t="shared" si="1"/>
        <v>0.76696428571428577</v>
      </c>
    </row>
    <row r="52" spans="1:12" x14ac:dyDescent="0.25">
      <c r="A52">
        <v>1747</v>
      </c>
      <c r="B52" t="s">
        <v>20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1747</v>
      </c>
      <c r="B53" t="s">
        <v>21</v>
      </c>
      <c r="C53" t="s">
        <v>68</v>
      </c>
      <c r="D53" t="s">
        <v>33</v>
      </c>
      <c r="H53">
        <v>1418</v>
      </c>
      <c r="J53">
        <f t="shared" si="0"/>
        <v>1418</v>
      </c>
      <c r="L53">
        <f t="shared" si="1"/>
        <v>0.63303571428571426</v>
      </c>
    </row>
    <row r="54" spans="1:12" x14ac:dyDescent="0.25">
      <c r="A54">
        <v>1747</v>
      </c>
      <c r="B54" t="s">
        <v>90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1747</v>
      </c>
      <c r="B55" t="s">
        <v>22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1747</v>
      </c>
      <c r="B56" t="s">
        <v>61</v>
      </c>
      <c r="C56" t="s">
        <v>68</v>
      </c>
      <c r="D56" t="s">
        <v>33</v>
      </c>
      <c r="E56">
        <v>6</v>
      </c>
      <c r="J56">
        <f t="shared" si="0"/>
        <v>13440</v>
      </c>
      <c r="L56">
        <f t="shared" si="1"/>
        <v>6</v>
      </c>
    </row>
    <row r="57" spans="1:12" x14ac:dyDescent="0.25">
      <c r="A57">
        <v>1747</v>
      </c>
      <c r="B57" t="s">
        <v>98</v>
      </c>
      <c r="C57" t="s">
        <v>68</v>
      </c>
      <c r="D57" t="s">
        <v>33</v>
      </c>
      <c r="E57">
        <v>4</v>
      </c>
      <c r="J57">
        <f t="shared" si="0"/>
        <v>8960</v>
      </c>
      <c r="L57">
        <f t="shared" si="1"/>
        <v>4</v>
      </c>
    </row>
    <row r="58" spans="1:12" x14ac:dyDescent="0.25">
      <c r="A58">
        <v>1747</v>
      </c>
      <c r="B58" t="s">
        <v>87</v>
      </c>
      <c r="C58" t="s">
        <v>68</v>
      </c>
      <c r="D58" t="s">
        <v>33</v>
      </c>
      <c r="E58">
        <v>86</v>
      </c>
      <c r="G58">
        <v>1080</v>
      </c>
      <c r="J58">
        <f t="shared" si="0"/>
        <v>222880</v>
      </c>
      <c r="L58">
        <f t="shared" si="1"/>
        <v>99.5</v>
      </c>
    </row>
    <row r="59" spans="1:12" x14ac:dyDescent="0.25">
      <c r="A59">
        <v>1747</v>
      </c>
      <c r="B59" t="s">
        <v>62</v>
      </c>
      <c r="C59" t="s">
        <v>68</v>
      </c>
      <c r="D59" t="s">
        <v>33</v>
      </c>
      <c r="E59">
        <v>246</v>
      </c>
      <c r="F59">
        <v>18</v>
      </c>
      <c r="G59">
        <v>281</v>
      </c>
      <c r="J59">
        <f t="shared" si="0"/>
        <v>560924</v>
      </c>
      <c r="L59">
        <f t="shared" si="1"/>
        <v>250.41249999999999</v>
      </c>
    </row>
    <row r="60" spans="1:12" x14ac:dyDescent="0.25">
      <c r="A60">
        <v>1747</v>
      </c>
      <c r="B60" t="s">
        <v>88</v>
      </c>
      <c r="C60" t="s">
        <v>68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1747</v>
      </c>
      <c r="B61" t="s">
        <v>63</v>
      </c>
      <c r="C61" t="s">
        <v>68</v>
      </c>
      <c r="D61" t="s">
        <v>33</v>
      </c>
      <c r="E61">
        <v>149</v>
      </c>
      <c r="F61">
        <v>7</v>
      </c>
      <c r="J61">
        <f t="shared" si="0"/>
        <v>334544</v>
      </c>
      <c r="L61">
        <f t="shared" si="1"/>
        <v>149.35</v>
      </c>
    </row>
    <row r="62" spans="1:12" x14ac:dyDescent="0.25">
      <c r="A62">
        <v>1747</v>
      </c>
      <c r="B62" t="s">
        <v>89</v>
      </c>
      <c r="C62" t="s">
        <v>68</v>
      </c>
      <c r="D62" t="s">
        <v>33</v>
      </c>
      <c r="E62">
        <v>151</v>
      </c>
      <c r="F62">
        <v>10</v>
      </c>
      <c r="J62">
        <f t="shared" si="0"/>
        <v>339360</v>
      </c>
      <c r="L62">
        <f t="shared" si="1"/>
        <v>151.5</v>
      </c>
    </row>
    <row r="63" spans="1:12" x14ac:dyDescent="0.25">
      <c r="A63">
        <v>1747</v>
      </c>
      <c r="B63" t="s">
        <v>70</v>
      </c>
      <c r="C63" t="s">
        <v>68</v>
      </c>
      <c r="D63" t="s">
        <v>33</v>
      </c>
      <c r="E63">
        <v>53</v>
      </c>
      <c r="F63">
        <v>1</v>
      </c>
      <c r="H63">
        <v>9</v>
      </c>
      <c r="J63">
        <f t="shared" si="0"/>
        <v>118841</v>
      </c>
      <c r="L63">
        <f t="shared" si="1"/>
        <v>53.05401785714286</v>
      </c>
    </row>
    <row r="64" spans="1:12" x14ac:dyDescent="0.25">
      <c r="A64">
        <v>1747</v>
      </c>
      <c r="B64" t="s">
        <v>64</v>
      </c>
      <c r="C64" t="s">
        <v>68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1747</v>
      </c>
      <c r="B65" t="s">
        <v>65</v>
      </c>
      <c r="C65" t="s">
        <v>68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1747</v>
      </c>
      <c r="B66" t="s">
        <v>55</v>
      </c>
      <c r="C66" t="s">
        <v>68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1747</v>
      </c>
      <c r="B67" t="s">
        <v>57</v>
      </c>
      <c r="C67" t="s">
        <v>68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1747</v>
      </c>
      <c r="B68" t="s">
        <v>36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1747</v>
      </c>
      <c r="B69" t="s">
        <v>4</v>
      </c>
      <c r="C69" t="s">
        <v>68</v>
      </c>
      <c r="D69" t="s">
        <v>35</v>
      </c>
      <c r="J69">
        <f t="shared" ref="J69:J130" si="2">(E69*2240)+(F69*112)+(G69*28)+H69</f>
        <v>0</v>
      </c>
      <c r="L69">
        <f t="shared" ref="L69:L130" si="3">J69/2240</f>
        <v>0</v>
      </c>
    </row>
    <row r="70" spans="1:12" x14ac:dyDescent="0.25">
      <c r="A70">
        <v>1747</v>
      </c>
      <c r="B70" t="s">
        <v>58</v>
      </c>
      <c r="C70" t="s">
        <v>68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1747</v>
      </c>
      <c r="B71" t="s">
        <v>69</v>
      </c>
      <c r="C71" t="s">
        <v>68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1747</v>
      </c>
      <c r="B72" t="s">
        <v>101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1747</v>
      </c>
      <c r="B73" t="s">
        <v>43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1747</v>
      </c>
      <c r="B74" t="s">
        <v>76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1747</v>
      </c>
      <c r="B75" t="s">
        <v>5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1747</v>
      </c>
      <c r="B76" t="s">
        <v>59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1747</v>
      </c>
      <c r="B77" t="s">
        <v>6</v>
      </c>
      <c r="C77" t="s">
        <v>68</v>
      </c>
      <c r="D77" t="s">
        <v>35</v>
      </c>
      <c r="F77">
        <v>149720</v>
      </c>
      <c r="H77">
        <v>12</v>
      </c>
      <c r="J77">
        <f t="shared" si="2"/>
        <v>16768652</v>
      </c>
      <c r="L77">
        <f t="shared" si="3"/>
        <v>7486.0053571428571</v>
      </c>
    </row>
    <row r="78" spans="1:12" x14ac:dyDescent="0.25">
      <c r="A78">
        <v>1747</v>
      </c>
      <c r="B78" t="s">
        <v>60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1747</v>
      </c>
      <c r="B79" t="s">
        <v>38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1747</v>
      </c>
      <c r="B80" t="s">
        <v>37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1747</v>
      </c>
      <c r="B81" t="s">
        <v>8</v>
      </c>
      <c r="C81" t="s">
        <v>68</v>
      </c>
      <c r="D81" t="s">
        <v>35</v>
      </c>
      <c r="F81">
        <v>3</v>
      </c>
      <c r="G81">
        <v>2</v>
      </c>
      <c r="H81">
        <v>5</v>
      </c>
      <c r="J81">
        <f t="shared" si="2"/>
        <v>397</v>
      </c>
      <c r="L81">
        <f t="shared" si="3"/>
        <v>0.17723214285714287</v>
      </c>
    </row>
    <row r="82" spans="1:12" x14ac:dyDescent="0.25">
      <c r="A82">
        <v>1747</v>
      </c>
      <c r="B82" t="s">
        <v>40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1747</v>
      </c>
      <c r="B83" t="s">
        <v>77</v>
      </c>
      <c r="C83" t="s">
        <v>68</v>
      </c>
      <c r="D83" t="s">
        <v>35</v>
      </c>
      <c r="F83">
        <v>57</v>
      </c>
      <c r="G83">
        <v>2</v>
      </c>
      <c r="H83">
        <v>12</v>
      </c>
      <c r="J83">
        <f t="shared" si="2"/>
        <v>6452</v>
      </c>
      <c r="L83">
        <f t="shared" si="3"/>
        <v>2.8803571428571431</v>
      </c>
    </row>
    <row r="84" spans="1:12" x14ac:dyDescent="0.25">
      <c r="A84">
        <v>1747</v>
      </c>
      <c r="B84" t="s">
        <v>78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1747</v>
      </c>
      <c r="B85" t="s">
        <v>46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1747</v>
      </c>
      <c r="B86" t="s">
        <v>9</v>
      </c>
      <c r="C86" t="s">
        <v>68</v>
      </c>
      <c r="D86" t="s">
        <v>35</v>
      </c>
      <c r="H86">
        <f>689.5*200</f>
        <v>137900</v>
      </c>
      <c r="I86" t="s">
        <v>141</v>
      </c>
      <c r="J86">
        <f t="shared" si="2"/>
        <v>137900</v>
      </c>
      <c r="L86">
        <f t="shared" si="3"/>
        <v>61.5625</v>
      </c>
    </row>
    <row r="87" spans="1:12" x14ac:dyDescent="0.25">
      <c r="A87">
        <v>1747</v>
      </c>
      <c r="B87" t="s">
        <v>10</v>
      </c>
      <c r="C87" t="s">
        <v>68</v>
      </c>
      <c r="D87" t="s">
        <v>35</v>
      </c>
      <c r="F87">
        <v>796</v>
      </c>
      <c r="H87">
        <v>10</v>
      </c>
      <c r="J87">
        <f t="shared" si="2"/>
        <v>89162</v>
      </c>
      <c r="L87">
        <f t="shared" si="3"/>
        <v>39.804464285714289</v>
      </c>
    </row>
    <row r="88" spans="1:12" x14ac:dyDescent="0.25">
      <c r="A88">
        <v>1747</v>
      </c>
      <c r="B88" t="s">
        <v>11</v>
      </c>
      <c r="C88" t="s">
        <v>68</v>
      </c>
      <c r="D88" t="s">
        <v>35</v>
      </c>
      <c r="F88">
        <v>241</v>
      </c>
      <c r="G88">
        <v>2</v>
      </c>
      <c r="H88">
        <v>14</v>
      </c>
      <c r="J88">
        <f t="shared" si="2"/>
        <v>27062</v>
      </c>
      <c r="L88">
        <f t="shared" si="3"/>
        <v>12.081250000000001</v>
      </c>
    </row>
    <row r="89" spans="1:12" x14ac:dyDescent="0.25">
      <c r="A89">
        <v>1747</v>
      </c>
      <c r="B89" t="s">
        <v>39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1747</v>
      </c>
      <c r="B90" t="s">
        <v>79</v>
      </c>
      <c r="C90" t="s">
        <v>68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1747</v>
      </c>
      <c r="B91" t="s">
        <v>103</v>
      </c>
      <c r="C91" t="s">
        <v>68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1747</v>
      </c>
      <c r="B92" t="s">
        <v>44</v>
      </c>
      <c r="C92" t="s">
        <v>68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1747</v>
      </c>
      <c r="B93" t="s">
        <v>97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1747</v>
      </c>
      <c r="B94" t="s">
        <v>12</v>
      </c>
      <c r="C94" t="s">
        <v>68</v>
      </c>
      <c r="D94" t="s">
        <v>35</v>
      </c>
      <c r="H94">
        <v>14180</v>
      </c>
      <c r="J94">
        <f t="shared" si="2"/>
        <v>14180</v>
      </c>
      <c r="L94">
        <f t="shared" si="3"/>
        <v>6.3303571428571432</v>
      </c>
    </row>
    <row r="95" spans="1:12" x14ac:dyDescent="0.25">
      <c r="A95">
        <v>1747</v>
      </c>
      <c r="B95" t="s">
        <v>82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1747</v>
      </c>
      <c r="B96" t="s">
        <v>34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1747</v>
      </c>
      <c r="B97" t="s">
        <v>13</v>
      </c>
      <c r="C97" t="s">
        <v>68</v>
      </c>
      <c r="D97" t="s">
        <v>35</v>
      </c>
      <c r="E97">
        <v>66</v>
      </c>
      <c r="F97">
        <v>2</v>
      </c>
      <c r="G97">
        <v>3</v>
      </c>
      <c r="H97">
        <v>20</v>
      </c>
      <c r="J97">
        <f t="shared" si="2"/>
        <v>148168</v>
      </c>
      <c r="L97">
        <f t="shared" si="3"/>
        <v>66.146428571428572</v>
      </c>
    </row>
    <row r="98" spans="1:12" x14ac:dyDescent="0.25">
      <c r="A98">
        <v>1747</v>
      </c>
      <c r="B98" t="s">
        <v>14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1747</v>
      </c>
      <c r="B99" t="s">
        <v>23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1747</v>
      </c>
      <c r="B100" t="s">
        <v>27</v>
      </c>
      <c r="C100" t="s">
        <v>68</v>
      </c>
      <c r="D100" t="s">
        <v>35</v>
      </c>
      <c r="H100">
        <v>15314</v>
      </c>
      <c r="I100" t="s">
        <v>140</v>
      </c>
      <c r="J100">
        <f t="shared" si="2"/>
        <v>15314</v>
      </c>
      <c r="L100">
        <f t="shared" si="3"/>
        <v>6.8366071428571429</v>
      </c>
    </row>
    <row r="101" spans="1:12" x14ac:dyDescent="0.25">
      <c r="A101">
        <v>1747</v>
      </c>
      <c r="B101" t="s">
        <v>15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1747</v>
      </c>
      <c r="B102" t="s">
        <v>93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1747</v>
      </c>
      <c r="B103" t="s">
        <v>42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1747</v>
      </c>
      <c r="B104" t="s">
        <v>83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1747</v>
      </c>
      <c r="B105" t="s">
        <v>47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1747</v>
      </c>
      <c r="B106" t="s">
        <v>16</v>
      </c>
      <c r="C106" t="s">
        <v>68</v>
      </c>
      <c r="D106" t="s">
        <v>35</v>
      </c>
      <c r="H106">
        <v>227351</v>
      </c>
      <c r="J106">
        <f t="shared" si="2"/>
        <v>227351</v>
      </c>
      <c r="L106">
        <f t="shared" si="3"/>
        <v>101.49598214285714</v>
      </c>
    </row>
    <row r="107" spans="1:12" x14ac:dyDescent="0.25">
      <c r="A107">
        <v>1747</v>
      </c>
      <c r="B107" t="s">
        <v>17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1747</v>
      </c>
      <c r="B108" t="s">
        <v>18</v>
      </c>
      <c r="C108" t="s">
        <v>68</v>
      </c>
      <c r="D108" t="s">
        <v>35</v>
      </c>
      <c r="H108">
        <v>1063843</v>
      </c>
      <c r="I108" t="s">
        <v>139</v>
      </c>
      <c r="J108">
        <f t="shared" si="2"/>
        <v>1063843</v>
      </c>
      <c r="L108">
        <f t="shared" si="3"/>
        <v>474.92991071428571</v>
      </c>
    </row>
    <row r="109" spans="1:12" x14ac:dyDescent="0.25">
      <c r="A109">
        <v>1747</v>
      </c>
      <c r="B109" t="s">
        <v>26</v>
      </c>
      <c r="C109" t="s">
        <v>68</v>
      </c>
      <c r="D109" t="s">
        <v>35</v>
      </c>
      <c r="H109">
        <v>4435</v>
      </c>
      <c r="J109">
        <f t="shared" si="2"/>
        <v>4435</v>
      </c>
      <c r="L109">
        <f t="shared" si="3"/>
        <v>1.9799107142857142</v>
      </c>
    </row>
    <row r="110" spans="1:12" x14ac:dyDescent="0.25">
      <c r="A110">
        <v>1747</v>
      </c>
      <c r="B110" t="s">
        <v>84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1747</v>
      </c>
      <c r="B111" t="s">
        <v>19</v>
      </c>
      <c r="C111" t="s">
        <v>68</v>
      </c>
      <c r="D111" t="s">
        <v>35</v>
      </c>
      <c r="F111">
        <v>3</v>
      </c>
      <c r="G111">
        <v>1</v>
      </c>
      <c r="J111">
        <f t="shared" si="2"/>
        <v>364</v>
      </c>
      <c r="L111">
        <f t="shared" si="3"/>
        <v>0.16250000000000001</v>
      </c>
    </row>
    <row r="112" spans="1:12" x14ac:dyDescent="0.25">
      <c r="A112">
        <v>1747</v>
      </c>
      <c r="B112" t="s">
        <v>45</v>
      </c>
      <c r="C112" t="s">
        <v>68</v>
      </c>
      <c r="D112" t="s">
        <v>35</v>
      </c>
      <c r="H112">
        <v>30</v>
      </c>
      <c r="J112">
        <f t="shared" si="2"/>
        <v>30</v>
      </c>
      <c r="L112">
        <f t="shared" si="3"/>
        <v>1.3392857142857142E-2</v>
      </c>
    </row>
    <row r="113" spans="1:12" x14ac:dyDescent="0.25">
      <c r="A113">
        <v>1747</v>
      </c>
      <c r="B113" t="s">
        <v>85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1747</v>
      </c>
      <c r="B114" t="s">
        <v>54</v>
      </c>
      <c r="C114" t="s">
        <v>68</v>
      </c>
      <c r="D114" t="s">
        <v>35</v>
      </c>
      <c r="H114">
        <v>111</v>
      </c>
      <c r="J114">
        <f t="shared" si="2"/>
        <v>111</v>
      </c>
      <c r="L114">
        <f t="shared" si="3"/>
        <v>4.9553571428571426E-2</v>
      </c>
    </row>
    <row r="115" spans="1:12" x14ac:dyDescent="0.25">
      <c r="A115">
        <v>1747</v>
      </c>
      <c r="B115" t="s">
        <v>95</v>
      </c>
      <c r="C115" t="s">
        <v>68</v>
      </c>
      <c r="D115" t="s">
        <v>35</v>
      </c>
      <c r="H115">
        <v>24</v>
      </c>
      <c r="J115">
        <f t="shared" si="2"/>
        <v>24</v>
      </c>
      <c r="L115">
        <f t="shared" si="3"/>
        <v>1.0714285714285714E-2</v>
      </c>
    </row>
    <row r="116" spans="1:12" x14ac:dyDescent="0.25">
      <c r="A116">
        <v>1747</v>
      </c>
      <c r="B116" t="s">
        <v>20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1747</v>
      </c>
      <c r="B117" t="s">
        <v>21</v>
      </c>
      <c r="C117" t="s">
        <v>68</v>
      </c>
      <c r="D117" t="s">
        <v>35</v>
      </c>
      <c r="H117">
        <v>1381</v>
      </c>
      <c r="J117">
        <f t="shared" si="2"/>
        <v>1381</v>
      </c>
      <c r="L117">
        <f t="shared" si="3"/>
        <v>0.61651785714285712</v>
      </c>
    </row>
    <row r="118" spans="1:12" x14ac:dyDescent="0.25">
      <c r="A118">
        <v>1747</v>
      </c>
      <c r="B118" t="s">
        <v>90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1747</v>
      </c>
      <c r="B119" t="s">
        <v>22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1747</v>
      </c>
      <c r="B120" t="s">
        <v>61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1747</v>
      </c>
      <c r="B121" t="s">
        <v>110</v>
      </c>
      <c r="C121" t="s">
        <v>68</v>
      </c>
      <c r="D121" t="s">
        <v>35</v>
      </c>
      <c r="E121">
        <v>4</v>
      </c>
      <c r="J121">
        <f t="shared" si="2"/>
        <v>8960</v>
      </c>
      <c r="L121">
        <f t="shared" si="3"/>
        <v>4</v>
      </c>
    </row>
    <row r="122" spans="1:12" x14ac:dyDescent="0.25">
      <c r="A122">
        <v>1747</v>
      </c>
      <c r="B122" t="s">
        <v>98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1747</v>
      </c>
      <c r="B123" t="s">
        <v>87</v>
      </c>
      <c r="C123" t="s">
        <v>68</v>
      </c>
      <c r="D123" t="s">
        <v>35</v>
      </c>
      <c r="E123">
        <v>15</v>
      </c>
      <c r="F123">
        <v>18</v>
      </c>
      <c r="H123">
        <v>2</v>
      </c>
      <c r="J123">
        <f t="shared" si="2"/>
        <v>35618</v>
      </c>
      <c r="L123">
        <f t="shared" si="3"/>
        <v>15.900892857142857</v>
      </c>
    </row>
    <row r="124" spans="1:12" x14ac:dyDescent="0.25">
      <c r="A124">
        <v>1747</v>
      </c>
      <c r="B124" t="s">
        <v>62</v>
      </c>
      <c r="C124" t="s">
        <v>68</v>
      </c>
      <c r="D124" t="s">
        <v>35</v>
      </c>
      <c r="E124">
        <v>203</v>
      </c>
      <c r="F124">
        <v>19</v>
      </c>
      <c r="G124">
        <v>3</v>
      </c>
      <c r="J124">
        <f t="shared" si="2"/>
        <v>456932</v>
      </c>
      <c r="L124">
        <f t="shared" si="3"/>
        <v>203.98750000000001</v>
      </c>
    </row>
    <row r="125" spans="1:12" x14ac:dyDescent="0.25">
      <c r="A125">
        <v>1747</v>
      </c>
      <c r="B125" t="s">
        <v>88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1747</v>
      </c>
      <c r="B126" t="s">
        <v>63</v>
      </c>
      <c r="C126" t="s">
        <v>68</v>
      </c>
      <c r="D126" t="s">
        <v>35</v>
      </c>
      <c r="E126">
        <v>87</v>
      </c>
      <c r="F126">
        <v>5</v>
      </c>
      <c r="G126">
        <v>2</v>
      </c>
      <c r="J126">
        <f t="shared" si="2"/>
        <v>195496</v>
      </c>
      <c r="L126">
        <f t="shared" si="3"/>
        <v>87.275000000000006</v>
      </c>
    </row>
    <row r="127" spans="1:12" x14ac:dyDescent="0.25">
      <c r="A127">
        <v>1747</v>
      </c>
      <c r="B127" t="s">
        <v>89</v>
      </c>
      <c r="C127" t="s">
        <v>68</v>
      </c>
      <c r="D127" t="s">
        <v>35</v>
      </c>
      <c r="E127">
        <v>100</v>
      </c>
      <c r="F127">
        <v>6</v>
      </c>
      <c r="G127">
        <v>2</v>
      </c>
      <c r="H127">
        <v>14</v>
      </c>
      <c r="J127">
        <f t="shared" si="2"/>
        <v>224742</v>
      </c>
      <c r="L127">
        <f t="shared" si="3"/>
        <v>100.33125</v>
      </c>
    </row>
    <row r="128" spans="1:12" x14ac:dyDescent="0.25">
      <c r="A128">
        <v>1747</v>
      </c>
      <c r="B128" t="s">
        <v>70</v>
      </c>
      <c r="C128" t="s">
        <v>68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1747</v>
      </c>
      <c r="B129" t="s">
        <v>64</v>
      </c>
      <c r="C129" t="s">
        <v>68</v>
      </c>
      <c r="D129" t="s">
        <v>35</v>
      </c>
      <c r="E129">
        <v>7</v>
      </c>
      <c r="F129">
        <v>6</v>
      </c>
      <c r="G129">
        <v>2</v>
      </c>
      <c r="H129">
        <v>10</v>
      </c>
      <c r="J129">
        <f t="shared" si="2"/>
        <v>16418</v>
      </c>
      <c r="L129">
        <f t="shared" si="3"/>
        <v>7.3294642857142858</v>
      </c>
    </row>
    <row r="130" spans="1:12" x14ac:dyDescent="0.25">
      <c r="A130">
        <v>1747</v>
      </c>
      <c r="B130" t="s">
        <v>65</v>
      </c>
      <c r="C130" t="s">
        <v>68</v>
      </c>
      <c r="D130" t="s">
        <v>35</v>
      </c>
      <c r="J130">
        <f t="shared" si="2"/>
        <v>0</v>
      </c>
      <c r="L130">
        <f t="shared" si="3"/>
        <v>0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topLeftCell="A103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1747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1747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1747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1747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1747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1747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1747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1747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1747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1747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1747</v>
      </c>
      <c r="B12" t="s">
        <v>6</v>
      </c>
      <c r="C12" t="s">
        <v>72</v>
      </c>
      <c r="D12" t="s">
        <v>33</v>
      </c>
      <c r="F12">
        <v>15064</v>
      </c>
      <c r="G12">
        <v>2</v>
      </c>
      <c r="H12">
        <v>14</v>
      </c>
      <c r="J12">
        <f t="shared" si="0"/>
        <v>1687238</v>
      </c>
      <c r="L12">
        <f t="shared" si="1"/>
        <v>753.23125000000005</v>
      </c>
    </row>
    <row r="13" spans="1:15" x14ac:dyDescent="0.25">
      <c r="A13">
        <v>1747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1747</v>
      </c>
      <c r="B14" t="s">
        <v>60</v>
      </c>
      <c r="C14" t="s">
        <v>72</v>
      </c>
      <c r="D14" t="s">
        <v>33</v>
      </c>
      <c r="H14">
        <v>200</v>
      </c>
      <c r="J14">
        <f t="shared" si="0"/>
        <v>200</v>
      </c>
      <c r="L14">
        <f t="shared" si="1"/>
        <v>8.9285714285714288E-2</v>
      </c>
    </row>
    <row r="15" spans="1:15" x14ac:dyDescent="0.25">
      <c r="A15">
        <v>1747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1747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1747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1747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1747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1747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1747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1747</v>
      </c>
      <c r="B22" t="s">
        <v>9</v>
      </c>
      <c r="C22" t="s">
        <v>72</v>
      </c>
      <c r="D22" t="s">
        <v>33</v>
      </c>
      <c r="H22">
        <f>58.5*200</f>
        <v>11700</v>
      </c>
      <c r="I22" t="s">
        <v>124</v>
      </c>
      <c r="J22">
        <f t="shared" si="0"/>
        <v>11700</v>
      </c>
      <c r="L22">
        <f t="shared" si="1"/>
        <v>5.2232142857142856</v>
      </c>
    </row>
    <row r="23" spans="1:12" x14ac:dyDescent="0.25">
      <c r="A23">
        <v>1747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1747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1747</v>
      </c>
      <c r="B25" t="s">
        <v>39</v>
      </c>
      <c r="C25" t="s">
        <v>72</v>
      </c>
      <c r="D25" t="s">
        <v>33</v>
      </c>
      <c r="H25">
        <v>25</v>
      </c>
      <c r="J25">
        <f t="shared" si="0"/>
        <v>25</v>
      </c>
      <c r="L25">
        <f t="shared" si="1"/>
        <v>1.1160714285714286E-2</v>
      </c>
    </row>
    <row r="26" spans="1:12" x14ac:dyDescent="0.25">
      <c r="A26">
        <v>1747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1747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1747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1747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1747</v>
      </c>
      <c r="B30" t="s">
        <v>12</v>
      </c>
      <c r="C30" t="s">
        <v>72</v>
      </c>
      <c r="D30" t="s">
        <v>33</v>
      </c>
      <c r="H30">
        <v>1900</v>
      </c>
      <c r="J30">
        <f t="shared" si="0"/>
        <v>1900</v>
      </c>
      <c r="L30">
        <f t="shared" si="1"/>
        <v>0.8482142857142857</v>
      </c>
    </row>
    <row r="31" spans="1:12" x14ac:dyDescent="0.25">
      <c r="A31">
        <v>1747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1747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1747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1747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1747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1747</v>
      </c>
      <c r="B36" t="s">
        <v>27</v>
      </c>
      <c r="C36" t="s">
        <v>72</v>
      </c>
      <c r="D36" t="s">
        <v>33</v>
      </c>
      <c r="H36">
        <v>8742</v>
      </c>
      <c r="I36" t="s">
        <v>123</v>
      </c>
      <c r="J36">
        <f t="shared" si="0"/>
        <v>8742</v>
      </c>
      <c r="L36">
        <f t="shared" si="1"/>
        <v>3.9026785714285714</v>
      </c>
    </row>
    <row r="37" spans="1:12" x14ac:dyDescent="0.25">
      <c r="A37">
        <v>1747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1747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1747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1747</v>
      </c>
      <c r="B40" t="s">
        <v>47</v>
      </c>
      <c r="C40" t="s">
        <v>72</v>
      </c>
      <c r="D40" t="s">
        <v>33</v>
      </c>
      <c r="H40">
        <v>30</v>
      </c>
      <c r="I40" t="s">
        <v>121</v>
      </c>
      <c r="J40">
        <f t="shared" si="0"/>
        <v>30</v>
      </c>
      <c r="L40">
        <f t="shared" si="1"/>
        <v>1.3392857142857142E-2</v>
      </c>
    </row>
    <row r="41" spans="1:12" x14ac:dyDescent="0.25">
      <c r="A41">
        <v>1747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1747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1747</v>
      </c>
      <c r="B43" t="s">
        <v>18</v>
      </c>
      <c r="C43" t="s">
        <v>72</v>
      </c>
      <c r="D43" t="s">
        <v>33</v>
      </c>
      <c r="H43">
        <v>64366.5</v>
      </c>
      <c r="I43" t="s">
        <v>122</v>
      </c>
      <c r="J43">
        <f t="shared" si="0"/>
        <v>64366.5</v>
      </c>
      <c r="L43">
        <f t="shared" si="1"/>
        <v>28.735044642857144</v>
      </c>
    </row>
    <row r="44" spans="1:12" x14ac:dyDescent="0.25">
      <c r="A44">
        <v>1747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1747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1747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1747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1747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1747</v>
      </c>
      <c r="B49" t="s">
        <v>54</v>
      </c>
      <c r="C49" t="s">
        <v>72</v>
      </c>
      <c r="D49" t="s">
        <v>33</v>
      </c>
      <c r="H49">
        <v>107</v>
      </c>
      <c r="J49">
        <f t="shared" si="0"/>
        <v>107</v>
      </c>
      <c r="L49">
        <f t="shared" si="1"/>
        <v>4.776785714285714E-2</v>
      </c>
    </row>
    <row r="50" spans="1:12" x14ac:dyDescent="0.25">
      <c r="A50">
        <v>1747</v>
      </c>
      <c r="B50" t="s">
        <v>95</v>
      </c>
      <c r="C50" t="s">
        <v>72</v>
      </c>
      <c r="D50" t="s">
        <v>33</v>
      </c>
      <c r="H50">
        <v>76</v>
      </c>
      <c r="J50">
        <f t="shared" si="0"/>
        <v>76</v>
      </c>
      <c r="L50">
        <f t="shared" si="1"/>
        <v>3.3928571428571426E-2</v>
      </c>
    </row>
    <row r="51" spans="1:12" x14ac:dyDescent="0.25">
      <c r="A51">
        <v>1747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1747</v>
      </c>
      <c r="B52" t="s">
        <v>21</v>
      </c>
      <c r="C52" t="s">
        <v>72</v>
      </c>
      <c r="D52" t="s">
        <v>33</v>
      </c>
      <c r="H52">
        <v>4</v>
      </c>
      <c r="J52">
        <f t="shared" si="0"/>
        <v>4</v>
      </c>
      <c r="L52">
        <f t="shared" si="1"/>
        <v>1.7857142857142857E-3</v>
      </c>
    </row>
    <row r="53" spans="1:12" x14ac:dyDescent="0.25">
      <c r="A53">
        <v>1747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1747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1747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1747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1747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1747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1747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1747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1747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1747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1747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1747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1747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1747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1747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1747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1747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1747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1747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1747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1747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1747</v>
      </c>
      <c r="B74" t="s">
        <v>6</v>
      </c>
      <c r="C74" t="s">
        <v>72</v>
      </c>
      <c r="D74" t="s">
        <v>35</v>
      </c>
      <c r="F74">
        <v>5487</v>
      </c>
      <c r="G74">
        <v>3</v>
      </c>
      <c r="H74">
        <v>26</v>
      </c>
      <c r="J74">
        <f t="shared" si="2"/>
        <v>614654</v>
      </c>
      <c r="L74">
        <f t="shared" si="3"/>
        <v>274.39910714285713</v>
      </c>
    </row>
    <row r="75" spans="1:12" x14ac:dyDescent="0.25">
      <c r="A75">
        <v>1747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1747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1747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1747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1747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1747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1747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1747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1747</v>
      </c>
      <c r="B83" t="s">
        <v>9</v>
      </c>
      <c r="C83" t="s">
        <v>72</v>
      </c>
      <c r="D83" t="s">
        <v>35</v>
      </c>
      <c r="H83">
        <f>72*200</f>
        <v>14400</v>
      </c>
      <c r="I83" t="s">
        <v>143</v>
      </c>
      <c r="J83">
        <f t="shared" si="2"/>
        <v>14400</v>
      </c>
      <c r="L83">
        <f t="shared" si="3"/>
        <v>6.4285714285714288</v>
      </c>
    </row>
    <row r="84" spans="1:12" x14ac:dyDescent="0.25">
      <c r="A84">
        <v>1747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1747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1747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1747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1747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1747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1747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1747</v>
      </c>
      <c r="B91" t="s">
        <v>12</v>
      </c>
      <c r="C91" t="s">
        <v>72</v>
      </c>
      <c r="D91" t="s">
        <v>35</v>
      </c>
      <c r="H91">
        <v>302</v>
      </c>
      <c r="J91">
        <f t="shared" si="2"/>
        <v>302</v>
      </c>
      <c r="L91">
        <f t="shared" si="3"/>
        <v>0.13482142857142856</v>
      </c>
    </row>
    <row r="92" spans="1:12" x14ac:dyDescent="0.25">
      <c r="A92">
        <v>1747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1747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1747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1747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1747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1747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1747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1747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1747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1747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1747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1747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1747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1747</v>
      </c>
      <c r="B105" t="s">
        <v>18</v>
      </c>
      <c r="C105" t="s">
        <v>72</v>
      </c>
      <c r="D105" t="s">
        <v>35</v>
      </c>
      <c r="H105">
        <v>25076.5</v>
      </c>
      <c r="I105" t="s">
        <v>142</v>
      </c>
      <c r="J105">
        <f t="shared" si="2"/>
        <v>25076.5</v>
      </c>
      <c r="L105">
        <f t="shared" si="3"/>
        <v>11.194866071428571</v>
      </c>
    </row>
    <row r="106" spans="1:12" x14ac:dyDescent="0.25">
      <c r="A106">
        <v>1747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1747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1747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1747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1747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1747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1747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1747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1747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1747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1747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1747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1747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1747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1747</v>
      </c>
      <c r="B120" t="s">
        <v>62</v>
      </c>
      <c r="C120" t="s">
        <v>72</v>
      </c>
      <c r="D120" t="s">
        <v>35</v>
      </c>
      <c r="E120">
        <v>8</v>
      </c>
      <c r="J120">
        <f t="shared" si="2"/>
        <v>17920</v>
      </c>
      <c r="L120">
        <f t="shared" si="3"/>
        <v>8</v>
      </c>
    </row>
    <row r="121" spans="1:12" x14ac:dyDescent="0.25">
      <c r="A121">
        <v>1747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1747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1747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1747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1747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1747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67" workbookViewId="0">
      <selection activeCell="H84" sqref="H8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1747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1747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1747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1747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1747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1747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1747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1747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1747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1747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1747</v>
      </c>
      <c r="B12" t="s">
        <v>6</v>
      </c>
      <c r="C12" t="s">
        <v>73</v>
      </c>
      <c r="D12" t="s">
        <v>33</v>
      </c>
      <c r="F12">
        <v>12622</v>
      </c>
      <c r="G12">
        <v>2</v>
      </c>
      <c r="H12">
        <v>10</v>
      </c>
      <c r="J12">
        <f t="shared" si="0"/>
        <v>1413730</v>
      </c>
      <c r="L12">
        <f t="shared" si="1"/>
        <v>631.12946428571433</v>
      </c>
    </row>
    <row r="13" spans="1:15" x14ac:dyDescent="0.25">
      <c r="A13">
        <v>1747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1747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1747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1747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1747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1747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1747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1747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1747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1747</v>
      </c>
      <c r="B22" t="s">
        <v>9</v>
      </c>
      <c r="C22" t="s">
        <v>73</v>
      </c>
      <c r="D22" t="s">
        <v>33</v>
      </c>
      <c r="H22">
        <f>4*200</f>
        <v>800</v>
      </c>
      <c r="I22" t="s">
        <v>126</v>
      </c>
      <c r="J22">
        <f t="shared" si="0"/>
        <v>800</v>
      </c>
      <c r="L22">
        <f t="shared" si="1"/>
        <v>0.35714285714285715</v>
      </c>
    </row>
    <row r="23" spans="1:12" x14ac:dyDescent="0.25">
      <c r="A23">
        <v>1747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1747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1747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1747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1747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1747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1747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1747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1747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1747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1747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1747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1747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1747</v>
      </c>
      <c r="B36" t="s">
        <v>27</v>
      </c>
      <c r="C36" t="s">
        <v>73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1747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1747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1747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1747</v>
      </c>
      <c r="B40" t="s">
        <v>47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1747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1747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1747</v>
      </c>
      <c r="B43" t="s">
        <v>18</v>
      </c>
      <c r="C43" t="s">
        <v>73</v>
      </c>
      <c r="D43" t="s">
        <v>33</v>
      </c>
      <c r="H43">
        <v>12563.5</v>
      </c>
      <c r="I43" t="s">
        <v>125</v>
      </c>
      <c r="J43">
        <f t="shared" si="0"/>
        <v>12563.5</v>
      </c>
      <c r="L43">
        <f t="shared" si="1"/>
        <v>5.6087053571428571</v>
      </c>
    </row>
    <row r="44" spans="1:12" x14ac:dyDescent="0.25">
      <c r="A44">
        <v>1747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1747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1747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1747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1747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1747</v>
      </c>
      <c r="B49" t="s">
        <v>54</v>
      </c>
      <c r="C49" t="s">
        <v>73</v>
      </c>
      <c r="D49" t="s">
        <v>33</v>
      </c>
      <c r="H49">
        <v>9</v>
      </c>
      <c r="J49">
        <f t="shared" si="0"/>
        <v>9</v>
      </c>
      <c r="L49">
        <f t="shared" si="1"/>
        <v>4.0178571428571425E-3</v>
      </c>
    </row>
    <row r="50" spans="1:12" x14ac:dyDescent="0.25">
      <c r="A50">
        <v>1747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1747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1747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1747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1747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1747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1747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1747</v>
      </c>
      <c r="B57" t="s">
        <v>62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1747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1747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1747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1747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1747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1747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1747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1747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1747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1747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1747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1747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1747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1747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1747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1747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1747</v>
      </c>
      <c r="B74" t="s">
        <v>6</v>
      </c>
      <c r="C74" t="s">
        <v>73</v>
      </c>
      <c r="D74" t="s">
        <v>35</v>
      </c>
      <c r="F74">
        <v>3478</v>
      </c>
      <c r="H74">
        <v>17</v>
      </c>
      <c r="J74">
        <f t="shared" si="2"/>
        <v>389553</v>
      </c>
      <c r="L74">
        <f t="shared" si="3"/>
        <v>173.90758928571429</v>
      </c>
    </row>
    <row r="75" spans="1:12" x14ac:dyDescent="0.25">
      <c r="A75">
        <v>1747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1747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1747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1747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1747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1747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1747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1747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1747</v>
      </c>
      <c r="B83" t="s">
        <v>9</v>
      </c>
      <c r="C83" t="s">
        <v>73</v>
      </c>
      <c r="D83" t="s">
        <v>35</v>
      </c>
      <c r="H83">
        <f>43*200</f>
        <v>8600</v>
      </c>
      <c r="I83" t="s">
        <v>145</v>
      </c>
      <c r="J83">
        <f t="shared" si="2"/>
        <v>8600</v>
      </c>
      <c r="L83">
        <f t="shared" si="3"/>
        <v>3.8392857142857144</v>
      </c>
    </row>
    <row r="84" spans="1:12" x14ac:dyDescent="0.25">
      <c r="A84">
        <v>1747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1747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1747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1747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1747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1747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1747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1747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1747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1747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1747</v>
      </c>
      <c r="B94" t="s">
        <v>13</v>
      </c>
      <c r="C94" t="s">
        <v>73</v>
      </c>
      <c r="D94" t="s">
        <v>35</v>
      </c>
      <c r="E94">
        <v>1</v>
      </c>
      <c r="J94">
        <f t="shared" si="2"/>
        <v>2240</v>
      </c>
      <c r="L94">
        <f t="shared" si="3"/>
        <v>1</v>
      </c>
    </row>
    <row r="95" spans="1:12" x14ac:dyDescent="0.25">
      <c r="A95">
        <v>1747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1747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1747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1747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1747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1747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1747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1747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1747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1747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1747</v>
      </c>
      <c r="B105" t="s">
        <v>18</v>
      </c>
      <c r="C105" t="s">
        <v>73</v>
      </c>
      <c r="D105" t="s">
        <v>35</v>
      </c>
      <c r="H105">
        <v>390</v>
      </c>
      <c r="I105" t="s">
        <v>144</v>
      </c>
      <c r="J105">
        <f t="shared" si="2"/>
        <v>390</v>
      </c>
      <c r="L105">
        <f t="shared" si="3"/>
        <v>0.17410714285714285</v>
      </c>
    </row>
    <row r="106" spans="1:12" x14ac:dyDescent="0.25">
      <c r="A106">
        <v>1747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1747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1747</v>
      </c>
      <c r="B108" t="s">
        <v>19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1747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1747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1747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1747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1747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1747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1747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1747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1747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1747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1747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1747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1747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1747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1747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1747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1747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1747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topLeftCell="A103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1747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1747</v>
      </c>
      <c r="B3" t="s">
        <v>57</v>
      </c>
      <c r="C3" t="s">
        <v>74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1747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1747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1747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1747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1747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1747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1747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1747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1747</v>
      </c>
      <c r="B12" t="s">
        <v>6</v>
      </c>
      <c r="C12" t="s">
        <v>74</v>
      </c>
      <c r="D12" t="s">
        <v>33</v>
      </c>
      <c r="F12">
        <v>76928</v>
      </c>
      <c r="G12">
        <v>1</v>
      </c>
      <c r="H12">
        <v>6</v>
      </c>
      <c r="J12">
        <f t="shared" si="0"/>
        <v>8615970</v>
      </c>
      <c r="L12">
        <f t="shared" si="1"/>
        <v>3846.4151785714284</v>
      </c>
    </row>
    <row r="13" spans="1:15" x14ac:dyDescent="0.25">
      <c r="A13">
        <v>1747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1747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1747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1747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1747</v>
      </c>
      <c r="B17" t="s">
        <v>8</v>
      </c>
      <c r="C17" t="s">
        <v>74</v>
      </c>
      <c r="D17" t="s">
        <v>33</v>
      </c>
      <c r="F17">
        <v>3</v>
      </c>
      <c r="G17">
        <v>3</v>
      </c>
      <c r="H17">
        <v>16</v>
      </c>
      <c r="J17">
        <f t="shared" si="0"/>
        <v>436</v>
      </c>
      <c r="L17">
        <f t="shared" si="1"/>
        <v>0.19464285714285715</v>
      </c>
    </row>
    <row r="18" spans="1:12" x14ac:dyDescent="0.25">
      <c r="A18">
        <v>1747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1747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1747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1747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1747</v>
      </c>
      <c r="B22" t="s">
        <v>9</v>
      </c>
      <c r="C22" t="s">
        <v>74</v>
      </c>
      <c r="D22" t="s">
        <v>33</v>
      </c>
      <c r="H22">
        <f>274.75*200</f>
        <v>54950</v>
      </c>
      <c r="I22" t="s">
        <v>131</v>
      </c>
      <c r="J22">
        <f t="shared" si="0"/>
        <v>54950</v>
      </c>
      <c r="L22">
        <f t="shared" si="1"/>
        <v>24.53125</v>
      </c>
    </row>
    <row r="23" spans="1:12" x14ac:dyDescent="0.25">
      <c r="A23">
        <v>1747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1747</v>
      </c>
      <c r="B24" t="s">
        <v>11</v>
      </c>
      <c r="C24" t="s">
        <v>74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1747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1747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1747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1747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1747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1747</v>
      </c>
      <c r="B30" t="s">
        <v>12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1747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1747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1747</v>
      </c>
      <c r="B33" t="s">
        <v>13</v>
      </c>
      <c r="C33" t="s">
        <v>74</v>
      </c>
      <c r="D33" t="s">
        <v>33</v>
      </c>
      <c r="E33">
        <v>11</v>
      </c>
      <c r="J33">
        <f t="shared" si="0"/>
        <v>24640</v>
      </c>
      <c r="L33">
        <f t="shared" si="1"/>
        <v>11</v>
      </c>
    </row>
    <row r="34" spans="1:12" x14ac:dyDescent="0.25">
      <c r="A34">
        <v>1747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1747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1747</v>
      </c>
      <c r="B36" t="s">
        <v>27</v>
      </c>
      <c r="C36" t="s">
        <v>74</v>
      </c>
      <c r="D36" t="s">
        <v>33</v>
      </c>
      <c r="H36">
        <v>60215.5</v>
      </c>
      <c r="I36" t="s">
        <v>130</v>
      </c>
      <c r="J36">
        <f t="shared" si="0"/>
        <v>60215.5</v>
      </c>
      <c r="L36">
        <f t="shared" si="1"/>
        <v>26.881919642857142</v>
      </c>
    </row>
    <row r="37" spans="1:12" x14ac:dyDescent="0.25">
      <c r="A37">
        <v>1747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1747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1747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1747</v>
      </c>
      <c r="B40" t="s">
        <v>47</v>
      </c>
      <c r="C40" t="s">
        <v>74</v>
      </c>
      <c r="D40" t="s">
        <v>33</v>
      </c>
      <c r="H40">
        <v>60</v>
      </c>
      <c r="I40" t="s">
        <v>127</v>
      </c>
      <c r="J40">
        <f t="shared" si="0"/>
        <v>60</v>
      </c>
      <c r="L40">
        <f t="shared" si="1"/>
        <v>2.6785714285714284E-2</v>
      </c>
    </row>
    <row r="41" spans="1:12" x14ac:dyDescent="0.25">
      <c r="A41">
        <v>1747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1747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1747</v>
      </c>
      <c r="B43" t="s">
        <v>18</v>
      </c>
      <c r="C43" t="s">
        <v>74</v>
      </c>
      <c r="D43" t="s">
        <v>33</v>
      </c>
      <c r="H43">
        <v>57294.5</v>
      </c>
      <c r="I43" t="s">
        <v>129</v>
      </c>
      <c r="J43">
        <f t="shared" si="0"/>
        <v>57294.5</v>
      </c>
      <c r="L43">
        <f t="shared" si="1"/>
        <v>25.577901785714285</v>
      </c>
    </row>
    <row r="44" spans="1:12" x14ac:dyDescent="0.25">
      <c r="A44">
        <v>1747</v>
      </c>
      <c r="B44" t="s">
        <v>128</v>
      </c>
      <c r="C44" t="s">
        <v>74</v>
      </c>
      <c r="D44" t="s">
        <v>33</v>
      </c>
      <c r="H44">
        <v>56</v>
      </c>
      <c r="J44">
        <f t="shared" si="0"/>
        <v>56</v>
      </c>
      <c r="L44">
        <f t="shared" si="1"/>
        <v>2.5000000000000001E-2</v>
      </c>
    </row>
    <row r="45" spans="1:12" x14ac:dyDescent="0.25">
      <c r="A45">
        <v>1747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1747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1747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1747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1747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1747</v>
      </c>
      <c r="B50" t="s">
        <v>54</v>
      </c>
      <c r="C50" t="s">
        <v>74</v>
      </c>
      <c r="D50" t="s">
        <v>33</v>
      </c>
      <c r="H50">
        <v>361</v>
      </c>
      <c r="J50">
        <f t="shared" si="0"/>
        <v>361</v>
      </c>
      <c r="L50">
        <f t="shared" si="1"/>
        <v>0.1611607142857143</v>
      </c>
    </row>
    <row r="51" spans="1:12" x14ac:dyDescent="0.25">
      <c r="A51">
        <v>1747</v>
      </c>
      <c r="B51" t="s">
        <v>95</v>
      </c>
      <c r="C51" t="s">
        <v>74</v>
      </c>
      <c r="D51" t="s">
        <v>33</v>
      </c>
      <c r="H51">
        <v>289</v>
      </c>
      <c r="J51">
        <f t="shared" si="0"/>
        <v>289</v>
      </c>
      <c r="L51">
        <f t="shared" si="1"/>
        <v>0.12901785714285716</v>
      </c>
    </row>
    <row r="52" spans="1:12" x14ac:dyDescent="0.25">
      <c r="A52">
        <v>1747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1747</v>
      </c>
      <c r="B53" t="s">
        <v>21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1747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1747</v>
      </c>
      <c r="B55" t="s">
        <v>61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1747</v>
      </c>
      <c r="B56" t="s">
        <v>98</v>
      </c>
      <c r="C56" t="s">
        <v>74</v>
      </c>
      <c r="D56" t="s">
        <v>33</v>
      </c>
      <c r="E56">
        <v>3</v>
      </c>
      <c r="J56">
        <f t="shared" si="0"/>
        <v>6720</v>
      </c>
      <c r="L56">
        <f t="shared" si="1"/>
        <v>3</v>
      </c>
    </row>
    <row r="57" spans="1:12" x14ac:dyDescent="0.25">
      <c r="A57">
        <v>1747</v>
      </c>
      <c r="B57" t="s">
        <v>87</v>
      </c>
      <c r="C57" t="s">
        <v>74</v>
      </c>
      <c r="D57" t="s">
        <v>33</v>
      </c>
      <c r="E57">
        <v>6</v>
      </c>
      <c r="J57">
        <f t="shared" si="0"/>
        <v>13440</v>
      </c>
      <c r="L57">
        <f t="shared" si="1"/>
        <v>6</v>
      </c>
    </row>
    <row r="58" spans="1:12" x14ac:dyDescent="0.25">
      <c r="A58">
        <v>1747</v>
      </c>
      <c r="B58" t="s">
        <v>62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1747</v>
      </c>
      <c r="B59" t="s">
        <v>88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1747</v>
      </c>
      <c r="B60" t="s">
        <v>63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1747</v>
      </c>
      <c r="B61" t="s">
        <v>89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1747</v>
      </c>
      <c r="B62" t="s">
        <v>70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1747</v>
      </c>
      <c r="B63" t="s">
        <v>64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1747</v>
      </c>
      <c r="B64" t="s">
        <v>65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1747</v>
      </c>
      <c r="B65" t="s">
        <v>55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1747</v>
      </c>
      <c r="B66" t="s">
        <v>57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1747</v>
      </c>
      <c r="B67" t="s">
        <v>36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1747</v>
      </c>
      <c r="B68" t="s">
        <v>4</v>
      </c>
      <c r="C68" t="s">
        <v>74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1747</v>
      </c>
      <c r="B69" t="s">
        <v>58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1747</v>
      </c>
      <c r="B70" t="s">
        <v>69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1747</v>
      </c>
      <c r="B71" t="s">
        <v>43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1747</v>
      </c>
      <c r="B72" t="s">
        <v>76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1747</v>
      </c>
      <c r="B73" t="s">
        <v>5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1747</v>
      </c>
      <c r="B74" t="s">
        <v>59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1747</v>
      </c>
      <c r="B75" t="s">
        <v>6</v>
      </c>
      <c r="C75" t="s">
        <v>74</v>
      </c>
      <c r="D75" t="s">
        <v>35</v>
      </c>
      <c r="F75">
        <v>13431</v>
      </c>
      <c r="G75">
        <v>1</v>
      </c>
      <c r="H75">
        <v>18</v>
      </c>
      <c r="J75">
        <f t="shared" si="2"/>
        <v>1504318</v>
      </c>
      <c r="L75">
        <f t="shared" si="3"/>
        <v>671.57053571428571</v>
      </c>
    </row>
    <row r="76" spans="1:12" x14ac:dyDescent="0.25">
      <c r="A76">
        <v>1747</v>
      </c>
      <c r="B76" t="s">
        <v>60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1747</v>
      </c>
      <c r="B77" t="s">
        <v>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1747</v>
      </c>
      <c r="B78" t="s">
        <v>37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1747</v>
      </c>
      <c r="B79" t="s">
        <v>8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1747</v>
      </c>
      <c r="B80" t="s">
        <v>40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1747</v>
      </c>
      <c r="B81" t="s">
        <v>77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1747</v>
      </c>
      <c r="B82" t="s">
        <v>78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1747</v>
      </c>
      <c r="B83" t="s">
        <v>46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1747</v>
      </c>
      <c r="B84" t="s">
        <v>9</v>
      </c>
      <c r="C84" t="s">
        <v>74</v>
      </c>
      <c r="D84" t="s">
        <v>35</v>
      </c>
      <c r="H84">
        <f>309*200</f>
        <v>61800</v>
      </c>
      <c r="I84" t="s">
        <v>148</v>
      </c>
      <c r="J84">
        <f t="shared" si="2"/>
        <v>61800</v>
      </c>
      <c r="L84">
        <f t="shared" si="3"/>
        <v>27.589285714285715</v>
      </c>
    </row>
    <row r="85" spans="1:12" x14ac:dyDescent="0.25">
      <c r="A85">
        <v>1747</v>
      </c>
      <c r="B85" t="s">
        <v>10</v>
      </c>
      <c r="C85" t="s">
        <v>74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1747</v>
      </c>
      <c r="B86" t="s">
        <v>11</v>
      </c>
      <c r="C86" t="s">
        <v>74</v>
      </c>
      <c r="D86" t="s">
        <v>35</v>
      </c>
      <c r="F86">
        <v>34</v>
      </c>
      <c r="J86">
        <f t="shared" si="2"/>
        <v>3808</v>
      </c>
      <c r="L86">
        <f t="shared" si="3"/>
        <v>1.7</v>
      </c>
    </row>
    <row r="87" spans="1:12" x14ac:dyDescent="0.25">
      <c r="A87">
        <v>1747</v>
      </c>
      <c r="B87" t="s">
        <v>39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1747</v>
      </c>
      <c r="B88" t="s">
        <v>79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1747</v>
      </c>
      <c r="B89" t="s">
        <v>103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1747</v>
      </c>
      <c r="B90" t="s">
        <v>44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1747</v>
      </c>
      <c r="B91" t="s">
        <v>97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1747</v>
      </c>
      <c r="B92" t="s">
        <v>12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1747</v>
      </c>
      <c r="B93" t="s">
        <v>82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1747</v>
      </c>
      <c r="B94" t="s">
        <v>34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1747</v>
      </c>
      <c r="B95" t="s">
        <v>13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1747</v>
      </c>
      <c r="B96" t="s">
        <v>14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1747</v>
      </c>
      <c r="B97" t="s">
        <v>23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1747</v>
      </c>
      <c r="B98" t="s">
        <v>27</v>
      </c>
      <c r="C98" t="s">
        <v>74</v>
      </c>
      <c r="D98" t="s">
        <v>35</v>
      </c>
      <c r="H98">
        <v>6721.5</v>
      </c>
      <c r="I98" t="s">
        <v>147</v>
      </c>
      <c r="J98">
        <f t="shared" si="2"/>
        <v>6721.5</v>
      </c>
      <c r="L98">
        <f t="shared" si="3"/>
        <v>3.0006696428571429</v>
      </c>
    </row>
    <row r="99" spans="1:12" x14ac:dyDescent="0.25">
      <c r="A99">
        <v>1747</v>
      </c>
      <c r="B99" t="s">
        <v>15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1747</v>
      </c>
      <c r="B100" t="s">
        <v>93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1747</v>
      </c>
      <c r="B101" t="s">
        <v>42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1747</v>
      </c>
      <c r="B102" t="s">
        <v>83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1747</v>
      </c>
      <c r="B103" t="s">
        <v>47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1747</v>
      </c>
      <c r="B104" t="s">
        <v>16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1747</v>
      </c>
      <c r="B105" t="s">
        <v>17</v>
      </c>
      <c r="C105" t="s">
        <v>74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1747</v>
      </c>
      <c r="B106" t="s">
        <v>18</v>
      </c>
      <c r="C106" t="s">
        <v>74</v>
      </c>
      <c r="D106" t="s">
        <v>35</v>
      </c>
      <c r="H106">
        <v>35969</v>
      </c>
      <c r="I106" t="s">
        <v>146</v>
      </c>
      <c r="J106">
        <f t="shared" si="2"/>
        <v>35969</v>
      </c>
      <c r="L106">
        <f t="shared" si="3"/>
        <v>16.057589285714286</v>
      </c>
    </row>
    <row r="107" spans="1:12" x14ac:dyDescent="0.25">
      <c r="A107">
        <v>1747</v>
      </c>
      <c r="B107" t="s">
        <v>26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1747</v>
      </c>
      <c r="B108" t="s">
        <v>84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1747</v>
      </c>
      <c r="B109" t="s">
        <v>19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1747</v>
      </c>
      <c r="B110" t="s">
        <v>45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1747</v>
      </c>
      <c r="B111" t="s">
        <v>85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1747</v>
      </c>
      <c r="B112" t="s">
        <v>54</v>
      </c>
      <c r="C112" t="s">
        <v>74</v>
      </c>
      <c r="D112" t="s">
        <v>35</v>
      </c>
      <c r="H112">
        <v>10</v>
      </c>
      <c r="J112">
        <f t="shared" si="2"/>
        <v>10</v>
      </c>
      <c r="L112">
        <f t="shared" si="3"/>
        <v>4.464285714285714E-3</v>
      </c>
    </row>
    <row r="113" spans="1:12" x14ac:dyDescent="0.25">
      <c r="A113">
        <v>1747</v>
      </c>
      <c r="B113" t="s">
        <v>95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1747</v>
      </c>
      <c r="B114" t="s">
        <v>20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1747</v>
      </c>
      <c r="B115" t="s">
        <v>21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1747</v>
      </c>
      <c r="B116" t="s">
        <v>22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1747</v>
      </c>
      <c r="B117" t="s">
        <v>61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1747</v>
      </c>
      <c r="B118" t="s">
        <v>91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1747</v>
      </c>
      <c r="B119" t="s">
        <v>98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1747</v>
      </c>
      <c r="B120" t="s">
        <v>87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1747</v>
      </c>
      <c r="B121" t="s">
        <v>62</v>
      </c>
      <c r="C121" t="s">
        <v>74</v>
      </c>
      <c r="D121" t="s">
        <v>35</v>
      </c>
      <c r="E121">
        <v>5</v>
      </c>
      <c r="J121">
        <f t="shared" si="2"/>
        <v>11200</v>
      </c>
      <c r="L121">
        <f t="shared" si="3"/>
        <v>5</v>
      </c>
    </row>
    <row r="122" spans="1:12" x14ac:dyDescent="0.25">
      <c r="A122">
        <v>1747</v>
      </c>
      <c r="B122" t="s">
        <v>88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1747</v>
      </c>
      <c r="B123" t="s">
        <v>63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1747</v>
      </c>
      <c r="B124" t="s">
        <v>89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1747</v>
      </c>
      <c r="B125" t="s">
        <v>70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1747</v>
      </c>
      <c r="B126" t="s">
        <v>64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1747</v>
      </c>
      <c r="B127" t="s">
        <v>65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106" workbookViewId="0">
      <selection activeCell="H108" sqref="H108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1747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1747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1747</v>
      </c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1747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1747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1747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1747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1747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1747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1747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1747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1747</v>
      </c>
      <c r="B13" t="s">
        <v>6</v>
      </c>
      <c r="C13" t="s">
        <v>100</v>
      </c>
      <c r="D13" t="s">
        <v>33</v>
      </c>
      <c r="F13">
        <v>1834</v>
      </c>
      <c r="G13">
        <v>1</v>
      </c>
      <c r="J13">
        <f t="shared" si="0"/>
        <v>205436</v>
      </c>
      <c r="L13">
        <f t="shared" si="1"/>
        <v>91.712500000000006</v>
      </c>
    </row>
    <row r="14" spans="1:15" x14ac:dyDescent="0.25">
      <c r="A14">
        <v>1747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1747</v>
      </c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1747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1747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1747</v>
      </c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1747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1747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1747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1747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1747</v>
      </c>
      <c r="B23" t="s">
        <v>9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1747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1747</v>
      </c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1747</v>
      </c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1747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1747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1747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1747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1747</v>
      </c>
      <c r="B31" t="s">
        <v>12</v>
      </c>
      <c r="C31" t="s">
        <v>100</v>
      </c>
      <c r="D31" t="s">
        <v>33</v>
      </c>
      <c r="H31">
        <v>500</v>
      </c>
      <c r="J31">
        <f t="shared" si="0"/>
        <v>500</v>
      </c>
      <c r="L31">
        <f t="shared" si="1"/>
        <v>0.22321428571428573</v>
      </c>
    </row>
    <row r="32" spans="1:12" x14ac:dyDescent="0.25">
      <c r="A32">
        <v>1747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1747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1747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1747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1747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1747</v>
      </c>
      <c r="B37" t="s">
        <v>27</v>
      </c>
      <c r="C37" t="s">
        <v>100</v>
      </c>
      <c r="D37" t="s">
        <v>33</v>
      </c>
      <c r="H37">
        <v>1030.5</v>
      </c>
      <c r="I37" t="s">
        <v>132</v>
      </c>
      <c r="J37">
        <f t="shared" si="0"/>
        <v>1030.5</v>
      </c>
      <c r="L37">
        <f t="shared" si="1"/>
        <v>0.46004464285714286</v>
      </c>
    </row>
    <row r="38" spans="1:12" x14ac:dyDescent="0.25">
      <c r="A38">
        <v>1747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1747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1747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1747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1747</v>
      </c>
      <c r="B42" t="s">
        <v>16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1747</v>
      </c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1747</v>
      </c>
      <c r="B44" t="s">
        <v>18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1747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1747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1747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1747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1747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1747</v>
      </c>
      <c r="B50" t="s">
        <v>54</v>
      </c>
      <c r="C50" t="s">
        <v>100</v>
      </c>
      <c r="D50" t="s">
        <v>33</v>
      </c>
      <c r="H50">
        <v>12</v>
      </c>
      <c r="J50">
        <f t="shared" si="0"/>
        <v>12</v>
      </c>
      <c r="L50">
        <f t="shared" si="1"/>
        <v>5.3571428571428572E-3</v>
      </c>
    </row>
    <row r="51" spans="1:12" x14ac:dyDescent="0.25">
      <c r="A51">
        <v>1747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1747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1747</v>
      </c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1747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1747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1747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1747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1747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1747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1747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1747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1747</v>
      </c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1747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1747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1747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1747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1747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1747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1747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1747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1747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1747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1747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1747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1747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1747</v>
      </c>
      <c r="B76" t="s">
        <v>6</v>
      </c>
      <c r="C76" t="s">
        <v>100</v>
      </c>
      <c r="D76" t="s">
        <v>35</v>
      </c>
      <c r="F76">
        <v>706</v>
      </c>
      <c r="G76">
        <v>3</v>
      </c>
      <c r="H76">
        <v>19</v>
      </c>
      <c r="J76">
        <f t="shared" si="2"/>
        <v>79175</v>
      </c>
      <c r="L76">
        <f t="shared" si="3"/>
        <v>35.345982142857146</v>
      </c>
    </row>
    <row r="77" spans="1:12" x14ac:dyDescent="0.25">
      <c r="A77">
        <v>1747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1747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1747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1747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1747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1747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1747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1747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1747</v>
      </c>
      <c r="B85" t="s">
        <v>9</v>
      </c>
      <c r="C85" t="s">
        <v>100</v>
      </c>
      <c r="D85" t="s">
        <v>35</v>
      </c>
      <c r="H85">
        <f>262*200</f>
        <v>52400</v>
      </c>
      <c r="I85" t="s">
        <v>151</v>
      </c>
      <c r="J85">
        <f t="shared" si="2"/>
        <v>52400</v>
      </c>
      <c r="L85">
        <f t="shared" si="3"/>
        <v>23.392857142857142</v>
      </c>
    </row>
    <row r="86" spans="1:12" x14ac:dyDescent="0.25">
      <c r="A86">
        <v>1747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1747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1747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1747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1747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1747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1747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1747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1747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1747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1747</v>
      </c>
      <c r="B96" t="s">
        <v>13</v>
      </c>
      <c r="C96" t="s">
        <v>100</v>
      </c>
      <c r="D96" t="s">
        <v>35</v>
      </c>
      <c r="E96">
        <v>21</v>
      </c>
      <c r="F96">
        <v>10</v>
      </c>
      <c r="J96">
        <f t="shared" si="2"/>
        <v>48160</v>
      </c>
      <c r="L96">
        <f t="shared" si="3"/>
        <v>21.5</v>
      </c>
    </row>
    <row r="97" spans="1:12" x14ac:dyDescent="0.25">
      <c r="A97">
        <v>1747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1747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1747</v>
      </c>
      <c r="B99" t="s">
        <v>27</v>
      </c>
      <c r="C99" t="s">
        <v>100</v>
      </c>
      <c r="D99" t="s">
        <v>35</v>
      </c>
      <c r="H99">
        <v>280</v>
      </c>
      <c r="I99" t="s">
        <v>150</v>
      </c>
      <c r="J99">
        <f t="shared" si="2"/>
        <v>280</v>
      </c>
      <c r="L99">
        <f t="shared" si="3"/>
        <v>0.125</v>
      </c>
    </row>
    <row r="100" spans="1:12" x14ac:dyDescent="0.25">
      <c r="A100">
        <v>1747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1747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1747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1747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1747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1747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1747</v>
      </c>
      <c r="B106" t="s">
        <v>17</v>
      </c>
      <c r="C106" t="s">
        <v>100</v>
      </c>
      <c r="D106" t="s">
        <v>35</v>
      </c>
      <c r="F106">
        <v>217</v>
      </c>
      <c r="G106">
        <v>2</v>
      </c>
      <c r="H106">
        <v>17</v>
      </c>
      <c r="J106">
        <f t="shared" si="2"/>
        <v>24377</v>
      </c>
      <c r="L106">
        <f t="shared" si="3"/>
        <v>10.882589285714285</v>
      </c>
    </row>
    <row r="107" spans="1:12" x14ac:dyDescent="0.25">
      <c r="A107">
        <v>1747</v>
      </c>
      <c r="B107" t="s">
        <v>18</v>
      </c>
      <c r="C107" t="s">
        <v>100</v>
      </c>
      <c r="D107" t="s">
        <v>35</v>
      </c>
      <c r="H107">
        <v>1100</v>
      </c>
      <c r="I107" t="s">
        <v>149</v>
      </c>
      <c r="J107">
        <f t="shared" si="2"/>
        <v>1100</v>
      </c>
      <c r="L107">
        <f t="shared" si="3"/>
        <v>0.49107142857142855</v>
      </c>
    </row>
    <row r="108" spans="1:12" x14ac:dyDescent="0.25">
      <c r="A108">
        <v>1747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1747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1747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1747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1747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1747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1747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1747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1747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1747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1747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1747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1747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1747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1747</v>
      </c>
      <c r="B122" t="s">
        <v>62</v>
      </c>
      <c r="C122" t="s">
        <v>100</v>
      </c>
      <c r="D122" t="s">
        <v>35</v>
      </c>
      <c r="E122">
        <v>1</v>
      </c>
      <c r="F122">
        <v>12</v>
      </c>
      <c r="J122">
        <f t="shared" si="2"/>
        <v>3584</v>
      </c>
      <c r="L122">
        <f t="shared" si="3"/>
        <v>1.6</v>
      </c>
    </row>
    <row r="123" spans="1:12" x14ac:dyDescent="0.25">
      <c r="A123">
        <v>1747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1747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1747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1747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1747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1747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2025-04-30T17:42:13Z</dcterms:modified>
</cp:coreProperties>
</file>